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ate1904="1" codeName="ThisWorkbook"/>
  <mc:AlternateContent xmlns:mc="http://schemas.openxmlformats.org/markup-compatibility/2006">
    <mc:Choice Requires="x15">
      <x15ac:absPath xmlns:x15ac="http://schemas.microsoft.com/office/spreadsheetml/2010/11/ac" url="https://doimspp-my.sharepoint.com/personal/alerner_usgs_gov/Documents/Documents/Allan UO work/Keanakakoi/manuscript/EPSL submission/proofs and agreements/EPSL118579_corrected_proofs/"/>
    </mc:Choice>
  </mc:AlternateContent>
  <xr:revisionPtr revIDLastSave="70" documentId="8_{EDE220AE-3942-4FC0-B2B4-657D13D986E3}" xr6:coauthVersionLast="47" xr6:coauthVersionMax="47" xr10:uidLastSave="{B233261B-003B-40DD-A3DA-CA9C65176716}"/>
  <bookViews>
    <workbookView xWindow="-120" yWindow="-120" windowWidth="20730" windowHeight="11160" tabRatio="588" xr2:uid="{00000000-000D-0000-FFFF-FFFF00000000}"/>
  </bookViews>
  <sheets>
    <sheet name="Contents" sheetId="24" r:id="rId1"/>
    <sheet name="1_Keanakakoi inclusion data" sheetId="1" r:id="rId2"/>
    <sheet name="2_Keanakakoi olivine" sheetId="21" r:id="rId3"/>
    <sheet name="3_EPMA glass &amp; min standards" sheetId="25" r:id="rId4"/>
    <sheet name="4_Raman replicate analyses" sheetId="30" r:id="rId5"/>
    <sheet name="5_Lerner'21_ext. Raman results" sheetId="29" r:id="rId6"/>
    <sheet name="6_Recalc literature pressures" sheetId="28" r:id="rId7"/>
  </sheets>
  <definedNames>
    <definedName name="__shared_3_0_116">-1</definedName>
    <definedName name="__shared_3_0_130">-1</definedName>
    <definedName name="__shared_3_0_176">-1</definedName>
    <definedName name="__shared_3_0_177">-1</definedName>
    <definedName name="__shared_3_0_62">-1</definedName>
    <definedName name="__shared_3_0_63">-1</definedName>
    <definedName name="__shared_3_0_68">-1</definedName>
    <definedName name="__shared_3_0_96">-1</definedName>
    <definedName name="__shared_3_0_98">-1</definedName>
    <definedName name="__shared_5_0_0">-1</definedName>
    <definedName name="__shared_5_0_1">-1</definedName>
    <definedName name="__shared_5_0_110">-1</definedName>
    <definedName name="__shared_5_0_111">-1</definedName>
    <definedName name="__shared_5_0_112">-1</definedName>
    <definedName name="__shared_5_0_113">-1</definedName>
    <definedName name="__shared_5_0_117">-1</definedName>
    <definedName name="__shared_5_0_118">-1</definedName>
    <definedName name="__shared_5_0_119">-1</definedName>
    <definedName name="__shared_5_0_133">-1</definedName>
    <definedName name="__shared_5_0_134">-1</definedName>
    <definedName name="__shared_5_0_169">-1</definedName>
    <definedName name="__shared_5_0_170">-1</definedName>
    <definedName name="__shared_5_0_171">-1</definedName>
    <definedName name="__shared_5_0_186">-1</definedName>
    <definedName name="__shared_5_0_187">-1</definedName>
    <definedName name="__shared_5_0_188">-1</definedName>
    <definedName name="__shared_5_0_2">-1</definedName>
    <definedName name="__shared_5_0_220">1969.364</definedName>
    <definedName name="__shared_5_0_221">-1</definedName>
    <definedName name="__shared_5_0_222">-1</definedName>
    <definedName name="__shared_5_0_223">-1</definedName>
    <definedName name="__shared_5_0_224">-1</definedName>
    <definedName name="__shared_5_0_225">-1</definedName>
    <definedName name="__shared_5_0_226">-1</definedName>
    <definedName name="__shared_5_0_227">-1</definedName>
    <definedName name="__shared_5_0_228">-1</definedName>
    <definedName name="__shared_5_0_229">-1</definedName>
    <definedName name="__shared_5_0_243">-1</definedName>
    <definedName name="__shared_5_0_244">-1</definedName>
    <definedName name="__shared_5_0_245">-1</definedName>
    <definedName name="__shared_5_0_278">-1</definedName>
    <definedName name="__shared_5_0_279">-1</definedName>
    <definedName name="__shared_5_0_281">-1</definedName>
    <definedName name="__shared_5_0_282">-1</definedName>
    <definedName name="__shared_5_0_283">-1</definedName>
    <definedName name="__shared_5_0_285">-1</definedName>
    <definedName name="__shared_5_0_54">-1</definedName>
    <definedName name="__shared_5_0_56">-1</definedName>
    <definedName name="__shared_5_0_57">-1</definedName>
    <definedName name="__shared_5_0_58">-1</definedName>
    <definedName name="__shared_5_0_59">-1</definedName>
    <definedName name="__shared_5_0_60">-1</definedName>
    <definedName name="__shared_5_0_64">-1</definedName>
    <definedName name="__shared_5_0_65">-1</definedName>
    <definedName name="__shared_6_0_0">-1</definedName>
    <definedName name="__shared_6_0_1">-1</definedName>
    <definedName name="__shared_6_0_10">-1</definedName>
    <definedName name="__shared_6_0_11">-1</definedName>
    <definedName name="__shared_6_0_12">-1</definedName>
    <definedName name="__shared_6_0_13">-1</definedName>
    <definedName name="__shared_6_0_14">-1</definedName>
    <definedName name="__shared_6_0_2">-1</definedName>
    <definedName name="__shared_6_0_7">-1</definedName>
    <definedName name="__shared_6_0_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181" i="28" l="1"/>
  <c r="T180" i="28"/>
  <c r="T179" i="28"/>
  <c r="T178" i="28"/>
  <c r="T177" i="28"/>
  <c r="T176" i="28"/>
  <c r="T175" i="28"/>
  <c r="T174" i="28"/>
  <c r="T173" i="28"/>
  <c r="T172" i="28"/>
  <c r="T171" i="28"/>
  <c r="T170" i="28"/>
  <c r="T169" i="28"/>
  <c r="T168" i="28"/>
  <c r="T167" i="28"/>
  <c r="T166" i="28"/>
  <c r="T165" i="28"/>
  <c r="T164" i="28"/>
  <c r="T163" i="28"/>
  <c r="T162" i="28"/>
  <c r="T161" i="28"/>
  <c r="T160" i="28"/>
  <c r="T159" i="28"/>
  <c r="T158" i="28"/>
  <c r="T157" i="28"/>
  <c r="T156" i="28"/>
  <c r="T155" i="28"/>
  <c r="T154" i="28"/>
  <c r="T153" i="28"/>
  <c r="T152" i="28"/>
  <c r="T151" i="28"/>
  <c r="T150" i="28"/>
  <c r="T149" i="28"/>
  <c r="T148" i="28"/>
  <c r="T147" i="28"/>
  <c r="T146" i="28"/>
  <c r="T145" i="28"/>
  <c r="T144" i="28"/>
  <c r="T143" i="28"/>
  <c r="T142" i="28"/>
  <c r="T141" i="28"/>
  <c r="T140" i="28"/>
  <c r="T139" i="28"/>
  <c r="T138" i="28"/>
  <c r="T137" i="28"/>
  <c r="T136" i="28"/>
  <c r="T135" i="28"/>
  <c r="T134" i="28"/>
  <c r="T133" i="28"/>
  <c r="T132" i="28"/>
  <c r="T131" i="28"/>
  <c r="T130" i="28"/>
  <c r="T129" i="28"/>
  <c r="T128" i="28"/>
  <c r="T127" i="28"/>
  <c r="T126" i="28"/>
  <c r="T125" i="28"/>
  <c r="AZ485" i="28" l="1"/>
  <c r="AY485" i="28"/>
  <c r="AZ484" i="28"/>
  <c r="AY484" i="28"/>
  <c r="AZ483" i="28"/>
  <c r="AY483" i="28"/>
  <c r="AZ482" i="28"/>
  <c r="AY482" i="28"/>
  <c r="AZ481" i="28"/>
  <c r="AY481" i="28"/>
  <c r="AZ480" i="28"/>
  <c r="AY480" i="28"/>
  <c r="AZ479" i="28"/>
  <c r="AY479" i="28"/>
  <c r="AZ478" i="28"/>
  <c r="AY478" i="28"/>
  <c r="AZ477" i="28"/>
  <c r="AY477" i="28"/>
  <c r="AZ476" i="28"/>
  <c r="AY476" i="28"/>
  <c r="AZ475" i="28"/>
  <c r="AY475" i="28"/>
  <c r="AZ474" i="28"/>
  <c r="AY474" i="28"/>
  <c r="AZ473" i="28"/>
  <c r="AY473" i="28"/>
  <c r="AZ472" i="28"/>
  <c r="AY472" i="28"/>
  <c r="AZ471" i="28"/>
  <c r="AY471" i="28"/>
  <c r="AZ470" i="28"/>
  <c r="AY470" i="28"/>
  <c r="AZ469" i="28"/>
  <c r="AY469" i="28"/>
  <c r="AZ468" i="28"/>
  <c r="AY468" i="28"/>
  <c r="AZ467" i="28"/>
  <c r="AY467" i="28"/>
  <c r="AZ466" i="28"/>
  <c r="AY466" i="28"/>
  <c r="AZ465" i="28"/>
  <c r="AY465" i="28"/>
  <c r="AZ464" i="28"/>
  <c r="AY464" i="28"/>
  <c r="AZ463" i="28"/>
  <c r="AY463" i="28"/>
  <c r="AZ462" i="28"/>
  <c r="AY462" i="28"/>
  <c r="AZ461" i="28"/>
  <c r="AY461" i="28"/>
  <c r="AZ460" i="28"/>
  <c r="AY460" i="28"/>
  <c r="AZ459" i="28"/>
  <c r="AY459" i="28"/>
  <c r="AZ458" i="28"/>
  <c r="AY458" i="28"/>
  <c r="AZ457" i="28"/>
  <c r="AY457" i="28"/>
  <c r="AZ456" i="28"/>
  <c r="AY456" i="28"/>
  <c r="AZ455" i="28"/>
  <c r="AY455" i="28"/>
  <c r="AZ454" i="28"/>
  <c r="AY454" i="28"/>
  <c r="AZ453" i="28"/>
  <c r="AY453" i="28"/>
  <c r="AZ452" i="28"/>
  <c r="AY452" i="28"/>
  <c r="AZ451" i="28"/>
  <c r="AY451" i="28"/>
  <c r="AZ450" i="28"/>
  <c r="AY450" i="28"/>
  <c r="AZ449" i="28"/>
  <c r="AY449" i="28"/>
  <c r="AZ448" i="28"/>
  <c r="AY448" i="28"/>
  <c r="AZ447" i="28"/>
  <c r="AY447" i="28"/>
  <c r="AZ446" i="28"/>
  <c r="AY446" i="28"/>
  <c r="AZ445" i="28"/>
  <c r="AY445" i="28"/>
  <c r="AZ444" i="28"/>
  <c r="AY444" i="28"/>
  <c r="AZ443" i="28"/>
  <c r="AY443" i="28"/>
  <c r="AZ442" i="28"/>
  <c r="AY442" i="28"/>
  <c r="AZ441" i="28"/>
  <c r="AY441" i="28"/>
  <c r="AZ440" i="28"/>
  <c r="AY440" i="28"/>
  <c r="AZ439" i="28"/>
  <c r="AY439" i="28"/>
  <c r="AZ438" i="28"/>
  <c r="AY438" i="28"/>
  <c r="AZ437" i="28"/>
  <c r="AY437" i="28"/>
  <c r="AZ436" i="28"/>
  <c r="AY436" i="28"/>
  <c r="AZ435" i="28"/>
  <c r="AY435" i="28"/>
  <c r="AZ434" i="28"/>
  <c r="AY434" i="28"/>
  <c r="AZ433" i="28"/>
  <c r="AY433" i="28"/>
  <c r="AZ432" i="28"/>
  <c r="AY432" i="28"/>
  <c r="AZ431" i="28"/>
  <c r="AY431" i="28"/>
  <c r="AZ430" i="28"/>
  <c r="AY430" i="28"/>
  <c r="AZ429" i="28"/>
  <c r="AY429" i="28"/>
  <c r="AZ428" i="28"/>
  <c r="AY428" i="28"/>
  <c r="AZ427" i="28"/>
  <c r="AY427" i="28"/>
  <c r="AZ426" i="28"/>
  <c r="AY426" i="28"/>
  <c r="AZ425" i="28"/>
  <c r="AY425" i="28"/>
  <c r="AZ424" i="28"/>
  <c r="AY424" i="28"/>
  <c r="AZ423" i="28"/>
  <c r="AY423" i="28"/>
  <c r="AZ422" i="28"/>
  <c r="AY422" i="28"/>
  <c r="AZ421" i="28"/>
  <c r="AY421" i="28"/>
  <c r="AZ420" i="28"/>
  <c r="AY420" i="28"/>
  <c r="AZ419" i="28"/>
  <c r="AY419" i="28"/>
  <c r="AZ418" i="28"/>
  <c r="AY418" i="28"/>
  <c r="AZ417" i="28"/>
  <c r="AY417" i="28"/>
  <c r="AZ416" i="28"/>
  <c r="AY416" i="28"/>
  <c r="AZ415" i="28"/>
  <c r="AY415" i="28"/>
  <c r="AZ414" i="28"/>
  <c r="AY414" i="28"/>
  <c r="AZ413" i="28"/>
  <c r="AY413" i="28"/>
  <c r="AZ412" i="28"/>
  <c r="AY412" i="28"/>
  <c r="AZ411" i="28"/>
  <c r="AY411" i="28"/>
  <c r="AZ410" i="28"/>
  <c r="AY410" i="28"/>
  <c r="AZ409" i="28"/>
  <c r="AY409" i="28"/>
  <c r="AZ408" i="28"/>
  <c r="AY408" i="28"/>
  <c r="AZ407" i="28"/>
  <c r="AY407" i="28"/>
  <c r="AZ406" i="28"/>
  <c r="AY406" i="28"/>
  <c r="AZ405" i="28"/>
  <c r="AY405" i="28"/>
  <c r="AZ404" i="28"/>
  <c r="AY404" i="28"/>
  <c r="AZ403" i="28"/>
  <c r="AY403" i="28"/>
  <c r="AZ402" i="28"/>
  <c r="AY402" i="28"/>
  <c r="AZ401" i="28"/>
  <c r="AY401" i="28"/>
  <c r="AZ400" i="28"/>
  <c r="AY400" i="28"/>
  <c r="AZ399" i="28"/>
  <c r="AY399" i="28"/>
  <c r="AZ398" i="28"/>
  <c r="AY398" i="28"/>
  <c r="AZ397" i="28"/>
  <c r="AY397" i="28"/>
  <c r="AZ396" i="28"/>
  <c r="AY396" i="28"/>
  <c r="AZ395" i="28"/>
  <c r="AY395" i="28"/>
  <c r="AZ394" i="28"/>
  <c r="AY394" i="28"/>
  <c r="AZ393" i="28"/>
  <c r="AY393" i="28"/>
  <c r="AZ392" i="28"/>
  <c r="AY392" i="28"/>
  <c r="AZ391" i="28"/>
  <c r="AY391" i="28"/>
  <c r="AZ390" i="28"/>
  <c r="AY390" i="28"/>
  <c r="AZ389" i="28"/>
  <c r="AY389" i="28"/>
  <c r="AZ388" i="28"/>
  <c r="AY388" i="28"/>
  <c r="AZ387" i="28"/>
  <c r="AY387" i="28"/>
  <c r="AZ386" i="28"/>
  <c r="AY386" i="28"/>
  <c r="AZ385" i="28"/>
  <c r="AY385" i="28"/>
  <c r="AZ384" i="28"/>
  <c r="AY384" i="28"/>
  <c r="AZ383" i="28"/>
  <c r="AY383" i="28"/>
  <c r="AZ382" i="28"/>
  <c r="AY382" i="28"/>
  <c r="AZ381" i="28"/>
  <c r="AY381" i="28"/>
  <c r="AZ380" i="28"/>
  <c r="AY380" i="28"/>
  <c r="AZ379" i="28"/>
  <c r="AY379" i="28"/>
  <c r="AZ378" i="28"/>
  <c r="AY378" i="28"/>
  <c r="AZ377" i="28"/>
  <c r="AY377" i="28"/>
  <c r="AZ376" i="28"/>
  <c r="AY376" i="28"/>
  <c r="AZ375" i="28"/>
  <c r="AY375" i="28"/>
  <c r="AZ374" i="28"/>
  <c r="AY374" i="28"/>
  <c r="AZ373" i="28"/>
  <c r="AY373" i="28"/>
  <c r="AZ372" i="28"/>
  <c r="AY372" i="28"/>
  <c r="AZ371" i="28"/>
  <c r="AY371" i="28"/>
  <c r="AZ370" i="28"/>
  <c r="AY370" i="28"/>
  <c r="AZ369" i="28"/>
  <c r="AY369" i="28"/>
  <c r="AZ368" i="28"/>
  <c r="AY368" i="28"/>
  <c r="AZ367" i="28"/>
  <c r="AY367" i="28"/>
  <c r="AZ366" i="28"/>
  <c r="AY366" i="28"/>
  <c r="AZ365" i="28"/>
  <c r="AY365" i="28"/>
  <c r="AZ364" i="28"/>
  <c r="AY364" i="28"/>
  <c r="AZ363" i="28"/>
  <c r="AY363" i="28"/>
  <c r="AZ362" i="28"/>
  <c r="AY362" i="28"/>
  <c r="AZ361" i="28"/>
  <c r="AY361" i="28"/>
  <c r="AZ360" i="28"/>
  <c r="AY360" i="28"/>
  <c r="AZ359" i="28"/>
  <c r="AY359" i="28"/>
  <c r="AZ358" i="28"/>
  <c r="AY358" i="28"/>
  <c r="AZ357" i="28"/>
  <c r="AY357" i="28"/>
  <c r="AZ356" i="28"/>
  <c r="AY356" i="28"/>
  <c r="AZ355" i="28"/>
  <c r="AY355" i="28"/>
  <c r="AZ354" i="28"/>
  <c r="AY354" i="28"/>
  <c r="AZ353" i="28"/>
  <c r="AY353" i="28"/>
  <c r="AZ352" i="28"/>
  <c r="AY352" i="28"/>
  <c r="AZ351" i="28"/>
  <c r="AY351" i="28"/>
  <c r="AZ350" i="28"/>
  <c r="AY350" i="28"/>
  <c r="AZ349" i="28"/>
  <c r="AY349" i="28"/>
  <c r="AZ348" i="28"/>
  <c r="AY348" i="28"/>
  <c r="AZ347" i="28"/>
  <c r="AY347" i="28"/>
  <c r="AZ346" i="28"/>
  <c r="AY346" i="28"/>
  <c r="AZ345" i="28"/>
  <c r="AY345" i="28"/>
  <c r="AZ344" i="28"/>
  <c r="AY344" i="28"/>
  <c r="AZ343" i="28"/>
  <c r="AY343" i="28"/>
  <c r="AZ342" i="28"/>
  <c r="AY342" i="28"/>
  <c r="AZ341" i="28"/>
  <c r="AY341" i="28"/>
  <c r="AZ340" i="28"/>
  <c r="AY340" i="28"/>
  <c r="AZ339" i="28"/>
  <c r="AY339" i="28"/>
  <c r="AZ338" i="28"/>
  <c r="AY338" i="28"/>
  <c r="AZ337" i="28"/>
  <c r="AY337" i="28"/>
  <c r="AZ336" i="28"/>
  <c r="AY336" i="28"/>
  <c r="AZ335" i="28"/>
  <c r="AY335" i="28"/>
  <c r="AZ334" i="28"/>
  <c r="AY334" i="28"/>
  <c r="AZ333" i="28"/>
  <c r="AY333" i="28"/>
  <c r="AZ332" i="28"/>
  <c r="AY332" i="28"/>
  <c r="AZ331" i="28"/>
  <c r="AY331" i="28"/>
  <c r="AZ330" i="28"/>
  <c r="AY330" i="28"/>
  <c r="AZ329" i="28"/>
  <c r="AY329" i="28"/>
  <c r="AZ328" i="28"/>
  <c r="AY328" i="28"/>
  <c r="AZ327" i="28"/>
  <c r="AY327" i="28"/>
  <c r="AZ326" i="28"/>
  <c r="AY326" i="28"/>
  <c r="AZ325" i="28"/>
  <c r="AY325" i="28"/>
  <c r="AZ324" i="28"/>
  <c r="AY324" i="28"/>
  <c r="AZ323" i="28"/>
  <c r="AY323" i="28"/>
  <c r="AZ322" i="28"/>
  <c r="AY322" i="28"/>
  <c r="AZ321" i="28"/>
  <c r="AY321" i="28"/>
  <c r="AZ320" i="28"/>
  <c r="AY320" i="28"/>
  <c r="AZ319" i="28"/>
  <c r="AY319" i="28"/>
  <c r="AZ318" i="28"/>
  <c r="AY318" i="28"/>
  <c r="AZ317" i="28"/>
  <c r="AY317" i="28"/>
  <c r="AZ316" i="28"/>
  <c r="AY316" i="28"/>
  <c r="AZ315" i="28"/>
  <c r="AY315" i="28"/>
  <c r="AZ314" i="28"/>
  <c r="AY314" i="28"/>
  <c r="AZ313" i="28"/>
  <c r="AY313" i="28"/>
  <c r="AZ312" i="28"/>
  <c r="AY312" i="28"/>
  <c r="AZ311" i="28"/>
  <c r="AY311" i="28"/>
  <c r="AZ310" i="28"/>
  <c r="AY310" i="28"/>
  <c r="AZ309" i="28"/>
  <c r="AY309" i="28"/>
  <c r="AZ308" i="28"/>
  <c r="AY308" i="28"/>
  <c r="AZ307" i="28"/>
  <c r="AY307" i="28"/>
  <c r="AZ306" i="28"/>
  <c r="AY306" i="28"/>
  <c r="AZ305" i="28"/>
  <c r="AY305" i="28"/>
  <c r="AZ304" i="28"/>
  <c r="AY304" i="28"/>
  <c r="AZ303" i="28"/>
  <c r="AY303" i="28"/>
  <c r="AZ302" i="28"/>
  <c r="AY302" i="28"/>
  <c r="AZ301" i="28"/>
  <c r="AY301" i="28"/>
  <c r="AZ300" i="28"/>
  <c r="AY300" i="28"/>
  <c r="AZ299" i="28"/>
  <c r="AY299" i="28"/>
  <c r="AZ298" i="28"/>
  <c r="AY298" i="28"/>
  <c r="AZ297" i="28"/>
  <c r="AY297" i="28"/>
  <c r="AZ296" i="28"/>
  <c r="AY296" i="28"/>
  <c r="AZ295" i="28"/>
  <c r="AY295" i="28"/>
  <c r="AZ294" i="28"/>
  <c r="AY294" i="28"/>
  <c r="AZ293" i="28"/>
  <c r="AY293" i="28"/>
  <c r="AZ292" i="28"/>
  <c r="AY292" i="28"/>
  <c r="AZ291" i="28"/>
  <c r="AY291" i="28"/>
  <c r="AZ290" i="28"/>
  <c r="AY290" i="28"/>
  <c r="AZ289" i="28"/>
  <c r="AY289" i="28"/>
  <c r="AZ288" i="28"/>
  <c r="AY288" i="28"/>
  <c r="AZ287" i="28"/>
  <c r="AY287" i="28"/>
  <c r="AZ286" i="28"/>
  <c r="AY286" i="28"/>
  <c r="AZ285" i="28"/>
  <c r="AY285" i="28"/>
  <c r="AZ284" i="28"/>
  <c r="AY284" i="28"/>
  <c r="AZ283" i="28"/>
  <c r="AY283" i="28"/>
  <c r="AZ282" i="28"/>
  <c r="AY282" i="28"/>
  <c r="AZ281" i="28"/>
  <c r="AY281" i="28"/>
  <c r="AZ280" i="28"/>
  <c r="AY280" i="28"/>
  <c r="AZ279" i="28"/>
  <c r="AY279" i="28"/>
  <c r="AZ278" i="28"/>
  <c r="AY278" i="28"/>
  <c r="AZ277" i="28"/>
  <c r="AY277" i="28"/>
  <c r="AZ276" i="28"/>
  <c r="AY276" i="28"/>
  <c r="AZ275" i="28"/>
  <c r="AY275" i="28"/>
  <c r="AZ274" i="28"/>
  <c r="AY274" i="28"/>
  <c r="AZ273" i="28"/>
  <c r="AY273" i="28"/>
  <c r="AZ272" i="28"/>
  <c r="AY272" i="28"/>
  <c r="AZ271" i="28"/>
  <c r="AY271" i="28"/>
  <c r="AZ270" i="28"/>
  <c r="AY270" i="28"/>
  <c r="AZ269" i="28"/>
  <c r="AY269" i="28"/>
  <c r="AZ268" i="28"/>
  <c r="AY268" i="28"/>
  <c r="AZ267" i="28"/>
  <c r="AY267" i="28"/>
  <c r="AZ266" i="28"/>
  <c r="AY266" i="28"/>
  <c r="AZ265" i="28"/>
  <c r="AY265" i="28"/>
  <c r="AZ264" i="28"/>
  <c r="AY264" i="28"/>
  <c r="AZ263" i="28"/>
  <c r="AY263" i="28"/>
  <c r="AZ262" i="28"/>
  <c r="AY262" i="28"/>
  <c r="AZ261" i="28"/>
  <c r="AY261" i="28"/>
  <c r="AZ260" i="28"/>
  <c r="AY260" i="28"/>
  <c r="AZ259" i="28"/>
  <c r="AY259" i="28"/>
  <c r="AZ258" i="28"/>
  <c r="AY258" i="28"/>
  <c r="AZ257" i="28"/>
  <c r="AY257" i="28"/>
  <c r="AZ256" i="28"/>
  <c r="AY256" i="28"/>
  <c r="AZ255" i="28"/>
  <c r="AY255" i="28"/>
  <c r="AZ254" i="28"/>
  <c r="AY254" i="28"/>
  <c r="AZ253" i="28"/>
  <c r="AY253" i="28"/>
  <c r="AZ252" i="28"/>
  <c r="AY252" i="28"/>
  <c r="AZ251" i="28"/>
  <c r="AY251" i="28"/>
  <c r="AZ250" i="28"/>
  <c r="AY250" i="28"/>
  <c r="AZ249" i="28"/>
  <c r="AY249" i="28"/>
  <c r="AZ248" i="28"/>
  <c r="AY248" i="28"/>
  <c r="AZ247" i="28"/>
  <c r="AY247" i="28"/>
  <c r="AZ246" i="28"/>
  <c r="AY246" i="28"/>
  <c r="AZ245" i="28"/>
  <c r="AY245" i="28"/>
  <c r="AZ244" i="28"/>
  <c r="AY244" i="28"/>
  <c r="AZ243" i="28"/>
  <c r="AY243" i="28"/>
  <c r="AZ242" i="28"/>
  <c r="AY242" i="28"/>
  <c r="AZ241" i="28"/>
  <c r="AY241" i="28"/>
  <c r="AZ240" i="28"/>
  <c r="AY240" i="28"/>
  <c r="AZ239" i="28"/>
  <c r="AY239" i="28"/>
  <c r="AZ238" i="28"/>
  <c r="AY238" i="28"/>
  <c r="AZ237" i="28"/>
  <c r="AY237" i="28"/>
  <c r="AZ236" i="28"/>
  <c r="AY236" i="28"/>
  <c r="AZ235" i="28"/>
  <c r="AY235" i="28"/>
  <c r="AZ234" i="28"/>
  <c r="AY234" i="28"/>
  <c r="AZ233" i="28"/>
  <c r="AY233" i="28"/>
  <c r="AZ232" i="28"/>
  <c r="AY232" i="28"/>
  <c r="AZ231" i="28"/>
  <c r="AY231" i="28"/>
  <c r="AZ230" i="28"/>
  <c r="AY230" i="28"/>
  <c r="AZ229" i="28"/>
  <c r="AY229" i="28"/>
  <c r="AZ228" i="28"/>
  <c r="AY228" i="28"/>
  <c r="AZ227" i="28"/>
  <c r="AY227" i="28"/>
  <c r="AZ226" i="28"/>
  <c r="AY226" i="28"/>
  <c r="AZ225" i="28"/>
  <c r="AY225" i="28"/>
  <c r="AZ224" i="28"/>
  <c r="AY224" i="28"/>
  <c r="AZ223" i="28"/>
  <c r="AY223" i="28"/>
  <c r="AZ222" i="28"/>
  <c r="AY222" i="28"/>
  <c r="AZ221" i="28"/>
  <c r="AY221" i="28"/>
  <c r="AZ220" i="28"/>
  <c r="AY220" i="28"/>
  <c r="AZ219" i="28"/>
  <c r="AY219" i="28"/>
  <c r="AZ218" i="28"/>
  <c r="AY218" i="28"/>
  <c r="AZ217" i="28"/>
  <c r="AY217" i="28"/>
  <c r="AZ216" i="28"/>
  <c r="AY216" i="28"/>
  <c r="AZ215" i="28"/>
  <c r="AY215" i="28"/>
  <c r="AZ214" i="28"/>
  <c r="AY214" i="28"/>
  <c r="AZ213" i="28"/>
  <c r="AY213" i="28"/>
  <c r="AZ212" i="28"/>
  <c r="AY212" i="28"/>
  <c r="AZ211" i="28"/>
  <c r="AY211" i="28"/>
  <c r="AZ210" i="28"/>
  <c r="AY210" i="28"/>
  <c r="AZ209" i="28"/>
  <c r="AY209" i="28"/>
  <c r="AZ208" i="28"/>
  <c r="AY208" i="28"/>
  <c r="AZ207" i="28"/>
  <c r="AY207" i="28"/>
  <c r="AZ206" i="28"/>
  <c r="AY206" i="28"/>
  <c r="AZ205" i="28"/>
  <c r="AY205" i="28"/>
  <c r="AZ204" i="28"/>
  <c r="AY204" i="28"/>
  <c r="AZ203" i="28"/>
  <c r="AY203" i="28"/>
  <c r="AZ202" i="28"/>
  <c r="AY202" i="28"/>
  <c r="AZ201" i="28"/>
  <c r="AY201" i="28"/>
  <c r="AZ200" i="28"/>
  <c r="AY200" i="28"/>
  <c r="AZ199" i="28"/>
  <c r="AY199" i="28"/>
  <c r="AZ198" i="28"/>
  <c r="AY198" i="28"/>
  <c r="AZ197" i="28"/>
  <c r="AY197" i="28"/>
  <c r="AZ196" i="28"/>
  <c r="AY196" i="28"/>
  <c r="AZ195" i="28"/>
  <c r="AY195" i="28"/>
  <c r="AZ194" i="28"/>
  <c r="AY194" i="28"/>
  <c r="AZ193" i="28"/>
  <c r="AY193" i="28"/>
  <c r="AZ192" i="28"/>
  <c r="AY192" i="28"/>
  <c r="AZ191" i="28"/>
  <c r="AY191" i="28"/>
  <c r="AZ190" i="28"/>
  <c r="AY190" i="28"/>
  <c r="AZ189" i="28"/>
  <c r="AY189" i="28"/>
  <c r="AZ188" i="28"/>
  <c r="AY188" i="28"/>
  <c r="AZ187" i="28"/>
  <c r="AY187" i="28"/>
  <c r="AZ186" i="28"/>
  <c r="AY186" i="28"/>
  <c r="AY141" i="28" l="1"/>
  <c r="AZ181" i="28"/>
  <c r="AY181" i="28"/>
  <c r="AZ180" i="28"/>
  <c r="AY180" i="28"/>
  <c r="AZ179" i="28"/>
  <c r="AY179" i="28"/>
  <c r="AZ178" i="28"/>
  <c r="AY178" i="28"/>
  <c r="AZ177" i="28"/>
  <c r="AY177" i="28"/>
  <c r="AZ176" i="28"/>
  <c r="AY176" i="28"/>
  <c r="AZ175" i="28"/>
  <c r="AY175" i="28"/>
  <c r="AZ174" i="28"/>
  <c r="AY174" i="28"/>
  <c r="AZ173" i="28"/>
  <c r="AY173" i="28"/>
  <c r="AZ172" i="28"/>
  <c r="AY172" i="28"/>
  <c r="AZ171" i="28"/>
  <c r="AY171" i="28"/>
  <c r="AZ170" i="28"/>
  <c r="AY170" i="28"/>
  <c r="AZ169" i="28"/>
  <c r="AY169" i="28"/>
  <c r="AZ168" i="28"/>
  <c r="AY168" i="28"/>
  <c r="AZ167" i="28"/>
  <c r="AY167" i="28"/>
  <c r="AZ166" i="28"/>
  <c r="AY166" i="28"/>
  <c r="AZ165" i="28"/>
  <c r="AY165" i="28"/>
  <c r="AZ164" i="28"/>
  <c r="AY164" i="28"/>
  <c r="AZ163" i="28"/>
  <c r="AY163" i="28"/>
  <c r="AZ162" i="28"/>
  <c r="AY162" i="28"/>
  <c r="AZ161" i="28"/>
  <c r="AY161" i="28"/>
  <c r="AZ160" i="28"/>
  <c r="AY160" i="28"/>
  <c r="AZ159" i="28"/>
  <c r="AY159" i="28"/>
  <c r="AZ158" i="28"/>
  <c r="AY158" i="28"/>
  <c r="AZ157" i="28"/>
  <c r="AY157" i="28"/>
  <c r="AZ156" i="28"/>
  <c r="AY156" i="28"/>
  <c r="AZ155" i="28"/>
  <c r="AY155" i="28"/>
  <c r="AZ154" i="28"/>
  <c r="AY154" i="28"/>
  <c r="AZ153" i="28"/>
  <c r="AY153" i="28"/>
  <c r="AZ152" i="28"/>
  <c r="AY152" i="28"/>
  <c r="AZ151" i="28"/>
  <c r="AY151" i="28"/>
  <c r="AZ150" i="28"/>
  <c r="AY150" i="28"/>
  <c r="AZ149" i="28"/>
  <c r="AY149" i="28"/>
  <c r="AZ148" i="28"/>
  <c r="AY148" i="28"/>
  <c r="AZ147" i="28"/>
  <c r="AY147" i="28"/>
  <c r="AZ146" i="28"/>
  <c r="AY146" i="28"/>
  <c r="AZ145" i="28"/>
  <c r="AY145" i="28"/>
  <c r="AZ144" i="28"/>
  <c r="AY144" i="28"/>
  <c r="AZ143" i="28"/>
  <c r="AY143" i="28"/>
  <c r="AZ142" i="28"/>
  <c r="AY142" i="28"/>
  <c r="AZ141" i="28"/>
  <c r="AZ140" i="28"/>
  <c r="AY140" i="28"/>
  <c r="AZ139" i="28"/>
  <c r="AY139" i="28"/>
  <c r="AZ138" i="28"/>
  <c r="AY138" i="28"/>
  <c r="AZ137" i="28"/>
  <c r="AY137" i="28"/>
  <c r="AZ136" i="28"/>
  <c r="AY136" i="28"/>
  <c r="AZ135" i="28"/>
  <c r="AY135" i="28"/>
  <c r="AZ134" i="28"/>
  <c r="AY134" i="28"/>
  <c r="AZ133" i="28"/>
  <c r="AY133" i="28"/>
  <c r="AZ132" i="28"/>
  <c r="AY132" i="28"/>
  <c r="AZ131" i="28"/>
  <c r="AY131" i="28"/>
  <c r="AZ130" i="28"/>
  <c r="AY130" i="28"/>
  <c r="AZ129" i="28"/>
  <c r="AY129" i="28"/>
  <c r="AZ128" i="28"/>
  <c r="AY128" i="28"/>
  <c r="AZ127" i="28"/>
  <c r="AY127" i="28"/>
  <c r="AZ126" i="28"/>
  <c r="AY126" i="28"/>
  <c r="AZ125" i="28"/>
  <c r="AY125" i="28"/>
  <c r="AZ11" i="28" l="1"/>
  <c r="AY11" i="28"/>
  <c r="AZ16" i="28"/>
  <c r="AY16" i="28"/>
  <c r="AZ18" i="28"/>
  <c r="AY18" i="28"/>
  <c r="AZ17" i="28"/>
  <c r="AY17" i="28"/>
  <c r="AZ15" i="28"/>
  <c r="AY15" i="28"/>
  <c r="AZ14" i="28"/>
  <c r="AY14" i="28"/>
  <c r="AZ13" i="28"/>
  <c r="AY13" i="28"/>
  <c r="AZ12" i="28"/>
  <c r="AY12" i="28"/>
  <c r="AZ10" i="28"/>
  <c r="AY10" i="28"/>
  <c r="AZ9" i="28"/>
  <c r="AY9" i="28"/>
  <c r="AZ8" i="28"/>
  <c r="AY8" i="28"/>
  <c r="AZ7" i="28"/>
  <c r="AY7" i="28"/>
  <c r="AZ6" i="28"/>
  <c r="AY6" i="28"/>
  <c r="AZ5" i="28"/>
  <c r="AY5" i="28"/>
  <c r="AZ4" i="28"/>
  <c r="AY4" i="28"/>
  <c r="AZ120" i="28"/>
  <c r="AY120" i="28"/>
  <c r="AZ119" i="28"/>
  <c r="AY119" i="28"/>
  <c r="AZ118" i="28"/>
  <c r="AY118" i="28"/>
  <c r="AZ117" i="28"/>
  <c r="AY117" i="28"/>
  <c r="AZ116" i="28"/>
  <c r="AY116" i="28"/>
  <c r="AZ115" i="28"/>
  <c r="AY115" i="28"/>
  <c r="AZ114" i="28"/>
  <c r="AY114" i="28"/>
  <c r="AZ113" i="28"/>
  <c r="AY113" i="28"/>
  <c r="AZ112" i="28"/>
  <c r="AY112" i="28"/>
  <c r="AZ111" i="28"/>
  <c r="AY111" i="28"/>
  <c r="AZ110" i="28"/>
  <c r="AY110" i="28"/>
  <c r="AZ109" i="28"/>
  <c r="AY109" i="28"/>
  <c r="AZ108" i="28"/>
  <c r="AY108" i="28"/>
  <c r="AZ107" i="28"/>
  <c r="AY107" i="28"/>
  <c r="AZ106" i="28"/>
  <c r="AY106" i="28"/>
  <c r="AZ105" i="28"/>
  <c r="AY105" i="28"/>
  <c r="AZ104" i="28"/>
  <c r="AY104" i="28"/>
  <c r="AZ103" i="28"/>
  <c r="AY103" i="28"/>
  <c r="AZ102" i="28"/>
  <c r="AY102" i="28"/>
  <c r="AZ101" i="28"/>
  <c r="AY101" i="28"/>
  <c r="AZ100" i="28"/>
  <c r="AY100" i="28"/>
  <c r="AZ99" i="28"/>
  <c r="AY99" i="28"/>
  <c r="AZ98" i="28"/>
  <c r="AY98" i="28"/>
  <c r="AZ97" i="28"/>
  <c r="AY97" i="28"/>
  <c r="AZ96" i="28"/>
  <c r="AY96" i="28"/>
  <c r="AZ95" i="28"/>
  <c r="AY95" i="28"/>
  <c r="AZ94" i="28"/>
  <c r="AY94" i="28"/>
  <c r="AZ93" i="28"/>
  <c r="AY93" i="28"/>
  <c r="AZ92" i="28"/>
  <c r="AY92" i="28"/>
  <c r="AZ91" i="28"/>
  <c r="AY91" i="28"/>
  <c r="AZ90" i="28"/>
  <c r="AY90" i="28"/>
  <c r="AZ89" i="28"/>
  <c r="AY89" i="28"/>
  <c r="AZ88" i="28"/>
  <c r="AY88" i="28"/>
  <c r="AZ87" i="28"/>
  <c r="AY87" i="28"/>
  <c r="AZ86" i="28"/>
  <c r="AY86" i="28"/>
  <c r="AZ85" i="28"/>
  <c r="AY85" i="28"/>
  <c r="AZ84" i="28"/>
  <c r="AY84" i="28"/>
  <c r="AZ83" i="28"/>
  <c r="AY83" i="28"/>
  <c r="AZ82" i="28"/>
  <c r="AY82" i="28"/>
  <c r="AZ81" i="28"/>
  <c r="AY81" i="28"/>
  <c r="AZ80" i="28"/>
  <c r="AY80" i="28"/>
  <c r="AZ79" i="28"/>
  <c r="AY79" i="28"/>
  <c r="AZ78" i="28"/>
  <c r="AY78" i="28"/>
  <c r="AZ77" i="28"/>
  <c r="AY77" i="28"/>
  <c r="AZ76" i="28"/>
  <c r="AY76" i="28"/>
  <c r="AZ75" i="28"/>
  <c r="AY75" i="28"/>
  <c r="AZ74" i="28"/>
  <c r="AY74" i="28"/>
  <c r="AZ73" i="28"/>
  <c r="AY73" i="28"/>
  <c r="AZ72" i="28"/>
  <c r="AY72" i="28"/>
  <c r="AZ71" i="28"/>
  <c r="AY71" i="28"/>
  <c r="AZ70" i="28"/>
  <c r="AY70" i="28"/>
  <c r="AZ69" i="28"/>
  <c r="AY69" i="28"/>
  <c r="AZ68" i="28"/>
  <c r="AY68" i="28"/>
  <c r="AZ67" i="28"/>
  <c r="AY67" i="28"/>
  <c r="AZ66" i="28"/>
  <c r="AY66" i="28"/>
  <c r="AZ65" i="28"/>
  <c r="AY65" i="28"/>
  <c r="AZ64" i="28"/>
  <c r="AY64" i="28"/>
  <c r="AZ63" i="28"/>
  <c r="AY63" i="28"/>
  <c r="AZ62" i="28"/>
  <c r="AY62" i="28"/>
  <c r="AZ61" i="28"/>
  <c r="AY61" i="28"/>
  <c r="AZ60" i="28"/>
  <c r="AY60" i="28"/>
  <c r="AZ59" i="28"/>
  <c r="AY59" i="28"/>
  <c r="AZ58" i="28"/>
  <c r="AY58" i="28"/>
  <c r="AZ57" i="28"/>
  <c r="AY57" i="28"/>
  <c r="AZ56" i="28"/>
  <c r="AY56" i="28"/>
  <c r="AZ55" i="28"/>
  <c r="AY55" i="28"/>
  <c r="AZ54" i="28"/>
  <c r="AY54" i="28"/>
  <c r="AZ53" i="28"/>
  <c r="AY53" i="28"/>
  <c r="AZ52" i="28"/>
  <c r="AY52" i="28"/>
  <c r="AZ51" i="28"/>
  <c r="AY51" i="28"/>
  <c r="AZ50" i="28"/>
  <c r="AY50" i="28"/>
  <c r="AZ49" i="28"/>
  <c r="AY49" i="28"/>
  <c r="AZ48" i="28"/>
  <c r="AY48" i="28"/>
  <c r="AZ47" i="28"/>
  <c r="AY47" i="28"/>
  <c r="AZ46" i="28"/>
  <c r="AY46" i="28"/>
  <c r="AZ45" i="28"/>
  <c r="AY45" i="28"/>
  <c r="AZ44" i="28"/>
  <c r="AY44" i="28"/>
  <c r="AZ43" i="28"/>
  <c r="AY43" i="28"/>
  <c r="AZ42" i="28"/>
  <c r="AY42" i="28"/>
  <c r="AZ41" i="28"/>
  <c r="AY41" i="28"/>
  <c r="AZ40" i="28"/>
  <c r="AY40" i="28"/>
  <c r="AZ39" i="28"/>
  <c r="AY39" i="28"/>
  <c r="AZ38" i="28"/>
  <c r="AY38" i="28"/>
  <c r="AZ37" i="28"/>
  <c r="AY37" i="28"/>
  <c r="AZ36" i="28"/>
  <c r="AY36" i="28"/>
  <c r="AZ35" i="28"/>
  <c r="AY35" i="28"/>
  <c r="AZ34" i="28"/>
  <c r="AY34" i="28"/>
  <c r="AZ33" i="28"/>
  <c r="AY33" i="28"/>
  <c r="AZ32" i="28"/>
  <c r="AY32" i="28"/>
  <c r="AZ31" i="28"/>
  <c r="AY31" i="28"/>
  <c r="AZ30" i="28"/>
  <c r="AY30" i="28"/>
  <c r="AZ29" i="28"/>
  <c r="AY29" i="28"/>
  <c r="AZ28" i="28"/>
  <c r="AY28" i="28"/>
  <c r="AZ27" i="28"/>
  <c r="AY27" i="28"/>
  <c r="AZ26" i="28"/>
  <c r="AY26" i="28"/>
  <c r="AZ25" i="28"/>
  <c r="AY25" i="28"/>
  <c r="AZ24" i="28"/>
  <c r="AY24" i="28"/>
  <c r="AY23" i="28"/>
  <c r="AZ23" i="28"/>
  <c r="N228" i="1" l="1"/>
  <c r="N227" i="1"/>
  <c r="N226" i="1"/>
  <c r="N221" i="1"/>
  <c r="N193" i="1"/>
  <c r="N168" i="1"/>
  <c r="N166" i="1"/>
  <c r="N167" i="1"/>
  <c r="N147" i="1"/>
  <c r="N146" i="1"/>
  <c r="N142" i="1"/>
  <c r="N133" i="1"/>
  <c r="N132" i="1"/>
  <c r="N131" i="1"/>
  <c r="N129" i="1"/>
  <c r="N128" i="1"/>
  <c r="N109" i="1"/>
  <c r="N77" i="1"/>
  <c r="N73" i="1"/>
  <c r="N72" i="1"/>
  <c r="N70" i="1"/>
  <c r="N69" i="1"/>
  <c r="G119" i="25"/>
  <c r="H211" i="25"/>
  <c r="I194" i="25"/>
  <c r="L175" i="25"/>
  <c r="M156" i="25"/>
  <c r="F137" i="25"/>
  <c r="F138" i="25" s="1"/>
  <c r="F25" i="25" s="1"/>
  <c r="G136" i="25"/>
  <c r="G23" i="25" s="1"/>
  <c r="F136" i="25"/>
  <c r="F23" i="25" s="1"/>
  <c r="C118" i="25"/>
  <c r="C119" i="25" s="1"/>
  <c r="C25" i="25" s="1"/>
  <c r="G117" i="25"/>
  <c r="H23" i="25" s="1"/>
  <c r="D117" i="25"/>
  <c r="D23" i="25" s="1"/>
  <c r="C117" i="25"/>
  <c r="C23" i="25" s="1"/>
  <c r="O99" i="25"/>
  <c r="J98" i="25"/>
  <c r="L23" i="25" s="1"/>
  <c r="E83" i="25"/>
  <c r="N64" i="25"/>
  <c r="K45" i="25"/>
  <c r="K46" i="25" l="1"/>
  <c r="M25" i="25" s="1"/>
  <c r="M24" i="25"/>
  <c r="L176" i="25"/>
  <c r="P25" i="25" s="1"/>
  <c r="P24" i="25"/>
  <c r="E24" i="25"/>
  <c r="E84" i="25"/>
  <c r="E25" i="25" s="1"/>
  <c r="I195" i="25"/>
  <c r="K25" i="25" s="1"/>
  <c r="K24" i="25"/>
  <c r="H212" i="25"/>
  <c r="I25" i="25" s="1"/>
  <c r="I24" i="25"/>
  <c r="M157" i="25"/>
  <c r="N25" i="25" s="1"/>
  <c r="N24" i="25"/>
  <c r="N65" i="25"/>
  <c r="O25" i="25" s="1"/>
  <c r="O24" i="25"/>
  <c r="O100" i="25"/>
  <c r="J25" i="25" s="1"/>
  <c r="J24" i="25"/>
  <c r="E82" i="25"/>
  <c r="E23" i="25" s="1"/>
  <c r="O98" i="25"/>
  <c r="J23" i="25" s="1"/>
  <c r="F24" i="25"/>
  <c r="N63" i="25"/>
  <c r="O23" i="25" s="1"/>
  <c r="J99" i="25"/>
  <c r="D118" i="25"/>
  <c r="G137" i="25"/>
  <c r="M155" i="25"/>
  <c r="N23" i="25" s="1"/>
  <c r="L174" i="25"/>
  <c r="P23" i="25" s="1"/>
  <c r="I193" i="25"/>
  <c r="K23" i="25" s="1"/>
  <c r="H210" i="25"/>
  <c r="I23" i="25" s="1"/>
  <c r="C24" i="25"/>
  <c r="K44" i="25"/>
  <c r="M23" i="25" s="1"/>
  <c r="G118" i="25"/>
  <c r="G138" i="25" l="1"/>
  <c r="G25" i="25" s="1"/>
  <c r="G24" i="25"/>
  <c r="H24" i="25"/>
  <c r="H25" i="25"/>
  <c r="D24" i="25"/>
  <c r="D119" i="25"/>
  <c r="D25" i="25" s="1"/>
  <c r="J100" i="25"/>
  <c r="L25" i="25" s="1"/>
  <c r="L24" i="25"/>
  <c r="BP228" i="1" l="1"/>
  <c r="BO228" i="1"/>
  <c r="BP227" i="1"/>
  <c r="BO227" i="1"/>
  <c r="BP226" i="1"/>
  <c r="BO226" i="1"/>
  <c r="BP225" i="1"/>
  <c r="BO225" i="1"/>
  <c r="BP224" i="1"/>
  <c r="BO224" i="1"/>
  <c r="BP223" i="1"/>
  <c r="BO223" i="1"/>
  <c r="BP222" i="1"/>
  <c r="BO222" i="1"/>
  <c r="BP221" i="1"/>
  <c r="BO221" i="1"/>
  <c r="BP220" i="1"/>
  <c r="BO220" i="1"/>
  <c r="BP219" i="1"/>
  <c r="BO219" i="1"/>
  <c r="BP218" i="1"/>
  <c r="BO218" i="1"/>
  <c r="BP217" i="1"/>
  <c r="BO217" i="1"/>
  <c r="BP216" i="1"/>
  <c r="BO216" i="1"/>
  <c r="BP215" i="1"/>
  <c r="BO215" i="1"/>
  <c r="BP214" i="1"/>
  <c r="BO214" i="1"/>
  <c r="BP213" i="1"/>
  <c r="BO213" i="1"/>
  <c r="BP212" i="1"/>
  <c r="BO212" i="1"/>
  <c r="BP211" i="1"/>
  <c r="BO211" i="1"/>
  <c r="BP210" i="1"/>
  <c r="BO210" i="1"/>
  <c r="BP209" i="1"/>
  <c r="BO209" i="1"/>
  <c r="BP208" i="1"/>
  <c r="BO208" i="1"/>
  <c r="BP207" i="1"/>
  <c r="BO207" i="1"/>
  <c r="BP206" i="1"/>
  <c r="BO206" i="1"/>
  <c r="BP205" i="1"/>
  <c r="BO205" i="1"/>
  <c r="BP204" i="1"/>
  <c r="BO204" i="1"/>
  <c r="BP203" i="1"/>
  <c r="BO203" i="1"/>
  <c r="BP202" i="1"/>
  <c r="BO202" i="1"/>
  <c r="BP201" i="1"/>
  <c r="BO201" i="1"/>
  <c r="BP200" i="1"/>
  <c r="BO200" i="1"/>
  <c r="BP199" i="1"/>
  <c r="BO199" i="1"/>
  <c r="BP198" i="1"/>
  <c r="BO198" i="1"/>
  <c r="BP197" i="1"/>
  <c r="BO197" i="1"/>
  <c r="BP196" i="1"/>
  <c r="BO196" i="1"/>
  <c r="BP195" i="1"/>
  <c r="BO195" i="1"/>
  <c r="BP194" i="1"/>
  <c r="BO194" i="1"/>
  <c r="BP193" i="1"/>
  <c r="BO193" i="1"/>
  <c r="BP192" i="1"/>
  <c r="BO192" i="1"/>
  <c r="BP191" i="1"/>
  <c r="BO191" i="1"/>
  <c r="BP190" i="1"/>
  <c r="BO190" i="1"/>
  <c r="BP189" i="1"/>
  <c r="BO189" i="1"/>
  <c r="BP188" i="1"/>
  <c r="BO188" i="1"/>
  <c r="BP187" i="1"/>
  <c r="BO187" i="1"/>
  <c r="BP186" i="1"/>
  <c r="BO186" i="1"/>
  <c r="BP185" i="1"/>
  <c r="BO185" i="1"/>
  <c r="BP184" i="1"/>
  <c r="BO184" i="1"/>
  <c r="BP183" i="1"/>
  <c r="BO183" i="1"/>
  <c r="BP182" i="1"/>
  <c r="BO182" i="1"/>
  <c r="BP181" i="1"/>
  <c r="BO181" i="1"/>
  <c r="BP180" i="1"/>
  <c r="BO180" i="1"/>
  <c r="BP179" i="1"/>
  <c r="BO179" i="1"/>
  <c r="BP178" i="1"/>
  <c r="BO178" i="1"/>
  <c r="BP177" i="1"/>
  <c r="BO177" i="1"/>
  <c r="BP176" i="1"/>
  <c r="BO176" i="1"/>
  <c r="BP175" i="1"/>
  <c r="BO175" i="1"/>
  <c r="BP174" i="1"/>
  <c r="BO174" i="1"/>
  <c r="BP173" i="1"/>
  <c r="BO173" i="1"/>
  <c r="BP172" i="1"/>
  <c r="BO172" i="1"/>
  <c r="BP171" i="1"/>
  <c r="BO171" i="1"/>
  <c r="BP170" i="1"/>
  <c r="BO170" i="1"/>
  <c r="BP169" i="1"/>
  <c r="BO169" i="1"/>
  <c r="BP168" i="1"/>
  <c r="BO168" i="1"/>
  <c r="BP167" i="1"/>
  <c r="BO167" i="1"/>
  <c r="BP166" i="1"/>
  <c r="BO166" i="1"/>
  <c r="BP165" i="1"/>
  <c r="BO165" i="1"/>
  <c r="BP164" i="1"/>
  <c r="BO164" i="1"/>
  <c r="BP163" i="1"/>
  <c r="BO163" i="1"/>
  <c r="BP162" i="1"/>
  <c r="BO162" i="1"/>
  <c r="BP161" i="1"/>
  <c r="BO161" i="1"/>
  <c r="BP160" i="1"/>
  <c r="BO160" i="1"/>
  <c r="BP159" i="1"/>
  <c r="BO159" i="1"/>
  <c r="BP158" i="1"/>
  <c r="BO158" i="1"/>
  <c r="BP157" i="1"/>
  <c r="BO157" i="1"/>
  <c r="BP156" i="1"/>
  <c r="BO156" i="1"/>
  <c r="BP153" i="1"/>
  <c r="BO153" i="1"/>
  <c r="BP152" i="1"/>
  <c r="BO152" i="1"/>
  <c r="BP151" i="1"/>
  <c r="BO151" i="1"/>
  <c r="BP150" i="1"/>
  <c r="BO150" i="1"/>
  <c r="BP149" i="1"/>
  <c r="BO149" i="1"/>
  <c r="BP148" i="1"/>
  <c r="BO148" i="1"/>
  <c r="BP147" i="1"/>
  <c r="BO147" i="1"/>
  <c r="BP146" i="1"/>
  <c r="BO146" i="1"/>
  <c r="BP145" i="1"/>
  <c r="BO145" i="1"/>
  <c r="BP144" i="1"/>
  <c r="BO144" i="1"/>
  <c r="BP143" i="1"/>
  <c r="BO143" i="1"/>
  <c r="BP142" i="1"/>
  <c r="BO142" i="1"/>
  <c r="BP141" i="1"/>
  <c r="BO141" i="1"/>
  <c r="BP140" i="1"/>
  <c r="BO140" i="1"/>
  <c r="BP139" i="1"/>
  <c r="BO139" i="1"/>
  <c r="BP138" i="1"/>
  <c r="BO138" i="1"/>
  <c r="BP137" i="1"/>
  <c r="BO137" i="1"/>
  <c r="BP136" i="1"/>
  <c r="BO136" i="1"/>
  <c r="BP135" i="1"/>
  <c r="BO135" i="1"/>
  <c r="BP134" i="1"/>
  <c r="BO134" i="1"/>
  <c r="BP133" i="1"/>
  <c r="BO133" i="1"/>
  <c r="BP132" i="1"/>
  <c r="BO132" i="1"/>
  <c r="BP131" i="1"/>
  <c r="BO131" i="1"/>
  <c r="BP130" i="1"/>
  <c r="BO130" i="1"/>
  <c r="BP129" i="1"/>
  <c r="BO129" i="1"/>
  <c r="BP128" i="1"/>
  <c r="BO128" i="1"/>
  <c r="BP127" i="1"/>
  <c r="BO127" i="1"/>
  <c r="BP126" i="1"/>
  <c r="BO126" i="1"/>
  <c r="BP125" i="1"/>
  <c r="BO125" i="1"/>
  <c r="BP124" i="1"/>
  <c r="BO124" i="1"/>
  <c r="BP123" i="1"/>
  <c r="BO123" i="1"/>
  <c r="BP122" i="1"/>
  <c r="BO122" i="1"/>
  <c r="BP121" i="1"/>
  <c r="BO121" i="1"/>
  <c r="BP120" i="1"/>
  <c r="BO120" i="1"/>
  <c r="BP119" i="1"/>
  <c r="BO119" i="1"/>
  <c r="BP118" i="1"/>
  <c r="BO118" i="1"/>
  <c r="BP117" i="1"/>
  <c r="BO117" i="1"/>
  <c r="BP116" i="1"/>
  <c r="BO116" i="1"/>
  <c r="BP115" i="1"/>
  <c r="BO115" i="1"/>
  <c r="BP114" i="1"/>
  <c r="BO114" i="1"/>
  <c r="BP113" i="1"/>
  <c r="BO113" i="1"/>
  <c r="BP110" i="1"/>
  <c r="BO110" i="1"/>
  <c r="BP109" i="1"/>
  <c r="BO109" i="1"/>
  <c r="BP108" i="1"/>
  <c r="BO108" i="1"/>
  <c r="BP107" i="1"/>
  <c r="BO107" i="1"/>
  <c r="BP106" i="1"/>
  <c r="BO106" i="1"/>
  <c r="BP105" i="1"/>
  <c r="BO105" i="1"/>
  <c r="BP104" i="1"/>
  <c r="BO104" i="1"/>
  <c r="BP103" i="1"/>
  <c r="BO103" i="1"/>
  <c r="BP102" i="1"/>
  <c r="BO102" i="1"/>
  <c r="BP101" i="1"/>
  <c r="BO101" i="1"/>
  <c r="BP100" i="1"/>
  <c r="BO100" i="1"/>
  <c r="BP99" i="1"/>
  <c r="BO99" i="1"/>
  <c r="BP98" i="1"/>
  <c r="BO98" i="1"/>
  <c r="BP97" i="1"/>
  <c r="BO97" i="1"/>
  <c r="BP96" i="1"/>
  <c r="BO96" i="1"/>
  <c r="BP95" i="1"/>
  <c r="BO95" i="1"/>
  <c r="BP94" i="1"/>
  <c r="BO94" i="1"/>
  <c r="BP93" i="1"/>
  <c r="BO93" i="1"/>
  <c r="BP92" i="1"/>
  <c r="BO92" i="1"/>
  <c r="BP91" i="1"/>
  <c r="BO91" i="1"/>
  <c r="BP90" i="1"/>
  <c r="BO90" i="1"/>
  <c r="BP89" i="1"/>
  <c r="BO89" i="1"/>
  <c r="BP88" i="1"/>
  <c r="BO88" i="1"/>
  <c r="BP87" i="1"/>
  <c r="BO87" i="1"/>
  <c r="BP86" i="1"/>
  <c r="BO86" i="1"/>
  <c r="BP85" i="1"/>
  <c r="BO85" i="1"/>
  <c r="BP84" i="1"/>
  <c r="BO84" i="1"/>
  <c r="BP83" i="1"/>
  <c r="BO83" i="1"/>
  <c r="BP82" i="1"/>
  <c r="BO82" i="1"/>
  <c r="BP81" i="1"/>
  <c r="BO81" i="1"/>
  <c r="BP80" i="1"/>
  <c r="BO80" i="1"/>
  <c r="BP79" i="1"/>
  <c r="BO79" i="1"/>
  <c r="BP78" i="1"/>
  <c r="BO78" i="1"/>
  <c r="BP77" i="1"/>
  <c r="BO77" i="1"/>
  <c r="BP76" i="1"/>
  <c r="BO76" i="1"/>
  <c r="BP75" i="1"/>
  <c r="BO75" i="1"/>
  <c r="BP74" i="1"/>
  <c r="BO74" i="1"/>
  <c r="BP73" i="1"/>
  <c r="BO73" i="1"/>
  <c r="BP72" i="1"/>
  <c r="BO72" i="1"/>
  <c r="BP71" i="1"/>
  <c r="BO71" i="1"/>
  <c r="BP70" i="1"/>
  <c r="BO70" i="1"/>
  <c r="BP69" i="1"/>
  <c r="BO69" i="1"/>
  <c r="BP68" i="1"/>
  <c r="BO68" i="1"/>
  <c r="BP67" i="1"/>
  <c r="BO67" i="1"/>
  <c r="BP66" i="1"/>
  <c r="BO66" i="1"/>
  <c r="BP65" i="1"/>
  <c r="BO65" i="1"/>
  <c r="BP64" i="1"/>
  <c r="BO64" i="1"/>
  <c r="BP63" i="1"/>
  <c r="BO63" i="1"/>
  <c r="BP62" i="1"/>
  <c r="BO62" i="1"/>
  <c r="BP61" i="1"/>
  <c r="BO61" i="1"/>
  <c r="BP60" i="1"/>
  <c r="BO60" i="1"/>
  <c r="BP59" i="1"/>
  <c r="BO59" i="1"/>
  <c r="BP58" i="1"/>
  <c r="BO58" i="1"/>
  <c r="BP57" i="1"/>
  <c r="BO57" i="1"/>
  <c r="BP56" i="1"/>
  <c r="BO56" i="1"/>
  <c r="BP55" i="1"/>
  <c r="BO55" i="1"/>
  <c r="BP54" i="1"/>
  <c r="BO54" i="1"/>
  <c r="BP53" i="1"/>
  <c r="BO53" i="1"/>
  <c r="BP52" i="1"/>
  <c r="BO52" i="1"/>
  <c r="BP49" i="1"/>
  <c r="BO49" i="1"/>
  <c r="BP48" i="1"/>
  <c r="BO48" i="1"/>
  <c r="BP47" i="1"/>
  <c r="BO47" i="1"/>
  <c r="BP46" i="1"/>
  <c r="BO46" i="1"/>
  <c r="BP45" i="1"/>
  <c r="BO45" i="1"/>
  <c r="BP44" i="1"/>
  <c r="BO44" i="1"/>
  <c r="BP43" i="1"/>
  <c r="BO43" i="1"/>
  <c r="BP42" i="1"/>
  <c r="BO42" i="1"/>
  <c r="BP41" i="1"/>
  <c r="BO41" i="1"/>
  <c r="BP40" i="1"/>
  <c r="BO40" i="1"/>
  <c r="BP39" i="1"/>
  <c r="BO39" i="1"/>
  <c r="BP38" i="1"/>
  <c r="BO38" i="1"/>
  <c r="BP37" i="1"/>
  <c r="BO37" i="1"/>
  <c r="BP34" i="1"/>
  <c r="BO34" i="1"/>
  <c r="BP33" i="1"/>
  <c r="BO33" i="1"/>
  <c r="BP32" i="1"/>
  <c r="BO32" i="1"/>
  <c r="BP31" i="1"/>
  <c r="BO31" i="1"/>
  <c r="BP30" i="1"/>
  <c r="BO30" i="1"/>
  <c r="BP29" i="1"/>
  <c r="BO29" i="1"/>
  <c r="BP28" i="1"/>
  <c r="BO28" i="1"/>
  <c r="BP27" i="1"/>
  <c r="BO27" i="1"/>
  <c r="BP26" i="1"/>
  <c r="BO26" i="1"/>
  <c r="BP23" i="1"/>
  <c r="BO23" i="1"/>
  <c r="BP22" i="1"/>
  <c r="BO22" i="1"/>
  <c r="BP21" i="1"/>
  <c r="BO21" i="1"/>
  <c r="BP20" i="1"/>
  <c r="BO20" i="1"/>
  <c r="BP19" i="1"/>
  <c r="BO19" i="1"/>
  <c r="BP18" i="1"/>
  <c r="BO18" i="1"/>
  <c r="BP17" i="1"/>
  <c r="BO17" i="1"/>
  <c r="BP16" i="1"/>
  <c r="BO16" i="1"/>
  <c r="BP15" i="1"/>
  <c r="BO15" i="1"/>
  <c r="BP14" i="1"/>
  <c r="BO14" i="1"/>
  <c r="BP13" i="1"/>
  <c r="BO13" i="1"/>
  <c r="BP12" i="1"/>
  <c r="BO12" i="1"/>
  <c r="BP11" i="1"/>
  <c r="BO11" i="1"/>
  <c r="BP10" i="1"/>
  <c r="BO10" i="1"/>
  <c r="BP9" i="1"/>
  <c r="BO9" i="1"/>
  <c r="BP8" i="1"/>
  <c r="BO8" i="1"/>
  <c r="BP7" i="1"/>
  <c r="BO7" i="1"/>
  <c r="BP6" i="1"/>
  <c r="BO6" i="1"/>
  <c r="BP5" i="1"/>
  <c r="BO5" i="1"/>
  <c r="BO4" i="1"/>
  <c r="BP4" i="1"/>
  <c r="DE300" i="1"/>
  <c r="DE299" i="1"/>
  <c r="DE298" i="1"/>
  <c r="DE297" i="1"/>
  <c r="DE296" i="1"/>
  <c r="DE295" i="1"/>
  <c r="DE294" i="1"/>
  <c r="DE293" i="1"/>
  <c r="DE292" i="1"/>
  <c r="DE291" i="1"/>
  <c r="DE289" i="1"/>
  <c r="DE288" i="1"/>
  <c r="DE287" i="1"/>
  <c r="DE286" i="1"/>
  <c r="DE285" i="1"/>
  <c r="DE284" i="1"/>
  <c r="DE283" i="1"/>
  <c r="DE280" i="1"/>
  <c r="DE279" i="1"/>
  <c r="DE278" i="1"/>
  <c r="DE277" i="1"/>
  <c r="DE276" i="1"/>
  <c r="DE275" i="1"/>
  <c r="DE273" i="1"/>
  <c r="DE272" i="1"/>
  <c r="DE271" i="1"/>
  <c r="DE270" i="1"/>
  <c r="DE269" i="1"/>
  <c r="DE268" i="1"/>
  <c r="DE267" i="1"/>
  <c r="DE264" i="1"/>
  <c r="DE263" i="1"/>
  <c r="DE262" i="1"/>
  <c r="DE261" i="1"/>
  <c r="DE260" i="1"/>
  <c r="DE259" i="1"/>
  <c r="DE258" i="1"/>
  <c r="DE257" i="1"/>
  <c r="DE256" i="1"/>
  <c r="DE255" i="1"/>
  <c r="DE254" i="1"/>
  <c r="DE252" i="1"/>
  <c r="DE251" i="1"/>
  <c r="DE250" i="1"/>
  <c r="DE249" i="1"/>
  <c r="DE243" i="1"/>
  <c r="DE242" i="1"/>
  <c r="DE239" i="1"/>
  <c r="DE238" i="1"/>
  <c r="DE236" i="1"/>
  <c r="DE235" i="1"/>
  <c r="DE234" i="1"/>
  <c r="DA300" i="1"/>
  <c r="DA299" i="1"/>
  <c r="DA298" i="1"/>
  <c r="DA297" i="1"/>
  <c r="DA296" i="1"/>
  <c r="DA295" i="1"/>
  <c r="DA294" i="1"/>
  <c r="DA293" i="1"/>
  <c r="DA292" i="1"/>
  <c r="DA291" i="1"/>
  <c r="DA289" i="1"/>
  <c r="DA288" i="1"/>
  <c r="DA287" i="1"/>
  <c r="DA286" i="1"/>
  <c r="DA285" i="1"/>
  <c r="DA284" i="1"/>
  <c r="DA283" i="1"/>
  <c r="DA280" i="1"/>
  <c r="DA279" i="1"/>
  <c r="DA278" i="1"/>
  <c r="DA277" i="1"/>
  <c r="DA276" i="1"/>
  <c r="DA275" i="1"/>
  <c r="DA273" i="1"/>
  <c r="DA272" i="1"/>
  <c r="DA271" i="1"/>
  <c r="DA270" i="1"/>
  <c r="DA269" i="1"/>
  <c r="DA268" i="1"/>
  <c r="DA267" i="1"/>
  <c r="DA264" i="1"/>
  <c r="DA263" i="1"/>
  <c r="DA262" i="1"/>
  <c r="DA261" i="1"/>
  <c r="DA260" i="1"/>
  <c r="DA259" i="1"/>
  <c r="DA258" i="1"/>
  <c r="DA257" i="1"/>
  <c r="DA256" i="1"/>
  <c r="DA255" i="1"/>
  <c r="DA254" i="1"/>
  <c r="DA252" i="1"/>
  <c r="DA251" i="1"/>
  <c r="DA250" i="1"/>
  <c r="DA249" i="1"/>
  <c r="DA243" i="1"/>
  <c r="DA242" i="1"/>
  <c r="DA239" i="1"/>
  <c r="DA238" i="1"/>
  <c r="DA236" i="1"/>
  <c r="DA235" i="1"/>
  <c r="DA234" i="1"/>
  <c r="AH4" i="1"/>
  <c r="AC300" i="1"/>
  <c r="AC299" i="1"/>
  <c r="AC298" i="1"/>
  <c r="AC297" i="1"/>
  <c r="AC296" i="1"/>
  <c r="AC295" i="1"/>
  <c r="AC294" i="1"/>
  <c r="AC293" i="1"/>
  <c r="AC292" i="1"/>
  <c r="AC291" i="1"/>
  <c r="AC289" i="1"/>
  <c r="AC288" i="1"/>
  <c r="AC287" i="1"/>
  <c r="AC286" i="1"/>
  <c r="AC285" i="1"/>
  <c r="AC284" i="1"/>
  <c r="AC283" i="1"/>
  <c r="AC280" i="1"/>
  <c r="AC279" i="1"/>
  <c r="AC278" i="1"/>
  <c r="AC277" i="1"/>
  <c r="AC276" i="1"/>
  <c r="AC275" i="1"/>
  <c r="AC273" i="1"/>
  <c r="AC272" i="1"/>
  <c r="AC271" i="1"/>
  <c r="AC270" i="1"/>
  <c r="AC269" i="1"/>
  <c r="AC268" i="1"/>
  <c r="AC267" i="1"/>
  <c r="AC264" i="1"/>
  <c r="AC263" i="1"/>
  <c r="AC262" i="1"/>
  <c r="AC261" i="1"/>
  <c r="AC260" i="1"/>
  <c r="AC259" i="1"/>
  <c r="AC258" i="1"/>
  <c r="AC257" i="1"/>
  <c r="AC256" i="1"/>
  <c r="AC255" i="1"/>
  <c r="AC254" i="1"/>
  <c r="AC252" i="1"/>
  <c r="AC251" i="1"/>
  <c r="AC250" i="1"/>
  <c r="AC249" i="1"/>
  <c r="AC243" i="1"/>
  <c r="AC242" i="1"/>
  <c r="AC239" i="1"/>
  <c r="AC238" i="1"/>
  <c r="AC236" i="1"/>
  <c r="AC235" i="1"/>
  <c r="AC234" i="1"/>
  <c r="AC228" i="1"/>
  <c r="AC227" i="1"/>
  <c r="AC226" i="1"/>
  <c r="AC225" i="1"/>
  <c r="AC224" i="1"/>
  <c r="AC223" i="1"/>
  <c r="AC222" i="1"/>
  <c r="AC221" i="1"/>
  <c r="AC220" i="1"/>
  <c r="AC219" i="1"/>
  <c r="AC218" i="1"/>
  <c r="AC217" i="1"/>
  <c r="AC216" i="1"/>
  <c r="AC215" i="1"/>
  <c r="AC214" i="1"/>
  <c r="AC213" i="1"/>
  <c r="AC212" i="1"/>
  <c r="AC211" i="1"/>
  <c r="AC210" i="1"/>
  <c r="AC209" i="1"/>
  <c r="AC208" i="1"/>
  <c r="AC207" i="1"/>
  <c r="AC206" i="1"/>
  <c r="AC205" i="1"/>
  <c r="AC204" i="1"/>
  <c r="AC203" i="1"/>
  <c r="AC202" i="1"/>
  <c r="AC201" i="1"/>
  <c r="AC200" i="1"/>
  <c r="AC199" i="1"/>
  <c r="AC198" i="1"/>
  <c r="AC197" i="1"/>
  <c r="AC196" i="1"/>
  <c r="AC195" i="1"/>
  <c r="AC194" i="1"/>
  <c r="AC193" i="1"/>
  <c r="AC192" i="1"/>
  <c r="AC191" i="1"/>
  <c r="AC190" i="1"/>
  <c r="AC189" i="1"/>
  <c r="AC188" i="1"/>
  <c r="AC187" i="1"/>
  <c r="AC186" i="1"/>
  <c r="AC185" i="1"/>
  <c r="AC184" i="1"/>
  <c r="AC183" i="1"/>
  <c r="AC182" i="1"/>
  <c r="AC181" i="1"/>
  <c r="AC180" i="1"/>
  <c r="AC179" i="1"/>
  <c r="AC178" i="1"/>
  <c r="AC177" i="1"/>
  <c r="AC176" i="1"/>
  <c r="AC175" i="1"/>
  <c r="AC174" i="1"/>
  <c r="AC173" i="1"/>
  <c r="AC172" i="1"/>
  <c r="AC171" i="1"/>
  <c r="AC170" i="1"/>
  <c r="AC169" i="1"/>
  <c r="AC168" i="1"/>
  <c r="AC167" i="1"/>
  <c r="AC166" i="1"/>
  <c r="AC165" i="1"/>
  <c r="AC164" i="1"/>
  <c r="AC163" i="1"/>
  <c r="AC162" i="1"/>
  <c r="AC161" i="1"/>
  <c r="AC160" i="1"/>
  <c r="AC159" i="1"/>
  <c r="AC158" i="1"/>
  <c r="AC157" i="1"/>
  <c r="AC156" i="1"/>
  <c r="AC153" i="1"/>
  <c r="AC152" i="1"/>
  <c r="AC151" i="1"/>
  <c r="AC150" i="1"/>
  <c r="AC149" i="1"/>
  <c r="AC148" i="1"/>
  <c r="AC147" i="1"/>
  <c r="AC146" i="1"/>
  <c r="AC145" i="1"/>
  <c r="AC144" i="1"/>
  <c r="AC143" i="1"/>
  <c r="AC142" i="1"/>
  <c r="AC141" i="1"/>
  <c r="AC140" i="1"/>
  <c r="AC139" i="1"/>
  <c r="AC138" i="1"/>
  <c r="AC137" i="1"/>
  <c r="AC136" i="1"/>
  <c r="AC135" i="1"/>
  <c r="AC134" i="1"/>
  <c r="AC133" i="1"/>
  <c r="AC132" i="1"/>
  <c r="AC131" i="1"/>
  <c r="AC130" i="1"/>
  <c r="AC129" i="1"/>
  <c r="AC128" i="1"/>
  <c r="AC127" i="1"/>
  <c r="AC126" i="1"/>
  <c r="AC125" i="1"/>
  <c r="AC124" i="1"/>
  <c r="AC123" i="1"/>
  <c r="AC122" i="1"/>
  <c r="AC121" i="1"/>
  <c r="AC120" i="1"/>
  <c r="AC119" i="1"/>
  <c r="AC118" i="1"/>
  <c r="AC117" i="1"/>
  <c r="AC116" i="1"/>
  <c r="AC115" i="1"/>
  <c r="AC114" i="1"/>
  <c r="AC113" i="1"/>
  <c r="AC110" i="1"/>
  <c r="AC109" i="1"/>
  <c r="AC108" i="1"/>
  <c r="AC107" i="1"/>
  <c r="AC106" i="1"/>
  <c r="AC105" i="1"/>
  <c r="AC104" i="1"/>
  <c r="AC103" i="1"/>
  <c r="AC102" i="1"/>
  <c r="AC101" i="1"/>
  <c r="AC100" i="1"/>
  <c r="AC99" i="1"/>
  <c r="AC98" i="1"/>
  <c r="AC97" i="1"/>
  <c r="AC96" i="1"/>
  <c r="AC95" i="1"/>
  <c r="AC94" i="1"/>
  <c r="AC93" i="1"/>
  <c r="AC92" i="1"/>
  <c r="AC91" i="1"/>
  <c r="AC90" i="1"/>
  <c r="AC89" i="1"/>
  <c r="AC88" i="1"/>
  <c r="AC87" i="1"/>
  <c r="AC86" i="1"/>
  <c r="AC85" i="1"/>
  <c r="AC84" i="1"/>
  <c r="AC83" i="1"/>
  <c r="AC82" i="1"/>
  <c r="AC81" i="1"/>
  <c r="AC80" i="1"/>
  <c r="AC79" i="1"/>
  <c r="AC78" i="1"/>
  <c r="AC77" i="1"/>
  <c r="AC76" i="1"/>
  <c r="AC75" i="1"/>
  <c r="AC74" i="1"/>
  <c r="AC73" i="1"/>
  <c r="AC72" i="1"/>
  <c r="AC71" i="1"/>
  <c r="AC70" i="1"/>
  <c r="AC69" i="1"/>
  <c r="AC68" i="1"/>
  <c r="AC67" i="1"/>
  <c r="AC66" i="1"/>
  <c r="AC65" i="1"/>
  <c r="AC64" i="1"/>
  <c r="AC63" i="1"/>
  <c r="AC62" i="1"/>
  <c r="AC61" i="1"/>
  <c r="AC60" i="1"/>
  <c r="AC59" i="1"/>
  <c r="AC58" i="1"/>
  <c r="AC57" i="1"/>
  <c r="AC56" i="1"/>
  <c r="AC55" i="1"/>
  <c r="AC54" i="1"/>
  <c r="AC53" i="1"/>
  <c r="AC52" i="1"/>
  <c r="AC49" i="1"/>
  <c r="AC48" i="1"/>
  <c r="AC47" i="1"/>
  <c r="AC46" i="1"/>
  <c r="AC45" i="1"/>
  <c r="AC44" i="1"/>
  <c r="AC43" i="1"/>
  <c r="AC42" i="1"/>
  <c r="AC41" i="1"/>
  <c r="AC40" i="1"/>
  <c r="AC39" i="1"/>
  <c r="AC38" i="1"/>
  <c r="AC37" i="1"/>
  <c r="AC34" i="1"/>
  <c r="AC33" i="1"/>
  <c r="AC32" i="1"/>
  <c r="AC31" i="1"/>
  <c r="AC30" i="1"/>
  <c r="AC29" i="1"/>
  <c r="AC28" i="1"/>
  <c r="AC27" i="1"/>
  <c r="AC26" i="1"/>
  <c r="AC23" i="1"/>
  <c r="AC22" i="1"/>
  <c r="AC21" i="1"/>
  <c r="AC20" i="1"/>
  <c r="AC19" i="1"/>
  <c r="AC18" i="1"/>
  <c r="AC17" i="1"/>
  <c r="AC16" i="1"/>
  <c r="AC15" i="1"/>
  <c r="AC14" i="1"/>
  <c r="AC13" i="1"/>
  <c r="AC12" i="1"/>
  <c r="AC11" i="1"/>
  <c r="AC10" i="1"/>
  <c r="AC9" i="1"/>
  <c r="AC8" i="1"/>
  <c r="AC7" i="1"/>
  <c r="AC6" i="1"/>
  <c r="AC5" i="1"/>
  <c r="AC4" i="1"/>
  <c r="BJ300" i="1" l="1"/>
  <c r="BJ299" i="1"/>
  <c r="BJ297" i="1"/>
  <c r="BJ296" i="1"/>
  <c r="BJ295" i="1"/>
  <c r="BJ294" i="1"/>
  <c r="BJ293" i="1"/>
  <c r="BJ292" i="1"/>
  <c r="BJ291" i="1"/>
  <c r="BJ289" i="1"/>
  <c r="BJ288" i="1"/>
  <c r="BJ287" i="1"/>
  <c r="BJ286" i="1"/>
  <c r="BJ285" i="1"/>
  <c r="BJ284" i="1"/>
  <c r="BJ283" i="1"/>
  <c r="BJ280" i="1"/>
  <c r="BJ279" i="1"/>
  <c r="BJ278" i="1"/>
  <c r="BJ277" i="1"/>
  <c r="BJ276" i="1"/>
  <c r="BJ275" i="1"/>
  <c r="BJ273" i="1"/>
  <c r="BJ272" i="1"/>
  <c r="BJ271" i="1"/>
  <c r="BJ270" i="1"/>
  <c r="BJ269" i="1"/>
  <c r="BJ268" i="1"/>
  <c r="BJ267" i="1"/>
  <c r="BJ264" i="1"/>
  <c r="BJ263" i="1"/>
  <c r="BJ262" i="1"/>
  <c r="BJ261" i="1"/>
  <c r="BJ260" i="1"/>
  <c r="BJ259" i="1"/>
  <c r="BJ258" i="1"/>
  <c r="BJ256" i="1"/>
  <c r="BJ255" i="1"/>
  <c r="BJ254" i="1"/>
  <c r="BJ252" i="1"/>
  <c r="BJ251" i="1"/>
  <c r="BJ250" i="1"/>
  <c r="BJ249" i="1"/>
  <c r="BJ243" i="1"/>
  <c r="BJ242" i="1"/>
  <c r="BJ239" i="1"/>
  <c r="BJ238" i="1"/>
  <c r="BJ236" i="1"/>
  <c r="BJ235" i="1"/>
  <c r="BJ234" i="1"/>
  <c r="CT300" i="1"/>
  <c r="AE300" i="1"/>
  <c r="CT299" i="1"/>
  <c r="AE299" i="1"/>
  <c r="CT298" i="1"/>
  <c r="AE298" i="1"/>
  <c r="CT297" i="1"/>
  <c r="AE297" i="1"/>
  <c r="CT296" i="1"/>
  <c r="BI296" i="1"/>
  <c r="AE296" i="1"/>
  <c r="CT295" i="1"/>
  <c r="BI295" i="1"/>
  <c r="AE295" i="1"/>
  <c r="CT294" i="1"/>
  <c r="BI294" i="1"/>
  <c r="AE294" i="1"/>
  <c r="CT293" i="1"/>
  <c r="BI293" i="1"/>
  <c r="AE293" i="1"/>
  <c r="CT292" i="1"/>
  <c r="AE292" i="1"/>
  <c r="CT291" i="1"/>
  <c r="BI291" i="1"/>
  <c r="AE291" i="1"/>
  <c r="CT289" i="1"/>
  <c r="AE289" i="1"/>
  <c r="CT288" i="1"/>
  <c r="AE288" i="1"/>
  <c r="CT287" i="1"/>
  <c r="BI287" i="1"/>
  <c r="AE287" i="1"/>
  <c r="CT286" i="1"/>
  <c r="AE286" i="1"/>
  <c r="CT285" i="1"/>
  <c r="AE285" i="1"/>
  <c r="CT284" i="1"/>
  <c r="AE284" i="1"/>
  <c r="CT283" i="1"/>
  <c r="AE283" i="1"/>
  <c r="CT280" i="1"/>
  <c r="AE280" i="1"/>
  <c r="CT279" i="1"/>
  <c r="BI279" i="1"/>
  <c r="AE279" i="1"/>
  <c r="CT278" i="1"/>
  <c r="AE278" i="1"/>
  <c r="CT277" i="1"/>
  <c r="AE277" i="1"/>
  <c r="CT276" i="1"/>
  <c r="AE276" i="1"/>
  <c r="CT275" i="1"/>
  <c r="AE275" i="1"/>
  <c r="CT273" i="1"/>
  <c r="BI273" i="1"/>
  <c r="AE273" i="1"/>
  <c r="CT272" i="1"/>
  <c r="AE272" i="1"/>
  <c r="CT271" i="1"/>
  <c r="AE271" i="1"/>
  <c r="CT270" i="1"/>
  <c r="BI270" i="1"/>
  <c r="AE270" i="1"/>
  <c r="CT269" i="1"/>
  <c r="BI269" i="1"/>
  <c r="AE269" i="1"/>
  <c r="CT268" i="1"/>
  <c r="AE268" i="1"/>
  <c r="CT267" i="1"/>
  <c r="BI267" i="1"/>
  <c r="AE267" i="1"/>
  <c r="CT264" i="1"/>
  <c r="AE264" i="1"/>
  <c r="CT263" i="1"/>
  <c r="AE263" i="1"/>
  <c r="CT262" i="1"/>
  <c r="AE262" i="1"/>
  <c r="CT261" i="1"/>
  <c r="AE261" i="1"/>
  <c r="CT260" i="1"/>
  <c r="AE260" i="1"/>
  <c r="CT259" i="1"/>
  <c r="AE259" i="1"/>
  <c r="CT258" i="1"/>
  <c r="AE258" i="1"/>
  <c r="CT257" i="1"/>
  <c r="AE257" i="1"/>
  <c r="CT256" i="1"/>
  <c r="AE256" i="1"/>
  <c r="CT255" i="1"/>
  <c r="AE255" i="1"/>
  <c r="CT254" i="1"/>
  <c r="AE254" i="1"/>
  <c r="CT252" i="1"/>
  <c r="AE252" i="1"/>
  <c r="CT251" i="1"/>
  <c r="AE251" i="1"/>
  <c r="CT250" i="1"/>
  <c r="AE250" i="1"/>
  <c r="CT249" i="1"/>
  <c r="BI249" i="1"/>
  <c r="AE249" i="1"/>
  <c r="CT243" i="1"/>
  <c r="BI243" i="1"/>
  <c r="AE243" i="1"/>
  <c r="CT242" i="1"/>
  <c r="BI242" i="1"/>
  <c r="AE242" i="1"/>
  <c r="CT239" i="1"/>
  <c r="BI239" i="1"/>
  <c r="AE239" i="1"/>
  <c r="CT238" i="1"/>
  <c r="BI238" i="1"/>
  <c r="AE238" i="1"/>
  <c r="CT236" i="1"/>
  <c r="BI236" i="1"/>
  <c r="AE236" i="1"/>
  <c r="CT235" i="1"/>
  <c r="BI235" i="1"/>
  <c r="AE235" i="1"/>
  <c r="CT234" i="1"/>
  <c r="BI234" i="1"/>
  <c r="AE234" i="1"/>
  <c r="AF18" i="28"/>
  <c r="AE18" i="28"/>
  <c r="AF17" i="28"/>
  <c r="AE17" i="28"/>
  <c r="AF16" i="28"/>
  <c r="AE16" i="28"/>
  <c r="AF15" i="28"/>
  <c r="AE15" i="28"/>
  <c r="AF14" i="28"/>
  <c r="AE14" i="28"/>
  <c r="AF13" i="28"/>
  <c r="AE13" i="28"/>
  <c r="AF12" i="28"/>
  <c r="AE12" i="28"/>
  <c r="AF11" i="28"/>
  <c r="AE11" i="28"/>
  <c r="AF10" i="28"/>
  <c r="AE10" i="28"/>
  <c r="AF9" i="28"/>
  <c r="AE9" i="28"/>
  <c r="AF8" i="28"/>
  <c r="AE8" i="28"/>
  <c r="AF7" i="28"/>
  <c r="AE7" i="28"/>
  <c r="AF6" i="28"/>
  <c r="AE6" i="28"/>
  <c r="AF5" i="28"/>
  <c r="AE5" i="28"/>
  <c r="AF4" i="28"/>
  <c r="AE4" i="28"/>
  <c r="AC39" i="29"/>
  <c r="AB39" i="29"/>
  <c r="AC38" i="29"/>
  <c r="AB38" i="29"/>
  <c r="AC37" i="29"/>
  <c r="AB37" i="29"/>
  <c r="AC36" i="29"/>
  <c r="AB36" i="29"/>
  <c r="AC35" i="29"/>
  <c r="AB35" i="29"/>
  <c r="AC34" i="29"/>
  <c r="AB34" i="29"/>
  <c r="AC33" i="29"/>
  <c r="AB33" i="29"/>
  <c r="AC32" i="29"/>
  <c r="AB32" i="29"/>
  <c r="AC31" i="29"/>
  <c r="AB31" i="29"/>
  <c r="AC30" i="29"/>
  <c r="AB30" i="29"/>
  <c r="AC29" i="29"/>
  <c r="AB29" i="29"/>
  <c r="AC28" i="29"/>
  <c r="AB28" i="29"/>
  <c r="AC27" i="29"/>
  <c r="AB27" i="29"/>
  <c r="AC26" i="29"/>
  <c r="AB26" i="29"/>
  <c r="AC25" i="29"/>
  <c r="AB25" i="29"/>
  <c r="AC24" i="29"/>
  <c r="AB24" i="29"/>
  <c r="AC23" i="29"/>
  <c r="AB23" i="29"/>
  <c r="AC22" i="29"/>
  <c r="AB22" i="29"/>
  <c r="AC21" i="29"/>
  <c r="AB21" i="29"/>
  <c r="AC18" i="29"/>
  <c r="AB18" i="29"/>
  <c r="AC17" i="29"/>
  <c r="AB17" i="29"/>
  <c r="AC16" i="29"/>
  <c r="AB16" i="29"/>
  <c r="AC15" i="29"/>
  <c r="AB15" i="29"/>
  <c r="AC14" i="29"/>
  <c r="AB14" i="29"/>
  <c r="AC13" i="29"/>
  <c r="AB13" i="29"/>
  <c r="AC12" i="29"/>
  <c r="AB12" i="29"/>
  <c r="AC11" i="29"/>
  <c r="AB11" i="29"/>
  <c r="AC10" i="29"/>
  <c r="AB10" i="29"/>
  <c r="AC8" i="29"/>
  <c r="AB8" i="29"/>
  <c r="BN183" i="1"/>
  <c r="BN180" i="1"/>
  <c r="BN174" i="1"/>
  <c r="BN173" i="1"/>
  <c r="BN171" i="1"/>
  <c r="BN168" i="1"/>
  <c r="BN165" i="1"/>
  <c r="BN164" i="1"/>
  <c r="BN163" i="1"/>
  <c r="BN162" i="1"/>
  <c r="BN161" i="1"/>
  <c r="BN160" i="1"/>
  <c r="BN159" i="1"/>
  <c r="BN158" i="1"/>
  <c r="BN157" i="1"/>
  <c r="BN156" i="1"/>
  <c r="BN127" i="1"/>
  <c r="BN126" i="1"/>
  <c r="BN125" i="1"/>
  <c r="BN124" i="1"/>
  <c r="BN123" i="1"/>
  <c r="BN122" i="1"/>
  <c r="BN121" i="1"/>
  <c r="BN120" i="1"/>
  <c r="BN119" i="1"/>
  <c r="BN118" i="1"/>
  <c r="BN117" i="1"/>
  <c r="BN116" i="1"/>
  <c r="BN115" i="1"/>
  <c r="BN114" i="1"/>
  <c r="BN113" i="1"/>
  <c r="BN63" i="1"/>
  <c r="BN62" i="1"/>
  <c r="BN61" i="1"/>
  <c r="BN60" i="1"/>
  <c r="BN59" i="1"/>
  <c r="BN58" i="1"/>
  <c r="BN57" i="1"/>
  <c r="BN56" i="1"/>
  <c r="BN55" i="1"/>
  <c r="BN54" i="1"/>
  <c r="BN53" i="1"/>
  <c r="BN52" i="1"/>
  <c r="BN49" i="1"/>
  <c r="BN48" i="1"/>
  <c r="BN47" i="1"/>
  <c r="BN46" i="1"/>
  <c r="BN45" i="1"/>
  <c r="BN44" i="1"/>
  <c r="BN43" i="1"/>
  <c r="BN42" i="1"/>
  <c r="BN41" i="1"/>
  <c r="BN40" i="1"/>
  <c r="BN39" i="1"/>
  <c r="BN38" i="1"/>
  <c r="BN37" i="1"/>
  <c r="BN34" i="1"/>
  <c r="BN33" i="1"/>
  <c r="BN32" i="1"/>
  <c r="BN31" i="1"/>
  <c r="BN30" i="1"/>
  <c r="BN29" i="1"/>
  <c r="BN28" i="1"/>
  <c r="BN27" i="1"/>
  <c r="BN26" i="1"/>
  <c r="BN23" i="1"/>
  <c r="BN22" i="1"/>
  <c r="BN21" i="1"/>
  <c r="BN20" i="1"/>
  <c r="BN19" i="1"/>
  <c r="BN18" i="1"/>
  <c r="BN17" i="1"/>
  <c r="BN16" i="1"/>
  <c r="BN15" i="1"/>
  <c r="BN14" i="1"/>
  <c r="BN13" i="1"/>
  <c r="BN12" i="1"/>
  <c r="BN11" i="1"/>
  <c r="BN10" i="1"/>
  <c r="BN9" i="1"/>
  <c r="BN8" i="1"/>
  <c r="BN7" i="1"/>
  <c r="BN6" i="1"/>
  <c r="BN5" i="1"/>
  <c r="BN4" i="1"/>
  <c r="BI298" i="1" l="1"/>
  <c r="BI252" i="1"/>
  <c r="BI278" i="1"/>
  <c r="BI297" i="1"/>
  <c r="BI255" i="1"/>
  <c r="BI257" i="1"/>
  <c r="BI284" i="1"/>
  <c r="BI268" i="1"/>
  <c r="BI276" i="1"/>
  <c r="BI288" i="1"/>
  <c r="BI258" i="1"/>
  <c r="BI260" i="1"/>
  <c r="BI285" i="1"/>
  <c r="BI272" i="1"/>
  <c r="BI277" i="1"/>
  <c r="BI283" i="1"/>
  <c r="BI299" i="1"/>
  <c r="BI280" i="1"/>
  <c r="BI262" i="1"/>
  <c r="BI254" i="1"/>
  <c r="BI259" i="1"/>
  <c r="BI263" i="1"/>
  <c r="BI250" i="1"/>
  <c r="BI251" i="1"/>
  <c r="BI256" i="1"/>
  <c r="BI261" i="1"/>
  <c r="BI275" i="1"/>
  <c r="BI264" i="1"/>
  <c r="BI271" i="1"/>
  <c r="BI286" i="1"/>
  <c r="BI292" i="1"/>
  <c r="BI289" i="1"/>
  <c r="BI300" i="1"/>
  <c r="BJ257" i="1" l="1"/>
  <c r="BJ298" i="1"/>
  <c r="AV243" i="1"/>
  <c r="AV236" i="1" l="1"/>
  <c r="AW243" i="1"/>
  <c r="AW236" i="1"/>
  <c r="AH242" i="1"/>
  <c r="AH257" i="1"/>
  <c r="AW254" i="1"/>
  <c r="AV254" i="1"/>
  <c r="AH255" i="1"/>
  <c r="AV277" i="1"/>
  <c r="AW277" i="1"/>
  <c r="AH271" i="1"/>
  <c r="AH279" i="1"/>
  <c r="AH291" i="1"/>
  <c r="AH261" i="1"/>
  <c r="AH270" i="1"/>
  <c r="AW269" i="1"/>
  <c r="AV269" i="1"/>
  <c r="AW278" i="1"/>
  <c r="AV278" i="1"/>
  <c r="AW279" i="1"/>
  <c r="AV279" i="1"/>
  <c r="AV280" i="1"/>
  <c r="AW280" i="1"/>
  <c r="AH283" i="1"/>
  <c r="AH263" i="1"/>
  <c r="AW267" i="1"/>
  <c r="AV267" i="1"/>
  <c r="AH278" i="1"/>
  <c r="AH273" i="1"/>
  <c r="AW288" i="1"/>
  <c r="AV288" i="1"/>
  <c r="AH298" i="1"/>
  <c r="AH260" i="1"/>
  <c r="AW283" i="1"/>
  <c r="AV283" i="1"/>
  <c r="AH280" i="1"/>
  <c r="AW294" i="1"/>
  <c r="AV294" i="1"/>
  <c r="AH287" i="1"/>
  <c r="AW295" i="1"/>
  <c r="AV295" i="1"/>
  <c r="AW234" i="1"/>
  <c r="AV234" i="1"/>
  <c r="AW263" i="1"/>
  <c r="AV263" i="1"/>
  <c r="AV258" i="1"/>
  <c r="AW258" i="1"/>
  <c r="AW275" i="1"/>
  <c r="AV275" i="1"/>
  <c r="AW271" i="1"/>
  <c r="AV271" i="1"/>
  <c r="AW298" i="1"/>
  <c r="AV298" i="1"/>
  <c r="AV287" i="1"/>
  <c r="AW287" i="1"/>
  <c r="AW289" i="1"/>
  <c r="AV289" i="1"/>
  <c r="AH238" i="1"/>
  <c r="AH249" i="1"/>
  <c r="AW259" i="1"/>
  <c r="AV259" i="1"/>
  <c r="AH292" i="1"/>
  <c r="AW293" i="1"/>
  <c r="AV293" i="1"/>
  <c r="AH293" i="1"/>
  <c r="AH277" i="1"/>
  <c r="AW276" i="1"/>
  <c r="AV276" i="1"/>
  <c r="AH286" i="1"/>
  <c r="AW292" i="1"/>
  <c r="AV292" i="1"/>
  <c r="AV285" i="1"/>
  <c r="AW285" i="1"/>
  <c r="AH285" i="1"/>
  <c r="AH250" i="1"/>
  <c r="AW242" i="1"/>
  <c r="AV242" i="1"/>
  <c r="AH264" i="1"/>
  <c r="AH295" i="1"/>
  <c r="AH254" i="1"/>
  <c r="AH259" i="1"/>
  <c r="AW238" i="1"/>
  <c r="AV238" i="1"/>
  <c r="AV249" i="1"/>
  <c r="AW249" i="1"/>
  <c r="AW286" i="1"/>
  <c r="AV286" i="1"/>
  <c r="AH288" i="1"/>
  <c r="AV297" i="1"/>
  <c r="AW297" i="1"/>
  <c r="AH236" i="1"/>
  <c r="AW235" i="1"/>
  <c r="AV235" i="1"/>
  <c r="AH239" i="1"/>
  <c r="AW239" i="1"/>
  <c r="AV239" i="1"/>
  <c r="AH243" i="1"/>
  <c r="AH251" i="1"/>
  <c r="AH289" i="1"/>
  <c r="AH256" i="1"/>
  <c r="AH284" i="1"/>
  <c r="AH294" i="1"/>
  <c r="AH297" i="1"/>
  <c r="AW299" i="1"/>
  <c r="AV299" i="1"/>
  <c r="AW250" i="1"/>
  <c r="AV250" i="1"/>
  <c r="AW262" i="1"/>
  <c r="AV262" i="1"/>
  <c r="AW255" i="1"/>
  <c r="AV255" i="1"/>
  <c r="AH268" i="1"/>
  <c r="AV296" i="1"/>
  <c r="AW296" i="1"/>
  <c r="AH299" i="1"/>
  <c r="AH269" i="1"/>
  <c r="AW270" i="1"/>
  <c r="AV270" i="1"/>
  <c r="AW272" i="1"/>
  <c r="AV272" i="1"/>
  <c r="AW252" i="1"/>
  <c r="AV252" i="1"/>
  <c r="AW260" i="1"/>
  <c r="AV260" i="1"/>
  <c r="AW268" i="1"/>
  <c r="AV268" i="1"/>
  <c r="AH267" i="1"/>
  <c r="AV251" i="1"/>
  <c r="AW251" i="1"/>
  <c r="AH252" i="1"/>
  <c r="AW264" i="1"/>
  <c r="AV264" i="1"/>
  <c r="AH272" i="1"/>
  <c r="AW284" i="1"/>
  <c r="AV284" i="1"/>
  <c r="AV291" i="1"/>
  <c r="AW291" i="1"/>
  <c r="AH235" i="1"/>
  <c r="AH234" i="1"/>
  <c r="AH258" i="1"/>
  <c r="AH275" i="1"/>
  <c r="AH300" i="1"/>
  <c r="AW300" i="1"/>
  <c r="AV300" i="1"/>
  <c r="AH296" i="1"/>
  <c r="AW256" i="1"/>
  <c r="AV256" i="1"/>
  <c r="AV257" i="1"/>
  <c r="AW257" i="1"/>
  <c r="AW261" i="1"/>
  <c r="AV261" i="1"/>
  <c r="AV273" i="1"/>
  <c r="AW273" i="1"/>
  <c r="AH262" i="1"/>
  <c r="AH276" i="1"/>
  <c r="CT187" i="1" l="1"/>
  <c r="CT186" i="1"/>
  <c r="CT185" i="1"/>
  <c r="CT184" i="1"/>
  <c r="CT183" i="1"/>
  <c r="CT182" i="1"/>
  <c r="CT181" i="1"/>
  <c r="CT180" i="1"/>
  <c r="CT179" i="1"/>
  <c r="CT178" i="1"/>
  <c r="CT177" i="1"/>
  <c r="CT176" i="1"/>
  <c r="CT175" i="1"/>
  <c r="CT174" i="1"/>
  <c r="CT173" i="1"/>
  <c r="CT172" i="1"/>
  <c r="CT171" i="1"/>
  <c r="CT170" i="1"/>
  <c r="CT169" i="1"/>
  <c r="CT168" i="1"/>
  <c r="CT167" i="1"/>
  <c r="CT166" i="1"/>
  <c r="CT165" i="1"/>
  <c r="CT159" i="1"/>
  <c r="CT158" i="1"/>
  <c r="CT157" i="1"/>
  <c r="CT156" i="1"/>
  <c r="CT141" i="1"/>
  <c r="CT140" i="1"/>
  <c r="CT139" i="1"/>
  <c r="CT138" i="1"/>
  <c r="CT137" i="1"/>
  <c r="CT136" i="1"/>
  <c r="CT135" i="1"/>
  <c r="CT134" i="1"/>
  <c r="CT133" i="1"/>
  <c r="CT132" i="1"/>
  <c r="CT131" i="1"/>
  <c r="CT130" i="1"/>
  <c r="CT129" i="1"/>
  <c r="CT128" i="1"/>
  <c r="CT127" i="1"/>
  <c r="CT126" i="1"/>
  <c r="CT125" i="1"/>
  <c r="CT124" i="1"/>
  <c r="CT123" i="1"/>
  <c r="CT122" i="1"/>
  <c r="CT121" i="1"/>
  <c r="CT120" i="1"/>
  <c r="CT119" i="1"/>
  <c r="CT118" i="1"/>
  <c r="CT117" i="1"/>
  <c r="CT116" i="1"/>
  <c r="CT115" i="1"/>
  <c r="CT114" i="1"/>
  <c r="CT113" i="1"/>
  <c r="CT80" i="1"/>
  <c r="CT79" i="1"/>
  <c r="CT78" i="1"/>
  <c r="CT77" i="1"/>
  <c r="CT76" i="1"/>
  <c r="CT75" i="1"/>
  <c r="CT74" i="1"/>
  <c r="CT73" i="1"/>
  <c r="CT72" i="1"/>
  <c r="CT71" i="1"/>
  <c r="CT70" i="1"/>
  <c r="CT69" i="1"/>
  <c r="CT68" i="1"/>
  <c r="CT67" i="1"/>
  <c r="CT66" i="1"/>
  <c r="CT65" i="1"/>
  <c r="CT64" i="1"/>
  <c r="BN228" i="1"/>
  <c r="BN226" i="1"/>
  <c r="BN225" i="1"/>
  <c r="BN224" i="1"/>
  <c r="BN221" i="1"/>
  <c r="BN220" i="1"/>
  <c r="BN216" i="1"/>
  <c r="BN215" i="1"/>
  <c r="BN212" i="1"/>
  <c r="BN210" i="1"/>
  <c r="BN209" i="1"/>
  <c r="BN208" i="1"/>
  <c r="BN206" i="1"/>
  <c r="BN205" i="1"/>
  <c r="BN203" i="1"/>
  <c r="BN193" i="1"/>
  <c r="BN192" i="1"/>
  <c r="BN190" i="1"/>
  <c r="BN186" i="1"/>
  <c r="BN184" i="1"/>
  <c r="BN182" i="1"/>
  <c r="BN179" i="1"/>
  <c r="BN178" i="1"/>
  <c r="BN177" i="1"/>
  <c r="BN175" i="1"/>
  <c r="BN172" i="1"/>
  <c r="BN169" i="1"/>
  <c r="BN167" i="1"/>
  <c r="BN166" i="1"/>
  <c r="BN147" i="1"/>
  <c r="BN146" i="1"/>
  <c r="BN143" i="1"/>
  <c r="BN142" i="1"/>
  <c r="BN140" i="1"/>
  <c r="BN139" i="1"/>
  <c r="BN138" i="1"/>
  <c r="BN137" i="1"/>
  <c r="BN136" i="1"/>
  <c r="BN135" i="1"/>
  <c r="BN134" i="1"/>
  <c r="BN132" i="1"/>
  <c r="BN131" i="1"/>
  <c r="BN130" i="1"/>
  <c r="BN128" i="1"/>
  <c r="BN110" i="1"/>
  <c r="BN108" i="1"/>
  <c r="BN99" i="1"/>
  <c r="BN84" i="1"/>
  <c r="BN81" i="1"/>
  <c r="BN80" i="1"/>
  <c r="BN78" i="1"/>
  <c r="BN76" i="1"/>
  <c r="BN74" i="1"/>
  <c r="BN72" i="1"/>
  <c r="BN70" i="1"/>
  <c r="BN68" i="1"/>
  <c r="BN66" i="1"/>
  <c r="BN64" i="1"/>
  <c r="BN83" i="1" l="1"/>
  <c r="BN189" i="1"/>
  <c r="BN207" i="1"/>
  <c r="BN67" i="1"/>
  <c r="BN71" i="1"/>
  <c r="BN75" i="1"/>
  <c r="BN79" i="1"/>
  <c r="BN107" i="1"/>
  <c r="BN145" i="1"/>
  <c r="BN185" i="1"/>
  <c r="BN213" i="1"/>
  <c r="BN219" i="1"/>
  <c r="BN103" i="1"/>
  <c r="BN195" i="1"/>
  <c r="BN85" i="1"/>
  <c r="BN129" i="1"/>
  <c r="BN133" i="1"/>
  <c r="BN176" i="1"/>
  <c r="BN181" i="1"/>
  <c r="BN217" i="1"/>
  <c r="BN141" i="1"/>
  <c r="BN65" i="1"/>
  <c r="BN69" i="1"/>
  <c r="BN73" i="1"/>
  <c r="BN77" i="1"/>
  <c r="BN109" i="1"/>
  <c r="BN170" i="1"/>
  <c r="BN187" i="1"/>
  <c r="BN227" i="1"/>
  <c r="R141" i="1"/>
  <c r="AB228" i="1" l="1"/>
  <c r="AB227" i="1"/>
  <c r="AB226" i="1"/>
  <c r="AB225" i="1"/>
  <c r="AB224" i="1"/>
  <c r="AB223" i="1"/>
  <c r="AB222" i="1"/>
  <c r="AB221" i="1"/>
  <c r="AB220" i="1"/>
  <c r="AB219" i="1"/>
  <c r="AB218" i="1"/>
  <c r="AB217" i="1"/>
  <c r="AB216" i="1"/>
  <c r="AB215" i="1"/>
  <c r="AB214" i="1"/>
  <c r="AB213" i="1"/>
  <c r="AB212" i="1"/>
  <c r="AB211" i="1"/>
  <c r="AB210" i="1"/>
  <c r="AB209" i="1"/>
  <c r="AB208" i="1"/>
  <c r="AB207" i="1"/>
  <c r="AB206" i="1"/>
  <c r="AB205" i="1"/>
  <c r="AB204" i="1"/>
  <c r="AB203" i="1"/>
  <c r="AB202" i="1"/>
  <c r="AB201" i="1"/>
  <c r="AB200" i="1"/>
  <c r="AB199" i="1"/>
  <c r="AB198" i="1"/>
  <c r="AB197" i="1"/>
  <c r="AB196" i="1"/>
  <c r="AB195" i="1"/>
  <c r="AB194" i="1"/>
  <c r="AB193" i="1"/>
  <c r="AB192" i="1"/>
  <c r="AB191" i="1"/>
  <c r="AB190" i="1"/>
  <c r="AB189" i="1"/>
  <c r="AB188" i="1"/>
  <c r="AB164" i="1"/>
  <c r="AB163" i="1"/>
  <c r="AB162" i="1"/>
  <c r="AB161" i="1"/>
  <c r="AB160" i="1"/>
  <c r="AB153" i="1"/>
  <c r="AB152" i="1"/>
  <c r="AB151" i="1"/>
  <c r="AB150" i="1"/>
  <c r="AB149" i="1"/>
  <c r="AB148" i="1"/>
  <c r="AB147" i="1"/>
  <c r="AB146" i="1"/>
  <c r="AB145" i="1"/>
  <c r="AB144" i="1"/>
  <c r="AB143" i="1"/>
  <c r="AB142" i="1"/>
  <c r="AB110" i="1"/>
  <c r="AB109" i="1"/>
  <c r="AB108" i="1"/>
  <c r="AB107" i="1"/>
  <c r="AB106" i="1"/>
  <c r="AB105" i="1"/>
  <c r="AB104" i="1"/>
  <c r="AB103" i="1"/>
  <c r="AB102" i="1"/>
  <c r="AB101" i="1"/>
  <c r="AB100" i="1"/>
  <c r="AB99" i="1"/>
  <c r="AB98" i="1"/>
  <c r="AB97" i="1"/>
  <c r="AB96" i="1"/>
  <c r="AB95" i="1"/>
  <c r="AB94" i="1"/>
  <c r="AB93" i="1"/>
  <c r="AB92" i="1"/>
  <c r="AB91" i="1"/>
  <c r="AB90" i="1"/>
  <c r="AB89" i="1"/>
  <c r="AB88" i="1"/>
  <c r="AB87" i="1"/>
  <c r="AB86" i="1"/>
  <c r="AB85" i="1"/>
  <c r="AB84" i="1"/>
  <c r="AB83" i="1"/>
  <c r="AB82" i="1"/>
  <c r="AB81" i="1"/>
  <c r="AB44" i="1"/>
  <c r="AB42" i="1"/>
  <c r="AB37" i="1"/>
  <c r="AB34" i="1"/>
  <c r="AB33" i="1"/>
  <c r="AB32" i="1"/>
  <c r="AB16" i="1"/>
  <c r="AB8" i="1"/>
  <c r="R180" i="1"/>
  <c r="N180" i="1"/>
  <c r="R174" i="1"/>
  <c r="N174" i="1"/>
  <c r="N173" i="1"/>
  <c r="R171" i="1"/>
  <c r="N171" i="1"/>
  <c r="R173" i="1" l="1"/>
  <c r="R168" i="1"/>
  <c r="AW228" i="1" l="1"/>
  <c r="AV228" i="1"/>
  <c r="AW227" i="1"/>
  <c r="AV227" i="1"/>
  <c r="AW226" i="1"/>
  <c r="AV226" i="1"/>
  <c r="AW225" i="1"/>
  <c r="AV225" i="1"/>
  <c r="AW224" i="1"/>
  <c r="AV224" i="1"/>
  <c r="AW223" i="1"/>
  <c r="AV223" i="1"/>
  <c r="AW222" i="1"/>
  <c r="AV222" i="1"/>
  <c r="AW221" i="1"/>
  <c r="AV221" i="1"/>
  <c r="AW220" i="1"/>
  <c r="AV220" i="1"/>
  <c r="AW219" i="1"/>
  <c r="AV219" i="1"/>
  <c r="AW218" i="1"/>
  <c r="AV218" i="1"/>
  <c r="AW217" i="1"/>
  <c r="AV217" i="1"/>
  <c r="AW216" i="1"/>
  <c r="AV216" i="1"/>
  <c r="AW215" i="1"/>
  <c r="AV215" i="1"/>
  <c r="AW214" i="1"/>
  <c r="AV214" i="1"/>
  <c r="AW213" i="1"/>
  <c r="AV213" i="1"/>
  <c r="AW212" i="1"/>
  <c r="AV212" i="1"/>
  <c r="AW211" i="1"/>
  <c r="AV211" i="1"/>
  <c r="AW210" i="1"/>
  <c r="AV210" i="1"/>
  <c r="AW209" i="1"/>
  <c r="AV209" i="1"/>
  <c r="AW208" i="1"/>
  <c r="AV208" i="1"/>
  <c r="AW207" i="1"/>
  <c r="AV207" i="1"/>
  <c r="AW206" i="1"/>
  <c r="AV206" i="1"/>
  <c r="AW205" i="1"/>
  <c r="AV205" i="1"/>
  <c r="AW204" i="1"/>
  <c r="AV204" i="1"/>
  <c r="AW203" i="1"/>
  <c r="AV203" i="1"/>
  <c r="AW202" i="1"/>
  <c r="AV202" i="1"/>
  <c r="AW201" i="1"/>
  <c r="AV201" i="1"/>
  <c r="AW200" i="1"/>
  <c r="AV200" i="1"/>
  <c r="AW199" i="1"/>
  <c r="AV199" i="1"/>
  <c r="AW198" i="1"/>
  <c r="AV198" i="1"/>
  <c r="AW197" i="1"/>
  <c r="AV197" i="1"/>
  <c r="AW196" i="1"/>
  <c r="AV196" i="1"/>
  <c r="AW195" i="1"/>
  <c r="AV195" i="1"/>
  <c r="AW194" i="1"/>
  <c r="AV194" i="1"/>
  <c r="AW193" i="1"/>
  <c r="AV193" i="1"/>
  <c r="AW192" i="1"/>
  <c r="AV192" i="1"/>
  <c r="AW191" i="1"/>
  <c r="AV191" i="1"/>
  <c r="AW190" i="1"/>
  <c r="AV190" i="1"/>
  <c r="AW189" i="1"/>
  <c r="AV189" i="1"/>
  <c r="AW188" i="1"/>
  <c r="AV188" i="1"/>
  <c r="AW164" i="1"/>
  <c r="AV164" i="1"/>
  <c r="AW163" i="1"/>
  <c r="AV163" i="1"/>
  <c r="AW162" i="1"/>
  <c r="AV162" i="1"/>
  <c r="AW161" i="1"/>
  <c r="AV161" i="1"/>
  <c r="AW160" i="1"/>
  <c r="AV160" i="1"/>
  <c r="AW153" i="1"/>
  <c r="AV153" i="1"/>
  <c r="AW152" i="1"/>
  <c r="AV152" i="1"/>
  <c r="AW151" i="1"/>
  <c r="AV151" i="1"/>
  <c r="AW150" i="1"/>
  <c r="AV150" i="1"/>
  <c r="AW149" i="1"/>
  <c r="AV149" i="1"/>
  <c r="AW148" i="1"/>
  <c r="AV148" i="1"/>
  <c r="AW147" i="1"/>
  <c r="AV147" i="1"/>
  <c r="AW146" i="1"/>
  <c r="AV146" i="1"/>
  <c r="AW145" i="1"/>
  <c r="AV145" i="1"/>
  <c r="AW144" i="1"/>
  <c r="AV144" i="1"/>
  <c r="AW143" i="1"/>
  <c r="AV143" i="1"/>
  <c r="AW142" i="1"/>
  <c r="AV142" i="1"/>
  <c r="AW110" i="1"/>
  <c r="AV110" i="1"/>
  <c r="AW109" i="1"/>
  <c r="AV109" i="1"/>
  <c r="AW108" i="1"/>
  <c r="AV108" i="1"/>
  <c r="AW107" i="1"/>
  <c r="AV107" i="1"/>
  <c r="AW106" i="1"/>
  <c r="AV106" i="1"/>
  <c r="AW105" i="1"/>
  <c r="AV105" i="1"/>
  <c r="AW104" i="1"/>
  <c r="AV104" i="1"/>
  <c r="AW103" i="1"/>
  <c r="AV103" i="1"/>
  <c r="AW102" i="1"/>
  <c r="AV102" i="1"/>
  <c r="AW101" i="1"/>
  <c r="AV101" i="1"/>
  <c r="AW100" i="1"/>
  <c r="AV100" i="1"/>
  <c r="AW99" i="1"/>
  <c r="AV99" i="1"/>
  <c r="AW98" i="1"/>
  <c r="AV98" i="1"/>
  <c r="AW97" i="1"/>
  <c r="AV97" i="1"/>
  <c r="AW96" i="1"/>
  <c r="AV96" i="1"/>
  <c r="AW95" i="1"/>
  <c r="AV95" i="1"/>
  <c r="AW94" i="1"/>
  <c r="AV94" i="1"/>
  <c r="AW93" i="1"/>
  <c r="AV93" i="1"/>
  <c r="AW92" i="1"/>
  <c r="AV92" i="1"/>
  <c r="AW91" i="1"/>
  <c r="AV91" i="1"/>
  <c r="AW90" i="1"/>
  <c r="AV90" i="1"/>
  <c r="AW89" i="1"/>
  <c r="AV89" i="1"/>
  <c r="AW88" i="1"/>
  <c r="AV88" i="1"/>
  <c r="AW87" i="1"/>
  <c r="AV87" i="1"/>
  <c r="AW86" i="1"/>
  <c r="AV86" i="1"/>
  <c r="AW85" i="1"/>
  <c r="AV85" i="1"/>
  <c r="AW84" i="1"/>
  <c r="AV84" i="1"/>
  <c r="AW83" i="1"/>
  <c r="AV83" i="1"/>
  <c r="AW82" i="1"/>
  <c r="AV82" i="1"/>
  <c r="AW81" i="1"/>
  <c r="AV81" i="1"/>
  <c r="AW44" i="1"/>
  <c r="AV44" i="1"/>
  <c r="AW42" i="1"/>
  <c r="AV42" i="1"/>
  <c r="AW37" i="1"/>
  <c r="AV37" i="1"/>
  <c r="AW34" i="1"/>
  <c r="AV34" i="1"/>
  <c r="AW33" i="1"/>
  <c r="AV33" i="1"/>
  <c r="AW32" i="1"/>
  <c r="AV32" i="1"/>
  <c r="AW16" i="1"/>
  <c r="AW8" i="1"/>
  <c r="AV16" i="1"/>
  <c r="AV8" i="1"/>
  <c r="AE228" i="1"/>
  <c r="AE227" i="1"/>
  <c r="AE226" i="1"/>
  <c r="AE225" i="1"/>
  <c r="AE224" i="1"/>
  <c r="AE223" i="1"/>
  <c r="AE222" i="1"/>
  <c r="AE221" i="1"/>
  <c r="AE220" i="1"/>
  <c r="AE219" i="1"/>
  <c r="AE218" i="1"/>
  <c r="AE217" i="1"/>
  <c r="AE216" i="1"/>
  <c r="AE215" i="1"/>
  <c r="AE214" i="1"/>
  <c r="AE213" i="1"/>
  <c r="AE212" i="1"/>
  <c r="AE211" i="1"/>
  <c r="AE210" i="1"/>
  <c r="AE209" i="1"/>
  <c r="AE208" i="1"/>
  <c r="AE207" i="1"/>
  <c r="AE206" i="1"/>
  <c r="AE205" i="1"/>
  <c r="AE204" i="1"/>
  <c r="AE203" i="1"/>
  <c r="AE202" i="1"/>
  <c r="AE201" i="1"/>
  <c r="AE200" i="1"/>
  <c r="AE199" i="1"/>
  <c r="AE198" i="1"/>
  <c r="AE197" i="1"/>
  <c r="AE196" i="1"/>
  <c r="AE195" i="1"/>
  <c r="AE194" i="1"/>
  <c r="AE193" i="1"/>
  <c r="AE192" i="1"/>
  <c r="AE191" i="1"/>
  <c r="AE190" i="1"/>
  <c r="AE189" i="1"/>
  <c r="AE188" i="1"/>
  <c r="AE187" i="1"/>
  <c r="AE186" i="1"/>
  <c r="AE185" i="1"/>
  <c r="AE184" i="1"/>
  <c r="AE183" i="1"/>
  <c r="AE182" i="1"/>
  <c r="AE181" i="1"/>
  <c r="AE180" i="1"/>
  <c r="AE179" i="1"/>
  <c r="AE178" i="1"/>
  <c r="AE177" i="1"/>
  <c r="AE176" i="1"/>
  <c r="AE175" i="1"/>
  <c r="AE174" i="1"/>
  <c r="AE173" i="1"/>
  <c r="AE172" i="1"/>
  <c r="AE171" i="1"/>
  <c r="AE170" i="1"/>
  <c r="AE169" i="1"/>
  <c r="AE168" i="1"/>
  <c r="AE167" i="1"/>
  <c r="AE166" i="1"/>
  <c r="AE165" i="1"/>
  <c r="AE164" i="1"/>
  <c r="AE163" i="1"/>
  <c r="AE162" i="1"/>
  <c r="AE161" i="1"/>
  <c r="AE160" i="1"/>
  <c r="AE159" i="1"/>
  <c r="AE158" i="1"/>
  <c r="AE157" i="1"/>
  <c r="AE156" i="1"/>
  <c r="AE153" i="1"/>
  <c r="AE152" i="1"/>
  <c r="AE151" i="1"/>
  <c r="AE150" i="1"/>
  <c r="AE149" i="1"/>
  <c r="AE148" i="1"/>
  <c r="AE147" i="1"/>
  <c r="AE146" i="1"/>
  <c r="AE145" i="1"/>
  <c r="AE144" i="1"/>
  <c r="AE143" i="1"/>
  <c r="AE142" i="1"/>
  <c r="AE141" i="1"/>
  <c r="AE140" i="1"/>
  <c r="AE139" i="1"/>
  <c r="AE138" i="1"/>
  <c r="AE137" i="1"/>
  <c r="AE136" i="1"/>
  <c r="AE135" i="1"/>
  <c r="AE134" i="1"/>
  <c r="AE133" i="1"/>
  <c r="AE132" i="1"/>
  <c r="AE131" i="1"/>
  <c r="AE130" i="1"/>
  <c r="AE129" i="1"/>
  <c r="AE128" i="1"/>
  <c r="AE127" i="1"/>
  <c r="AE126" i="1"/>
  <c r="AE125" i="1"/>
  <c r="AE124" i="1"/>
  <c r="AE123" i="1"/>
  <c r="AE122" i="1"/>
  <c r="AE121" i="1"/>
  <c r="AE120" i="1"/>
  <c r="AE119" i="1"/>
  <c r="AE118" i="1"/>
  <c r="AE117" i="1"/>
  <c r="AE116" i="1"/>
  <c r="AE115" i="1"/>
  <c r="AE114" i="1"/>
  <c r="AE113" i="1"/>
  <c r="AE110" i="1"/>
  <c r="AE109" i="1"/>
  <c r="AE108" i="1"/>
  <c r="AE107" i="1"/>
  <c r="AE106" i="1"/>
  <c r="AE105" i="1"/>
  <c r="AE104" i="1"/>
  <c r="AE103" i="1"/>
  <c r="AE102" i="1"/>
  <c r="AE101" i="1"/>
  <c r="AE100" i="1"/>
  <c r="AE99" i="1"/>
  <c r="AE98" i="1"/>
  <c r="AE97" i="1"/>
  <c r="AE96" i="1"/>
  <c r="AE95" i="1"/>
  <c r="AE94" i="1"/>
  <c r="AE93" i="1"/>
  <c r="AE92" i="1"/>
  <c r="AE91" i="1"/>
  <c r="AE90" i="1"/>
  <c r="AE89" i="1"/>
  <c r="AE88" i="1"/>
  <c r="AE87" i="1"/>
  <c r="AE86" i="1"/>
  <c r="AE85" i="1"/>
  <c r="AE84" i="1"/>
  <c r="AE83" i="1"/>
  <c r="AE82" i="1"/>
  <c r="AE81" i="1"/>
  <c r="AE80" i="1"/>
  <c r="AE79" i="1"/>
  <c r="AE78" i="1"/>
  <c r="AE77" i="1"/>
  <c r="AE76" i="1"/>
  <c r="AE75" i="1"/>
  <c r="AE74" i="1"/>
  <c r="AE73" i="1"/>
  <c r="AE72" i="1"/>
  <c r="AE71" i="1"/>
  <c r="AE70" i="1"/>
  <c r="AE69" i="1"/>
  <c r="AE68" i="1"/>
  <c r="AE67" i="1"/>
  <c r="AE66" i="1"/>
  <c r="AE65" i="1"/>
  <c r="AE64" i="1"/>
  <c r="AE63" i="1"/>
  <c r="AE62" i="1"/>
  <c r="AE61" i="1"/>
  <c r="AE60" i="1"/>
  <c r="AE59" i="1"/>
  <c r="AE58" i="1"/>
  <c r="AE57" i="1"/>
  <c r="AE56" i="1"/>
  <c r="AE55" i="1"/>
  <c r="AE54" i="1"/>
  <c r="AE53" i="1"/>
  <c r="AE52" i="1"/>
  <c r="AE49" i="1"/>
  <c r="AE48" i="1"/>
  <c r="AE47" i="1"/>
  <c r="AE46" i="1"/>
  <c r="AE45" i="1"/>
  <c r="AE44" i="1"/>
  <c r="AE43" i="1"/>
  <c r="AE42" i="1"/>
  <c r="AE41" i="1"/>
  <c r="AE40" i="1"/>
  <c r="AE39" i="1"/>
  <c r="AE38" i="1"/>
  <c r="AE37" i="1"/>
  <c r="AE34" i="1"/>
  <c r="AE33" i="1"/>
  <c r="AE32" i="1"/>
  <c r="AE31" i="1"/>
  <c r="AE30" i="1"/>
  <c r="AE29" i="1"/>
  <c r="AE28" i="1"/>
  <c r="AE27" i="1"/>
  <c r="AE26" i="1"/>
  <c r="AE23" i="1"/>
  <c r="AE22" i="1"/>
  <c r="AE21" i="1"/>
  <c r="AE20" i="1"/>
  <c r="AE19" i="1"/>
  <c r="AE18" i="1"/>
  <c r="AE17" i="1"/>
  <c r="AE16" i="1"/>
  <c r="AE15" i="1"/>
  <c r="AE14" i="1"/>
  <c r="AE13" i="1"/>
  <c r="AE12" i="1"/>
  <c r="AE11" i="1"/>
  <c r="AE10" i="1"/>
  <c r="AE9" i="1"/>
  <c r="AE8" i="1"/>
  <c r="AE7" i="1"/>
  <c r="AE6" i="1"/>
  <c r="AE5" i="1"/>
  <c r="AE4" i="1"/>
  <c r="CT4" i="1" l="1"/>
  <c r="AG4" i="1" l="1"/>
  <c r="BI216" i="1" l="1"/>
  <c r="BJ216" i="1"/>
  <c r="BI206" i="1"/>
  <c r="BJ206" i="1"/>
  <c r="BI213" i="1"/>
  <c r="BJ213" i="1"/>
  <c r="BI173" i="1"/>
  <c r="BJ173" i="1"/>
  <c r="BI217" i="1"/>
  <c r="BJ217" i="1"/>
  <c r="BI208" i="1"/>
  <c r="BJ208" i="1"/>
  <c r="BI212" i="1"/>
  <c r="BJ212" i="1"/>
  <c r="BI167" i="1"/>
  <c r="BJ167" i="1"/>
  <c r="BI168" i="1"/>
  <c r="BJ168" i="1"/>
  <c r="BI215" i="1"/>
  <c r="BJ215" i="1"/>
  <c r="BI205" i="1"/>
  <c r="BJ205" i="1"/>
  <c r="BI172" i="1"/>
  <c r="BJ172" i="1"/>
  <c r="BI221" i="1"/>
  <c r="BJ221" i="1"/>
  <c r="BI210" i="1"/>
  <c r="BJ210" i="1"/>
  <c r="BI193" i="1"/>
  <c r="BJ193" i="1"/>
  <c r="BI219" i="1"/>
  <c r="BJ219" i="1"/>
  <c r="BI203" i="1"/>
  <c r="BJ203" i="1"/>
  <c r="BI177" i="1"/>
  <c r="BJ177" i="1"/>
  <c r="BI224" i="1"/>
  <c r="BJ224" i="1"/>
  <c r="BI166" i="1"/>
  <c r="BJ166" i="1"/>
  <c r="BI225" i="1"/>
  <c r="BJ225" i="1"/>
  <c r="BI228" i="1"/>
  <c r="BJ228" i="1"/>
  <c r="BI195" i="1"/>
  <c r="BJ195" i="1"/>
  <c r="BI176" i="1"/>
  <c r="BJ176" i="1"/>
  <c r="BI220" i="1"/>
  <c r="BJ220" i="1"/>
  <c r="BI209" i="1"/>
  <c r="BJ209" i="1"/>
  <c r="BI192" i="1"/>
  <c r="BJ192" i="1"/>
  <c r="BJ64" i="1"/>
  <c r="BI64" i="1"/>
  <c r="BJ143" i="1"/>
  <c r="BI143" i="1"/>
  <c r="BJ137" i="1"/>
  <c r="BI137" i="1"/>
  <c r="BI99" i="1"/>
  <c r="BJ99" i="1"/>
  <c r="BI71" i="1"/>
  <c r="BJ71" i="1"/>
  <c r="BJ81" i="1"/>
  <c r="BI81" i="1"/>
  <c r="BI65" i="1"/>
  <c r="BJ65" i="1"/>
  <c r="BI43" i="1"/>
  <c r="BJ43" i="1"/>
  <c r="BJ147" i="1"/>
  <c r="BI147" i="1"/>
  <c r="BJ146" i="1"/>
  <c r="BI146" i="1"/>
  <c r="R187" i="1"/>
  <c r="R186" i="1"/>
  <c r="R185" i="1"/>
  <c r="R184" i="1"/>
  <c r="R169" i="1"/>
  <c r="R164" i="1"/>
  <c r="R162" i="1"/>
  <c r="R161" i="1"/>
  <c r="R159" i="1"/>
  <c r="R158" i="1"/>
  <c r="R157" i="1"/>
  <c r="R156" i="1"/>
  <c r="R145" i="1"/>
  <c r="R127" i="1"/>
  <c r="R125" i="1"/>
  <c r="R123" i="1"/>
  <c r="R119" i="1"/>
  <c r="R118" i="1"/>
  <c r="R116" i="1"/>
  <c r="R115" i="1"/>
  <c r="R62" i="1"/>
  <c r="R57" i="1"/>
  <c r="R55" i="1"/>
  <c r="R53" i="1"/>
  <c r="R52" i="1"/>
  <c r="R42" i="1"/>
  <c r="R41" i="1"/>
  <c r="R38" i="1"/>
  <c r="R37" i="1"/>
  <c r="R32" i="1"/>
  <c r="R28" i="1"/>
  <c r="R27" i="1"/>
  <c r="R26" i="1"/>
  <c r="R20" i="1"/>
  <c r="R19" i="1"/>
  <c r="R18" i="1"/>
  <c r="R17" i="1"/>
  <c r="R7" i="1"/>
  <c r="R6" i="1"/>
  <c r="R5" i="1"/>
  <c r="N4" i="1" l="1"/>
  <c r="N52" i="1"/>
  <c r="R4" i="1" l="1"/>
  <c r="J5" i="30" l="1"/>
  <c r="I5" i="30"/>
  <c r="V5" i="30"/>
  <c r="U5" i="30"/>
  <c r="J123" i="30"/>
  <c r="I123" i="30"/>
  <c r="AL123" i="30"/>
  <c r="AK123" i="30"/>
  <c r="AD123" i="30"/>
  <c r="AC123" i="30"/>
  <c r="V123" i="30"/>
  <c r="U123" i="30"/>
  <c r="J122" i="30"/>
  <c r="I122" i="30"/>
  <c r="AL122" i="30"/>
  <c r="AK122" i="30"/>
  <c r="AD122" i="30"/>
  <c r="AC122" i="30"/>
  <c r="V122" i="30"/>
  <c r="U122" i="30"/>
  <c r="J121" i="30"/>
  <c r="I121" i="30"/>
  <c r="AL121" i="30"/>
  <c r="AK121" i="30"/>
  <c r="AD121" i="30"/>
  <c r="AC121" i="30"/>
  <c r="V121" i="30"/>
  <c r="U121" i="30"/>
  <c r="J119" i="30"/>
  <c r="I119" i="30"/>
  <c r="AL119" i="30"/>
  <c r="AK119" i="30"/>
  <c r="AD119" i="30"/>
  <c r="AC119" i="30"/>
  <c r="V119" i="30"/>
  <c r="U119" i="30"/>
  <c r="J118" i="30"/>
  <c r="I118" i="30"/>
  <c r="AL118" i="30"/>
  <c r="AK118" i="30"/>
  <c r="AD118" i="30"/>
  <c r="AC118" i="30"/>
  <c r="V118" i="30"/>
  <c r="U118" i="30"/>
  <c r="J116" i="30"/>
  <c r="I116" i="30"/>
  <c r="AL116" i="30"/>
  <c r="AK116" i="30"/>
  <c r="AD116" i="30"/>
  <c r="AC116" i="30"/>
  <c r="V116" i="30"/>
  <c r="U116" i="30"/>
  <c r="J115" i="30"/>
  <c r="I115" i="30"/>
  <c r="AL115" i="30"/>
  <c r="AK115" i="30"/>
  <c r="AD115" i="30"/>
  <c r="AC115" i="30"/>
  <c r="V115" i="30"/>
  <c r="U115" i="30"/>
  <c r="J114" i="30"/>
  <c r="I114" i="30"/>
  <c r="AL114" i="30"/>
  <c r="AK114" i="30"/>
  <c r="AD114" i="30"/>
  <c r="AC114" i="30"/>
  <c r="V114" i="30"/>
  <c r="U114" i="30"/>
  <c r="J111" i="30"/>
  <c r="I111" i="30"/>
  <c r="AL111" i="30"/>
  <c r="AK111" i="30"/>
  <c r="AD111" i="30"/>
  <c r="AC111" i="30"/>
  <c r="V111" i="30"/>
  <c r="U111" i="30"/>
  <c r="J110" i="30"/>
  <c r="I110" i="30"/>
  <c r="AL110" i="30"/>
  <c r="AK110" i="30"/>
  <c r="AD110" i="30"/>
  <c r="AC110" i="30"/>
  <c r="V110" i="30"/>
  <c r="U110" i="30"/>
  <c r="J109" i="30"/>
  <c r="I109" i="30"/>
  <c r="AL109" i="30"/>
  <c r="AK109" i="30"/>
  <c r="AD109" i="30"/>
  <c r="AC109" i="30"/>
  <c r="V109" i="30"/>
  <c r="U109" i="30"/>
  <c r="J108" i="30"/>
  <c r="I108" i="30"/>
  <c r="AL108" i="30"/>
  <c r="AK108" i="30"/>
  <c r="AD108" i="30"/>
  <c r="AC108" i="30"/>
  <c r="V108" i="30"/>
  <c r="U108" i="30"/>
  <c r="J107" i="30"/>
  <c r="I107" i="30"/>
  <c r="AL107" i="30"/>
  <c r="AK107" i="30"/>
  <c r="AD107" i="30"/>
  <c r="AC107" i="30"/>
  <c r="V107" i="30"/>
  <c r="U107" i="30"/>
  <c r="J104" i="30"/>
  <c r="I104" i="30"/>
  <c r="AL104" i="30"/>
  <c r="AK104" i="30"/>
  <c r="AD104" i="30"/>
  <c r="AC104" i="30"/>
  <c r="V104" i="30"/>
  <c r="U104" i="30"/>
  <c r="J103" i="30"/>
  <c r="I103" i="30"/>
  <c r="AL103" i="30"/>
  <c r="AK103" i="30"/>
  <c r="AD103" i="30"/>
  <c r="AC103" i="30"/>
  <c r="V103" i="30"/>
  <c r="U103" i="30"/>
  <c r="J102" i="30"/>
  <c r="I102" i="30"/>
  <c r="AL102" i="30"/>
  <c r="AK102" i="30"/>
  <c r="AD102" i="30"/>
  <c r="AC102" i="30"/>
  <c r="V102" i="30"/>
  <c r="U102" i="30"/>
  <c r="J101" i="30"/>
  <c r="I101" i="30"/>
  <c r="AL101" i="30"/>
  <c r="AK101" i="30"/>
  <c r="AD101" i="30"/>
  <c r="AC101" i="30"/>
  <c r="V101" i="30"/>
  <c r="U101" i="30"/>
  <c r="J100" i="30"/>
  <c r="I100" i="30"/>
  <c r="AL100" i="30"/>
  <c r="AK100" i="30"/>
  <c r="AD100" i="30"/>
  <c r="AC100" i="30"/>
  <c r="V100" i="30"/>
  <c r="U100" i="30"/>
  <c r="J97" i="30"/>
  <c r="I97" i="30"/>
  <c r="AL97" i="30"/>
  <c r="AK97" i="30"/>
  <c r="AD97" i="30"/>
  <c r="AC97" i="30"/>
  <c r="V97" i="30"/>
  <c r="U97" i="30"/>
  <c r="J96" i="30"/>
  <c r="I96" i="30"/>
  <c r="AL96" i="30"/>
  <c r="AK96" i="30"/>
  <c r="AD96" i="30"/>
  <c r="AC96" i="30"/>
  <c r="V96" i="30"/>
  <c r="U96" i="30"/>
  <c r="J95" i="30"/>
  <c r="I95" i="30"/>
  <c r="AL95" i="30"/>
  <c r="AK95" i="30"/>
  <c r="AD95" i="30"/>
  <c r="AC95" i="30"/>
  <c r="V95" i="30"/>
  <c r="U95" i="30"/>
  <c r="J94" i="30"/>
  <c r="I94" i="30"/>
  <c r="AL94" i="30"/>
  <c r="AK94" i="30"/>
  <c r="AD94" i="30"/>
  <c r="AC94" i="30"/>
  <c r="V94" i="30"/>
  <c r="U94" i="30"/>
  <c r="J92" i="30"/>
  <c r="I92" i="30"/>
  <c r="AL92" i="30"/>
  <c r="AK92" i="30"/>
  <c r="AD92" i="30"/>
  <c r="AC92" i="30"/>
  <c r="V92" i="30"/>
  <c r="U92" i="30"/>
  <c r="J91" i="30"/>
  <c r="I91" i="30"/>
  <c r="AL91" i="30"/>
  <c r="AK91" i="30"/>
  <c r="AD91" i="30"/>
  <c r="AC91" i="30"/>
  <c r="V91" i="30"/>
  <c r="U91" i="30"/>
  <c r="J90" i="30"/>
  <c r="I90" i="30"/>
  <c r="AL90" i="30"/>
  <c r="AK90" i="30"/>
  <c r="AD90" i="30"/>
  <c r="AC90" i="30"/>
  <c r="V90" i="30"/>
  <c r="U90" i="30"/>
  <c r="J89" i="30"/>
  <c r="I89" i="30"/>
  <c r="AL89" i="30"/>
  <c r="AK89" i="30"/>
  <c r="AD89" i="30"/>
  <c r="AC89" i="30"/>
  <c r="V89" i="30"/>
  <c r="U89" i="30"/>
  <c r="J88" i="30"/>
  <c r="I88" i="30"/>
  <c r="AL88" i="30"/>
  <c r="AK88" i="30"/>
  <c r="AD88" i="30"/>
  <c r="AC88" i="30"/>
  <c r="V88" i="30"/>
  <c r="U88" i="30"/>
  <c r="J87" i="30"/>
  <c r="I87" i="30"/>
  <c r="AL87" i="30"/>
  <c r="AK87" i="30"/>
  <c r="AD87" i="30"/>
  <c r="AC87" i="30"/>
  <c r="V87" i="30"/>
  <c r="U87" i="30"/>
  <c r="J86" i="30"/>
  <c r="I86" i="30"/>
  <c r="AL86" i="30"/>
  <c r="AK86" i="30"/>
  <c r="AD86" i="30"/>
  <c r="AC86" i="30"/>
  <c r="V86" i="30"/>
  <c r="U86" i="30"/>
  <c r="J85" i="30"/>
  <c r="I85" i="30"/>
  <c r="AL85" i="30"/>
  <c r="AK85" i="30"/>
  <c r="AD85" i="30"/>
  <c r="AC85" i="30"/>
  <c r="V85" i="30"/>
  <c r="U85" i="30"/>
  <c r="J84" i="30"/>
  <c r="I84" i="30"/>
  <c r="AL84" i="30"/>
  <c r="AK84" i="30"/>
  <c r="AD84" i="30"/>
  <c r="AC84" i="30"/>
  <c r="V84" i="30"/>
  <c r="U84" i="30"/>
  <c r="J83" i="30"/>
  <c r="I83" i="30"/>
  <c r="AL83" i="30"/>
  <c r="AK83" i="30"/>
  <c r="AD83" i="30"/>
  <c r="AC83" i="30"/>
  <c r="V83" i="30"/>
  <c r="U83" i="30"/>
  <c r="J82" i="30"/>
  <c r="I82" i="30"/>
  <c r="AL82" i="30"/>
  <c r="AK82" i="30"/>
  <c r="AD82" i="30"/>
  <c r="AC82" i="30"/>
  <c r="V82" i="30"/>
  <c r="U82" i="30"/>
  <c r="J81" i="30"/>
  <c r="I81" i="30"/>
  <c r="AL81" i="30"/>
  <c r="AK81" i="30"/>
  <c r="AD81" i="30"/>
  <c r="AC81" i="30"/>
  <c r="V81" i="30"/>
  <c r="U81" i="30"/>
  <c r="J80" i="30"/>
  <c r="I80" i="30"/>
  <c r="AL80" i="30"/>
  <c r="AK80" i="30"/>
  <c r="AD80" i="30"/>
  <c r="AC80" i="30"/>
  <c r="V80" i="30"/>
  <c r="U80" i="30"/>
  <c r="J79" i="30"/>
  <c r="I79" i="30"/>
  <c r="AL79" i="30"/>
  <c r="AK79" i="30"/>
  <c r="AD79" i="30"/>
  <c r="AC79" i="30"/>
  <c r="V79" i="30"/>
  <c r="U79" i="30"/>
  <c r="J78" i="30"/>
  <c r="I78" i="30"/>
  <c r="AL78" i="30"/>
  <c r="AK78" i="30"/>
  <c r="AD78" i="30"/>
  <c r="AC78" i="30"/>
  <c r="V78" i="30"/>
  <c r="U78" i="30"/>
  <c r="J75" i="30"/>
  <c r="I75" i="30"/>
  <c r="AL75" i="30"/>
  <c r="AK75" i="30"/>
  <c r="AD75" i="30"/>
  <c r="AC75" i="30"/>
  <c r="V75" i="30"/>
  <c r="U75" i="30"/>
  <c r="J74" i="30"/>
  <c r="I74" i="30"/>
  <c r="AL74" i="30"/>
  <c r="AK74" i="30"/>
  <c r="AD74" i="30"/>
  <c r="AC74" i="30"/>
  <c r="V74" i="30"/>
  <c r="U74" i="30"/>
  <c r="J72" i="30"/>
  <c r="I72" i="30"/>
  <c r="AL72" i="30"/>
  <c r="AK72" i="30"/>
  <c r="AD72" i="30"/>
  <c r="AC72" i="30"/>
  <c r="V72" i="30"/>
  <c r="U72" i="30"/>
  <c r="J69" i="30"/>
  <c r="I69" i="30"/>
  <c r="AL69" i="30"/>
  <c r="AK69" i="30"/>
  <c r="AD69" i="30"/>
  <c r="AC69" i="30"/>
  <c r="V69" i="30"/>
  <c r="U69" i="30"/>
  <c r="J68" i="30"/>
  <c r="I68" i="30"/>
  <c r="AL68" i="30"/>
  <c r="AK68" i="30"/>
  <c r="AD68" i="30"/>
  <c r="AC68" i="30"/>
  <c r="V68" i="30"/>
  <c r="U68" i="30"/>
  <c r="J67" i="30"/>
  <c r="I67" i="30"/>
  <c r="AL67" i="30"/>
  <c r="AK67" i="30"/>
  <c r="AD67" i="30"/>
  <c r="AC67" i="30"/>
  <c r="V67" i="30"/>
  <c r="U67" i="30"/>
  <c r="J65" i="30"/>
  <c r="I65" i="30"/>
  <c r="AL65" i="30"/>
  <c r="AK65" i="30"/>
  <c r="AD65" i="30"/>
  <c r="AC65" i="30"/>
  <c r="V65" i="30"/>
  <c r="U65" i="30"/>
  <c r="J64" i="30"/>
  <c r="I64" i="30"/>
  <c r="AL64" i="30"/>
  <c r="AK64" i="30"/>
  <c r="AD64" i="30"/>
  <c r="AC64" i="30"/>
  <c r="V64" i="30"/>
  <c r="U64" i="30"/>
  <c r="J63" i="30"/>
  <c r="I63" i="30"/>
  <c r="AL63" i="30"/>
  <c r="AK63" i="30"/>
  <c r="AD63" i="30"/>
  <c r="AC63" i="30"/>
  <c r="V63" i="30"/>
  <c r="U63" i="30"/>
  <c r="J62" i="30"/>
  <c r="I62" i="30"/>
  <c r="AL62" i="30"/>
  <c r="AK62" i="30"/>
  <c r="AD62" i="30"/>
  <c r="AC62" i="30"/>
  <c r="V62" i="30"/>
  <c r="U62" i="30"/>
  <c r="J61" i="30"/>
  <c r="I61" i="30"/>
  <c r="AL61" i="30"/>
  <c r="AK61" i="30"/>
  <c r="AD61" i="30"/>
  <c r="AC61" i="30"/>
  <c r="V61" i="30"/>
  <c r="U61" i="30"/>
  <c r="J60" i="30"/>
  <c r="I60" i="30"/>
  <c r="AL60" i="30"/>
  <c r="AK60" i="30"/>
  <c r="AD60" i="30"/>
  <c r="AC60" i="30"/>
  <c r="V60" i="30"/>
  <c r="U60" i="30"/>
  <c r="J58" i="30"/>
  <c r="I58" i="30"/>
  <c r="AL58" i="30"/>
  <c r="AK58" i="30"/>
  <c r="AD58" i="30"/>
  <c r="AC58" i="30"/>
  <c r="V58" i="30"/>
  <c r="U58" i="30"/>
  <c r="J56" i="30"/>
  <c r="I56" i="30"/>
  <c r="AL56" i="30"/>
  <c r="AK56" i="30"/>
  <c r="AD56" i="30"/>
  <c r="AC56" i="30"/>
  <c r="V56" i="30"/>
  <c r="U56" i="30"/>
  <c r="J55" i="30"/>
  <c r="I55" i="30"/>
  <c r="AL55" i="30"/>
  <c r="AK55" i="30"/>
  <c r="AD55" i="30"/>
  <c r="AC55" i="30"/>
  <c r="V55" i="30"/>
  <c r="U55" i="30"/>
  <c r="J54" i="30"/>
  <c r="I54" i="30"/>
  <c r="AL54" i="30"/>
  <c r="AK54" i="30"/>
  <c r="AD54" i="30"/>
  <c r="AC54" i="30"/>
  <c r="V54" i="30"/>
  <c r="U54" i="30"/>
  <c r="J53" i="30"/>
  <c r="I53" i="30"/>
  <c r="AL53" i="30"/>
  <c r="AK53" i="30"/>
  <c r="AD53" i="30"/>
  <c r="AC53" i="30"/>
  <c r="V53" i="30"/>
  <c r="U53" i="30"/>
  <c r="J45" i="30"/>
  <c r="I45" i="30"/>
  <c r="AL45" i="30"/>
  <c r="AK45" i="30"/>
  <c r="AD45" i="30"/>
  <c r="AC45" i="30"/>
  <c r="V45" i="30"/>
  <c r="U45" i="30"/>
  <c r="J40" i="30"/>
  <c r="I40" i="30"/>
  <c r="AL40" i="30"/>
  <c r="AK40" i="30"/>
  <c r="AD40" i="30"/>
  <c r="AC40" i="30"/>
  <c r="V40" i="30"/>
  <c r="U40" i="30"/>
  <c r="J38" i="30"/>
  <c r="I38" i="30"/>
  <c r="AL38" i="30"/>
  <c r="AK38" i="30"/>
  <c r="AD38" i="30"/>
  <c r="AC38" i="30"/>
  <c r="V38" i="30"/>
  <c r="U38" i="30"/>
  <c r="J37" i="30"/>
  <c r="I37" i="30"/>
  <c r="AL37" i="30"/>
  <c r="AK37" i="30"/>
  <c r="AD37" i="30"/>
  <c r="AC37" i="30"/>
  <c r="V37" i="30"/>
  <c r="U37" i="30"/>
  <c r="J32" i="30"/>
  <c r="I32" i="30"/>
  <c r="AL32" i="30"/>
  <c r="AK32" i="30"/>
  <c r="AD32" i="30"/>
  <c r="AC32" i="30"/>
  <c r="V32" i="30"/>
  <c r="U32" i="30"/>
  <c r="J31" i="30"/>
  <c r="I31" i="30"/>
  <c r="AL31" i="30"/>
  <c r="AK31" i="30"/>
  <c r="AD31" i="30"/>
  <c r="AC31" i="30"/>
  <c r="V31" i="30"/>
  <c r="U31" i="30"/>
  <c r="J30" i="30"/>
  <c r="I30" i="30"/>
  <c r="AL30" i="30"/>
  <c r="AK30" i="30"/>
  <c r="AD30" i="30"/>
  <c r="AC30" i="30"/>
  <c r="V30" i="30"/>
  <c r="U30" i="30"/>
  <c r="J29" i="30"/>
  <c r="I29" i="30"/>
  <c r="AL29" i="30"/>
  <c r="AK29" i="30"/>
  <c r="AD29" i="30"/>
  <c r="AC29" i="30"/>
  <c r="V29" i="30"/>
  <c r="U29" i="30"/>
  <c r="J28" i="30"/>
  <c r="I28" i="30"/>
  <c r="AL28" i="30"/>
  <c r="AK28" i="30"/>
  <c r="AD28" i="30"/>
  <c r="AC28" i="30"/>
  <c r="V28" i="30"/>
  <c r="U28" i="30"/>
  <c r="J27" i="30"/>
  <c r="I27" i="30"/>
  <c r="AL27" i="30"/>
  <c r="AK27" i="30"/>
  <c r="AD27" i="30"/>
  <c r="AC27" i="30"/>
  <c r="V27" i="30"/>
  <c r="U27" i="30"/>
  <c r="J26" i="30"/>
  <c r="I26" i="30"/>
  <c r="AL26" i="30"/>
  <c r="AK26" i="30"/>
  <c r="AD26" i="30"/>
  <c r="AC26" i="30"/>
  <c r="V26" i="30"/>
  <c r="U26" i="30"/>
  <c r="J25" i="30"/>
  <c r="I25" i="30"/>
  <c r="AL25" i="30"/>
  <c r="AK25" i="30"/>
  <c r="AD25" i="30"/>
  <c r="AC25" i="30"/>
  <c r="V25" i="30"/>
  <c r="U25" i="30"/>
  <c r="J23" i="30"/>
  <c r="I23" i="30"/>
  <c r="AL23" i="30"/>
  <c r="AK23" i="30"/>
  <c r="AD23" i="30"/>
  <c r="AC23" i="30"/>
  <c r="V23" i="30"/>
  <c r="U23" i="30"/>
  <c r="J22" i="30"/>
  <c r="I22" i="30"/>
  <c r="AL22" i="30"/>
  <c r="AK22" i="30"/>
  <c r="AD22" i="30"/>
  <c r="AC22" i="30"/>
  <c r="V22" i="30"/>
  <c r="U22" i="30"/>
  <c r="J21" i="30"/>
  <c r="I21" i="30"/>
  <c r="AL21" i="30"/>
  <c r="AK21" i="30"/>
  <c r="AD21" i="30"/>
  <c r="AC21" i="30"/>
  <c r="V21" i="30"/>
  <c r="U21" i="30"/>
  <c r="J19" i="30"/>
  <c r="I19" i="30"/>
  <c r="AL19" i="30"/>
  <c r="AK19" i="30"/>
  <c r="AD19" i="30"/>
  <c r="AC19" i="30"/>
  <c r="V19" i="30"/>
  <c r="U19" i="30"/>
  <c r="J18" i="30"/>
  <c r="I18" i="30"/>
  <c r="AL18" i="30"/>
  <c r="AK18" i="30"/>
  <c r="AD18" i="30"/>
  <c r="AC18" i="30"/>
  <c r="V18" i="30"/>
  <c r="U18" i="30"/>
  <c r="J17" i="30"/>
  <c r="I17" i="30"/>
  <c r="AL17" i="30"/>
  <c r="AK17" i="30"/>
  <c r="AD17" i="30"/>
  <c r="AC17" i="30"/>
  <c r="V17" i="30"/>
  <c r="U17" i="30"/>
  <c r="J16" i="30"/>
  <c r="I16" i="30"/>
  <c r="AL16" i="30"/>
  <c r="AK16" i="30"/>
  <c r="AD16" i="30"/>
  <c r="AC16" i="30"/>
  <c r="V16" i="30"/>
  <c r="U16" i="30"/>
  <c r="J15" i="30"/>
  <c r="I15" i="30"/>
  <c r="AL15" i="30"/>
  <c r="AK15" i="30"/>
  <c r="AD15" i="30"/>
  <c r="AC15" i="30"/>
  <c r="V15" i="30"/>
  <c r="U15" i="30"/>
  <c r="J14" i="30"/>
  <c r="I14" i="30"/>
  <c r="AL14" i="30"/>
  <c r="AK14" i="30"/>
  <c r="AD14" i="30"/>
  <c r="AC14" i="30"/>
  <c r="V14" i="30"/>
  <c r="U14" i="30"/>
  <c r="J13" i="30"/>
  <c r="I13" i="30"/>
  <c r="AL13" i="30"/>
  <c r="AK13" i="30"/>
  <c r="AD13" i="30"/>
  <c r="AC13" i="30"/>
  <c r="V13" i="30"/>
  <c r="U13" i="30"/>
  <c r="J12" i="30"/>
  <c r="I12" i="30"/>
  <c r="AL12" i="30"/>
  <c r="AK12" i="30"/>
  <c r="AD12" i="30"/>
  <c r="AC12" i="30"/>
  <c r="V12" i="30"/>
  <c r="U12" i="30"/>
  <c r="J11" i="30"/>
  <c r="I11" i="30"/>
  <c r="AL11" i="30"/>
  <c r="AK11" i="30"/>
  <c r="AD11" i="30"/>
  <c r="AC11" i="30"/>
  <c r="V11" i="30"/>
  <c r="U11" i="30"/>
  <c r="J10" i="30"/>
  <c r="I10" i="30"/>
  <c r="AL10" i="30"/>
  <c r="AK10" i="30"/>
  <c r="AD10" i="30"/>
  <c r="AC10" i="30"/>
  <c r="V10" i="30"/>
  <c r="U10" i="30"/>
  <c r="J7" i="30"/>
  <c r="I7" i="30"/>
  <c r="AL7" i="30"/>
  <c r="AK7" i="30"/>
  <c r="AD7" i="30"/>
  <c r="AC7" i="30"/>
  <c r="V7" i="30"/>
  <c r="U7" i="30"/>
  <c r="J6" i="30"/>
  <c r="I6" i="30"/>
  <c r="AL6" i="30"/>
  <c r="AK6" i="30"/>
  <c r="AD6" i="30"/>
  <c r="AC6" i="30"/>
  <c r="V6" i="30"/>
  <c r="U6" i="30"/>
  <c r="AL5" i="30"/>
  <c r="AK5" i="30"/>
  <c r="AD5" i="30"/>
  <c r="AC5" i="30"/>
  <c r="N30" i="29"/>
  <c r="N29" i="29"/>
  <c r="N28" i="29"/>
  <c r="N27" i="29"/>
  <c r="N26" i="29"/>
  <c r="N25" i="29"/>
  <c r="N24" i="29"/>
  <c r="N23" i="29"/>
  <c r="N22" i="29"/>
  <c r="N21" i="29"/>
  <c r="N15" i="29"/>
  <c r="N14" i="29"/>
  <c r="N13" i="29"/>
  <c r="N12" i="29"/>
  <c r="N11" i="29"/>
  <c r="N10" i="29"/>
  <c r="T4" i="28"/>
  <c r="W7" i="30" l="1"/>
  <c r="AM7" i="30"/>
  <c r="AN7" i="30" s="1"/>
  <c r="AE12" i="30"/>
  <c r="AF12" i="30" s="1"/>
  <c r="AE13" i="30"/>
  <c r="AF13" i="30" s="1"/>
  <c r="W28" i="30"/>
  <c r="W29" i="30"/>
  <c r="AM29" i="30"/>
  <c r="AN29" i="30" s="1"/>
  <c r="W31" i="30"/>
  <c r="X31" i="30" s="1"/>
  <c r="AM37" i="30"/>
  <c r="AN37" i="30" s="1"/>
  <c r="W38" i="30"/>
  <c r="X38" i="30" s="1"/>
  <c r="K11" i="30"/>
  <c r="K58" i="30"/>
  <c r="L60" i="30"/>
  <c r="W5" i="30"/>
  <c r="X5" i="30" s="1"/>
  <c r="W12" i="30"/>
  <c r="X12" i="30" s="1"/>
  <c r="W67" i="30"/>
  <c r="X67" i="30" s="1"/>
  <c r="AE94" i="30"/>
  <c r="AF94" i="30" s="1"/>
  <c r="W100" i="30"/>
  <c r="X100" i="30" s="1"/>
  <c r="W104" i="30"/>
  <c r="X104" i="30" s="1"/>
  <c r="AE121" i="30"/>
  <c r="AF121" i="30" s="1"/>
  <c r="AE123" i="30"/>
  <c r="AF123" i="30" s="1"/>
  <c r="K22" i="30"/>
  <c r="L27" i="30"/>
  <c r="L29" i="30"/>
  <c r="L30" i="30"/>
  <c r="L31" i="30"/>
  <c r="L38" i="30"/>
  <c r="W40" i="30"/>
  <c r="X40" i="30" s="1"/>
  <c r="AM40" i="30"/>
  <c r="AN40" i="30" s="1"/>
  <c r="W75" i="30"/>
  <c r="X75" i="30" s="1"/>
  <c r="AE81" i="30"/>
  <c r="AF81" i="30" s="1"/>
  <c r="K85" i="30"/>
  <c r="L87" i="30"/>
  <c r="L88" i="30"/>
  <c r="L13" i="30"/>
  <c r="W62" i="30"/>
  <c r="X62" i="30" s="1"/>
  <c r="AM62" i="30"/>
  <c r="AN62" i="30" s="1"/>
  <c r="W63" i="30"/>
  <c r="X63" i="30" s="1"/>
  <c r="AM63" i="30"/>
  <c r="AN63" i="30" s="1"/>
  <c r="AE67" i="30"/>
  <c r="AF67" i="30" s="1"/>
  <c r="AE69" i="30"/>
  <c r="AF69" i="30" s="1"/>
  <c r="W72" i="30"/>
  <c r="X72" i="30" s="1"/>
  <c r="AM88" i="30"/>
  <c r="AN88" i="30" s="1"/>
  <c r="AE100" i="30"/>
  <c r="AF100" i="30" s="1"/>
  <c r="AM119" i="30"/>
  <c r="AN119" i="30" s="1"/>
  <c r="L123" i="30"/>
  <c r="L15" i="30"/>
  <c r="L54" i="30"/>
  <c r="L55" i="30"/>
  <c r="L56" i="30"/>
  <c r="W17" i="30"/>
  <c r="X17" i="30" s="1"/>
  <c r="AM17" i="30"/>
  <c r="AN17" i="30" s="1"/>
  <c r="W18" i="30"/>
  <c r="X18" i="30" s="1"/>
  <c r="AM18" i="30"/>
  <c r="AN18" i="30" s="1"/>
  <c r="AM22" i="30"/>
  <c r="AN22" i="30" s="1"/>
  <c r="K26" i="30"/>
  <c r="K30" i="30"/>
  <c r="AE32" i="30"/>
  <c r="AF32" i="30" s="1"/>
  <c r="L40" i="30"/>
  <c r="W54" i="30"/>
  <c r="X54" i="30" s="1"/>
  <c r="AM54" i="30"/>
  <c r="AN54" i="30" s="1"/>
  <c r="W55" i="30"/>
  <c r="X55" i="30" s="1"/>
  <c r="AM55" i="30"/>
  <c r="AN55" i="30" s="1"/>
  <c r="AM56" i="30"/>
  <c r="AN56" i="30" s="1"/>
  <c r="AE89" i="30"/>
  <c r="AF89" i="30" s="1"/>
  <c r="AE91" i="30"/>
  <c r="AF91" i="30" s="1"/>
  <c r="AE92" i="30"/>
  <c r="AF92" i="30" s="1"/>
  <c r="AE37" i="30"/>
  <c r="AF37" i="30" s="1"/>
  <c r="AE86" i="30"/>
  <c r="AF86" i="30" s="1"/>
  <c r="L10" i="30"/>
  <c r="L11" i="30"/>
  <c r="L21" i="30"/>
  <c r="L23" i="30"/>
  <c r="AM31" i="30"/>
  <c r="AN31" i="30" s="1"/>
  <c r="AM38" i="30"/>
  <c r="AN38" i="30" s="1"/>
  <c r="AM53" i="30"/>
  <c r="AN53" i="30" s="1"/>
  <c r="L85" i="30"/>
  <c r="W94" i="30"/>
  <c r="X94" i="30" s="1"/>
  <c r="L111" i="30"/>
  <c r="W121" i="30"/>
  <c r="X121" i="30" s="1"/>
  <c r="W122" i="30"/>
  <c r="X122" i="30" s="1"/>
  <c r="K5" i="30"/>
  <c r="W10" i="30"/>
  <c r="X10" i="30" s="1"/>
  <c r="AM10" i="30"/>
  <c r="AN10" i="30" s="1"/>
  <c r="AM13" i="30"/>
  <c r="AN13" i="30" s="1"/>
  <c r="W15" i="30"/>
  <c r="X15" i="30" s="1"/>
  <c r="AM15" i="30"/>
  <c r="AN15" i="30" s="1"/>
  <c r="L17" i="30"/>
  <c r="L18" i="30"/>
  <c r="W21" i="30"/>
  <c r="X21" i="30" s="1"/>
  <c r="AM21" i="30"/>
  <c r="AN21" i="30" s="1"/>
  <c r="W22" i="30"/>
  <c r="X22" i="30" s="1"/>
  <c r="L32" i="30"/>
  <c r="K45" i="30"/>
  <c r="L62" i="30"/>
  <c r="L63" i="30"/>
  <c r="AM69" i="30"/>
  <c r="AN69" i="30" s="1"/>
  <c r="W79" i="30"/>
  <c r="X79" i="30" s="1"/>
  <c r="AM79" i="30"/>
  <c r="AN79" i="30" s="1"/>
  <c r="W80" i="30"/>
  <c r="X80" i="30" s="1"/>
  <c r="AM80" i="30"/>
  <c r="AN80" i="30" s="1"/>
  <c r="W81" i="30"/>
  <c r="X81" i="30" s="1"/>
  <c r="AM84" i="30"/>
  <c r="AN84" i="30" s="1"/>
  <c r="W85" i="30"/>
  <c r="X85" i="30" s="1"/>
  <c r="AM85" i="30"/>
  <c r="AN85" i="30" s="1"/>
  <c r="AM91" i="30"/>
  <c r="AN91" i="30" s="1"/>
  <c r="W108" i="30"/>
  <c r="X108" i="30" s="1"/>
  <c r="W109" i="30"/>
  <c r="X109" i="30" s="1"/>
  <c r="AM109" i="30"/>
  <c r="AN109" i="30" s="1"/>
  <c r="AM110" i="30"/>
  <c r="AN110" i="30" s="1"/>
  <c r="W111" i="30"/>
  <c r="X111" i="30" s="1"/>
  <c r="AM111" i="30"/>
  <c r="AN111" i="30" s="1"/>
  <c r="L119" i="30"/>
  <c r="AM6" i="30"/>
  <c r="AN6" i="30" s="1"/>
  <c r="AE56" i="30"/>
  <c r="AF56" i="30" s="1"/>
  <c r="AM65" i="30"/>
  <c r="AN65" i="30" s="1"/>
  <c r="W68" i="30"/>
  <c r="AE84" i="30"/>
  <c r="AF84" i="30" s="1"/>
  <c r="L5" i="30"/>
  <c r="L6" i="30"/>
  <c r="W11" i="30"/>
  <c r="X11" i="30" s="1"/>
  <c r="AM11" i="30"/>
  <c r="AN11" i="30" s="1"/>
  <c r="W16" i="30"/>
  <c r="X16" i="30" s="1"/>
  <c r="L19" i="30"/>
  <c r="AE22" i="30"/>
  <c r="AF22" i="30" s="1"/>
  <c r="L25" i="30"/>
  <c r="L37" i="30"/>
  <c r="L45" i="30"/>
  <c r="L53" i="30"/>
  <c r="W56" i="30"/>
  <c r="X56" i="30" s="1"/>
  <c r="K60" i="30"/>
  <c r="W61" i="30"/>
  <c r="X61" i="30" s="1"/>
  <c r="AM61" i="30"/>
  <c r="AN61" i="30" s="1"/>
  <c r="K64" i="30"/>
  <c r="K65" i="30"/>
  <c r="W74" i="30"/>
  <c r="X74" i="30" s="1"/>
  <c r="AM74" i="30"/>
  <c r="AN74" i="30" s="1"/>
  <c r="AE90" i="30"/>
  <c r="AF90" i="30" s="1"/>
  <c r="L91" i="30"/>
  <c r="K97" i="30"/>
  <c r="W119" i="30"/>
  <c r="X119" i="30" s="1"/>
  <c r="K6" i="30"/>
  <c r="L12" i="30"/>
  <c r="L22" i="30"/>
  <c r="AM28" i="30"/>
  <c r="AN28" i="30" s="1"/>
  <c r="K29" i="30"/>
  <c r="W65" i="30"/>
  <c r="X65" i="30" s="1"/>
  <c r="W69" i="30"/>
  <c r="X69" i="30" s="1"/>
  <c r="AM92" i="30"/>
  <c r="AN92" i="30" s="1"/>
  <c r="W6" i="30"/>
  <c r="X6" i="30" s="1"/>
  <c r="AE6" i="30"/>
  <c r="AF6" i="30" s="1"/>
  <c r="L7" i="30"/>
  <c r="AM12" i="30"/>
  <c r="AN12" i="30" s="1"/>
  <c r="L14" i="30"/>
  <c r="K16" i="30"/>
  <c r="W19" i="30"/>
  <c r="X19" i="30" s="1"/>
  <c r="AM19" i="30"/>
  <c r="AN19" i="30" s="1"/>
  <c r="W23" i="30"/>
  <c r="X23" i="30" s="1"/>
  <c r="AM23" i="30"/>
  <c r="AN23" i="30" s="1"/>
  <c r="W25" i="30"/>
  <c r="X25" i="30" s="1"/>
  <c r="AM25" i="30"/>
  <c r="AN25" i="30" s="1"/>
  <c r="W27" i="30"/>
  <c r="X27" i="30" s="1"/>
  <c r="AM27" i="30"/>
  <c r="AN27" i="30" s="1"/>
  <c r="L28" i="30"/>
  <c r="AE29" i="30"/>
  <c r="AF29" i="30" s="1"/>
  <c r="W32" i="30"/>
  <c r="X32" i="30" s="1"/>
  <c r="K32" i="30"/>
  <c r="K37" i="30"/>
  <c r="AE40" i="30"/>
  <c r="AF40" i="30" s="1"/>
  <c r="W45" i="30"/>
  <c r="X45" i="30" s="1"/>
  <c r="AM45" i="30"/>
  <c r="AN45" i="30" s="1"/>
  <c r="W53" i="30"/>
  <c r="X53" i="30" s="1"/>
  <c r="K55" i="30"/>
  <c r="M55" i="30" s="1"/>
  <c r="O55" i="30" s="1"/>
  <c r="K56" i="30"/>
  <c r="K61" i="30"/>
  <c r="L64" i="30"/>
  <c r="K75" i="30"/>
  <c r="AE78" i="30"/>
  <c r="AF78" i="30" s="1"/>
  <c r="AE80" i="30"/>
  <c r="AF80" i="30" s="1"/>
  <c r="AM82" i="30"/>
  <c r="AN82" i="30" s="1"/>
  <c r="K87" i="30"/>
  <c r="M87" i="30" s="1"/>
  <c r="O87" i="30" s="1"/>
  <c r="K88" i="30"/>
  <c r="W89" i="30"/>
  <c r="X89" i="30" s="1"/>
  <c r="AM89" i="30"/>
  <c r="AN89" i="30" s="1"/>
  <c r="AM95" i="30"/>
  <c r="AN95" i="30" s="1"/>
  <c r="W96" i="30"/>
  <c r="X96" i="30" s="1"/>
  <c r="AM96" i="30"/>
  <c r="AN96" i="30" s="1"/>
  <c r="W97" i="30"/>
  <c r="X97" i="30" s="1"/>
  <c r="AM97" i="30"/>
  <c r="AN97" i="30" s="1"/>
  <c r="L103" i="30"/>
  <c r="W116" i="30"/>
  <c r="X116" i="30" s="1"/>
  <c r="L118" i="30"/>
  <c r="AM121" i="30"/>
  <c r="AN121" i="30" s="1"/>
  <c r="AE74" i="30"/>
  <c r="AF74" i="30" s="1"/>
  <c r="K74" i="30"/>
  <c r="W13" i="30"/>
  <c r="L16" i="30"/>
  <c r="AE17" i="30"/>
  <c r="AF17" i="30" s="1"/>
  <c r="AE21" i="30"/>
  <c r="AF21" i="30" s="1"/>
  <c r="L121" i="30"/>
  <c r="K12" i="30"/>
  <c r="K13" i="30"/>
  <c r="K15" i="30"/>
  <c r="AE16" i="30"/>
  <c r="AF16" i="30" s="1"/>
  <c r="K23" i="30"/>
  <c r="K28" i="30"/>
  <c r="AM32" i="30"/>
  <c r="AN32" i="30" s="1"/>
  <c r="AE53" i="30"/>
  <c r="AF53" i="30" s="1"/>
  <c r="AE62" i="30"/>
  <c r="AF62" i="30" s="1"/>
  <c r="K82" i="30"/>
  <c r="AE82" i="30"/>
  <c r="AF82" i="30" s="1"/>
  <c r="K96" i="30"/>
  <c r="AE96" i="30"/>
  <c r="AF96" i="30" s="1"/>
  <c r="L107" i="30"/>
  <c r="L114" i="30"/>
  <c r="K7" i="30"/>
  <c r="K25" i="30"/>
  <c r="L67" i="30"/>
  <c r="K72" i="30"/>
  <c r="L115" i="30"/>
  <c r="AE119" i="30"/>
  <c r="AF119" i="30" s="1"/>
  <c r="L122" i="30"/>
  <c r="AM5" i="30"/>
  <c r="AN5" i="30" s="1"/>
  <c r="AE7" i="30"/>
  <c r="AF7" i="30" s="1"/>
  <c r="W14" i="30"/>
  <c r="X14" i="30" s="1"/>
  <c r="AM14" i="30"/>
  <c r="AN14" i="30" s="1"/>
  <c r="AM16" i="30"/>
  <c r="AN16" i="30" s="1"/>
  <c r="K17" i="30"/>
  <c r="K19" i="30"/>
  <c r="K21" i="30"/>
  <c r="AE25" i="30"/>
  <c r="AF25" i="30" s="1"/>
  <c r="L26" i="30"/>
  <c r="AE28" i="30"/>
  <c r="AF28" i="30" s="1"/>
  <c r="W37" i="30"/>
  <c r="K40" i="30"/>
  <c r="K53" i="30"/>
  <c r="M53" i="30" s="1"/>
  <c r="O53" i="30" s="1"/>
  <c r="AE58" i="30"/>
  <c r="AF58" i="30" s="1"/>
  <c r="L58" i="30"/>
  <c r="K62" i="30"/>
  <c r="K63" i="30"/>
  <c r="AE63" i="30"/>
  <c r="AF63" i="30" s="1"/>
  <c r="AM67" i="30"/>
  <c r="AN67" i="30" s="1"/>
  <c r="K67" i="30"/>
  <c r="AM78" i="30"/>
  <c r="AN78" i="30" s="1"/>
  <c r="W83" i="30"/>
  <c r="X83" i="30" s="1"/>
  <c r="AM83" i="30"/>
  <c r="AN83" i="30" s="1"/>
  <c r="AM103" i="30"/>
  <c r="AN103" i="30" s="1"/>
  <c r="AM123" i="30"/>
  <c r="AN123" i="30" s="1"/>
  <c r="K27" i="30"/>
  <c r="K31" i="30"/>
  <c r="W60" i="30"/>
  <c r="X60" i="30" s="1"/>
  <c r="AM60" i="30"/>
  <c r="AN60" i="30" s="1"/>
  <c r="AE61" i="30"/>
  <c r="AF61" i="30" s="1"/>
  <c r="L65" i="30"/>
  <c r="K83" i="30"/>
  <c r="W84" i="30"/>
  <c r="X84" i="30" s="1"/>
  <c r="W86" i="30"/>
  <c r="AM86" i="30"/>
  <c r="AN86" i="30" s="1"/>
  <c r="W87" i="30"/>
  <c r="X87" i="30" s="1"/>
  <c r="AM87" i="30"/>
  <c r="AN87" i="30" s="1"/>
  <c r="W88" i="30"/>
  <c r="X88" i="30" s="1"/>
  <c r="W90" i="30"/>
  <c r="X90" i="30" s="1"/>
  <c r="W91" i="30"/>
  <c r="X91" i="30" s="1"/>
  <c r="W95" i="30"/>
  <c r="X95" i="30" s="1"/>
  <c r="W101" i="30"/>
  <c r="X101" i="30" s="1"/>
  <c r="AM101" i="30"/>
  <c r="AN101" i="30" s="1"/>
  <c r="L104" i="30"/>
  <c r="L110" i="30"/>
  <c r="K10" i="30"/>
  <c r="K14" i="30"/>
  <c r="K18" i="30"/>
  <c r="W26" i="30"/>
  <c r="X26" i="30" s="1"/>
  <c r="AM26" i="30"/>
  <c r="AN26" i="30" s="1"/>
  <c r="W30" i="30"/>
  <c r="X30" i="30" s="1"/>
  <c r="AM30" i="30"/>
  <c r="AN30" i="30" s="1"/>
  <c r="K38" i="30"/>
  <c r="K54" i="30"/>
  <c r="W58" i="30"/>
  <c r="X58" i="30" s="1"/>
  <c r="AM58" i="30"/>
  <c r="AN58" i="30" s="1"/>
  <c r="W64" i="30"/>
  <c r="X64" i="30" s="1"/>
  <c r="AM64" i="30"/>
  <c r="AN64" i="30" s="1"/>
  <c r="AM68" i="30"/>
  <c r="AN68" i="30" s="1"/>
  <c r="L79" i="30"/>
  <c r="K81" i="30"/>
  <c r="W82" i="30"/>
  <c r="X82" i="30" s="1"/>
  <c r="L83" i="30"/>
  <c r="K90" i="30"/>
  <c r="L100" i="30"/>
  <c r="AM102" i="30"/>
  <c r="AN102" i="30" s="1"/>
  <c r="W103" i="30"/>
  <c r="X103" i="30" s="1"/>
  <c r="W107" i="30"/>
  <c r="X107" i="30" s="1"/>
  <c r="L108" i="30"/>
  <c r="L109" i="30"/>
  <c r="AM114" i="30"/>
  <c r="AN114" i="30" s="1"/>
  <c r="W115" i="30"/>
  <c r="X115" i="30" s="1"/>
  <c r="L116" i="30"/>
  <c r="W118" i="30"/>
  <c r="X118" i="30" s="1"/>
  <c r="AM118" i="30"/>
  <c r="AN118" i="30" s="1"/>
  <c r="AM122" i="30"/>
  <c r="AN122" i="30" s="1"/>
  <c r="X68" i="30"/>
  <c r="K80" i="30"/>
  <c r="K92" i="30"/>
  <c r="AE65" i="30"/>
  <c r="AF65" i="30" s="1"/>
  <c r="K68" i="30"/>
  <c r="AE5" i="30"/>
  <c r="AF5" i="30" s="1"/>
  <c r="AE11" i="30"/>
  <c r="AF11" i="30" s="1"/>
  <c r="AE15" i="30"/>
  <c r="AF15" i="30" s="1"/>
  <c r="AE19" i="30"/>
  <c r="AF19" i="30" s="1"/>
  <c r="AE27" i="30"/>
  <c r="AF27" i="30" s="1"/>
  <c r="X28" i="30"/>
  <c r="AE31" i="30"/>
  <c r="AF31" i="30" s="1"/>
  <c r="AE55" i="30"/>
  <c r="AF55" i="30" s="1"/>
  <c r="AE60" i="30"/>
  <c r="AF60" i="30" s="1"/>
  <c r="L61" i="30"/>
  <c r="AE64" i="30"/>
  <c r="AF64" i="30" s="1"/>
  <c r="L68" i="30"/>
  <c r="K69" i="30"/>
  <c r="AE72" i="30"/>
  <c r="AF72" i="30" s="1"/>
  <c r="AM72" i="30"/>
  <c r="AN72" i="30" s="1"/>
  <c r="AE75" i="30"/>
  <c r="AF75" i="30" s="1"/>
  <c r="AM75" i="30"/>
  <c r="AN75" i="30" s="1"/>
  <c r="L78" i="30"/>
  <c r="AM81" i="30"/>
  <c r="AN81" i="30" s="1"/>
  <c r="AE83" i="30"/>
  <c r="AF83" i="30" s="1"/>
  <c r="L89" i="30"/>
  <c r="AM90" i="30"/>
  <c r="AN90" i="30" s="1"/>
  <c r="W92" i="30"/>
  <c r="AM94" i="30"/>
  <c r="AN94" i="30" s="1"/>
  <c r="K94" i="30"/>
  <c r="AE95" i="30"/>
  <c r="AF95" i="30" s="1"/>
  <c r="L97" i="30"/>
  <c r="AE97" i="30"/>
  <c r="AF97" i="30" s="1"/>
  <c r="K111" i="30"/>
  <c r="AE111" i="30"/>
  <c r="AF111" i="30" s="1"/>
  <c r="X7" i="30"/>
  <c r="X29" i="30"/>
  <c r="K78" i="30"/>
  <c r="AE79" i="30"/>
  <c r="AF79" i="30" s="1"/>
  <c r="K84" i="30"/>
  <c r="K86" i="30"/>
  <c r="AE88" i="30"/>
  <c r="AF88" i="30" s="1"/>
  <c r="K89" i="30"/>
  <c r="L92" i="30"/>
  <c r="K95" i="30"/>
  <c r="K115" i="30"/>
  <c r="AE115" i="30"/>
  <c r="AF115" i="30" s="1"/>
  <c r="AE10" i="30"/>
  <c r="AF10" i="30" s="1"/>
  <c r="AE14" i="30"/>
  <c r="AF14" i="30" s="1"/>
  <c r="AE18" i="30"/>
  <c r="AF18" i="30" s="1"/>
  <c r="AE23" i="30"/>
  <c r="AF23" i="30" s="1"/>
  <c r="AE26" i="30"/>
  <c r="AF26" i="30" s="1"/>
  <c r="AE30" i="30"/>
  <c r="AF30" i="30" s="1"/>
  <c r="AE38" i="30"/>
  <c r="AF38" i="30" s="1"/>
  <c r="AE45" i="30"/>
  <c r="AF45" i="30" s="1"/>
  <c r="AE54" i="30"/>
  <c r="AF54" i="30" s="1"/>
  <c r="AE68" i="30"/>
  <c r="AF68" i="30" s="1"/>
  <c r="L72" i="30"/>
  <c r="L75" i="30"/>
  <c r="W78" i="30"/>
  <c r="K79" i="30"/>
  <c r="L81" i="30"/>
  <c r="L82" i="30"/>
  <c r="AE85" i="30"/>
  <c r="AF85" i="30" s="1"/>
  <c r="AE87" i="30"/>
  <c r="AF87" i="30" s="1"/>
  <c r="K91" i="30"/>
  <c r="L95" i="30"/>
  <c r="K104" i="30"/>
  <c r="AE104" i="30"/>
  <c r="AF104" i="30" s="1"/>
  <c r="AM107" i="30"/>
  <c r="AN107" i="30" s="1"/>
  <c r="K108" i="30"/>
  <c r="AE108" i="30"/>
  <c r="AF108" i="30" s="1"/>
  <c r="L94" i="30"/>
  <c r="K107" i="30"/>
  <c r="AE107" i="30"/>
  <c r="AF107" i="30" s="1"/>
  <c r="AE122" i="30"/>
  <c r="AF122" i="30" s="1"/>
  <c r="K122" i="30"/>
  <c r="W123" i="30"/>
  <c r="K123" i="30"/>
  <c r="L69" i="30"/>
  <c r="L74" i="30"/>
  <c r="L80" i="30"/>
  <c r="L84" i="30"/>
  <c r="L86" i="30"/>
  <c r="L90" i="30"/>
  <c r="L96" i="30"/>
  <c r="L101" i="30"/>
  <c r="L102" i="30"/>
  <c r="K103" i="30"/>
  <c r="AE103" i="30"/>
  <c r="AF103" i="30" s="1"/>
  <c r="AM115" i="30"/>
  <c r="AN115" i="30" s="1"/>
  <c r="K116" i="30"/>
  <c r="AE116" i="30"/>
  <c r="AF116" i="30" s="1"/>
  <c r="K102" i="30"/>
  <c r="AE102" i="30"/>
  <c r="AF102" i="30" s="1"/>
  <c r="K110" i="30"/>
  <c r="AE110" i="30"/>
  <c r="AF110" i="30" s="1"/>
  <c r="K114" i="30"/>
  <c r="AE114" i="30"/>
  <c r="AF114" i="30" s="1"/>
  <c r="K100" i="30"/>
  <c r="AM100" i="30"/>
  <c r="AN100" i="30" s="1"/>
  <c r="K101" i="30"/>
  <c r="AE101" i="30"/>
  <c r="AF101" i="30" s="1"/>
  <c r="W102" i="30"/>
  <c r="AM104" i="30"/>
  <c r="AN104" i="30" s="1"/>
  <c r="AM108" i="30"/>
  <c r="AN108" i="30" s="1"/>
  <c r="K109" i="30"/>
  <c r="AE109" i="30"/>
  <c r="W110" i="30"/>
  <c r="W114" i="30"/>
  <c r="AM116" i="30"/>
  <c r="AN116" i="30" s="1"/>
  <c r="K118" i="30"/>
  <c r="AE118" i="30"/>
  <c r="AF118" i="30" s="1"/>
  <c r="K119" i="30"/>
  <c r="M119" i="30" s="1"/>
  <c r="O119" i="30" s="1"/>
  <c r="K121" i="30"/>
  <c r="N37" i="30" l="1"/>
  <c r="M29" i="30"/>
  <c r="O29" i="30" s="1"/>
  <c r="M115" i="30"/>
  <c r="O115" i="30" s="1"/>
  <c r="M58" i="30"/>
  <c r="O58" i="30" s="1"/>
  <c r="N13" i="30"/>
  <c r="P67" i="30"/>
  <c r="P5" i="30"/>
  <c r="P91" i="30"/>
  <c r="M11" i="30"/>
  <c r="O11" i="30" s="1"/>
  <c r="P12" i="30"/>
  <c r="M67" i="30"/>
  <c r="O67" i="30" s="1"/>
  <c r="M38" i="30"/>
  <c r="O38" i="30" s="1"/>
  <c r="M90" i="30"/>
  <c r="O90" i="30" s="1"/>
  <c r="M27" i="30"/>
  <c r="O27" i="30" s="1"/>
  <c r="M114" i="30"/>
  <c r="O114" i="30" s="1"/>
  <c r="M32" i="30"/>
  <c r="O32" i="30" s="1"/>
  <c r="P89" i="30"/>
  <c r="M122" i="30"/>
  <c r="O122" i="30" s="1"/>
  <c r="M40" i="30"/>
  <c r="O40" i="30" s="1"/>
  <c r="M60" i="30"/>
  <c r="O60" i="30" s="1"/>
  <c r="M30" i="30"/>
  <c r="O30" i="30" s="1"/>
  <c r="M85" i="30"/>
  <c r="O85" i="30" s="1"/>
  <c r="M97" i="30"/>
  <c r="O97" i="30" s="1"/>
  <c r="M31" i="30"/>
  <c r="O31" i="30" s="1"/>
  <c r="N29" i="30"/>
  <c r="M12" i="30"/>
  <c r="O12" i="30" s="1"/>
  <c r="M88" i="30"/>
  <c r="O88" i="30" s="1"/>
  <c r="M56" i="30"/>
  <c r="O56" i="30" s="1"/>
  <c r="P69" i="30"/>
  <c r="M22" i="30"/>
  <c r="O22" i="30" s="1"/>
  <c r="P111" i="30"/>
  <c r="N62" i="30"/>
  <c r="M63" i="30"/>
  <c r="O63" i="30" s="1"/>
  <c r="M26" i="30"/>
  <c r="O26" i="30" s="1"/>
  <c r="M17" i="30"/>
  <c r="O17" i="30" s="1"/>
  <c r="M28" i="30"/>
  <c r="O28" i="30" s="1"/>
  <c r="M15" i="30"/>
  <c r="O15" i="30" s="1"/>
  <c r="N12" i="30"/>
  <c r="P21" i="30"/>
  <c r="M5" i="30"/>
  <c r="O5" i="30" s="1"/>
  <c r="M118" i="30"/>
  <c r="O118" i="30" s="1"/>
  <c r="P95" i="30"/>
  <c r="P82" i="30"/>
  <c r="M14" i="30"/>
  <c r="O14" i="30" s="1"/>
  <c r="P29" i="30"/>
  <c r="N89" i="30"/>
  <c r="M61" i="30"/>
  <c r="O61" i="30" s="1"/>
  <c r="X37" i="30"/>
  <c r="P37" i="30" s="1"/>
  <c r="P68" i="30"/>
  <c r="M54" i="30"/>
  <c r="O54" i="30" s="1"/>
  <c r="M10" i="30"/>
  <c r="O10" i="30" s="1"/>
  <c r="M62" i="30"/>
  <c r="O62" i="30" s="1"/>
  <c r="M13" i="30"/>
  <c r="O13" i="30" s="1"/>
  <c r="M16" i="30"/>
  <c r="O16" i="30" s="1"/>
  <c r="P80" i="30"/>
  <c r="N5" i="30"/>
  <c r="M123" i="30"/>
  <c r="O123" i="30" s="1"/>
  <c r="M91" i="30"/>
  <c r="O91" i="30" s="1"/>
  <c r="P84" i="30"/>
  <c r="M23" i="30"/>
  <c r="O23" i="30" s="1"/>
  <c r="M81" i="30"/>
  <c r="O81" i="30" s="1"/>
  <c r="M96" i="30"/>
  <c r="O96" i="30" s="1"/>
  <c r="M108" i="30"/>
  <c r="O108" i="30" s="1"/>
  <c r="M79" i="30"/>
  <c r="O79" i="30" s="1"/>
  <c r="P16" i="30"/>
  <c r="P6" i="30"/>
  <c r="P63" i="30"/>
  <c r="N91" i="30"/>
  <c r="N84" i="30"/>
  <c r="M25" i="30"/>
  <c r="O25" i="30" s="1"/>
  <c r="P62" i="30"/>
  <c r="P53" i="30"/>
  <c r="N80" i="30"/>
  <c r="P97" i="30"/>
  <c r="N101" i="30"/>
  <c r="N86" i="30"/>
  <c r="M21" i="30"/>
  <c r="O21" i="30" s="1"/>
  <c r="N6" i="30"/>
  <c r="M64" i="30"/>
  <c r="O64" i="30" s="1"/>
  <c r="M45" i="30"/>
  <c r="O45" i="30" s="1"/>
  <c r="N16" i="30"/>
  <c r="N96" i="30"/>
  <c r="M111" i="30"/>
  <c r="O111" i="30" s="1"/>
  <c r="N121" i="30"/>
  <c r="M104" i="30"/>
  <c r="O104" i="30" s="1"/>
  <c r="M18" i="30"/>
  <c r="O18" i="30" s="1"/>
  <c r="M65" i="30"/>
  <c r="O65" i="30" s="1"/>
  <c r="M19" i="30"/>
  <c r="O19" i="30" s="1"/>
  <c r="M6" i="30"/>
  <c r="O6" i="30" s="1"/>
  <c r="M37" i="30"/>
  <c r="O37" i="30" s="1"/>
  <c r="P22" i="30"/>
  <c r="N67" i="30"/>
  <c r="P32" i="30"/>
  <c r="N58" i="30"/>
  <c r="P58" i="30"/>
  <c r="P121" i="30"/>
  <c r="P107" i="30"/>
  <c r="P94" i="30"/>
  <c r="M82" i="30"/>
  <c r="O82" i="30" s="1"/>
  <c r="P40" i="30"/>
  <c r="P17" i="30"/>
  <c r="N69" i="30"/>
  <c r="X86" i="30"/>
  <c r="P86" i="30" s="1"/>
  <c r="N83" i="30"/>
  <c r="N65" i="30"/>
  <c r="M7" i="30"/>
  <c r="O7" i="30" s="1"/>
  <c r="P74" i="30"/>
  <c r="N56" i="30"/>
  <c r="N28" i="30"/>
  <c r="N22" i="30"/>
  <c r="M121" i="30"/>
  <c r="O121" i="30" s="1"/>
  <c r="M103" i="30"/>
  <c r="O103" i="30" s="1"/>
  <c r="M74" i="30"/>
  <c r="O74" i="30" s="1"/>
  <c r="M75" i="30"/>
  <c r="O75" i="30" s="1"/>
  <c r="P88" i="30"/>
  <c r="P56" i="30"/>
  <c r="P28" i="30"/>
  <c r="P18" i="30"/>
  <c r="P15" i="30"/>
  <c r="P83" i="30"/>
  <c r="P61" i="30"/>
  <c r="M83" i="30"/>
  <c r="O83" i="30" s="1"/>
  <c r="N40" i="30"/>
  <c r="N122" i="30"/>
  <c r="P108" i="30"/>
  <c r="M78" i="30"/>
  <c r="O78" i="30" s="1"/>
  <c r="N95" i="30"/>
  <c r="M68" i="30"/>
  <c r="O68" i="30" s="1"/>
  <c r="N82" i="30"/>
  <c r="N15" i="30"/>
  <c r="N21" i="30"/>
  <c r="P122" i="30"/>
  <c r="M100" i="30"/>
  <c r="O100" i="30" s="1"/>
  <c r="M110" i="30"/>
  <c r="O110" i="30" s="1"/>
  <c r="M116" i="30"/>
  <c r="O116" i="30" s="1"/>
  <c r="P103" i="30"/>
  <c r="M72" i="30"/>
  <c r="O72" i="30" s="1"/>
  <c r="M89" i="30"/>
  <c r="O89" i="30" s="1"/>
  <c r="M84" i="30"/>
  <c r="O84" i="30" s="1"/>
  <c r="X13" i="30"/>
  <c r="P13" i="30" s="1"/>
  <c r="N119" i="30"/>
  <c r="N74" i="30"/>
  <c r="M80" i="30"/>
  <c r="O80" i="30" s="1"/>
  <c r="P96" i="30"/>
  <c r="P90" i="30"/>
  <c r="N85" i="30"/>
  <c r="P23" i="30"/>
  <c r="N61" i="30"/>
  <c r="N32" i="30"/>
  <c r="N63" i="30"/>
  <c r="N17" i="30"/>
  <c r="P55" i="30"/>
  <c r="M86" i="30"/>
  <c r="O86" i="30" s="1"/>
  <c r="N25" i="30"/>
  <c r="M109" i="30"/>
  <c r="O109" i="30" s="1"/>
  <c r="M107" i="30"/>
  <c r="O107" i="30" s="1"/>
  <c r="N111" i="30"/>
  <c r="P115" i="30"/>
  <c r="N88" i="30"/>
  <c r="P25" i="30"/>
  <c r="P7" i="30"/>
  <c r="P119" i="30"/>
  <c r="M69" i="30"/>
  <c r="O69" i="30" s="1"/>
  <c r="N31" i="30"/>
  <c r="P65" i="30"/>
  <c r="P27" i="30"/>
  <c r="N53" i="30"/>
  <c r="N7" i="30"/>
  <c r="P100" i="30"/>
  <c r="P26" i="30"/>
  <c r="AF109" i="30"/>
  <c r="P109" i="30" s="1"/>
  <c r="N109" i="30"/>
  <c r="N102" i="30"/>
  <c r="X102" i="30"/>
  <c r="P102" i="30" s="1"/>
  <c r="N104" i="30"/>
  <c r="N75" i="30"/>
  <c r="N100" i="30"/>
  <c r="N81" i="30"/>
  <c r="P101" i="30"/>
  <c r="P64" i="30"/>
  <c r="N26" i="30"/>
  <c r="N18" i="30"/>
  <c r="N10" i="30"/>
  <c r="N87" i="30"/>
  <c r="N55" i="30"/>
  <c r="N23" i="30"/>
  <c r="N27" i="30"/>
  <c r="M94" i="30"/>
  <c r="O94" i="30" s="1"/>
  <c r="N97" i="30"/>
  <c r="P118" i="30"/>
  <c r="M95" i="30"/>
  <c r="O95" i="30" s="1"/>
  <c r="P75" i="30"/>
  <c r="P116" i="30"/>
  <c r="X92" i="30"/>
  <c r="P92" i="30" s="1"/>
  <c r="N92" i="30"/>
  <c r="P81" i="30"/>
  <c r="N72" i="30"/>
  <c r="M92" i="30"/>
  <c r="O92" i="30" s="1"/>
  <c r="P30" i="30"/>
  <c r="P54" i="30"/>
  <c r="P14" i="30"/>
  <c r="N68" i="30"/>
  <c r="P87" i="30"/>
  <c r="P85" i="30"/>
  <c r="N60" i="30"/>
  <c r="P45" i="30"/>
  <c r="P19" i="30"/>
  <c r="P11" i="30"/>
  <c r="P38" i="30"/>
  <c r="N79" i="30"/>
  <c r="N110" i="30"/>
  <c r="X110" i="30"/>
  <c r="P110" i="30" s="1"/>
  <c r="N64" i="30"/>
  <c r="P10" i="30"/>
  <c r="P104" i="30"/>
  <c r="N115" i="30"/>
  <c r="X114" i="30"/>
  <c r="P114" i="30" s="1"/>
  <c r="N114" i="30"/>
  <c r="M101" i="30"/>
  <c r="O101" i="30" s="1"/>
  <c r="M102" i="30"/>
  <c r="O102" i="30" s="1"/>
  <c r="N107" i="30"/>
  <c r="X123" i="30"/>
  <c r="P123" i="30" s="1"/>
  <c r="N123" i="30"/>
  <c r="N108" i="30"/>
  <c r="N118" i="30"/>
  <c r="N103" i="30"/>
  <c r="N94" i="30"/>
  <c r="X78" i="30"/>
  <c r="P78" i="30" s="1"/>
  <c r="N78" i="30"/>
  <c r="N116" i="30"/>
  <c r="P72" i="30"/>
  <c r="N30" i="30"/>
  <c r="N54" i="30"/>
  <c r="N14" i="30"/>
  <c r="P31" i="30"/>
  <c r="N90" i="30"/>
  <c r="P60" i="30"/>
  <c r="N45" i="30"/>
  <c r="N19" i="30"/>
  <c r="N11" i="30"/>
  <c r="N38" i="30"/>
  <c r="P79" i="30"/>
  <c r="T364" i="28" l="1"/>
  <c r="L364" i="28" s="1"/>
  <c r="AE364" i="28"/>
  <c r="T363" i="28"/>
  <c r="L363" i="28" s="1"/>
  <c r="AE363" i="28"/>
  <c r="T362" i="28"/>
  <c r="L362" i="28" s="1"/>
  <c r="AE362" i="28"/>
  <c r="T361" i="28"/>
  <c r="L361" i="28" s="1"/>
  <c r="AE361" i="28"/>
  <c r="T360" i="28"/>
  <c r="L360" i="28" s="1"/>
  <c r="AE360" i="28"/>
  <c r="T359" i="28"/>
  <c r="L359" i="28" s="1"/>
  <c r="AE359" i="28"/>
  <c r="T358" i="28"/>
  <c r="L358" i="28" s="1"/>
  <c r="AE358" i="28"/>
  <c r="T357" i="28"/>
  <c r="L357" i="28" s="1"/>
  <c r="AE357" i="28"/>
  <c r="T356" i="28"/>
  <c r="L356" i="28" s="1"/>
  <c r="AE356" i="28"/>
  <c r="T355" i="28"/>
  <c r="L355" i="28" s="1"/>
  <c r="AE355" i="28"/>
  <c r="T354" i="28"/>
  <c r="L354" i="28" s="1"/>
  <c r="AE354" i="28"/>
  <c r="T353" i="28"/>
  <c r="L353" i="28" s="1"/>
  <c r="AE353" i="28"/>
  <c r="T352" i="28"/>
  <c r="L352" i="28" s="1"/>
  <c r="AE352" i="28"/>
  <c r="T351" i="28"/>
  <c r="L351" i="28" s="1"/>
  <c r="AE351" i="28"/>
  <c r="T350" i="28"/>
  <c r="L350" i="28" s="1"/>
  <c r="AE350" i="28"/>
  <c r="T349" i="28"/>
  <c r="L349" i="28" s="1"/>
  <c r="AE349" i="28"/>
  <c r="T348" i="28"/>
  <c r="L348" i="28" s="1"/>
  <c r="AE348" i="28"/>
  <c r="T347" i="28"/>
  <c r="L347" i="28" s="1"/>
  <c r="AE347" i="28"/>
  <c r="T346" i="28"/>
  <c r="L346" i="28" s="1"/>
  <c r="AE346" i="28"/>
  <c r="T345" i="28"/>
  <c r="L345" i="28" s="1"/>
  <c r="AE345" i="28"/>
  <c r="T344" i="28"/>
  <c r="L344" i="28" s="1"/>
  <c r="AE344" i="28"/>
  <c r="T343" i="28"/>
  <c r="L343" i="28" s="1"/>
  <c r="AE343" i="28"/>
  <c r="T342" i="28"/>
  <c r="L342" i="28" s="1"/>
  <c r="AE342" i="28"/>
  <c r="T341" i="28"/>
  <c r="L341" i="28" s="1"/>
  <c r="AE341" i="28"/>
  <c r="T340" i="28"/>
  <c r="L340" i="28" s="1"/>
  <c r="AE340" i="28"/>
  <c r="T339" i="28"/>
  <c r="L339" i="28" s="1"/>
  <c r="AE339" i="28"/>
  <c r="T338" i="28"/>
  <c r="L338" i="28" s="1"/>
  <c r="AE338" i="28"/>
  <c r="T337" i="28"/>
  <c r="L337" i="28" s="1"/>
  <c r="AE337" i="28"/>
  <c r="T336" i="28"/>
  <c r="L336" i="28" s="1"/>
  <c r="AE336" i="28"/>
  <c r="T335" i="28"/>
  <c r="L335" i="28" s="1"/>
  <c r="AE335" i="28"/>
  <c r="T334" i="28"/>
  <c r="L334" i="28" s="1"/>
  <c r="AE334" i="28"/>
  <c r="T333" i="28"/>
  <c r="L333" i="28" s="1"/>
  <c r="AE333" i="28"/>
  <c r="T332" i="28"/>
  <c r="L332" i="28" s="1"/>
  <c r="AE332" i="28"/>
  <c r="T331" i="28"/>
  <c r="L331" i="28" s="1"/>
  <c r="AE331" i="28"/>
  <c r="T330" i="28"/>
  <c r="L330" i="28" s="1"/>
  <c r="AE330" i="28"/>
  <c r="T329" i="28"/>
  <c r="L329" i="28" s="1"/>
  <c r="AE329" i="28"/>
  <c r="T328" i="28"/>
  <c r="L328" i="28" s="1"/>
  <c r="AE328" i="28"/>
  <c r="T327" i="28"/>
  <c r="L327" i="28" s="1"/>
  <c r="AE327" i="28"/>
  <c r="T326" i="28"/>
  <c r="L326" i="28" s="1"/>
  <c r="AE326" i="28"/>
  <c r="T325" i="28"/>
  <c r="L325" i="28" s="1"/>
  <c r="AE325" i="28"/>
  <c r="T401" i="28"/>
  <c r="AE401" i="28"/>
  <c r="T400" i="28"/>
  <c r="AE400" i="28"/>
  <c r="T399" i="28"/>
  <c r="AE399" i="28"/>
  <c r="T398" i="28"/>
  <c r="AE398" i="28"/>
  <c r="T397" i="28"/>
  <c r="AE397" i="28"/>
  <c r="T396" i="28"/>
  <c r="AE396" i="28"/>
  <c r="T395" i="28"/>
  <c r="AE395" i="28"/>
  <c r="T394" i="28"/>
  <c r="AE394" i="28"/>
  <c r="T393" i="28"/>
  <c r="AE393" i="28"/>
  <c r="T392" i="28"/>
  <c r="AE392" i="28"/>
  <c r="T391" i="28"/>
  <c r="AE391" i="28"/>
  <c r="T390" i="28"/>
  <c r="AE390" i="28"/>
  <c r="T389" i="28"/>
  <c r="AE389" i="28"/>
  <c r="T388" i="28"/>
  <c r="AE388" i="28"/>
  <c r="T387" i="28"/>
  <c r="AE387" i="28"/>
  <c r="T386" i="28"/>
  <c r="AE386" i="28"/>
  <c r="T385" i="28"/>
  <c r="AE385" i="28"/>
  <c r="T384" i="28"/>
  <c r="AE384" i="28"/>
  <c r="T383" i="28"/>
  <c r="AE383" i="28"/>
  <c r="T382" i="28"/>
  <c r="AE382" i="28"/>
  <c r="T381" i="28"/>
  <c r="AE381" i="28"/>
  <c r="T380" i="28"/>
  <c r="AE380" i="28"/>
  <c r="T379" i="28"/>
  <c r="AE379" i="28"/>
  <c r="T378" i="28"/>
  <c r="AE378" i="28"/>
  <c r="T377" i="28"/>
  <c r="AE377" i="28"/>
  <c r="T376" i="28"/>
  <c r="AE376" i="28"/>
  <c r="T375" i="28"/>
  <c r="AE375" i="28"/>
  <c r="T374" i="28"/>
  <c r="AE374" i="28"/>
  <c r="T373" i="28"/>
  <c r="AE373" i="28"/>
  <c r="T372" i="28"/>
  <c r="AE372" i="28"/>
  <c r="T371" i="28"/>
  <c r="AE371" i="28"/>
  <c r="T370" i="28"/>
  <c r="AE370" i="28"/>
  <c r="T369" i="28"/>
  <c r="AE369" i="28"/>
  <c r="T368" i="28"/>
  <c r="AE368" i="28"/>
  <c r="T367" i="28"/>
  <c r="AE367" i="28"/>
  <c r="T366" i="28"/>
  <c r="AE366" i="28"/>
  <c r="T365" i="28"/>
  <c r="AE365" i="28"/>
  <c r="T485" i="28"/>
  <c r="AE485" i="28"/>
  <c r="T484" i="28"/>
  <c r="AE484" i="28"/>
  <c r="T483" i="28"/>
  <c r="AE483" i="28"/>
  <c r="T482" i="28"/>
  <c r="AE482" i="28"/>
  <c r="T481" i="28"/>
  <c r="AE481" i="28"/>
  <c r="T480" i="28"/>
  <c r="AE480" i="28"/>
  <c r="T479" i="28"/>
  <c r="AE479" i="28"/>
  <c r="T478" i="28"/>
  <c r="AE478" i="28"/>
  <c r="T477" i="28"/>
  <c r="AE477" i="28"/>
  <c r="T476" i="28"/>
  <c r="AE476" i="28"/>
  <c r="T475" i="28"/>
  <c r="AE475" i="28"/>
  <c r="T474" i="28"/>
  <c r="AE474" i="28"/>
  <c r="T473" i="28"/>
  <c r="AE473" i="28"/>
  <c r="T472" i="28"/>
  <c r="AE472" i="28"/>
  <c r="T471" i="28"/>
  <c r="AE471" i="28"/>
  <c r="T470" i="28"/>
  <c r="AE470" i="28"/>
  <c r="T469" i="28"/>
  <c r="AE469" i="28"/>
  <c r="T468" i="28"/>
  <c r="AE468" i="28"/>
  <c r="T467" i="28"/>
  <c r="AE467" i="28"/>
  <c r="T466" i="28"/>
  <c r="AE466" i="28"/>
  <c r="T465" i="28"/>
  <c r="AE465" i="28"/>
  <c r="T464" i="28"/>
  <c r="AE464" i="28"/>
  <c r="T463" i="28"/>
  <c r="AE463" i="28"/>
  <c r="T462" i="28"/>
  <c r="AE462" i="28"/>
  <c r="T461" i="28"/>
  <c r="AE461" i="28"/>
  <c r="T460" i="28"/>
  <c r="AE460" i="28"/>
  <c r="T459" i="28"/>
  <c r="AE459" i="28"/>
  <c r="T458" i="28"/>
  <c r="AE458" i="28"/>
  <c r="T457" i="28"/>
  <c r="AE457" i="28"/>
  <c r="T456" i="28"/>
  <c r="AE456" i="28"/>
  <c r="T455" i="28"/>
  <c r="AE455" i="28"/>
  <c r="T454" i="28"/>
  <c r="AE454" i="28"/>
  <c r="T453" i="28"/>
  <c r="AE453" i="28"/>
  <c r="T452" i="28"/>
  <c r="AE452" i="28"/>
  <c r="T451" i="28"/>
  <c r="AE451" i="28"/>
  <c r="T450" i="28"/>
  <c r="AE450" i="28"/>
  <c r="T449" i="28"/>
  <c r="AE449" i="28"/>
  <c r="T448" i="28"/>
  <c r="AE448" i="28"/>
  <c r="T447" i="28"/>
  <c r="AE447" i="28"/>
  <c r="T446" i="28"/>
  <c r="AE446" i="28"/>
  <c r="T445" i="28"/>
  <c r="AE445" i="28"/>
  <c r="T444" i="28"/>
  <c r="AE444" i="28"/>
  <c r="T443" i="28"/>
  <c r="AE443" i="28"/>
  <c r="T442" i="28"/>
  <c r="AE442" i="28"/>
  <c r="T441" i="28"/>
  <c r="AE441" i="28"/>
  <c r="T440" i="28"/>
  <c r="AE440" i="28"/>
  <c r="T439" i="28"/>
  <c r="AE439" i="28"/>
  <c r="T438" i="28"/>
  <c r="AE438" i="28"/>
  <c r="T437" i="28"/>
  <c r="AE437" i="28"/>
  <c r="T436" i="28"/>
  <c r="AE436" i="28"/>
  <c r="T435" i="28"/>
  <c r="AE435" i="28"/>
  <c r="T434" i="28"/>
  <c r="AE434" i="28"/>
  <c r="T433" i="28"/>
  <c r="AE433" i="28"/>
  <c r="T432" i="28"/>
  <c r="AE432" i="28"/>
  <c r="T431" i="28"/>
  <c r="AE431" i="28"/>
  <c r="T430" i="28"/>
  <c r="AE430" i="28"/>
  <c r="T429" i="28"/>
  <c r="AE429" i="28"/>
  <c r="T428" i="28"/>
  <c r="AE428" i="28"/>
  <c r="T427" i="28"/>
  <c r="AE427" i="28"/>
  <c r="T426" i="28"/>
  <c r="AE426" i="28"/>
  <c r="T425" i="28"/>
  <c r="AE425" i="28"/>
  <c r="T424" i="28"/>
  <c r="AE424" i="28"/>
  <c r="T423" i="28"/>
  <c r="AE423" i="28"/>
  <c r="T422" i="28"/>
  <c r="AE422" i="28"/>
  <c r="T421" i="28"/>
  <c r="AE421" i="28"/>
  <c r="T420" i="28"/>
  <c r="AE420" i="28"/>
  <c r="T419" i="28"/>
  <c r="AE419" i="28"/>
  <c r="T418" i="28"/>
  <c r="AE418" i="28"/>
  <c r="T417" i="28"/>
  <c r="AE417" i="28"/>
  <c r="T416" i="28"/>
  <c r="AE416" i="28"/>
  <c r="T415" i="28"/>
  <c r="AE415" i="28"/>
  <c r="T414" i="28"/>
  <c r="AE414" i="28"/>
  <c r="T413" i="28"/>
  <c r="AE413" i="28"/>
  <c r="T412" i="28"/>
  <c r="AE412" i="28"/>
  <c r="T411" i="28"/>
  <c r="AE411" i="28"/>
  <c r="T410" i="28"/>
  <c r="AE410" i="28"/>
  <c r="T409" i="28"/>
  <c r="AE409" i="28"/>
  <c r="T408" i="28"/>
  <c r="AE408" i="28"/>
  <c r="T407" i="28"/>
  <c r="AE407" i="28"/>
  <c r="T406" i="28"/>
  <c r="AE406" i="28"/>
  <c r="T405" i="28"/>
  <c r="AE405" i="28"/>
  <c r="T404" i="28"/>
  <c r="AE404" i="28"/>
  <c r="T403" i="28"/>
  <c r="AE403" i="28"/>
  <c r="T402" i="28"/>
  <c r="AE402" i="28"/>
  <c r="BL334" i="28" l="1"/>
  <c r="BL332" i="28"/>
  <c r="BL339" i="28"/>
  <c r="BL328" i="28"/>
  <c r="BL333" i="28"/>
  <c r="BL359" i="28"/>
  <c r="BL349" i="28"/>
  <c r="BL338" i="28"/>
  <c r="BL327" i="28"/>
  <c r="BL335" i="28"/>
  <c r="BL340" i="28"/>
  <c r="BL331" i="28"/>
  <c r="BL347" i="28"/>
  <c r="BL350" i="28"/>
  <c r="BL353" i="28"/>
  <c r="BL355" i="28"/>
  <c r="BL358" i="28"/>
  <c r="BL363" i="28"/>
  <c r="BL326" i="28"/>
  <c r="BL341" i="28"/>
  <c r="BL348" i="28"/>
  <c r="BL354" i="28"/>
  <c r="BL364" i="28"/>
  <c r="BL336" i="28"/>
  <c r="BL337" i="28"/>
  <c r="BL342" i="28"/>
  <c r="BL343" i="28"/>
  <c r="BL346" i="28"/>
  <c r="BL351" i="28"/>
  <c r="BL352" i="28"/>
  <c r="BL362" i="28"/>
  <c r="BL329" i="28"/>
  <c r="BL330" i="28"/>
  <c r="BL344" i="28"/>
  <c r="BL356" i="28"/>
  <c r="BL361" i="28"/>
  <c r="BL345" i="28"/>
  <c r="BL357" i="28"/>
  <c r="BL360" i="28"/>
  <c r="BL325" i="28"/>
  <c r="BL370" i="28"/>
  <c r="BL392" i="28"/>
  <c r="BL400" i="28"/>
  <c r="BL373" i="28"/>
  <c r="BL366" i="28"/>
  <c r="BL371" i="28"/>
  <c r="BL376" i="28"/>
  <c r="BL378" i="28"/>
  <c r="BL382" i="28"/>
  <c r="BL384" i="28"/>
  <c r="BL386" i="28"/>
  <c r="BL388" i="28"/>
  <c r="BL398" i="28"/>
  <c r="BL367" i="28"/>
  <c r="BL369" i="28"/>
  <c r="BL375" i="28"/>
  <c r="BL379" i="28"/>
  <c r="BL383" i="28"/>
  <c r="BL387" i="28"/>
  <c r="BL391" i="28"/>
  <c r="BL393" i="28"/>
  <c r="BL395" i="28"/>
  <c r="BL399" i="28"/>
  <c r="BL401" i="28"/>
  <c r="BL380" i="28"/>
  <c r="BL390" i="28"/>
  <c r="BL394" i="28"/>
  <c r="BL396" i="28"/>
  <c r="BL377" i="28"/>
  <c r="BL381" i="28"/>
  <c r="BL385" i="28"/>
  <c r="BL389" i="28"/>
  <c r="BL397" i="28"/>
  <c r="BL372" i="28"/>
  <c r="BL368" i="28"/>
  <c r="BL374" i="28"/>
  <c r="BL453" i="28"/>
  <c r="BL481" i="28"/>
  <c r="BL433" i="28"/>
  <c r="BL439" i="28"/>
  <c r="BL424" i="28"/>
  <c r="BL420" i="28"/>
  <c r="BL422" i="28"/>
  <c r="BL426" i="28"/>
  <c r="BL427" i="28"/>
  <c r="BL444" i="28"/>
  <c r="BL465" i="28"/>
  <c r="BL483" i="28"/>
  <c r="BL406" i="28"/>
  <c r="BL431" i="28"/>
  <c r="BL435" i="28"/>
  <c r="BL455" i="28"/>
  <c r="BL459" i="28"/>
  <c r="BL467" i="28"/>
  <c r="BL403" i="28"/>
  <c r="BL438" i="28"/>
  <c r="BL441" i="28"/>
  <c r="BL479" i="28"/>
  <c r="BL365" i="28"/>
  <c r="BL447" i="28"/>
  <c r="BL448" i="28"/>
  <c r="BL404" i="28"/>
  <c r="BL405" i="28"/>
  <c r="BL419" i="28"/>
  <c r="BL428" i="28"/>
  <c r="BL436" i="28"/>
  <c r="BL449" i="28"/>
  <c r="BL408" i="28"/>
  <c r="BL407" i="28"/>
  <c r="BL410" i="28"/>
  <c r="BL411" i="28"/>
  <c r="BL429" i="28"/>
  <c r="BL463" i="28"/>
  <c r="BL430" i="28"/>
  <c r="BL432" i="28"/>
  <c r="BL434" i="28"/>
  <c r="BL437" i="28"/>
  <c r="BL442" i="28"/>
  <c r="BL443" i="28"/>
  <c r="BL450" i="28"/>
  <c r="BL452" i="28"/>
  <c r="BL456" i="28"/>
  <c r="BL460" i="28"/>
  <c r="BL413" i="28"/>
  <c r="BL416" i="28"/>
  <c r="BL423" i="28"/>
  <c r="BL425" i="28"/>
  <c r="BL440" i="28"/>
  <c r="BL470" i="28"/>
  <c r="BL485" i="28"/>
  <c r="BL451" i="28"/>
  <c r="BL457" i="28"/>
  <c r="BL461" i="28"/>
  <c r="BL464" i="28"/>
  <c r="BL466" i="28"/>
  <c r="BL469" i="28"/>
  <c r="BL473" i="28"/>
  <c r="BL454" i="28"/>
  <c r="BL458" i="28"/>
  <c r="BL462" i="28"/>
  <c r="BL468" i="28"/>
  <c r="BL471" i="28"/>
  <c r="BL472" i="28"/>
  <c r="BL475" i="28"/>
  <c r="BL477" i="28"/>
  <c r="BL412" i="28"/>
  <c r="BL414" i="28"/>
  <c r="BL417" i="28"/>
  <c r="BL409" i="28"/>
  <c r="BL415" i="28"/>
  <c r="BL418" i="28"/>
  <c r="BL421" i="28"/>
  <c r="BL445" i="28"/>
  <c r="BL446" i="28"/>
  <c r="BL474" i="28"/>
  <c r="BL478" i="28"/>
  <c r="BL482" i="28"/>
  <c r="BL476" i="28"/>
  <c r="BL480" i="28"/>
  <c r="BL484" i="28"/>
  <c r="BL402" i="28"/>
  <c r="AW117" i="28"/>
  <c r="AW116" i="28"/>
  <c r="AW114" i="28"/>
  <c r="AW113" i="28"/>
  <c r="AW112" i="28"/>
  <c r="AW111" i="28"/>
  <c r="AW106" i="28"/>
  <c r="AW105" i="28"/>
  <c r="AW104" i="28"/>
  <c r="AW103" i="28"/>
  <c r="AW102" i="28"/>
  <c r="AW101" i="28"/>
  <c r="AW99" i="28"/>
  <c r="AW96" i="28"/>
  <c r="AW95" i="28"/>
  <c r="AW94" i="28"/>
  <c r="AW93" i="28"/>
  <c r="AW92" i="28"/>
  <c r="AW91" i="28"/>
  <c r="AW89" i="28"/>
  <c r="AW88" i="28"/>
  <c r="AW84" i="28"/>
  <c r="AW83" i="28"/>
  <c r="AW81" i="28"/>
  <c r="AW80" i="28"/>
  <c r="AW74" i="28"/>
  <c r="AW73" i="28"/>
  <c r="AW72" i="28"/>
  <c r="AW66" i="28"/>
  <c r="AW65" i="28"/>
  <c r="AW64" i="28"/>
  <c r="AW63" i="28"/>
  <c r="AW62" i="28"/>
  <c r="AW61" i="28"/>
  <c r="AW60" i="28"/>
  <c r="AW59" i="28"/>
  <c r="AW32" i="28"/>
  <c r="AW31" i="28"/>
  <c r="AW30" i="28"/>
  <c r="AW28" i="28"/>
  <c r="AW27" i="28"/>
  <c r="AW25" i="28"/>
  <c r="AW23" i="28"/>
  <c r="T324" i="28"/>
  <c r="AE324" i="28"/>
  <c r="T323" i="28"/>
  <c r="AE323" i="28"/>
  <c r="T322" i="28"/>
  <c r="AE322" i="28"/>
  <c r="T321" i="28"/>
  <c r="AE321" i="28"/>
  <c r="T320" i="28"/>
  <c r="AE320" i="28"/>
  <c r="T319" i="28"/>
  <c r="AE319" i="28"/>
  <c r="AE318" i="28"/>
  <c r="T318" i="28"/>
  <c r="T317" i="28"/>
  <c r="AE317" i="28"/>
  <c r="T316" i="28"/>
  <c r="AE316" i="28"/>
  <c r="T315" i="28"/>
  <c r="AE315" i="28"/>
  <c r="T314" i="28"/>
  <c r="AE314" i="28"/>
  <c r="T313" i="28"/>
  <c r="AE313" i="28"/>
  <c r="T312" i="28"/>
  <c r="AE312" i="28"/>
  <c r="T311" i="28"/>
  <c r="AE311" i="28"/>
  <c r="T310" i="28"/>
  <c r="AE310" i="28"/>
  <c r="T309" i="28"/>
  <c r="AE309" i="28"/>
  <c r="T308" i="28"/>
  <c r="AE308" i="28"/>
  <c r="T307" i="28"/>
  <c r="AE307" i="28"/>
  <c r="T306" i="28"/>
  <c r="AE306" i="28"/>
  <c r="T305" i="28"/>
  <c r="AE305" i="28"/>
  <c r="T304" i="28"/>
  <c r="AE304" i="28"/>
  <c r="T303" i="28"/>
  <c r="AE303" i="28"/>
  <c r="T302" i="28"/>
  <c r="AE302" i="28"/>
  <c r="T301" i="28"/>
  <c r="AE301" i="28"/>
  <c r="T300" i="28"/>
  <c r="AE300" i="28"/>
  <c r="T299" i="28"/>
  <c r="AE299" i="28"/>
  <c r="T298" i="28"/>
  <c r="AE298" i="28"/>
  <c r="T297" i="28"/>
  <c r="AE297" i="28"/>
  <c r="T296" i="28"/>
  <c r="AE296" i="28"/>
  <c r="T295" i="28"/>
  <c r="AE295" i="28"/>
  <c r="T294" i="28"/>
  <c r="AE294" i="28"/>
  <c r="T293" i="28"/>
  <c r="AE293" i="28"/>
  <c r="T292" i="28"/>
  <c r="AE292" i="28"/>
  <c r="T291" i="28"/>
  <c r="AE291" i="28"/>
  <c r="T290" i="28"/>
  <c r="AE290" i="28"/>
  <c r="T289" i="28"/>
  <c r="AE289" i="28"/>
  <c r="T288" i="28"/>
  <c r="AE288" i="28"/>
  <c r="T287" i="28"/>
  <c r="AE287" i="28"/>
  <c r="T286" i="28"/>
  <c r="AE286" i="28"/>
  <c r="T285" i="28"/>
  <c r="AE285" i="28"/>
  <c r="T284" i="28"/>
  <c r="AE284" i="28"/>
  <c r="T283" i="28"/>
  <c r="AE283" i="28"/>
  <c r="T282" i="28"/>
  <c r="AE282" i="28"/>
  <c r="T281" i="28"/>
  <c r="AE281" i="28"/>
  <c r="T280" i="28"/>
  <c r="AE280" i="28"/>
  <c r="T279" i="28"/>
  <c r="AE279" i="28"/>
  <c r="T278" i="28"/>
  <c r="AE278" i="28"/>
  <c r="T277" i="28"/>
  <c r="AE277" i="28"/>
  <c r="T276" i="28"/>
  <c r="AE276" i="28"/>
  <c r="T275" i="28"/>
  <c r="AE275" i="28"/>
  <c r="T274" i="28"/>
  <c r="AE274" i="28"/>
  <c r="T273" i="28"/>
  <c r="AE273" i="28"/>
  <c r="T272" i="28"/>
  <c r="AE272" i="28"/>
  <c r="T271" i="28"/>
  <c r="AE271" i="28"/>
  <c r="T270" i="28"/>
  <c r="AE270" i="28"/>
  <c r="T269" i="28"/>
  <c r="AE269" i="28"/>
  <c r="T268" i="28"/>
  <c r="AE268" i="28"/>
  <c r="T267" i="28"/>
  <c r="AE267" i="28"/>
  <c r="T266" i="28"/>
  <c r="AE266" i="28"/>
  <c r="T265" i="28"/>
  <c r="AE265" i="28"/>
  <c r="T264" i="28"/>
  <c r="AE264" i="28"/>
  <c r="T263" i="28"/>
  <c r="AE263" i="28"/>
  <c r="T262" i="28"/>
  <c r="AE262" i="28"/>
  <c r="T261" i="28"/>
  <c r="AE261" i="28"/>
  <c r="T260" i="28"/>
  <c r="AE260" i="28"/>
  <c r="T259" i="28"/>
  <c r="AE259" i="28"/>
  <c r="T258" i="28"/>
  <c r="AE258" i="28"/>
  <c r="T257" i="28"/>
  <c r="AE257" i="28"/>
  <c r="T256" i="28"/>
  <c r="AE256" i="28"/>
  <c r="T255" i="28"/>
  <c r="AE255" i="28"/>
  <c r="T254" i="28"/>
  <c r="AE254" i="28"/>
  <c r="T253" i="28"/>
  <c r="AE253" i="28"/>
  <c r="T252" i="28"/>
  <c r="AE252" i="28"/>
  <c r="T251" i="28"/>
  <c r="AE251" i="28"/>
  <c r="T250" i="28"/>
  <c r="AE250" i="28"/>
  <c r="T249" i="28"/>
  <c r="AE249" i="28"/>
  <c r="T248" i="28"/>
  <c r="AE248" i="28"/>
  <c r="T247" i="28"/>
  <c r="AE247" i="28"/>
  <c r="T246" i="28"/>
  <c r="AE246" i="28"/>
  <c r="T245" i="28"/>
  <c r="AE245" i="28"/>
  <c r="T244" i="28"/>
  <c r="AE244" i="28"/>
  <c r="T243" i="28"/>
  <c r="AE243" i="28"/>
  <c r="T242" i="28"/>
  <c r="AE242" i="28"/>
  <c r="T241" i="28"/>
  <c r="AE241" i="28"/>
  <c r="T240" i="28"/>
  <c r="AE240" i="28"/>
  <c r="T239" i="28"/>
  <c r="AE239" i="28"/>
  <c r="T238" i="28"/>
  <c r="AE238" i="28"/>
  <c r="T237" i="28"/>
  <c r="AE237" i="28"/>
  <c r="T236" i="28"/>
  <c r="AE236" i="28"/>
  <c r="T235" i="28"/>
  <c r="AE235" i="28"/>
  <c r="T234" i="28"/>
  <c r="AE234" i="28"/>
  <c r="T233" i="28"/>
  <c r="AE233" i="28"/>
  <c r="T232" i="28"/>
  <c r="AE232" i="28"/>
  <c r="T231" i="28"/>
  <c r="AE231" i="28"/>
  <c r="T230" i="28"/>
  <c r="AE230" i="28"/>
  <c r="T229" i="28"/>
  <c r="AE229" i="28"/>
  <c r="T228" i="28"/>
  <c r="AE228" i="28"/>
  <c r="T227" i="28"/>
  <c r="AE227" i="28"/>
  <c r="T226" i="28"/>
  <c r="AE226" i="28"/>
  <c r="T225" i="28"/>
  <c r="AE225" i="28"/>
  <c r="T224" i="28"/>
  <c r="AE224" i="28"/>
  <c r="T223" i="28"/>
  <c r="AE223" i="28"/>
  <c r="T222" i="28"/>
  <c r="AE222" i="28"/>
  <c r="T221" i="28"/>
  <c r="AE221" i="28"/>
  <c r="T220" i="28"/>
  <c r="AE220" i="28"/>
  <c r="T219" i="28"/>
  <c r="AE219" i="28"/>
  <c r="T218" i="28"/>
  <c r="AE218" i="28"/>
  <c r="T217" i="28"/>
  <c r="AE217" i="28"/>
  <c r="T216" i="28"/>
  <c r="AE216" i="28"/>
  <c r="T215" i="28"/>
  <c r="AE215" i="28"/>
  <c r="T214" i="28"/>
  <c r="AE214" i="28"/>
  <c r="T213" i="28"/>
  <c r="AE213" i="28"/>
  <c r="T212" i="28"/>
  <c r="AE212" i="28"/>
  <c r="T211" i="28"/>
  <c r="AE211" i="28"/>
  <c r="T210" i="28"/>
  <c r="AE210" i="28"/>
  <c r="T209" i="28"/>
  <c r="AE209" i="28"/>
  <c r="T208" i="28"/>
  <c r="AE208" i="28"/>
  <c r="T207" i="28"/>
  <c r="AE207" i="28"/>
  <c r="T206" i="28"/>
  <c r="AE206" i="28"/>
  <c r="T205" i="28"/>
  <c r="AE205" i="28"/>
  <c r="T204" i="28"/>
  <c r="AE204" i="28"/>
  <c r="T203" i="28"/>
  <c r="AE203" i="28"/>
  <c r="T202" i="28"/>
  <c r="AE202" i="28"/>
  <c r="T201" i="28"/>
  <c r="AE201" i="28"/>
  <c r="T200" i="28"/>
  <c r="AE200" i="28"/>
  <c r="T199" i="28"/>
  <c r="AE199" i="28"/>
  <c r="T198" i="28"/>
  <c r="AE198" i="28"/>
  <c r="T197" i="28"/>
  <c r="AE197" i="28"/>
  <c r="T196" i="28"/>
  <c r="AE196" i="28"/>
  <c r="T195" i="28"/>
  <c r="AE195" i="28"/>
  <c r="T194" i="28"/>
  <c r="AE194" i="28"/>
  <c r="T193" i="28"/>
  <c r="AE193" i="28"/>
  <c r="T192" i="28"/>
  <c r="AE192" i="28"/>
  <c r="T191" i="28"/>
  <c r="AE191" i="28"/>
  <c r="T190" i="28"/>
  <c r="AE190" i="28"/>
  <c r="T189" i="28"/>
  <c r="AE189" i="28"/>
  <c r="T188" i="28"/>
  <c r="AE188" i="28"/>
  <c r="T187" i="28"/>
  <c r="AE187" i="28"/>
  <c r="AE186" i="28"/>
  <c r="BL280" i="28" l="1"/>
  <c r="BL286" i="28"/>
  <c r="BL219" i="28"/>
  <c r="BL308" i="28"/>
  <c r="BL218" i="28"/>
  <c r="BL210" i="28"/>
  <c r="BL289" i="28"/>
  <c r="BL253" i="28"/>
  <c r="BL261" i="28"/>
  <c r="BL293" i="28"/>
  <c r="BL257" i="28"/>
  <c r="BL311" i="28"/>
  <c r="BL279" i="28"/>
  <c r="BL220" i="28"/>
  <c r="BL256" i="28"/>
  <c r="BL241" i="28"/>
  <c r="BL258" i="28"/>
  <c r="BL259" i="28"/>
  <c r="BL268" i="28"/>
  <c r="BL316" i="28"/>
  <c r="BL244" i="28"/>
  <c r="BL245" i="28"/>
  <c r="BL264" i="28"/>
  <c r="BL274" i="28"/>
  <c r="BL275" i="28"/>
  <c r="BL297" i="28"/>
  <c r="BL302" i="28"/>
  <c r="BL309" i="28"/>
  <c r="BL212" i="28"/>
  <c r="BL186" i="28"/>
  <c r="BL203" i="28"/>
  <c r="BL222" i="28"/>
  <c r="BL238" i="28"/>
  <c r="BL310" i="28"/>
  <c r="BL229" i="28"/>
  <c r="BL276" i="28"/>
  <c r="BL260" i="28"/>
  <c r="BL187" i="28"/>
  <c r="BL195" i="28"/>
  <c r="BL188" i="28"/>
  <c r="BL189" i="28"/>
  <c r="BL193" i="28"/>
  <c r="BL194" i="28"/>
  <c r="BL207" i="28"/>
  <c r="BL213" i="28"/>
  <c r="BL221" i="28"/>
  <c r="BL227" i="28"/>
  <c r="BL228" i="28"/>
  <c r="BL234" i="28"/>
  <c r="BL246" i="28"/>
  <c r="BL249" i="28"/>
  <c r="BL319" i="28"/>
  <c r="BL196" i="28"/>
  <c r="BL197" i="28"/>
  <c r="BL198" i="28"/>
  <c r="BL199" i="28"/>
  <c r="BL211" i="28"/>
  <c r="BL214" i="28"/>
  <c r="BL215" i="28"/>
  <c r="BL223" i="28"/>
  <c r="BL224" i="28"/>
  <c r="BL230" i="28"/>
  <c r="BL242" i="28"/>
  <c r="BL243" i="28"/>
  <c r="BL247" i="28"/>
  <c r="BL251" i="28"/>
  <c r="BL254" i="28"/>
  <c r="BL255" i="28"/>
  <c r="BL301" i="28"/>
  <c r="BL318" i="28"/>
  <c r="BL323" i="28"/>
  <c r="BL190" i="28"/>
  <c r="BL191" i="28"/>
  <c r="BL201" i="28"/>
  <c r="BL205" i="28"/>
  <c r="BL209" i="28"/>
  <c r="BL216" i="28"/>
  <c r="BL217" i="28"/>
  <c r="BL226" i="28"/>
  <c r="BL232" i="28"/>
  <c r="BL236" i="28"/>
  <c r="BL240" i="28"/>
  <c r="BL248" i="28"/>
  <c r="BL265" i="28"/>
  <c r="BL266" i="28"/>
  <c r="BL267" i="28"/>
  <c r="BL269" i="28"/>
  <c r="BL281" i="28"/>
  <c r="BL262" i="28"/>
  <c r="BL263" i="28"/>
  <c r="BL270" i="28"/>
  <c r="BL271" i="28"/>
  <c r="BL277" i="28"/>
  <c r="BL285" i="28"/>
  <c r="BL291" i="28"/>
  <c r="BL295" i="28"/>
  <c r="BL299" i="28"/>
  <c r="BL303" i="28"/>
  <c r="BL304" i="28"/>
  <c r="BL305" i="28"/>
  <c r="BL312" i="28"/>
  <c r="BL313" i="28"/>
  <c r="BL320" i="28"/>
  <c r="BL272" i="28"/>
  <c r="BL273" i="28"/>
  <c r="BL278" i="28"/>
  <c r="BL284" i="28"/>
  <c r="BL287" i="28"/>
  <c r="BL306" i="28"/>
  <c r="BL307" i="28"/>
  <c r="BL314" i="28"/>
  <c r="BL315" i="28"/>
  <c r="BL317" i="28"/>
  <c r="BL321" i="28"/>
  <c r="BL322" i="28"/>
  <c r="BL324" i="28"/>
  <c r="BL192" i="28"/>
  <c r="BL225" i="28"/>
  <c r="BL200" i="28"/>
  <c r="BL202" i="28"/>
  <c r="BL204" i="28"/>
  <c r="BL206" i="28"/>
  <c r="BL208" i="28"/>
  <c r="BL231" i="28"/>
  <c r="BL233" i="28"/>
  <c r="BL235" i="28"/>
  <c r="BL237" i="28"/>
  <c r="BL239" i="28"/>
  <c r="BL252" i="28"/>
  <c r="BL282" i="28"/>
  <c r="BL283" i="28"/>
  <c r="BL300" i="28"/>
  <c r="BL250" i="28"/>
  <c r="BL288" i="28"/>
  <c r="BL290" i="28"/>
  <c r="BL292" i="28"/>
  <c r="BL294" i="28"/>
  <c r="BL296" i="28"/>
  <c r="BL298" i="28"/>
  <c r="T186" i="28" l="1"/>
  <c r="BP181" i="28"/>
  <c r="AX181" i="28"/>
  <c r="AE181" i="28"/>
  <c r="BP180" i="28"/>
  <c r="AX180" i="28"/>
  <c r="AE180" i="28"/>
  <c r="BP179" i="28"/>
  <c r="AX179" i="28"/>
  <c r="AE179" i="28"/>
  <c r="BP178" i="28"/>
  <c r="AX178" i="28"/>
  <c r="AE178" i="28"/>
  <c r="BP177" i="28"/>
  <c r="AX177" i="28"/>
  <c r="AE177" i="28"/>
  <c r="BP176" i="28"/>
  <c r="AX176" i="28"/>
  <c r="AE176" i="28"/>
  <c r="BP175" i="28"/>
  <c r="AX175" i="28"/>
  <c r="AE175" i="28"/>
  <c r="BP174" i="28"/>
  <c r="AX174" i="28"/>
  <c r="AE174" i="28"/>
  <c r="BP173" i="28"/>
  <c r="AX173" i="28"/>
  <c r="AE173" i="28"/>
  <c r="BP172" i="28"/>
  <c r="AX172" i="28"/>
  <c r="AE172" i="28"/>
  <c r="BP171" i="28"/>
  <c r="AX171" i="28"/>
  <c r="AE171" i="28"/>
  <c r="BP170" i="28"/>
  <c r="AX170" i="28"/>
  <c r="AE170" i="28"/>
  <c r="BP169" i="28"/>
  <c r="AX169" i="28"/>
  <c r="AE169" i="28"/>
  <c r="BP168" i="28"/>
  <c r="AX168" i="28"/>
  <c r="AE168" i="28"/>
  <c r="BP167" i="28"/>
  <c r="AX167" i="28"/>
  <c r="AE167" i="28"/>
  <c r="BP166" i="28"/>
  <c r="AX166" i="28"/>
  <c r="AE166" i="28"/>
  <c r="BP165" i="28"/>
  <c r="AX165" i="28"/>
  <c r="AE165" i="28"/>
  <c r="BP164" i="28"/>
  <c r="AX164" i="28"/>
  <c r="AE164" i="28"/>
  <c r="BP163" i="28"/>
  <c r="AX163" i="28"/>
  <c r="AE163" i="28"/>
  <c r="BP162" i="28"/>
  <c r="AX162" i="28"/>
  <c r="AE162" i="28"/>
  <c r="BP161" i="28"/>
  <c r="AX161" i="28"/>
  <c r="AE161" i="28"/>
  <c r="BP160" i="28"/>
  <c r="AX160" i="28"/>
  <c r="AE160" i="28"/>
  <c r="BP159" i="28"/>
  <c r="AX159" i="28"/>
  <c r="AE159" i="28"/>
  <c r="BP158" i="28"/>
  <c r="AX158" i="28"/>
  <c r="AE158" i="28"/>
  <c r="BP157" i="28"/>
  <c r="AX157" i="28"/>
  <c r="AE157" i="28"/>
  <c r="BP156" i="28"/>
  <c r="AX156" i="28"/>
  <c r="AE156" i="28"/>
  <c r="BP155" i="28"/>
  <c r="AX155" i="28"/>
  <c r="AE155" i="28"/>
  <c r="BP154" i="28"/>
  <c r="AX154" i="28"/>
  <c r="AE154" i="28"/>
  <c r="BP153" i="28"/>
  <c r="AX153" i="28"/>
  <c r="AE153" i="28"/>
  <c r="BP152" i="28"/>
  <c r="AX152" i="28"/>
  <c r="AE152" i="28"/>
  <c r="BP151" i="28"/>
  <c r="AX151" i="28"/>
  <c r="AE151" i="28"/>
  <c r="BP150" i="28"/>
  <c r="AX150" i="28"/>
  <c r="AE150" i="28"/>
  <c r="BP149" i="28"/>
  <c r="AX149" i="28"/>
  <c r="AE149" i="28"/>
  <c r="BP148" i="28"/>
  <c r="AX148" i="28"/>
  <c r="AE148" i="28"/>
  <c r="BP147" i="28"/>
  <c r="AX147" i="28"/>
  <c r="AE147" i="28"/>
  <c r="BP146" i="28"/>
  <c r="AX146" i="28"/>
  <c r="AE146" i="28"/>
  <c r="BP145" i="28"/>
  <c r="AX145" i="28"/>
  <c r="AE145" i="28"/>
  <c r="BP144" i="28"/>
  <c r="AX144" i="28"/>
  <c r="AE144" i="28"/>
  <c r="BP143" i="28"/>
  <c r="AX143" i="28"/>
  <c r="AE143" i="28"/>
  <c r="BP142" i="28"/>
  <c r="AX142" i="28"/>
  <c r="AE142" i="28"/>
  <c r="BP141" i="28"/>
  <c r="AX141" i="28"/>
  <c r="AE141" i="28"/>
  <c r="BP140" i="28"/>
  <c r="AX140" i="28"/>
  <c r="AE140" i="28"/>
  <c r="BP139" i="28"/>
  <c r="AX139" i="28"/>
  <c r="AE139" i="28"/>
  <c r="BP138" i="28"/>
  <c r="AX138" i="28"/>
  <c r="AE138" i="28"/>
  <c r="BP137" i="28"/>
  <c r="AX137" i="28"/>
  <c r="AE137" i="28"/>
  <c r="BP136" i="28"/>
  <c r="AX136" i="28"/>
  <c r="AE136" i="28"/>
  <c r="BP135" i="28"/>
  <c r="AX135" i="28"/>
  <c r="AE135" i="28"/>
  <c r="BP134" i="28"/>
  <c r="AX134" i="28"/>
  <c r="AE134" i="28"/>
  <c r="BP133" i="28"/>
  <c r="AX133" i="28"/>
  <c r="AE133" i="28"/>
  <c r="BP132" i="28"/>
  <c r="AX132" i="28"/>
  <c r="AE132" i="28"/>
  <c r="BP131" i="28"/>
  <c r="AX131" i="28"/>
  <c r="AE131" i="28"/>
  <c r="AE130" i="28"/>
  <c r="BP129" i="28"/>
  <c r="AX129" i="28"/>
  <c r="AE129" i="28"/>
  <c r="BP128" i="28"/>
  <c r="AX128" i="28"/>
  <c r="AE128" i="28"/>
  <c r="BP127" i="28"/>
  <c r="AX127" i="28"/>
  <c r="AE127" i="28"/>
  <c r="BP126" i="28"/>
  <c r="AX126" i="28"/>
  <c r="AE126" i="28"/>
  <c r="BP125" i="28"/>
  <c r="AX125" i="28"/>
  <c r="AE125" i="28"/>
  <c r="BL163" i="28" l="1"/>
  <c r="BL171" i="28"/>
  <c r="BL179" i="28"/>
  <c r="BL160" i="28"/>
  <c r="BL167" i="28"/>
  <c r="BL175" i="28"/>
  <c r="BL130" i="28"/>
  <c r="BL132" i="28"/>
  <c r="BL140" i="28"/>
  <c r="BL151" i="28"/>
  <c r="BL152" i="28"/>
  <c r="BL154" i="28"/>
  <c r="BL157" i="28"/>
  <c r="BL159" i="28"/>
  <c r="BL161" i="28"/>
  <c r="BL164" i="28"/>
  <c r="BL166" i="28"/>
  <c r="BL168" i="28"/>
  <c r="BL170" i="28"/>
  <c r="BL172" i="28"/>
  <c r="BL174" i="28"/>
  <c r="BL176" i="28"/>
  <c r="BL178" i="28"/>
  <c r="BL180" i="28"/>
  <c r="BL128" i="28"/>
  <c r="BL135" i="28"/>
  <c r="BL143" i="28"/>
  <c r="BL126" i="28"/>
  <c r="BL134" i="28"/>
  <c r="BL137" i="28"/>
  <c r="BL142" i="28"/>
  <c r="BL153" i="28"/>
  <c r="BL155" i="28"/>
  <c r="BL156" i="28"/>
  <c r="BL158" i="28"/>
  <c r="BL162" i="28"/>
  <c r="BL165" i="28"/>
  <c r="BL169" i="28"/>
  <c r="BL173" i="28"/>
  <c r="BL177" i="28"/>
  <c r="BL181" i="28"/>
  <c r="BL144" i="28"/>
  <c r="BL146" i="28"/>
  <c r="BL147" i="28"/>
  <c r="BL149" i="28"/>
  <c r="BL129" i="28"/>
  <c r="BL133" i="28"/>
  <c r="BL136" i="28"/>
  <c r="BL138" i="28"/>
  <c r="BL139" i="28"/>
  <c r="BL141" i="28"/>
  <c r="BL125" i="28"/>
  <c r="BL127" i="28"/>
  <c r="BL131" i="28"/>
  <c r="BL145" i="28"/>
  <c r="BL148" i="28"/>
  <c r="BL150" i="28"/>
  <c r="AB117" i="28" l="1"/>
  <c r="AB113" i="28"/>
  <c r="AB109" i="28"/>
  <c r="AB105" i="28"/>
  <c r="AB103" i="28"/>
  <c r="AB99" i="28"/>
  <c r="AB95" i="28"/>
  <c r="AB93" i="28"/>
  <c r="AB87" i="28"/>
  <c r="AB83" i="28"/>
  <c r="AB79" i="28"/>
  <c r="AB75" i="28"/>
  <c r="AB71" i="28"/>
  <c r="AB70" i="28"/>
  <c r="AB69" i="28"/>
  <c r="AB67" i="28"/>
  <c r="AB63" i="28"/>
  <c r="AB59" i="28"/>
  <c r="AB56" i="28"/>
  <c r="AB52" i="28"/>
  <c r="AB49" i="28"/>
  <c r="AB45" i="28"/>
  <c r="AB42" i="28"/>
  <c r="AB39" i="28"/>
  <c r="AB35" i="28"/>
  <c r="AB31" i="28"/>
  <c r="AB23" i="28"/>
  <c r="AB29" i="28" l="1"/>
  <c r="AB41" i="28"/>
  <c r="AB53" i="28"/>
  <c r="AB61" i="28"/>
  <c r="AB26" i="28"/>
  <c r="AB30" i="28"/>
  <c r="AB34" i="28"/>
  <c r="AB38" i="28"/>
  <c r="AB46" i="28"/>
  <c r="AB50" i="28"/>
  <c r="AB54" i="28"/>
  <c r="AB58" i="28"/>
  <c r="AB62" i="28"/>
  <c r="AB66" i="28"/>
  <c r="AB74" i="28"/>
  <c r="AB78" i="28"/>
  <c r="AB82" i="28"/>
  <c r="AB86" i="28"/>
  <c r="AB90" i="28"/>
  <c r="AB94" i="28"/>
  <c r="AB98" i="28"/>
  <c r="AB102" i="28"/>
  <c r="AB106" i="28"/>
  <c r="AB110" i="28"/>
  <c r="AB114" i="28"/>
  <c r="AB118" i="28"/>
  <c r="AB33" i="28"/>
  <c r="AB77" i="28"/>
  <c r="AB85" i="28"/>
  <c r="AB27" i="28"/>
  <c r="AB43" i="28"/>
  <c r="AB47" i="28"/>
  <c r="AB51" i="28"/>
  <c r="AB55" i="28"/>
  <c r="AB91" i="28"/>
  <c r="AB107" i="28"/>
  <c r="AB111" i="28"/>
  <c r="AB115" i="28"/>
  <c r="AB119" i="28"/>
  <c r="AB25" i="28"/>
  <c r="AB37" i="28"/>
  <c r="AB57" i="28"/>
  <c r="AB65" i="28"/>
  <c r="AB73" i="28"/>
  <c r="AB81" i="28"/>
  <c r="AB89" i="28"/>
  <c r="AB97" i="28"/>
  <c r="AB101" i="28"/>
  <c r="AB24" i="28"/>
  <c r="AB28" i="28"/>
  <c r="AB32" i="28"/>
  <c r="AB36" i="28"/>
  <c r="AB40" i="28"/>
  <c r="AB44" i="28"/>
  <c r="AB48" i="28"/>
  <c r="AB60" i="28"/>
  <c r="AB64" i="28"/>
  <c r="AB68" i="28"/>
  <c r="AB72" i="28"/>
  <c r="AB76" i="28"/>
  <c r="AB80" i="28"/>
  <c r="AB84" i="28"/>
  <c r="AB88" i="28"/>
  <c r="AB92" i="28"/>
  <c r="AB96" i="28"/>
  <c r="AB100" i="28"/>
  <c r="AB104" i="28"/>
  <c r="AB108" i="28"/>
  <c r="AB112" i="28"/>
  <c r="AB116" i="28"/>
  <c r="AB120" i="28"/>
  <c r="AW120" i="28"/>
  <c r="P120" i="28"/>
  <c r="AW119" i="28"/>
  <c r="P119" i="28"/>
  <c r="AW118" i="28"/>
  <c r="P118" i="28"/>
  <c r="P117" i="28"/>
  <c r="P116" i="28"/>
  <c r="AW115" i="28"/>
  <c r="P115" i="28"/>
  <c r="BP114" i="28"/>
  <c r="P114" i="28"/>
  <c r="P113" i="28"/>
  <c r="P112" i="28"/>
  <c r="BP111" i="28"/>
  <c r="P111" i="28"/>
  <c r="AW110" i="28"/>
  <c r="P110" i="28"/>
  <c r="AW109" i="28"/>
  <c r="P109" i="28"/>
  <c r="AW108" i="28"/>
  <c r="AV108" i="28"/>
  <c r="P108" i="28"/>
  <c r="AW107" i="28"/>
  <c r="P107" i="28"/>
  <c r="BP106" i="28"/>
  <c r="P106" i="28"/>
  <c r="BP105" i="28"/>
  <c r="P105" i="28"/>
  <c r="BP104" i="28"/>
  <c r="P104" i="28"/>
  <c r="BP103" i="28"/>
  <c r="P103" i="28"/>
  <c r="BP102" i="28"/>
  <c r="P102" i="28"/>
  <c r="BP101" i="28"/>
  <c r="P101" i="28"/>
  <c r="AW100" i="28"/>
  <c r="P100" i="28"/>
  <c r="BP99" i="28"/>
  <c r="P99" i="28"/>
  <c r="AW98" i="28"/>
  <c r="P98" i="28"/>
  <c r="AW97" i="28"/>
  <c r="P97" i="28"/>
  <c r="BP96" i="28"/>
  <c r="P96" i="28"/>
  <c r="BP95" i="28"/>
  <c r="P95" i="28"/>
  <c r="BP94" i="28"/>
  <c r="P94" i="28"/>
  <c r="BP93" i="28"/>
  <c r="P93" i="28"/>
  <c r="BP92" i="28"/>
  <c r="P92" i="28"/>
  <c r="BP91" i="28"/>
  <c r="P91" i="28"/>
  <c r="AW90" i="28"/>
  <c r="AV90" i="28"/>
  <c r="P90" i="28"/>
  <c r="BP89" i="28"/>
  <c r="P89" i="28"/>
  <c r="P88" i="28"/>
  <c r="AW87" i="28"/>
  <c r="AV87" i="28"/>
  <c r="P87" i="28"/>
  <c r="AW86" i="28"/>
  <c r="P86" i="28"/>
  <c r="AW85" i="28"/>
  <c r="P85" i="28"/>
  <c r="BP84" i="28"/>
  <c r="P84" i="28"/>
  <c r="BP83" i="28"/>
  <c r="P83" i="28"/>
  <c r="AW82" i="28"/>
  <c r="P82" i="28"/>
  <c r="BP81" i="28"/>
  <c r="P81" i="28"/>
  <c r="BP80" i="28"/>
  <c r="P80" i="28"/>
  <c r="AW79" i="28"/>
  <c r="P79" i="28"/>
  <c r="AW78" i="28"/>
  <c r="P78" i="28"/>
  <c r="AW77" i="28"/>
  <c r="P77" i="28"/>
  <c r="AW76" i="28"/>
  <c r="P76" i="28"/>
  <c r="AW75" i="28"/>
  <c r="P75" i="28"/>
  <c r="BP74" i="28"/>
  <c r="P74" i="28"/>
  <c r="BP73" i="28"/>
  <c r="P73" i="28"/>
  <c r="BP72" i="28"/>
  <c r="P72" i="28"/>
  <c r="AW71" i="28"/>
  <c r="P71" i="28"/>
  <c r="AW70" i="28"/>
  <c r="P70" i="28"/>
  <c r="AW69" i="28"/>
  <c r="P69" i="28"/>
  <c r="AW68" i="28"/>
  <c r="P68" i="28"/>
  <c r="AW67" i="28"/>
  <c r="P67" i="28"/>
  <c r="BP66" i="28"/>
  <c r="P66" i="28"/>
  <c r="BP65" i="28"/>
  <c r="P65" i="28"/>
  <c r="BP64" i="28"/>
  <c r="P64" i="28"/>
  <c r="P63" i="28"/>
  <c r="BP62" i="28"/>
  <c r="P62" i="28"/>
  <c r="P61" i="28"/>
  <c r="BP60" i="28"/>
  <c r="P60" i="28"/>
  <c r="P59" i="28"/>
  <c r="AW58" i="28"/>
  <c r="P58" i="28"/>
  <c r="AW57" i="28"/>
  <c r="P57" i="28"/>
  <c r="AW56" i="28"/>
  <c r="AV56" i="28"/>
  <c r="P56" i="28"/>
  <c r="AW55" i="28"/>
  <c r="P55" i="28"/>
  <c r="AW54" i="28"/>
  <c r="AV54" i="28"/>
  <c r="P54" i="28"/>
  <c r="AW53" i="28"/>
  <c r="P53" i="28"/>
  <c r="AW52" i="28"/>
  <c r="AV52" i="28"/>
  <c r="P52" i="28"/>
  <c r="AW51" i="28"/>
  <c r="P51" i="28"/>
  <c r="AW50" i="28"/>
  <c r="AV50" i="28"/>
  <c r="P50" i="28"/>
  <c r="AW49" i="28"/>
  <c r="AV49" i="28"/>
  <c r="P49" i="28"/>
  <c r="AW48" i="28"/>
  <c r="P48" i="28"/>
  <c r="AW47" i="28"/>
  <c r="AV47" i="28"/>
  <c r="P47" i="28"/>
  <c r="AW46" i="28"/>
  <c r="AV46" i="28"/>
  <c r="P46" i="28"/>
  <c r="AW45" i="28"/>
  <c r="AV45" i="28"/>
  <c r="P45" i="28"/>
  <c r="AW44" i="28"/>
  <c r="AV44" i="28"/>
  <c r="P44" i="28"/>
  <c r="AW43" i="28"/>
  <c r="AV43" i="28"/>
  <c r="P43" i="28"/>
  <c r="AW42" i="28"/>
  <c r="AV42" i="28"/>
  <c r="P42" i="28"/>
  <c r="AW41" i="28"/>
  <c r="P41" i="28"/>
  <c r="AW40" i="28"/>
  <c r="P40" i="28"/>
  <c r="AW39" i="28"/>
  <c r="P39" i="28"/>
  <c r="AW38" i="28"/>
  <c r="P38" i="28"/>
  <c r="AW37" i="28"/>
  <c r="P37" i="28"/>
  <c r="AW36" i="28"/>
  <c r="P36" i="28"/>
  <c r="AW35" i="28"/>
  <c r="P35" i="28"/>
  <c r="AW34" i="28"/>
  <c r="P34" i="28"/>
  <c r="AW33" i="28"/>
  <c r="P33" i="28"/>
  <c r="BP32" i="28"/>
  <c r="P32" i="28"/>
  <c r="BP31" i="28"/>
  <c r="P31" i="28"/>
  <c r="BP30" i="28"/>
  <c r="P30" i="28"/>
  <c r="AW29" i="28"/>
  <c r="AV29" i="28"/>
  <c r="P29" i="28"/>
  <c r="BP28" i="28"/>
  <c r="P28" i="28"/>
  <c r="BP27" i="28"/>
  <c r="P27" i="28"/>
  <c r="AW26" i="28"/>
  <c r="AV26" i="28"/>
  <c r="P26" i="28"/>
  <c r="BP25" i="28"/>
  <c r="P25" i="28"/>
  <c r="AW24" i="28"/>
  <c r="AV24" i="28"/>
  <c r="P24" i="28"/>
  <c r="P23" i="28"/>
  <c r="BP18" i="28"/>
  <c r="BP17" i="28"/>
  <c r="BP16" i="28"/>
  <c r="BP15" i="28"/>
  <c r="BP14" i="28"/>
  <c r="BP12" i="28"/>
  <c r="BP11" i="28"/>
  <c r="BP9" i="28"/>
  <c r="BP8" i="28"/>
  <c r="BP7" i="28"/>
  <c r="BP5" i="28"/>
  <c r="BP4" i="28"/>
  <c r="AX18" i="28"/>
  <c r="AX17" i="28"/>
  <c r="AX16" i="28"/>
  <c r="AX15" i="28"/>
  <c r="AX14" i="28"/>
  <c r="AX13" i="28"/>
  <c r="AX12" i="28"/>
  <c r="AX11" i="28"/>
  <c r="AX10" i="28"/>
  <c r="AX9" i="28"/>
  <c r="AX8" i="28"/>
  <c r="AX7" i="28"/>
  <c r="AX6" i="28"/>
  <c r="AX5" i="28"/>
  <c r="AX4" i="28"/>
  <c r="AE54" i="28" l="1"/>
  <c r="AF54" i="28"/>
  <c r="AE56" i="28"/>
  <c r="AF56" i="28"/>
  <c r="AE75" i="28"/>
  <c r="AF75" i="28"/>
  <c r="AE77" i="28"/>
  <c r="AF77" i="28"/>
  <c r="AE108" i="28"/>
  <c r="AF108" i="28"/>
  <c r="AE120" i="28"/>
  <c r="AF120" i="28"/>
  <c r="AF48" i="28"/>
  <c r="AE48" i="28"/>
  <c r="AE58" i="28"/>
  <c r="AF58" i="28"/>
  <c r="AE68" i="28"/>
  <c r="AF68" i="28"/>
  <c r="AE85" i="28"/>
  <c r="AF85" i="28"/>
  <c r="AE110" i="28"/>
  <c r="AF110" i="28"/>
  <c r="AE118" i="28"/>
  <c r="AF118" i="28"/>
  <c r="AF26" i="28"/>
  <c r="AE26" i="28"/>
  <c r="AF33" i="28"/>
  <c r="AE33" i="28"/>
  <c r="AF35" i="28"/>
  <c r="AE35" i="28"/>
  <c r="AF37" i="28"/>
  <c r="AE37" i="28"/>
  <c r="AF39" i="28"/>
  <c r="AE39" i="28"/>
  <c r="AF41" i="28"/>
  <c r="AE41" i="28"/>
  <c r="AF43" i="28"/>
  <c r="AE43" i="28"/>
  <c r="AF45" i="28"/>
  <c r="AE45" i="28"/>
  <c r="AF47" i="28"/>
  <c r="AE47" i="28"/>
  <c r="AF49" i="28"/>
  <c r="AE49" i="28"/>
  <c r="AF51" i="28"/>
  <c r="AE51" i="28"/>
  <c r="AF53" i="28"/>
  <c r="AE53" i="28"/>
  <c r="AF55" i="28"/>
  <c r="AE55" i="28"/>
  <c r="AE57" i="28"/>
  <c r="AF57" i="28"/>
  <c r="AF67" i="28"/>
  <c r="AE67" i="28"/>
  <c r="AF69" i="28"/>
  <c r="AE69" i="28"/>
  <c r="AF71" i="28"/>
  <c r="AE71" i="28"/>
  <c r="AE76" i="28"/>
  <c r="AF76" i="28"/>
  <c r="AF78" i="28"/>
  <c r="AE78" i="28"/>
  <c r="AF82" i="28"/>
  <c r="AE82" i="28"/>
  <c r="AF86" i="28"/>
  <c r="AE86" i="28"/>
  <c r="AE90" i="28"/>
  <c r="AF90" i="28"/>
  <c r="AF98" i="28"/>
  <c r="AE98" i="28"/>
  <c r="AF107" i="28"/>
  <c r="AE107" i="28"/>
  <c r="AF109" i="28"/>
  <c r="AE109" i="28"/>
  <c r="AE115" i="28"/>
  <c r="AF115" i="28"/>
  <c r="AF119" i="28"/>
  <c r="AE119" i="28"/>
  <c r="AF24" i="28"/>
  <c r="AE24" i="28"/>
  <c r="AF29" i="28"/>
  <c r="AE29" i="28"/>
  <c r="AF34" i="28"/>
  <c r="AE34" i="28"/>
  <c r="AF36" i="28"/>
  <c r="AE36" i="28"/>
  <c r="AF38" i="28"/>
  <c r="AE38" i="28"/>
  <c r="AF40" i="28"/>
  <c r="AE40" i="28"/>
  <c r="AF42" i="28"/>
  <c r="AE42" i="28"/>
  <c r="AF44" i="28"/>
  <c r="AE44" i="28"/>
  <c r="AF46" i="28"/>
  <c r="AE46" i="28"/>
  <c r="AF50" i="28"/>
  <c r="AE50" i="28"/>
  <c r="AE52" i="28"/>
  <c r="AF52" i="28"/>
  <c r="AE70" i="28"/>
  <c r="AF70" i="28"/>
  <c r="AE79" i="28"/>
  <c r="AF79" i="28"/>
  <c r="AE87" i="28"/>
  <c r="AF87" i="28"/>
  <c r="AE97" i="28"/>
  <c r="AF97" i="28"/>
  <c r="AE100" i="28"/>
  <c r="AF100" i="28"/>
  <c r="AX90" i="28"/>
  <c r="AX26" i="28"/>
  <c r="AX47" i="28"/>
  <c r="AX43" i="28"/>
  <c r="AX45" i="28"/>
  <c r="AX49" i="28"/>
  <c r="AV116" i="28"/>
  <c r="AX116" i="28" s="1"/>
  <c r="BP116" i="28"/>
  <c r="AV117" i="28"/>
  <c r="AX117" i="28" s="1"/>
  <c r="BP117" i="28"/>
  <c r="AV23" i="28"/>
  <c r="AX23" i="28" s="1"/>
  <c r="BP23" i="28"/>
  <c r="AX24" i="28"/>
  <c r="AX29" i="28"/>
  <c r="AX42" i="28"/>
  <c r="AX44" i="28"/>
  <c r="AX46" i="28"/>
  <c r="AX50" i="28"/>
  <c r="AX52" i="28"/>
  <c r="AX54" i="28"/>
  <c r="AX56" i="28"/>
  <c r="AV59" i="28"/>
  <c r="AX59" i="28" s="1"/>
  <c r="BP59" i="28"/>
  <c r="AV61" i="28"/>
  <c r="AX61" i="28" s="1"/>
  <c r="BP61" i="28"/>
  <c r="AV63" i="28"/>
  <c r="AX63" i="28" s="1"/>
  <c r="BP63" i="28"/>
  <c r="AX87" i="28"/>
  <c r="AV88" i="28"/>
  <c r="AX88" i="28" s="1"/>
  <c r="BP88" i="28"/>
  <c r="AX108" i="28"/>
  <c r="AV112" i="28"/>
  <c r="AX112" i="28" s="1"/>
  <c r="BP112" i="28"/>
  <c r="AV113" i="28"/>
  <c r="AX113" i="28" s="1"/>
  <c r="BP113" i="28"/>
  <c r="BP50" i="28"/>
  <c r="BP54" i="28"/>
  <c r="BP41" i="28"/>
  <c r="BP47" i="28"/>
  <c r="BP45" i="28"/>
  <c r="BP43" i="28"/>
  <c r="BP36" i="28"/>
  <c r="BP42" i="28"/>
  <c r="T88" i="28"/>
  <c r="AV53" i="28"/>
  <c r="AX53" i="28" s="1"/>
  <c r="BP53" i="28"/>
  <c r="AV60" i="28"/>
  <c r="AX60" i="28" s="1"/>
  <c r="AV64" i="28"/>
  <c r="AX64" i="28" s="1"/>
  <c r="BP26" i="28"/>
  <c r="BP40" i="28"/>
  <c r="BP44" i="28"/>
  <c r="BP46" i="28"/>
  <c r="BP49" i="28"/>
  <c r="BP52" i="28"/>
  <c r="BP56" i="28"/>
  <c r="AV57" i="28"/>
  <c r="AX57" i="28" s="1"/>
  <c r="BP57" i="28"/>
  <c r="T25" i="28"/>
  <c r="AV27" i="28"/>
  <c r="AX27" i="28" s="1"/>
  <c r="AV48" i="28"/>
  <c r="AX48" i="28" s="1"/>
  <c r="BP48" i="28"/>
  <c r="AV51" i="28"/>
  <c r="AX51" i="28" s="1"/>
  <c r="BP51" i="28"/>
  <c r="AV55" i="28"/>
  <c r="AX55" i="28" s="1"/>
  <c r="BP55" i="28"/>
  <c r="AV58" i="28"/>
  <c r="AX58" i="28" s="1"/>
  <c r="BP58" i="28"/>
  <c r="AV62" i="28"/>
  <c r="AX62" i="28" s="1"/>
  <c r="BP87" i="28"/>
  <c r="AV105" i="28"/>
  <c r="AX105" i="28" s="1"/>
  <c r="BP109" i="28"/>
  <c r="AV109" i="28"/>
  <c r="AX109" i="28" s="1"/>
  <c r="T66" i="28"/>
  <c r="T67" i="28"/>
  <c r="T68" i="28"/>
  <c r="T70" i="28"/>
  <c r="T72" i="28"/>
  <c r="T73" i="28"/>
  <c r="T74" i="28"/>
  <c r="T76" i="28"/>
  <c r="T77" i="28"/>
  <c r="T80" i="28"/>
  <c r="T81" i="28"/>
  <c r="T83" i="28"/>
  <c r="T84" i="28"/>
  <c r="T85" i="28"/>
  <c r="T87" i="28"/>
  <c r="T106" i="28"/>
  <c r="T104" i="28"/>
  <c r="T114" i="28"/>
  <c r="T42" i="28"/>
  <c r="T43" i="28"/>
  <c r="T44" i="28"/>
  <c r="T45" i="28"/>
  <c r="T46" i="28"/>
  <c r="T47" i="28"/>
  <c r="T48" i="28"/>
  <c r="T49" i="28"/>
  <c r="T50" i="28"/>
  <c r="T51" i="28"/>
  <c r="T52" i="28"/>
  <c r="T53" i="28"/>
  <c r="T54" i="28"/>
  <c r="T55" i="28"/>
  <c r="T56" i="28"/>
  <c r="T57" i="28"/>
  <c r="T58" i="28"/>
  <c r="T59" i="28"/>
  <c r="T60" i="28"/>
  <c r="T61" i="28"/>
  <c r="T62" i="28"/>
  <c r="T63" i="28"/>
  <c r="T64" i="28"/>
  <c r="T65" i="28"/>
  <c r="AV65" i="28"/>
  <c r="AX65" i="28" s="1"/>
  <c r="AV66" i="28"/>
  <c r="AX66" i="28" s="1"/>
  <c r="BP67" i="28"/>
  <c r="AV67" i="28"/>
  <c r="AX67" i="28" s="1"/>
  <c r="BP68" i="28"/>
  <c r="AV68" i="28"/>
  <c r="AX68" i="28" s="1"/>
  <c r="BP69" i="28"/>
  <c r="AV69" i="28"/>
  <c r="AX69" i="28" s="1"/>
  <c r="BP70" i="28"/>
  <c r="AV70" i="28"/>
  <c r="AX70" i="28" s="1"/>
  <c r="BP71" i="28"/>
  <c r="AV71" i="28"/>
  <c r="AX71" i="28" s="1"/>
  <c r="AV72" i="28"/>
  <c r="AX72" i="28" s="1"/>
  <c r="AV73" i="28"/>
  <c r="AX73" i="28" s="1"/>
  <c r="AV74" i="28"/>
  <c r="AX74" i="28" s="1"/>
  <c r="BP75" i="28"/>
  <c r="AV75" i="28"/>
  <c r="AX75" i="28" s="1"/>
  <c r="BP76" i="28"/>
  <c r="AV76" i="28"/>
  <c r="AX76" i="28" s="1"/>
  <c r="BP77" i="28"/>
  <c r="AV77" i="28"/>
  <c r="AX77" i="28" s="1"/>
  <c r="BP78" i="28"/>
  <c r="AV78" i="28"/>
  <c r="AX78" i="28" s="1"/>
  <c r="BP79" i="28"/>
  <c r="AV79" i="28"/>
  <c r="AX79" i="28" s="1"/>
  <c r="AV80" i="28"/>
  <c r="AX80" i="28" s="1"/>
  <c r="AV81" i="28"/>
  <c r="AX81" i="28" s="1"/>
  <c r="BP82" i="28"/>
  <c r="AV82" i="28"/>
  <c r="AX82" i="28" s="1"/>
  <c r="AV83" i="28"/>
  <c r="AX83" i="28" s="1"/>
  <c r="AV84" i="28"/>
  <c r="AX84" i="28" s="1"/>
  <c r="BP85" i="28"/>
  <c r="AV85" i="28"/>
  <c r="AX85" i="28" s="1"/>
  <c r="BP86" i="28"/>
  <c r="AV86" i="28"/>
  <c r="AX86" i="28" s="1"/>
  <c r="AV91" i="28"/>
  <c r="AX91" i="28" s="1"/>
  <c r="AV92" i="28"/>
  <c r="AX92" i="28" s="1"/>
  <c r="AV94" i="28"/>
  <c r="AX94" i="28" s="1"/>
  <c r="BP97" i="28"/>
  <c r="AV97" i="28"/>
  <c r="AX97" i="28" s="1"/>
  <c r="BP98" i="28"/>
  <c r="AV98" i="28"/>
  <c r="AX98" i="28" s="1"/>
  <c r="AV101" i="28"/>
  <c r="AX101" i="28" s="1"/>
  <c r="AV102" i="28"/>
  <c r="AX102" i="28" s="1"/>
  <c r="BP107" i="28"/>
  <c r="AV107" i="28"/>
  <c r="AX107" i="28" s="1"/>
  <c r="T69" i="28"/>
  <c r="T71" i="28"/>
  <c r="T75" i="28"/>
  <c r="T78" i="28"/>
  <c r="T79" i="28"/>
  <c r="T82" i="28"/>
  <c r="T86" i="28"/>
  <c r="AV89" i="28"/>
  <c r="AX89" i="28" s="1"/>
  <c r="T96" i="28"/>
  <c r="T100" i="28"/>
  <c r="T94" i="28"/>
  <c r="T97" i="28"/>
  <c r="T101" i="28"/>
  <c r="T105" i="28"/>
  <c r="AV106" i="28"/>
  <c r="AX106" i="28" s="1"/>
  <c r="BP119" i="28"/>
  <c r="AV119" i="28"/>
  <c r="AX119" i="28" s="1"/>
  <c r="AV93" i="28"/>
  <c r="AX93" i="28" s="1"/>
  <c r="AV95" i="28"/>
  <c r="AX95" i="28" s="1"/>
  <c r="T98" i="28"/>
  <c r="AV99" i="28"/>
  <c r="AX99" i="28" s="1"/>
  <c r="T102" i="28"/>
  <c r="AV103" i="28"/>
  <c r="AX103" i="28" s="1"/>
  <c r="T113" i="28"/>
  <c r="T89" i="28"/>
  <c r="T90" i="28"/>
  <c r="T91" i="28"/>
  <c r="T92" i="28"/>
  <c r="AV111" i="28"/>
  <c r="AX111" i="28" s="1"/>
  <c r="AV114" i="28"/>
  <c r="AX114" i="28" s="1"/>
  <c r="BP120" i="28"/>
  <c r="AV120" i="28"/>
  <c r="AX120" i="28" s="1"/>
  <c r="BP90" i="28"/>
  <c r="T93" i="28"/>
  <c r="T95" i="28"/>
  <c r="AV96" i="28"/>
  <c r="AX96" i="28" s="1"/>
  <c r="T99" i="28"/>
  <c r="BP100" i="28"/>
  <c r="AV100" i="28"/>
  <c r="AX100" i="28" s="1"/>
  <c r="T103" i="28"/>
  <c r="AV104" i="28"/>
  <c r="AX104" i="28" s="1"/>
  <c r="T109" i="28"/>
  <c r="BP110" i="28"/>
  <c r="AV110" i="28"/>
  <c r="AX110" i="28" s="1"/>
  <c r="T117" i="28"/>
  <c r="BP118" i="28"/>
  <c r="AV118" i="28"/>
  <c r="AX118" i="28" s="1"/>
  <c r="T110" i="28"/>
  <c r="BP115" i="28"/>
  <c r="AV115" i="28"/>
  <c r="AX115" i="28" s="1"/>
  <c r="T118" i="28"/>
  <c r="T108" i="28"/>
  <c r="T112" i="28"/>
  <c r="T116" i="28"/>
  <c r="T107" i="28"/>
  <c r="BP108" i="28"/>
  <c r="T111" i="28"/>
  <c r="T115" i="28"/>
  <c r="T119" i="28"/>
  <c r="T120" i="28"/>
  <c r="AV40" i="28"/>
  <c r="AX40" i="28" s="1"/>
  <c r="AV41" i="28"/>
  <c r="AX41" i="28" s="1"/>
  <c r="T40" i="28"/>
  <c r="T41" i="28"/>
  <c r="BP24" i="28"/>
  <c r="AV25" i="28"/>
  <c r="AX25" i="28" s="1"/>
  <c r="AV28" i="28"/>
  <c r="AX28" i="28" s="1"/>
  <c r="AV30" i="28"/>
  <c r="AX30" i="28" s="1"/>
  <c r="BP33" i="28"/>
  <c r="BP34" i="28"/>
  <c r="BP35" i="28"/>
  <c r="BP29" i="28"/>
  <c r="AV31" i="28"/>
  <c r="AX31" i="28" s="1"/>
  <c r="BP37" i="28"/>
  <c r="BP38" i="28"/>
  <c r="BP39" i="28"/>
  <c r="T26" i="28"/>
  <c r="T29" i="28"/>
  <c r="T31" i="28"/>
  <c r="T32" i="28"/>
  <c r="T36" i="28"/>
  <c r="T27" i="28"/>
  <c r="T35" i="28"/>
  <c r="T39" i="28"/>
  <c r="T34" i="28"/>
  <c r="T38" i="28"/>
  <c r="T30" i="28"/>
  <c r="T24" i="28"/>
  <c r="T28" i="28"/>
  <c r="T33" i="28"/>
  <c r="T37" i="28"/>
  <c r="AV32" i="28"/>
  <c r="AX32" i="28" s="1"/>
  <c r="AV33" i="28"/>
  <c r="AX33" i="28" s="1"/>
  <c r="AV34" i="28"/>
  <c r="AX34" i="28" s="1"/>
  <c r="AV35" i="28"/>
  <c r="AX35" i="28" s="1"/>
  <c r="AV36" i="28"/>
  <c r="AX36" i="28" s="1"/>
  <c r="AV37" i="28"/>
  <c r="AX37" i="28" s="1"/>
  <c r="AV38" i="28"/>
  <c r="AX38" i="28" s="1"/>
  <c r="AV39" i="28"/>
  <c r="AX39" i="28" s="1"/>
  <c r="T23" i="28"/>
  <c r="T16" i="28" l="1"/>
  <c r="T11" i="28"/>
  <c r="T18" i="28" l="1"/>
  <c r="T17" i="28"/>
  <c r="T15" i="28"/>
  <c r="T14" i="28"/>
  <c r="T13" i="28"/>
  <c r="T12" i="28"/>
  <c r="T10" i="28"/>
  <c r="T9" i="28"/>
  <c r="T8" i="28"/>
  <c r="T7" i="28"/>
  <c r="T6" i="28"/>
  <c r="T5" i="28"/>
  <c r="AG95" i="1" l="1"/>
  <c r="AG93" i="1"/>
  <c r="BN93" i="1" l="1"/>
  <c r="BN95" i="1"/>
  <c r="BN94" i="1"/>
  <c r="N93" i="1"/>
  <c r="N95" i="1"/>
  <c r="AG151" i="1"/>
  <c r="AG150" i="1"/>
  <c r="AG149" i="1"/>
  <c r="AG148" i="1"/>
  <c r="N144" i="1"/>
  <c r="BI93" i="1" l="1"/>
  <c r="BJ93" i="1"/>
  <c r="BN144" i="1"/>
  <c r="BN148" i="1"/>
  <c r="BN149" i="1"/>
  <c r="BN150" i="1"/>
  <c r="BN151" i="1"/>
  <c r="N151" i="1"/>
  <c r="N150" i="1"/>
  <c r="N149" i="1"/>
  <c r="N148" i="1"/>
  <c r="BJ151" i="1" l="1"/>
  <c r="BI151" i="1"/>
  <c r="BI144" i="1"/>
  <c r="BJ144" i="1"/>
  <c r="BI95" i="1"/>
  <c r="BJ95" i="1"/>
  <c r="BI94" i="1"/>
  <c r="BJ94" i="1"/>
  <c r="AD93" i="1"/>
  <c r="BJ148" i="1" l="1"/>
  <c r="BI148" i="1"/>
  <c r="BJ149" i="1"/>
  <c r="BI149" i="1"/>
  <c r="BJ150" i="1"/>
  <c r="BI150" i="1"/>
  <c r="AD149" i="1"/>
  <c r="AD95" i="1"/>
  <c r="AD151" i="1" l="1"/>
  <c r="AD150" i="1"/>
  <c r="AD148" i="1"/>
  <c r="AG187" i="1" l="1"/>
  <c r="AG186" i="1"/>
  <c r="AG185" i="1"/>
  <c r="AG184" i="1"/>
  <c r="AG183" i="1"/>
  <c r="AG182" i="1"/>
  <c r="AG181" i="1"/>
  <c r="AG180" i="1"/>
  <c r="AG179" i="1"/>
  <c r="AG178" i="1"/>
  <c r="AG177" i="1"/>
  <c r="AG176" i="1"/>
  <c r="AG175" i="1"/>
  <c r="AG174" i="1"/>
  <c r="AG173" i="1"/>
  <c r="AG172" i="1"/>
  <c r="AG171" i="1"/>
  <c r="AG170" i="1"/>
  <c r="AG169" i="1"/>
  <c r="AG168" i="1"/>
  <c r="AG167" i="1"/>
  <c r="AG166" i="1"/>
  <c r="AG165" i="1"/>
  <c r="AG164" i="1"/>
  <c r="AG163" i="1"/>
  <c r="AG162" i="1"/>
  <c r="AG161" i="1"/>
  <c r="AG160" i="1"/>
  <c r="AG159" i="1"/>
  <c r="AG158" i="1"/>
  <c r="AG157" i="1"/>
  <c r="AG156" i="1"/>
  <c r="AG141" i="1"/>
  <c r="AG140" i="1"/>
  <c r="AG139" i="1"/>
  <c r="AG138" i="1"/>
  <c r="AG137" i="1"/>
  <c r="AG136" i="1"/>
  <c r="AG135" i="1"/>
  <c r="AG134" i="1"/>
  <c r="AG133" i="1"/>
  <c r="AG132" i="1"/>
  <c r="AG131" i="1"/>
  <c r="AG130" i="1"/>
  <c r="AG129" i="1"/>
  <c r="AG128" i="1"/>
  <c r="AG127" i="1"/>
  <c r="AG126" i="1"/>
  <c r="AG125" i="1"/>
  <c r="AG124" i="1"/>
  <c r="AG123" i="1"/>
  <c r="AG122" i="1"/>
  <c r="AG121" i="1"/>
  <c r="AG120" i="1"/>
  <c r="AG119" i="1"/>
  <c r="AG118" i="1"/>
  <c r="AG117" i="1"/>
  <c r="AG116" i="1"/>
  <c r="AG115" i="1"/>
  <c r="AG114" i="1"/>
  <c r="AG113" i="1"/>
  <c r="AG80" i="1"/>
  <c r="AG79" i="1"/>
  <c r="AG78" i="1"/>
  <c r="AG77" i="1"/>
  <c r="AG76" i="1"/>
  <c r="AG75" i="1"/>
  <c r="AG74" i="1"/>
  <c r="AG73" i="1"/>
  <c r="AG72" i="1"/>
  <c r="AG71" i="1"/>
  <c r="AG70" i="1"/>
  <c r="AG69" i="1"/>
  <c r="AG68" i="1"/>
  <c r="AG67" i="1"/>
  <c r="AG66" i="1"/>
  <c r="AG65" i="1"/>
  <c r="AG64" i="1"/>
  <c r="AG63" i="1"/>
  <c r="AG62" i="1"/>
  <c r="AG61" i="1"/>
  <c r="AG60" i="1"/>
  <c r="AG59" i="1"/>
  <c r="AG58" i="1"/>
  <c r="AG57" i="1"/>
  <c r="AG56" i="1"/>
  <c r="AG55" i="1"/>
  <c r="AG54" i="1"/>
  <c r="AG53" i="1"/>
  <c r="AG52" i="1"/>
  <c r="AG49" i="1"/>
  <c r="AG48" i="1"/>
  <c r="AG47" i="1"/>
  <c r="AG46" i="1"/>
  <c r="AG45" i="1"/>
  <c r="AG44" i="1"/>
  <c r="AG43" i="1"/>
  <c r="AG42" i="1"/>
  <c r="AG41" i="1"/>
  <c r="AG40" i="1"/>
  <c r="AG39" i="1"/>
  <c r="AG38" i="1"/>
  <c r="AG37" i="1"/>
  <c r="AG23" i="1"/>
  <c r="AG22" i="1"/>
  <c r="AG21" i="1"/>
  <c r="AG20" i="1"/>
  <c r="AG19" i="1"/>
  <c r="AG18" i="1"/>
  <c r="AG17" i="1"/>
  <c r="AG16" i="1"/>
  <c r="AG15" i="1"/>
  <c r="AG14" i="1"/>
  <c r="AG13" i="1"/>
  <c r="AG34" i="1"/>
  <c r="AG33" i="1"/>
  <c r="AG32" i="1"/>
  <c r="AG31" i="1"/>
  <c r="AG30" i="1"/>
  <c r="AG29" i="1"/>
  <c r="AG28" i="1"/>
  <c r="AG27" i="1"/>
  <c r="AG26" i="1"/>
  <c r="AG12" i="1"/>
  <c r="AG11" i="1"/>
  <c r="AG10" i="1"/>
  <c r="AG9" i="1"/>
  <c r="AG8" i="1"/>
  <c r="AG7" i="1"/>
  <c r="AG6" i="1"/>
  <c r="AG5" i="1"/>
  <c r="AD164" i="1"/>
  <c r="AD163" i="1"/>
  <c r="AD162" i="1"/>
  <c r="AD161" i="1"/>
  <c r="AD160" i="1"/>
  <c r="AD44" i="1"/>
  <c r="AD42" i="1"/>
  <c r="AD37" i="1"/>
  <c r="AD16" i="1"/>
  <c r="AD34" i="1"/>
  <c r="AD33" i="1"/>
  <c r="AD32" i="1"/>
  <c r="AD8" i="1"/>
  <c r="BI67" i="1" l="1"/>
  <c r="DE67" i="1"/>
  <c r="DA67" i="1"/>
  <c r="BJ67" i="1" l="1"/>
  <c r="BL124" i="21"/>
  <c r="BL121" i="21"/>
  <c r="S121" i="21" s="1"/>
  <c r="BL118" i="21"/>
  <c r="S118" i="21" s="1"/>
  <c r="BL117" i="21"/>
  <c r="Y117" i="21" s="1"/>
  <c r="BL19" i="21"/>
  <c r="R19" i="21" s="1"/>
  <c r="BL18" i="21"/>
  <c r="Y18" i="21" s="1"/>
  <c r="BL17" i="21"/>
  <c r="Q17" i="21" s="1"/>
  <c r="BL16" i="21"/>
  <c r="Y16" i="21" s="1"/>
  <c r="BL15" i="21"/>
  <c r="S15" i="21" s="1"/>
  <c r="BL14" i="21"/>
  <c r="Y14" i="21" s="1"/>
  <c r="BL13" i="21"/>
  <c r="S13" i="21" s="1"/>
  <c r="BL12" i="21"/>
  <c r="X12" i="21" s="1"/>
  <c r="BL26" i="21"/>
  <c r="X26" i="21" s="1"/>
  <c r="BL25" i="21"/>
  <c r="Y25" i="21" s="1"/>
  <c r="BL24" i="21"/>
  <c r="X24" i="21" s="1"/>
  <c r="BL23" i="21"/>
  <c r="S23" i="21" s="1"/>
  <c r="BL22" i="21"/>
  <c r="S22" i="21" s="1"/>
  <c r="BL11" i="21"/>
  <c r="Y11" i="21" s="1"/>
  <c r="BL10" i="21"/>
  <c r="X10" i="21" s="1"/>
  <c r="BL9" i="21"/>
  <c r="BL8" i="21"/>
  <c r="Q8" i="21" s="1"/>
  <c r="BL7" i="21"/>
  <c r="Y7" i="21" s="1"/>
  <c r="BL6" i="21"/>
  <c r="O6" i="21" s="1"/>
  <c r="BL5" i="21"/>
  <c r="X5" i="21" s="1"/>
  <c r="BL36" i="21"/>
  <c r="R36" i="21" s="1"/>
  <c r="BL35" i="21"/>
  <c r="BL34" i="21"/>
  <c r="S34" i="21" s="1"/>
  <c r="BL33" i="21"/>
  <c r="X33" i="21" s="1"/>
  <c r="BL32" i="21"/>
  <c r="X32" i="21" s="1"/>
  <c r="BL31" i="21"/>
  <c r="Y31" i="21" s="1"/>
  <c r="BL30" i="21"/>
  <c r="S30" i="21" s="1"/>
  <c r="BL29" i="21"/>
  <c r="X29" i="21" s="1"/>
  <c r="BL46" i="21"/>
  <c r="X46" i="21" s="1"/>
  <c r="BL45" i="21"/>
  <c r="Y45" i="21" s="1"/>
  <c r="BL44" i="21"/>
  <c r="S44" i="21" s="1"/>
  <c r="BL43" i="21"/>
  <c r="X43" i="21" s="1"/>
  <c r="BL42" i="21"/>
  <c r="Y42" i="21" s="1"/>
  <c r="BL41" i="21"/>
  <c r="BL40" i="21"/>
  <c r="S40" i="21" s="1"/>
  <c r="BL39" i="21"/>
  <c r="T39" i="21" s="1"/>
  <c r="BL75" i="21"/>
  <c r="S75" i="21" s="1"/>
  <c r="BL74" i="21"/>
  <c r="Y74" i="21" s="1"/>
  <c r="BL73" i="21"/>
  <c r="X73" i="21" s="1"/>
  <c r="BL72" i="21"/>
  <c r="X72" i="21" s="1"/>
  <c r="BL71" i="21"/>
  <c r="T71" i="21" s="1"/>
  <c r="BL70" i="21"/>
  <c r="N70" i="21" s="1"/>
  <c r="BL69" i="21"/>
  <c r="X69" i="21" s="1"/>
  <c r="BL68" i="21"/>
  <c r="X68" i="21" s="1"/>
  <c r="BL67" i="21"/>
  <c r="S67" i="21" s="1"/>
  <c r="BL66" i="21"/>
  <c r="Y66" i="21" s="1"/>
  <c r="BL65" i="21"/>
  <c r="X65" i="21" s="1"/>
  <c r="BL92" i="21"/>
  <c r="W92" i="21" s="1"/>
  <c r="BL91" i="21"/>
  <c r="Y91" i="21" s="1"/>
  <c r="BL90" i="21"/>
  <c r="Q90" i="21" s="1"/>
  <c r="BL89" i="21"/>
  <c r="X89" i="21" s="1"/>
  <c r="Q89" i="21" l="1"/>
  <c r="S74" i="21"/>
  <c r="Q69" i="21"/>
  <c r="Q75" i="21"/>
  <c r="S69" i="21"/>
  <c r="Q12" i="21"/>
  <c r="T13" i="21"/>
  <c r="Y69" i="21"/>
  <c r="T8" i="21"/>
  <c r="O13" i="21"/>
  <c r="Q13" i="21"/>
  <c r="R16" i="21"/>
  <c r="Y75" i="21"/>
  <c r="T44" i="21"/>
  <c r="Y29" i="21"/>
  <c r="S16" i="21"/>
  <c r="X13" i="21"/>
  <c r="N16" i="21"/>
  <c r="W16" i="21"/>
  <c r="N121" i="21"/>
  <c r="Q43" i="21"/>
  <c r="Y22" i="21"/>
  <c r="Q16" i="21"/>
  <c r="X16" i="21"/>
  <c r="W5" i="21"/>
  <c r="O8" i="21"/>
  <c r="S10" i="21"/>
  <c r="N10" i="21"/>
  <c r="T10" i="21"/>
  <c r="O10" i="21"/>
  <c r="W10" i="21"/>
  <c r="Q10" i="21"/>
  <c r="Y10" i="21"/>
  <c r="N69" i="21"/>
  <c r="T69" i="21"/>
  <c r="N42" i="21"/>
  <c r="N5" i="21"/>
  <c r="N26" i="21"/>
  <c r="O69" i="21"/>
  <c r="W69" i="21"/>
  <c r="S42" i="21"/>
  <c r="O44" i="21"/>
  <c r="S5" i="21"/>
  <c r="T26" i="21"/>
  <c r="O16" i="21"/>
  <c r="T16" i="21"/>
  <c r="S92" i="21"/>
  <c r="R67" i="21"/>
  <c r="Y89" i="21"/>
  <c r="N92" i="21"/>
  <c r="T92" i="21"/>
  <c r="T67" i="21"/>
  <c r="R69" i="21"/>
  <c r="O73" i="21"/>
  <c r="N74" i="21"/>
  <c r="R75" i="21"/>
  <c r="Y40" i="21"/>
  <c r="R42" i="21"/>
  <c r="S43" i="21"/>
  <c r="Y44" i="21"/>
  <c r="O46" i="21"/>
  <c r="S29" i="21"/>
  <c r="Q31" i="21"/>
  <c r="W8" i="21"/>
  <c r="S24" i="21"/>
  <c r="Y26" i="21"/>
  <c r="S12" i="21"/>
  <c r="R13" i="21"/>
  <c r="Y13" i="21"/>
  <c r="N46" i="21"/>
  <c r="O92" i="21"/>
  <c r="X92" i="21"/>
  <c r="X67" i="21"/>
  <c r="S73" i="21"/>
  <c r="T46" i="21"/>
  <c r="T34" i="21"/>
  <c r="T24" i="21"/>
  <c r="Q118" i="21"/>
  <c r="O24" i="21"/>
  <c r="R92" i="21"/>
  <c r="Y92" i="21"/>
  <c r="Q67" i="21"/>
  <c r="Y67" i="21"/>
  <c r="W72" i="21"/>
  <c r="T73" i="21"/>
  <c r="Y46" i="21"/>
  <c r="O32" i="21"/>
  <c r="Y34" i="21"/>
  <c r="R10" i="21"/>
  <c r="N22" i="21"/>
  <c r="N24" i="21"/>
  <c r="Y24" i="21"/>
  <c r="O26" i="21"/>
  <c r="N12" i="21"/>
  <c r="W13" i="21"/>
  <c r="O65" i="21"/>
  <c r="X9" i="21"/>
  <c r="W9" i="21"/>
  <c r="O9" i="21"/>
  <c r="N66" i="21"/>
  <c r="O40" i="21"/>
  <c r="Q33" i="21"/>
  <c r="O22" i="21"/>
  <c r="S89" i="21"/>
  <c r="T65" i="21"/>
  <c r="S66" i="21"/>
  <c r="N73" i="21"/>
  <c r="Y73" i="21"/>
  <c r="W74" i="21"/>
  <c r="T75" i="21"/>
  <c r="O39" i="21"/>
  <c r="Q40" i="21"/>
  <c r="X42" i="21"/>
  <c r="Y43" i="21"/>
  <c r="T32" i="21"/>
  <c r="S33" i="21"/>
  <c r="Y8" i="21"/>
  <c r="S8" i="21"/>
  <c r="N8" i="21"/>
  <c r="X8" i="21"/>
  <c r="R8" i="21"/>
  <c r="Q117" i="21"/>
  <c r="Y118" i="21"/>
  <c r="W118" i="21"/>
  <c r="O118" i="21"/>
  <c r="T118" i="21"/>
  <c r="N118" i="21"/>
  <c r="R89" i="21"/>
  <c r="S65" i="21"/>
  <c r="S32" i="21"/>
  <c r="X22" i="21"/>
  <c r="R22" i="21"/>
  <c r="W22" i="21"/>
  <c r="Q22" i="21"/>
  <c r="N89" i="21"/>
  <c r="W89" i="21"/>
  <c r="Q92" i="21"/>
  <c r="N65" i="21"/>
  <c r="Y65" i="21"/>
  <c r="W66" i="21"/>
  <c r="W68" i="21"/>
  <c r="Q72" i="21"/>
  <c r="X75" i="21"/>
  <c r="W40" i="21"/>
  <c r="S46" i="21"/>
  <c r="Q29" i="21"/>
  <c r="Y30" i="21"/>
  <c r="N32" i="21"/>
  <c r="Y32" i="21"/>
  <c r="Y33" i="21"/>
  <c r="T6" i="21"/>
  <c r="N9" i="21"/>
  <c r="T22" i="21"/>
  <c r="X23" i="21"/>
  <c r="Q23" i="21"/>
  <c r="N23" i="21"/>
  <c r="W12" i="21"/>
  <c r="O34" i="21"/>
  <c r="O5" i="21"/>
  <c r="S26" i="21"/>
  <c r="S71" i="21"/>
  <c r="Y71" i="21"/>
  <c r="R71" i="21"/>
  <c r="X71" i="21"/>
  <c r="Q71" i="21"/>
  <c r="W71" i="21"/>
  <c r="O71" i="21"/>
  <c r="Y41" i="21"/>
  <c r="Q41" i="21"/>
  <c r="S90" i="21"/>
  <c r="Y90" i="21"/>
  <c r="O90" i="21"/>
  <c r="W90" i="21"/>
  <c r="T90" i="21"/>
  <c r="Y36" i="21"/>
  <c r="X36" i="21"/>
  <c r="Q36" i="21"/>
  <c r="W36" i="21"/>
  <c r="O36" i="21"/>
  <c r="S36" i="21"/>
  <c r="N36" i="21"/>
  <c r="Y6" i="21"/>
  <c r="S6" i="21"/>
  <c r="N6" i="21"/>
  <c r="X6" i="21"/>
  <c r="R6" i="21"/>
  <c r="W6" i="21"/>
  <c r="Q6" i="21"/>
  <c r="N15" i="21"/>
  <c r="Y70" i="21"/>
  <c r="W70" i="21"/>
  <c r="S70" i="21"/>
  <c r="Q70" i="21"/>
  <c r="Y39" i="21"/>
  <c r="S39" i="21"/>
  <c r="N39" i="21"/>
  <c r="X39" i="21"/>
  <c r="R39" i="21"/>
  <c r="W39" i="21"/>
  <c r="Q39" i="21"/>
  <c r="Y19" i="21"/>
  <c r="X19" i="21"/>
  <c r="Q19" i="21"/>
  <c r="S19" i="21"/>
  <c r="W19" i="21"/>
  <c r="N19" i="21"/>
  <c r="X121" i="21"/>
  <c r="Y121" i="21"/>
  <c r="R121" i="21"/>
  <c r="T121" i="21"/>
  <c r="O121" i="21"/>
  <c r="W121" i="21"/>
  <c r="Q121" i="21"/>
  <c r="Y35" i="21"/>
  <c r="Q35" i="21"/>
  <c r="Y15" i="21"/>
  <c r="X15" i="21"/>
  <c r="R15" i="21"/>
  <c r="T15" i="21"/>
  <c r="O15" i="21"/>
  <c r="W15" i="21"/>
  <c r="Q15" i="21"/>
  <c r="S17" i="21"/>
  <c r="Y17" i="21"/>
  <c r="O17" i="21"/>
  <c r="T17" i="21"/>
  <c r="W17" i="21"/>
  <c r="S124" i="21"/>
  <c r="Y124" i="21"/>
  <c r="O124" i="21"/>
  <c r="T124" i="21"/>
  <c r="W23" i="21"/>
  <c r="Q24" i="21"/>
  <c r="W24" i="21"/>
  <c r="Q25" i="21"/>
  <c r="Q26" i="21"/>
  <c r="W26" i="21"/>
  <c r="R118" i="21"/>
  <c r="X118" i="21"/>
  <c r="Q65" i="21"/>
  <c r="W65" i="21"/>
  <c r="Q73" i="21"/>
  <c r="W73" i="21"/>
  <c r="O42" i="21"/>
  <c r="T42" i="21"/>
  <c r="N43" i="21"/>
  <c r="T43" i="21"/>
  <c r="Q46" i="21"/>
  <c r="W46" i="21"/>
  <c r="N29" i="21"/>
  <c r="T29" i="21"/>
  <c r="O30" i="21"/>
  <c r="Q32" i="21"/>
  <c r="W32" i="21"/>
  <c r="N33" i="21"/>
  <c r="T33" i="21"/>
  <c r="Q9" i="21"/>
  <c r="O89" i="21"/>
  <c r="T89" i="21"/>
  <c r="R65" i="21"/>
  <c r="Q66" i="21"/>
  <c r="O67" i="21"/>
  <c r="W67" i="21"/>
  <c r="Q68" i="21"/>
  <c r="R73" i="21"/>
  <c r="Q74" i="21"/>
  <c r="O75" i="21"/>
  <c r="W75" i="21"/>
  <c r="T40" i="21"/>
  <c r="Q42" i="21"/>
  <c r="W42" i="21"/>
  <c r="O43" i="21"/>
  <c r="W43" i="21"/>
  <c r="Q44" i="21"/>
  <c r="R46" i="21"/>
  <c r="O29" i="21"/>
  <c r="W29" i="21"/>
  <c r="T30" i="21"/>
  <c r="R32" i="21"/>
  <c r="O33" i="21"/>
  <c r="W33" i="21"/>
  <c r="Q34" i="21"/>
  <c r="Q5" i="21"/>
  <c r="S9" i="21"/>
  <c r="R24" i="21"/>
  <c r="R26" i="21"/>
  <c r="R117" i="21"/>
  <c r="W124" i="21"/>
  <c r="W117" i="21"/>
  <c r="X117" i="21"/>
  <c r="Q124" i="21"/>
  <c r="N117" i="21"/>
  <c r="S117" i="21"/>
  <c r="R124" i="21"/>
  <c r="X124" i="21"/>
  <c r="O117" i="21"/>
  <c r="T117" i="21"/>
  <c r="N124" i="21"/>
  <c r="W7" i="21"/>
  <c r="W11" i="21"/>
  <c r="Q14" i="21"/>
  <c r="W18" i="21"/>
  <c r="T5" i="21"/>
  <c r="Y5" i="21"/>
  <c r="R7" i="21"/>
  <c r="X7" i="21"/>
  <c r="T9" i="21"/>
  <c r="Y9" i="21"/>
  <c r="R11" i="21"/>
  <c r="X11" i="21"/>
  <c r="O23" i="21"/>
  <c r="T23" i="21"/>
  <c r="Y23" i="21"/>
  <c r="R25" i="21"/>
  <c r="X25" i="21"/>
  <c r="O12" i="21"/>
  <c r="T12" i="21"/>
  <c r="Y12" i="21"/>
  <c r="R14" i="21"/>
  <c r="X14" i="21"/>
  <c r="R18" i="21"/>
  <c r="X18" i="21"/>
  <c r="N7" i="21"/>
  <c r="S7" i="21"/>
  <c r="N11" i="21"/>
  <c r="S11" i="21"/>
  <c r="N25" i="21"/>
  <c r="S25" i="21"/>
  <c r="N14" i="21"/>
  <c r="S14" i="21"/>
  <c r="R17" i="21"/>
  <c r="X17" i="21"/>
  <c r="N18" i="21"/>
  <c r="S18" i="21"/>
  <c r="O19" i="21"/>
  <c r="T19" i="21"/>
  <c r="Q7" i="21"/>
  <c r="Q11" i="21"/>
  <c r="W25" i="21"/>
  <c r="W14" i="21"/>
  <c r="Q18" i="21"/>
  <c r="R5" i="21"/>
  <c r="O7" i="21"/>
  <c r="T7" i="21"/>
  <c r="R9" i="21"/>
  <c r="O11" i="21"/>
  <c r="T11" i="21"/>
  <c r="R23" i="21"/>
  <c r="O25" i="21"/>
  <c r="T25" i="21"/>
  <c r="R12" i="21"/>
  <c r="N13" i="21"/>
  <c r="O14" i="21"/>
  <c r="T14" i="21"/>
  <c r="N17" i="21"/>
  <c r="O18" i="21"/>
  <c r="T18" i="21"/>
  <c r="W35" i="21"/>
  <c r="X31" i="21"/>
  <c r="X35" i="21"/>
  <c r="R30" i="21"/>
  <c r="X30" i="21"/>
  <c r="N31" i="21"/>
  <c r="S31" i="21"/>
  <c r="R34" i="21"/>
  <c r="X34" i="21"/>
  <c r="N35" i="21"/>
  <c r="S35" i="21"/>
  <c r="T36" i="21"/>
  <c r="W31" i="21"/>
  <c r="Q30" i="21"/>
  <c r="W30" i="21"/>
  <c r="R31" i="21"/>
  <c r="W34" i="21"/>
  <c r="R35" i="21"/>
  <c r="R29" i="21"/>
  <c r="N30" i="21"/>
  <c r="O31" i="21"/>
  <c r="T31" i="21"/>
  <c r="R33" i="21"/>
  <c r="N34" i="21"/>
  <c r="O35" i="21"/>
  <c r="T35" i="21"/>
  <c r="X41" i="21"/>
  <c r="W44" i="21"/>
  <c r="R45" i="21"/>
  <c r="R40" i="21"/>
  <c r="X40" i="21"/>
  <c r="N41" i="21"/>
  <c r="S41" i="21"/>
  <c r="R44" i="21"/>
  <c r="X44" i="21"/>
  <c r="N45" i="21"/>
  <c r="S45" i="21"/>
  <c r="W41" i="21"/>
  <c r="Q45" i="21"/>
  <c r="W45" i="21"/>
  <c r="R41" i="21"/>
  <c r="X45" i="21"/>
  <c r="N40" i="21"/>
  <c r="O41" i="21"/>
  <c r="T41" i="21"/>
  <c r="R43" i="21"/>
  <c r="N44" i="21"/>
  <c r="O45" i="21"/>
  <c r="T45" i="21"/>
  <c r="N68" i="21"/>
  <c r="S68" i="21"/>
  <c r="N72" i="21"/>
  <c r="S72" i="21"/>
  <c r="R66" i="21"/>
  <c r="X66" i="21"/>
  <c r="N67" i="21"/>
  <c r="O68" i="21"/>
  <c r="T68" i="21"/>
  <c r="Y68" i="21"/>
  <c r="R70" i="21"/>
  <c r="X70" i="21"/>
  <c r="N71" i="21"/>
  <c r="O72" i="21"/>
  <c r="T72" i="21"/>
  <c r="Y72" i="21"/>
  <c r="R74" i="21"/>
  <c r="X74" i="21"/>
  <c r="N75" i="21"/>
  <c r="O66" i="21"/>
  <c r="T66" i="21"/>
  <c r="R68" i="21"/>
  <c r="O70" i="21"/>
  <c r="T70" i="21"/>
  <c r="R72" i="21"/>
  <c r="O74" i="21"/>
  <c r="T74" i="21"/>
  <c r="R90" i="21"/>
  <c r="X90" i="21"/>
  <c r="N91" i="21"/>
  <c r="S91" i="21"/>
  <c r="Q91" i="21"/>
  <c r="W91" i="21"/>
  <c r="R91" i="21"/>
  <c r="X91" i="21"/>
  <c r="N90" i="21"/>
  <c r="O91" i="21"/>
  <c r="T91" i="21"/>
  <c r="K62" i="21"/>
  <c r="K61" i="21"/>
  <c r="K60" i="21"/>
  <c r="K59" i="21"/>
  <c r="K58" i="21"/>
  <c r="K57" i="21"/>
  <c r="K56" i="21"/>
  <c r="K55" i="21"/>
  <c r="K54" i="21"/>
  <c r="K53" i="21"/>
  <c r="K52" i="21"/>
  <c r="K51" i="21"/>
  <c r="K50" i="21"/>
  <c r="K49" i="21"/>
  <c r="K48" i="21"/>
  <c r="K47" i="21"/>
  <c r="K86" i="21"/>
  <c r="K85" i="21"/>
  <c r="K84" i="21"/>
  <c r="K125" i="21"/>
  <c r="K83" i="21"/>
  <c r="K82" i="21"/>
  <c r="K81" i="21"/>
  <c r="K80" i="21"/>
  <c r="K79" i="21"/>
  <c r="K78" i="21"/>
  <c r="K77" i="21"/>
  <c r="K76" i="21"/>
  <c r="K112" i="21"/>
  <c r="K111" i="21"/>
  <c r="K110" i="21"/>
  <c r="K109" i="21"/>
  <c r="K108" i="21"/>
  <c r="K107" i="21"/>
  <c r="K129" i="21"/>
  <c r="K106" i="21"/>
  <c r="K105" i="21"/>
  <c r="K104" i="21"/>
  <c r="K103" i="21"/>
  <c r="K102" i="21"/>
  <c r="K101" i="21"/>
  <c r="K100" i="21"/>
  <c r="K99" i="21"/>
  <c r="K98" i="21"/>
  <c r="K97" i="21"/>
  <c r="K96" i="21"/>
  <c r="K95" i="21"/>
  <c r="K128" i="21"/>
  <c r="K94" i="21"/>
  <c r="K93" i="21"/>
  <c r="BI8" i="1" l="1"/>
  <c r="BJ8" i="1"/>
  <c r="DA8" i="1" l="1"/>
  <c r="DE8" i="1"/>
  <c r="AG106" i="1"/>
  <c r="N106" i="1"/>
  <c r="AG105" i="1"/>
  <c r="N105" i="1"/>
  <c r="N104" i="1"/>
  <c r="AG102" i="1"/>
  <c r="N102" i="1"/>
  <c r="AG101" i="1"/>
  <c r="N101" i="1"/>
  <c r="N100" i="1"/>
  <c r="AG98" i="1"/>
  <c r="N98" i="1"/>
  <c r="AG97" i="1"/>
  <c r="N97" i="1"/>
  <c r="AG96" i="1"/>
  <c r="AG94" i="1"/>
  <c r="AG92" i="1"/>
  <c r="AG91" i="1"/>
  <c r="AG89" i="1"/>
  <c r="N89" i="1"/>
  <c r="N88" i="1"/>
  <c r="AG87" i="1"/>
  <c r="N87" i="1"/>
  <c r="N86" i="1"/>
  <c r="N82" i="1"/>
  <c r="AG153" i="1"/>
  <c r="AG228" i="1"/>
  <c r="AG226" i="1"/>
  <c r="AG223" i="1"/>
  <c r="N223" i="1"/>
  <c r="AG222" i="1"/>
  <c r="N222" i="1"/>
  <c r="N218" i="1"/>
  <c r="AG214" i="1"/>
  <c r="N214" i="1"/>
  <c r="N211" i="1"/>
  <c r="AG204" i="1"/>
  <c r="N204" i="1"/>
  <c r="AG203" i="1"/>
  <c r="AG202" i="1"/>
  <c r="N202" i="1"/>
  <c r="AG201" i="1"/>
  <c r="N201" i="1"/>
  <c r="AG200" i="1"/>
  <c r="N200" i="1"/>
  <c r="AG199" i="1"/>
  <c r="N199" i="1"/>
  <c r="AG198" i="1"/>
  <c r="N198" i="1"/>
  <c r="N197" i="1"/>
  <c r="AG196" i="1"/>
  <c r="N196" i="1"/>
  <c r="AG195" i="1"/>
  <c r="AG194" i="1"/>
  <c r="N194" i="1"/>
  <c r="AG193" i="1"/>
  <c r="AG191" i="1"/>
  <c r="N191" i="1"/>
  <c r="AG188" i="1"/>
  <c r="N188" i="1"/>
  <c r="BN188" i="1" l="1"/>
  <c r="BN191" i="1"/>
  <c r="BN194" i="1"/>
  <c r="BN196" i="1"/>
  <c r="BN197" i="1"/>
  <c r="BN198" i="1"/>
  <c r="BN199" i="1"/>
  <c r="BN200" i="1"/>
  <c r="BN201" i="1"/>
  <c r="BN202" i="1"/>
  <c r="BN204" i="1"/>
  <c r="BN211" i="1"/>
  <c r="BN214" i="1"/>
  <c r="BN218" i="1"/>
  <c r="BN222" i="1"/>
  <c r="BN223" i="1"/>
  <c r="BN152" i="1"/>
  <c r="BN153" i="1"/>
  <c r="BN82" i="1"/>
  <c r="BN86" i="1"/>
  <c r="BN87" i="1"/>
  <c r="BN88" i="1"/>
  <c r="BN89" i="1"/>
  <c r="BN90" i="1"/>
  <c r="BN91" i="1"/>
  <c r="BN92" i="1"/>
  <c r="BN96" i="1"/>
  <c r="BN97" i="1"/>
  <c r="BN98" i="1"/>
  <c r="BN100" i="1"/>
  <c r="BN101" i="1"/>
  <c r="BN102" i="1"/>
  <c r="BN104" i="1"/>
  <c r="BN105" i="1"/>
  <c r="BN106" i="1"/>
  <c r="AG211" i="1"/>
  <c r="AG88" i="1"/>
  <c r="AG100" i="1"/>
  <c r="AG192" i="1"/>
  <c r="AG227" i="1"/>
  <c r="AG85" i="1"/>
  <c r="AG104" i="1"/>
  <c r="AG218" i="1"/>
  <c r="AG82" i="1"/>
  <c r="AG197" i="1"/>
  <c r="AG144" i="1"/>
  <c r="AG152" i="1"/>
  <c r="AG86" i="1"/>
  <c r="AG90" i="1"/>
  <c r="N90" i="1"/>
  <c r="N145" i="1"/>
  <c r="N92" i="1"/>
  <c r="N91" i="1"/>
  <c r="N96" i="1"/>
  <c r="N153" i="1"/>
  <c r="N152" i="1"/>
  <c r="N94" i="1"/>
  <c r="BI200" i="1" l="1"/>
  <c r="BJ200" i="1"/>
  <c r="BI191" i="1"/>
  <c r="BJ191" i="1"/>
  <c r="BI199" i="1"/>
  <c r="BJ199" i="1"/>
  <c r="BI194" i="1"/>
  <c r="BJ194" i="1"/>
  <c r="BI223" i="1"/>
  <c r="BJ223" i="1"/>
  <c r="BI211" i="1"/>
  <c r="BJ211" i="1"/>
  <c r="BI197" i="1"/>
  <c r="BJ197" i="1"/>
  <c r="BI218" i="1"/>
  <c r="BJ218" i="1"/>
  <c r="BI202" i="1"/>
  <c r="BJ202" i="1"/>
  <c r="BI198" i="1"/>
  <c r="BJ198" i="1"/>
  <c r="BI201" i="1"/>
  <c r="BJ201" i="1"/>
  <c r="BI196" i="1"/>
  <c r="BJ196" i="1"/>
  <c r="BI214" i="1"/>
  <c r="BJ214" i="1"/>
  <c r="BI204" i="1"/>
  <c r="BJ204" i="1"/>
  <c r="BI188" i="1"/>
  <c r="BJ188" i="1"/>
  <c r="BJ96" i="1"/>
  <c r="BI96" i="1"/>
  <c r="BI89" i="1"/>
  <c r="BJ89" i="1"/>
  <c r="BJ152" i="1"/>
  <c r="BI152" i="1"/>
  <c r="BI105" i="1"/>
  <c r="BJ105" i="1"/>
  <c r="BI102" i="1"/>
  <c r="BJ102" i="1"/>
  <c r="BJ101" i="1"/>
  <c r="BI98" i="1"/>
  <c r="BJ98" i="1"/>
  <c r="BI91" i="1"/>
  <c r="BJ91" i="1"/>
  <c r="BI87" i="1"/>
  <c r="BJ87" i="1"/>
  <c r="BJ82" i="1"/>
  <c r="BI82" i="1"/>
  <c r="BI106" i="1"/>
  <c r="BJ106" i="1"/>
  <c r="BJ153" i="1"/>
  <c r="BI101" i="1" l="1"/>
  <c r="BI222" i="1"/>
  <c r="BJ222" i="1"/>
  <c r="BI88" i="1"/>
  <c r="BJ88" i="1"/>
  <c r="BJ104" i="1"/>
  <c r="BI104" i="1"/>
  <c r="BI153" i="1"/>
  <c r="BJ92" i="1"/>
  <c r="BI92" i="1"/>
  <c r="BJ100" i="1"/>
  <c r="BI100" i="1"/>
  <c r="BJ86" i="1"/>
  <c r="BI86" i="1"/>
  <c r="BI97" i="1"/>
  <c r="BJ97" i="1"/>
  <c r="BI90" i="1"/>
  <c r="BJ90" i="1"/>
  <c r="AD81" i="1"/>
  <c r="AD226" i="1"/>
  <c r="AD216" i="1"/>
  <c r="AD87" i="1"/>
  <c r="AD84" i="1"/>
  <c r="AD105" i="1"/>
  <c r="AD110" i="1"/>
  <c r="AD101" i="1"/>
  <c r="AD92" i="1"/>
  <c r="AD205" i="1"/>
  <c r="AD197" i="1" l="1"/>
  <c r="AD223" i="1"/>
  <c r="AD203" i="1"/>
  <c r="AD200" i="1"/>
  <c r="AD199" i="1"/>
  <c r="AD221" i="1"/>
  <c r="AD211" i="1"/>
  <c r="AD97" i="1"/>
  <c r="AD85" i="1"/>
  <c r="AD225" i="1"/>
  <c r="AD220" i="1"/>
  <c r="AD214" i="1"/>
  <c r="AD204" i="1"/>
  <c r="AD143" i="1"/>
  <c r="AD227" i="1"/>
  <c r="AD224" i="1"/>
  <c r="AD202" i="1"/>
  <c r="AD218" i="1"/>
  <c r="AD222" i="1"/>
  <c r="AD215" i="1"/>
  <c r="AD189" i="1"/>
  <c r="AD210" i="1"/>
  <c r="AD144" i="1"/>
  <c r="AD206" i="1"/>
  <c r="AD228" i="1"/>
  <c r="AD209" i="1"/>
  <c r="AD219" i="1"/>
  <c r="AD192" i="1"/>
  <c r="AD212" i="1"/>
  <c r="AD194" i="1"/>
  <c r="AD86" i="1"/>
  <c r="AD100" i="1"/>
  <c r="AD109" i="1"/>
  <c r="AD94" i="1"/>
  <c r="AD146" i="1"/>
  <c r="AD207" i="1"/>
  <c r="AD107" i="1"/>
  <c r="AD190" i="1"/>
  <c r="AD195" i="1"/>
  <c r="AD201" i="1"/>
  <c r="AD99" i="1"/>
  <c r="AD191" i="1"/>
  <c r="AD98" i="1"/>
  <c r="AD106" i="1"/>
  <c r="AD89" i="1"/>
  <c r="AD147" i="1"/>
  <c r="AD193" i="1"/>
  <c r="AD213" i="1"/>
  <c r="AD104" i="1"/>
  <c r="AD83" i="1"/>
  <c r="AD82" i="1"/>
  <c r="AD91" i="1"/>
  <c r="AD88" i="1"/>
  <c r="AD102" i="1"/>
  <c r="AD188" i="1"/>
  <c r="AD198" i="1"/>
  <c r="AD217" i="1"/>
  <c r="AD108" i="1"/>
  <c r="AD103" i="1"/>
  <c r="AD142" i="1"/>
  <c r="AD152" i="1"/>
  <c r="AD153" i="1"/>
  <c r="AD196" i="1"/>
  <c r="AD90" i="1"/>
  <c r="N141" i="1" l="1"/>
  <c r="BI32" i="1" l="1"/>
  <c r="BI37" i="1"/>
  <c r="BI42" i="1"/>
  <c r="N184" i="1"/>
  <c r="N169" i="1"/>
  <c r="N187" i="1"/>
  <c r="N165" i="1"/>
  <c r="N164" i="1"/>
  <c r="N163" i="1"/>
  <c r="N162" i="1"/>
  <c r="N161" i="1"/>
  <c r="N160" i="1"/>
  <c r="N159" i="1"/>
  <c r="N158" i="1"/>
  <c r="N157" i="1"/>
  <c r="N156" i="1"/>
  <c r="N127" i="1"/>
  <c r="N126" i="1"/>
  <c r="N125" i="1"/>
  <c r="N124" i="1"/>
  <c r="N123" i="1"/>
  <c r="N122" i="1"/>
  <c r="N121" i="1"/>
  <c r="N120" i="1"/>
  <c r="N119" i="1"/>
  <c r="N118" i="1"/>
  <c r="N117" i="1"/>
  <c r="N116" i="1"/>
  <c r="N115" i="1"/>
  <c r="N114" i="1"/>
  <c r="N113" i="1"/>
  <c r="CT63" i="1"/>
  <c r="N63" i="1"/>
  <c r="CT62" i="1"/>
  <c r="N62" i="1"/>
  <c r="N61" i="1"/>
  <c r="CT60" i="1"/>
  <c r="N60" i="1"/>
  <c r="CT59" i="1"/>
  <c r="N59" i="1"/>
  <c r="CT58" i="1"/>
  <c r="N58" i="1"/>
  <c r="CT57" i="1"/>
  <c r="N57" i="1"/>
  <c r="CT56" i="1"/>
  <c r="N56" i="1"/>
  <c r="CT55" i="1"/>
  <c r="N55" i="1"/>
  <c r="CT54" i="1"/>
  <c r="N54" i="1"/>
  <c r="CT53" i="1"/>
  <c r="N53" i="1"/>
  <c r="CT49" i="1"/>
  <c r="N49" i="1"/>
  <c r="N48" i="1"/>
  <c r="CT47" i="1"/>
  <c r="N47" i="1"/>
  <c r="CT46" i="1"/>
  <c r="N46" i="1"/>
  <c r="CT45" i="1"/>
  <c r="N45" i="1"/>
  <c r="N44" i="1"/>
  <c r="CT43" i="1"/>
  <c r="N43" i="1"/>
  <c r="N42" i="1"/>
  <c r="CT41" i="1"/>
  <c r="N41" i="1"/>
  <c r="CT40" i="1"/>
  <c r="N40" i="1"/>
  <c r="CT39" i="1"/>
  <c r="N39" i="1"/>
  <c r="CT38" i="1"/>
  <c r="N38" i="1"/>
  <c r="N37" i="1"/>
  <c r="N23" i="1"/>
  <c r="CT22" i="1"/>
  <c r="N22" i="1"/>
  <c r="CT21" i="1"/>
  <c r="N21" i="1"/>
  <c r="N20" i="1"/>
  <c r="CT19" i="1"/>
  <c r="N19" i="1"/>
  <c r="CT18" i="1"/>
  <c r="N18" i="1"/>
  <c r="N17" i="1"/>
  <c r="N16" i="1"/>
  <c r="CT15" i="1"/>
  <c r="N15" i="1"/>
  <c r="CT14" i="1"/>
  <c r="N14" i="1"/>
  <c r="CT13" i="1"/>
  <c r="N13" i="1"/>
  <c r="N34" i="1"/>
  <c r="N33" i="1"/>
  <c r="N32" i="1"/>
  <c r="CT31" i="1"/>
  <c r="N31" i="1"/>
  <c r="CT30" i="1"/>
  <c r="N30" i="1"/>
  <c r="CT29" i="1"/>
  <c r="N29" i="1"/>
  <c r="N28" i="1"/>
  <c r="CT27" i="1"/>
  <c r="N27" i="1"/>
  <c r="CT26" i="1"/>
  <c r="N26" i="1"/>
  <c r="N12" i="1"/>
  <c r="N11" i="1"/>
  <c r="CT10" i="1"/>
  <c r="N10" i="1"/>
  <c r="CT9" i="1"/>
  <c r="N9" i="1"/>
  <c r="N8" i="1"/>
  <c r="CT7" i="1"/>
  <c r="N7" i="1"/>
  <c r="CT6" i="1"/>
  <c r="N6" i="1"/>
  <c r="N5" i="1"/>
  <c r="R23" i="1" l="1"/>
  <c r="R8" i="1"/>
  <c r="R21" i="1"/>
  <c r="R61" i="1"/>
  <c r="BI162" i="1"/>
  <c r="BI161" i="1"/>
  <c r="BI164" i="1"/>
  <c r="BI160" i="1"/>
  <c r="BJ160" i="1"/>
  <c r="BI163" i="1"/>
  <c r="BJ163" i="1"/>
  <c r="BI159" i="1"/>
  <c r="BJ159" i="1"/>
  <c r="BJ44" i="1"/>
  <c r="BI44" i="1"/>
  <c r="BJ34" i="1"/>
  <c r="BI34" i="1"/>
  <c r="BI33" i="1"/>
  <c r="BJ33" i="1"/>
  <c r="BI16" i="1"/>
  <c r="BJ16" i="1"/>
  <c r="BJ171" i="1"/>
  <c r="BJ183" i="1"/>
  <c r="DA168" i="1"/>
  <c r="DE168" i="1"/>
  <c r="DE173" i="1"/>
  <c r="DA173" i="1"/>
  <c r="BJ42" i="1"/>
  <c r="BJ164" i="1"/>
  <c r="BJ37" i="1"/>
  <c r="BJ32" i="1"/>
  <c r="R48" i="1"/>
  <c r="R16" i="1"/>
  <c r="R10" i="1"/>
  <c r="R163" i="1"/>
  <c r="R22" i="1"/>
  <c r="R39" i="1"/>
  <c r="R31" i="1"/>
  <c r="R13" i="1"/>
  <c r="R33" i="1"/>
  <c r="R49" i="1"/>
  <c r="R113" i="1"/>
  <c r="R114" i="1"/>
  <c r="R126" i="1"/>
  <c r="R9" i="1"/>
  <c r="R11" i="1"/>
  <c r="R12" i="1"/>
  <c r="R30" i="1"/>
  <c r="R58" i="1"/>
  <c r="R59" i="1"/>
  <c r="R60" i="1"/>
  <c r="R63" i="1"/>
  <c r="R124" i="1"/>
  <c r="R165" i="1"/>
  <c r="R34" i="1"/>
  <c r="R14" i="1"/>
  <c r="R15" i="1"/>
  <c r="R43" i="1"/>
  <c r="R44" i="1"/>
  <c r="R56" i="1"/>
  <c r="R117" i="1"/>
  <c r="R120" i="1"/>
  <c r="R29" i="1"/>
  <c r="R40" i="1"/>
  <c r="R45" i="1"/>
  <c r="R46" i="1"/>
  <c r="R54" i="1"/>
  <c r="R160" i="1"/>
  <c r="R47" i="1"/>
  <c r="R121" i="1"/>
  <c r="R122" i="1"/>
  <c r="AB63" i="1"/>
  <c r="CT20" i="1"/>
  <c r="CT61" i="1"/>
  <c r="CT5" i="1"/>
  <c r="CT11" i="1"/>
  <c r="CT12" i="1"/>
  <c r="CT28" i="1"/>
  <c r="CT17" i="1"/>
  <c r="CT23" i="1"/>
  <c r="CT48" i="1"/>
  <c r="CT52" i="1"/>
  <c r="BJ161" i="1" l="1"/>
  <c r="BJ162" i="1"/>
  <c r="BJ174" i="1"/>
  <c r="BI171" i="1"/>
  <c r="BI174" i="1"/>
  <c r="BI183" i="1"/>
  <c r="DA174" i="1"/>
  <c r="DE174" i="1"/>
  <c r="DA183" i="1"/>
  <c r="DE183" i="1"/>
  <c r="DA171" i="1"/>
  <c r="DE171" i="1"/>
  <c r="AV157" i="1"/>
  <c r="AW157" i="1"/>
  <c r="AW29" i="1"/>
  <c r="AV29" i="1"/>
  <c r="BJ4" i="1"/>
  <c r="DA164" i="1"/>
  <c r="DE164" i="1"/>
  <c r="DA37" i="1"/>
  <c r="DE37" i="1"/>
  <c r="DA160" i="1"/>
  <c r="DE160" i="1"/>
  <c r="DA44" i="1"/>
  <c r="DE44" i="1"/>
  <c r="DE161" i="1"/>
  <c r="DA161" i="1"/>
  <c r="DA33" i="1"/>
  <c r="DE33" i="1"/>
  <c r="DA16" i="1"/>
  <c r="DE16" i="1"/>
  <c r="DE32" i="1"/>
  <c r="DA32" i="1"/>
  <c r="DA162" i="1"/>
  <c r="DE162" i="1"/>
  <c r="DA34" i="1"/>
  <c r="DE34" i="1"/>
  <c r="DE42" i="1"/>
  <c r="DA42" i="1"/>
  <c r="DA159" i="1"/>
  <c r="DE159" i="1"/>
  <c r="DA163" i="1"/>
  <c r="DE163" i="1"/>
  <c r="BI62" i="1"/>
  <c r="BI55" i="1"/>
  <c r="BI41" i="1"/>
  <c r="BI20" i="1"/>
  <c r="BI19" i="1"/>
  <c r="BI118" i="1"/>
  <c r="BI53" i="1"/>
  <c r="BI52" i="1"/>
  <c r="BI18" i="1"/>
  <c r="BI17" i="1"/>
  <c r="BI123" i="1"/>
  <c r="BI116" i="1"/>
  <c r="BI115" i="1"/>
  <c r="BI27" i="1"/>
  <c r="BI7" i="1"/>
  <c r="BI127" i="1"/>
  <c r="BI125" i="1"/>
  <c r="BI119" i="1"/>
  <c r="BI57" i="1"/>
  <c r="BI38" i="1"/>
  <c r="BI28" i="1"/>
  <c r="BI26" i="1"/>
  <c r="AB74" i="1"/>
  <c r="AB60" i="1"/>
  <c r="AB159" i="1"/>
  <c r="AB157" i="1"/>
  <c r="AB168" i="1"/>
  <c r="AB171" i="1"/>
  <c r="AB167" i="1"/>
  <c r="AB173" i="1"/>
  <c r="AB178" i="1"/>
  <c r="AB75" i="1"/>
  <c r="AB135" i="1"/>
  <c r="AB136" i="1"/>
  <c r="AB29" i="1"/>
  <c r="AB54" i="1"/>
  <c r="AB183" i="1"/>
  <c r="AB79" i="1"/>
  <c r="AB55" i="1"/>
  <c r="AB53" i="1"/>
  <c r="AB56" i="1"/>
  <c r="AB18" i="1"/>
  <c r="AB52" i="1"/>
  <c r="AB28" i="1"/>
  <c r="AB182" i="1"/>
  <c r="AB175" i="1"/>
  <c r="AB129" i="1"/>
  <c r="AB130" i="1"/>
  <c r="AB118" i="1"/>
  <c r="AB77" i="1"/>
  <c r="AB67" i="1"/>
  <c r="AB116" i="1"/>
  <c r="AB13" i="1"/>
  <c r="AB40" i="1"/>
  <c r="AB39" i="1"/>
  <c r="AB14" i="1"/>
  <c r="AB124" i="1"/>
  <c r="AB6" i="1"/>
  <c r="AB38" i="1"/>
  <c r="AB41" i="1"/>
  <c r="AB26" i="1"/>
  <c r="AB31" i="1"/>
  <c r="AB7" i="1"/>
  <c r="AB165" i="1"/>
  <c r="AB120" i="1"/>
  <c r="AB117" i="1"/>
  <c r="AB49" i="1"/>
  <c r="AB15" i="1"/>
  <c r="AB30" i="1"/>
  <c r="AB45" i="1"/>
  <c r="AB126" i="1"/>
  <c r="AB114" i="1"/>
  <c r="AB9" i="1"/>
  <c r="AB121" i="1"/>
  <c r="AB62" i="1"/>
  <c r="AB59" i="1"/>
  <c r="AB58" i="1"/>
  <c r="AB43" i="1"/>
  <c r="AB19" i="1"/>
  <c r="AB47" i="1"/>
  <c r="AB10" i="1"/>
  <c r="AB174" i="1"/>
  <c r="AB76" i="1"/>
  <c r="AB131" i="1"/>
  <c r="AB4" i="1"/>
  <c r="AB46" i="1"/>
  <c r="BI157" i="1" l="1"/>
  <c r="BI6" i="1"/>
  <c r="BI165" i="1"/>
  <c r="BJ165" i="1"/>
  <c r="BI156" i="1"/>
  <c r="BI5" i="1"/>
  <c r="BI158" i="1"/>
  <c r="BJ48" i="1"/>
  <c r="BI48" i="1"/>
  <c r="BI113" i="1"/>
  <c r="BJ113" i="1"/>
  <c r="BJ13" i="1"/>
  <c r="BI13" i="1"/>
  <c r="BI12" i="1"/>
  <c r="BJ12" i="1"/>
  <c r="BI22" i="1"/>
  <c r="BJ22" i="1"/>
  <c r="BJ120" i="1"/>
  <c r="BI120" i="1"/>
  <c r="BI126" i="1"/>
  <c r="BJ126" i="1"/>
  <c r="BI59" i="1"/>
  <c r="BJ59" i="1"/>
  <c r="BJ49" i="1"/>
  <c r="BI49" i="1"/>
  <c r="BJ60" i="1"/>
  <c r="BI60" i="1"/>
  <c r="BJ9" i="1"/>
  <c r="BI9" i="1"/>
  <c r="BJ30" i="1"/>
  <c r="BI30" i="1"/>
  <c r="BJ31" i="1"/>
  <c r="BI31" i="1"/>
  <c r="BJ39" i="1"/>
  <c r="BI39" i="1"/>
  <c r="BI56" i="1"/>
  <c r="BJ56" i="1"/>
  <c r="BJ11" i="1"/>
  <c r="BI11" i="1"/>
  <c r="BI121" i="1"/>
  <c r="BJ121" i="1"/>
  <c r="BI14" i="1"/>
  <c r="BJ14" i="1"/>
  <c r="BI63" i="1"/>
  <c r="BJ63" i="1"/>
  <c r="BJ122" i="1"/>
  <c r="BI122" i="1"/>
  <c r="BI54" i="1"/>
  <c r="BJ54" i="1"/>
  <c r="BJ61" i="1"/>
  <c r="BI61" i="1"/>
  <c r="BI10" i="1"/>
  <c r="BJ10" i="1"/>
  <c r="BI15" i="1"/>
  <c r="BJ15" i="1"/>
  <c r="BJ21" i="1"/>
  <c r="BI21" i="1"/>
  <c r="BJ40" i="1"/>
  <c r="BI40" i="1"/>
  <c r="BJ58" i="1"/>
  <c r="BI58" i="1"/>
  <c r="BI23" i="1"/>
  <c r="BJ23" i="1"/>
  <c r="BI117" i="1"/>
  <c r="BJ117" i="1"/>
  <c r="BI47" i="1"/>
  <c r="BJ47" i="1"/>
  <c r="BJ124" i="1"/>
  <c r="BI124" i="1"/>
  <c r="BJ29" i="1"/>
  <c r="BI29" i="1"/>
  <c r="BI114" i="1"/>
  <c r="BJ114" i="1"/>
  <c r="BJ46" i="1"/>
  <c r="BI46" i="1"/>
  <c r="BJ45" i="1"/>
  <c r="BI45" i="1"/>
  <c r="BI4" i="1"/>
  <c r="BJ26" i="1"/>
  <c r="BJ28" i="1"/>
  <c r="BJ38" i="1"/>
  <c r="BJ118" i="1"/>
  <c r="BJ55" i="1"/>
  <c r="BJ62" i="1"/>
  <c r="BJ125" i="1"/>
  <c r="BJ5" i="1"/>
  <c r="BJ115" i="1"/>
  <c r="BJ18" i="1"/>
  <c r="BJ52" i="1"/>
  <c r="BJ20" i="1"/>
  <c r="BJ119" i="1"/>
  <c r="BJ27" i="1"/>
  <c r="BJ57" i="1"/>
  <c r="BJ127" i="1"/>
  <c r="BJ157" i="1"/>
  <c r="BJ7" i="1"/>
  <c r="BJ116" i="1"/>
  <c r="BJ123" i="1"/>
  <c r="BJ17" i="1"/>
  <c r="BJ53" i="1"/>
  <c r="BJ19" i="1"/>
  <c r="BJ41" i="1"/>
  <c r="AB158" i="1"/>
  <c r="AB113" i="1"/>
  <c r="AB22" i="1"/>
  <c r="AB73" i="1"/>
  <c r="AB21" i="1"/>
  <c r="AB156" i="1"/>
  <c r="AB27" i="1"/>
  <c r="AB172" i="1"/>
  <c r="AB57" i="1"/>
  <c r="AV60" i="1"/>
  <c r="AW60" i="1"/>
  <c r="AW57" i="1"/>
  <c r="AV57" i="1"/>
  <c r="AW73" i="1"/>
  <c r="AV73" i="1"/>
  <c r="AW131" i="1"/>
  <c r="AV131" i="1"/>
  <c r="AV9" i="1"/>
  <c r="AW9" i="1"/>
  <c r="AW156" i="1"/>
  <c r="AV156" i="1"/>
  <c r="AW45" i="1"/>
  <c r="AV45" i="1"/>
  <c r="AW31" i="1"/>
  <c r="AV31" i="1"/>
  <c r="AW22" i="1"/>
  <c r="AV22" i="1"/>
  <c r="AW54" i="1"/>
  <c r="AV54" i="1"/>
  <c r="AW55" i="1"/>
  <c r="AV55" i="1"/>
  <c r="AW174" i="1"/>
  <c r="AV174" i="1"/>
  <c r="AW38" i="1"/>
  <c r="AV38" i="1"/>
  <c r="AW79" i="1"/>
  <c r="AV79" i="1"/>
  <c r="AW15" i="1"/>
  <c r="AV15" i="1"/>
  <c r="AW178" i="1"/>
  <c r="AV178" i="1"/>
  <c r="AV27" i="1"/>
  <c r="AW27" i="1"/>
  <c r="AW39" i="1"/>
  <c r="AV39" i="1"/>
  <c r="AW77" i="1"/>
  <c r="AV77" i="1"/>
  <c r="AW182" i="1"/>
  <c r="AV182" i="1"/>
  <c r="AW183" i="1"/>
  <c r="AV183" i="1"/>
  <c r="AW172" i="1"/>
  <c r="AV172" i="1"/>
  <c r="AW18" i="1"/>
  <c r="AV18" i="1"/>
  <c r="AW173" i="1"/>
  <c r="AV173" i="1"/>
  <c r="AW74" i="1"/>
  <c r="AV74" i="1"/>
  <c r="AW167" i="1"/>
  <c r="AV167" i="1"/>
  <c r="AW53" i="1"/>
  <c r="AV53" i="1"/>
  <c r="AV19" i="1"/>
  <c r="AW19" i="1"/>
  <c r="AW59" i="1"/>
  <c r="AV59" i="1"/>
  <c r="AW67" i="1"/>
  <c r="AV67" i="1"/>
  <c r="AW117" i="1"/>
  <c r="AV117" i="1"/>
  <c r="AW40" i="1"/>
  <c r="AV40" i="1"/>
  <c r="AW118" i="1"/>
  <c r="AV118" i="1"/>
  <c r="AW14" i="1"/>
  <c r="AV14" i="1"/>
  <c r="AW46" i="1"/>
  <c r="AV46" i="1"/>
  <c r="AW159" i="1"/>
  <c r="AV159" i="1"/>
  <c r="AW10" i="1"/>
  <c r="AV10" i="1"/>
  <c r="AW121" i="1"/>
  <c r="AV121" i="1"/>
  <c r="AW114" i="1"/>
  <c r="AV114" i="1"/>
  <c r="AW165" i="1"/>
  <c r="AV165" i="1"/>
  <c r="AW49" i="1"/>
  <c r="AV49" i="1"/>
  <c r="AW58" i="1"/>
  <c r="AV58" i="1"/>
  <c r="AW158" i="1"/>
  <c r="AV158" i="1"/>
  <c r="AW6" i="1"/>
  <c r="AV6" i="1"/>
  <c r="AW124" i="1"/>
  <c r="AV124" i="1"/>
  <c r="AV120" i="1"/>
  <c r="AW120" i="1"/>
  <c r="AW28" i="1"/>
  <c r="AV28" i="1"/>
  <c r="AW168" i="1"/>
  <c r="AV168" i="1"/>
  <c r="AW135" i="1"/>
  <c r="AV135" i="1"/>
  <c r="AV136" i="1"/>
  <c r="AW136" i="1"/>
  <c r="AW56" i="1"/>
  <c r="AV56" i="1"/>
  <c r="AW113" i="1"/>
  <c r="AV113" i="1"/>
  <c r="AV171" i="1"/>
  <c r="AW171" i="1"/>
  <c r="AW63" i="1"/>
  <c r="AV63" i="1"/>
  <c r="AW175" i="1"/>
  <c r="AV175" i="1"/>
  <c r="AW47" i="1"/>
  <c r="AV47" i="1"/>
  <c r="AW43" i="1"/>
  <c r="AV43" i="1"/>
  <c r="AW62" i="1"/>
  <c r="AV62" i="1"/>
  <c r="AV21" i="1"/>
  <c r="AW21" i="1"/>
  <c r="AV116" i="1"/>
  <c r="AW116" i="1"/>
  <c r="AW30" i="1"/>
  <c r="AV30" i="1"/>
  <c r="AV76" i="1"/>
  <c r="AW76" i="1"/>
  <c r="AW7" i="1"/>
  <c r="AV7" i="1"/>
  <c r="AW26" i="1"/>
  <c r="AV26" i="1"/>
  <c r="AW41" i="1"/>
  <c r="AV41" i="1"/>
  <c r="AV13" i="1"/>
  <c r="AW13" i="1"/>
  <c r="AW126" i="1"/>
  <c r="AV126" i="1"/>
  <c r="AW130" i="1"/>
  <c r="AV130" i="1"/>
  <c r="AW129" i="1"/>
  <c r="AV129" i="1"/>
  <c r="AV52" i="1"/>
  <c r="AW52" i="1"/>
  <c r="AW75" i="1"/>
  <c r="AV75" i="1"/>
  <c r="AV4" i="1"/>
  <c r="AW4" i="1"/>
  <c r="AH57" i="1"/>
  <c r="AH113" i="1"/>
  <c r="AH73" i="1"/>
  <c r="AH63" i="1"/>
  <c r="AH75" i="1"/>
  <c r="AD172" i="1"/>
  <c r="AH172" i="1"/>
  <c r="AH171" i="1"/>
  <c r="AD63" i="1"/>
  <c r="AH167" i="1"/>
  <c r="AH157" i="1"/>
  <c r="AH29" i="1"/>
  <c r="AH74" i="1"/>
  <c r="AH178" i="1"/>
  <c r="AH173" i="1"/>
  <c r="AH159" i="1"/>
  <c r="AH168" i="1"/>
  <c r="AH60" i="1"/>
  <c r="AH135" i="1"/>
  <c r="AH79" i="1"/>
  <c r="AH54" i="1"/>
  <c r="AH183" i="1"/>
  <c r="AH136" i="1"/>
  <c r="AB20" i="1"/>
  <c r="AB115" i="1"/>
  <c r="AH53" i="1"/>
  <c r="AB123" i="1"/>
  <c r="AB61" i="1"/>
  <c r="AH55" i="1"/>
  <c r="AH18" i="1"/>
  <c r="AH56" i="1"/>
  <c r="AB11" i="1"/>
  <c r="AH43" i="1"/>
  <c r="AH58" i="1"/>
  <c r="AH76" i="1"/>
  <c r="AH121" i="1"/>
  <c r="AH49" i="1"/>
  <c r="AH158" i="1"/>
  <c r="AH31" i="1"/>
  <c r="AH41" i="1"/>
  <c r="AH39" i="1"/>
  <c r="AH182" i="1"/>
  <c r="AH46" i="1"/>
  <c r="AH131" i="1"/>
  <c r="AB5" i="1"/>
  <c r="AH59" i="1"/>
  <c r="AH62" i="1"/>
  <c r="AH114" i="1"/>
  <c r="AH126" i="1"/>
  <c r="AH117" i="1"/>
  <c r="AH120" i="1"/>
  <c r="AH6" i="1"/>
  <c r="AH27" i="1"/>
  <c r="AH124" i="1"/>
  <c r="AH116" i="1"/>
  <c r="AB125" i="1"/>
  <c r="AB17" i="1"/>
  <c r="AH47" i="1"/>
  <c r="AD4" i="1"/>
  <c r="AB12" i="1"/>
  <c r="AB127" i="1"/>
  <c r="AH174" i="1"/>
  <c r="AH10" i="1"/>
  <c r="AH19" i="1"/>
  <c r="AH21" i="1"/>
  <c r="AH45" i="1"/>
  <c r="AH13" i="1"/>
  <c r="AH67" i="1"/>
  <c r="AH118" i="1"/>
  <c r="AH130" i="1"/>
  <c r="AH52" i="1"/>
  <c r="AH9" i="1"/>
  <c r="AH156" i="1"/>
  <c r="AH30" i="1"/>
  <c r="AH15" i="1"/>
  <c r="AB48" i="1"/>
  <c r="AB122" i="1"/>
  <c r="AH165" i="1"/>
  <c r="AH7" i="1"/>
  <c r="AH26" i="1"/>
  <c r="AH22" i="1"/>
  <c r="AH38" i="1"/>
  <c r="AH14" i="1"/>
  <c r="AH40" i="1"/>
  <c r="AH77" i="1"/>
  <c r="AH129" i="1"/>
  <c r="AH175" i="1"/>
  <c r="AH28" i="1"/>
  <c r="BJ158" i="1" l="1"/>
  <c r="BJ6" i="1"/>
  <c r="BJ156" i="1"/>
  <c r="AD113" i="1"/>
  <c r="AD57" i="1"/>
  <c r="AD73" i="1"/>
  <c r="AB23" i="1"/>
  <c r="AB119" i="1"/>
  <c r="AD119" i="1" s="1"/>
  <c r="AW61" i="1"/>
  <c r="AV61" i="1"/>
  <c r="AW119" i="1"/>
  <c r="AV119" i="1"/>
  <c r="AV5" i="1"/>
  <c r="AW5" i="1"/>
  <c r="AW23" i="1"/>
  <c r="AV23" i="1"/>
  <c r="AW48" i="1"/>
  <c r="AV48" i="1"/>
  <c r="AW125" i="1"/>
  <c r="AV125" i="1"/>
  <c r="AW115" i="1"/>
  <c r="AV115" i="1"/>
  <c r="AW123" i="1"/>
  <c r="AV123" i="1"/>
  <c r="AV11" i="1"/>
  <c r="AW11" i="1"/>
  <c r="AV12" i="1"/>
  <c r="AW12" i="1"/>
  <c r="AV17" i="1"/>
  <c r="AW17" i="1"/>
  <c r="AW122" i="1"/>
  <c r="AV122" i="1"/>
  <c r="AW127" i="1"/>
  <c r="AV127" i="1"/>
  <c r="AV20" i="1"/>
  <c r="AW20" i="1"/>
  <c r="DA114" i="1"/>
  <c r="DE114" i="1"/>
  <c r="DA59" i="1"/>
  <c r="DE59" i="1"/>
  <c r="DA53" i="1"/>
  <c r="DE53" i="1"/>
  <c r="DA7" i="1"/>
  <c r="DE7" i="1"/>
  <c r="DA29" i="1"/>
  <c r="DE29" i="1"/>
  <c r="DA39" i="1"/>
  <c r="DE39" i="1"/>
  <c r="DA27" i="1"/>
  <c r="DE27" i="1"/>
  <c r="DA57" i="1"/>
  <c r="DE57" i="1"/>
  <c r="DA117" i="1"/>
  <c r="DE117" i="1"/>
  <c r="DA13" i="1"/>
  <c r="DE13" i="1"/>
  <c r="DE20" i="1"/>
  <c r="DA20" i="1"/>
  <c r="DE5" i="1"/>
  <c r="DA5" i="1"/>
  <c r="DA11" i="1"/>
  <c r="DE11" i="1"/>
  <c r="DE4" i="1"/>
  <c r="DA4" i="1"/>
  <c r="DA43" i="1"/>
  <c r="DE43" i="1"/>
  <c r="DE118" i="1"/>
  <c r="DA118" i="1"/>
  <c r="DA31" i="1"/>
  <c r="DE31" i="1"/>
  <c r="DA12" i="1"/>
  <c r="DE12" i="1"/>
  <c r="DA17" i="1"/>
  <c r="DE17" i="1"/>
  <c r="DE38" i="1"/>
  <c r="DA38" i="1"/>
  <c r="DA54" i="1"/>
  <c r="DE54" i="1"/>
  <c r="DA60" i="1"/>
  <c r="DE60" i="1"/>
  <c r="DA23" i="1"/>
  <c r="DE23" i="1"/>
  <c r="DE6" i="1"/>
  <c r="DA6" i="1"/>
  <c r="DA165" i="1"/>
  <c r="DE165" i="1"/>
  <c r="DA10" i="1"/>
  <c r="DE10" i="1"/>
  <c r="DA52" i="1"/>
  <c r="DE52" i="1"/>
  <c r="DA119" i="1"/>
  <c r="DE119" i="1"/>
  <c r="DA30" i="1"/>
  <c r="DE30" i="1"/>
  <c r="DA14" i="1"/>
  <c r="DE14" i="1"/>
  <c r="DA9" i="1"/>
  <c r="DE9" i="1"/>
  <c r="DA156" i="1"/>
  <c r="DE156" i="1"/>
  <c r="DA113" i="1"/>
  <c r="DE113" i="1"/>
  <c r="DA120" i="1"/>
  <c r="DE120" i="1"/>
  <c r="DE41" i="1"/>
  <c r="DA41" i="1"/>
  <c r="DA123" i="1"/>
  <c r="DE123" i="1"/>
  <c r="DA28" i="1"/>
  <c r="DE28" i="1"/>
  <c r="DA47" i="1"/>
  <c r="DE47" i="1"/>
  <c r="DA63" i="1"/>
  <c r="DE63" i="1"/>
  <c r="DA48" i="1"/>
  <c r="DE48" i="1"/>
  <c r="DA157" i="1"/>
  <c r="DE157" i="1"/>
  <c r="DA22" i="1"/>
  <c r="DE22" i="1"/>
  <c r="DA45" i="1"/>
  <c r="DE45" i="1"/>
  <c r="DA126" i="1"/>
  <c r="DE126" i="1"/>
  <c r="DA18" i="1"/>
  <c r="DE18" i="1"/>
  <c r="DA121" i="1"/>
  <c r="DE121" i="1"/>
  <c r="DA124" i="1"/>
  <c r="DE124" i="1"/>
  <c r="DA62" i="1"/>
  <c r="DE62" i="1"/>
  <c r="DA125" i="1"/>
  <c r="DE125" i="1"/>
  <c r="DA61" i="1"/>
  <c r="DE61" i="1"/>
  <c r="DA56" i="1"/>
  <c r="DE56" i="1"/>
  <c r="DE19" i="1"/>
  <c r="DA19" i="1"/>
  <c r="DA116" i="1"/>
  <c r="DE116" i="1"/>
  <c r="DA26" i="1"/>
  <c r="DE26" i="1"/>
  <c r="DA49" i="1"/>
  <c r="DE49" i="1"/>
  <c r="DA58" i="1"/>
  <c r="DE58" i="1"/>
  <c r="DE158" i="1"/>
  <c r="DA158" i="1"/>
  <c r="DA127" i="1"/>
  <c r="DE127" i="1"/>
  <c r="DA21" i="1"/>
  <c r="DE21" i="1"/>
  <c r="DA46" i="1"/>
  <c r="DE46" i="1"/>
  <c r="DA15" i="1"/>
  <c r="DE15" i="1"/>
  <c r="DE115" i="1"/>
  <c r="DA115" i="1"/>
  <c r="DA40" i="1"/>
  <c r="DE40" i="1"/>
  <c r="DA122" i="1"/>
  <c r="DE122" i="1"/>
  <c r="DA55" i="1"/>
  <c r="DE55" i="1"/>
  <c r="AD157" i="1"/>
  <c r="AD158" i="1"/>
  <c r="AD156" i="1"/>
  <c r="AD21" i="1"/>
  <c r="AD27" i="1"/>
  <c r="AD22" i="1"/>
  <c r="AH119" i="1"/>
  <c r="AD28" i="1"/>
  <c r="AD175" i="1"/>
  <c r="AD129" i="1"/>
  <c r="AD77" i="1"/>
  <c r="AD40" i="1"/>
  <c r="AD14" i="1"/>
  <c r="AD38" i="1"/>
  <c r="AD26" i="1"/>
  <c r="AD7" i="1"/>
  <c r="AD165" i="1"/>
  <c r="AD15" i="1"/>
  <c r="AD30" i="1"/>
  <c r="AD9" i="1"/>
  <c r="AD52" i="1"/>
  <c r="AD130" i="1"/>
  <c r="AD118" i="1"/>
  <c r="AD67" i="1"/>
  <c r="AD13" i="1"/>
  <c r="AD45" i="1"/>
  <c r="AD19" i="1"/>
  <c r="AD10" i="1"/>
  <c r="AD174" i="1"/>
  <c r="AD47" i="1"/>
  <c r="AD116" i="1"/>
  <c r="AD124" i="1"/>
  <c r="AD6" i="1"/>
  <c r="AD120" i="1"/>
  <c r="AD117" i="1"/>
  <c r="AD126" i="1"/>
  <c r="AD114" i="1"/>
  <c r="AD62" i="1"/>
  <c r="AD59" i="1"/>
  <c r="AD131" i="1"/>
  <c r="AD46" i="1"/>
  <c r="AD182" i="1"/>
  <c r="AD39" i="1"/>
  <c r="AD41" i="1"/>
  <c r="AD31" i="1"/>
  <c r="AD49" i="1"/>
  <c r="AD121" i="1"/>
  <c r="AD76" i="1"/>
  <c r="AD58" i="1"/>
  <c r="AD43" i="1"/>
  <c r="AD56" i="1"/>
  <c r="AD29" i="1"/>
  <c r="AD74" i="1"/>
  <c r="AD18" i="1"/>
  <c r="AD79" i="1"/>
  <c r="AD54" i="1"/>
  <c r="AD55" i="1"/>
  <c r="AD53" i="1"/>
  <c r="AD60" i="1"/>
  <c r="AD136" i="1"/>
  <c r="AD135" i="1"/>
  <c r="AD159" i="1"/>
  <c r="AD183" i="1"/>
  <c r="AD167" i="1"/>
  <c r="AD173" i="1"/>
  <c r="AD178" i="1"/>
  <c r="AD168" i="1"/>
  <c r="AD171" i="1"/>
  <c r="AD75" i="1"/>
  <c r="AH123" i="1"/>
  <c r="AH115" i="1"/>
  <c r="AH20" i="1"/>
  <c r="AH61" i="1"/>
  <c r="AH17" i="1"/>
  <c r="AH122" i="1"/>
  <c r="AH48" i="1"/>
  <c r="AH125" i="1"/>
  <c r="AH127" i="1"/>
  <c r="AH12" i="1"/>
  <c r="AH5" i="1"/>
  <c r="AH23" i="1"/>
  <c r="AH11" i="1"/>
  <c r="AD23" i="1" l="1"/>
  <c r="AD11" i="1"/>
  <c r="AD5" i="1"/>
  <c r="AD12" i="1"/>
  <c r="AD127" i="1"/>
  <c r="AD125" i="1"/>
  <c r="AD48" i="1"/>
  <c r="AD122" i="1"/>
  <c r="AD17" i="1"/>
  <c r="AD61" i="1"/>
  <c r="AD123" i="1"/>
  <c r="AD20" i="1"/>
  <c r="AD115" i="1"/>
  <c r="AB179" i="1" l="1"/>
  <c r="AV179" i="1" l="1"/>
  <c r="AW179" i="1"/>
  <c r="AH179" i="1"/>
  <c r="AD179" i="1" l="1"/>
  <c r="BJ184" i="1" l="1"/>
  <c r="BI184" i="1" l="1"/>
  <c r="AB184" i="1"/>
  <c r="AW184" i="1" l="1"/>
  <c r="AV184" i="1"/>
  <c r="AH184" i="1"/>
  <c r="AD184" i="1" l="1"/>
  <c r="BJ180" i="1" l="1"/>
  <c r="AB180" i="1"/>
  <c r="BI180" i="1" l="1"/>
  <c r="DA180" i="1"/>
  <c r="DE180" i="1"/>
  <c r="AW180" i="1"/>
  <c r="AV180" i="1"/>
  <c r="AB70" i="1"/>
  <c r="AB138" i="1"/>
  <c r="AB181" i="1"/>
  <c r="AB177" i="1"/>
  <c r="AB68" i="1"/>
  <c r="AB65" i="1"/>
  <c r="AH180" i="1"/>
  <c r="AB69" i="1"/>
  <c r="AB170" i="1"/>
  <c r="AB141" i="1" l="1"/>
  <c r="AW177" i="1"/>
  <c r="AV177" i="1"/>
  <c r="AW141" i="1"/>
  <c r="AV141" i="1"/>
  <c r="AW170" i="1"/>
  <c r="AV170" i="1"/>
  <c r="AW69" i="1"/>
  <c r="AV69" i="1"/>
  <c r="AV68" i="1"/>
  <c r="AW68" i="1"/>
  <c r="AW181" i="1"/>
  <c r="AV181" i="1"/>
  <c r="AW65" i="1"/>
  <c r="AV65" i="1"/>
  <c r="AW138" i="1"/>
  <c r="AV138" i="1"/>
  <c r="AW70" i="1"/>
  <c r="AV70" i="1"/>
  <c r="AD96" i="1"/>
  <c r="AD180" i="1"/>
  <c r="AH141" i="1"/>
  <c r="AH68" i="1"/>
  <c r="AH177" i="1"/>
  <c r="AH70" i="1"/>
  <c r="AH69" i="1"/>
  <c r="AH138" i="1"/>
  <c r="AH170" i="1"/>
  <c r="AH65" i="1"/>
  <c r="AH181" i="1"/>
  <c r="AD141" i="1" l="1"/>
  <c r="AD170" i="1"/>
  <c r="AD177" i="1"/>
  <c r="AD68" i="1"/>
  <c r="AD208" i="1"/>
  <c r="AD181" i="1"/>
  <c r="AD70" i="1"/>
  <c r="AD138" i="1"/>
  <c r="AD65" i="1"/>
  <c r="AD69" i="1"/>
  <c r="AB185" i="1" l="1"/>
  <c r="AB64" i="1"/>
  <c r="AB137" i="1"/>
  <c r="AW137" i="1" l="1"/>
  <c r="AV137" i="1"/>
  <c r="AW64" i="1"/>
  <c r="AV64" i="1"/>
  <c r="AW185" i="1"/>
  <c r="AV185" i="1"/>
  <c r="AB169" i="1"/>
  <c r="AH137" i="1"/>
  <c r="AB133" i="1"/>
  <c r="AB72" i="1"/>
  <c r="AB139" i="1"/>
  <c r="AH64" i="1"/>
  <c r="AB128" i="1"/>
  <c r="AB176" i="1"/>
  <c r="AH185" i="1"/>
  <c r="AB80" i="1"/>
  <c r="AB134" i="1"/>
  <c r="AB140" i="1"/>
  <c r="AB166" i="1"/>
  <c r="AB71" i="1"/>
  <c r="AB132" i="1"/>
  <c r="AB66" i="1"/>
  <c r="BI185" i="1" l="1"/>
  <c r="BI186" i="1"/>
  <c r="BI187" i="1"/>
  <c r="BJ187" i="1" s="1"/>
  <c r="BI169" i="1"/>
  <c r="AB187" i="1"/>
  <c r="AB78" i="1"/>
  <c r="AB186" i="1"/>
  <c r="AW134" i="1"/>
  <c r="AV134" i="1"/>
  <c r="AW186" i="1"/>
  <c r="AV186" i="1"/>
  <c r="AW166" i="1"/>
  <c r="AV166" i="1"/>
  <c r="AV187" i="1"/>
  <c r="AW187" i="1"/>
  <c r="AW133" i="1"/>
  <c r="AV133" i="1"/>
  <c r="AW169" i="1"/>
  <c r="AV169" i="1"/>
  <c r="AW78" i="1"/>
  <c r="AV78" i="1"/>
  <c r="AW176" i="1"/>
  <c r="AV176" i="1"/>
  <c r="AW71" i="1"/>
  <c r="AV71" i="1"/>
  <c r="AW140" i="1"/>
  <c r="AV140" i="1"/>
  <c r="AW139" i="1"/>
  <c r="AV139" i="1"/>
  <c r="AW132" i="1"/>
  <c r="AV132" i="1"/>
  <c r="AW80" i="1"/>
  <c r="AV80" i="1"/>
  <c r="AW66" i="1"/>
  <c r="AV66" i="1"/>
  <c r="AV128" i="1"/>
  <c r="AW128" i="1"/>
  <c r="AW72" i="1"/>
  <c r="AV72" i="1"/>
  <c r="AH78" i="1"/>
  <c r="AD78" i="1"/>
  <c r="AD137" i="1"/>
  <c r="AD64" i="1"/>
  <c r="AD185" i="1"/>
  <c r="AH166" i="1"/>
  <c r="AH186" i="1"/>
  <c r="AH72" i="1"/>
  <c r="AH132" i="1"/>
  <c r="AH187" i="1"/>
  <c r="AH134" i="1"/>
  <c r="AH176" i="1"/>
  <c r="AH169" i="1"/>
  <c r="AH71" i="1"/>
  <c r="AH80" i="1"/>
  <c r="AH128" i="1"/>
  <c r="AH139" i="1"/>
  <c r="AH133" i="1"/>
  <c r="AH66" i="1"/>
  <c r="AH140" i="1"/>
  <c r="BJ169" i="1" l="1"/>
  <c r="BJ186" i="1"/>
  <c r="BJ185" i="1"/>
  <c r="AD187" i="1"/>
  <c r="AD186" i="1"/>
  <c r="AD66" i="1"/>
  <c r="AD133" i="1"/>
  <c r="AD128" i="1"/>
  <c r="AD134" i="1"/>
  <c r="AD140" i="1"/>
  <c r="AD139" i="1"/>
  <c r="AD80" i="1"/>
  <c r="AD71" i="1"/>
  <c r="AD72" i="1"/>
  <c r="AD169" i="1"/>
  <c r="AD176" i="1"/>
  <c r="AD132" i="1"/>
  <c r="AD166" i="1"/>
  <c r="R166" i="1" l="1"/>
  <c r="R153" i="1" l="1"/>
  <c r="DA153" i="1"/>
  <c r="DE153" i="1"/>
  <c r="R149" i="1" l="1"/>
  <c r="R148" i="1"/>
  <c r="R151" i="1" l="1"/>
  <c r="R150" i="1"/>
  <c r="DE149" i="1"/>
  <c r="DA149" i="1"/>
  <c r="DA150" i="1"/>
  <c r="DE150" i="1"/>
  <c r="DA148" i="1" l="1"/>
  <c r="DE148" i="1"/>
  <c r="DE151" i="1" l="1"/>
  <c r="DA151" i="1"/>
  <c r="BJ77" i="1" l="1"/>
  <c r="BI77" i="1"/>
  <c r="BJ141" i="1"/>
  <c r="BI141" i="1"/>
  <c r="DA77" i="1"/>
  <c r="DE77" i="1"/>
  <c r="AG212" i="1"/>
  <c r="AG217" i="1"/>
  <c r="AG224" i="1"/>
  <c r="AG143" i="1"/>
  <c r="AG99" i="1"/>
  <c r="AG208" i="1"/>
  <c r="AG225" i="1"/>
  <c r="AG81" i="1"/>
  <c r="AG205" i="1"/>
  <c r="AG209" i="1"/>
  <c r="AG215" i="1"/>
  <c r="AG220" i="1"/>
  <c r="AG146" i="1"/>
  <c r="AG206" i="1"/>
  <c r="AG210" i="1"/>
  <c r="AG216" i="1"/>
  <c r="AG221" i="1"/>
  <c r="AG147" i="1"/>
  <c r="R77" i="1" l="1"/>
  <c r="AG84" i="1"/>
  <c r="AG142" i="1"/>
  <c r="AG83" i="1"/>
  <c r="AG103" i="1"/>
  <c r="AG145" i="1"/>
  <c r="AG219" i="1"/>
  <c r="AG207" i="1"/>
  <c r="AG108" i="1"/>
  <c r="AG107" i="1"/>
  <c r="AG110" i="1"/>
  <c r="AG213" i="1"/>
  <c r="AG190" i="1"/>
  <c r="AG109" i="1"/>
  <c r="AG189" i="1"/>
  <c r="AD145" i="1" l="1"/>
  <c r="BI145" i="1" l="1"/>
  <c r="BJ145" i="1" l="1"/>
  <c r="N185" i="1"/>
  <c r="N186" i="1"/>
  <c r="N71" i="1" l="1"/>
  <c r="N66" i="1"/>
  <c r="N68" i="1"/>
  <c r="N64" i="1" l="1"/>
  <c r="N172" i="1" l="1"/>
  <c r="BI66" i="1" l="1"/>
  <c r="BJ66" i="1" l="1"/>
  <c r="N138" i="1"/>
  <c r="N177" i="1" l="1"/>
  <c r="N205" i="1"/>
  <c r="N181" i="1"/>
  <c r="N179" i="1" l="1"/>
  <c r="N206" i="1"/>
  <c r="N110" i="1" l="1"/>
  <c r="N79" i="1"/>
  <c r="N78" i="1"/>
  <c r="N80" i="1"/>
  <c r="R80" i="1" l="1"/>
  <c r="BJ179" i="1"/>
  <c r="N220" i="1"/>
  <c r="N215" i="1"/>
  <c r="N216" i="1"/>
  <c r="N219" i="1"/>
  <c r="N225" i="1"/>
  <c r="N217" i="1"/>
  <c r="N65" i="1"/>
  <c r="N192" i="1"/>
  <c r="N224" i="1"/>
  <c r="BI179" i="1" l="1"/>
  <c r="BI79" i="1" l="1"/>
  <c r="BJ79" i="1"/>
  <c r="BJ80" i="1"/>
  <c r="BI80" i="1"/>
  <c r="BJ110" i="1"/>
  <c r="BI110" i="1"/>
  <c r="BI69" i="1"/>
  <c r="BJ69" i="1"/>
  <c r="DE218" i="1"/>
  <c r="DA218" i="1"/>
  <c r="DA223" i="1"/>
  <c r="DE223" i="1"/>
  <c r="BJ182" i="1"/>
  <c r="DE110" i="1"/>
  <c r="DA110" i="1"/>
  <c r="DE79" i="1"/>
  <c r="DA79" i="1"/>
  <c r="DA219" i="1"/>
  <c r="DE219" i="1"/>
  <c r="R200" i="1" l="1"/>
  <c r="R205" i="1"/>
  <c r="R208" i="1"/>
  <c r="R214" i="1"/>
  <c r="R218" i="1"/>
  <c r="R222" i="1"/>
  <c r="R182" i="1"/>
  <c r="R86" i="1"/>
  <c r="R65" i="1"/>
  <c r="R93" i="1"/>
  <c r="R96" i="1"/>
  <c r="R110" i="1"/>
  <c r="R198" i="1"/>
  <c r="R201" i="1"/>
  <c r="R206" i="1"/>
  <c r="R215" i="1"/>
  <c r="R219" i="1"/>
  <c r="R223" i="1"/>
  <c r="R227" i="1"/>
  <c r="R137" i="1"/>
  <c r="R152" i="1"/>
  <c r="R87" i="1"/>
  <c r="R66" i="1"/>
  <c r="R69" i="1"/>
  <c r="R102" i="1"/>
  <c r="R109" i="1"/>
  <c r="R199" i="1"/>
  <c r="R202" i="1"/>
  <c r="R179" i="1"/>
  <c r="R216" i="1"/>
  <c r="R220" i="1"/>
  <c r="R224" i="1"/>
  <c r="R228" i="1"/>
  <c r="R138" i="1"/>
  <c r="R64" i="1"/>
  <c r="R88" i="1"/>
  <c r="R91" i="1"/>
  <c r="R70" i="1"/>
  <c r="R105" i="1"/>
  <c r="R78" i="1"/>
  <c r="R192" i="1"/>
  <c r="R172" i="1"/>
  <c r="R177" i="1"/>
  <c r="R211" i="1"/>
  <c r="R181" i="1"/>
  <c r="R217" i="1"/>
  <c r="R221" i="1"/>
  <c r="R225" i="1"/>
  <c r="R133" i="1"/>
  <c r="R146" i="1"/>
  <c r="R85" i="1"/>
  <c r="R89" i="1"/>
  <c r="R68" i="1"/>
  <c r="R71" i="1"/>
  <c r="R100" i="1"/>
  <c r="R106" i="1"/>
  <c r="R79" i="1"/>
  <c r="BI182" i="1"/>
  <c r="BI109" i="1"/>
  <c r="BJ109" i="1"/>
  <c r="DE182" i="1"/>
  <c r="DA182" i="1"/>
  <c r="DE109" i="1"/>
  <c r="DA109" i="1"/>
  <c r="N107" i="1"/>
  <c r="N189" i="1"/>
  <c r="N195" i="1"/>
  <c r="N210" i="1"/>
  <c r="N139" i="1"/>
  <c r="N85" i="1"/>
  <c r="N67" i="1"/>
  <c r="N99" i="1"/>
  <c r="N103" i="1"/>
  <c r="N76" i="1"/>
  <c r="N108" i="1"/>
  <c r="N170" i="1"/>
  <c r="N190" i="1"/>
  <c r="N203" i="1"/>
  <c r="N175" i="1"/>
  <c r="N207" i="1"/>
  <c r="N213" i="1"/>
  <c r="N143" i="1"/>
  <c r="N140" i="1"/>
  <c r="N81" i="1"/>
  <c r="N83" i="1"/>
  <c r="N74" i="1"/>
  <c r="N176" i="1"/>
  <c r="N208" i="1"/>
  <c r="N182" i="1"/>
  <c r="N134" i="1"/>
  <c r="N136" i="1"/>
  <c r="N137" i="1"/>
  <c r="N75" i="1"/>
  <c r="N178" i="1"/>
  <c r="N209" i="1"/>
  <c r="N212" i="1"/>
  <c r="N130" i="1"/>
  <c r="N135" i="1"/>
  <c r="N84" i="1"/>
  <c r="R82" i="1" l="1"/>
  <c r="R143" i="1"/>
  <c r="R193" i="1"/>
  <c r="R132" i="1"/>
  <c r="R72" i="1"/>
  <c r="R75" i="1"/>
  <c r="R170" i="1"/>
  <c r="R131" i="1"/>
  <c r="R108" i="1"/>
  <c r="R188" i="1"/>
  <c r="R107" i="1"/>
  <c r="R99" i="1"/>
  <c r="R90" i="1"/>
  <c r="R81" i="1"/>
  <c r="R142" i="1"/>
  <c r="R207" i="1"/>
  <c r="R196" i="1"/>
  <c r="R191" i="1"/>
  <c r="R76" i="1"/>
  <c r="R130" i="1"/>
  <c r="R136" i="1"/>
  <c r="R140" i="1"/>
  <c r="R74" i="1"/>
  <c r="R128" i="1"/>
  <c r="R94" i="1"/>
  <c r="R92" i="1"/>
  <c r="R210" i="1"/>
  <c r="R209" i="1"/>
  <c r="R84" i="1"/>
  <c r="R204" i="1"/>
  <c r="R195" i="1"/>
  <c r="R190" i="1"/>
  <c r="R178" i="1"/>
  <c r="R134" i="1"/>
  <c r="R129" i="1"/>
  <c r="R73" i="1"/>
  <c r="R101" i="1"/>
  <c r="R197" i="1"/>
  <c r="R104" i="1"/>
  <c r="R98" i="1"/>
  <c r="R147" i="1"/>
  <c r="R213" i="1"/>
  <c r="R67" i="1"/>
  <c r="R95" i="1"/>
  <c r="R226" i="1"/>
  <c r="R103" i="1"/>
  <c r="R97" i="1"/>
  <c r="R83" i="1"/>
  <c r="R144" i="1"/>
  <c r="R212" i="1"/>
  <c r="R203" i="1"/>
  <c r="R194" i="1"/>
  <c r="R189" i="1"/>
  <c r="R135" i="1"/>
  <c r="R167" i="1"/>
  <c r="R176" i="1"/>
  <c r="R175" i="1"/>
  <c r="R139" i="1"/>
  <c r="DE152" i="1"/>
  <c r="DA152" i="1"/>
  <c r="BI134" i="1" l="1"/>
  <c r="DA144" i="1"/>
  <c r="DE144" i="1"/>
  <c r="BJ207" i="1"/>
  <c r="BJ178" i="1"/>
  <c r="DE104" i="1"/>
  <c r="DA104" i="1"/>
  <c r="BJ134" i="1"/>
  <c r="BI175" i="1" l="1"/>
  <c r="BJ175" i="1"/>
  <c r="BI190" i="1"/>
  <c r="BJ190" i="1"/>
  <c r="BI189" i="1"/>
  <c r="BJ189" i="1"/>
  <c r="BI178" i="1"/>
  <c r="BI128" i="1"/>
  <c r="BI129" i="1"/>
  <c r="BJ129" i="1"/>
  <c r="BJ74" i="1"/>
  <c r="BI74" i="1"/>
  <c r="BJ84" i="1"/>
  <c r="BI84" i="1"/>
  <c r="BJ73" i="1"/>
  <c r="BI73" i="1"/>
  <c r="BI139" i="1"/>
  <c r="BI72" i="1"/>
  <c r="BI83" i="1"/>
  <c r="BJ83" i="1"/>
  <c r="BJ108" i="1"/>
  <c r="BI108" i="1"/>
  <c r="BI132" i="1"/>
  <c r="BJ132" i="1" s="1"/>
  <c r="BI76" i="1"/>
  <c r="BJ76" i="1"/>
  <c r="BI142" i="1"/>
  <c r="BJ142" i="1"/>
  <c r="BI207" i="1"/>
  <c r="BI103" i="1"/>
  <c r="BJ103" i="1"/>
  <c r="BI107" i="1"/>
  <c r="BJ107" i="1"/>
  <c r="DA175" i="1"/>
  <c r="DE175" i="1"/>
  <c r="DE108" i="1"/>
  <c r="DA108" i="1"/>
  <c r="DE129" i="1"/>
  <c r="DA129" i="1"/>
  <c r="DE107" i="1"/>
  <c r="DA107" i="1"/>
  <c r="DA142" i="1"/>
  <c r="DE142" i="1"/>
  <c r="DA76" i="1"/>
  <c r="DE76" i="1"/>
  <c r="DA74" i="1"/>
  <c r="DE74" i="1"/>
  <c r="BJ139" i="1" l="1"/>
  <c r="BJ72" i="1"/>
  <c r="BJ128" i="1"/>
  <c r="DE198" i="1" l="1"/>
  <c r="DA198" i="1"/>
  <c r="DA201" i="1"/>
  <c r="DE201" i="1"/>
  <c r="DE188" i="1"/>
  <c r="DA188" i="1"/>
  <c r="DE196" i="1"/>
  <c r="DA196" i="1"/>
  <c r="DE214" i="1"/>
  <c r="DA214" i="1"/>
  <c r="DE202" i="1"/>
  <c r="DA202" i="1"/>
  <c r="DE143" i="1"/>
  <c r="DA143" i="1"/>
  <c r="BI135" i="1" l="1"/>
  <c r="DA100" i="1"/>
  <c r="DE100" i="1"/>
  <c r="DA92" i="1"/>
  <c r="DE92" i="1"/>
  <c r="DA191" i="1"/>
  <c r="DE191" i="1"/>
  <c r="DA102" i="1"/>
  <c r="DE102" i="1"/>
  <c r="DA225" i="1"/>
  <c r="DE225" i="1"/>
  <c r="DA90" i="1"/>
  <c r="DE90" i="1"/>
  <c r="DE197" i="1"/>
  <c r="DA197" i="1"/>
  <c r="DE200" i="1"/>
  <c r="DA200" i="1"/>
  <c r="DE222" i="1"/>
  <c r="DA222" i="1"/>
  <c r="DE82" i="1"/>
  <c r="DA82" i="1"/>
  <c r="DA86" i="1"/>
  <c r="DE86" i="1"/>
  <c r="DE91" i="1"/>
  <c r="DA91" i="1"/>
  <c r="DA193" i="1"/>
  <c r="DE193" i="1"/>
  <c r="DE87" i="1"/>
  <c r="DA87" i="1"/>
  <c r="DA204" i="1"/>
  <c r="DE204" i="1"/>
  <c r="DE101" i="1"/>
  <c r="DA101" i="1"/>
  <c r="DE93" i="1"/>
  <c r="DA93" i="1"/>
  <c r="DE106" i="1"/>
  <c r="DA106" i="1"/>
  <c r="DE228" i="1"/>
  <c r="DA228" i="1"/>
  <c r="DA199" i="1"/>
  <c r="DE199" i="1"/>
  <c r="DE89" i="1"/>
  <c r="DA89" i="1"/>
  <c r="DA203" i="1"/>
  <c r="DE203" i="1"/>
  <c r="DA98" i="1"/>
  <c r="DE98" i="1"/>
  <c r="DA215" i="1"/>
  <c r="DE215" i="1"/>
  <c r="DE135" i="1"/>
  <c r="DA135" i="1"/>
  <c r="DE105" i="1"/>
  <c r="DA105" i="1"/>
  <c r="DE194" i="1"/>
  <c r="DA194" i="1"/>
  <c r="DE224" i="1"/>
  <c r="DA224" i="1"/>
  <c r="DE97" i="1"/>
  <c r="DA97" i="1"/>
  <c r="DA211" i="1"/>
  <c r="DE211" i="1"/>
  <c r="DA96" i="1"/>
  <c r="DE96" i="1"/>
  <c r="DA88" i="1"/>
  <c r="DE88" i="1"/>
  <c r="DE216" i="1"/>
  <c r="DA216" i="1"/>
  <c r="BJ135" i="1" l="1"/>
  <c r="BI136" i="1"/>
  <c r="BI138" i="1"/>
  <c r="BI170" i="1"/>
  <c r="BI75" i="1"/>
  <c r="BI78" i="1"/>
  <c r="DE147" i="1"/>
  <c r="DA147" i="1"/>
  <c r="DE95" i="1"/>
  <c r="DA95" i="1"/>
  <c r="DA206" i="1"/>
  <c r="DE206" i="1"/>
  <c r="DA221" i="1"/>
  <c r="DE221" i="1"/>
  <c r="DE75" i="1"/>
  <c r="DA75" i="1"/>
  <c r="DE192" i="1"/>
  <c r="DA192" i="1"/>
  <c r="DE99" i="1"/>
  <c r="DA99" i="1"/>
  <c r="DE136" i="1"/>
  <c r="DA136" i="1"/>
  <c r="DA146" i="1"/>
  <c r="DE146" i="1"/>
  <c r="BJ170" i="1" l="1"/>
  <c r="BJ75" i="1"/>
  <c r="BJ138" i="1"/>
  <c r="BJ78" i="1"/>
  <c r="BJ136" i="1"/>
  <c r="BI68" i="1"/>
  <c r="BI181" i="1"/>
  <c r="BI70" i="1"/>
  <c r="BI227" i="1"/>
  <c r="BJ227" i="1" s="1"/>
  <c r="BI226" i="1"/>
  <c r="BJ226" i="1" s="1"/>
  <c r="BJ68" i="1"/>
  <c r="DA205" i="1"/>
  <c r="DE205" i="1"/>
  <c r="DE195" i="1"/>
  <c r="DA195" i="1"/>
  <c r="DA227" i="1"/>
  <c r="DE227" i="1"/>
  <c r="DE226" i="1"/>
  <c r="DA226" i="1"/>
  <c r="DE220" i="1"/>
  <c r="DA220" i="1"/>
  <c r="DA94" i="1"/>
  <c r="DE94" i="1"/>
  <c r="DA217" i="1"/>
  <c r="DE217" i="1"/>
  <c r="BJ181" i="1" l="1"/>
  <c r="BJ70" i="1"/>
  <c r="BI133" i="1"/>
  <c r="BI140" i="1"/>
  <c r="BJ140" i="1" l="1"/>
  <c r="BJ133" i="1"/>
  <c r="BI85" i="1"/>
  <c r="BJ85" i="1" s="1"/>
  <c r="BI131" i="1"/>
  <c r="BI130" i="1"/>
  <c r="BJ130" i="1" s="1"/>
  <c r="DE85" i="1"/>
  <c r="DA85" i="1"/>
  <c r="DA131" i="1"/>
  <c r="DE131" i="1"/>
  <c r="DA130" i="1"/>
  <c r="DE130" i="1"/>
  <c r="DE172" i="1"/>
  <c r="DA172" i="1"/>
  <c r="BJ131" i="1" l="1"/>
  <c r="DA68" i="1"/>
  <c r="DE68" i="1"/>
  <c r="DE208" i="1" l="1"/>
  <c r="DA208" i="1"/>
  <c r="DA207" i="1" l="1"/>
  <c r="DE207" i="1"/>
  <c r="DE178" i="1" l="1"/>
  <c r="DA178" i="1"/>
  <c r="DA213" i="1"/>
  <c r="DE213" i="1"/>
  <c r="DA209" i="1"/>
  <c r="DE209" i="1"/>
  <c r="DE212" i="1"/>
  <c r="DA212" i="1"/>
  <c r="DE210" i="1"/>
  <c r="DA210" i="1"/>
  <c r="DE170" i="1" l="1"/>
  <c r="DA170" i="1"/>
  <c r="DA167" i="1" l="1"/>
  <c r="DE167" i="1"/>
  <c r="DE190" i="1"/>
  <c r="DA190" i="1"/>
  <c r="DA189" i="1"/>
  <c r="DE189" i="1"/>
  <c r="DA70" i="1" l="1"/>
  <c r="DE70" i="1"/>
  <c r="DE103" i="1" l="1"/>
  <c r="DA103" i="1"/>
  <c r="DE69" i="1"/>
  <c r="DA69" i="1"/>
  <c r="DE73" i="1" l="1"/>
  <c r="DA73" i="1"/>
  <c r="DE65" i="1"/>
  <c r="DA65" i="1"/>
  <c r="DE141" i="1" l="1"/>
  <c r="DA141" i="1"/>
  <c r="DE83" i="1"/>
  <c r="DA83" i="1"/>
  <c r="DE81" i="1"/>
  <c r="DA81" i="1"/>
  <c r="DA84" i="1"/>
  <c r="DE84" i="1"/>
  <c r="DA179" i="1" l="1"/>
  <c r="DE179" i="1"/>
  <c r="DA138" i="1"/>
  <c r="DE138" i="1"/>
  <c r="DA177" i="1" l="1"/>
  <c r="DE177" i="1"/>
  <c r="DA181" i="1"/>
  <c r="DE181" i="1"/>
  <c r="DA132" i="1" l="1"/>
  <c r="DE132" i="1"/>
  <c r="DA128" i="1"/>
  <c r="DE128" i="1"/>
  <c r="DA140" i="1"/>
  <c r="DE140" i="1"/>
  <c r="DE71" i="1"/>
  <c r="DA71" i="1"/>
  <c r="DA72" i="1"/>
  <c r="DE72" i="1"/>
  <c r="DA80" i="1"/>
  <c r="DE80" i="1"/>
  <c r="DE145" i="1"/>
  <c r="DA145" i="1"/>
  <c r="DE139" i="1"/>
  <c r="DA139" i="1"/>
  <c r="DA64" i="1"/>
  <c r="DE64" i="1"/>
  <c r="DE176" i="1"/>
  <c r="DA176" i="1"/>
  <c r="DA78" i="1"/>
  <c r="DE78" i="1"/>
  <c r="DA169" i="1"/>
  <c r="DE169" i="1"/>
  <c r="DE186" i="1"/>
  <c r="DA186" i="1"/>
  <c r="DA134" i="1"/>
  <c r="DE134" i="1"/>
  <c r="DA66" i="1"/>
  <c r="DE66" i="1"/>
  <c r="DE133" i="1"/>
  <c r="DA133" i="1"/>
  <c r="DE137" i="1"/>
  <c r="DA137" i="1"/>
  <c r="DA185" i="1"/>
  <c r="DE185" i="1"/>
  <c r="DE166" i="1" l="1"/>
  <c r="DA166" i="1"/>
  <c r="DA187" i="1"/>
  <c r="DE187" i="1"/>
  <c r="DE184" i="1"/>
  <c r="DA18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Allan Lerner</author>
  </authors>
  <commentList>
    <comment ref="BF1" authorId="0" shapeId="0" xr:uid="{26D2817A-221C-446D-8B7D-7379F1CC2849}">
      <text>
        <r>
          <rPr>
            <b/>
            <sz val="9"/>
            <color indexed="81"/>
            <rFont val="Tahoma"/>
            <family val="2"/>
          </rPr>
          <t>Allan Lerner:</t>
        </r>
        <r>
          <rPr>
            <sz val="9"/>
            <color indexed="81"/>
            <rFont val="Tahoma"/>
            <family val="2"/>
          </rPr>
          <t xml:space="preserve">
calculated from H2O + total CO2 in melt inclusions using the composition-dependent solubility model of Iacono-Marziano et al 2012</t>
        </r>
      </text>
    </comment>
    <comment ref="BK1" authorId="0" shapeId="0" xr:uid="{845D7984-8779-434B-AE72-25A5EAABDEA8}">
      <text>
        <r>
          <rPr>
            <b/>
            <sz val="9"/>
            <color indexed="81"/>
            <rFont val="Tahoma"/>
            <family val="2"/>
          </rPr>
          <t>Allan Lerner:</t>
        </r>
        <r>
          <rPr>
            <sz val="9"/>
            <color indexed="81"/>
            <rFont val="Tahoma"/>
            <family val="2"/>
          </rPr>
          <t xml:space="preserve">
calculated from CO2 densities in vapor bubbles using CO2 equation of state of Sterner and Pitzer 1994</t>
        </r>
      </text>
    </comment>
    <comment ref="B2" authorId="0" shapeId="0" xr:uid="{00000000-0006-0000-0000-000006000000}">
      <text>
        <r>
          <rPr>
            <b/>
            <sz val="9"/>
            <color indexed="81"/>
            <rFont val="Tahoma"/>
            <family val="2"/>
          </rPr>
          <t>Allan Lerner:</t>
        </r>
        <r>
          <rPr>
            <sz val="9"/>
            <color indexed="81"/>
            <rFont val="Tahoma"/>
            <family val="2"/>
          </rPr>
          <t xml:space="preserve">
Swanson and Houghton 2018 stratigraphy terminology</t>
        </r>
      </text>
    </comment>
    <comment ref="C2" authorId="0" shapeId="0" xr:uid="{A2B57CD1-05C5-4AF4-8DAB-BB3EFAAEBD64}">
      <text>
        <r>
          <rPr>
            <b/>
            <sz val="9"/>
            <color indexed="81"/>
            <rFont val="Tahoma"/>
            <family val="2"/>
          </rPr>
          <t>Allan Lerner:</t>
        </r>
        <r>
          <rPr>
            <sz val="9"/>
            <color indexed="81"/>
            <rFont val="Tahoma"/>
            <family val="2"/>
          </rPr>
          <t xml:space="preserve">
Iinformal name/sample description</t>
        </r>
      </text>
    </comment>
    <comment ref="D2" authorId="0" shapeId="0" xr:uid="{00000000-0006-0000-0000-000007000000}">
      <text>
        <r>
          <rPr>
            <b/>
            <sz val="9"/>
            <color indexed="81"/>
            <rFont val="Tahoma"/>
            <family val="2"/>
          </rPr>
          <t>Allan Lerner:</t>
        </r>
        <r>
          <rPr>
            <sz val="9"/>
            <color indexed="81"/>
            <rFont val="Tahoma"/>
            <family val="2"/>
          </rPr>
          <t xml:space="preserve">
apporixmate ages, as listed in Lynn et al 2017 basd on Swanson et al 2012, 2014</t>
        </r>
      </text>
    </comment>
    <comment ref="G2" authorId="0" shapeId="0" xr:uid="{16E4215B-531E-407C-A016-4A881C97241F}">
      <text>
        <r>
          <rPr>
            <b/>
            <sz val="9"/>
            <color indexed="81"/>
            <rFont val="Tahoma"/>
            <family val="2"/>
          </rPr>
          <t>Allan Lerner:</t>
        </r>
        <r>
          <rPr>
            <sz val="9"/>
            <color indexed="81"/>
            <rFont val="Tahoma"/>
            <family val="2"/>
          </rPr>
          <t xml:space="preserve">
"bubble-dom MI" = bubble-dominated melt inclusion with a large bubble typically &gt;10 vol% (co-trapped fluid phase; vapor bubble treated here as a fluid inclusion).</t>
        </r>
      </text>
    </comment>
    <comment ref="N2" authorId="0" shapeId="0" xr:uid="{AE13DBF3-F9AE-4DCE-80FB-35847F5E15BD}">
      <text>
        <r>
          <rPr>
            <b/>
            <sz val="9"/>
            <color indexed="81"/>
            <rFont val="Tahoma"/>
            <family val="2"/>
          </rPr>
          <t>Allan Lerner:</t>
        </r>
        <r>
          <rPr>
            <sz val="9"/>
            <color indexed="81"/>
            <rFont val="Tahoma"/>
            <family val="2"/>
          </rPr>
          <t xml:space="preserve">
assumes that the z-axis (depth) is the average of 2 measured axes</t>
        </r>
      </text>
    </comment>
    <comment ref="O2" authorId="0" shapeId="0" xr:uid="{45E10C7D-19B1-4D15-B1B2-C31CE5AE1093}">
      <text>
        <r>
          <rPr>
            <b/>
            <sz val="9"/>
            <color indexed="81"/>
            <rFont val="Tahoma"/>
            <family val="2"/>
          </rPr>
          <t>Allan Lerner:</t>
        </r>
        <r>
          <rPr>
            <sz val="9"/>
            <color indexed="81"/>
            <rFont val="Tahoma"/>
            <family val="2"/>
          </rPr>
          <t xml:space="preserve">
bubble and co-trapped mineral inclusion volumes subtracted to give glass-only volume</t>
        </r>
      </text>
    </comment>
    <comment ref="Q2" authorId="0" shapeId="0" xr:uid="{D78A797F-6FC3-4A2A-BE1D-F6A751D3E61B}">
      <text>
        <r>
          <rPr>
            <b/>
            <sz val="9"/>
            <color indexed="81"/>
            <rFont val="Tahoma"/>
            <family val="2"/>
          </rPr>
          <t>Allan Lerner:</t>
        </r>
        <r>
          <rPr>
            <sz val="9"/>
            <color indexed="81"/>
            <rFont val="Tahoma"/>
            <family val="2"/>
          </rPr>
          <t xml:space="preserve">
typically assumed spherical, except for some elliptical flluid inclusions</t>
        </r>
      </text>
    </comment>
    <comment ref="R2" authorId="0" shapeId="0" xr:uid="{E4C40E11-2016-4155-A4F5-5B978BA32F30}">
      <text>
        <r>
          <rPr>
            <b/>
            <sz val="9"/>
            <color indexed="81"/>
            <rFont val="Tahoma"/>
            <family val="2"/>
          </rPr>
          <t>Allan Lerner:</t>
        </r>
        <r>
          <rPr>
            <sz val="9"/>
            <color indexed="81"/>
            <rFont val="Tahoma"/>
            <family val="2"/>
          </rPr>
          <t xml:space="preserve">
isolated fluid inclusions are 100 vol% bubble (blue highlight color); bubble-dominated melt inclusions have vapor bubbles ≥10 vol% (green highlight color); "normal" melt inclusion shrinkage bubbles typically have vapor bubbles ≤5 vol% (no highlight color). Melt inclusions with vapor bubbles that are likely to be co-trapped CO2-rich fluids but are &lt;10 vol% (orange highlight color) are not used in fluid inclusion barometry calculations due to likely PEC modifications</t>
        </r>
      </text>
    </comment>
    <comment ref="S2" authorId="0" shapeId="0" xr:uid="{43D43FA4-AB12-4087-AB0A-3E43C8A11390}">
      <text>
        <r>
          <rPr>
            <b/>
            <sz val="9"/>
            <color indexed="81"/>
            <rFont val="Tahoma"/>
            <family val="2"/>
          </rPr>
          <t>Allan Lerner:</t>
        </r>
        <r>
          <rPr>
            <sz val="9"/>
            <color indexed="81"/>
            <rFont val="Tahoma"/>
            <family val="2"/>
          </rPr>
          <t xml:space="preserve">
See details of silicate analyses in supplementary tab #2 (next tab)</t>
        </r>
      </text>
    </comment>
    <comment ref="X2" authorId="0" shapeId="0" xr:uid="{2BE2F5C5-8B48-461C-859D-46FEB41C2198}">
      <text>
        <r>
          <rPr>
            <b/>
            <sz val="9"/>
            <color indexed="81"/>
            <rFont val="Tahoma"/>
            <family val="2"/>
          </rPr>
          <t>Allan Lerner:</t>
        </r>
        <r>
          <rPr>
            <sz val="9"/>
            <color indexed="81"/>
            <rFont val="Tahoma"/>
            <family val="2"/>
          </rPr>
          <t xml:space="preserve">
see supplementary table 4 for further Raman details.</t>
        </r>
      </text>
    </comment>
    <comment ref="Z2" authorId="0" shapeId="0" xr:uid="{BF835695-86A2-4B47-93F2-55B5D723D832}">
      <text>
        <r>
          <rPr>
            <b/>
            <sz val="9"/>
            <color indexed="81"/>
            <rFont val="Tahoma"/>
            <family val="2"/>
          </rPr>
          <t>Allan Lerner:</t>
        </r>
        <r>
          <rPr>
            <sz val="9"/>
            <color indexed="81"/>
            <rFont val="Tahoma"/>
            <family val="2"/>
          </rPr>
          <t xml:space="preserve">
For Raman analyses, CO2 density is calculated via the densiometer of Lamadrid et al., 2017 (see supplementary table 4 for further Raman details). Bulk CO2 density (liquid + vapor) in two phase fluid inclusions (blue highlighted cells) is calculated from estimated proportions of liquid and fluid and their densities at room temperature.</t>
        </r>
      </text>
    </comment>
    <comment ref="AA2" authorId="0" shapeId="0" xr:uid="{DBB9D744-DA3D-48B4-A2DA-66BB594E54B2}">
      <text>
        <r>
          <rPr>
            <b/>
            <sz val="9"/>
            <color indexed="81"/>
            <rFont val="Tahoma"/>
            <family val="2"/>
          </rPr>
          <t>Allan Lerner:</t>
        </r>
        <r>
          <rPr>
            <sz val="9"/>
            <color indexed="81"/>
            <rFont val="Tahoma"/>
            <family val="2"/>
          </rPr>
          <t xml:space="preserve">
Uncertainty is from analytical precision for single-phase bubbles. In two-phase vapor bubbles (blue highlighted cells), uncertainty is from propagated uncertainties in vapor:liquid volumes for two-phase bubbles, which leads to relatively large uncertainties. </t>
        </r>
      </text>
    </comment>
    <comment ref="AB2" authorId="0" shapeId="0" xr:uid="{FD2EF1AC-7541-4869-BA21-6D602269C922}">
      <text>
        <r>
          <rPr>
            <b/>
            <sz val="9"/>
            <color indexed="81"/>
            <rFont val="Tahoma"/>
            <family val="2"/>
          </rPr>
          <t>Allan Lerner:</t>
        </r>
        <r>
          <rPr>
            <sz val="9"/>
            <color indexed="81"/>
            <rFont val="Tahoma"/>
            <family val="2"/>
          </rPr>
          <t xml:space="preserve">
MgO thermometry of PEC-corrected melt inclusion composition</t>
        </r>
      </text>
    </comment>
    <comment ref="AC2" authorId="0" shapeId="0" xr:uid="{B27866A9-D3C8-48AE-867F-3E359E46E986}">
      <text>
        <r>
          <rPr>
            <b/>
            <sz val="9"/>
            <color indexed="81"/>
            <rFont val="Tahoma"/>
            <family val="2"/>
          </rPr>
          <t>Allan Lerner:</t>
        </r>
        <r>
          <rPr>
            <sz val="9"/>
            <color indexed="81"/>
            <rFont val="Tahoma"/>
            <family val="2"/>
          </rPr>
          <t xml:space="preserve">
MgO thermometry of non-PEC-corrected melt inclusion composition (after composition change with inclusion cooling)</t>
        </r>
      </text>
    </comment>
    <comment ref="AD2" authorId="0" shapeId="0" xr:uid="{03080A90-5EF6-4AE7-AB13-3DAFC47ECCBF}">
      <text>
        <r>
          <rPr>
            <b/>
            <sz val="9"/>
            <color indexed="81"/>
            <rFont val="Tahoma"/>
            <family val="2"/>
          </rPr>
          <t>Allan Lerner:</t>
        </r>
        <r>
          <rPr>
            <sz val="9"/>
            <color indexed="81"/>
            <rFont val="Tahoma"/>
            <family val="2"/>
          </rPr>
          <t xml:space="preserve">
Entrapment temperature minus quench temperature</t>
        </r>
      </text>
    </comment>
    <comment ref="AE2" authorId="0" shapeId="0" xr:uid="{1D5A0BF6-5082-426A-9714-02FFFFB12C35}">
      <text>
        <r>
          <rPr>
            <b/>
            <sz val="9"/>
            <color indexed="81"/>
            <rFont val="Tahoma"/>
            <family val="2"/>
          </rPr>
          <t>Allan Lerner:</t>
        </r>
        <r>
          <rPr>
            <sz val="9"/>
            <color indexed="81"/>
            <rFont val="Tahoma"/>
            <family val="2"/>
          </rPr>
          <t xml:space="preserve">
Estimating temperatures of fluid inclusion entrapment based on host olivine Fo via fit equation to Kilauea datasets (see supplementary text): (fit equation: Temp = 0.02289*(Fo)^3 - 4.943*(Fo)^2 + 358.6*(Fo) - 7620). Note: melt-MgO thermometry is more accurate, where available for melt inclusions </t>
        </r>
      </text>
    </comment>
    <comment ref="AF2" authorId="0" shapeId="0" xr:uid="{2DD71939-0654-4479-B58D-4A03E05128A2}">
      <text>
        <r>
          <rPr>
            <b/>
            <sz val="9"/>
            <color indexed="81"/>
            <rFont val="Tahoma"/>
            <family val="2"/>
          </rPr>
          <t>Allan Lerner:</t>
        </r>
        <r>
          <rPr>
            <sz val="9"/>
            <color indexed="81"/>
            <rFont val="Tahoma"/>
            <family val="2"/>
          </rPr>
          <t xml:space="preserve">
No PEC corrections were applied to samples with PEC correction coefficients &gt;0.995 (green highlights)</t>
        </r>
      </text>
    </comment>
    <comment ref="AG2" authorId="0" shapeId="0" xr:uid="{16BCC3CC-3BB5-4D52-8854-932624DBE1AD}">
      <text>
        <r>
          <rPr>
            <b/>
            <sz val="9"/>
            <color indexed="81"/>
            <rFont val="Tahoma"/>
            <family val="2"/>
          </rPr>
          <t>Allan Lerner:</t>
        </r>
        <r>
          <rPr>
            <sz val="9"/>
            <color indexed="81"/>
            <rFont val="Tahoma"/>
            <family val="2"/>
          </rPr>
          <t xml:space="preserve">
incompatible enrichment due to post-entrapment crystallization (PEC) processes. Corrections were applied via Petrolog3 [Danyushevsky and Plechov, 2011], with olivine-compatible elements added back to the glass composition, and olivine-incompable elements diluted by appropriate amounts. PEC corrections were not applied to samples with incompatible enrichments &lt;0.5% (green highlights)</t>
        </r>
      </text>
    </comment>
    <comment ref="AT2" authorId="0" shapeId="0" xr:uid="{2B27DF14-C8B2-40C8-A0E0-FAF726BC5F3D}">
      <text>
        <r>
          <rPr>
            <b/>
            <sz val="9"/>
            <color indexed="81"/>
            <rFont val="Tahoma"/>
            <family val="2"/>
          </rPr>
          <t>Allan Lerner:</t>
        </r>
        <r>
          <rPr>
            <sz val="9"/>
            <color indexed="81"/>
            <rFont val="Tahoma"/>
            <family val="2"/>
          </rPr>
          <t xml:space="preserve">
note: very few inclusions contained sulfides, so no sulfide restorations were necessary or applied</t>
        </r>
      </text>
    </comment>
    <comment ref="AV2" authorId="0" shapeId="0" xr:uid="{3706DB4C-3696-47DE-B7A7-6BE16D9A0342}">
      <text>
        <r>
          <rPr>
            <b/>
            <sz val="9"/>
            <color indexed="81"/>
            <rFont val="Tahoma"/>
            <family val="2"/>
          </rPr>
          <t>Allan Lerner:</t>
        </r>
        <r>
          <rPr>
            <sz val="9"/>
            <color indexed="81"/>
            <rFont val="Tahoma"/>
            <family val="2"/>
          </rPr>
          <t xml:space="preserve">
Assume xFe3+/xFeTotal = 0.18 (xFe2O3/xFeOTotal = 0.09). See Lerner et al 2021</t>
        </r>
      </text>
    </comment>
    <comment ref="AW2" authorId="0" shapeId="0" xr:uid="{2A3746AC-FEF1-4341-9FE3-593117411C96}">
      <text>
        <r>
          <rPr>
            <b/>
            <sz val="9"/>
            <color indexed="81"/>
            <rFont val="Tahoma"/>
            <family val="2"/>
          </rPr>
          <t>Allan Lerner:</t>
        </r>
        <r>
          <rPr>
            <sz val="9"/>
            <color indexed="81"/>
            <rFont val="Tahoma"/>
            <family val="2"/>
          </rPr>
          <t xml:space="preserve">
xFe2+/xFeTotal = 0.82 See Lerner et al 2021</t>
        </r>
      </text>
    </comment>
    <comment ref="AX2" authorId="0" shapeId="0" xr:uid="{00000000-0006-0000-0000-00000C000000}">
      <text>
        <r>
          <rPr>
            <b/>
            <sz val="9"/>
            <color indexed="81"/>
            <rFont val="Tahoma"/>
            <family val="2"/>
          </rPr>
          <t>Allan Lerner:</t>
        </r>
        <r>
          <rPr>
            <sz val="9"/>
            <color indexed="81"/>
            <rFont val="Tahoma"/>
            <family val="2"/>
          </rPr>
          <t xml:space="preserve">
H2O diffusion is assumed fast enough that PEC does not cause enrichment; H2O is thus not re-normalized (diluted) based on PEC extents</t>
        </r>
      </text>
    </comment>
    <comment ref="AZ2" authorId="0" shapeId="0" xr:uid="{00000000-0006-0000-0000-00000D000000}">
      <text>
        <r>
          <rPr>
            <b/>
            <sz val="9"/>
            <color indexed="81"/>
            <rFont val="Tahoma"/>
            <family val="2"/>
          </rPr>
          <t>Allan Lerner:</t>
        </r>
        <r>
          <rPr>
            <sz val="9"/>
            <color indexed="81"/>
            <rFont val="Tahoma"/>
            <family val="2"/>
          </rPr>
          <t xml:space="preserve">
Due to use of white light or measurements through crystal hosts, CO2 was not measured in some FTIR measurements where H2O was resolved. Where CO2 was measured but below detection limits, we assume 30 ppm CO2 in the glass (orange highlights). Where CO2 was unmeasured in glass (purple highlights), assume glass CO2 concentration equal  average measured glass CO2 in bubble-bearing MI from the same unit (158 ppm CO2 for Unit B reticulite, 141 ppm CO2 in the Unit D lower vitric ash, and 148 ppm CO2 in the Unit D upper vitric ash). </t>
        </r>
      </text>
    </comment>
    <comment ref="BB2" authorId="0" shapeId="0" xr:uid="{00000000-0006-0000-0000-00000E000000}">
      <text>
        <r>
          <rPr>
            <b/>
            <sz val="9"/>
            <color indexed="81"/>
            <rFont val="Tahoma"/>
            <family val="2"/>
          </rPr>
          <t>Allan Lerner:</t>
        </r>
        <r>
          <rPr>
            <sz val="9"/>
            <color indexed="81"/>
            <rFont val="Tahoma"/>
            <family val="2"/>
          </rPr>
          <t xml:space="preserve">
Calculation from CO2 density in bubble and bubble:glass mass balance in the melt inclusion. CO2 is then dluted by PEC.</t>
        </r>
      </text>
    </comment>
    <comment ref="BC2" authorId="0" shapeId="0" xr:uid="{05E6D2FC-CCDF-4456-839A-213D29691088}">
      <text>
        <r>
          <rPr>
            <b/>
            <sz val="9"/>
            <color indexed="81"/>
            <rFont val="Tahoma"/>
            <family val="2"/>
          </rPr>
          <t>Allan Lerner:</t>
        </r>
        <r>
          <rPr>
            <sz val="9"/>
            <color indexed="81"/>
            <rFont val="Tahoma"/>
            <family val="2"/>
          </rPr>
          <t xml:space="preserve">
Uncertainty propagated from Raman analytical uncertainty and vapor bubble and melt inclusion size uncertainties.</t>
        </r>
      </text>
    </comment>
    <comment ref="BD2" authorId="0" shapeId="0" xr:uid="{00000000-0006-0000-0000-00000F000000}">
      <text>
        <r>
          <rPr>
            <b/>
            <sz val="9"/>
            <color indexed="81"/>
            <rFont val="Tahoma"/>
            <family val="2"/>
          </rPr>
          <t>Allan Lerner:</t>
        </r>
        <r>
          <rPr>
            <sz val="9"/>
            <color indexed="81"/>
            <rFont val="Tahoma"/>
            <family val="2"/>
          </rPr>
          <t xml:space="preserve">
If no bubble is present in a melt inclusion, total CO2 is only FTIR in glass. If a bubble is present, total CO2 is from Raman bubble analyses and FTIR glass analyses. If bubble CO2 was measured by Raman and CO2 glass was measured but bdl by FTIR, the glass CO2 content is assumed to be a conservative FTIR detection limit of 30 ppm.  If bubble CO2 was measured by Raman but no FTIR measurement of glass were done, glass CO2 was assumed to be the average CO2 of other measured glass in bubble-bearing melt inclusions in the unit. Where bubbles were present in inclusions but unmeasured by Raman, the total CO2 is likely significantly underestimated due to unaccounted CO2 in the bubble and is not shown in this column; these inclusions are not included in barometry assessments in this study.</t>
        </r>
      </text>
    </comment>
    <comment ref="BE2" authorId="0" shapeId="0" xr:uid="{E594E970-9AFA-4C4F-8555-E494000BEC9F}">
      <text>
        <r>
          <rPr>
            <b/>
            <sz val="9"/>
            <color indexed="81"/>
            <rFont val="Tahoma"/>
            <family val="2"/>
          </rPr>
          <t>Allan Lerner:</t>
        </r>
        <r>
          <rPr>
            <sz val="9"/>
            <color indexed="81"/>
            <rFont val="Tahoma"/>
            <family val="2"/>
          </rPr>
          <t xml:space="preserve">
Uncertainty propagated from FTIR and/or Raman analytical uncertainty and vapor bubble and melt inclusion size uncertainties.</t>
        </r>
      </text>
    </comment>
    <comment ref="BF2" authorId="0" shapeId="0" xr:uid="{66DD48FA-5FC6-4BEF-8C97-8CB1867D0613}">
      <text>
        <r>
          <rPr>
            <b/>
            <sz val="9"/>
            <color indexed="81"/>
            <rFont val="Tahoma"/>
            <family val="2"/>
          </rPr>
          <t>Allan Lerner:</t>
        </r>
        <r>
          <rPr>
            <sz val="9"/>
            <color indexed="81"/>
            <rFont val="Tahoma"/>
            <family val="2"/>
          </rPr>
          <t xml:space="preserve">
melt inclusion saturation pressures calculated using the composition and temperature-dependent H2O+CO2 solubility model of Iacono-Marziano et al 2012. Calculations done with the VESIcal tool (Iacovino et al. 2021). Bubble-dominated inclusions likely have a co-trapped fluid phase, and entrapment pressures are calculated via CO2 equation of state rather than H2O-CO2 solubilities.</t>
        </r>
      </text>
    </comment>
    <comment ref="BG2" authorId="0" shapeId="0" xr:uid="{D3F7E6A6-3EAB-4E89-A62C-F660C003A5DC}">
      <text>
        <r>
          <rPr>
            <b/>
            <sz val="9"/>
            <color indexed="81"/>
            <rFont val="Tahoma"/>
            <family val="2"/>
          </rPr>
          <t>Allan Lerner:</t>
        </r>
        <r>
          <rPr>
            <sz val="9"/>
            <color indexed="81"/>
            <rFont val="Tahoma"/>
            <family val="2"/>
          </rPr>
          <t xml:space="preserve">
from propagated analytical and bubble/melt inclusion-volume uncertainties</t>
        </r>
      </text>
    </comment>
    <comment ref="BH2" authorId="0" shapeId="0" xr:uid="{A1BDA338-44B3-4C7A-942F-D368C33025E5}">
      <text>
        <r>
          <rPr>
            <b/>
            <sz val="9"/>
            <color indexed="81"/>
            <rFont val="Tahoma"/>
            <family val="2"/>
          </rPr>
          <t>Allan Lerner:</t>
        </r>
        <r>
          <rPr>
            <sz val="9"/>
            <color indexed="81"/>
            <rFont val="Tahoma"/>
            <family val="2"/>
          </rPr>
          <t xml:space="preserve">
from propagated analytical and bubble/melt inclusion-volume uncertainties</t>
        </r>
      </text>
    </comment>
    <comment ref="BI2" authorId="0" shapeId="0" xr:uid="{9E9A10E3-CCAB-478D-B539-45745A7F4124}">
      <text>
        <r>
          <rPr>
            <b/>
            <sz val="9"/>
            <color indexed="81"/>
            <rFont val="Tahoma"/>
            <family val="2"/>
          </rPr>
          <t>Allan Lerner:</t>
        </r>
        <r>
          <rPr>
            <sz val="9"/>
            <color indexed="81"/>
            <rFont val="Tahoma"/>
            <family val="2"/>
          </rPr>
          <t xml:space="preserve">
using the depth to pressure parameterization of Denlinger and Flinders (2021) density data: Depth (km) = 0.0948*(kbar)^3 - 0.6354*(kbar)^2 + 4.9*(kbar)</t>
        </r>
      </text>
    </comment>
    <comment ref="BJ2" authorId="0" shapeId="0" xr:uid="{E58CAA0D-44E6-490D-8722-F4C2CEA861F6}">
      <text>
        <r>
          <rPr>
            <b/>
            <sz val="9"/>
            <color indexed="81"/>
            <rFont val="Tahoma"/>
            <family val="2"/>
          </rPr>
          <t>Allan Lerner:</t>
        </r>
        <r>
          <rPr>
            <sz val="9"/>
            <color indexed="81"/>
            <rFont val="Tahoma"/>
            <family val="2"/>
          </rPr>
          <t xml:space="preserve">
mean uncertainty from +1σ and -1σ uncertainties, as unceratinties are nearly symmetrical</t>
        </r>
      </text>
    </comment>
    <comment ref="BK2" authorId="0" shapeId="0" xr:uid="{FCCA12DC-CD64-4314-A431-B8943AD51998}">
      <text>
        <r>
          <rPr>
            <b/>
            <sz val="9"/>
            <color indexed="81"/>
            <rFont val="Tahoma"/>
            <family val="2"/>
          </rPr>
          <t>Allan Lerner:</t>
        </r>
        <r>
          <rPr>
            <sz val="9"/>
            <color indexed="81"/>
            <rFont val="Tahoma"/>
            <family val="2"/>
          </rPr>
          <t xml:space="preserve">
For fluid inclusions, entrapment pressures calculated via  CO2 equation of state of Sterner and Pitzer 1994 (via Hansteen and Klugel 2008 spreadsheet). In two-phase fluid inclusions (blue highlighted cells), bulk CO2 densities from mass balance of vapor + liquid volume fractions was used to calculated entrapemnt pressures. Temperatures were taken to be the average magmatic temperature of the unit (from melt inclusion entrapment temps).</t>
        </r>
      </text>
    </comment>
    <comment ref="BL2" authorId="0" shapeId="0" xr:uid="{2B4C12A4-E129-40FD-B690-8BF53FB70679}">
      <text>
        <r>
          <rPr>
            <b/>
            <sz val="9"/>
            <color indexed="81"/>
            <rFont val="Tahoma"/>
            <family val="2"/>
          </rPr>
          <t>Allan Lerner:</t>
        </r>
        <r>
          <rPr>
            <sz val="9"/>
            <color indexed="81"/>
            <rFont val="Tahoma"/>
            <family val="2"/>
          </rPr>
          <t xml:space="preserve">
1σ positive uncertainty. In vapor-only fluid inclusions, +1σ is +10% uncertainty for unaccounted H2O. For 2-phase fluid inclusions  +1σ is from propagated uncertainties in liqiud/vapor proportions, which end up being much larger than the effect of possible unaccounted for H2O</t>
        </r>
      </text>
    </comment>
    <comment ref="BM2" authorId="0" shapeId="0" xr:uid="{C51F94E2-950C-453C-B13D-BA8FE5732108}">
      <text>
        <r>
          <rPr>
            <b/>
            <sz val="9"/>
            <color indexed="81"/>
            <rFont val="Tahoma"/>
            <family val="2"/>
          </rPr>
          <t>Allan Lerner:</t>
        </r>
        <r>
          <rPr>
            <sz val="9"/>
            <color indexed="81"/>
            <rFont val="Tahoma"/>
            <family val="2"/>
          </rPr>
          <t xml:space="preserve">
1σ negative uncertainty. For all fluid inclusions, -1σ is from propagated uncertainties analytical calculation (and liquid/vapor proportions in 2-phase fluid inclusions)</t>
        </r>
      </text>
    </comment>
    <comment ref="BN2" authorId="0" shapeId="0" xr:uid="{C3E0ACB3-125B-4535-BABB-0051DD3D99C1}">
      <text>
        <r>
          <rPr>
            <b/>
            <sz val="9"/>
            <color indexed="81"/>
            <rFont val="Tahoma"/>
            <family val="2"/>
          </rPr>
          <t>Allan Lerner:</t>
        </r>
        <r>
          <rPr>
            <sz val="9"/>
            <color indexed="81"/>
            <rFont val="Tahoma"/>
            <family val="2"/>
          </rPr>
          <t xml:space="preserve">
using the depth to pressure parameterization of Denlinger and Flinders (2022) density data: Depth (km) = 0.0684*(kbar)^3 - 0.5008*(kbar)^2 + 4.47*(kbar)</t>
        </r>
      </text>
    </comment>
    <comment ref="BR2" authorId="0" shapeId="0" xr:uid="{94489C0C-CDA3-44C6-9587-F9CA773A0040}">
      <text>
        <r>
          <rPr>
            <b/>
            <sz val="9"/>
            <color indexed="81"/>
            <rFont val="Tahoma"/>
            <family val="2"/>
          </rPr>
          <t>Allan Lerner:</t>
        </r>
        <r>
          <rPr>
            <sz val="9"/>
            <color indexed="81"/>
            <rFont val="Tahoma"/>
            <family val="2"/>
          </rPr>
          <t xml:space="preserve">
Density of room-temperature glass (for use in FTIR/Raman mass calculations). Calcs at 1 bar and 25 C with non-PEC corrected glass compositions. Calculations use the DensityX tool (Iacovino and Till 2019)</t>
        </r>
      </text>
    </comment>
    <comment ref="BS2" authorId="0" shapeId="0" xr:uid="{7783F2AC-0777-4120-BC09-EC2C0E717340}">
      <text>
        <r>
          <rPr>
            <b/>
            <sz val="9"/>
            <color indexed="81"/>
            <rFont val="Tahoma"/>
            <family val="2"/>
          </rPr>
          <t>Allan Lerner:</t>
        </r>
        <r>
          <rPr>
            <sz val="9"/>
            <color indexed="81"/>
            <rFont val="Tahoma"/>
            <family val="2"/>
          </rPr>
          <t xml:space="preserve">
Density of melt at the conditions of inclusion entrapment. Calcs at 677 bars (~3 km depth), MgO-termometry based entrapment temperatures, and PEC-corrected glass composition. Calculated via DensityX (Iacovino and Till 2019).</t>
        </r>
      </text>
    </comment>
    <comment ref="CX2" authorId="0" shapeId="0" xr:uid="{E69C53A8-4F34-458D-BDAF-D087651D7644}">
      <text>
        <r>
          <rPr>
            <b/>
            <sz val="9"/>
            <color indexed="81"/>
            <rFont val="Tahoma"/>
            <family val="2"/>
          </rPr>
          <t>Allan Lerner:</t>
        </r>
        <r>
          <rPr>
            <sz val="9"/>
            <color indexed="81"/>
            <rFont val="Tahoma"/>
            <family val="2"/>
          </rPr>
          <t xml:space="preserve">
Calculations done with the VESIcal tool (Iacovino et al. 2021)</t>
        </r>
      </text>
    </comment>
    <comment ref="DA2" authorId="0" shapeId="0" xr:uid="{7EB9E425-E8FC-43A7-AB95-135EB7AE9A75}">
      <text>
        <r>
          <rPr>
            <b/>
            <sz val="9"/>
            <color indexed="81"/>
            <rFont val="Tahoma"/>
            <family val="2"/>
          </rPr>
          <t>Allan Lerner:</t>
        </r>
        <r>
          <rPr>
            <sz val="9"/>
            <color indexed="81"/>
            <rFont val="Tahoma"/>
            <family val="2"/>
          </rPr>
          <t xml:space="preserve">
using the depth to pressure parameterization of Denlinger and Flinders (2022) density data: Depth (km) = 0.0684*(kbar)^3 - 0.5008*(kbar)^2 + 4.47*(kbar)</t>
        </r>
      </text>
    </comment>
    <comment ref="DB2" authorId="0" shapeId="0" xr:uid="{920BC51B-8925-4BBB-AC99-B7DE9E89D071}">
      <text>
        <r>
          <rPr>
            <b/>
            <sz val="9"/>
            <color indexed="81"/>
            <rFont val="Tahoma"/>
            <family val="2"/>
          </rPr>
          <t>Allan Lerner:</t>
        </r>
        <r>
          <rPr>
            <sz val="9"/>
            <color indexed="81"/>
            <rFont val="Tahoma"/>
            <family val="2"/>
          </rPr>
          <t xml:space="preserve">
Calculations done with the VESIcal tool (Iacovino et al. 2021)</t>
        </r>
      </text>
    </comment>
    <comment ref="DE2" authorId="0" shapeId="0" xr:uid="{CA3BA313-51C2-4D36-B88B-652B180DE2A2}">
      <text>
        <r>
          <rPr>
            <b/>
            <sz val="9"/>
            <color indexed="81"/>
            <rFont val="Tahoma"/>
            <family val="2"/>
          </rPr>
          <t>Allan Lerner:</t>
        </r>
        <r>
          <rPr>
            <sz val="9"/>
            <color indexed="81"/>
            <rFont val="Tahoma"/>
            <family val="2"/>
          </rPr>
          <t xml:space="preserve">
using the depth to pressure parameterization of Denlinger and Flinders (2022) density data: Depth (km) = 0.0684*(kbar)^3 - 0.5008*(kbar)^2 + 4.47*(kbar)</t>
        </r>
      </text>
    </comment>
    <comment ref="A3" authorId="0" shapeId="0" xr:uid="{38536D70-1D0D-4CE1-B408-0BD687AF7305}">
      <text>
        <r>
          <rPr>
            <b/>
            <sz val="9"/>
            <color indexed="81"/>
            <rFont val="Tahoma"/>
            <family val="2"/>
          </rPr>
          <t>Allan Lerner:</t>
        </r>
        <r>
          <rPr>
            <sz val="9"/>
            <color indexed="81"/>
            <rFont val="Tahoma"/>
            <family val="2"/>
          </rPr>
          <t xml:space="preserve">
Unit K1 of Swanson and Houghton 2018; Unit VI of Decker and Christiansen 1984</t>
        </r>
      </text>
    </comment>
    <comment ref="AQ19" authorId="0" shapeId="0" xr:uid="{00000000-0006-0000-0000-000020000000}">
      <text>
        <r>
          <rPr>
            <b/>
            <sz val="9"/>
            <color indexed="81"/>
            <rFont val="Tahoma"/>
            <family val="2"/>
          </rPr>
          <t>Allan Lerner:</t>
        </r>
        <r>
          <rPr>
            <sz val="9"/>
            <color indexed="81"/>
            <rFont val="Tahoma"/>
            <family val="2"/>
          </rPr>
          <t xml:space="preserve">
high K2O?</t>
        </r>
      </text>
    </comment>
    <comment ref="A25" authorId="0" shapeId="0" xr:uid="{4F2264EB-BE0E-4F75-BFB5-D0D8F17E4505}">
      <text>
        <r>
          <rPr>
            <b/>
            <sz val="9"/>
            <color indexed="81"/>
            <rFont val="Tahoma"/>
            <family val="2"/>
          </rPr>
          <t>Allan Lerner:</t>
        </r>
        <r>
          <rPr>
            <sz val="9"/>
            <color indexed="81"/>
            <rFont val="Tahoma"/>
            <family val="2"/>
          </rPr>
          <t xml:space="preserve">
Unit J2 of Swanson and Houghton 2018; Unit V of Decker and Christiansen 1984</t>
        </r>
      </text>
    </comment>
    <comment ref="A36" authorId="0" shapeId="0" xr:uid="{CD02775E-6251-4006-849D-83A9C08A7186}">
      <text>
        <r>
          <rPr>
            <b/>
            <sz val="9"/>
            <color indexed="81"/>
            <rFont val="Tahoma"/>
            <family val="2"/>
          </rPr>
          <t>Allan Lerner:</t>
        </r>
        <r>
          <rPr>
            <sz val="9"/>
            <color indexed="81"/>
            <rFont val="Tahoma"/>
            <family val="2"/>
          </rPr>
          <t xml:space="preserve">
Unit E of Swanson and Houghton 2018; Unit IIC2 of Decker and Christiansen 1984; Layer 6 of McPhie et al 1990</t>
        </r>
      </text>
    </comment>
    <comment ref="A51" authorId="0" shapeId="0" xr:uid="{C8672910-2534-42D9-A2BB-CC5565E47B9C}">
      <text>
        <r>
          <rPr>
            <b/>
            <sz val="9"/>
            <color indexed="81"/>
            <rFont val="Tahoma"/>
            <family val="2"/>
          </rPr>
          <t>Allan Lerner:</t>
        </r>
        <r>
          <rPr>
            <sz val="9"/>
            <color indexed="81"/>
            <rFont val="Tahoma"/>
            <family val="2"/>
          </rPr>
          <t xml:space="preserve">
Upper Unit D of Swanson and Houghton 2018; Unit IIA2 of Decker and Christiansen 1984</t>
        </r>
      </text>
    </comment>
    <comment ref="AZ65" authorId="0" shapeId="0" xr:uid="{17E7A728-089A-4CD7-801A-5E6C6E58E845}">
      <text>
        <r>
          <rPr>
            <b/>
            <sz val="9"/>
            <color indexed="81"/>
            <rFont val="Tahoma"/>
            <family val="2"/>
          </rPr>
          <t>Allan Lerner:</t>
        </r>
        <r>
          <rPr>
            <sz val="9"/>
            <color indexed="81"/>
            <rFont val="Tahoma"/>
            <family val="2"/>
          </rPr>
          <t xml:space="preserve">
CO2 bdl by FTIR, assumed to be 30 ppm, then PEC-corrected</t>
        </r>
      </text>
    </comment>
    <comment ref="AZ67" authorId="0" shapeId="0" xr:uid="{B423A414-2A25-42C8-B0A9-9DD908AAE344}">
      <text>
        <r>
          <rPr>
            <b/>
            <sz val="9"/>
            <color indexed="81"/>
            <rFont val="Tahoma"/>
            <family val="2"/>
          </rPr>
          <t>Allan Lerner:</t>
        </r>
        <r>
          <rPr>
            <sz val="9"/>
            <color indexed="81"/>
            <rFont val="Tahoma"/>
            <family val="2"/>
          </rPr>
          <t xml:space="preserve">
unmeasured in glass; we assume glass CO2 concentration equal to the mean of other measured samples in unit (148 ppm for K99-5)</t>
        </r>
      </text>
    </comment>
    <comment ref="AZ68" authorId="0" shapeId="0" xr:uid="{7E8F468A-58CA-456E-B18B-F3945BBD3C3E}">
      <text>
        <r>
          <rPr>
            <b/>
            <sz val="9"/>
            <color indexed="81"/>
            <rFont val="Tahoma"/>
            <family val="2"/>
          </rPr>
          <t>Allan Lerner:</t>
        </r>
        <r>
          <rPr>
            <sz val="9"/>
            <color indexed="81"/>
            <rFont val="Tahoma"/>
            <family val="2"/>
          </rPr>
          <t xml:space="preserve">
CO2 bdl by FTIR, assumed to be 30 ppm, then PEC-corrected</t>
        </r>
      </text>
    </comment>
    <comment ref="N69" authorId="0" shapeId="0" xr:uid="{99FBE5E0-33DF-4450-939C-6D5050C3CF30}">
      <text>
        <r>
          <rPr>
            <b/>
            <sz val="9"/>
            <color indexed="81"/>
            <rFont val="Tahoma"/>
            <family val="2"/>
          </rPr>
          <t>Allan Lerner:</t>
        </r>
        <r>
          <rPr>
            <sz val="9"/>
            <color indexed="81"/>
            <rFont val="Tahoma"/>
            <family val="2"/>
          </rPr>
          <t xml:space="preserve">
mineral inclusion (spinel) present, occupying some MI volume</t>
        </r>
      </text>
    </comment>
    <comment ref="AZ69" authorId="0" shapeId="0" xr:uid="{3DD7A09D-75ED-4F78-8597-F2683903A822}">
      <text>
        <r>
          <rPr>
            <b/>
            <sz val="9"/>
            <color indexed="81"/>
            <rFont val="Tahoma"/>
            <family val="2"/>
          </rPr>
          <t>Allan Lerner:</t>
        </r>
        <r>
          <rPr>
            <sz val="9"/>
            <color indexed="81"/>
            <rFont val="Tahoma"/>
            <family val="2"/>
          </rPr>
          <t xml:space="preserve">
CO2 bdl by FTIR, assumed to be 30 ppm, then PEC-corrected</t>
        </r>
      </text>
    </comment>
    <comment ref="N70" authorId="0" shapeId="0" xr:uid="{AA0F2548-24D1-4380-AC15-323BD8F02B73}">
      <text>
        <r>
          <rPr>
            <b/>
            <sz val="9"/>
            <color indexed="81"/>
            <rFont val="Tahoma"/>
            <family val="2"/>
          </rPr>
          <t>Allan Lerner:</t>
        </r>
        <r>
          <rPr>
            <sz val="9"/>
            <color indexed="81"/>
            <rFont val="Tahoma"/>
            <family val="2"/>
          </rPr>
          <t xml:space="preserve">
mineral inclusion (spinel) present, occupying some MI volume</t>
        </r>
      </text>
    </comment>
    <comment ref="AZ70" authorId="0" shapeId="0" xr:uid="{3E36063C-6CE3-4F3D-A983-9AE35752DC4A}">
      <text>
        <r>
          <rPr>
            <b/>
            <sz val="9"/>
            <color indexed="81"/>
            <rFont val="Tahoma"/>
            <family val="2"/>
          </rPr>
          <t>Allan Lerner:</t>
        </r>
        <r>
          <rPr>
            <sz val="9"/>
            <color indexed="81"/>
            <rFont val="Tahoma"/>
            <family val="2"/>
          </rPr>
          <t xml:space="preserve">
CO2 bdl by FTIR, assumed to be 30 ppm, then PEC-corrected</t>
        </r>
      </text>
    </comment>
    <comment ref="N72" authorId="0" shapeId="0" xr:uid="{F7D2809C-536F-47D0-882F-65F689043B04}">
      <text>
        <r>
          <rPr>
            <b/>
            <sz val="9"/>
            <color indexed="81"/>
            <rFont val="Tahoma"/>
            <family val="2"/>
          </rPr>
          <t>Allan Lerner:</t>
        </r>
        <r>
          <rPr>
            <sz val="9"/>
            <color indexed="81"/>
            <rFont val="Tahoma"/>
            <family val="2"/>
          </rPr>
          <t xml:space="preserve">
mineral inclusion (spinel) present, occupying some MI volume</t>
        </r>
      </text>
    </comment>
    <comment ref="N73" authorId="0" shapeId="0" xr:uid="{72EC46AC-6D0C-4A07-8E99-9D49A18035B7}">
      <text>
        <r>
          <rPr>
            <b/>
            <sz val="9"/>
            <color indexed="81"/>
            <rFont val="Tahoma"/>
            <family val="2"/>
          </rPr>
          <t>Allan Lerner:</t>
        </r>
        <r>
          <rPr>
            <sz val="9"/>
            <color indexed="81"/>
            <rFont val="Tahoma"/>
            <family val="2"/>
          </rPr>
          <t xml:space="preserve">
mineral inclusion (spinel) present, occupying some MI volume</t>
        </r>
      </text>
    </comment>
    <comment ref="AZ75" authorId="0" shapeId="0" xr:uid="{05D4929D-D481-4F98-A64D-CFDADA5CB630}">
      <text>
        <r>
          <rPr>
            <b/>
            <sz val="9"/>
            <color indexed="81"/>
            <rFont val="Tahoma"/>
            <family val="2"/>
          </rPr>
          <t>Allan Lerner:</t>
        </r>
        <r>
          <rPr>
            <sz val="9"/>
            <color indexed="81"/>
            <rFont val="Tahoma"/>
            <family val="2"/>
          </rPr>
          <t xml:space="preserve">
unmeasured in glass; we assume glass CO2 concentration equal to the mean of other measured samples in unit (148 ppm for K99-5)</t>
        </r>
      </text>
    </comment>
    <comment ref="N77" authorId="0" shapeId="0" xr:uid="{3E9E0B12-0D7A-4B3F-A518-6029ECEB5558}">
      <text>
        <r>
          <rPr>
            <b/>
            <sz val="9"/>
            <color indexed="81"/>
            <rFont val="Tahoma"/>
            <family val="2"/>
          </rPr>
          <t>Allan Lerner:</t>
        </r>
        <r>
          <rPr>
            <sz val="9"/>
            <color indexed="81"/>
            <rFont val="Tahoma"/>
            <family val="2"/>
          </rPr>
          <t xml:space="preserve">
mineral inclusion (spinel) present, occupying some MI volume</t>
        </r>
      </text>
    </comment>
    <comment ref="AF81" authorId="0" shapeId="0" xr:uid="{99BB4E53-B44E-49B9-A51B-EDAB5A514271}">
      <text>
        <r>
          <rPr>
            <b/>
            <sz val="9"/>
            <color indexed="81"/>
            <rFont val="Tahoma"/>
            <family val="2"/>
          </rPr>
          <t>Allan Lerner:</t>
        </r>
        <r>
          <rPr>
            <sz val="9"/>
            <color indexed="81"/>
            <rFont val="Tahoma"/>
            <family val="2"/>
          </rPr>
          <t xml:space="preserve">
assumed to be the same as other quantified melt inclusions in the same olivine grain</t>
        </r>
      </text>
    </comment>
    <comment ref="AZ81" authorId="0" shapeId="0" xr:uid="{C48337B7-49EF-4CE3-AB5C-DF7E5D75D343}">
      <text>
        <r>
          <rPr>
            <b/>
            <sz val="9"/>
            <color indexed="81"/>
            <rFont val="Tahoma"/>
            <family val="2"/>
          </rPr>
          <t>Allan Lerner:</t>
        </r>
        <r>
          <rPr>
            <sz val="9"/>
            <color indexed="81"/>
            <rFont val="Tahoma"/>
            <family val="2"/>
          </rPr>
          <t xml:space="preserve">
unmeasured in glass; we assume glass CO2 concentration equal to the mean of other measured samples in unit (148 ppm for K99-5)</t>
        </r>
      </text>
    </comment>
    <comment ref="AF83" authorId="0" shapeId="0" xr:uid="{ACFE0314-7503-4C71-BA35-63CF557A6CEE}">
      <text>
        <r>
          <rPr>
            <b/>
            <sz val="9"/>
            <color indexed="81"/>
            <rFont val="Tahoma"/>
            <family val="2"/>
          </rPr>
          <t>Allan Lerner:</t>
        </r>
        <r>
          <rPr>
            <sz val="9"/>
            <color indexed="81"/>
            <rFont val="Tahoma"/>
            <family val="2"/>
          </rPr>
          <t xml:space="preserve">
assumed to be the same as other quantified melt inclusions in the same olivine grain</t>
        </r>
      </text>
    </comment>
    <comment ref="AF84" authorId="0" shapeId="0" xr:uid="{448BE57B-E0CA-441A-8A44-B5F7DF6A194F}">
      <text>
        <r>
          <rPr>
            <b/>
            <sz val="9"/>
            <color indexed="81"/>
            <rFont val="Tahoma"/>
            <family val="2"/>
          </rPr>
          <t>Allan Lerner:</t>
        </r>
        <r>
          <rPr>
            <sz val="9"/>
            <color indexed="81"/>
            <rFont val="Tahoma"/>
            <family val="2"/>
          </rPr>
          <t xml:space="preserve">
assumed to be the same as other quantified melt inclusions in the same olivine grain</t>
        </r>
      </text>
    </comment>
    <comment ref="AF85" authorId="0" shapeId="0" xr:uid="{4CD332A7-A308-4813-942A-AE51E1711B7E}">
      <text>
        <r>
          <rPr>
            <b/>
            <sz val="9"/>
            <color indexed="81"/>
            <rFont val="Tahoma"/>
            <family val="2"/>
          </rPr>
          <t>Allan Lerner:</t>
        </r>
        <r>
          <rPr>
            <sz val="9"/>
            <color indexed="81"/>
            <rFont val="Tahoma"/>
            <family val="2"/>
          </rPr>
          <t xml:space="preserve">
assumed to be the median PEC correction coefficient for other melt inclusions in this unit</t>
        </r>
      </text>
    </comment>
    <comment ref="AZ85" authorId="0" shapeId="0" xr:uid="{4F4D27B3-888C-409B-A458-73DFE324FB89}">
      <text>
        <r>
          <rPr>
            <b/>
            <sz val="9"/>
            <color indexed="81"/>
            <rFont val="Tahoma"/>
            <family val="2"/>
          </rPr>
          <t>Allan Lerner:</t>
        </r>
        <r>
          <rPr>
            <sz val="9"/>
            <color indexed="81"/>
            <rFont val="Tahoma"/>
            <family val="2"/>
          </rPr>
          <t xml:space="preserve">
unmeasured in glass; we assume glass CO2 concentration equal to the mean of other measured samples in unit (148 ppm for K99-5)</t>
        </r>
      </text>
    </comment>
    <comment ref="Z90" authorId="0" shapeId="0" xr:uid="{82E3516B-A76B-4FF9-9BAA-69376026F963}">
      <text>
        <r>
          <rPr>
            <b/>
            <sz val="9"/>
            <color indexed="81"/>
            <rFont val="Tahoma"/>
            <family val="2"/>
          </rPr>
          <t>Allan Lerner:</t>
        </r>
        <r>
          <rPr>
            <sz val="9"/>
            <color indexed="81"/>
            <rFont val="Tahoma"/>
            <family val="2"/>
          </rPr>
          <t xml:space="preserve">
2-phase fluid inclusion. Bulk CO2 density from vapor:liquid CO2 mass balance</t>
        </r>
      </text>
    </comment>
    <comment ref="Z91" authorId="0" shapeId="0" xr:uid="{D1955F04-96B2-4002-9088-B3BCF2839276}">
      <text>
        <r>
          <rPr>
            <b/>
            <sz val="9"/>
            <color indexed="81"/>
            <rFont val="Tahoma"/>
            <family val="2"/>
          </rPr>
          <t>Allan Lerner:</t>
        </r>
        <r>
          <rPr>
            <sz val="9"/>
            <color indexed="81"/>
            <rFont val="Tahoma"/>
            <family val="2"/>
          </rPr>
          <t xml:space="preserve">
2-phase fluid inclusion. Bulk CO2 density from vapor:liquid CO2 mass balance</t>
        </r>
      </text>
    </comment>
    <comment ref="Z92" authorId="0" shapeId="0" xr:uid="{811E0475-4900-44D6-A67B-56DB4C6E3B5A}">
      <text>
        <r>
          <rPr>
            <b/>
            <sz val="9"/>
            <color indexed="81"/>
            <rFont val="Tahoma"/>
            <family val="2"/>
          </rPr>
          <t>Allan Lerner:</t>
        </r>
        <r>
          <rPr>
            <sz val="9"/>
            <color indexed="81"/>
            <rFont val="Tahoma"/>
            <family val="2"/>
          </rPr>
          <t xml:space="preserve">
2-phase fluid inclusion. Bulk CO2 density from vapor:liquid CO2 mass balance</t>
        </r>
      </text>
    </comment>
    <comment ref="Z93" authorId="0" shapeId="0" xr:uid="{4A672766-457C-4ED9-A483-BACF3DA5B5C7}">
      <text>
        <r>
          <rPr>
            <b/>
            <sz val="9"/>
            <color indexed="81"/>
            <rFont val="Tahoma"/>
            <family val="2"/>
          </rPr>
          <t>Allan Lerner:</t>
        </r>
        <r>
          <rPr>
            <sz val="9"/>
            <color indexed="81"/>
            <rFont val="Tahoma"/>
            <family val="2"/>
          </rPr>
          <t xml:space="preserve">
2-phase fluid inclusion. Bulk CO2 density from vapor:liquid CO2 mass balance</t>
        </r>
      </text>
    </comment>
    <comment ref="Z94" authorId="0" shapeId="0" xr:uid="{F955F86C-50DE-4A17-876A-2A5ACC9D1FED}">
      <text>
        <r>
          <rPr>
            <b/>
            <sz val="9"/>
            <color indexed="81"/>
            <rFont val="Tahoma"/>
            <family val="2"/>
          </rPr>
          <t>Allan Lerner:</t>
        </r>
        <r>
          <rPr>
            <sz val="9"/>
            <color indexed="81"/>
            <rFont val="Tahoma"/>
            <family val="2"/>
          </rPr>
          <t xml:space="preserve">
2-phase fluid inclusion. Bulk CO2 density from vapor:liquid CO2 mass balance</t>
        </r>
      </text>
    </comment>
    <comment ref="Z95" authorId="0" shapeId="0" xr:uid="{C94ABC40-0208-4870-A15E-14F6D4052E66}">
      <text>
        <r>
          <rPr>
            <b/>
            <sz val="9"/>
            <color indexed="81"/>
            <rFont val="Tahoma"/>
            <family val="2"/>
          </rPr>
          <t>Allan Lerner:</t>
        </r>
        <r>
          <rPr>
            <sz val="9"/>
            <color indexed="81"/>
            <rFont val="Tahoma"/>
            <family val="2"/>
          </rPr>
          <t xml:space="preserve">
2-phase fluid inclusion. Bulk CO2 density from vapor:liquid CO2 mass balance</t>
        </r>
      </text>
    </comment>
    <comment ref="AF99" authorId="0" shapeId="0" xr:uid="{AB0BE770-F8BD-4950-910B-3841C6C25CF0}">
      <text>
        <r>
          <rPr>
            <b/>
            <sz val="9"/>
            <color indexed="81"/>
            <rFont val="Tahoma"/>
            <family val="2"/>
          </rPr>
          <t>Allan Lerner:</t>
        </r>
        <r>
          <rPr>
            <sz val="9"/>
            <color indexed="81"/>
            <rFont val="Tahoma"/>
            <family val="2"/>
          </rPr>
          <t xml:space="preserve">
assumed to be the same as other quantified melt inclusions in the same olivine grain</t>
        </r>
      </text>
    </comment>
    <comment ref="AZ99" authorId="0" shapeId="0" xr:uid="{BBCDC907-2FA4-4670-8928-6382579121A7}">
      <text>
        <r>
          <rPr>
            <b/>
            <sz val="9"/>
            <color indexed="81"/>
            <rFont val="Tahoma"/>
            <family val="2"/>
          </rPr>
          <t>Allan Lerner:</t>
        </r>
        <r>
          <rPr>
            <sz val="9"/>
            <color indexed="81"/>
            <rFont val="Tahoma"/>
            <family val="2"/>
          </rPr>
          <t xml:space="preserve">
unmeasured in glass; we assume glass CO2 concentration equal to the mean of other measured samples in unit (148 ppm for K99-5)</t>
        </r>
      </text>
    </comment>
    <comment ref="AF103" authorId="0" shapeId="0" xr:uid="{A01C0563-415C-4105-938A-8C4DC02EF989}">
      <text>
        <r>
          <rPr>
            <b/>
            <sz val="9"/>
            <color indexed="81"/>
            <rFont val="Tahoma"/>
            <family val="2"/>
          </rPr>
          <t>Allan Lerner:</t>
        </r>
        <r>
          <rPr>
            <sz val="9"/>
            <color indexed="81"/>
            <rFont val="Tahoma"/>
            <family val="2"/>
          </rPr>
          <t xml:space="preserve">
assumed to be the same as other quantified melt inclusions in the same olivine grain</t>
        </r>
      </text>
    </comment>
    <comment ref="AF107" authorId="0" shapeId="0" xr:uid="{03EFFA5F-8C0B-4DF5-B720-778C33EF6A54}">
      <text>
        <r>
          <rPr>
            <b/>
            <sz val="9"/>
            <color indexed="81"/>
            <rFont val="Tahoma"/>
            <family val="2"/>
          </rPr>
          <t>Allan Lerner:</t>
        </r>
        <r>
          <rPr>
            <sz val="9"/>
            <color indexed="81"/>
            <rFont val="Tahoma"/>
            <family val="2"/>
          </rPr>
          <t xml:space="preserve">
assumed to be the same as other quantified melt inclusions in the same olivine grain</t>
        </r>
      </text>
    </comment>
    <comment ref="AF108" authorId="0" shapeId="0" xr:uid="{D21CC832-5C61-4482-B98F-84EECDB88687}">
      <text>
        <r>
          <rPr>
            <b/>
            <sz val="9"/>
            <color indexed="81"/>
            <rFont val="Tahoma"/>
            <family val="2"/>
          </rPr>
          <t>Allan Lerner:</t>
        </r>
        <r>
          <rPr>
            <sz val="9"/>
            <color indexed="81"/>
            <rFont val="Tahoma"/>
            <family val="2"/>
          </rPr>
          <t xml:space="preserve">
assumed to be the same as other quantified melt inclusions in the same olivine grain</t>
        </r>
      </text>
    </comment>
    <comment ref="N109" authorId="0" shapeId="0" xr:uid="{B631DBDA-14E9-4951-91B9-27B0FB35257C}">
      <text>
        <r>
          <rPr>
            <b/>
            <sz val="9"/>
            <color indexed="81"/>
            <rFont val="Tahoma"/>
            <family val="2"/>
          </rPr>
          <t>Allan Lerner:</t>
        </r>
        <r>
          <rPr>
            <sz val="9"/>
            <color indexed="81"/>
            <rFont val="Tahoma"/>
            <family val="2"/>
          </rPr>
          <t xml:space="preserve">
mineral inclusion (spinel) present, occupying some MI volume</t>
        </r>
      </text>
    </comment>
    <comment ref="AF109" authorId="0" shapeId="0" xr:uid="{7669F03C-5EA1-4789-A3AC-4705F128B6C7}">
      <text>
        <r>
          <rPr>
            <b/>
            <sz val="9"/>
            <color indexed="81"/>
            <rFont val="Tahoma"/>
            <family val="2"/>
          </rPr>
          <t>Allan Lerner:</t>
        </r>
        <r>
          <rPr>
            <sz val="9"/>
            <color indexed="81"/>
            <rFont val="Tahoma"/>
            <family val="2"/>
          </rPr>
          <t xml:space="preserve">
assumed to be the same as other quantified melt inclusions in the same olivine grain</t>
        </r>
      </text>
    </comment>
    <comment ref="AF110" authorId="0" shapeId="0" xr:uid="{2E71B960-EF36-4E0A-A88B-B0007ADED135}">
      <text>
        <r>
          <rPr>
            <b/>
            <sz val="9"/>
            <color indexed="81"/>
            <rFont val="Tahoma"/>
            <family val="2"/>
          </rPr>
          <t>Allan Lerner:</t>
        </r>
        <r>
          <rPr>
            <sz val="9"/>
            <color indexed="81"/>
            <rFont val="Tahoma"/>
            <family val="2"/>
          </rPr>
          <t xml:space="preserve">
assumed to be the same as other quantified melt inclusions in the same olivine grain</t>
        </r>
      </text>
    </comment>
    <comment ref="A112" authorId="0" shapeId="0" xr:uid="{9CE78518-32D1-40AD-A3FC-0D4E8975ACC8}">
      <text>
        <r>
          <rPr>
            <b/>
            <sz val="9"/>
            <color indexed="81"/>
            <rFont val="Tahoma"/>
            <family val="2"/>
          </rPr>
          <t>Allan Lerner:</t>
        </r>
        <r>
          <rPr>
            <sz val="9"/>
            <color indexed="81"/>
            <rFont val="Tahoma"/>
            <family val="2"/>
          </rPr>
          <t xml:space="preserve">
Lower Unit D of Swanson and Houghton 2018; Unit IIA1 of Decker and Christiansen 1984</t>
        </r>
      </text>
    </comment>
    <comment ref="N128" authorId="0" shapeId="0" xr:uid="{FDA410A9-4B70-4DDF-906D-1A4536C7DA0E}">
      <text>
        <r>
          <rPr>
            <b/>
            <sz val="9"/>
            <color indexed="81"/>
            <rFont val="Tahoma"/>
            <family val="2"/>
          </rPr>
          <t>Allan Lerner:</t>
        </r>
        <r>
          <rPr>
            <sz val="9"/>
            <color indexed="81"/>
            <rFont val="Tahoma"/>
            <family val="2"/>
          </rPr>
          <t xml:space="preserve">
mineral inclusion (spinel) present, occupying some MI volume</t>
        </r>
      </text>
    </comment>
    <comment ref="N129" authorId="0" shapeId="0" xr:uid="{1E955309-6AFD-45E8-B4F8-47C4EF52681C}">
      <text>
        <r>
          <rPr>
            <b/>
            <sz val="9"/>
            <color indexed="81"/>
            <rFont val="Tahoma"/>
            <family val="2"/>
          </rPr>
          <t>Allan Lerner:</t>
        </r>
        <r>
          <rPr>
            <sz val="9"/>
            <color indexed="81"/>
            <rFont val="Tahoma"/>
            <family val="2"/>
          </rPr>
          <t xml:space="preserve">
mineral inclusion (spinel) present, occupying some MI volume</t>
        </r>
      </text>
    </comment>
    <comment ref="AZ130" authorId="0" shapeId="0" xr:uid="{48E072EA-8069-456A-B073-D77899C7A409}">
      <text>
        <r>
          <rPr>
            <b/>
            <sz val="9"/>
            <color indexed="81"/>
            <rFont val="Tahoma"/>
            <family val="2"/>
          </rPr>
          <t>Allan Lerner:</t>
        </r>
        <r>
          <rPr>
            <sz val="9"/>
            <color indexed="81"/>
            <rFont val="Tahoma"/>
            <family val="2"/>
          </rPr>
          <t xml:space="preserve">
unmeasured in glass; we assume glass CO2 concentration equal to the mean of other measured samples in unit (141 ppm for SW3 melt inclusions)</t>
        </r>
      </text>
    </comment>
    <comment ref="N131" authorId="0" shapeId="0" xr:uid="{D49FB172-5BDD-439B-87D3-0A65530C94BB}">
      <text>
        <r>
          <rPr>
            <b/>
            <sz val="9"/>
            <color indexed="81"/>
            <rFont val="Tahoma"/>
            <family val="2"/>
          </rPr>
          <t>Allan Lerner:</t>
        </r>
        <r>
          <rPr>
            <sz val="9"/>
            <color indexed="81"/>
            <rFont val="Tahoma"/>
            <family val="2"/>
          </rPr>
          <t xml:space="preserve">
mineral inclusion (spinel) present, occupying some MI volume</t>
        </r>
      </text>
    </comment>
    <comment ref="AZ131" authorId="0" shapeId="0" xr:uid="{E2EDEFC6-34D6-4825-9E14-CC1F8223D4FE}">
      <text>
        <r>
          <rPr>
            <b/>
            <sz val="9"/>
            <color indexed="81"/>
            <rFont val="Tahoma"/>
            <family val="2"/>
          </rPr>
          <t>Allan Lerner:</t>
        </r>
        <r>
          <rPr>
            <sz val="9"/>
            <color indexed="81"/>
            <rFont val="Tahoma"/>
            <family val="2"/>
          </rPr>
          <t xml:space="preserve">
unmeasured in glass; we assume glass CO2 concentration equal to the mean of other measured samples in unit (141 ppm for SW3 melt inclusions)</t>
        </r>
      </text>
    </comment>
    <comment ref="N132" authorId="0" shapeId="0" xr:uid="{B7F33D49-7193-4FB3-A0FA-73CA97C0A34D}">
      <text>
        <r>
          <rPr>
            <b/>
            <sz val="9"/>
            <color indexed="81"/>
            <rFont val="Tahoma"/>
            <family val="2"/>
          </rPr>
          <t>Allan Lerner:</t>
        </r>
        <r>
          <rPr>
            <sz val="9"/>
            <color indexed="81"/>
            <rFont val="Tahoma"/>
            <family val="2"/>
          </rPr>
          <t xml:space="preserve">
mineral inclusion (spinel) present, occupying some MI volume</t>
        </r>
      </text>
    </comment>
    <comment ref="N133" authorId="0" shapeId="0" xr:uid="{9ECE6C47-750B-4861-AE66-51BDFCDB299C}">
      <text>
        <r>
          <rPr>
            <b/>
            <sz val="9"/>
            <color indexed="81"/>
            <rFont val="Tahoma"/>
            <family val="2"/>
          </rPr>
          <t>Allan Lerner:</t>
        </r>
        <r>
          <rPr>
            <sz val="9"/>
            <color indexed="81"/>
            <rFont val="Tahoma"/>
            <family val="2"/>
          </rPr>
          <t xml:space="preserve">
mineral inclusion (spinel) present, occupying some MI volume</t>
        </r>
      </text>
    </comment>
    <comment ref="AZ135" authorId="0" shapeId="0" xr:uid="{A3E277F7-5B79-4055-8746-2BC7FFF248FA}">
      <text>
        <r>
          <rPr>
            <b/>
            <sz val="9"/>
            <color indexed="81"/>
            <rFont val="Tahoma"/>
            <family val="2"/>
          </rPr>
          <t>Allan Lerner:</t>
        </r>
        <r>
          <rPr>
            <sz val="9"/>
            <color indexed="81"/>
            <rFont val="Tahoma"/>
            <family val="2"/>
          </rPr>
          <t xml:space="preserve">
unmeasured in glass; we assume glass CO2 concentration equal to the mean of other measured samples in unit (141 ppm for SW3 melt inclusions)</t>
        </r>
      </text>
    </comment>
    <comment ref="AZ136" authorId="0" shapeId="0" xr:uid="{5FA95F7E-D587-4482-959F-78EF2CAC118A}">
      <text>
        <r>
          <rPr>
            <b/>
            <sz val="9"/>
            <color indexed="81"/>
            <rFont val="Tahoma"/>
            <family val="2"/>
          </rPr>
          <t>Allan Lerner:</t>
        </r>
        <r>
          <rPr>
            <sz val="9"/>
            <color indexed="81"/>
            <rFont val="Tahoma"/>
            <family val="2"/>
          </rPr>
          <t xml:space="preserve">
unmeasured in glass; we assume glass CO2 concentration equal to the mean of other measured samples in unit (141 ppm for SW3 melt inclusions)</t>
        </r>
      </text>
    </comment>
    <comment ref="AZ138" authorId="0" shapeId="0" xr:uid="{FE2DA31A-4DF0-4059-A4E8-6532027F194C}">
      <text>
        <r>
          <rPr>
            <b/>
            <sz val="9"/>
            <color indexed="81"/>
            <rFont val="Tahoma"/>
            <family val="2"/>
          </rPr>
          <t>Allan Lerner:</t>
        </r>
        <r>
          <rPr>
            <sz val="9"/>
            <color indexed="81"/>
            <rFont val="Tahoma"/>
            <family val="2"/>
          </rPr>
          <t xml:space="preserve">
CO2 bdl by FTIR, assumed to be 30 ppm, then PEC-corrected</t>
        </r>
      </text>
    </comment>
    <comment ref="AZ141" authorId="0" shapeId="0" xr:uid="{BAB5DD66-AD8B-49DD-803B-BC4AFECD8C38}">
      <text>
        <r>
          <rPr>
            <b/>
            <sz val="9"/>
            <color indexed="81"/>
            <rFont val="Tahoma"/>
            <family val="2"/>
          </rPr>
          <t>Allan Lerner:</t>
        </r>
        <r>
          <rPr>
            <sz val="9"/>
            <color indexed="81"/>
            <rFont val="Tahoma"/>
            <family val="2"/>
          </rPr>
          <t xml:space="preserve">
CO2 bdl by FTIR, assumed to be 30 ppm, then PEC-corrected</t>
        </r>
      </text>
    </comment>
    <comment ref="N142" authorId="0" shapeId="0" xr:uid="{CA6440A8-4D2F-4A6E-9968-7DC0A08F395C}">
      <text>
        <r>
          <rPr>
            <b/>
            <sz val="9"/>
            <color indexed="81"/>
            <rFont val="Tahoma"/>
            <family val="2"/>
          </rPr>
          <t>Allan Lerner:</t>
        </r>
        <r>
          <rPr>
            <sz val="9"/>
            <color indexed="81"/>
            <rFont val="Tahoma"/>
            <family val="2"/>
          </rPr>
          <t xml:space="preserve">
mineral inclusion (spinel) present, occupying some MI volume</t>
        </r>
      </text>
    </comment>
    <comment ref="AF142" authorId="0" shapeId="0" xr:uid="{34A1C538-7CF5-40E1-A70D-E509347B1857}">
      <text>
        <r>
          <rPr>
            <b/>
            <sz val="9"/>
            <color indexed="81"/>
            <rFont val="Tahoma"/>
            <family val="2"/>
          </rPr>
          <t>Allan Lerner:</t>
        </r>
        <r>
          <rPr>
            <sz val="9"/>
            <color indexed="81"/>
            <rFont val="Tahoma"/>
            <family val="2"/>
          </rPr>
          <t xml:space="preserve">
assumed to be the same as other quantified melt inclusions in the same olivine grain</t>
        </r>
      </text>
    </comment>
    <comment ref="AF143" authorId="0" shapeId="0" xr:uid="{93521EF3-BFF9-4982-B46B-35C5836E30B3}">
      <text>
        <r>
          <rPr>
            <b/>
            <sz val="9"/>
            <color indexed="81"/>
            <rFont val="Tahoma"/>
            <family val="2"/>
          </rPr>
          <t>Allan Lerner:</t>
        </r>
        <r>
          <rPr>
            <sz val="9"/>
            <color indexed="81"/>
            <rFont val="Tahoma"/>
            <family val="2"/>
          </rPr>
          <t xml:space="preserve">
assumed to be the same as other quantified melt inclusions in the same olivine grain</t>
        </r>
      </text>
    </comment>
    <comment ref="AZ143" authorId="0" shapeId="0" xr:uid="{C70CD628-D3BE-4998-BFA8-93D1A371D8F5}">
      <text>
        <r>
          <rPr>
            <b/>
            <sz val="9"/>
            <color indexed="81"/>
            <rFont val="Tahoma"/>
            <family val="2"/>
          </rPr>
          <t>Allan Lerner:</t>
        </r>
        <r>
          <rPr>
            <sz val="9"/>
            <color indexed="81"/>
            <rFont val="Tahoma"/>
            <family val="2"/>
          </rPr>
          <t xml:space="preserve">
unmeasured in glass; we assume glass CO2 concentration equal to the mean of other measured samples in unit (141 ppm for SW3 melt inclusions)</t>
        </r>
      </text>
    </comment>
    <comment ref="AF145" authorId="0" shapeId="0" xr:uid="{86F83955-4DD9-445C-A730-C02BB9D87192}">
      <text>
        <r>
          <rPr>
            <b/>
            <sz val="9"/>
            <color indexed="81"/>
            <rFont val="Tahoma"/>
            <family val="2"/>
          </rPr>
          <t>Allan Lerner:</t>
        </r>
        <r>
          <rPr>
            <sz val="9"/>
            <color indexed="81"/>
            <rFont val="Tahoma"/>
            <family val="2"/>
          </rPr>
          <t xml:space="preserve">
assumed to be the same as other quantified melt inclusions in the same olivine grain</t>
        </r>
      </text>
    </comment>
    <comment ref="N146" authorId="0" shapeId="0" xr:uid="{24AEADD9-D56E-453A-BA9F-B4C4B4EBBC97}">
      <text>
        <r>
          <rPr>
            <b/>
            <sz val="9"/>
            <color indexed="81"/>
            <rFont val="Tahoma"/>
            <family val="2"/>
          </rPr>
          <t>Allan Lerner:</t>
        </r>
        <r>
          <rPr>
            <sz val="9"/>
            <color indexed="81"/>
            <rFont val="Tahoma"/>
            <family val="2"/>
          </rPr>
          <t xml:space="preserve">
mineral inclusion (spinel) present, occupying some MI volume</t>
        </r>
      </text>
    </comment>
    <comment ref="AF146" authorId="0" shapeId="0" xr:uid="{F4BFA828-95A2-4B2E-85DB-54C9DBC4014C}">
      <text>
        <r>
          <rPr>
            <b/>
            <sz val="9"/>
            <color indexed="81"/>
            <rFont val="Tahoma"/>
            <family val="2"/>
          </rPr>
          <t>Allan Lerner:</t>
        </r>
        <r>
          <rPr>
            <sz val="9"/>
            <color indexed="81"/>
            <rFont val="Tahoma"/>
            <family val="2"/>
          </rPr>
          <t xml:space="preserve">
assumed to be the same as other quantified melt inclusions in the same olivine grain</t>
        </r>
      </text>
    </comment>
    <comment ref="AZ146" authorId="0" shapeId="0" xr:uid="{D8802224-8C71-482E-AC70-30215B9632FC}">
      <text>
        <r>
          <rPr>
            <b/>
            <sz val="9"/>
            <color indexed="81"/>
            <rFont val="Tahoma"/>
            <family val="2"/>
          </rPr>
          <t>Allan Lerner:</t>
        </r>
        <r>
          <rPr>
            <sz val="9"/>
            <color indexed="81"/>
            <rFont val="Tahoma"/>
            <family val="2"/>
          </rPr>
          <t xml:space="preserve">
unmeasured in glass; we assume glass CO2 concentration equal to the mean of other measured samples in unit (141 ppm for SW3 melt inclusions)</t>
        </r>
      </text>
    </comment>
    <comment ref="N147" authorId="0" shapeId="0" xr:uid="{DA7EE5C6-5ECE-4C12-B90B-8567E417AB8F}">
      <text>
        <r>
          <rPr>
            <b/>
            <sz val="9"/>
            <color indexed="81"/>
            <rFont val="Tahoma"/>
            <family val="2"/>
          </rPr>
          <t>Allan Lerner:</t>
        </r>
        <r>
          <rPr>
            <sz val="9"/>
            <color indexed="81"/>
            <rFont val="Tahoma"/>
            <family val="2"/>
          </rPr>
          <t xml:space="preserve">
mineral inclusion (spinel) present, occupying some MI volume</t>
        </r>
      </text>
    </comment>
    <comment ref="AF147" authorId="0" shapeId="0" xr:uid="{4FD1B536-89E8-426A-93E4-56FD36B18936}">
      <text>
        <r>
          <rPr>
            <b/>
            <sz val="9"/>
            <color indexed="81"/>
            <rFont val="Tahoma"/>
            <family val="2"/>
          </rPr>
          <t>Allan Lerner:</t>
        </r>
        <r>
          <rPr>
            <sz val="9"/>
            <color indexed="81"/>
            <rFont val="Tahoma"/>
            <family val="2"/>
          </rPr>
          <t xml:space="preserve">
assumed to be the same as other quantified melt inclusions in the same olivine grain</t>
        </r>
      </text>
    </comment>
    <comment ref="AZ147" authorId="0" shapeId="0" xr:uid="{7697B359-3A19-4109-91AF-4A806E670D1C}">
      <text>
        <r>
          <rPr>
            <b/>
            <sz val="9"/>
            <color indexed="81"/>
            <rFont val="Tahoma"/>
            <family val="2"/>
          </rPr>
          <t>Allan Lerner:</t>
        </r>
        <r>
          <rPr>
            <sz val="9"/>
            <color indexed="81"/>
            <rFont val="Tahoma"/>
            <family val="2"/>
          </rPr>
          <t xml:space="preserve">
unmeasured in glass; we assume glass CO2 concentration equal to the mean of other measured samples in unit (141 ppm for SW3 melt inclusions)</t>
        </r>
      </text>
    </comment>
    <comment ref="Z148" authorId="0" shapeId="0" xr:uid="{68E06756-10DF-456E-B893-CB58715CC4AC}">
      <text>
        <r>
          <rPr>
            <b/>
            <sz val="9"/>
            <color indexed="81"/>
            <rFont val="Tahoma"/>
            <family val="2"/>
          </rPr>
          <t>Allan Lerner:</t>
        </r>
        <r>
          <rPr>
            <sz val="9"/>
            <color indexed="81"/>
            <rFont val="Tahoma"/>
            <family val="2"/>
          </rPr>
          <t xml:space="preserve">
2-phase fluid inclusion. Bulk CO2 density from vapor:liquid CO2 mass balance</t>
        </r>
      </text>
    </comment>
    <comment ref="Z149" authorId="0" shapeId="0" xr:uid="{DD2C3DA0-7394-4337-B885-88CBFF78DE19}">
      <text>
        <r>
          <rPr>
            <b/>
            <sz val="9"/>
            <color indexed="81"/>
            <rFont val="Tahoma"/>
            <family val="2"/>
          </rPr>
          <t>Allan Lerner:</t>
        </r>
        <r>
          <rPr>
            <sz val="9"/>
            <color indexed="81"/>
            <rFont val="Tahoma"/>
            <family val="2"/>
          </rPr>
          <t xml:space="preserve">
2-phase fluid inclusion. Bulk CO2 density from vapor:liquid CO2 mass balance</t>
        </r>
      </text>
    </comment>
    <comment ref="Z150" authorId="0" shapeId="0" xr:uid="{7DFFDC0A-20C2-4992-9EBA-E111DC32E1F4}">
      <text>
        <r>
          <rPr>
            <b/>
            <sz val="9"/>
            <color indexed="81"/>
            <rFont val="Tahoma"/>
            <family val="2"/>
          </rPr>
          <t>Allan Lerner:</t>
        </r>
        <r>
          <rPr>
            <sz val="9"/>
            <color indexed="81"/>
            <rFont val="Tahoma"/>
            <family val="2"/>
          </rPr>
          <t xml:space="preserve">
2-phase fluid inclusion. Bulk CO2 density from vapor:liquid CO2 mass balance</t>
        </r>
      </text>
    </comment>
    <comment ref="Z151" authorId="0" shapeId="0" xr:uid="{616D0694-F511-4288-BEEC-F051B4F0C53B}">
      <text>
        <r>
          <rPr>
            <b/>
            <sz val="9"/>
            <color indexed="81"/>
            <rFont val="Tahoma"/>
            <family val="2"/>
          </rPr>
          <t>Allan Lerner:</t>
        </r>
        <r>
          <rPr>
            <sz val="9"/>
            <color indexed="81"/>
            <rFont val="Tahoma"/>
            <family val="2"/>
          </rPr>
          <t xml:space="preserve">
2-phase fluid inclusion. Bulk CO2 density from vapor:liquid CO2 mass balance</t>
        </r>
      </text>
    </comment>
    <comment ref="Z152" authorId="0" shapeId="0" xr:uid="{087B04EA-15F6-4780-8B87-E649A07F433A}">
      <text>
        <r>
          <rPr>
            <b/>
            <sz val="9"/>
            <color indexed="81"/>
            <rFont val="Tahoma"/>
            <family val="2"/>
          </rPr>
          <t>Allan Lerner:</t>
        </r>
        <r>
          <rPr>
            <sz val="9"/>
            <color indexed="81"/>
            <rFont val="Tahoma"/>
            <family val="2"/>
          </rPr>
          <t xml:space="preserve">
2-phase fluid inclusion. Bulk CO2 density from vapor:liquid CO2 mass balance</t>
        </r>
      </text>
    </comment>
    <comment ref="Z153" authorId="0" shapeId="0" xr:uid="{5E746A08-5C14-43FD-97E3-39C2B6FE9E43}">
      <text>
        <r>
          <rPr>
            <b/>
            <sz val="9"/>
            <color indexed="81"/>
            <rFont val="Tahoma"/>
            <family val="2"/>
          </rPr>
          <t>Allan Lerner:</t>
        </r>
        <r>
          <rPr>
            <sz val="9"/>
            <color indexed="81"/>
            <rFont val="Tahoma"/>
            <family val="2"/>
          </rPr>
          <t xml:space="preserve">
2-phase fluid inclusion. Bulk CO2 density from vapor:liquid CO2 mass balance</t>
        </r>
      </text>
    </comment>
    <comment ref="A155" authorId="0" shapeId="0" xr:uid="{04CBE9C4-4CDF-4D43-8857-711FA5251367}">
      <text>
        <r>
          <rPr>
            <b/>
            <sz val="9"/>
            <color indexed="81"/>
            <rFont val="Tahoma"/>
            <family val="2"/>
          </rPr>
          <t>Allan Lerner:</t>
        </r>
        <r>
          <rPr>
            <sz val="9"/>
            <color indexed="81"/>
            <rFont val="Tahoma"/>
            <family val="2"/>
          </rPr>
          <t xml:space="preserve">
Unit B of Swanson and Houghton 2018; Unit I of Decker and Christiansen 1984</t>
        </r>
      </text>
    </comment>
    <comment ref="N166" authorId="0" shapeId="0" xr:uid="{DEC03107-9A04-436E-8210-B54F0FC5066B}">
      <text>
        <r>
          <rPr>
            <b/>
            <sz val="9"/>
            <color indexed="81"/>
            <rFont val="Tahoma"/>
            <family val="2"/>
          </rPr>
          <t>Allan Lerner:</t>
        </r>
        <r>
          <rPr>
            <sz val="9"/>
            <color indexed="81"/>
            <rFont val="Tahoma"/>
            <family val="2"/>
          </rPr>
          <t xml:space="preserve">
mineral inclusion (spinel) present, occupying some MI volume</t>
        </r>
      </text>
    </comment>
    <comment ref="N167" authorId="0" shapeId="0" xr:uid="{73097759-FCD2-4134-A8FF-3D75E90CBBDE}">
      <text>
        <r>
          <rPr>
            <b/>
            <sz val="9"/>
            <color indexed="81"/>
            <rFont val="Tahoma"/>
            <family val="2"/>
          </rPr>
          <t>Allan Lerner:</t>
        </r>
        <r>
          <rPr>
            <sz val="9"/>
            <color indexed="81"/>
            <rFont val="Tahoma"/>
            <family val="2"/>
          </rPr>
          <t xml:space="preserve">
mineral inclusion (spinel) present, occupying some MI volume</t>
        </r>
      </text>
    </comment>
    <comment ref="AZ170" authorId="0" shapeId="0" xr:uid="{D2D00499-0EE9-4EE8-8449-A6FAD0EE4693}">
      <text>
        <r>
          <rPr>
            <b/>
            <sz val="9"/>
            <color indexed="81"/>
            <rFont val="Tahoma"/>
            <family val="2"/>
          </rPr>
          <t>Allan Lerner:</t>
        </r>
        <r>
          <rPr>
            <sz val="9"/>
            <color indexed="81"/>
            <rFont val="Tahoma"/>
            <family val="2"/>
          </rPr>
          <t xml:space="preserve">
CO2 bdl by FTIR, assumed to be 30 ppm, then PEC-corrected</t>
        </r>
      </text>
    </comment>
    <comment ref="AZ172" authorId="0" shapeId="0" xr:uid="{B9888E4A-41D0-4386-B556-D1C06930C614}">
      <text>
        <r>
          <rPr>
            <b/>
            <sz val="9"/>
            <color indexed="81"/>
            <rFont val="Tahoma"/>
            <family val="2"/>
          </rPr>
          <t>Allan Lerner:</t>
        </r>
        <r>
          <rPr>
            <sz val="9"/>
            <color indexed="81"/>
            <rFont val="Tahoma"/>
            <family val="2"/>
          </rPr>
          <t xml:space="preserve">
unmeasured in glass; we assume glass CO2 concentration equal to the mean of other measured samples in unit (158 ppm for K99-6 melt inclusions)</t>
        </r>
      </text>
    </comment>
    <comment ref="A175" authorId="0" shapeId="0" xr:uid="{FFC3D74F-1865-464B-9DD7-13B55ED8EAD3}">
      <text>
        <r>
          <rPr>
            <b/>
            <sz val="9"/>
            <color indexed="81"/>
            <rFont val="Tahoma"/>
            <family val="2"/>
          </rPr>
          <t>Allan Lerner:</t>
        </r>
        <r>
          <rPr>
            <sz val="9"/>
            <color indexed="81"/>
            <rFont val="Tahoma"/>
            <family val="2"/>
          </rPr>
          <t xml:space="preserve">
unusually evolved melt inclusion composition</t>
        </r>
      </text>
    </comment>
    <comment ref="AZ177" authorId="0" shapeId="0" xr:uid="{000D10B3-90A5-4D87-8A5F-F5CB688C6295}">
      <text>
        <r>
          <rPr>
            <b/>
            <sz val="9"/>
            <color indexed="81"/>
            <rFont val="Tahoma"/>
            <family val="2"/>
          </rPr>
          <t>Allan Lerner:</t>
        </r>
        <r>
          <rPr>
            <sz val="9"/>
            <color indexed="81"/>
            <rFont val="Tahoma"/>
            <family val="2"/>
          </rPr>
          <t xml:space="preserve">
CO2 bdl by FTIR, assumed to be 30 ppm, then PEC-corrected</t>
        </r>
      </text>
    </comment>
    <comment ref="AT178" authorId="0" shapeId="0" xr:uid="{49D65BFE-3255-4881-B1C6-15E1837DA2E6}">
      <text>
        <r>
          <rPr>
            <b/>
            <sz val="9"/>
            <color indexed="81"/>
            <rFont val="Tahoma"/>
            <family val="2"/>
          </rPr>
          <t>Allan Lerner:</t>
        </r>
        <r>
          <rPr>
            <sz val="9"/>
            <color indexed="81"/>
            <rFont val="Tahoma"/>
            <family val="2"/>
          </rPr>
          <t xml:space="preserve">
Sulfur analysis affected by interference from nearby sulfide</t>
        </r>
      </text>
    </comment>
    <comment ref="AZ181" authorId="0" shapeId="0" xr:uid="{610139C8-22A0-4A56-807A-F12F16977F59}">
      <text>
        <r>
          <rPr>
            <b/>
            <sz val="9"/>
            <color indexed="81"/>
            <rFont val="Tahoma"/>
            <family val="2"/>
          </rPr>
          <t>Allan Lerner:</t>
        </r>
        <r>
          <rPr>
            <sz val="9"/>
            <color indexed="81"/>
            <rFont val="Tahoma"/>
            <family val="2"/>
          </rPr>
          <t xml:space="preserve">
CO2 bdl by FTIR, assumed to be 30 ppm, then PEC-corrected</t>
        </r>
      </text>
    </comment>
    <comment ref="AF189" authorId="0" shapeId="0" xr:uid="{62F56457-D436-4C2D-91C6-657955301973}">
      <text>
        <r>
          <rPr>
            <b/>
            <sz val="9"/>
            <color indexed="81"/>
            <rFont val="Tahoma"/>
            <family val="2"/>
          </rPr>
          <t>Allan Lerner:</t>
        </r>
        <r>
          <rPr>
            <sz val="9"/>
            <color indexed="81"/>
            <rFont val="Tahoma"/>
            <family val="2"/>
          </rPr>
          <t xml:space="preserve">
assumed to be the same as other quantified melt inclusions in the same olivine grain</t>
        </r>
      </text>
    </comment>
    <comment ref="AF190" authorId="0" shapeId="0" xr:uid="{E0007653-E717-4E54-8405-E293A505E4C0}">
      <text>
        <r>
          <rPr>
            <b/>
            <sz val="9"/>
            <color indexed="81"/>
            <rFont val="Tahoma"/>
            <family val="2"/>
          </rPr>
          <t>Allan Lerner:</t>
        </r>
        <r>
          <rPr>
            <sz val="9"/>
            <color indexed="81"/>
            <rFont val="Tahoma"/>
            <family val="2"/>
          </rPr>
          <t xml:space="preserve">
assumed to be the same as other quantified melt inclusions in the same olivine grain</t>
        </r>
      </text>
    </comment>
    <comment ref="AF192" authorId="0" shapeId="0" xr:uid="{98136795-9F42-47CF-B74A-A2F6921687E5}">
      <text>
        <r>
          <rPr>
            <b/>
            <sz val="9"/>
            <color indexed="81"/>
            <rFont val="Tahoma"/>
            <family val="2"/>
          </rPr>
          <t>Allan Lerner:</t>
        </r>
        <r>
          <rPr>
            <sz val="9"/>
            <color indexed="81"/>
            <rFont val="Tahoma"/>
            <family val="2"/>
          </rPr>
          <t xml:space="preserve">
assumed to be the median PEC correction coefficient for other melt inclusions in this unit</t>
        </r>
      </text>
    </comment>
    <comment ref="AZ192" authorId="0" shapeId="0" xr:uid="{9BA62C87-480C-4C29-8C03-C904C78A78F5}">
      <text>
        <r>
          <rPr>
            <b/>
            <sz val="9"/>
            <color indexed="81"/>
            <rFont val="Tahoma"/>
            <family val="2"/>
          </rPr>
          <t>Allan Lerner:</t>
        </r>
        <r>
          <rPr>
            <sz val="9"/>
            <color indexed="81"/>
            <rFont val="Tahoma"/>
            <family val="2"/>
          </rPr>
          <t xml:space="preserve">
unmeasured in glass; we assume glass CO2 concentration equal to the mean of other measured samples in unit (158 ppm for K99-6 melt inclusions)</t>
        </r>
      </text>
    </comment>
    <comment ref="N193" authorId="0" shapeId="0" xr:uid="{62D4DC14-4350-4FF6-BC6A-480A1A180601}">
      <text>
        <r>
          <rPr>
            <b/>
            <sz val="9"/>
            <color indexed="81"/>
            <rFont val="Tahoma"/>
            <family val="2"/>
          </rPr>
          <t>Allan Lerner:</t>
        </r>
        <r>
          <rPr>
            <sz val="9"/>
            <color indexed="81"/>
            <rFont val="Tahoma"/>
            <family val="2"/>
          </rPr>
          <t xml:space="preserve">
mineral inclusion (spinel) present, occupying some MI volume</t>
        </r>
      </text>
    </comment>
    <comment ref="AF193" authorId="0" shapeId="0" xr:uid="{4CA88A80-47E6-41C8-8F2D-2E267313600F}">
      <text>
        <r>
          <rPr>
            <b/>
            <sz val="9"/>
            <color indexed="81"/>
            <rFont val="Tahoma"/>
            <family val="2"/>
          </rPr>
          <t>Allan Lerner:</t>
        </r>
        <r>
          <rPr>
            <sz val="9"/>
            <color indexed="81"/>
            <rFont val="Tahoma"/>
            <family val="2"/>
          </rPr>
          <t xml:space="preserve">
assumed to be the median PEC correction coefficient for other melt inclusions in this unit</t>
        </r>
      </text>
    </comment>
    <comment ref="AZ193" authorId="0" shapeId="0" xr:uid="{C2C5C16B-BEFF-430D-95DE-C4A4368A53A6}">
      <text>
        <r>
          <rPr>
            <b/>
            <sz val="9"/>
            <color indexed="81"/>
            <rFont val="Tahoma"/>
            <family val="2"/>
          </rPr>
          <t>Allan Lerner:</t>
        </r>
        <r>
          <rPr>
            <sz val="9"/>
            <color indexed="81"/>
            <rFont val="Tahoma"/>
            <family val="2"/>
          </rPr>
          <t xml:space="preserve">
unmeasured in glass; we assume glass CO2 concentration equal to the mean of other measured samples in unit (158 ppm for K99-6 melt inclusions)</t>
        </r>
      </text>
    </comment>
    <comment ref="AF195" authorId="0" shapeId="0" xr:uid="{31094228-9058-4F98-B998-F7399502B100}">
      <text>
        <r>
          <rPr>
            <b/>
            <sz val="9"/>
            <color indexed="81"/>
            <rFont val="Tahoma"/>
            <family val="2"/>
          </rPr>
          <t>Allan Lerner:</t>
        </r>
        <r>
          <rPr>
            <sz val="9"/>
            <color indexed="81"/>
            <rFont val="Tahoma"/>
            <family val="2"/>
          </rPr>
          <t xml:space="preserve">
assumed to be the median PEC correction coefficient for other melt inclusions in this unit</t>
        </r>
      </text>
    </comment>
    <comment ref="AZ195" authorId="0" shapeId="0" xr:uid="{D23B1CF2-7ED9-4120-9A47-D519D96ED3EF}">
      <text>
        <r>
          <rPr>
            <b/>
            <sz val="9"/>
            <color indexed="81"/>
            <rFont val="Tahoma"/>
            <family val="2"/>
          </rPr>
          <t>Allan Lerner:</t>
        </r>
        <r>
          <rPr>
            <sz val="9"/>
            <color indexed="81"/>
            <rFont val="Tahoma"/>
            <family val="2"/>
          </rPr>
          <t xml:space="preserve">
unmeasured in glass; we assume glass CO2 concentration equal to the mean of other measured samples in unit (158 ppm for K99-6 melt inclusions)</t>
        </r>
      </text>
    </comment>
    <comment ref="AF203" authorId="0" shapeId="0" xr:uid="{04CAD74B-7BFD-4484-8230-C19E1A1980D5}">
      <text>
        <r>
          <rPr>
            <b/>
            <sz val="9"/>
            <color indexed="81"/>
            <rFont val="Tahoma"/>
            <family val="2"/>
          </rPr>
          <t>Allan Lerner:</t>
        </r>
        <r>
          <rPr>
            <sz val="9"/>
            <color indexed="81"/>
            <rFont val="Tahoma"/>
            <family val="2"/>
          </rPr>
          <t xml:space="preserve">
assumed to be the same as other quantified melt inclusions in the same olivine grain</t>
        </r>
      </text>
    </comment>
    <comment ref="AZ203" authorId="0" shapeId="0" xr:uid="{5ED24D7E-B03F-4848-9365-FCCDA27DDEB6}">
      <text>
        <r>
          <rPr>
            <b/>
            <sz val="9"/>
            <color indexed="81"/>
            <rFont val="Tahoma"/>
            <family val="2"/>
          </rPr>
          <t>Allan Lerner:</t>
        </r>
        <r>
          <rPr>
            <sz val="9"/>
            <color indexed="81"/>
            <rFont val="Tahoma"/>
            <family val="2"/>
          </rPr>
          <t xml:space="preserve">
unmeasured in glass; we assume glass CO2 concentration equal to the mean of other measured samples in unit (158 ppm for K99-6 melt inclusions)</t>
        </r>
      </text>
    </comment>
    <comment ref="AF205" authorId="0" shapeId="0" xr:uid="{31584D8C-DCC3-4D94-A523-6D30CE2F6FB2}">
      <text>
        <r>
          <rPr>
            <b/>
            <sz val="9"/>
            <color indexed="81"/>
            <rFont val="Tahoma"/>
            <family val="2"/>
          </rPr>
          <t>Allan Lerner:</t>
        </r>
        <r>
          <rPr>
            <sz val="9"/>
            <color indexed="81"/>
            <rFont val="Tahoma"/>
            <family val="2"/>
          </rPr>
          <t xml:space="preserve">
assumed to be the same as other quantified melt inclusions in the same olivine grain</t>
        </r>
      </text>
    </comment>
    <comment ref="AZ205" authorId="0" shapeId="0" xr:uid="{30CF7FF6-1ECC-4EB9-A863-9F58E5D86DAE}">
      <text>
        <r>
          <rPr>
            <b/>
            <sz val="9"/>
            <color indexed="81"/>
            <rFont val="Tahoma"/>
            <family val="2"/>
          </rPr>
          <t>Allan Lerner:</t>
        </r>
        <r>
          <rPr>
            <sz val="9"/>
            <color indexed="81"/>
            <rFont val="Tahoma"/>
            <family val="2"/>
          </rPr>
          <t xml:space="preserve">
unmeasured in glass; we assume glass CO2 concentration equal to the mean of other measured samples in unit (158 ppm for K99-6 melt inclusions)</t>
        </r>
      </text>
    </comment>
    <comment ref="AF206" authorId="0" shapeId="0" xr:uid="{BB721AC8-EFCA-4001-A0B9-7F7E7D072F60}">
      <text>
        <r>
          <rPr>
            <b/>
            <sz val="9"/>
            <color indexed="81"/>
            <rFont val="Tahoma"/>
            <family val="2"/>
          </rPr>
          <t>Allan Lerner:</t>
        </r>
        <r>
          <rPr>
            <sz val="9"/>
            <color indexed="81"/>
            <rFont val="Tahoma"/>
            <family val="2"/>
          </rPr>
          <t xml:space="preserve">
assumed to be the same as other quantified melt inclusions in the same olivine grain</t>
        </r>
      </text>
    </comment>
    <comment ref="AZ206" authorId="0" shapeId="0" xr:uid="{94235932-0552-40E2-BE04-99339EC6BA2A}">
      <text>
        <r>
          <rPr>
            <b/>
            <sz val="9"/>
            <color indexed="81"/>
            <rFont val="Tahoma"/>
            <family val="2"/>
          </rPr>
          <t>Allan Lerner:</t>
        </r>
        <r>
          <rPr>
            <sz val="9"/>
            <color indexed="81"/>
            <rFont val="Tahoma"/>
            <family val="2"/>
          </rPr>
          <t xml:space="preserve">
unmeasured in glass; we assume glass CO2 concentration equal to the mean of other measured samples in unit (158 ppm for K99-6 melt inclusions)</t>
        </r>
      </text>
    </comment>
    <comment ref="AF207" authorId="0" shapeId="0" xr:uid="{C7821ABC-9F9A-4970-9BC4-3BC83E6F5D5C}">
      <text>
        <r>
          <rPr>
            <b/>
            <sz val="9"/>
            <color indexed="81"/>
            <rFont val="Tahoma"/>
            <family val="2"/>
          </rPr>
          <t>Allan Lerner:</t>
        </r>
        <r>
          <rPr>
            <sz val="9"/>
            <color indexed="81"/>
            <rFont val="Tahoma"/>
            <family val="2"/>
          </rPr>
          <t xml:space="preserve">
assumed to be the same as other quantified melt inclusions in the same olivine grain</t>
        </r>
      </text>
    </comment>
    <comment ref="AF208" authorId="0" shapeId="0" xr:uid="{6D17FE76-C402-4AE7-BFA6-1DBDE8ECD57E}">
      <text>
        <r>
          <rPr>
            <b/>
            <sz val="9"/>
            <color indexed="81"/>
            <rFont val="Tahoma"/>
            <family val="2"/>
          </rPr>
          <t>Allan Lerner:</t>
        </r>
        <r>
          <rPr>
            <sz val="9"/>
            <color indexed="81"/>
            <rFont val="Tahoma"/>
            <family val="2"/>
          </rPr>
          <t xml:space="preserve">
assumed to be the same as other quantified melt inclusions in the same olivine grain</t>
        </r>
      </text>
    </comment>
    <comment ref="AZ208" authorId="0" shapeId="0" xr:uid="{5D8D3A52-622D-4EB8-9921-BA53A1E64003}">
      <text>
        <r>
          <rPr>
            <b/>
            <sz val="9"/>
            <color indexed="81"/>
            <rFont val="Tahoma"/>
            <family val="2"/>
          </rPr>
          <t>Allan Lerner:</t>
        </r>
        <r>
          <rPr>
            <sz val="9"/>
            <color indexed="81"/>
            <rFont val="Tahoma"/>
            <family val="2"/>
          </rPr>
          <t xml:space="preserve">
CO2 bdl by FTIR, assumed to be 30 ppm, then PEC-corrected</t>
        </r>
      </text>
    </comment>
    <comment ref="AF209" authorId="0" shapeId="0" xr:uid="{7800C3B8-C47B-417B-A355-DBAAEC395D0A}">
      <text>
        <r>
          <rPr>
            <b/>
            <sz val="9"/>
            <color indexed="81"/>
            <rFont val="Tahoma"/>
            <family val="2"/>
          </rPr>
          <t>Allan Lerner:</t>
        </r>
        <r>
          <rPr>
            <sz val="9"/>
            <color indexed="81"/>
            <rFont val="Tahoma"/>
            <family val="2"/>
          </rPr>
          <t xml:space="preserve">
assumed to be the same as other quantified melt inclusions in the same olivine grain</t>
        </r>
      </text>
    </comment>
    <comment ref="AZ209" authorId="0" shapeId="0" xr:uid="{A0495B69-C15D-41A7-BC65-6419DE4418A2}">
      <text>
        <r>
          <rPr>
            <b/>
            <sz val="9"/>
            <color indexed="81"/>
            <rFont val="Tahoma"/>
            <family val="2"/>
          </rPr>
          <t>Allan Lerner:</t>
        </r>
        <r>
          <rPr>
            <sz val="9"/>
            <color indexed="81"/>
            <rFont val="Tahoma"/>
            <family val="2"/>
          </rPr>
          <t xml:space="preserve">
unmeasured in glass; we assume glass CO2 concentration equal to the mean of other measured samples in unit (158 ppm for K99-6 melt inclusions)</t>
        </r>
      </text>
    </comment>
    <comment ref="AF210" authorId="0" shapeId="0" xr:uid="{5BDE6B02-6DCE-4E34-913B-D49BD181E8E6}">
      <text>
        <r>
          <rPr>
            <b/>
            <sz val="9"/>
            <color indexed="81"/>
            <rFont val="Tahoma"/>
            <family val="2"/>
          </rPr>
          <t>Allan Lerner:</t>
        </r>
        <r>
          <rPr>
            <sz val="9"/>
            <color indexed="81"/>
            <rFont val="Tahoma"/>
            <family val="2"/>
          </rPr>
          <t xml:space="preserve">
assumed to be the same as other quantified melt inclusions in the same olivine grain</t>
        </r>
      </text>
    </comment>
    <comment ref="AZ210" authorId="0" shapeId="0" xr:uid="{4C983150-EB3E-459A-934E-198FF9F9C044}">
      <text>
        <r>
          <rPr>
            <b/>
            <sz val="9"/>
            <color indexed="81"/>
            <rFont val="Tahoma"/>
            <family val="2"/>
          </rPr>
          <t>Allan Lerner:</t>
        </r>
        <r>
          <rPr>
            <sz val="9"/>
            <color indexed="81"/>
            <rFont val="Tahoma"/>
            <family val="2"/>
          </rPr>
          <t xml:space="preserve">
unmeasured in glass; we assume glass CO2 concentration equal to the mean of other measured samples in unit (158 ppm for K99-6 melt inclusions)</t>
        </r>
      </text>
    </comment>
    <comment ref="AF212" authorId="0" shapeId="0" xr:uid="{D559B1FC-30CA-4CCC-901B-4CD93C732762}">
      <text>
        <r>
          <rPr>
            <b/>
            <sz val="9"/>
            <color indexed="81"/>
            <rFont val="Tahoma"/>
            <family val="2"/>
          </rPr>
          <t>Allan Lerner:</t>
        </r>
        <r>
          <rPr>
            <sz val="9"/>
            <color indexed="81"/>
            <rFont val="Tahoma"/>
            <family val="2"/>
          </rPr>
          <t xml:space="preserve">
assumed to be the same as other quantified melt inclusions in the same olivine grain</t>
        </r>
      </text>
    </comment>
    <comment ref="AZ212" authorId="0" shapeId="0" xr:uid="{7B11402F-641A-441D-848A-6EBC2F8DBCB4}">
      <text>
        <r>
          <rPr>
            <b/>
            <sz val="9"/>
            <color indexed="81"/>
            <rFont val="Tahoma"/>
            <family val="2"/>
          </rPr>
          <t>Allan Lerner:</t>
        </r>
        <r>
          <rPr>
            <sz val="9"/>
            <color indexed="81"/>
            <rFont val="Tahoma"/>
            <family val="2"/>
          </rPr>
          <t xml:space="preserve">
unmeasured in glass; we assume glass CO2 concentration equal to the mean of other measured samples in unit (158 ppm for K99-6 melt inclusions)</t>
        </r>
      </text>
    </comment>
    <comment ref="AF213" authorId="0" shapeId="0" xr:uid="{0525B64F-D8B8-4DA7-84DA-B0F3FC18A090}">
      <text>
        <r>
          <rPr>
            <b/>
            <sz val="9"/>
            <color indexed="81"/>
            <rFont val="Tahoma"/>
            <family val="2"/>
          </rPr>
          <t>Allan Lerner:</t>
        </r>
        <r>
          <rPr>
            <sz val="9"/>
            <color indexed="81"/>
            <rFont val="Tahoma"/>
            <family val="2"/>
          </rPr>
          <t xml:space="preserve">
assumed to be the same as other quantified melt inclusions in the same olivine grain</t>
        </r>
      </text>
    </comment>
    <comment ref="AF215" authorId="0" shapeId="0" xr:uid="{DF718B75-7E28-4292-A191-6CDA8377BF26}">
      <text>
        <r>
          <rPr>
            <b/>
            <sz val="9"/>
            <color indexed="81"/>
            <rFont val="Tahoma"/>
            <family val="2"/>
          </rPr>
          <t>Allan Lerner:</t>
        </r>
        <r>
          <rPr>
            <sz val="9"/>
            <color indexed="81"/>
            <rFont val="Tahoma"/>
            <family val="2"/>
          </rPr>
          <t xml:space="preserve">
assumed to be the same as other quantified melt inclusions in the same olivine grain</t>
        </r>
      </text>
    </comment>
    <comment ref="AZ215" authorId="0" shapeId="0" xr:uid="{B34753B9-1E16-4A38-A505-B399DE67C03E}">
      <text>
        <r>
          <rPr>
            <b/>
            <sz val="9"/>
            <color indexed="81"/>
            <rFont val="Tahoma"/>
            <family val="2"/>
          </rPr>
          <t>Allan Lerner:</t>
        </r>
        <r>
          <rPr>
            <sz val="9"/>
            <color indexed="81"/>
            <rFont val="Tahoma"/>
            <family val="2"/>
          </rPr>
          <t xml:space="preserve">
unmeasured in glass; we assume glass CO2 concentration equal to the mean of other measured samples in unit (158 ppm for K99-6 melt inclusions)</t>
        </r>
      </text>
    </comment>
    <comment ref="AF216" authorId="0" shapeId="0" xr:uid="{06CDB97E-92F5-4615-B8CC-FD3000F6B505}">
      <text>
        <r>
          <rPr>
            <b/>
            <sz val="9"/>
            <color indexed="81"/>
            <rFont val="Tahoma"/>
            <family val="2"/>
          </rPr>
          <t>Allan Lerner:</t>
        </r>
        <r>
          <rPr>
            <sz val="9"/>
            <color indexed="81"/>
            <rFont val="Tahoma"/>
            <family val="2"/>
          </rPr>
          <t xml:space="preserve">
assumed to be the same as other quantified melt inclusions in the same olivine grain</t>
        </r>
      </text>
    </comment>
    <comment ref="AZ216" authorId="0" shapeId="0" xr:uid="{8B56B43E-B898-4692-848F-BBF3EA0290AA}">
      <text>
        <r>
          <rPr>
            <b/>
            <sz val="9"/>
            <color indexed="81"/>
            <rFont val="Tahoma"/>
            <family val="2"/>
          </rPr>
          <t>Allan Lerner:</t>
        </r>
        <r>
          <rPr>
            <sz val="9"/>
            <color indexed="81"/>
            <rFont val="Tahoma"/>
            <family val="2"/>
          </rPr>
          <t xml:space="preserve">
unmeasured in glass; we assume glass CO2 concentration equal to the mean of other measured samples in unit (158 ppm for K99-6 melt inclusions)</t>
        </r>
      </text>
    </comment>
    <comment ref="AF217" authorId="0" shapeId="0" xr:uid="{19A0C8B7-E385-4032-81D6-62F6CDC37DEB}">
      <text>
        <r>
          <rPr>
            <b/>
            <sz val="9"/>
            <color indexed="81"/>
            <rFont val="Tahoma"/>
            <family val="2"/>
          </rPr>
          <t>Allan Lerner:</t>
        </r>
        <r>
          <rPr>
            <sz val="9"/>
            <color indexed="81"/>
            <rFont val="Tahoma"/>
            <family val="2"/>
          </rPr>
          <t xml:space="preserve">
assumed to be the same as other quantified melt inclusions in the same olivine grain</t>
        </r>
      </text>
    </comment>
    <comment ref="AZ217" authorId="0" shapeId="0" xr:uid="{68498C24-F661-4FA9-AF0E-EF0AE955D263}">
      <text>
        <r>
          <rPr>
            <b/>
            <sz val="9"/>
            <color indexed="81"/>
            <rFont val="Tahoma"/>
            <family val="2"/>
          </rPr>
          <t>Allan Lerner:</t>
        </r>
        <r>
          <rPr>
            <sz val="9"/>
            <color indexed="81"/>
            <rFont val="Tahoma"/>
            <family val="2"/>
          </rPr>
          <t xml:space="preserve">
unmeasured in glass; we assume glass CO2 concentration equal to the mean of other measured samples in unit (158 ppm for K99-6 melt inclusions)</t>
        </r>
      </text>
    </comment>
    <comment ref="AF219" authorId="0" shapeId="0" xr:uid="{96F27281-CE03-4F8C-912B-9F27A3AD98FC}">
      <text>
        <r>
          <rPr>
            <b/>
            <sz val="9"/>
            <color indexed="81"/>
            <rFont val="Tahoma"/>
            <family val="2"/>
          </rPr>
          <t>Allan Lerner:</t>
        </r>
        <r>
          <rPr>
            <sz val="9"/>
            <color indexed="81"/>
            <rFont val="Tahoma"/>
            <family val="2"/>
          </rPr>
          <t xml:space="preserve">
assumed to be the same as other quantified melt inclusions in the same olivine grain</t>
        </r>
      </text>
    </comment>
    <comment ref="AF220" authorId="0" shapeId="0" xr:uid="{881F5A84-7B66-4360-9672-B5F8A69E8B26}">
      <text>
        <r>
          <rPr>
            <b/>
            <sz val="9"/>
            <color indexed="81"/>
            <rFont val="Tahoma"/>
            <family val="2"/>
          </rPr>
          <t>Allan Lerner:</t>
        </r>
        <r>
          <rPr>
            <sz val="9"/>
            <color indexed="81"/>
            <rFont val="Tahoma"/>
            <family val="2"/>
          </rPr>
          <t xml:space="preserve">
assumed to be the same as other quantified melt inclusions in the same olivine grain</t>
        </r>
      </text>
    </comment>
    <comment ref="AZ220" authorId="0" shapeId="0" xr:uid="{158F8F68-64A7-4927-AC54-13DE002655A9}">
      <text>
        <r>
          <rPr>
            <b/>
            <sz val="9"/>
            <color indexed="81"/>
            <rFont val="Tahoma"/>
            <family val="2"/>
          </rPr>
          <t>Allan Lerner:</t>
        </r>
        <r>
          <rPr>
            <sz val="9"/>
            <color indexed="81"/>
            <rFont val="Tahoma"/>
            <family val="2"/>
          </rPr>
          <t xml:space="preserve">
unmeasured in glass; we assume glass CO2 concentration equal to the mean of other measured samples in unit (158 ppm for K99-6 melt inclusions)</t>
        </r>
      </text>
    </comment>
    <comment ref="N221" authorId="0" shapeId="0" xr:uid="{D51DEF8D-6971-4CB3-8657-F7096995D6A1}">
      <text>
        <r>
          <rPr>
            <b/>
            <sz val="9"/>
            <color indexed="81"/>
            <rFont val="Tahoma"/>
            <family val="2"/>
          </rPr>
          <t>Allan Lerner:</t>
        </r>
        <r>
          <rPr>
            <sz val="9"/>
            <color indexed="81"/>
            <rFont val="Tahoma"/>
            <family val="2"/>
          </rPr>
          <t xml:space="preserve">
mineral inclusion (spinel) present, occupying some MI volume</t>
        </r>
      </text>
    </comment>
    <comment ref="AF221" authorId="0" shapeId="0" xr:uid="{A0A6AB3B-21ED-434B-AD29-3C7C450150A3}">
      <text>
        <r>
          <rPr>
            <b/>
            <sz val="9"/>
            <color indexed="81"/>
            <rFont val="Tahoma"/>
            <family val="2"/>
          </rPr>
          <t>Allan Lerner:</t>
        </r>
        <r>
          <rPr>
            <sz val="9"/>
            <color indexed="81"/>
            <rFont val="Tahoma"/>
            <family val="2"/>
          </rPr>
          <t xml:space="preserve">
assumed to be the same as other quantified melt inclusions in the same olivine grain</t>
        </r>
      </text>
    </comment>
    <comment ref="AZ221" authorId="0" shapeId="0" xr:uid="{2E8C6CD7-3928-4859-B5EE-9E88972DDA2F}">
      <text>
        <r>
          <rPr>
            <b/>
            <sz val="9"/>
            <color indexed="81"/>
            <rFont val="Tahoma"/>
            <family val="2"/>
          </rPr>
          <t>Allan Lerner:</t>
        </r>
        <r>
          <rPr>
            <sz val="9"/>
            <color indexed="81"/>
            <rFont val="Tahoma"/>
            <family val="2"/>
          </rPr>
          <t xml:space="preserve">
unmeasured in glass; we assume glass CO2 concentration equal to the mean of other measured samples in unit (158 ppm for K99-6 melt inclusions)</t>
        </r>
      </text>
    </comment>
    <comment ref="AF224" authorId="0" shapeId="0" xr:uid="{1BAB6E09-C1B6-49E9-97F2-89267A735D61}">
      <text>
        <r>
          <rPr>
            <b/>
            <sz val="9"/>
            <color indexed="81"/>
            <rFont val="Tahoma"/>
            <family val="2"/>
          </rPr>
          <t>Allan Lerner:</t>
        </r>
        <r>
          <rPr>
            <sz val="9"/>
            <color indexed="81"/>
            <rFont val="Tahoma"/>
            <family val="2"/>
          </rPr>
          <t xml:space="preserve">
assumed to be the same as other quantified melt inclusions in the same olivine grain</t>
        </r>
      </text>
    </comment>
    <comment ref="AZ224" authorId="0" shapeId="0" xr:uid="{54B374C8-9F63-4E9C-9D86-B1F2ABC3BED5}">
      <text>
        <r>
          <rPr>
            <b/>
            <sz val="9"/>
            <color indexed="81"/>
            <rFont val="Tahoma"/>
            <family val="2"/>
          </rPr>
          <t>Allan Lerner:</t>
        </r>
        <r>
          <rPr>
            <sz val="9"/>
            <color indexed="81"/>
            <rFont val="Tahoma"/>
            <family val="2"/>
          </rPr>
          <t xml:space="preserve">
unmeasured in glass; we assume glass CO2 concentration equal to the mean of other measured samples in unit (158 ppm for K99-6 melt inclusions)</t>
        </r>
      </text>
    </comment>
    <comment ref="AF225" authorId="0" shapeId="0" xr:uid="{15522173-1CBB-40D4-8084-189235758BFE}">
      <text>
        <r>
          <rPr>
            <b/>
            <sz val="9"/>
            <color indexed="81"/>
            <rFont val="Tahoma"/>
            <family val="2"/>
          </rPr>
          <t>Allan Lerner:</t>
        </r>
        <r>
          <rPr>
            <sz val="9"/>
            <color indexed="81"/>
            <rFont val="Tahoma"/>
            <family val="2"/>
          </rPr>
          <t xml:space="preserve">
assumed to be the same as other quantified melt inclusions in the same olivine grain</t>
        </r>
      </text>
    </comment>
    <comment ref="AZ225" authorId="0" shapeId="0" xr:uid="{26182039-1A8A-4CB5-AE8B-ED0B2344D1CB}">
      <text>
        <r>
          <rPr>
            <b/>
            <sz val="9"/>
            <color indexed="81"/>
            <rFont val="Tahoma"/>
            <family val="2"/>
          </rPr>
          <t>Allan Lerner:</t>
        </r>
        <r>
          <rPr>
            <sz val="9"/>
            <color indexed="81"/>
            <rFont val="Tahoma"/>
            <family val="2"/>
          </rPr>
          <t xml:space="preserve">
unmeasured in glass; we assume glass CO2 concentration equal to the mean of other measured samples in unit (158 ppm for K99-6 melt inclusions)</t>
        </r>
      </text>
    </comment>
    <comment ref="N226" authorId="0" shapeId="0" xr:uid="{06C19763-95EF-41AF-95F5-4EA2E4BFF4DC}">
      <text>
        <r>
          <rPr>
            <b/>
            <sz val="9"/>
            <color indexed="81"/>
            <rFont val="Tahoma"/>
            <family val="2"/>
          </rPr>
          <t>Allan Lerner:</t>
        </r>
        <r>
          <rPr>
            <sz val="9"/>
            <color indexed="81"/>
            <rFont val="Tahoma"/>
            <family val="2"/>
          </rPr>
          <t xml:space="preserve">
mineral inclusion (spinel) present, occupying some MI volume</t>
        </r>
      </text>
    </comment>
    <comment ref="AF226" authorId="0" shapeId="0" xr:uid="{16CB371F-D521-4A55-929B-67F03A7E8B0E}">
      <text>
        <r>
          <rPr>
            <b/>
            <sz val="9"/>
            <color indexed="81"/>
            <rFont val="Tahoma"/>
            <family val="2"/>
          </rPr>
          <t>Allan Lerner:</t>
        </r>
        <r>
          <rPr>
            <sz val="9"/>
            <color indexed="81"/>
            <rFont val="Tahoma"/>
            <family val="2"/>
          </rPr>
          <t xml:space="preserve">
assumed to be the median PEC correction coefficient for other melt inclusions in this unit</t>
        </r>
      </text>
    </comment>
    <comment ref="AZ226" authorId="0" shapeId="0" xr:uid="{3E1F1683-D14E-4F34-8C1E-D54B91E979FA}">
      <text>
        <r>
          <rPr>
            <b/>
            <sz val="9"/>
            <color indexed="81"/>
            <rFont val="Tahoma"/>
            <family val="2"/>
          </rPr>
          <t>Allan Lerner:</t>
        </r>
        <r>
          <rPr>
            <sz val="9"/>
            <color indexed="81"/>
            <rFont val="Tahoma"/>
            <family val="2"/>
          </rPr>
          <t xml:space="preserve">
unmeasured in glass; we assume glass CO2 concentration equal to the mean of other measured samples in unit (158 ppm for K99-6 melt inclusions)</t>
        </r>
      </text>
    </comment>
    <comment ref="N227" authorId="0" shapeId="0" xr:uid="{299899AB-418B-44C2-BF28-AB13D52C3A12}">
      <text>
        <r>
          <rPr>
            <b/>
            <sz val="9"/>
            <color indexed="81"/>
            <rFont val="Tahoma"/>
            <family val="2"/>
          </rPr>
          <t>Allan Lerner:</t>
        </r>
        <r>
          <rPr>
            <sz val="9"/>
            <color indexed="81"/>
            <rFont val="Tahoma"/>
            <family val="2"/>
          </rPr>
          <t xml:space="preserve">
mineral inclusion (spinel) present, occupying some MI volume</t>
        </r>
      </text>
    </comment>
    <comment ref="AF227" authorId="0" shapeId="0" xr:uid="{AEE12562-FB7F-4C3A-8C37-075DECC62E32}">
      <text>
        <r>
          <rPr>
            <b/>
            <sz val="9"/>
            <color indexed="81"/>
            <rFont val="Tahoma"/>
            <family val="2"/>
          </rPr>
          <t>Allan Lerner:</t>
        </r>
        <r>
          <rPr>
            <sz val="9"/>
            <color indexed="81"/>
            <rFont val="Tahoma"/>
            <family val="2"/>
          </rPr>
          <t xml:space="preserve">
assumed to be the median PEC correction coefficient for other melt inclusions in this unit</t>
        </r>
      </text>
    </comment>
    <comment ref="AZ227" authorId="0" shapeId="0" xr:uid="{5DC7C274-E92A-4BA3-8B93-07BECD2CA1BA}">
      <text>
        <r>
          <rPr>
            <b/>
            <sz val="9"/>
            <color indexed="81"/>
            <rFont val="Tahoma"/>
            <family val="2"/>
          </rPr>
          <t>Allan Lerner:</t>
        </r>
        <r>
          <rPr>
            <sz val="9"/>
            <color indexed="81"/>
            <rFont val="Tahoma"/>
            <family val="2"/>
          </rPr>
          <t xml:space="preserve">
unmeasured in glass; we assume glass CO2 concentration equal to the mean of other measured samples in unit (158 ppm for K99-6 melt inclusions)</t>
        </r>
      </text>
    </comment>
    <comment ref="N228" authorId="0" shapeId="0" xr:uid="{2749F4CE-AE49-419E-AF6F-34D0AA8CC989}">
      <text>
        <r>
          <rPr>
            <b/>
            <sz val="9"/>
            <color indexed="81"/>
            <rFont val="Tahoma"/>
            <family val="2"/>
          </rPr>
          <t>Allan Lerner:</t>
        </r>
        <r>
          <rPr>
            <sz val="9"/>
            <color indexed="81"/>
            <rFont val="Tahoma"/>
            <family val="2"/>
          </rPr>
          <t xml:space="preserve">
mineral inclusion (spinel) present, occupying some MI volume</t>
        </r>
      </text>
    </comment>
    <comment ref="AF228" authorId="0" shapeId="0" xr:uid="{2050A121-A19E-41D8-B2C7-10E12EF68A01}">
      <text>
        <r>
          <rPr>
            <b/>
            <sz val="9"/>
            <color indexed="81"/>
            <rFont val="Tahoma"/>
            <family val="2"/>
          </rPr>
          <t>Allan Lerner:</t>
        </r>
        <r>
          <rPr>
            <sz val="9"/>
            <color indexed="81"/>
            <rFont val="Tahoma"/>
            <family val="2"/>
          </rPr>
          <t xml:space="preserve">
assumed to be the median PEC correction coefficient for other melt inclusions in this unit</t>
        </r>
      </text>
    </comment>
    <comment ref="AZ228" authorId="0" shapeId="0" xr:uid="{A1B67CC3-E26A-4A35-B165-4EE6AA757FC6}">
      <text>
        <r>
          <rPr>
            <b/>
            <sz val="9"/>
            <color indexed="81"/>
            <rFont val="Tahoma"/>
            <family val="2"/>
          </rPr>
          <t>Allan Lerner:</t>
        </r>
        <r>
          <rPr>
            <sz val="9"/>
            <color indexed="81"/>
            <rFont val="Tahoma"/>
            <family val="2"/>
          </rPr>
          <t xml:space="preserve">
unmeasured in glass; we assume glass CO2 concentration equal to the mean of other measured samples in unit (158 ppm for K99-6 melt inclusions)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Allan Lerner</author>
  </authors>
  <commentList>
    <comment ref="B2" authorId="0" shapeId="0" xr:uid="{3B7A4E84-EE38-4960-9297-A3DEADF82AE1}">
      <text>
        <r>
          <rPr>
            <b/>
            <sz val="9"/>
            <color indexed="81"/>
            <rFont val="Tahoma"/>
            <family val="2"/>
          </rPr>
          <t>Allan Lerner:</t>
        </r>
        <r>
          <rPr>
            <sz val="9"/>
            <color indexed="81"/>
            <rFont val="Tahoma"/>
            <family val="2"/>
          </rPr>
          <t xml:space="preserve">
Swanson and Houghton 2018 stratigraphy terminology</t>
        </r>
      </text>
    </comment>
    <comment ref="C2" authorId="0" shapeId="0" xr:uid="{BA2F0300-A5CA-47FF-B4D1-75694806A054}">
      <text>
        <r>
          <rPr>
            <b/>
            <sz val="9"/>
            <color indexed="81"/>
            <rFont val="Tahoma"/>
            <family val="2"/>
          </rPr>
          <t>Allan Lerner:</t>
        </r>
        <r>
          <rPr>
            <sz val="9"/>
            <color indexed="81"/>
            <rFont val="Tahoma"/>
            <family val="2"/>
          </rPr>
          <t xml:space="preserve">
Iinformal name/sample description</t>
        </r>
      </text>
    </comment>
    <comment ref="D2" authorId="0" shapeId="0" xr:uid="{D0FB1210-713F-4BAC-B25E-30B2987E6E4F}">
      <text>
        <r>
          <rPr>
            <b/>
            <sz val="9"/>
            <color indexed="81"/>
            <rFont val="Tahoma"/>
            <family val="2"/>
          </rPr>
          <t>Allan Lerner:</t>
        </r>
        <r>
          <rPr>
            <sz val="9"/>
            <color indexed="81"/>
            <rFont val="Tahoma"/>
            <family val="2"/>
          </rPr>
          <t xml:space="preserve">
apporixmate ages, as listed in Lynn et al 2017 basd on Swanson et al 2012, 2014</t>
        </r>
      </text>
    </comment>
    <comment ref="A4" authorId="0" shapeId="0" xr:uid="{DC7C30A0-E8DA-4EA7-8ED5-2702F434168B}">
      <text>
        <r>
          <rPr>
            <b/>
            <sz val="9"/>
            <color indexed="81"/>
            <rFont val="Tahoma"/>
            <family val="2"/>
          </rPr>
          <t>Allan Lerner:</t>
        </r>
        <r>
          <rPr>
            <sz val="9"/>
            <color indexed="81"/>
            <rFont val="Tahoma"/>
            <family val="2"/>
          </rPr>
          <t xml:space="preserve">
Unit K1 of Swanson and Houghton 2018; Unit VI of Decker and Christiansen 1984</t>
        </r>
      </text>
    </comment>
    <comment ref="A21" authorId="0" shapeId="0" xr:uid="{04ADD97C-BF0E-43D8-9F0D-0BA6FCFE7E32}">
      <text>
        <r>
          <rPr>
            <b/>
            <sz val="9"/>
            <color indexed="81"/>
            <rFont val="Tahoma"/>
            <family val="2"/>
          </rPr>
          <t>Allan Lerner:</t>
        </r>
        <r>
          <rPr>
            <sz val="9"/>
            <color indexed="81"/>
            <rFont val="Tahoma"/>
            <family val="2"/>
          </rPr>
          <t xml:space="preserve">
Unit J2 of Swanson and Houghton 2018; Unit V of Decker and Christiansen 1984</t>
        </r>
      </text>
    </comment>
    <comment ref="A28" authorId="0" shapeId="0" xr:uid="{9BFB5940-DEF0-4F36-A8E8-86CB59A1D1E2}">
      <text>
        <r>
          <rPr>
            <b/>
            <sz val="9"/>
            <color indexed="81"/>
            <rFont val="Tahoma"/>
            <family val="2"/>
          </rPr>
          <t>Allan Lerner:</t>
        </r>
        <r>
          <rPr>
            <sz val="9"/>
            <color indexed="81"/>
            <rFont val="Tahoma"/>
            <family val="2"/>
          </rPr>
          <t xml:space="preserve">
Unit E of Swanson and Houghton 2018; Unit IIC2 of Decker and Christiansen 1984; Layer 6 of McPhie et al 1990</t>
        </r>
      </text>
    </comment>
    <comment ref="A38" authorId="0" shapeId="0" xr:uid="{F6CD660E-AEAA-4BBC-ABA1-6C538AC1F62C}">
      <text>
        <r>
          <rPr>
            <b/>
            <sz val="9"/>
            <color indexed="81"/>
            <rFont val="Tahoma"/>
            <family val="2"/>
          </rPr>
          <t>Allan Lerner:</t>
        </r>
        <r>
          <rPr>
            <sz val="9"/>
            <color indexed="81"/>
            <rFont val="Tahoma"/>
            <family val="2"/>
          </rPr>
          <t xml:space="preserve">
Upper Unit D of Swanson and Houghton 2018; Unit IIA2 of Decker and Christiansen 1984</t>
        </r>
      </text>
    </comment>
    <comment ref="A64" authorId="0" shapeId="0" xr:uid="{3E5A1593-9B7E-4152-B0D7-DF25CBFE6A92}">
      <text>
        <r>
          <rPr>
            <b/>
            <sz val="9"/>
            <color indexed="81"/>
            <rFont val="Tahoma"/>
            <family val="2"/>
          </rPr>
          <t>Allan Lerner:</t>
        </r>
        <r>
          <rPr>
            <sz val="9"/>
            <color indexed="81"/>
            <rFont val="Tahoma"/>
            <family val="2"/>
          </rPr>
          <t xml:space="preserve">
Lower Unit D of Swanson and Houghton 2018; Unit IIA1 of Decker and Christiansen 1984</t>
        </r>
      </text>
    </comment>
    <comment ref="A88" authorId="0" shapeId="0" xr:uid="{C8F33586-B51D-45AD-87CC-8E00ADE34BC3}">
      <text>
        <r>
          <rPr>
            <b/>
            <sz val="9"/>
            <color indexed="81"/>
            <rFont val="Tahoma"/>
            <family val="2"/>
          </rPr>
          <t>Allan Lerner:</t>
        </r>
        <r>
          <rPr>
            <sz val="9"/>
            <color indexed="81"/>
            <rFont val="Tahoma"/>
            <family val="2"/>
          </rPr>
          <t xml:space="preserve">
Unit B of Swanson and Houghton 2018; Unit I of Decker and Christiansen 1984</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Allan Lerner</author>
  </authors>
  <commentList>
    <comment ref="G119" authorId="0" shapeId="0" xr:uid="{92CDFEEA-5995-4648-A22B-350934BA3B28}">
      <text>
        <r>
          <rPr>
            <b/>
            <sz val="9"/>
            <color indexed="81"/>
            <rFont val="Tahoma"/>
            <family val="2"/>
          </rPr>
          <t>Allan Lerner:</t>
        </r>
        <r>
          <rPr>
            <sz val="9"/>
            <color indexed="81"/>
            <rFont val="Tahoma"/>
            <family val="2"/>
          </rPr>
          <t xml:space="preserve">
used as mineral  Al2O3 standard</t>
        </r>
      </text>
    </comment>
    <comment ref="G138" authorId="0" shapeId="0" xr:uid="{A4D06F50-526C-45F8-A9B0-5D061C08CA7E}">
      <text>
        <r>
          <rPr>
            <b/>
            <sz val="9"/>
            <color indexed="81"/>
            <rFont val="Tahoma"/>
            <family val="2"/>
          </rPr>
          <t>Allan Lerner:</t>
        </r>
        <r>
          <rPr>
            <sz val="9"/>
            <color indexed="81"/>
            <rFont val="Tahoma"/>
            <family val="2"/>
          </rPr>
          <t xml:space="preserve">
used as glass  Al2O3 standard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Allan Lerner</author>
  </authors>
  <commentList>
    <comment ref="A3" authorId="0" shapeId="0" xr:uid="{3E1D7FB3-A670-4528-AE90-26D6EAD96C36}">
      <text>
        <r>
          <rPr>
            <b/>
            <sz val="9"/>
            <color indexed="81"/>
            <rFont val="Tahoma"/>
            <family val="2"/>
          </rPr>
          <t>Allan Lerner:</t>
        </r>
        <r>
          <rPr>
            <sz val="9"/>
            <color indexed="81"/>
            <rFont val="Tahoma"/>
            <family val="2"/>
          </rPr>
          <t xml:space="preserve">
red text = bdl CO2 in vapor bubble measurements</t>
        </r>
      </text>
    </comment>
    <comment ref="F3" authorId="0" shapeId="0" xr:uid="{C151D956-694D-45F8-8B6D-21A0CB15AA13}">
      <text>
        <r>
          <rPr>
            <b/>
            <sz val="9"/>
            <color indexed="81"/>
            <rFont val="Tahoma"/>
            <family val="2"/>
          </rPr>
          <t>Allan Lerner:</t>
        </r>
        <r>
          <rPr>
            <sz val="9"/>
            <color indexed="81"/>
            <rFont val="Tahoma"/>
            <family val="2"/>
          </rPr>
          <t xml:space="preserve">
"bubble-dominated MI" are melt inclusions with vapor bubbles volumes &gt;~10% (green highlights). "isolated fluid inclusions" contain vapor +/- liquid with no visible observable melt (blue highlights)</t>
        </r>
      </text>
    </comment>
    <comment ref="G3" authorId="0" shapeId="0" xr:uid="{B18A66F3-2E41-4062-8900-C62C5F03541F}">
      <text>
        <r>
          <rPr>
            <b/>
            <sz val="9"/>
            <color indexed="81"/>
            <rFont val="Tahoma"/>
            <family val="2"/>
          </rPr>
          <t>Allan Lerner:</t>
        </r>
        <r>
          <rPr>
            <sz val="9"/>
            <color indexed="81"/>
            <rFont val="Tahoma"/>
            <family val="2"/>
          </rPr>
          <t xml:space="preserve">
In two-phase (vapor + liquid) fluid inclusions, Raman analyses were only of the vapor phase. Only vapor-phase Raman analyses are presented here, but bulk CO2 densities of two-phase fluid inclusions were estimated based on vapor + liquid phase proportions and the vapor + liquid CO2 densities at observation temperatures (see supplemental text for details) </t>
        </r>
      </text>
    </comment>
    <comment ref="A4" authorId="0" shapeId="0" xr:uid="{BB0DB624-AE47-4727-BEFD-7A428BB037A9}">
      <text>
        <r>
          <rPr>
            <b/>
            <sz val="9"/>
            <color indexed="81"/>
            <rFont val="Tahoma"/>
            <family val="2"/>
          </rPr>
          <t>Allan Lerner:</t>
        </r>
        <r>
          <rPr>
            <sz val="9"/>
            <color indexed="81"/>
            <rFont val="Tahoma"/>
            <family val="2"/>
          </rPr>
          <t xml:space="preserve">
Upper Unit D of Swanson and Houghton 2018; Unit IIA2 of Decker and Christiansen 1984</t>
        </r>
      </text>
    </comment>
    <comment ref="A49" authorId="0" shapeId="0" xr:uid="{46A8B4E8-F7FD-4DE6-B24D-D4685A2E1814}">
      <text>
        <r>
          <rPr>
            <b/>
            <sz val="9"/>
            <color indexed="81"/>
            <rFont val="Tahoma"/>
            <family val="2"/>
          </rPr>
          <t>Allan Lerner:</t>
        </r>
        <r>
          <rPr>
            <sz val="9"/>
            <color indexed="81"/>
            <rFont val="Tahoma"/>
            <family val="2"/>
          </rPr>
          <t xml:space="preserve">
Lower Unit D of Swanson and Houghton 2018; Unit IIA1 of Decker and Christiansen 1984</t>
        </r>
      </text>
    </comment>
    <comment ref="A71" authorId="0" shapeId="0" xr:uid="{9605765C-B74A-4DDA-A8DA-2992F8A448B9}">
      <text>
        <r>
          <rPr>
            <b/>
            <sz val="9"/>
            <color indexed="81"/>
            <rFont val="Tahoma"/>
            <family val="2"/>
          </rPr>
          <t>Allan Lerner:</t>
        </r>
        <r>
          <rPr>
            <sz val="9"/>
            <color indexed="81"/>
            <rFont val="Tahoma"/>
            <family val="2"/>
          </rPr>
          <t xml:space="preserve">
Unit B of Swanson and Houghton 2018; Unit I of Decker and Christiansen 1984</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Allan Lerner</author>
  </authors>
  <commentList>
    <comment ref="T6" authorId="0" shapeId="0" xr:uid="{7713CD14-07FD-4547-AC49-503670CCC569}">
      <text>
        <r>
          <rPr>
            <b/>
            <sz val="9"/>
            <color indexed="81"/>
            <rFont val="Tahoma"/>
            <family val="2"/>
          </rPr>
          <t>Allan Lerner:</t>
        </r>
        <r>
          <rPr>
            <sz val="9"/>
            <color indexed="81"/>
            <rFont val="Tahoma"/>
            <family val="2"/>
          </rPr>
          <t xml:space="preserve">
calculated using the method of Lamadrid et al 2017</t>
        </r>
      </text>
    </comment>
    <comment ref="U6" authorId="0" shapeId="0" xr:uid="{1EBA76DA-0051-43AA-9AB1-F0896A125B23}">
      <text>
        <r>
          <rPr>
            <b/>
            <sz val="9"/>
            <color indexed="81"/>
            <rFont val="Tahoma"/>
            <family val="2"/>
          </rPr>
          <t>Allan Lerner:</t>
        </r>
        <r>
          <rPr>
            <sz val="9"/>
            <color indexed="81"/>
            <rFont val="Tahoma"/>
            <family val="2"/>
          </rPr>
          <t xml:space="preserve">
Where uncertainty is unavailable, assume ±0.0075 1σ uncertainty in density measurements based on typical analaytical uncertainties of the lab measurements</t>
        </r>
      </text>
    </comment>
    <comment ref="Z6" authorId="0" shapeId="0" xr:uid="{6DAEEAB0-2EBD-4DE8-BDD0-005053881289}">
      <text>
        <r>
          <rPr>
            <b/>
            <sz val="9"/>
            <color indexed="81"/>
            <rFont val="Tahoma"/>
            <family val="2"/>
          </rPr>
          <t>Allan Lerner:</t>
        </r>
        <r>
          <rPr>
            <sz val="9"/>
            <color indexed="81"/>
            <rFont val="Tahoma"/>
            <family val="2"/>
          </rPr>
          <t xml:space="preserve">
Lerner et al 2021 originally had saturation pressures presented in MPa. Here they are presented in bars, for consistency with this study</t>
        </r>
      </text>
    </comment>
    <comment ref="AB6" authorId="0" shapeId="0" xr:uid="{F4927664-DBEF-4B32-98B0-D062DFC7FC78}">
      <text>
        <r>
          <rPr>
            <b/>
            <sz val="9"/>
            <color indexed="81"/>
            <rFont val="Tahoma"/>
            <family val="2"/>
          </rPr>
          <t>Allan Lerner:</t>
        </r>
        <r>
          <rPr>
            <sz val="9"/>
            <color indexed="81"/>
            <rFont val="Tahoma"/>
            <family val="2"/>
          </rPr>
          <t xml:space="preserve">
In Lerner et al 2021, depth calculations were originally done with a parameterization of Ryan 1986. It is have updated here to use a parameterization of Denlinger and Flinders 2022 for consistency with this study (Depth (km) = 0.0684*(kbar)^3 - 0.5008*(kbar)^2 + 4.47*(kbar))</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Allan Lerner</author>
  </authors>
  <commentList>
    <comment ref="AA3" authorId="0" shapeId="0" xr:uid="{78E344C5-AEA4-4C31-9D1D-3EECB1ADDA66}">
      <text>
        <r>
          <rPr>
            <b/>
            <sz val="9"/>
            <color indexed="81"/>
            <rFont val="Tahoma"/>
            <family val="2"/>
          </rPr>
          <t>Allan Lerner:</t>
        </r>
        <r>
          <rPr>
            <sz val="9"/>
            <color indexed="81"/>
            <rFont val="Tahoma"/>
            <family val="2"/>
          </rPr>
          <t xml:space="preserve">
for MI with vapor bubbles &gt;10 vol% in Moore et al 2015, can treat bubble CO2 as a CO2 fluid inclusion (Steele-MacInnis et al 2017); CO2 equation of state calculations (using Sterner and Pitzer 1994) assume magma temperatures of 1250C for 1959 Kilauea Iki and 1260C for 1960 Kapoho
</t>
        </r>
      </text>
    </comment>
    <comment ref="AC3" authorId="0" shapeId="0" xr:uid="{638C0A5F-E2BC-4E53-A3C2-71CA0E01632E}">
      <text>
        <r>
          <rPr>
            <b/>
            <sz val="9"/>
            <color indexed="81"/>
            <rFont val="Tahoma"/>
            <family val="2"/>
          </rPr>
          <t>Allan Lerner:</t>
        </r>
        <r>
          <rPr>
            <sz val="9"/>
            <color indexed="81"/>
            <rFont val="Tahoma"/>
            <family val="2"/>
          </rPr>
          <t xml:space="preserve">
Calculations done with the VESIcal tool (Iacovino et al. 2021)</t>
        </r>
      </text>
    </comment>
    <comment ref="AU3" authorId="0" shapeId="0" xr:uid="{043EA132-7687-4064-9E20-23AC0B355ECC}">
      <text>
        <r>
          <rPr>
            <b/>
            <sz val="9"/>
            <color indexed="81"/>
            <rFont val="Tahoma"/>
            <family val="2"/>
          </rPr>
          <t>Allan Lerner:</t>
        </r>
        <r>
          <rPr>
            <sz val="9"/>
            <color indexed="81"/>
            <rFont val="Tahoma"/>
            <family val="2"/>
          </rPr>
          <t xml:space="preserve">
H2O diffusion is assumed fast enough that PEC does not cause enrichment; H2O is thus not re-normalized (diluted) based on PEC extents</t>
        </r>
      </text>
    </comment>
    <comment ref="AV3" authorId="0" shapeId="0" xr:uid="{01100803-375B-445A-ACA1-14849237B142}">
      <text>
        <r>
          <rPr>
            <b/>
            <sz val="9"/>
            <color indexed="81"/>
            <rFont val="Tahoma"/>
            <family val="2"/>
          </rPr>
          <t>Allan Lerner:</t>
        </r>
        <r>
          <rPr>
            <sz val="9"/>
            <color indexed="81"/>
            <rFont val="Tahoma"/>
            <family val="2"/>
          </rPr>
          <t xml:space="preserve">
FTIR measured, diluted by PEC correction factor</t>
        </r>
      </text>
    </comment>
    <comment ref="AV6" authorId="0" shapeId="0" xr:uid="{8B4B23B2-8D8F-4525-90EC-AAE66D0A7633}">
      <text>
        <r>
          <rPr>
            <b/>
            <sz val="9"/>
            <color indexed="81"/>
            <rFont val="Tahoma"/>
            <family val="2"/>
          </rPr>
          <t>Allan Lerner:</t>
        </r>
        <r>
          <rPr>
            <sz val="9"/>
            <color indexed="81"/>
            <rFont val="Tahoma"/>
            <family val="2"/>
          </rPr>
          <t xml:space="preserve">
bdl</t>
        </r>
      </text>
    </comment>
    <comment ref="BN6" authorId="0" shapeId="0" xr:uid="{308A2D52-70A7-4A26-9CA4-E8230D3277F4}">
      <text>
        <r>
          <rPr>
            <b/>
            <sz val="9"/>
            <color indexed="81"/>
            <rFont val="Tahoma"/>
            <family val="2"/>
          </rPr>
          <t>Allan Lerner:</t>
        </r>
        <r>
          <rPr>
            <sz val="9"/>
            <color indexed="81"/>
            <rFont val="Tahoma"/>
            <family val="2"/>
          </rPr>
          <t xml:space="preserve">
bdl</t>
        </r>
      </text>
    </comment>
    <comment ref="BP6" authorId="0" shapeId="0" xr:uid="{AA603917-5FC3-45B2-A10D-C398610B083F}">
      <text>
        <r>
          <rPr>
            <b/>
            <sz val="9"/>
            <color indexed="81"/>
            <rFont val="Tahoma"/>
            <family val="2"/>
          </rPr>
          <t>Allan Lerner:</t>
        </r>
        <r>
          <rPr>
            <sz val="9"/>
            <color indexed="81"/>
            <rFont val="Tahoma"/>
            <family val="2"/>
          </rPr>
          <t xml:space="preserve">
bdl</t>
        </r>
      </text>
    </comment>
    <comment ref="AV10" authorId="0" shapeId="0" xr:uid="{E1993A89-07A3-43FF-8052-3B0901B1B0A5}">
      <text>
        <r>
          <rPr>
            <b/>
            <sz val="9"/>
            <color indexed="81"/>
            <rFont val="Tahoma"/>
            <family val="2"/>
          </rPr>
          <t>Allan Lerner:</t>
        </r>
        <r>
          <rPr>
            <sz val="9"/>
            <color indexed="81"/>
            <rFont val="Tahoma"/>
            <family val="2"/>
          </rPr>
          <t xml:space="preserve">
bdl</t>
        </r>
      </text>
    </comment>
    <comment ref="BN10" authorId="0" shapeId="0" xr:uid="{481C2D59-0B67-4B8C-9223-03488BBB0DE2}">
      <text>
        <r>
          <rPr>
            <b/>
            <sz val="9"/>
            <color indexed="81"/>
            <rFont val="Tahoma"/>
            <family val="2"/>
          </rPr>
          <t>Allan Lerner:</t>
        </r>
        <r>
          <rPr>
            <sz val="9"/>
            <color indexed="81"/>
            <rFont val="Tahoma"/>
            <family val="2"/>
          </rPr>
          <t xml:space="preserve">
bdl</t>
        </r>
      </text>
    </comment>
    <comment ref="BP10" authorId="0" shapeId="0" xr:uid="{15B33CF1-465A-4652-8FFF-B6BE6D3FD549}">
      <text>
        <r>
          <rPr>
            <b/>
            <sz val="9"/>
            <color indexed="81"/>
            <rFont val="Tahoma"/>
            <family val="2"/>
          </rPr>
          <t>Allan Lerner:</t>
        </r>
        <r>
          <rPr>
            <sz val="9"/>
            <color indexed="81"/>
            <rFont val="Tahoma"/>
            <family val="2"/>
          </rPr>
          <t xml:space="preserve">
bdl</t>
        </r>
      </text>
    </comment>
    <comment ref="AI11" authorId="0" shapeId="0" xr:uid="{BFDD8AC8-32F2-4978-A06A-32D0DF3DCC7F}">
      <text>
        <r>
          <rPr>
            <b/>
            <sz val="9"/>
            <color indexed="81"/>
            <rFont val="Tahoma"/>
            <family val="2"/>
          </rPr>
          <t>Allan Lerner:</t>
        </r>
        <r>
          <rPr>
            <sz val="9"/>
            <color indexed="81"/>
            <rFont val="Tahoma"/>
            <family val="2"/>
          </rPr>
          <t xml:space="preserve">
estimated based on Mis with similar compostion olivine hosts in the same unit</t>
        </r>
      </text>
    </comment>
    <comment ref="AV13" authorId="0" shapeId="0" xr:uid="{3206394B-2239-48B3-8C0A-A0A677EFA1B8}">
      <text>
        <r>
          <rPr>
            <b/>
            <sz val="9"/>
            <color indexed="81"/>
            <rFont val="Tahoma"/>
            <family val="2"/>
          </rPr>
          <t>Allan Lerner:</t>
        </r>
        <r>
          <rPr>
            <sz val="9"/>
            <color indexed="81"/>
            <rFont val="Tahoma"/>
            <family val="2"/>
          </rPr>
          <t xml:space="preserve">
bdl</t>
        </r>
      </text>
    </comment>
    <comment ref="BN13" authorId="0" shapeId="0" xr:uid="{AFDCF370-9AD1-417B-AA55-50885C79EF9B}">
      <text>
        <r>
          <rPr>
            <b/>
            <sz val="9"/>
            <color indexed="81"/>
            <rFont val="Tahoma"/>
            <family val="2"/>
          </rPr>
          <t>Allan Lerner:</t>
        </r>
        <r>
          <rPr>
            <sz val="9"/>
            <color indexed="81"/>
            <rFont val="Tahoma"/>
            <family val="2"/>
          </rPr>
          <t xml:space="preserve">
bdl</t>
        </r>
      </text>
    </comment>
    <comment ref="BP13" authorId="0" shapeId="0" xr:uid="{54DEB296-7488-4D13-A14F-5CFFDA31B51A}">
      <text>
        <r>
          <rPr>
            <b/>
            <sz val="9"/>
            <color indexed="81"/>
            <rFont val="Tahoma"/>
            <family val="2"/>
          </rPr>
          <t>Allan Lerner:</t>
        </r>
        <r>
          <rPr>
            <sz val="9"/>
            <color indexed="81"/>
            <rFont val="Tahoma"/>
            <family val="2"/>
          </rPr>
          <t xml:space="preserve">
bdl</t>
        </r>
      </text>
    </comment>
    <comment ref="AI16" authorId="0" shapeId="0" xr:uid="{12FD6B07-AA48-482B-989F-A6501412503B}">
      <text>
        <r>
          <rPr>
            <b/>
            <sz val="9"/>
            <color indexed="81"/>
            <rFont val="Tahoma"/>
            <family val="2"/>
          </rPr>
          <t>Allan Lerner:</t>
        </r>
        <r>
          <rPr>
            <sz val="9"/>
            <color indexed="81"/>
            <rFont val="Tahoma"/>
            <family val="2"/>
          </rPr>
          <t xml:space="preserve">
estimated based on Mis with similar compostion olivine hosts in the same unit</t>
        </r>
      </text>
    </comment>
    <comment ref="AI21" authorId="0" shapeId="0" xr:uid="{1E7566C7-ABF4-46FC-891A-37C273F8273F}">
      <text>
        <r>
          <rPr>
            <b/>
            <sz val="9"/>
            <color indexed="81"/>
            <rFont val="Tahoma"/>
            <family val="2"/>
          </rPr>
          <t>Allan Lerner:</t>
        </r>
        <r>
          <rPr>
            <sz val="9"/>
            <color indexed="81"/>
            <rFont val="Tahoma"/>
            <family val="2"/>
          </rPr>
          <t xml:space="preserve">
EPMA measurements of MI or host minerals were not available for the Moore et al. (2015) datasets, so assume MI compositions equal to the average MI compositions of the Tuohy et al. (2016) dataset for respective units</t>
        </r>
      </text>
    </comment>
    <comment ref="P22" authorId="0" shapeId="0" xr:uid="{28CB5D4D-1D98-4B72-B538-741978F59EDF}">
      <text>
        <r>
          <rPr>
            <b/>
            <sz val="9"/>
            <color indexed="81"/>
            <rFont val="Tahoma"/>
            <family val="2"/>
          </rPr>
          <t>Allan Lerner:</t>
        </r>
        <r>
          <rPr>
            <sz val="9"/>
            <color indexed="81"/>
            <rFont val="Tahoma"/>
            <family val="2"/>
          </rPr>
          <t xml:space="preserve">
bubble-dominated melt inclusions (MI) are inclusions with bubbles &gt;10 vol%, and have entrapment pressures calculated via CO2 equation of state (see discussion in supplemental text)</t>
        </r>
      </text>
    </comment>
    <comment ref="R22" authorId="0" shapeId="0" xr:uid="{2C39FDFD-B84E-4E05-B341-D76BB1162E4A}">
      <text>
        <r>
          <rPr>
            <b/>
            <sz val="9"/>
            <color indexed="81"/>
            <rFont val="Tahoma"/>
            <family val="2"/>
          </rPr>
          <t>Allan Lerner:</t>
        </r>
        <r>
          <rPr>
            <sz val="9"/>
            <color indexed="81"/>
            <rFont val="Tahoma"/>
            <family val="2"/>
          </rPr>
          <t xml:space="preserve">
Host composition was not measured; we assume a composition to be the average composition of minerals from the same sample measured by Tuohy et al 2016 (note, more samples were analyzed in Tuohy et al. 2016 than are present in this table). See supplementary text for details</t>
        </r>
      </text>
    </comment>
    <comment ref="V22" authorId="0" shapeId="0" xr:uid="{427297E9-549A-459E-B4E4-10B034FC87C5}">
      <text>
        <r>
          <rPr>
            <b/>
            <sz val="9"/>
            <color indexed="81"/>
            <rFont val="Tahoma"/>
            <family val="2"/>
          </rPr>
          <t>Allan Lerner:</t>
        </r>
        <r>
          <rPr>
            <sz val="9"/>
            <color indexed="81"/>
            <rFont val="Tahoma"/>
            <family val="2"/>
          </rPr>
          <t xml:space="preserve">
Inclusions with bubbles volumes &gt;~10% (green highlights) are considered bubble-dominated MI, and are treated as fluid inclusions. Inclusions with bubble volumes between 5.5-10 vol% (red highlights) are not included in the barometry compilation for reasons discussed in the supplementary text</t>
        </r>
      </text>
    </comment>
    <comment ref="W22" authorId="0" shapeId="0" xr:uid="{28A6B483-1EFA-4EEB-B05A-85025C07799E}">
      <text>
        <r>
          <rPr>
            <b/>
            <sz val="9"/>
            <color indexed="81"/>
            <rFont val="Tahoma"/>
            <family val="2"/>
          </rPr>
          <t>Allan Lerner:</t>
        </r>
        <r>
          <rPr>
            <sz val="9"/>
            <color indexed="81"/>
            <rFont val="Tahoma"/>
            <family val="2"/>
          </rPr>
          <t xml:space="preserve">
Note: the Wieser et al 2021; 2022 method of calculating CO2 density from the fermi diad is different from that of Moore et al. 2015, Lerner et al. 2021, and this study, where the approach of Lamadrid et al 2017 is used.</t>
        </r>
      </text>
    </comment>
    <comment ref="Y22" authorId="0" shapeId="0" xr:uid="{B4548355-279A-4781-BC8E-4C26F3ABC36C}">
      <text>
        <r>
          <rPr>
            <b/>
            <sz val="9"/>
            <color indexed="81"/>
            <rFont val="Tahoma"/>
            <family val="2"/>
          </rPr>
          <t>Allan Lerner:</t>
        </r>
        <r>
          <rPr>
            <sz val="9"/>
            <color indexed="81"/>
            <rFont val="Tahoma"/>
            <family val="2"/>
          </rPr>
          <t xml:space="preserve">
Note: the Wieser et al 2021; 2022 method of calculating CO2 density from the fermi diad is different from that of Moore et al. 2015, Lerner et al. 2021, and this study, where the approach of Lamadrid et al 2017 is used.</t>
        </r>
      </text>
    </comment>
    <comment ref="AA22" authorId="0" shapeId="0" xr:uid="{9D5E9AE6-5AAC-438D-A4B2-7B8000EB4AD5}">
      <text>
        <r>
          <rPr>
            <b/>
            <sz val="9"/>
            <color indexed="81"/>
            <rFont val="Tahoma"/>
            <family val="2"/>
          </rPr>
          <t>Allan Lerner:</t>
        </r>
        <r>
          <rPr>
            <sz val="9"/>
            <color indexed="81"/>
            <rFont val="Tahoma"/>
            <family val="2"/>
          </rPr>
          <t xml:space="preserve">
for MI with vapor bubbles &gt;10 vol% in Moore et al 2015, can treat bubble CO2 as a CO2 fluid inclusion (Steele-MacInnis et al 2017); CO2 equation of state calculations (using Sterner and Pitzer 1994) assume magma temperatures of 1250C for 1959 Kilauea Iki and 1260C for 1960 Kapoho
</t>
        </r>
      </text>
    </comment>
    <comment ref="AC22" authorId="0" shapeId="0" xr:uid="{9EABFC55-EBCE-4E18-B9B3-254F836E44ED}">
      <text>
        <r>
          <rPr>
            <b/>
            <sz val="9"/>
            <color indexed="81"/>
            <rFont val="Tahoma"/>
            <family val="2"/>
          </rPr>
          <t>Allan Lerner:</t>
        </r>
        <r>
          <rPr>
            <sz val="9"/>
            <color indexed="81"/>
            <rFont val="Tahoma"/>
            <family val="2"/>
          </rPr>
          <t xml:space="preserve">
Calculations done with the VESIcal tool (Iacovino et al. 2021)</t>
        </r>
      </text>
    </comment>
    <comment ref="AU22" authorId="0" shapeId="0" xr:uid="{5FBFA980-6215-45F3-89F6-B100A11F1721}">
      <text>
        <r>
          <rPr>
            <b/>
            <sz val="9"/>
            <color indexed="81"/>
            <rFont val="Tahoma"/>
            <family val="2"/>
          </rPr>
          <t>Allan Lerner:</t>
        </r>
        <r>
          <rPr>
            <sz val="9"/>
            <color indexed="81"/>
            <rFont val="Tahoma"/>
            <family val="2"/>
          </rPr>
          <t xml:space="preserve">
H2O diffusion is assumed fast enough that PEC does not cause enrichment; H2O is thus not re-normalized (diluted) based on PEC extents</t>
        </r>
      </text>
    </comment>
    <comment ref="AV22" authorId="0" shapeId="0" xr:uid="{2F52AD02-8B11-4F96-B35A-2D1CCC679D20}">
      <text>
        <r>
          <rPr>
            <b/>
            <sz val="9"/>
            <color indexed="81"/>
            <rFont val="Tahoma"/>
            <family val="2"/>
          </rPr>
          <t>Allan Lerner:</t>
        </r>
        <r>
          <rPr>
            <sz val="9"/>
            <color indexed="81"/>
            <rFont val="Tahoma"/>
            <family val="2"/>
          </rPr>
          <t xml:space="preserve">
some known values reported in Table 5 in Moore et al 2015. Unknown glass CO2 is assumed to be 170 ppm (median concentration measured in naturally quenched MI glass in 1959 Kilauea Iki and 1960 Kapoho samples of Tuohy et al 2016). Values have PEC dilution factor applied here</t>
        </r>
      </text>
    </comment>
    <comment ref="BN22" authorId="0" shapeId="0" xr:uid="{0477E391-A2D4-47CA-B57B-AD7F0A19110D}">
      <text>
        <r>
          <rPr>
            <b/>
            <sz val="9"/>
            <color indexed="81"/>
            <rFont val="Tahoma"/>
            <family val="2"/>
          </rPr>
          <t>Allan Lerner:</t>
        </r>
        <r>
          <rPr>
            <sz val="9"/>
            <color indexed="81"/>
            <rFont val="Tahoma"/>
            <family val="2"/>
          </rPr>
          <t xml:space="preserve">
some known values reported in Table 5 in Moore et al 2015. Unknown glass CO2 is assumed to be 170 ppm (median concentration measured in naturally quenched MI glass in 1959 Kilauea Iki and 1960 Kapoho samples of Tuohy et al 2016). Values have PEC dilution factor applied here</t>
        </r>
      </text>
    </comment>
    <comment ref="AC124" authorId="0" shapeId="0" xr:uid="{67C33558-C471-48DD-AE58-F167264E0022}">
      <text>
        <r>
          <rPr>
            <b/>
            <sz val="9"/>
            <color indexed="81"/>
            <rFont val="Tahoma"/>
            <family val="2"/>
          </rPr>
          <t>Allan Lerner:</t>
        </r>
        <r>
          <rPr>
            <sz val="9"/>
            <color indexed="81"/>
            <rFont val="Tahoma"/>
            <family val="2"/>
          </rPr>
          <t xml:space="preserve">
Calculations done with the VESIcal tool (Iacovino et al. 2021)</t>
        </r>
      </text>
    </comment>
    <comment ref="AU124" authorId="0" shapeId="0" xr:uid="{DD01ED74-5062-406E-AA92-1485D6CB4440}">
      <text>
        <r>
          <rPr>
            <b/>
            <sz val="9"/>
            <color indexed="81"/>
            <rFont val="Tahoma"/>
            <family val="2"/>
          </rPr>
          <t>Allan Lerner:</t>
        </r>
        <r>
          <rPr>
            <sz val="9"/>
            <color indexed="81"/>
            <rFont val="Tahoma"/>
            <family val="2"/>
          </rPr>
          <t xml:space="preserve">
H2O diffusion is assumed fast enough that PEC does not cause enrichment; H2O is thus not re-normalized (diluted) based on PEC extents</t>
        </r>
      </text>
    </comment>
    <comment ref="AV130" authorId="0" shapeId="0" xr:uid="{061FDD6E-F372-4187-991F-F9287C5EBAE6}">
      <text>
        <r>
          <rPr>
            <b/>
            <sz val="9"/>
            <color indexed="81"/>
            <rFont val="Tahoma"/>
            <family val="2"/>
          </rPr>
          <t>Allan Lerner:</t>
        </r>
        <r>
          <rPr>
            <sz val="9"/>
            <color indexed="81"/>
            <rFont val="Tahoma"/>
            <family val="2"/>
          </rPr>
          <t xml:space="preserve">
bdl</t>
        </r>
      </text>
    </comment>
    <comment ref="AX130" authorId="0" shapeId="0" xr:uid="{91220DB3-A58E-4972-9EDB-065DD2882B7D}">
      <text>
        <r>
          <rPr>
            <b/>
            <sz val="9"/>
            <color indexed="81"/>
            <rFont val="Tahoma"/>
            <family val="2"/>
          </rPr>
          <t>Allan Lerner:</t>
        </r>
        <r>
          <rPr>
            <sz val="9"/>
            <color indexed="81"/>
            <rFont val="Tahoma"/>
            <family val="2"/>
          </rPr>
          <t xml:space="preserve">
bdl</t>
        </r>
      </text>
    </comment>
    <comment ref="BN130" authorId="0" shapeId="0" xr:uid="{B822A4DA-CDF6-4A2A-B5D6-FD9F905859AF}">
      <text>
        <r>
          <rPr>
            <b/>
            <sz val="9"/>
            <color indexed="81"/>
            <rFont val="Tahoma"/>
            <family val="2"/>
          </rPr>
          <t>Allan Lerner:</t>
        </r>
        <r>
          <rPr>
            <sz val="9"/>
            <color indexed="81"/>
            <rFont val="Tahoma"/>
            <family val="2"/>
          </rPr>
          <t xml:space="preserve">
bdl</t>
        </r>
      </text>
    </comment>
    <comment ref="BP130" authorId="0" shapeId="0" xr:uid="{F64F1764-5304-48E7-8070-60C57D61CA8A}">
      <text>
        <r>
          <rPr>
            <b/>
            <sz val="9"/>
            <color indexed="81"/>
            <rFont val="Tahoma"/>
            <family val="2"/>
          </rPr>
          <t>Allan Lerner:</t>
        </r>
        <r>
          <rPr>
            <sz val="9"/>
            <color indexed="81"/>
            <rFont val="Tahoma"/>
            <family val="2"/>
          </rPr>
          <t xml:space="preserve">
bdl</t>
        </r>
      </text>
    </comment>
    <comment ref="P185" authorId="0" shapeId="0" xr:uid="{28ABF29B-15CC-48CD-B999-59D65C311A8C}">
      <text>
        <r>
          <rPr>
            <b/>
            <sz val="9"/>
            <color indexed="81"/>
            <rFont val="Tahoma"/>
            <family val="2"/>
          </rPr>
          <t>Allan Lerner:</t>
        </r>
        <r>
          <rPr>
            <sz val="9"/>
            <color indexed="81"/>
            <rFont val="Tahoma"/>
            <family val="2"/>
          </rPr>
          <t xml:space="preserve">
bubble-dominated melt inclusions (MI) are inclusions with bubbles &gt;10 vol%, and have entrapment pressures calculated via CO2 equation of state (see discussion in supplemental text)</t>
        </r>
      </text>
    </comment>
    <comment ref="T185" authorId="0" shapeId="0" xr:uid="{9F5B6E6B-9BF7-4370-B226-A3B54984C540}">
      <text>
        <r>
          <rPr>
            <b/>
            <sz val="9"/>
            <color indexed="81"/>
            <rFont val="Tahoma"/>
            <family val="2"/>
          </rPr>
          <t>Allan Lerner:</t>
        </r>
        <r>
          <rPr>
            <sz val="9"/>
            <color indexed="81"/>
            <rFont val="Tahoma"/>
            <family val="2"/>
          </rPr>
          <t xml:space="preserve">
temperatures &lt;1130°C highlighted and MagmaSat voalitle solubilities used for barometry</t>
        </r>
      </text>
    </comment>
    <comment ref="V185" authorId="0" shapeId="0" xr:uid="{C6A2A92A-B66F-4C18-A7A8-273921E95370}">
      <text>
        <r>
          <rPr>
            <b/>
            <sz val="9"/>
            <color indexed="81"/>
            <rFont val="Tahoma"/>
            <family val="2"/>
          </rPr>
          <t>Allan Lerner:</t>
        </r>
        <r>
          <rPr>
            <sz val="9"/>
            <color indexed="81"/>
            <rFont val="Tahoma"/>
            <family val="2"/>
          </rPr>
          <t xml:space="preserve">
Inclusions with bubbles volumes &gt;10% (green highlights) are considered bubble-dominated MI, and are treated as fluid inclusions. Inclusions with bubble volumes between 5-10 vol% (red highlights) are not included in the barometry compilation for reasons discussed in the supplementary text</t>
        </r>
      </text>
    </comment>
    <comment ref="W185" authorId="0" shapeId="0" xr:uid="{F8CBC9D1-CB1D-41BA-B745-133ABE17388F}">
      <text>
        <r>
          <rPr>
            <b/>
            <sz val="9"/>
            <color indexed="81"/>
            <rFont val="Tahoma"/>
            <family val="2"/>
          </rPr>
          <t>Allan Lerner:</t>
        </r>
        <r>
          <rPr>
            <sz val="9"/>
            <color indexed="81"/>
            <rFont val="Tahoma"/>
            <family val="2"/>
          </rPr>
          <t xml:space="preserve">
Note: the Wieser et al 2021; 2022 method of calculating CO2 density from the fermi diad is different from that of Moore et al. 2015, Lerner et al. 2021, and this study, where the approach of Lamadrid et al 2017 is used.</t>
        </r>
      </text>
    </comment>
    <comment ref="Y185" authorId="0" shapeId="0" xr:uid="{366BF3AC-1461-4726-90C6-E27C03DDD7C4}">
      <text>
        <r>
          <rPr>
            <b/>
            <sz val="9"/>
            <color indexed="81"/>
            <rFont val="Tahoma"/>
            <family val="2"/>
          </rPr>
          <t>Allan Lerner:</t>
        </r>
        <r>
          <rPr>
            <sz val="9"/>
            <color indexed="81"/>
            <rFont val="Tahoma"/>
            <family val="2"/>
          </rPr>
          <t xml:space="preserve">
Note: the Wieser et al 2021; 2022 method of calculating CO2 density from the fermi diad is different from that of Moore et al. 2015, Lerner et al. 2021, and this study, where the approach of Lamadrid et al 2017 is used.</t>
        </r>
      </text>
    </comment>
    <comment ref="AA185" authorId="0" shapeId="0" xr:uid="{70847935-AB35-4893-8E9F-778F5ECE3249}">
      <text>
        <r>
          <rPr>
            <b/>
            <sz val="9"/>
            <color indexed="81"/>
            <rFont val="Tahoma"/>
            <family val="2"/>
          </rPr>
          <t>Allan Lerner:</t>
        </r>
        <r>
          <rPr>
            <sz val="9"/>
            <color indexed="81"/>
            <rFont val="Tahoma"/>
            <family val="2"/>
          </rPr>
          <t xml:space="preserve">
for MI with vapor bubbles &gt;10 vol% in Moore et al 2015, can treat bubble CO2 as a CO2 fluid inclusion (Steele-MacInnis et al 2017); CO2 equation of state calculations (using Sterner and Pitzer 1994) assume magma temperatures of 1250C for 1959 Kilauea Iki and 1260C for 1960 Kapoho
</t>
        </r>
      </text>
    </comment>
    <comment ref="AC185" authorId="0" shapeId="0" xr:uid="{5E2FBC27-634F-4889-8339-5522EDA6E760}">
      <text>
        <r>
          <rPr>
            <b/>
            <sz val="9"/>
            <color indexed="81"/>
            <rFont val="Tahoma"/>
            <family val="2"/>
          </rPr>
          <t>Allan Lerner:</t>
        </r>
        <r>
          <rPr>
            <sz val="9"/>
            <color indexed="81"/>
            <rFont val="Tahoma"/>
            <family val="2"/>
          </rPr>
          <t xml:space="preserve">
Saturation pressures calculated using the solubility model of Iacono-Marziano (2012) if entrapment temp &gt;1130°C, and MagmaSat (Ghiorso and Gualda 2015) if entrapment temp &lt;1130°C. Calculations done with the VESIcal tool (Iacovino et al. 2021)</t>
        </r>
      </text>
    </comment>
    <comment ref="AI185" authorId="0" shapeId="0" xr:uid="{932EEFB0-AA08-420B-9AAD-2D5131559535}">
      <text>
        <r>
          <rPr>
            <b/>
            <sz val="9"/>
            <color indexed="81"/>
            <rFont val="Tahoma"/>
            <family val="2"/>
          </rPr>
          <t>Allan Lerner:</t>
        </r>
        <r>
          <rPr>
            <sz val="9"/>
            <color indexed="81"/>
            <rFont val="Tahoma"/>
            <family val="2"/>
          </rPr>
          <t xml:space="preserve">
value of 1.00 indicates no PEC correction was applied</t>
        </r>
      </text>
    </comment>
    <comment ref="AU185" authorId="0" shapeId="0" xr:uid="{0255E4C6-5F45-409E-BE88-7554D16926D7}">
      <text>
        <r>
          <rPr>
            <b/>
            <sz val="9"/>
            <color indexed="81"/>
            <rFont val="Tahoma"/>
            <family val="2"/>
          </rPr>
          <t>Allan Lerner:</t>
        </r>
        <r>
          <rPr>
            <sz val="9"/>
            <color indexed="81"/>
            <rFont val="Tahoma"/>
            <family val="2"/>
          </rPr>
          <t xml:space="preserve">
H2O diffusion is assumed fast enough that PEC does not cause enrichment; H2O is thus not re-normalized (diluted) based on PEC extents</t>
        </r>
      </text>
    </comment>
    <comment ref="AV185" authorId="0" shapeId="0" xr:uid="{5D63BD82-9BD2-4AD2-B53C-214A182F9A29}">
      <text>
        <r>
          <rPr>
            <b/>
            <sz val="9"/>
            <color indexed="81"/>
            <rFont val="Tahoma"/>
            <family val="2"/>
          </rPr>
          <t>Allan Lerner:</t>
        </r>
        <r>
          <rPr>
            <sz val="9"/>
            <color indexed="81"/>
            <rFont val="Tahoma"/>
            <family val="2"/>
          </rPr>
          <t xml:space="preserve">
some known values reported in Table 5 in Moore et al 2015. Unknown glass CO2 is assumed to be 170 ppm (median concentration measured in naturally quenched MI glass in 1959 Kilauea Iki and 1960 Kapoho samples of Tuohy et al 2016). Values have PEC dilution factor applied here</t>
        </r>
      </text>
    </comment>
    <comment ref="AY185" authorId="0" shapeId="0" xr:uid="{B847A345-A3A5-480F-BF91-4132460A340E}">
      <text>
        <r>
          <rPr>
            <b/>
            <sz val="9"/>
            <color indexed="81"/>
            <rFont val="Tahoma"/>
            <family val="2"/>
          </rPr>
          <t>Allan Lerner:</t>
        </r>
        <r>
          <rPr>
            <sz val="9"/>
            <color indexed="81"/>
            <rFont val="Tahoma"/>
            <family val="2"/>
          </rPr>
          <t xml:space="preserve">
note: xFe3+/ΣxFe = 0.15 was assumed in the  Wieser et al 2021 and 2022 original publications</t>
        </r>
      </text>
    </comment>
    <comment ref="AZ185" authorId="0" shapeId="0" xr:uid="{06071F3E-7FB6-45CE-919B-456226F4665D}">
      <text>
        <r>
          <rPr>
            <b/>
            <sz val="9"/>
            <color indexed="81"/>
            <rFont val="Tahoma"/>
            <family val="2"/>
          </rPr>
          <t>Allan Lerner:</t>
        </r>
        <r>
          <rPr>
            <sz val="9"/>
            <color indexed="81"/>
            <rFont val="Tahoma"/>
            <family val="2"/>
          </rPr>
          <t xml:space="preserve">
note: xFe3+/ΣxFe = 0.15 was assumed in the  Wieser et al 2021 and 2022 original publications</t>
        </r>
      </text>
    </comment>
    <comment ref="BN185" authorId="0" shapeId="0" xr:uid="{FCC0D455-D23C-4C26-AB87-026B16F8DF27}">
      <text>
        <r>
          <rPr>
            <b/>
            <sz val="9"/>
            <color indexed="81"/>
            <rFont val="Tahoma"/>
            <family val="2"/>
          </rPr>
          <t>Allan Lerner:</t>
        </r>
        <r>
          <rPr>
            <sz val="9"/>
            <color indexed="81"/>
            <rFont val="Tahoma"/>
            <family val="2"/>
          </rPr>
          <t xml:space="preserve">
some known values reported in Table 5 in Moore et al 2015. Unknown glass CO2 is assumed to be 170 ppm (median concentration measured in naturally quenched MI glass in 1959 Kilauea Iki and 1960 Kapoho samples of Tuohy et al 2016). Values have PEC dilution factor applied here</t>
        </r>
      </text>
    </comment>
  </commentList>
</comments>
</file>

<file path=xl/sharedStrings.xml><?xml version="1.0" encoding="utf-8"?>
<sst xmlns="http://schemas.openxmlformats.org/spreadsheetml/2006/main" count="29895" uniqueCount="1509">
  <si>
    <t>SW3_3_1</t>
  </si>
  <si>
    <t>SW3_3_2</t>
  </si>
  <si>
    <t>SW3_5_1</t>
  </si>
  <si>
    <t>SW3_7_1</t>
  </si>
  <si>
    <t>SW3_9_1</t>
  </si>
  <si>
    <t>SW3_14_1</t>
  </si>
  <si>
    <t>SW3_11-1</t>
  </si>
  <si>
    <t>SW3_4_1</t>
  </si>
  <si>
    <t>SW3_4_2</t>
  </si>
  <si>
    <t>SW3_6_1</t>
  </si>
  <si>
    <t>SW3_8_1</t>
  </si>
  <si>
    <t>SW3_10_1</t>
  </si>
  <si>
    <t>SW3_10_2</t>
  </si>
  <si>
    <t>SW3_17_1</t>
  </si>
  <si>
    <t>SW3_17_2</t>
  </si>
  <si>
    <t>K99_3_17_1</t>
  </si>
  <si>
    <t>K97_22_5_1</t>
  </si>
  <si>
    <t>K99_3_12_2</t>
  </si>
  <si>
    <t>K97_22_1_1</t>
  </si>
  <si>
    <t>K97_22m_3_1</t>
  </si>
  <si>
    <t>K97_22m_3_2</t>
  </si>
  <si>
    <t>K99_3_10_1</t>
  </si>
  <si>
    <t>K97_22m_2_1</t>
  </si>
  <si>
    <t>K97_22_2_1</t>
  </si>
  <si>
    <t>K99_3_14_1</t>
  </si>
  <si>
    <t>K99_6_5_1</t>
  </si>
  <si>
    <t>K99_6_1_1</t>
  </si>
  <si>
    <t>K99_6_1_2</t>
  </si>
  <si>
    <t>K99_6_2_1</t>
  </si>
  <si>
    <t>K99_6_2_2</t>
  </si>
  <si>
    <t>Lower Reticulite</t>
  </si>
  <si>
    <t>SW_7_7_1</t>
  </si>
  <si>
    <t>SW_7_2_1</t>
  </si>
  <si>
    <t>SW_7_6_1</t>
  </si>
  <si>
    <t>SW_7_3_1</t>
  </si>
  <si>
    <t>SW_7_3_2</t>
  </si>
  <si>
    <t>SW_7_4_1</t>
  </si>
  <si>
    <t>SW_7_8_1</t>
  </si>
  <si>
    <t>SW_7_10_1</t>
  </si>
  <si>
    <t>K97_23_16_3</t>
  </si>
  <si>
    <t>K97_23_4_1</t>
  </si>
  <si>
    <t>K97_23_16_1</t>
  </si>
  <si>
    <t>K97_23_16_2</t>
  </si>
  <si>
    <t>K97_23_10_1</t>
  </si>
  <si>
    <t>K97_23_8_1</t>
  </si>
  <si>
    <t>K97_23_15_1</t>
  </si>
  <si>
    <t>K97_23_17_1</t>
  </si>
  <si>
    <t>K97_23_5_1</t>
  </si>
  <si>
    <t>K99_5_3_1</t>
  </si>
  <si>
    <t>K99_5_3_2</t>
  </si>
  <si>
    <t>K99_5_6_2</t>
  </si>
  <si>
    <t>K99_5_6_1</t>
  </si>
  <si>
    <t>K99_5_1_1</t>
  </si>
  <si>
    <t>K99_5_1_2</t>
  </si>
  <si>
    <t>K99_5_4_1</t>
  </si>
  <si>
    <t>K99_5_9_3</t>
  </si>
  <si>
    <t>K99_5_5_1</t>
  </si>
  <si>
    <t>K99_5_10_1</t>
  </si>
  <si>
    <t>K99_5_2_1</t>
  </si>
  <si>
    <t>K99_5_9_2</t>
  </si>
  <si>
    <t>S</t>
  </si>
  <si>
    <t>Cl</t>
  </si>
  <si>
    <t>Bubble vol%</t>
  </si>
  <si>
    <t>Notes</t>
  </si>
  <si>
    <t>-</t>
  </si>
  <si>
    <t>single analysis</t>
  </si>
  <si>
    <t>SW3_3_ol1_avg</t>
  </si>
  <si>
    <t>SW3_5_ol1_avg</t>
  </si>
  <si>
    <t>SW3_7_ol1_avg</t>
  </si>
  <si>
    <t>SW3_9_ol1_avg</t>
  </si>
  <si>
    <t>SW3_14_ol1_avg</t>
  </si>
  <si>
    <t>SW3_11_ol1_avg</t>
  </si>
  <si>
    <t>SW3_4_ol1_avg</t>
  </si>
  <si>
    <t>SW3_6_ol1_avg</t>
  </si>
  <si>
    <t>SW3_8_ol1_avg</t>
  </si>
  <si>
    <t>SW3_10_ol1_avg</t>
  </si>
  <si>
    <t>SW3_17_ol1_avg</t>
  </si>
  <si>
    <t>K99_3_17_1_a_avg</t>
  </si>
  <si>
    <t>K99_3_12_2_a_avg</t>
  </si>
  <si>
    <t>K97_22_1_1_a_avg</t>
  </si>
  <si>
    <t>K97_22m_3_1_b_avg</t>
  </si>
  <si>
    <t>K97_22_5_1_a_avg</t>
  </si>
  <si>
    <t>K99_3_10_1_a_avg</t>
  </si>
  <si>
    <t>K97_22m_2_1_a_avg</t>
  </si>
  <si>
    <t>K97_22_2_1_a_avg</t>
  </si>
  <si>
    <t>K99_3_14_1_a_avg</t>
  </si>
  <si>
    <t>K99_6_4_ol1_avg</t>
  </si>
  <si>
    <t>K99_6_5_ol1_avg</t>
  </si>
  <si>
    <t>K99_6_1_ol1_avg</t>
  </si>
  <si>
    <t>K99_6_2_ol1_avg</t>
  </si>
  <si>
    <t>SW7_2_ol1_avg</t>
  </si>
  <si>
    <t>SW7_6_ol1_avg</t>
  </si>
  <si>
    <t>SW7_3_ol1_avg</t>
  </si>
  <si>
    <t>SW7_4_ol1_avg</t>
  </si>
  <si>
    <t>SW7_8_ol1_avg</t>
  </si>
  <si>
    <t>SW7_10_ol1_avg</t>
  </si>
  <si>
    <t>K97_23_17_ol1_avg</t>
  </si>
  <si>
    <t>K97_23_15?_1_ol1_avg</t>
  </si>
  <si>
    <t>K97_23_5_ol1_avg</t>
  </si>
  <si>
    <t>K97_23_4_ol1_avg</t>
  </si>
  <si>
    <t>K97_23_16_ol1_avg</t>
  </si>
  <si>
    <t>K97_23_10_ol1_avg</t>
  </si>
  <si>
    <t>K97_23_8_ol1_avg</t>
  </si>
  <si>
    <t>K99_5_3_ol1_avg</t>
  </si>
  <si>
    <t>K99_5_6_ol1_avg</t>
  </si>
  <si>
    <t>K99_5_1_ol1_avg</t>
  </si>
  <si>
    <t>K99_5_4_ol1_avg</t>
  </si>
  <si>
    <t>K99_5_9_ol1_avg</t>
  </si>
  <si>
    <t>K99_5_5_ol1_avg</t>
  </si>
  <si>
    <t>K99_5_10_ol1_avg</t>
  </si>
  <si>
    <t>K99_5_2_ol1_avg</t>
  </si>
  <si>
    <t>Associated mineral host anaylsis</t>
  </si>
  <si>
    <t>SW3_4_1; SW3_4_2</t>
  </si>
  <si>
    <t>SW3_3_1; SW3_3_2</t>
  </si>
  <si>
    <t>SW3_10_1; SW3_10_2</t>
  </si>
  <si>
    <t>SW3_17_1; SW3_17_2</t>
  </si>
  <si>
    <t>K97_22m_3_1; K97_22m_3_2</t>
  </si>
  <si>
    <t>K99_6_1_1; K99_6_1_2</t>
  </si>
  <si>
    <t>K99_6_2_1; K99_6_2_2</t>
  </si>
  <si>
    <t>SW_7_3_1; SW_7_3_2</t>
  </si>
  <si>
    <t>K97_23_16_1; K97_23_16_2; K97_23_16_3</t>
  </si>
  <si>
    <t>K99_5_3_1; K99_5_3_2</t>
  </si>
  <si>
    <t>K99_5_6_1; K99_5_6_2</t>
  </si>
  <si>
    <t>K99_5_1_1; K99_5_1_2</t>
  </si>
  <si>
    <t>K99_5_9_2; K99_5_9_3</t>
  </si>
  <si>
    <t>K99_5_9_ol2_avg</t>
  </si>
  <si>
    <t>liq Mg#</t>
  </si>
  <si>
    <t>MgO wt%</t>
  </si>
  <si>
    <t>FeO wt%</t>
  </si>
  <si>
    <t>SiO2 wt%</t>
  </si>
  <si>
    <t>FeOT wt%</t>
  </si>
  <si>
    <t>Fe2O3 wt%</t>
  </si>
  <si>
    <t>Olivine</t>
  </si>
  <si>
    <t>K97_22m_4_1</t>
  </si>
  <si>
    <t>K97_22m_5_1</t>
  </si>
  <si>
    <t>K97_22m_5_2</t>
  </si>
  <si>
    <t>K99_3_1_1</t>
  </si>
  <si>
    <t>K99_3_4_1</t>
  </si>
  <si>
    <t>K99_3_9_2</t>
  </si>
  <si>
    <t>K99_3_6_1</t>
  </si>
  <si>
    <t>K99_3_6_2</t>
  </si>
  <si>
    <t>K99_3_6_3</t>
  </si>
  <si>
    <t>K99_3_6_4</t>
  </si>
  <si>
    <t>K99_3_8_1</t>
  </si>
  <si>
    <t>K97_23_5_2</t>
  </si>
  <si>
    <t>K99_6_3_1</t>
  </si>
  <si>
    <t>K99_6_3_3</t>
  </si>
  <si>
    <t>K99_6_3_4</t>
  </si>
  <si>
    <t>K99_6_4_1</t>
  </si>
  <si>
    <t>K99_6_4_2</t>
  </si>
  <si>
    <t>SW_7_5_1</t>
  </si>
  <si>
    <t>no bubble</t>
  </si>
  <si>
    <t>K99_3_13_1</t>
  </si>
  <si>
    <t>K99_3_13_1_a_avg</t>
  </si>
  <si>
    <t>NiO</t>
  </si>
  <si>
    <t>H2O wt%</t>
  </si>
  <si>
    <t>B</t>
  </si>
  <si>
    <t>K1</t>
  </si>
  <si>
    <t>E</t>
  </si>
  <si>
    <t>1790 - 1820</t>
  </si>
  <si>
    <t>1500 - 1650</t>
  </si>
  <si>
    <t>SW7_7_ol1_avg</t>
  </si>
  <si>
    <t>uncertainty from Raman CO2 analytical+bubble volume uncertainty + saturation P calc uncertainty</t>
  </si>
  <si>
    <t>K97_23_1_1_1</t>
  </si>
  <si>
    <t>Mineral phase</t>
  </si>
  <si>
    <t>Si</t>
  </si>
  <si>
    <t>Ti</t>
  </si>
  <si>
    <t>Al</t>
  </si>
  <si>
    <t>Fe</t>
  </si>
  <si>
    <t>Mn</t>
  </si>
  <si>
    <t>Mg</t>
  </si>
  <si>
    <t>Ca</t>
  </si>
  <si>
    <t>Na</t>
  </si>
  <si>
    <t>K</t>
  </si>
  <si>
    <t>P</t>
  </si>
  <si>
    <t>Ni</t>
  </si>
  <si>
    <t>cations total</t>
  </si>
  <si>
    <t>oxygens total</t>
  </si>
  <si>
    <t>SiO2 WT%</t>
  </si>
  <si>
    <t>TiO2 WT%</t>
  </si>
  <si>
    <t>Al2O3 WT%</t>
  </si>
  <si>
    <t>MnO WT%</t>
  </si>
  <si>
    <t>MgO WT%</t>
  </si>
  <si>
    <t>CaO WT%</t>
  </si>
  <si>
    <t>Na2O WT%</t>
  </si>
  <si>
    <t>K2O WT%</t>
  </si>
  <si>
    <t>P2O5 WT%</t>
  </si>
  <si>
    <t>NiO WT%</t>
  </si>
  <si>
    <t>TOTAL</t>
  </si>
  <si>
    <t>SW3_6_ol</t>
  </si>
  <si>
    <t>K99-5_13ab_ol_rep</t>
  </si>
  <si>
    <t>K99-6_15_MI_rep</t>
  </si>
  <si>
    <t>K99-6_13a_MI_rep_glass</t>
  </si>
  <si>
    <t>K99-6_15_ol</t>
  </si>
  <si>
    <t>K99-6_13_ol_core</t>
  </si>
  <si>
    <t>K99-6_1_ol</t>
  </si>
  <si>
    <t>K99-6_2_ol</t>
  </si>
  <si>
    <t>K99-6_3_ol</t>
  </si>
  <si>
    <t>K99-6_4_ol</t>
  </si>
  <si>
    <t>K99-6_5_ol</t>
  </si>
  <si>
    <t>K99-6_6_ol</t>
  </si>
  <si>
    <t>K99-6_7_ol</t>
  </si>
  <si>
    <t>K99-6_8a_ol</t>
  </si>
  <si>
    <t>K99-6_8bc_ol</t>
  </si>
  <si>
    <t>K99-6_8d_ol</t>
  </si>
  <si>
    <t>K99-6_9_ol</t>
  </si>
  <si>
    <t>K99-6_10_ol</t>
  </si>
  <si>
    <t>K99-6_12abd_ol</t>
  </si>
  <si>
    <t>K99-6_12c_ol</t>
  </si>
  <si>
    <t>K99-6_13_ol_edge</t>
  </si>
  <si>
    <t>K99-6_14ab_ol</t>
  </si>
  <si>
    <t>K99-6_16m_ol</t>
  </si>
  <si>
    <t>K99-6_16_ol</t>
  </si>
  <si>
    <t>K99-6_18_ol</t>
  </si>
  <si>
    <t>K99-6_20abc_ol</t>
  </si>
  <si>
    <t>SW3_1_ol</t>
  </si>
  <si>
    <t>SW3_2a_ol</t>
  </si>
  <si>
    <t>SW3_2bcd_ol_rep</t>
  </si>
  <si>
    <t>SW3_3_ol_rep</t>
  </si>
  <si>
    <t>SW3_4_ol</t>
  </si>
  <si>
    <t>SW3_7_ol</t>
  </si>
  <si>
    <t>SW3_10_ol</t>
  </si>
  <si>
    <t>SW3_10_ol_rim</t>
  </si>
  <si>
    <t>SW3_13_ol</t>
  </si>
  <si>
    <t>SW3_15abc_ol</t>
  </si>
  <si>
    <t>SW3_16_ol</t>
  </si>
  <si>
    <t>K99-5_1_ol_rep</t>
  </si>
  <si>
    <t>K99-5_2_ol</t>
  </si>
  <si>
    <t>K99-5_4_ol</t>
  </si>
  <si>
    <t>K99-5_4e_ol</t>
  </si>
  <si>
    <t>K99-5_5_ol</t>
  </si>
  <si>
    <t>K99-5_6ab_ol</t>
  </si>
  <si>
    <t>K99-5_6cd_ol</t>
  </si>
  <si>
    <t>K99-5_7_ol</t>
  </si>
  <si>
    <t>K99-5_9_ol</t>
  </si>
  <si>
    <t>K99-5_11_ol</t>
  </si>
  <si>
    <t>K99-5_12_ol</t>
  </si>
  <si>
    <t>K99-5_13cd_ol</t>
  </si>
  <si>
    <t>K99-5_14_ol</t>
  </si>
  <si>
    <t>K99-5_14e_ol</t>
  </si>
  <si>
    <t>K99-5_15_ol</t>
  </si>
  <si>
    <t>K99-5_1a_MI</t>
  </si>
  <si>
    <t>K99-5_4e_MI</t>
  </si>
  <si>
    <t>K99-5_6a_MI</t>
  </si>
  <si>
    <t>K99-5_6b_MI</t>
  </si>
  <si>
    <t>K99-5_6c_MI</t>
  </si>
  <si>
    <t>K99-5_7_MI</t>
  </si>
  <si>
    <t>K99-5_9_MI</t>
  </si>
  <si>
    <t>K99-5_11a_MI</t>
  </si>
  <si>
    <t>K99-5_12a_MI</t>
  </si>
  <si>
    <t>K99-5_12c_MI</t>
  </si>
  <si>
    <t>K99-5_13c_MI</t>
  </si>
  <si>
    <t>K99-5_13d_MI</t>
  </si>
  <si>
    <t>K99-5_14a_MI</t>
  </si>
  <si>
    <t>K99-5_14e_MI</t>
  </si>
  <si>
    <t>K99-5_15a_MI</t>
  </si>
  <si>
    <t>K99-5_15b_MI</t>
  </si>
  <si>
    <t>K99-5_15d_MI</t>
  </si>
  <si>
    <t>SW3_1_MI</t>
  </si>
  <si>
    <t>SW3_2a_MI</t>
  </si>
  <si>
    <t>SW3_2c_MI</t>
  </si>
  <si>
    <t>SW3_2d_MI</t>
  </si>
  <si>
    <t>SW3_3_MI</t>
  </si>
  <si>
    <t>SW3_4_MI</t>
  </si>
  <si>
    <t>SW3_6a_MI</t>
  </si>
  <si>
    <t>SW3_6b_MI_rep</t>
  </si>
  <si>
    <t>SW3_7a_MI</t>
  </si>
  <si>
    <t>SW3_13_MI</t>
  </si>
  <si>
    <t>SW3_15a_MI</t>
  </si>
  <si>
    <t>SW3_15b_MI</t>
  </si>
  <si>
    <t>SW3_15c_MI</t>
  </si>
  <si>
    <t>K99-6_1a_MI</t>
  </si>
  <si>
    <t>K99-6_1b_MI</t>
  </si>
  <si>
    <t>K99-6_1other_MI</t>
  </si>
  <si>
    <t>K99-6_1d_MI</t>
  </si>
  <si>
    <t>K99-6_2_MI</t>
  </si>
  <si>
    <t>K99-6_6c_MI</t>
  </si>
  <si>
    <t>K99-6_8a_MI</t>
  </si>
  <si>
    <t>K99-6_9c_MI</t>
  </si>
  <si>
    <t>K99-6_9d_MI</t>
  </si>
  <si>
    <t>K99-6_10_MI</t>
  </si>
  <si>
    <t>K99-6_12a_MI</t>
  </si>
  <si>
    <t>K99-6_12b_MI</t>
  </si>
  <si>
    <t>K99-6_14a_MI</t>
  </si>
  <si>
    <t>K99-6_14b_MI</t>
  </si>
  <si>
    <t>K99-6_16m_MI</t>
  </si>
  <si>
    <t>K99-6_16other_MI</t>
  </si>
  <si>
    <t>K99-6_18_MI</t>
  </si>
  <si>
    <t>K99-6_20a_MI</t>
  </si>
  <si>
    <t>K99-6_20b_MI</t>
  </si>
  <si>
    <t>K99-6_20c_MI</t>
  </si>
  <si>
    <t>bubble dimensions not measured</t>
  </si>
  <si>
    <t>bdl</t>
  </si>
  <si>
    <t>K99_6_4_1; K99_6_4_2</t>
  </si>
  <si>
    <t>K99_3_4_ol1_avg</t>
  </si>
  <si>
    <t>K99_3_6_ol1_avg</t>
  </si>
  <si>
    <t>K99_3_6_1; K99_3_6_2; K99_3_6_3</t>
  </si>
  <si>
    <t>K99_3_8_ol1_avg</t>
  </si>
  <si>
    <t>Cr</t>
  </si>
  <si>
    <t>unknown</t>
  </si>
  <si>
    <t>no</t>
  </si>
  <si>
    <t>OLIVINE</t>
  </si>
  <si>
    <t>K97_23_1_1_1_a_avg</t>
  </si>
  <si>
    <t>SW3_10a_MI</t>
  </si>
  <si>
    <t>CO2 ppm 1SE (FTIR-only) +/- 10% uncertainty</t>
  </si>
  <si>
    <t>H2O wt% 1SE (FTIR) +/- 5% uncertainty</t>
  </si>
  <si>
    <t>MnO wt% ± 1SE</t>
  </si>
  <si>
    <t>MgO wt% ± 1SE</t>
  </si>
  <si>
    <t>CaO wt% ± 1SE</t>
  </si>
  <si>
    <t>not available</t>
  </si>
  <si>
    <t>Cl ppm ± 1SE</t>
  </si>
  <si>
    <t>S ppm ± 1SE</t>
  </si>
  <si>
    <r>
      <t>Al</t>
    </r>
    <r>
      <rPr>
        <i/>
        <vertAlign val="subscript"/>
        <sz val="9"/>
        <rFont val="Calibri"/>
        <family val="2"/>
        <scheme val="minor"/>
      </rPr>
      <t>2</t>
    </r>
    <r>
      <rPr>
        <i/>
        <sz val="9"/>
        <rFont val="Calibri"/>
        <family val="2"/>
        <scheme val="minor"/>
      </rPr>
      <t>O</t>
    </r>
    <r>
      <rPr>
        <i/>
        <vertAlign val="subscript"/>
        <sz val="9"/>
        <rFont val="Calibri"/>
        <family val="2"/>
        <scheme val="minor"/>
      </rPr>
      <t>3</t>
    </r>
    <r>
      <rPr>
        <i/>
        <sz val="9"/>
        <rFont val="Calibri"/>
        <family val="2"/>
        <scheme val="minor"/>
      </rPr>
      <t xml:space="preserve"> wt% ± 1SE</t>
    </r>
  </si>
  <si>
    <t>uncertainty from Raman CO2 analytical+bubble volume uncertainty - saturation P calc uncertainty</t>
  </si>
  <si>
    <t>Temperature from olivine Fo and vice versa</t>
  </si>
  <si>
    <r>
      <rPr>
        <sz val="9"/>
        <rFont val="Geneva"/>
      </rPr>
      <t>Supplementary Data Tables for:</t>
    </r>
    <r>
      <rPr>
        <b/>
        <sz val="11"/>
        <color theme="1"/>
        <rFont val="Calibri"/>
        <family val="2"/>
        <scheme val="minor"/>
      </rPr>
      <t xml:space="preserve"> </t>
    </r>
  </si>
  <si>
    <t>GLASS ANALYSES</t>
  </si>
  <si>
    <t>Element</t>
  </si>
  <si>
    <t>Standard</t>
  </si>
  <si>
    <t>Crystal</t>
  </si>
  <si>
    <t>Beam current (keV)</t>
  </si>
  <si>
    <t>Analysis on-peak time (s)</t>
  </si>
  <si>
    <t>Analysis off-peak time (s)</t>
  </si>
  <si>
    <t>Background correction type</t>
  </si>
  <si>
    <t>Nepheline</t>
  </si>
  <si>
    <t>mean atomic number</t>
  </si>
  <si>
    <t>NBS K-411 mineral glass</t>
  </si>
  <si>
    <t>Orthoclase</t>
  </si>
  <si>
    <t>off-peak analysis</t>
  </si>
  <si>
    <t>Magnetite</t>
  </si>
  <si>
    <t>Chlorapatite</t>
  </si>
  <si>
    <t>TiO2 synthetic</t>
  </si>
  <si>
    <t>Pyrite</t>
  </si>
  <si>
    <t>MnO synthetic</t>
  </si>
  <si>
    <t>Analyses of standards</t>
  </si>
  <si>
    <t xml:space="preserve"> CaO WT%</t>
  </si>
  <si>
    <t xml:space="preserve"> K2O WT%</t>
  </si>
  <si>
    <t xml:space="preserve"> MgO WT%</t>
  </si>
  <si>
    <t xml:space="preserve">  Cl WT%</t>
  </si>
  <si>
    <t xml:space="preserve"> S WT%</t>
  </si>
  <si>
    <t xml:space="preserve"> MnO WT%</t>
  </si>
  <si>
    <t xml:space="preserve">   O WT%</t>
  </si>
  <si>
    <t xml:space="preserve">   TOTAL</t>
  </si>
  <si>
    <t>n.a.</t>
  </si>
  <si>
    <t>standard deviation:</t>
  </si>
  <si>
    <t>standard error:</t>
  </si>
  <si>
    <t>relative standard error (%):</t>
  </si>
  <si>
    <t>Orthoclase MAD-10</t>
  </si>
  <si>
    <t>Pyrite UC # 21334</t>
  </si>
  <si>
    <t>Magnetite U.C. #3380</t>
  </si>
  <si>
    <t>MINERAL ANALYSES</t>
  </si>
  <si>
    <t>MgO synthetic</t>
  </si>
  <si>
    <t>NBS K-412 mineral glass</t>
  </si>
  <si>
    <t>NiO synthetic</t>
  </si>
  <si>
    <t>Analysis #</t>
  </si>
  <si>
    <t>O WT%</t>
  </si>
  <si>
    <t>Lerner, A.H. et al., 2021a, The petrologic and degassing behavior of sulfur and other magmatic volatiles from the 2018 eruption of Kīlauea, Hawaiʻi: melt concentrations, magma storage depths, and magma recycling: Bulletin of Volcanology, v. 83, p. 43, doi:10.1007/s00445-021-01459-y</t>
  </si>
  <si>
    <t>Original solubility models used in publications:</t>
  </si>
  <si>
    <r>
      <rPr>
        <b/>
        <sz val="9"/>
        <rFont val="Geneva"/>
      </rPr>
      <t>Moore et al 2015</t>
    </r>
    <r>
      <rPr>
        <sz val="9"/>
        <rFont val="Geneva"/>
      </rPr>
      <t>: VolatileCalc (Newman and Lowenstern 2002)</t>
    </r>
  </si>
  <si>
    <r>
      <rPr>
        <b/>
        <sz val="9"/>
        <rFont val="Geneva"/>
      </rPr>
      <t>Tuohy et al 2016</t>
    </r>
    <r>
      <rPr>
        <sz val="9"/>
        <rFont val="Geneva"/>
      </rPr>
      <t>: VolatileCalc (Newman and Lowenstern 2002)</t>
    </r>
  </si>
  <si>
    <r>
      <rPr>
        <b/>
        <sz val="9"/>
        <rFont val="Geneva"/>
      </rPr>
      <t>Wieser et al 2021</t>
    </r>
    <r>
      <rPr>
        <sz val="9"/>
        <rFont val="Geneva"/>
      </rPr>
      <t>: Pressures calculated via VolatileCalc (Newman and Lowenstern 2002), Iacono-Marziano 2012, Shishkina et al 2015, and MagmaSat (Ghiorso and Gualda 2015). MagmaSat noted as the favored model.</t>
    </r>
  </si>
  <si>
    <r>
      <rPr>
        <b/>
        <sz val="9"/>
        <rFont val="Geneva"/>
      </rPr>
      <t>Wieser et al 2022</t>
    </r>
    <r>
      <rPr>
        <sz val="9"/>
        <rFont val="Geneva"/>
      </rPr>
      <t>: MagmaSat (Ghiorso and Gualda 2015)</t>
    </r>
  </si>
  <si>
    <t>Saturation pressures calculated using Iacono-Marziano et al (2012)</t>
  </si>
  <si>
    <t>originally published pressure calculations</t>
  </si>
  <si>
    <t>Bubble in MI?</t>
  </si>
  <si>
    <r>
      <rPr>
        <b/>
        <sz val="9"/>
        <rFont val="Geneva"/>
      </rPr>
      <t>Anderson and Brown 1993</t>
    </r>
    <r>
      <rPr>
        <sz val="9"/>
        <rFont val="Geneva"/>
      </rPr>
      <t>: calculated using the models of Hamilton et al. (1964) and Stolper and Holloway (1988)</t>
    </r>
  </si>
  <si>
    <t>Saturation pressure (bar) (Iacono-Marziano 2012)</t>
  </si>
  <si>
    <t>Originally published data (non-PEC corrected)</t>
  </si>
  <si>
    <t>incomplete major element data; compositions in red assumed to be equal to average MI composition of combined bubble-bearing and bubble-free Anderson and Brown 1993 dataset</t>
  </si>
  <si>
    <t>no major element data; compositions in red assumed to be equal to average MI composition of combined bubble-bearing and bubble-free Anderson and Brown 1993 dataset</t>
  </si>
  <si>
    <t>PEC-corrected (Petrolog3; Danyushevsky &amp; Plechov, 2011) + anhydrous normalized</t>
  </si>
  <si>
    <t>22-2 (1)</t>
  </si>
  <si>
    <t>22-4B1</t>
  </si>
  <si>
    <t>22-4B2</t>
  </si>
  <si>
    <t>22-12E</t>
  </si>
  <si>
    <t>22-1-9</t>
  </si>
  <si>
    <t>22-1-10</t>
  </si>
  <si>
    <t>58-1-1</t>
  </si>
  <si>
    <t>45-A2</t>
  </si>
  <si>
    <t>21-1B-A</t>
  </si>
  <si>
    <t>21-1B-B</t>
  </si>
  <si>
    <t>21-1E-A</t>
  </si>
  <si>
    <t>no data</t>
  </si>
  <si>
    <t>21-2A-A</t>
  </si>
  <si>
    <t>21-2D-A</t>
  </si>
  <si>
    <t>(8.3)</t>
  </si>
  <si>
    <t>Al2O3 wt%</t>
  </si>
  <si>
    <t>CaO wt%</t>
  </si>
  <si>
    <t>Na2O wt%</t>
  </si>
  <si>
    <t>K2O wt%</t>
  </si>
  <si>
    <t>TiO2 wt%</t>
  </si>
  <si>
    <t>P2O5 wt%</t>
  </si>
  <si>
    <t>S ppm</t>
  </si>
  <si>
    <t>CO2 ppm (glass)</t>
  </si>
  <si>
    <t>SiO2 wt% (raw)</t>
  </si>
  <si>
    <t>Al2O3 wt% (raw)</t>
  </si>
  <si>
    <t>MgO wt% (raw)</t>
  </si>
  <si>
    <t>CaO wt% (raw)</t>
  </si>
  <si>
    <t>Na2O wt% (raw)</t>
  </si>
  <si>
    <t>K2O wt% (raw)</t>
  </si>
  <si>
    <t>TiO2 wt% (raw)</t>
  </si>
  <si>
    <t>P2O5 wt% (raw)</t>
  </si>
  <si>
    <t>Total wt% (raw)</t>
  </si>
  <si>
    <t>H2O wt% (raw)</t>
  </si>
  <si>
    <t>Inclusion type</t>
  </si>
  <si>
    <t>melt inclusion</t>
  </si>
  <si>
    <t>Study</t>
  </si>
  <si>
    <t>Eruption</t>
  </si>
  <si>
    <t>Anderson &amp; Brown 1993</t>
  </si>
  <si>
    <t>notes</t>
  </si>
  <si>
    <t>Tuohy et al 2016</t>
  </si>
  <si>
    <t>Sample #</t>
  </si>
  <si>
    <t>PEC dilution factor</t>
  </si>
  <si>
    <t>Moore, L.R., Gazel, E., Tuohy, R., Lloyd, A.S., Esposito, R., Steele-MacInnis, M., Hauri, E.H., Wallace, P.J., Plank, T., and Bodnar, R.J., 2015, Bubbles matter: An assessment of the contribution of vapor bubbles to melt inclusion volatile budgets: American Mineralogist, v. 100, p. 806–823.</t>
  </si>
  <si>
    <t>Tuohy, R.M., Wallace, P.J., Loewen, M.W., Swanson, D.A., and Kent, A.J., 2016, Magma transport and olivine crystallization depths in Kīlauea’s east rift zone inferred from experimentally rehomogenized melt inclusions: Geochimica et Cosmochimica Acta, v. 185, p. 232–250.</t>
  </si>
  <si>
    <t>Wieser, P.E., Edmonds, M., Gansecki, C., Maclennan, J., Jenner, F.E., Kunz, B., Antoshechkina, P., Trusdell, F., Lee, R.L., and Eimf, 2022, Explosive Activity on Kīlauea’s Lower East Rift Zone Fueled by a Volatile-Rich, Dacitic Melt: Geochemistry, Geophysics, Geosystems, v. 23, p. e2021GC010046, doi:10.1029/2021GC010046.</t>
  </si>
  <si>
    <t>yes</t>
  </si>
  <si>
    <t>CO2 ppm (bubble)</t>
  </si>
  <si>
    <t>CO2 ppm (total)</t>
  </si>
  <si>
    <t>n/a</t>
  </si>
  <si>
    <t>CO2 ppm glass (raw)</t>
  </si>
  <si>
    <t>CO2 ppm bubble (raw)</t>
  </si>
  <si>
    <t>CO2 ppm total (raw)</t>
  </si>
  <si>
    <t>not measured</t>
  </si>
  <si>
    <t>S wt% (raw)</t>
  </si>
  <si>
    <t>Originally published data (non-PEC corrected) - not measured in Moore et al 2015</t>
  </si>
  <si>
    <t>Moore et al 2015</t>
  </si>
  <si>
    <t>Kapoho 1960</t>
  </si>
  <si>
    <t>Melt inclusion saturation pressures calculated using Iacono-Marziano et al (2012)</t>
  </si>
  <si>
    <t>CO2 fluid entrapment pressure (bar) via Equation of State (Sterner and Pitzer 1994)</t>
  </si>
  <si>
    <t xml:space="preserve">Raman analyses of CO2 in vapor bubble </t>
  </si>
  <si>
    <t>CO2 density, g/cm3 (calculated using the method of Lamadrid et al 2017)</t>
  </si>
  <si>
    <t>CO2 Fermi diad,  ∆ (cm-1)</t>
  </si>
  <si>
    <t>Fluid inclusion entrapment pressures calculated from CO2 densities in vapor bubbles using Equation of State (Sterner and Pitzer 1994) - Only for Moore et al 2015</t>
  </si>
  <si>
    <t>± CO2 density 1σ uncertainty, g/cm3</t>
  </si>
  <si>
    <t>Saturation depths from MI saturation pressure or CO2 equation of state pressures</t>
  </si>
  <si>
    <t>Entrapment depths from CO2 equation of state pressures</t>
  </si>
  <si>
    <t>Saturation depths from melt inclusion saturation pressures</t>
  </si>
  <si>
    <t>reheated melt inclusion</t>
  </si>
  <si>
    <t>Original sat. pressure (bar) calculated using the models of Hamilton et al. (1964) and Stolper and Holloway (1988)</t>
  </si>
  <si>
    <t>± original Sat P (bars)</t>
  </si>
  <si>
    <t>FeOT wt% (raw)</t>
  </si>
  <si>
    <t>MnO wt% (raw)</t>
  </si>
  <si>
    <t>MnO wt%</t>
  </si>
  <si>
    <t>Originally published data (non-PEC corrected), note reheated inclusions contain dissolved olivine host (e.g., high MgO)</t>
  </si>
  <si>
    <t>assuming xFe3+/ΣxFe = 0.18 (Lerner et al. 2021)</t>
  </si>
  <si>
    <t>Temp entrapment (°C) (Helz &amp; Thornber 1987 - PEC corrected MgO)</t>
  </si>
  <si>
    <t>± CO2 ppm total (raw)</t>
  </si>
  <si>
    <r>
      <t>K</t>
    </r>
    <r>
      <rPr>
        <sz val="9"/>
        <rFont val="Geneva"/>
      </rPr>
      <t>īlauea Iki 1959</t>
    </r>
  </si>
  <si>
    <r>
      <t>1400</t>
    </r>
    <r>
      <rPr>
        <sz val="9"/>
        <rFont val="Geneva"/>
      </rPr>
      <t>°C reheated</t>
    </r>
  </si>
  <si>
    <r>
      <rPr>
        <b/>
        <sz val="14"/>
        <rFont val="Geneva"/>
      </rPr>
      <t>Anderson and Brown 1993</t>
    </r>
    <r>
      <rPr>
        <sz val="14"/>
        <rFont val="Geneva"/>
      </rPr>
      <t>. Data from Table 1; only bubble-free melt inclusions included here</t>
    </r>
  </si>
  <si>
    <r>
      <t>1300</t>
    </r>
    <r>
      <rPr>
        <sz val="9"/>
        <rFont val="Geneva"/>
      </rPr>
      <t>°C reheated</t>
    </r>
  </si>
  <si>
    <r>
      <t xml:space="preserve">depth </t>
    </r>
    <r>
      <rPr>
        <b/>
        <sz val="9"/>
        <rFont val="Geneva"/>
      </rPr>
      <t>±</t>
    </r>
    <r>
      <rPr>
        <b/>
        <i/>
        <sz val="9"/>
        <rFont val="Geneva"/>
      </rPr>
      <t>1σ uncertainy (km)</t>
    </r>
  </si>
  <si>
    <t>± Sat pressure 1σ uncertainty (bar)</t>
  </si>
  <si>
    <r>
      <rPr>
        <b/>
        <sz val="14"/>
        <rFont val="Geneva"/>
      </rPr>
      <t>Tuohy et al. 2016</t>
    </r>
    <r>
      <rPr>
        <sz val="14"/>
        <rFont val="Geneva"/>
      </rPr>
      <t>. Data from Supplementary Table 1; only rehomogenized melt inclusions included here</t>
    </r>
  </si>
  <si>
    <r>
      <rPr>
        <b/>
        <sz val="14"/>
        <rFont val="Geneva"/>
      </rPr>
      <t>Moore et al. 2015</t>
    </r>
    <r>
      <rPr>
        <sz val="14"/>
        <rFont val="Geneva"/>
      </rPr>
      <t>. Data from Supplementary Table 2; Only measurements with quantified CO2 in vapor bubbles are included here. Melt inclusion compositions (including CO2 in glass) were not measured in this study. We assume the MI glass contained 170 ppm CO2, which is the median CO2 concentration measured by Tuohy et al. (2016) in other naturally quenched MI from the same Kīlauea Iki and Kapoho units. Similarly, EPMA measurements of MI or host minerals were not available for the Moore et al. (2015) datasets, so assume MI compositions equal to the average MI compositions of the Tuohy et al. (2016) dataset, as the Moore et al. (2015) samples were from a subset of the same olivine studied by Tuohy et al. (2016). We apply a PEC dilution factor of 0.87 to their measured CO2 concentrations based on median PEC values calculated by Tuohy et al. (2016) for MI in these same Kīlauea Iki and Kapoho samples.</t>
    </r>
  </si>
  <si>
    <t>Original sat. pressure (bar)</t>
  </si>
  <si>
    <t>Original sat. pressure (bar) using MagmaSat (Ghiorso and Gualda 2015)</t>
  </si>
  <si>
    <t>Original sat. pressure (bar) calculated using VolatileCalc (Newman and Lowenstern 2002)</t>
  </si>
  <si>
    <t>Wieser et al 2022</t>
  </si>
  <si>
    <t>LERZ 2018</t>
  </si>
  <si>
    <t>± CO2 Fermi diad 1σ uncertainty,  ∆ (cm-1)</t>
  </si>
  <si>
    <t>not reported</t>
  </si>
  <si>
    <t>PEC-corrected (Petrolog3; Danyushevsky &amp; Plechov, 2011) + anhydrous normalized. Originally published data in Wieser et al. 2022</t>
  </si>
  <si>
    <t>PEC-corrected (Petrolog3; Danyushevsky &amp; Plechov, 2011) + anhydrous normalized. Originally published data in Tuohy et al 2016</t>
  </si>
  <si>
    <t>Total wt% (raw) unnormalized</t>
  </si>
  <si>
    <t>Host Mg#</t>
  </si>
  <si>
    <t>Mineral host</t>
  </si>
  <si>
    <t>olivine</t>
  </si>
  <si>
    <t>not reported in data supplement</t>
  </si>
  <si>
    <t>total CO2 uncertainty not reported in data supplement</t>
  </si>
  <si>
    <t>bubble volume between 5.5-10 vol%; likely co-trapped exsolved CO2 fluid but bubble vol% too low for reliable barometry due to modification during PEC (see explanation in main text)</t>
  </si>
  <si>
    <t>not calculated; bubble vol &gt;5.5%, &lt;10%</t>
  </si>
  <si>
    <t>vapor bubble &gt;~10 vol% of inclusion; bubble treated as fluid inclusion and barometry calculated via CO2 equation of state (see supplementary text for details)</t>
  </si>
  <si>
    <t>not calculated; bubble vol &gt;~10%</t>
  </si>
  <si>
    <t>not calculated</t>
  </si>
  <si>
    <r>
      <rPr>
        <b/>
        <sz val="14"/>
        <rFont val="Geneva"/>
      </rPr>
      <t>Wieser et al. 2021; 2022</t>
    </r>
    <r>
      <rPr>
        <sz val="14"/>
        <rFont val="Geneva"/>
      </rPr>
      <t>. Olivine-hosted inclusion data from Wieser et al. 2021 publication was reprocessed and also presented in Wieser et al. 2022 publication. Wieser et al. 2022 publication included additional olivine-hosted inclusions, and inclusions in feldspar and pyroxene. Saturation pressures are recalculated using Iacono-Marziano et al 2012 for all inclusions with entrapment temperatures &gt;1130°C, and originally published pressures using MagmaSat (Ghiorso and Gualda 2015) are kept for more evolved inclusions with temperatures &lt;1130°C. See supplementary text for discussion. Only values with fully quantified total CO2 are shown here (e.g., cracked bubbles are excluded)</t>
    </r>
  </si>
  <si>
    <t>Saturation pressure (bar); using Iacono-Marziano (2012) if entrapment temp &gt;1130°C; MagmaSat if entrapment temp &lt;1130°C</t>
  </si>
  <si>
    <t>Saturation pressures calculated using Iacono-Marziano (2012) if entrapment temp &gt;1130°C and MagmaSat if entrapment temp &lt;1130°C</t>
  </si>
  <si>
    <t>&lt;1130°C entrapment temp; MagmaSat used to calculate saturation pressure</t>
  </si>
  <si>
    <t>no fermi diad</t>
  </si>
  <si>
    <t>not reported (bdl?)</t>
  </si>
  <si>
    <t>plagioclase</t>
  </si>
  <si>
    <t>&lt;1130°C entrapment temp; original MagmaSat calculations used for saturation pressures</t>
  </si>
  <si>
    <t>orthopyroxene</t>
  </si>
  <si>
    <t>FELDSPAR</t>
  </si>
  <si>
    <t>OPX</t>
  </si>
  <si>
    <t>CPX</t>
  </si>
  <si>
    <r>
      <t>Anderson, A.T., and Brown, G.G., 1993, CO</t>
    </r>
    <r>
      <rPr>
        <vertAlign val="subscript"/>
        <sz val="9"/>
        <rFont val="Geneva"/>
      </rPr>
      <t>2</t>
    </r>
    <r>
      <rPr>
        <sz val="9"/>
        <rFont val="Geneva"/>
      </rPr>
      <t xml:space="preserve"> contents and formation pressures of some Kilauean melt inclusions: American Mineralogist, v. 78, p. 794–803.</t>
    </r>
  </si>
  <si>
    <r>
      <t>Wieser, P.E. et al., 2021, Reconstructing Magma Storage Depths for the 2018 Kı̄lauean Eruption from Melt inclusion CO</t>
    </r>
    <r>
      <rPr>
        <vertAlign val="subscript"/>
        <sz val="9"/>
        <rFont val="Geneva"/>
      </rPr>
      <t>2</t>
    </r>
    <r>
      <rPr>
        <sz val="9"/>
        <rFont val="Geneva"/>
      </rPr>
      <t xml:space="preserve"> Contents: The Importance of Vapor Bubbles: Geochemistry, Geophysics, Geosystems, v. 22, p. e2020GC009364, doi:https://doi.org/10.1029/2020GC009364.</t>
    </r>
  </si>
  <si>
    <t>clinopyroxene</t>
  </si>
  <si>
    <t>unknown if present after reheating</t>
  </si>
  <si>
    <t>22-13C1</t>
  </si>
  <si>
    <t>22-13C2</t>
  </si>
  <si>
    <t>Lerner, A.H. et al., 2021a, The petrologic and degassing behavior of sulfur and other magmatic volatiles from the 2018 eruption of Kīlauea, Hawaiʻi: melt concentrations, magma storage depths, and magma recycling: Bulletin of Volcanology, v. 83, p. 43, doi:10.1007/s00445-021-01459-y.</t>
  </si>
  <si>
    <t>Sizes of melt inclusion features</t>
  </si>
  <si>
    <t>Analysis Name</t>
  </si>
  <si>
    <t>Fissure
#</t>
  </si>
  <si>
    <t>Sample
Name</t>
  </si>
  <si>
    <t>Eruption
Date</t>
  </si>
  <si>
    <t>Days since eruption start</t>
  </si>
  <si>
    <t>Distance traveled before quench (km)</t>
  </si>
  <si>
    <t>Glass Type</t>
  </si>
  <si>
    <t>Host mineral</t>
  </si>
  <si>
    <t>Melt inclusion length (μm)</t>
  </si>
  <si>
    <t>Melt inclusion width (μm)</t>
  </si>
  <si>
    <t>vapor bubble volume (%)</t>
  </si>
  <si>
    <t>KE62-3394S: Fissure 9 spatter (naturally quenched)  [N19.457°, W154.917°]</t>
  </si>
  <si>
    <t xml:space="preserve"> KE62-3394S</t>
  </si>
  <si>
    <t>F9_1</t>
  </si>
  <si>
    <t>Cpx</t>
  </si>
  <si>
    <t>Feldspar</t>
  </si>
  <si>
    <t>KE62-3293S</t>
  </si>
  <si>
    <t>KE62-3293s_8_MI_256, 257 avg</t>
  </si>
  <si>
    <t>KE62-3293s_1a_MI_263</t>
  </si>
  <si>
    <t>KE62-3293s_1b_MI_264</t>
  </si>
  <si>
    <t>KE62-3293s_4a_MI_266, 267 avg</t>
  </si>
  <si>
    <t>KE62-3293s_4b_MI_268</t>
  </si>
  <si>
    <t>KE62-3293s_9a_MI_277</t>
  </si>
  <si>
    <t>EF8_3</t>
  </si>
  <si>
    <t>EF8_5</t>
  </si>
  <si>
    <t>EF8_6</t>
  </si>
  <si>
    <t>LF8: Late fissure 8 lava overflow (naturally cooled)  [N19.464°, W154.910°]</t>
  </si>
  <si>
    <t>LF8 (Late F8 Overflow)</t>
  </si>
  <si>
    <t>LF8_3_MI_306, 307 avg</t>
  </si>
  <si>
    <t>LF8_4_MI_308, 309 avg</t>
  </si>
  <si>
    <t>LF8_11a_MI_310</t>
  </si>
  <si>
    <t>LF8_11c_MI_311</t>
  </si>
  <si>
    <t>LF8_11b_MI_312</t>
  </si>
  <si>
    <t>LF8_12a_MI_313</t>
  </si>
  <si>
    <t>LF8_12b_MI_314</t>
  </si>
  <si>
    <t>LF8_13a_MI_315</t>
  </si>
  <si>
    <t>LF8_13b_MI_316</t>
  </si>
  <si>
    <t>LF8_14_MI_317, 318 avg</t>
  </si>
  <si>
    <t>LF8_1</t>
  </si>
  <si>
    <t>LF8_2</t>
  </si>
  <si>
    <t>LF8_5</t>
  </si>
  <si>
    <t>LF8_6</t>
  </si>
  <si>
    <t>LF8_7</t>
  </si>
  <si>
    <t>LF8_8</t>
  </si>
  <si>
    <t>LF8_9</t>
  </si>
  <si>
    <t>LF8_15</t>
  </si>
  <si>
    <t>LF8_16c</t>
  </si>
  <si>
    <t>Host properties</t>
  </si>
  <si>
    <t>Host 
An#</t>
  </si>
  <si>
    <t>Host 
Mg#</t>
  </si>
  <si>
    <t>PEC correction coefficient</t>
  </si>
  <si>
    <t>% Incompatible enrichment due to PEC</t>
  </si>
  <si>
    <t>fsp-host</t>
  </si>
  <si>
    <t>Temperature of MI entrapment (°C) (Helz and Thornber 1987)</t>
  </si>
  <si>
    <t>Temperature of MI quenching (°C) (Helz and Thornber 1987)</t>
  </si>
  <si>
    <r>
      <t>H</t>
    </r>
    <r>
      <rPr>
        <vertAlign val="subscript"/>
        <sz val="12"/>
        <rFont val="Calibri"/>
        <family val="2"/>
        <scheme val="minor"/>
      </rPr>
      <t>2</t>
    </r>
    <r>
      <rPr>
        <sz val="12"/>
        <rFont val="Calibri"/>
        <family val="2"/>
        <scheme val="minor"/>
      </rPr>
      <t>O and CO</t>
    </r>
    <r>
      <rPr>
        <vertAlign val="subscript"/>
        <sz val="12"/>
        <rFont val="Calibri"/>
        <family val="2"/>
        <scheme val="minor"/>
      </rPr>
      <t>2</t>
    </r>
    <r>
      <rPr>
        <sz val="12"/>
        <rFont val="Calibri"/>
        <family val="2"/>
        <scheme val="minor"/>
      </rPr>
      <t xml:space="preserve"> by FTIR and Raman; Vapor saturation pressures</t>
    </r>
  </si>
  <si>
    <r>
      <t>H</t>
    </r>
    <r>
      <rPr>
        <vertAlign val="subscript"/>
        <sz val="9"/>
        <rFont val="Calibri"/>
        <family val="2"/>
        <scheme val="minor"/>
      </rPr>
      <t>2</t>
    </r>
    <r>
      <rPr>
        <sz val="9"/>
        <rFont val="Calibri"/>
        <family val="2"/>
        <scheme val="minor"/>
      </rPr>
      <t>O in melt (wt%) (FTIR)</t>
    </r>
  </si>
  <si>
    <r>
      <t>CO</t>
    </r>
    <r>
      <rPr>
        <vertAlign val="subscript"/>
        <sz val="9"/>
        <rFont val="Calibri"/>
        <family val="2"/>
        <scheme val="minor"/>
      </rPr>
      <t>2</t>
    </r>
    <r>
      <rPr>
        <sz val="9"/>
        <rFont val="Calibri"/>
        <family val="2"/>
        <scheme val="minor"/>
      </rPr>
      <t xml:space="preserve"> in melt (ppm) (FTIR)  </t>
    </r>
    <r>
      <rPr>
        <i/>
        <sz val="9"/>
        <rFont val="Calibri"/>
        <family val="2"/>
        <scheme val="minor"/>
      </rPr>
      <t>Note: detection limit is ~30 ppm. Due to use of white light or measurements through crystal hosts, CO2 was not measured in some FTIR measurements where H2O was resolved</t>
    </r>
  </si>
  <si>
    <r>
      <t>CO</t>
    </r>
    <r>
      <rPr>
        <vertAlign val="subscript"/>
        <sz val="9"/>
        <rFont val="Calibri"/>
        <family val="2"/>
        <scheme val="minor"/>
      </rPr>
      <t>2</t>
    </r>
    <r>
      <rPr>
        <sz val="9"/>
        <rFont val="Calibri"/>
        <family val="2"/>
        <scheme val="minor"/>
      </rPr>
      <t xml:space="preserve"> in melt + bubble (ppm) (Raman + FTIR; assume 30 ppm CO2 if bdl by FTIR)</t>
    </r>
  </si>
  <si>
    <r>
      <t>CO</t>
    </r>
    <r>
      <rPr>
        <i/>
        <vertAlign val="subscript"/>
        <sz val="8"/>
        <rFont val="Calibri"/>
        <family val="2"/>
        <scheme val="minor"/>
      </rPr>
      <t>2</t>
    </r>
    <r>
      <rPr>
        <i/>
        <sz val="8"/>
        <rFont val="Calibri"/>
        <family val="2"/>
        <scheme val="minor"/>
      </rPr>
      <t xml:space="preserve"> in melt + bubble (1σ) (Raman + FTIR)</t>
    </r>
  </si>
  <si>
    <t>Saturation depth (1σ) (km)</t>
  </si>
  <si>
    <r>
      <t>SiO</t>
    </r>
    <r>
      <rPr>
        <vertAlign val="subscript"/>
        <sz val="9"/>
        <rFont val="Calibri"/>
        <family val="2"/>
        <scheme val="minor"/>
      </rPr>
      <t>2</t>
    </r>
    <r>
      <rPr>
        <sz val="9"/>
        <rFont val="Calibri"/>
        <family val="2"/>
        <scheme val="minor"/>
      </rPr>
      <t xml:space="preserve"> wt%</t>
    </r>
  </si>
  <si>
    <r>
      <t>TiO</t>
    </r>
    <r>
      <rPr>
        <vertAlign val="subscript"/>
        <sz val="9"/>
        <rFont val="Calibri"/>
        <family val="2"/>
        <scheme val="minor"/>
      </rPr>
      <t>2</t>
    </r>
    <r>
      <rPr>
        <sz val="9"/>
        <rFont val="Calibri"/>
        <family val="2"/>
        <scheme val="minor"/>
      </rPr>
      <t xml:space="preserve"> wt%</t>
    </r>
  </si>
  <si>
    <r>
      <t>Al</t>
    </r>
    <r>
      <rPr>
        <vertAlign val="subscript"/>
        <sz val="9"/>
        <rFont val="Calibri"/>
        <family val="2"/>
        <scheme val="minor"/>
      </rPr>
      <t>2</t>
    </r>
    <r>
      <rPr>
        <sz val="9"/>
        <rFont val="Calibri"/>
        <family val="2"/>
        <scheme val="minor"/>
      </rPr>
      <t>O</t>
    </r>
    <r>
      <rPr>
        <vertAlign val="subscript"/>
        <sz val="9"/>
        <rFont val="Calibri"/>
        <family val="2"/>
        <scheme val="minor"/>
      </rPr>
      <t>3</t>
    </r>
    <r>
      <rPr>
        <sz val="9"/>
        <rFont val="Calibri"/>
        <family val="2"/>
        <scheme val="minor"/>
      </rPr>
      <t xml:space="preserve">  wt%</t>
    </r>
  </si>
  <si>
    <r>
      <t>FeO</t>
    </r>
    <r>
      <rPr>
        <vertAlign val="superscript"/>
        <sz val="9"/>
        <rFont val="Calibri"/>
        <family val="2"/>
        <scheme val="minor"/>
      </rPr>
      <t>T</t>
    </r>
    <r>
      <rPr>
        <sz val="9"/>
        <rFont val="Calibri"/>
        <family val="2"/>
        <scheme val="minor"/>
      </rPr>
      <t xml:space="preserve"> wt%</t>
    </r>
  </si>
  <si>
    <r>
      <t>Na</t>
    </r>
    <r>
      <rPr>
        <vertAlign val="subscript"/>
        <sz val="9"/>
        <rFont val="Calibri"/>
        <family val="2"/>
        <scheme val="minor"/>
      </rPr>
      <t>2</t>
    </r>
    <r>
      <rPr>
        <sz val="9"/>
        <rFont val="Calibri"/>
        <family val="2"/>
        <scheme val="minor"/>
      </rPr>
      <t>O wt%</t>
    </r>
  </si>
  <si>
    <r>
      <t>K</t>
    </r>
    <r>
      <rPr>
        <vertAlign val="subscript"/>
        <sz val="9"/>
        <rFont val="Calibri"/>
        <family val="2"/>
        <scheme val="minor"/>
      </rPr>
      <t>2</t>
    </r>
    <r>
      <rPr>
        <sz val="9"/>
        <rFont val="Calibri"/>
        <family val="2"/>
        <scheme val="minor"/>
      </rPr>
      <t>O wt%</t>
    </r>
  </si>
  <si>
    <r>
      <t>P</t>
    </r>
    <r>
      <rPr>
        <vertAlign val="subscript"/>
        <sz val="9"/>
        <rFont val="Calibri"/>
        <family val="2"/>
        <scheme val="minor"/>
      </rPr>
      <t>2</t>
    </r>
    <r>
      <rPr>
        <sz val="9"/>
        <rFont val="Calibri"/>
        <family val="2"/>
        <scheme val="minor"/>
      </rPr>
      <t>O</t>
    </r>
    <r>
      <rPr>
        <vertAlign val="subscript"/>
        <sz val="9"/>
        <rFont val="Calibri"/>
        <family val="2"/>
        <scheme val="minor"/>
      </rPr>
      <t>5</t>
    </r>
    <r>
      <rPr>
        <sz val="9"/>
        <rFont val="Calibri"/>
        <family val="2"/>
        <scheme val="minor"/>
      </rPr>
      <t xml:space="preserve"> wt%</t>
    </r>
  </si>
  <si>
    <t>Cl ppm</t>
  </si>
  <si>
    <t>S ppm (with sulfide restored, if applicable)</t>
  </si>
  <si>
    <t>un-normalized total wt%</t>
  </si>
  <si>
    <t>Subset of melt inclusion analyses with Raman-measured vapor bubble CO2 densities</t>
  </si>
  <si>
    <t>Saturation pressure (bar) (via Iacono-Marziano 2012) Assumes 30 ppm CO2 if bdl in glass FTIR</t>
  </si>
  <si>
    <r>
      <t>Saturation pressure (1</t>
    </r>
    <r>
      <rPr>
        <sz val="8"/>
        <rFont val="Calibri"/>
        <family val="2"/>
        <scheme val="minor"/>
      </rPr>
      <t>σ)</t>
    </r>
    <r>
      <rPr>
        <i/>
        <sz val="8"/>
        <rFont val="Calibri"/>
        <family val="2"/>
        <scheme val="minor"/>
      </rPr>
      <t xml:space="preserve"> (bar)</t>
    </r>
  </si>
  <si>
    <t>PEC-corrected melt inclusion compositions, normalized to 100% anhydrous total</t>
  </si>
  <si>
    <r>
      <t>CO</t>
    </r>
    <r>
      <rPr>
        <b/>
        <vertAlign val="subscript"/>
        <sz val="12"/>
        <rFont val="Calibri"/>
        <family val="2"/>
        <scheme val="minor"/>
      </rPr>
      <t>2</t>
    </r>
    <r>
      <rPr>
        <b/>
        <sz val="12"/>
        <rFont val="Calibri"/>
        <family val="2"/>
        <scheme val="minor"/>
      </rPr>
      <t xml:space="preserve"> densities in vapor bubbles (Raman-measured)</t>
    </r>
  </si>
  <si>
    <r>
      <t>CO</t>
    </r>
    <r>
      <rPr>
        <b/>
        <vertAlign val="subscript"/>
        <sz val="9"/>
        <rFont val="Calibri"/>
        <family val="2"/>
        <scheme val="minor"/>
      </rPr>
      <t>2</t>
    </r>
    <r>
      <rPr>
        <b/>
        <sz val="9"/>
        <rFont val="Calibri"/>
        <family val="2"/>
        <scheme val="minor"/>
      </rPr>
      <t xml:space="preserve"> density in vapor bubble
(g/cm</t>
    </r>
    <r>
      <rPr>
        <b/>
        <vertAlign val="superscript"/>
        <sz val="9"/>
        <rFont val="Calibri"/>
        <family val="2"/>
        <scheme val="minor"/>
      </rPr>
      <t>3</t>
    </r>
    <r>
      <rPr>
        <b/>
        <sz val="9"/>
        <rFont val="Calibri"/>
        <family val="2"/>
        <scheme val="minor"/>
      </rPr>
      <t>)</t>
    </r>
  </si>
  <si>
    <r>
      <t>CO</t>
    </r>
    <r>
      <rPr>
        <b/>
        <i/>
        <vertAlign val="subscript"/>
        <sz val="8"/>
        <rFont val="Calibri"/>
        <family val="2"/>
        <scheme val="minor"/>
      </rPr>
      <t>2</t>
    </r>
    <r>
      <rPr>
        <b/>
        <i/>
        <sz val="8"/>
        <rFont val="Calibri"/>
        <family val="2"/>
        <scheme val="minor"/>
      </rPr>
      <t xml:space="preserve"> density in vapor bubble (1SE)
(g/cm</t>
    </r>
    <r>
      <rPr>
        <b/>
        <i/>
        <vertAlign val="superscript"/>
        <sz val="8"/>
        <rFont val="Calibri"/>
        <family val="2"/>
        <scheme val="minor"/>
      </rPr>
      <t>3</t>
    </r>
    <r>
      <rPr>
        <b/>
        <i/>
        <sz val="8"/>
        <rFont val="Calibri"/>
        <family val="2"/>
        <scheme val="minor"/>
      </rPr>
      <t xml:space="preserve">); </t>
    </r>
  </si>
  <si>
    <r>
      <t>± CO2 Fermi diad 1σ uncertainty,  ∆ (cm</t>
    </r>
    <r>
      <rPr>
        <b/>
        <vertAlign val="superscript"/>
        <sz val="9"/>
        <rFont val="Calibri"/>
        <family val="2"/>
        <scheme val="minor"/>
      </rPr>
      <t>-1</t>
    </r>
    <r>
      <rPr>
        <b/>
        <sz val="9"/>
        <rFont val="Calibri"/>
        <family val="2"/>
        <scheme val="minor"/>
      </rPr>
      <t>)</t>
    </r>
  </si>
  <si>
    <r>
      <t>CO2 Fermi diad,  ∆ (cm</t>
    </r>
    <r>
      <rPr>
        <b/>
        <vertAlign val="superscript"/>
        <sz val="9"/>
        <rFont val="Calibri"/>
        <family val="2"/>
        <scheme val="minor"/>
      </rPr>
      <t>-1</t>
    </r>
    <r>
      <rPr>
        <b/>
        <sz val="9"/>
        <rFont val="Calibri"/>
        <family val="2"/>
        <scheme val="minor"/>
      </rPr>
      <t>)</t>
    </r>
  </si>
  <si>
    <t>Measurement #1</t>
  </si>
  <si>
    <t>Measurement #2</t>
  </si>
  <si>
    <t>Measurement #3</t>
  </si>
  <si>
    <t>K99-5_1b</t>
  </si>
  <si>
    <t>K99-5_1c</t>
  </si>
  <si>
    <t>K99-5_1d</t>
  </si>
  <si>
    <t>No CO2 detected, too deep?</t>
  </si>
  <si>
    <t>K99-5_1e</t>
  </si>
  <si>
    <t>K99-5_4a</t>
  </si>
  <si>
    <t>K99-5_4b</t>
  </si>
  <si>
    <t>K99-5_4c</t>
  </si>
  <si>
    <t>K99-5_4d</t>
  </si>
  <si>
    <t>K99-5_5a</t>
  </si>
  <si>
    <t xml:space="preserve">Extra peak around the 1284 peak (~1281 cm-1), weaker in intensity and merged with the main CO2 peak, making it asymmetric and wider at the bottom towards lower wave numbers. Peak still fit, but the information should be taken with consideration </t>
  </si>
  <si>
    <t>K99-5_5b</t>
  </si>
  <si>
    <t>K99-5_5c</t>
  </si>
  <si>
    <t>K99-5_5d</t>
  </si>
  <si>
    <t>CO2 detected but signal too weak to fit</t>
  </si>
  <si>
    <t>K99-5_6d</t>
  </si>
  <si>
    <t>Additional peak around 1015 cm-1</t>
  </si>
  <si>
    <t>K99-5_11b</t>
  </si>
  <si>
    <t>K99-5_11c</t>
  </si>
  <si>
    <t>K99-5_11d</t>
  </si>
  <si>
    <t>K99-5_11e</t>
  </si>
  <si>
    <t>K99-5_11f</t>
  </si>
  <si>
    <t>K99-5_11g</t>
  </si>
  <si>
    <t>K99-5_12b</t>
  </si>
  <si>
    <t>K99-5_12d</t>
  </si>
  <si>
    <t>K99-5_13a</t>
  </si>
  <si>
    <t>K99-5_13b</t>
  </si>
  <si>
    <t>K99-5_14b</t>
  </si>
  <si>
    <t>K99-5_14c</t>
  </si>
  <si>
    <t>K99-5_14d</t>
  </si>
  <si>
    <t>K99-5_15c</t>
  </si>
  <si>
    <t>SW3_2b</t>
  </si>
  <si>
    <t>SW3_2e</t>
  </si>
  <si>
    <t>SW3_2f</t>
  </si>
  <si>
    <t>SW3_7b</t>
  </si>
  <si>
    <t>SW3_7c</t>
  </si>
  <si>
    <t>1284 peak was unsually wide</t>
  </si>
  <si>
    <t>No CO2 detected</t>
  </si>
  <si>
    <t>SW3_16a</t>
  </si>
  <si>
    <t>SW3_16b</t>
  </si>
  <si>
    <t>K99-6_1c</t>
  </si>
  <si>
    <t>K99-6_2b</t>
  </si>
  <si>
    <t>No CO2 Detected</t>
  </si>
  <si>
    <t>K99-6_2c</t>
  </si>
  <si>
    <t>K99-6_2d</t>
  </si>
  <si>
    <t>K99-6_5a</t>
  </si>
  <si>
    <t>K99-6_5b</t>
  </si>
  <si>
    <t>K99-6_5c</t>
  </si>
  <si>
    <t>K99-6_5d</t>
  </si>
  <si>
    <t>K99-6_5e</t>
  </si>
  <si>
    <t>K99-6_6a</t>
  </si>
  <si>
    <t>K99-6_8b</t>
  </si>
  <si>
    <t>K99-6_8c</t>
  </si>
  <si>
    <t>K99-6_8d</t>
  </si>
  <si>
    <t>K99-6_9a</t>
  </si>
  <si>
    <t>K99-6_9b</t>
  </si>
  <si>
    <t>Additional peak located around 1150 cm-1</t>
  </si>
  <si>
    <t xml:space="preserve">No CO2 detected </t>
  </si>
  <si>
    <t>K99-6_12c</t>
  </si>
  <si>
    <t>K99-6_12d</t>
  </si>
  <si>
    <t>K99-6_13b</t>
  </si>
  <si>
    <t>K99-6_13c</t>
  </si>
  <si>
    <t>K99-6_13d</t>
  </si>
  <si>
    <t>K99-6_13e</t>
  </si>
  <si>
    <t>K99-6_13f</t>
  </si>
  <si>
    <t>K99-6_13g</t>
  </si>
  <si>
    <t>K99-6_16a</t>
  </si>
  <si>
    <t>K99-6_16b</t>
  </si>
  <si>
    <t>K99-6_16c</t>
  </si>
  <si>
    <t>K99-6_16d</t>
  </si>
  <si>
    <t>K99-6_16e</t>
  </si>
  <si>
    <t>K99-6_16f</t>
  </si>
  <si>
    <t>K99-6_16g</t>
  </si>
  <si>
    <t>K99-6_16h</t>
  </si>
  <si>
    <t>K99-6_16i</t>
  </si>
  <si>
    <t>Broad peak located around 1020 cm-1</t>
  </si>
  <si>
    <t>K99-6_16j</t>
  </si>
  <si>
    <t>K99-6_16k</t>
  </si>
  <si>
    <t>K99-6_16l</t>
  </si>
  <si>
    <t>K99-6_17a</t>
  </si>
  <si>
    <t>K99-6_17b</t>
  </si>
  <si>
    <t>K99-6_17c</t>
  </si>
  <si>
    <t>There is an additional peak around 1281 cm</t>
  </si>
  <si>
    <t>1 that is interferring with the fit. This data probably should not be used because of this. Sample (e) was deconvoluted and the results are very different from the other samples where the peaks were together.</t>
  </si>
  <si>
    <t>K99-5_2</t>
  </si>
  <si>
    <r>
      <t xml:space="preserve">ν+ </t>
    </r>
    <r>
      <rPr>
        <vertAlign val="subscript"/>
        <sz val="9"/>
        <color theme="1"/>
        <rFont val="Calibri"/>
        <family val="2"/>
        <scheme val="minor"/>
      </rPr>
      <t>AVE</t>
    </r>
    <r>
      <rPr>
        <sz val="9"/>
        <color theme="1"/>
        <rFont val="Calibri"/>
        <family val="2"/>
        <scheme val="minor"/>
      </rPr>
      <t xml:space="preserve"> (cm</t>
    </r>
    <r>
      <rPr>
        <vertAlign val="superscript"/>
        <sz val="9"/>
        <color theme="1"/>
        <rFont val="Calibri"/>
        <family val="2"/>
        <scheme val="minor"/>
      </rPr>
      <t>-1</t>
    </r>
    <r>
      <rPr>
        <sz val="9"/>
        <color theme="1"/>
        <rFont val="Calibri"/>
        <family val="2"/>
        <scheme val="minor"/>
      </rPr>
      <t>)</t>
    </r>
  </si>
  <si>
    <r>
      <t xml:space="preserve">ν- </t>
    </r>
    <r>
      <rPr>
        <vertAlign val="subscript"/>
        <sz val="9"/>
        <color theme="1"/>
        <rFont val="Calibri"/>
        <family val="2"/>
        <scheme val="minor"/>
      </rPr>
      <t>AVE</t>
    </r>
    <r>
      <rPr>
        <sz val="9"/>
        <color theme="1"/>
        <rFont val="Calibri"/>
        <family val="2"/>
        <scheme val="minor"/>
      </rPr>
      <t xml:space="preserve"> (cm</t>
    </r>
    <r>
      <rPr>
        <vertAlign val="superscript"/>
        <sz val="9"/>
        <color theme="1"/>
        <rFont val="Calibri"/>
        <family val="2"/>
        <scheme val="minor"/>
      </rPr>
      <t>-1</t>
    </r>
    <r>
      <rPr>
        <sz val="9"/>
        <color theme="1"/>
        <rFont val="Calibri"/>
        <family val="2"/>
        <scheme val="minor"/>
      </rPr>
      <t>)</t>
    </r>
  </si>
  <si>
    <r>
      <t>∆ Ne,</t>
    </r>
    <r>
      <rPr>
        <vertAlign val="subscript"/>
        <sz val="9"/>
        <color theme="1"/>
        <rFont val="Calibri"/>
        <family val="2"/>
        <scheme val="minor"/>
      </rPr>
      <t>AVE</t>
    </r>
    <r>
      <rPr>
        <sz val="9"/>
        <color theme="1"/>
        <rFont val="Calibri"/>
        <family val="2"/>
        <scheme val="minor"/>
      </rPr>
      <t xml:space="preserve"> (cm</t>
    </r>
    <r>
      <rPr>
        <vertAlign val="superscript"/>
        <sz val="9"/>
        <color theme="1"/>
        <rFont val="Calibri"/>
        <family val="2"/>
        <scheme val="minor"/>
      </rPr>
      <t>-1</t>
    </r>
    <r>
      <rPr>
        <sz val="9"/>
        <color theme="1"/>
        <rFont val="Calibri"/>
        <family val="2"/>
        <scheme val="minor"/>
      </rPr>
      <t>)</t>
    </r>
  </si>
  <si>
    <r>
      <t>∆ν,</t>
    </r>
    <r>
      <rPr>
        <vertAlign val="subscript"/>
        <sz val="9"/>
        <color theme="1"/>
        <rFont val="Calibri"/>
        <family val="2"/>
        <scheme val="minor"/>
      </rPr>
      <t>AVE</t>
    </r>
    <r>
      <rPr>
        <sz val="9"/>
        <color theme="1"/>
        <rFont val="Calibri"/>
        <family val="2"/>
        <scheme val="minor"/>
      </rPr>
      <t xml:space="preserve"> (cm</t>
    </r>
    <r>
      <rPr>
        <vertAlign val="superscript"/>
        <sz val="9"/>
        <color theme="1"/>
        <rFont val="Calibri"/>
        <family val="2"/>
        <scheme val="minor"/>
      </rPr>
      <t>-1</t>
    </r>
    <r>
      <rPr>
        <sz val="9"/>
        <color theme="1"/>
        <rFont val="Calibri"/>
        <family val="2"/>
        <scheme val="minor"/>
      </rPr>
      <t>)</t>
    </r>
  </si>
  <si>
    <r>
      <t>Ne+ (cm</t>
    </r>
    <r>
      <rPr>
        <vertAlign val="superscript"/>
        <sz val="9"/>
        <color theme="1"/>
        <rFont val="Calibri"/>
        <family val="2"/>
        <scheme val="minor"/>
      </rPr>
      <t>-1</t>
    </r>
    <r>
      <rPr>
        <sz val="9"/>
        <color theme="1"/>
        <rFont val="Calibri"/>
        <family val="2"/>
        <scheme val="minor"/>
      </rPr>
      <t>)</t>
    </r>
  </si>
  <si>
    <r>
      <t>Ne- (cm</t>
    </r>
    <r>
      <rPr>
        <vertAlign val="superscript"/>
        <sz val="9"/>
        <color theme="1"/>
        <rFont val="Calibri"/>
        <family val="2"/>
        <scheme val="minor"/>
      </rPr>
      <t>-1</t>
    </r>
    <r>
      <rPr>
        <sz val="9"/>
        <color theme="1"/>
        <rFont val="Calibri"/>
        <family val="2"/>
        <scheme val="minor"/>
      </rPr>
      <t>)</t>
    </r>
  </si>
  <si>
    <r>
      <t>ν+ (cm</t>
    </r>
    <r>
      <rPr>
        <vertAlign val="superscript"/>
        <sz val="9"/>
        <color theme="1"/>
        <rFont val="Calibri"/>
        <family val="2"/>
        <scheme val="minor"/>
      </rPr>
      <t>-1</t>
    </r>
    <r>
      <rPr>
        <sz val="9"/>
        <color theme="1"/>
        <rFont val="Calibri"/>
        <family val="2"/>
        <scheme val="minor"/>
      </rPr>
      <t>)</t>
    </r>
  </si>
  <si>
    <r>
      <t>ν- (cm</t>
    </r>
    <r>
      <rPr>
        <vertAlign val="superscript"/>
        <sz val="9"/>
        <color theme="1"/>
        <rFont val="Calibri"/>
        <family val="2"/>
        <scheme val="minor"/>
      </rPr>
      <t>-1</t>
    </r>
    <r>
      <rPr>
        <sz val="9"/>
        <color theme="1"/>
        <rFont val="Calibri"/>
        <family val="2"/>
        <scheme val="minor"/>
      </rPr>
      <t>)</t>
    </r>
  </si>
  <si>
    <r>
      <t>∆ Ne (cm</t>
    </r>
    <r>
      <rPr>
        <vertAlign val="superscript"/>
        <sz val="9"/>
        <color theme="1"/>
        <rFont val="Calibri"/>
        <family val="2"/>
        <scheme val="minor"/>
      </rPr>
      <t>-1</t>
    </r>
    <r>
      <rPr>
        <sz val="9"/>
        <color theme="1"/>
        <rFont val="Calibri"/>
        <family val="2"/>
        <scheme val="minor"/>
      </rPr>
      <t>)</t>
    </r>
  </si>
  <si>
    <r>
      <t>∆ν (cm</t>
    </r>
    <r>
      <rPr>
        <vertAlign val="superscript"/>
        <sz val="9"/>
        <color theme="1"/>
        <rFont val="Calibri"/>
        <family val="2"/>
        <scheme val="minor"/>
      </rPr>
      <t>-1</t>
    </r>
    <r>
      <rPr>
        <sz val="9"/>
        <color theme="1"/>
        <rFont val="Calibri"/>
        <family val="2"/>
        <scheme val="minor"/>
      </rPr>
      <t>)</t>
    </r>
  </si>
  <si>
    <t>Vitric ash IIA2</t>
  </si>
  <si>
    <t>Vitric ash IIA1</t>
  </si>
  <si>
    <t>Unit number (Swanson and Houghton 2018)</t>
  </si>
  <si>
    <t>Density g/cm3 
(densiometer of Lamadrid et al., 2017)</t>
  </si>
  <si>
    <t>D, upper</t>
  </si>
  <si>
    <t>D, lower</t>
  </si>
  <si>
    <t>Average of 3 replicate measurements</t>
  </si>
  <si>
    <t>K99-6_4</t>
  </si>
  <si>
    <t>K99-6_7</t>
  </si>
  <si>
    <t>K99-6_13h</t>
  </si>
  <si>
    <t>Sample info</t>
  </si>
  <si>
    <t>Weak signal</t>
  </si>
  <si>
    <t>Condensates (sulfides?) on the rim of the bubble</t>
  </si>
  <si>
    <t>Eruption date CE (approximate)</t>
  </si>
  <si>
    <t>Unit description</t>
  </si>
  <si>
    <t>Inclusion number</t>
  </si>
  <si>
    <t>bubble-dominated MI</t>
  </si>
  <si>
    <t>isolated fluid inclusion</t>
  </si>
  <si>
    <t>vapor-only</t>
  </si>
  <si>
    <t>Phases present in bubble</t>
  </si>
  <si>
    <t>vapor + liquid</t>
  </si>
  <si>
    <t>Measurement temp. (°C)</t>
  </si>
  <si>
    <r>
      <t>∆ν,</t>
    </r>
    <r>
      <rPr>
        <vertAlign val="subscript"/>
        <sz val="9"/>
        <rFont val="Calibri"/>
        <family val="2"/>
        <scheme val="minor"/>
      </rPr>
      <t>corrected</t>
    </r>
    <r>
      <rPr>
        <sz val="9"/>
        <rFont val="Calibri"/>
        <family val="2"/>
        <scheme val="minor"/>
      </rPr>
      <t xml:space="preserve"> (cm</t>
    </r>
    <r>
      <rPr>
        <vertAlign val="superscript"/>
        <sz val="9"/>
        <rFont val="Calibri"/>
        <family val="2"/>
        <scheme val="minor"/>
      </rPr>
      <t>-1</t>
    </r>
    <r>
      <rPr>
        <sz val="9"/>
        <rFont val="Calibri"/>
        <family val="2"/>
        <scheme val="minor"/>
      </rPr>
      <t>)</t>
    </r>
  </si>
  <si>
    <r>
      <t>Density g/cm3 std err (1 SE) (cm</t>
    </r>
    <r>
      <rPr>
        <b/>
        <i/>
        <vertAlign val="superscript"/>
        <sz val="9"/>
        <rFont val="Calibri"/>
        <family val="2"/>
        <scheme val="minor"/>
      </rPr>
      <t>-1</t>
    </r>
    <r>
      <rPr>
        <b/>
        <i/>
        <sz val="9"/>
        <rFont val="Calibri"/>
        <family val="2"/>
        <scheme val="minor"/>
      </rPr>
      <t>)</t>
    </r>
  </si>
  <si>
    <t>Forsterite synthetic</t>
  </si>
  <si>
    <t>Analysis#</t>
  </si>
  <si>
    <t>Cl WT%</t>
  </si>
  <si>
    <t>S WT%</t>
  </si>
  <si>
    <t>FeOT WT%</t>
  </si>
  <si>
    <t xml:space="preserve"> FeOT WT%</t>
  </si>
  <si>
    <t>SUMMARY</t>
  </si>
  <si>
    <t>glass</t>
  </si>
  <si>
    <t>Na2O</t>
  </si>
  <si>
    <t>SiO2</t>
  </si>
  <si>
    <t>CaO</t>
  </si>
  <si>
    <t>K2O</t>
  </si>
  <si>
    <t>Al2O3</t>
  </si>
  <si>
    <t>FeO</t>
  </si>
  <si>
    <t>MgO</t>
  </si>
  <si>
    <t>TiO2</t>
  </si>
  <si>
    <t>MnO</t>
  </si>
  <si>
    <t>P2O5</t>
  </si>
  <si>
    <t>standard used:</t>
  </si>
  <si>
    <t>Analytical session November 2021, University of Oregon (Cameca SX100)</t>
  </si>
  <si>
    <t>SiO2 synthetic</t>
  </si>
  <si>
    <t>SiO2 synthetic not used as primary standard</t>
  </si>
  <si>
    <t>MgO synthetic not used as primary standard</t>
  </si>
  <si>
    <t>NiO2 synthetic</t>
  </si>
  <si>
    <t>accepted values →</t>
  </si>
  <si>
    <t>NBS K-412 mineral glass not used as primary standard</t>
  </si>
  <si>
    <t>Chlorapatite Ca10(PO4)6Cl2 (halogen corrected)</t>
  </si>
  <si>
    <t>glass + minerals</t>
  </si>
  <si>
    <t>minerals</t>
  </si>
  <si>
    <t>Secondary standards</t>
  </si>
  <si>
    <t>Magnetite UC #3380</t>
  </si>
  <si>
    <t>Pyrite UC #21334</t>
  </si>
  <si>
    <t>Electronic Supplement 6: Recalculated saturation pressures from literature: Anderson and Brown 1993; Moore et al., 2015; Tuohy et al., 2016; Wieser et al., 2021; Wieser et al., 2022</t>
  </si>
  <si>
    <t>3. EPMA glass and mineral standards and analysis details</t>
  </si>
  <si>
    <t>CONTENTS (Tables 1:6)</t>
  </si>
  <si>
    <t>Eruption Date (CE)</t>
  </si>
  <si>
    <t>Inclusion notes</t>
  </si>
  <si>
    <t>1790-1820</t>
  </si>
  <si>
    <t>1500-1650</t>
  </si>
  <si>
    <r>
      <t xml:space="preserve">Sample Name
</t>
    </r>
    <r>
      <rPr>
        <sz val="9"/>
        <rFont val="Calibri"/>
        <family val="2"/>
        <scheme val="minor"/>
      </rPr>
      <t>(melt inclusions and fluid inclusions)</t>
    </r>
  </si>
  <si>
    <t>Analysis date</t>
  </si>
  <si>
    <t>Melt inclusion glass-only volume (μm3)</t>
  </si>
  <si>
    <t>Melt inclusion total volume (μm3)</t>
  </si>
  <si>
    <t>Sizes of vapor bubbles and fluid inclusions</t>
  </si>
  <si>
    <t>Sizes of melt inclusions</t>
  </si>
  <si>
    <r>
      <t>vapor bubble volume%</t>
    </r>
    <r>
      <rPr>
        <sz val="9"/>
        <rFont val="Calibri"/>
        <family val="2"/>
        <scheme val="minor"/>
      </rPr>
      <t xml:space="preserve"> (bubble/[glass + bubble])</t>
    </r>
  </si>
  <si>
    <t>vapor bubble diameter (um)</t>
  </si>
  <si>
    <t>vapor bubble volume (um3)</t>
  </si>
  <si>
    <r>
      <t xml:space="preserve">Fo host </t>
    </r>
    <r>
      <rPr>
        <sz val="9"/>
        <rFont val="Calibri"/>
        <family val="2"/>
        <scheme val="minor"/>
      </rPr>
      <t>(olivine Mg#)</t>
    </r>
  </si>
  <si>
    <t>mineral longest-axis diameter (mm)</t>
  </si>
  <si>
    <t>mineral shortest-axis diameter (mm)</t>
  </si>
  <si>
    <r>
      <t>H2O in melt (wt%)</t>
    </r>
    <r>
      <rPr>
        <sz val="9"/>
        <rFont val="Calibri"/>
        <family val="2"/>
        <scheme val="minor"/>
      </rPr>
      <t xml:space="preserve"> (not PEC-corrected)</t>
    </r>
  </si>
  <si>
    <r>
      <rPr>
        <b/>
        <sz val="9"/>
        <rFont val="Calibri"/>
        <family val="2"/>
        <scheme val="minor"/>
      </rPr>
      <t>Entrapment Temperature (°C)</t>
    </r>
    <r>
      <rPr>
        <sz val="9"/>
        <rFont val="Calibri"/>
        <family val="2"/>
        <scheme val="minor"/>
      </rPr>
      <t xml:space="preserve"> (Helz and Thornber 1987)</t>
    </r>
  </si>
  <si>
    <r>
      <rPr>
        <b/>
        <sz val="9"/>
        <rFont val="Calibri"/>
        <family val="2"/>
        <scheme val="minor"/>
      </rPr>
      <t>Quench Temperature (°C)</t>
    </r>
    <r>
      <rPr>
        <sz val="9"/>
        <rFont val="Calibri"/>
        <family val="2"/>
        <scheme val="minor"/>
      </rPr>
      <t xml:space="preserve"> (Helz and Thornber 1987)</t>
    </r>
  </si>
  <si>
    <r>
      <t>SiO</t>
    </r>
    <r>
      <rPr>
        <b/>
        <vertAlign val="subscript"/>
        <sz val="9"/>
        <rFont val="Calibri"/>
        <family val="2"/>
        <scheme val="minor"/>
      </rPr>
      <t>2</t>
    </r>
    <r>
      <rPr>
        <b/>
        <sz val="9"/>
        <rFont val="Calibri"/>
        <family val="2"/>
        <scheme val="minor"/>
      </rPr>
      <t xml:space="preserve"> wt%</t>
    </r>
  </si>
  <si>
    <r>
      <t>TiO</t>
    </r>
    <r>
      <rPr>
        <b/>
        <vertAlign val="subscript"/>
        <sz val="9"/>
        <rFont val="Calibri"/>
        <family val="2"/>
        <scheme val="minor"/>
      </rPr>
      <t>2</t>
    </r>
    <r>
      <rPr>
        <b/>
        <sz val="9"/>
        <rFont val="Calibri"/>
        <family val="2"/>
        <scheme val="minor"/>
      </rPr>
      <t xml:space="preserve"> wt%</t>
    </r>
  </si>
  <si>
    <r>
      <t>Al</t>
    </r>
    <r>
      <rPr>
        <b/>
        <vertAlign val="subscript"/>
        <sz val="9"/>
        <rFont val="Calibri"/>
        <family val="2"/>
        <scheme val="minor"/>
      </rPr>
      <t>2</t>
    </r>
    <r>
      <rPr>
        <b/>
        <sz val="9"/>
        <rFont val="Calibri"/>
        <family val="2"/>
        <scheme val="minor"/>
      </rPr>
      <t>O</t>
    </r>
    <r>
      <rPr>
        <b/>
        <vertAlign val="subscript"/>
        <sz val="9"/>
        <rFont val="Calibri"/>
        <family val="2"/>
        <scheme val="minor"/>
      </rPr>
      <t>3</t>
    </r>
    <r>
      <rPr>
        <b/>
        <sz val="9"/>
        <rFont val="Calibri"/>
        <family val="2"/>
        <scheme val="minor"/>
      </rPr>
      <t xml:space="preserve">  wt%</t>
    </r>
  </si>
  <si>
    <r>
      <t>FeO</t>
    </r>
    <r>
      <rPr>
        <b/>
        <vertAlign val="superscript"/>
        <sz val="9"/>
        <rFont val="Calibri"/>
        <family val="2"/>
        <scheme val="minor"/>
      </rPr>
      <t>T</t>
    </r>
    <r>
      <rPr>
        <b/>
        <sz val="9"/>
        <rFont val="Calibri"/>
        <family val="2"/>
        <scheme val="minor"/>
      </rPr>
      <t xml:space="preserve"> wt%</t>
    </r>
  </si>
  <si>
    <r>
      <t>Na</t>
    </r>
    <r>
      <rPr>
        <b/>
        <vertAlign val="subscript"/>
        <sz val="9"/>
        <rFont val="Calibri"/>
        <family val="2"/>
        <scheme val="minor"/>
      </rPr>
      <t>2</t>
    </r>
    <r>
      <rPr>
        <b/>
        <sz val="9"/>
        <rFont val="Calibri"/>
        <family val="2"/>
        <scheme val="minor"/>
      </rPr>
      <t>O wt%</t>
    </r>
  </si>
  <si>
    <r>
      <t>K</t>
    </r>
    <r>
      <rPr>
        <b/>
        <vertAlign val="subscript"/>
        <sz val="9"/>
        <rFont val="Calibri"/>
        <family val="2"/>
        <scheme val="minor"/>
      </rPr>
      <t>2</t>
    </r>
    <r>
      <rPr>
        <b/>
        <sz val="9"/>
        <rFont val="Calibri"/>
        <family val="2"/>
        <scheme val="minor"/>
      </rPr>
      <t>O wt%</t>
    </r>
  </si>
  <si>
    <r>
      <t>P</t>
    </r>
    <r>
      <rPr>
        <b/>
        <vertAlign val="subscript"/>
        <sz val="9"/>
        <rFont val="Calibri"/>
        <family val="2"/>
        <scheme val="minor"/>
      </rPr>
      <t>2</t>
    </r>
    <r>
      <rPr>
        <b/>
        <sz val="9"/>
        <rFont val="Calibri"/>
        <family val="2"/>
        <scheme val="minor"/>
      </rPr>
      <t>O</t>
    </r>
    <r>
      <rPr>
        <b/>
        <vertAlign val="subscript"/>
        <sz val="9"/>
        <rFont val="Calibri"/>
        <family val="2"/>
        <scheme val="minor"/>
      </rPr>
      <t>5</t>
    </r>
    <r>
      <rPr>
        <b/>
        <sz val="9"/>
        <rFont val="Calibri"/>
        <family val="2"/>
        <scheme val="minor"/>
      </rPr>
      <t xml:space="preserve"> wt%</t>
    </r>
  </si>
  <si>
    <r>
      <t xml:space="preserve">un-normalized total wt% </t>
    </r>
    <r>
      <rPr>
        <sz val="9"/>
        <rFont val="Calibri"/>
        <family val="2"/>
        <scheme val="minor"/>
      </rPr>
      <t>(major elements)</t>
    </r>
  </si>
  <si>
    <t>Bubble is likely a co-trapped exsolved fluid phase</t>
  </si>
  <si>
    <r>
      <t xml:space="preserve">Melt inclusion compositions (PEC-corrected </t>
    </r>
    <r>
      <rPr>
        <i/>
        <sz val="12"/>
        <rFont val="Calibri"/>
        <family val="2"/>
        <scheme val="minor"/>
      </rPr>
      <t>[if applicable]</t>
    </r>
    <r>
      <rPr>
        <sz val="12"/>
        <rFont val="Calibri"/>
        <family val="2"/>
        <scheme val="minor"/>
      </rPr>
      <t xml:space="preserve"> and normalized to 100% anhydrous total)</t>
    </r>
  </si>
  <si>
    <r>
      <t>Fe</t>
    </r>
    <r>
      <rPr>
        <b/>
        <vertAlign val="subscript"/>
        <sz val="9"/>
        <rFont val="Calibri"/>
        <family val="2"/>
        <scheme val="minor"/>
      </rPr>
      <t>2</t>
    </r>
    <r>
      <rPr>
        <b/>
        <sz val="9"/>
        <rFont val="Calibri"/>
        <family val="2"/>
        <scheme val="minor"/>
      </rPr>
      <t>O</t>
    </r>
    <r>
      <rPr>
        <b/>
        <vertAlign val="subscript"/>
        <sz val="9"/>
        <rFont val="Calibri"/>
        <family val="2"/>
        <scheme val="minor"/>
      </rPr>
      <t>3</t>
    </r>
    <r>
      <rPr>
        <b/>
        <sz val="9"/>
        <rFont val="Calibri"/>
        <family val="2"/>
        <scheme val="minor"/>
      </rPr>
      <t xml:space="preserve"> wt%</t>
    </r>
  </si>
  <si>
    <t>Fe redox components</t>
  </si>
  <si>
    <r>
      <t>Total CO2 in inclusion (ppm)</t>
    </r>
    <r>
      <rPr>
        <sz val="9"/>
        <rFont val="Calibri"/>
        <family val="2"/>
        <scheme val="minor"/>
      </rPr>
      <t xml:space="preserve"> (glass + bubble, PEC-corrected)</t>
    </r>
  </si>
  <si>
    <t>CO2 fluid entrapment pressure (bar)</t>
  </si>
  <si>
    <t>CO2 fluid entrapment depth (km)</t>
  </si>
  <si>
    <t>+1σ CO2 fluid entrapment depth (km)</t>
  </si>
  <si>
    <t>-1σ CO2 fluid entrapment depth (km)</t>
  </si>
  <si>
    <t>Fluid inclusion notes</t>
  </si>
  <si>
    <t>-1σ CO2 fluid entrap pressure (bar)</t>
  </si>
  <si>
    <t>Melt inclusion entrapment pressures and depths</t>
  </si>
  <si>
    <t>Saturation depth (km)</t>
  </si>
  <si>
    <r>
      <t>% Incompatible enrichment due to PEC</t>
    </r>
    <r>
      <rPr>
        <sz val="9"/>
        <rFont val="Calibri"/>
        <family val="2"/>
        <scheme val="minor"/>
      </rPr>
      <t xml:space="preserve"> (Petrolog3-corrected)</t>
    </r>
  </si>
  <si>
    <r>
      <t>PEC correction coefficient</t>
    </r>
    <r>
      <rPr>
        <sz val="9"/>
        <rFont val="Calibri"/>
        <family val="2"/>
        <scheme val="minor"/>
      </rPr>
      <t xml:space="preserve"> (Petrolog3)</t>
    </r>
  </si>
  <si>
    <t>Temperature calculations and post-entrapment crystallization corrections</t>
  </si>
  <si>
    <r>
      <t>CO</t>
    </r>
    <r>
      <rPr>
        <b/>
        <vertAlign val="subscript"/>
        <sz val="9"/>
        <color indexed="8"/>
        <rFont val="Calibri"/>
        <family val="2"/>
        <scheme val="minor"/>
      </rPr>
      <t>2</t>
    </r>
    <r>
      <rPr>
        <b/>
        <sz val="9"/>
        <rFont val="Calibri"/>
        <family val="2"/>
        <scheme val="minor"/>
      </rPr>
      <t xml:space="preserve"> bulk density in vapor bubble (g/cm</t>
    </r>
    <r>
      <rPr>
        <b/>
        <vertAlign val="superscript"/>
        <sz val="9"/>
        <color indexed="8"/>
        <rFont val="Calibri"/>
        <family val="2"/>
        <scheme val="minor"/>
      </rPr>
      <t>3)</t>
    </r>
  </si>
  <si>
    <r>
      <t xml:space="preserve">CO2 Fermi diad,  ∆ (cm-1) </t>
    </r>
    <r>
      <rPr>
        <sz val="9"/>
        <color theme="1"/>
        <rFont val="Calibri"/>
        <family val="2"/>
        <scheme val="minor"/>
      </rPr>
      <t>Raman analyses</t>
    </r>
  </si>
  <si>
    <t>Melt densities</t>
  </si>
  <si>
    <t>unknown if sulfide was present</t>
  </si>
  <si>
    <t>no sulfide</t>
  </si>
  <si>
    <t>Mineral host properties</t>
  </si>
  <si>
    <r>
      <rPr>
        <b/>
        <sz val="9"/>
        <rFont val="Calibri"/>
        <family val="2"/>
        <scheme val="minor"/>
      </rPr>
      <t xml:space="preserve">Melt density at magmatic conditions (g/cm3)
</t>
    </r>
    <r>
      <rPr>
        <sz val="9"/>
        <rFont val="Calibri"/>
        <family val="2"/>
        <scheme val="minor"/>
      </rPr>
      <t>(677 bar, Melt Temp, PEC-corrected compositions; DensityX calcs)</t>
    </r>
  </si>
  <si>
    <r>
      <rPr>
        <b/>
        <sz val="9"/>
        <rFont val="Calibri"/>
        <family val="2"/>
        <scheme val="minor"/>
      </rPr>
      <t xml:space="preserve">Melt density, quenched (g/cm3)
</t>
    </r>
    <r>
      <rPr>
        <sz val="9"/>
        <rFont val="Calibri"/>
        <family val="2"/>
        <scheme val="minor"/>
      </rPr>
      <t>(1 bar, 25°C, non-PEC-corrected composition; DensityX calcs)</t>
    </r>
  </si>
  <si>
    <r>
      <rPr>
        <b/>
        <sz val="9"/>
        <color theme="1"/>
        <rFont val="Calibri"/>
        <family val="2"/>
      </rPr>
      <t>Δ</t>
    </r>
    <r>
      <rPr>
        <b/>
        <sz val="9"/>
        <color theme="1"/>
        <rFont val="Calibri"/>
        <family val="2"/>
        <scheme val="minor"/>
      </rPr>
      <t xml:space="preserve">T (°C)
</t>
    </r>
    <r>
      <rPr>
        <sz val="9"/>
        <color theme="1"/>
        <rFont val="Calibri"/>
        <family val="2"/>
        <scheme val="minor"/>
      </rPr>
      <t>(inclusion cooling interval: entrapment-quench temp.)</t>
    </r>
  </si>
  <si>
    <t>CO2 densities in vapor bubbles and fluid inclusions (Raman-measured)</t>
  </si>
  <si>
    <t>± CO2 Fermi diad 1SE uncertainty,  ∆ (cm-1)</t>
  </si>
  <si>
    <t>non-PEC-corrected, unnormalized melt inclusion glass analyses</t>
  </si>
  <si>
    <t>Cl wt% (raw)</t>
  </si>
  <si>
    <t>CO2 ppm (raw)</t>
  </si>
  <si>
    <r>
      <t>FeO</t>
    </r>
    <r>
      <rPr>
        <vertAlign val="superscript"/>
        <sz val="9"/>
        <rFont val="Calibri"/>
        <family val="2"/>
        <scheme val="minor"/>
      </rPr>
      <t>T</t>
    </r>
    <r>
      <rPr>
        <sz val="9"/>
        <rFont val="Calibri"/>
        <family val="2"/>
        <scheme val="minor"/>
      </rPr>
      <t xml:space="preserve"> wt% (raw)</t>
    </r>
  </si>
  <si>
    <t>S ppm (raw)</t>
  </si>
  <si>
    <t>un-normalized total wt% (anhydrous) (raw)</t>
  </si>
  <si>
    <r>
      <t>SiO</t>
    </r>
    <r>
      <rPr>
        <i/>
        <vertAlign val="subscript"/>
        <sz val="9"/>
        <color theme="1"/>
        <rFont val="Calibri"/>
        <family val="2"/>
        <scheme val="minor"/>
      </rPr>
      <t>2</t>
    </r>
    <r>
      <rPr>
        <i/>
        <sz val="9"/>
        <color theme="1"/>
        <rFont val="Calibri"/>
        <family val="2"/>
        <scheme val="minor"/>
      </rPr>
      <t xml:space="preserve"> wt% ± 1SE</t>
    </r>
  </si>
  <si>
    <r>
      <t>TiO</t>
    </r>
    <r>
      <rPr>
        <i/>
        <vertAlign val="subscript"/>
        <sz val="9"/>
        <color theme="1"/>
        <rFont val="Calibri"/>
        <family val="2"/>
        <scheme val="minor"/>
      </rPr>
      <t>2</t>
    </r>
    <r>
      <rPr>
        <i/>
        <sz val="9"/>
        <color theme="1"/>
        <rFont val="Calibri"/>
        <family val="2"/>
        <scheme val="minor"/>
      </rPr>
      <t xml:space="preserve"> wt% ± 1SE</t>
    </r>
  </si>
  <si>
    <r>
      <t>Al</t>
    </r>
    <r>
      <rPr>
        <i/>
        <vertAlign val="subscript"/>
        <sz val="9"/>
        <color theme="1"/>
        <rFont val="Calibri"/>
        <family val="2"/>
        <scheme val="minor"/>
      </rPr>
      <t>2</t>
    </r>
    <r>
      <rPr>
        <i/>
        <sz val="9"/>
        <color theme="1"/>
        <rFont val="Calibri"/>
        <family val="2"/>
        <scheme val="minor"/>
      </rPr>
      <t>O</t>
    </r>
    <r>
      <rPr>
        <i/>
        <vertAlign val="subscript"/>
        <sz val="9"/>
        <color theme="1"/>
        <rFont val="Calibri"/>
        <family val="2"/>
        <scheme val="minor"/>
      </rPr>
      <t>3</t>
    </r>
    <r>
      <rPr>
        <i/>
        <sz val="9"/>
        <color theme="1"/>
        <rFont val="Calibri"/>
        <family val="2"/>
        <scheme val="minor"/>
      </rPr>
      <t xml:space="preserve"> wt% ± 1SE</t>
    </r>
  </si>
  <si>
    <r>
      <t>FeO</t>
    </r>
    <r>
      <rPr>
        <i/>
        <vertAlign val="superscript"/>
        <sz val="9"/>
        <color theme="1"/>
        <rFont val="Calibri"/>
        <family val="2"/>
        <scheme val="minor"/>
      </rPr>
      <t>T</t>
    </r>
    <r>
      <rPr>
        <i/>
        <sz val="9"/>
        <color theme="1"/>
        <rFont val="Calibri"/>
        <family val="2"/>
        <scheme val="minor"/>
      </rPr>
      <t xml:space="preserve"> wt% ± 1SE</t>
    </r>
  </si>
  <si>
    <r>
      <t>Na</t>
    </r>
    <r>
      <rPr>
        <i/>
        <vertAlign val="subscript"/>
        <sz val="9"/>
        <color theme="1"/>
        <rFont val="Calibri"/>
        <family val="2"/>
        <scheme val="minor"/>
      </rPr>
      <t>2</t>
    </r>
    <r>
      <rPr>
        <i/>
        <sz val="9"/>
        <color theme="1"/>
        <rFont val="Calibri"/>
        <family val="2"/>
        <scheme val="minor"/>
      </rPr>
      <t>O wt% ± 1SE</t>
    </r>
  </si>
  <si>
    <r>
      <t>K</t>
    </r>
    <r>
      <rPr>
        <i/>
        <vertAlign val="subscript"/>
        <sz val="9"/>
        <color theme="1"/>
        <rFont val="Calibri"/>
        <family val="2"/>
        <scheme val="minor"/>
      </rPr>
      <t>2</t>
    </r>
    <r>
      <rPr>
        <i/>
        <sz val="9"/>
        <color theme="1"/>
        <rFont val="Calibri"/>
        <family val="2"/>
        <scheme val="minor"/>
      </rPr>
      <t>O wt% ± 1SE</t>
    </r>
  </si>
  <si>
    <r>
      <t>P</t>
    </r>
    <r>
      <rPr>
        <i/>
        <vertAlign val="subscript"/>
        <sz val="9"/>
        <color theme="1"/>
        <rFont val="Calibri"/>
        <family val="2"/>
        <scheme val="minor"/>
      </rPr>
      <t>2</t>
    </r>
    <r>
      <rPr>
        <i/>
        <sz val="9"/>
        <color theme="1"/>
        <rFont val="Calibri"/>
        <family val="2"/>
        <scheme val="minor"/>
      </rPr>
      <t>O</t>
    </r>
    <r>
      <rPr>
        <i/>
        <vertAlign val="subscript"/>
        <sz val="9"/>
        <color theme="1"/>
        <rFont val="Calibri"/>
        <family val="2"/>
        <scheme val="minor"/>
      </rPr>
      <t>5</t>
    </r>
    <r>
      <rPr>
        <i/>
        <sz val="9"/>
        <color theme="1"/>
        <rFont val="Calibri"/>
        <family val="2"/>
        <scheme val="minor"/>
      </rPr>
      <t xml:space="preserve"> wt% ± 1SE</t>
    </r>
  </si>
  <si>
    <t>Saturation pressures using other solubitlity models (Dixon 1997, Shishkina et al., 2014)</t>
  </si>
  <si>
    <t>Saturation pressure (bar)
from total CO2 (FTIR + Raman) (Dixon 1997)</t>
  </si>
  <si>
    <r>
      <t>+1</t>
    </r>
    <r>
      <rPr>
        <b/>
        <i/>
        <sz val="9"/>
        <rFont val="Calibri"/>
        <family val="2"/>
      </rPr>
      <t>σ</t>
    </r>
    <r>
      <rPr>
        <b/>
        <i/>
        <sz val="9"/>
        <rFont val="Calibri"/>
        <family val="2"/>
        <scheme val="minor"/>
      </rPr>
      <t xml:space="preserve"> saturation pressure (bar)
(Iacono-Marziano et al 2012)</t>
    </r>
  </si>
  <si>
    <r>
      <t>-1</t>
    </r>
    <r>
      <rPr>
        <b/>
        <i/>
        <sz val="9"/>
        <rFont val="Calibri"/>
        <family val="2"/>
      </rPr>
      <t>σ</t>
    </r>
    <r>
      <rPr>
        <b/>
        <i/>
        <sz val="9"/>
        <rFont val="Calibri"/>
        <family val="2"/>
        <scheme val="minor"/>
      </rPr>
      <t xml:space="preserve"> saturation pressure (bar)
(Iacono-Marziano et al 2012)</t>
    </r>
  </si>
  <si>
    <t>+1σ saturation pressure (bar)
(Dixon 1997)</t>
  </si>
  <si>
    <t>-1σ saturation pressure (bar)
(Dixon 1997)</t>
  </si>
  <si>
    <t>+1σ saturation pressure (bar)
(Shiskina et al 2014)</t>
  </si>
  <si>
    <t>-1σ saturation pressure (bar)
(Shiskina et al 2014)</t>
  </si>
  <si>
    <t>Saturation pressure (bar)
from total CO2 (FTIR + Raman) (Shiskina et al 2014)</t>
  </si>
  <si>
    <t>Saturation depth (km) from Dixon 1997 sat. pressure</t>
  </si>
  <si>
    <t>Saturation depth (km) from Shishina et al 2014 sat. pressure</t>
  </si>
  <si>
    <r>
      <rPr>
        <b/>
        <i/>
        <sz val="9"/>
        <color theme="1"/>
        <rFont val="Calibri"/>
        <family val="2"/>
      </rPr>
      <t>±1σ</t>
    </r>
    <r>
      <rPr>
        <b/>
        <i/>
        <sz val="9"/>
        <color theme="1"/>
        <rFont val="Calibri"/>
        <family val="2"/>
        <scheme val="minor"/>
      </rPr>
      <t xml:space="preserve"> saturation depth (km)</t>
    </r>
    <r>
      <rPr>
        <i/>
        <sz val="9"/>
        <color theme="1"/>
        <rFont val="Calibri"/>
        <family val="2"/>
        <scheme val="minor"/>
      </rPr>
      <t xml:space="preserve"> (mean positive and negative uncertainty)</t>
    </r>
  </si>
  <si>
    <r>
      <t xml:space="preserve">CO2 from just bubble (ppm) </t>
    </r>
    <r>
      <rPr>
        <sz val="9"/>
        <rFont val="Calibri"/>
        <family val="2"/>
        <scheme val="minor"/>
      </rPr>
      <t>(bubble-only Raman, PEC-corrected)</t>
    </r>
  </si>
  <si>
    <r>
      <rPr>
        <b/>
        <sz val="9"/>
        <rFont val="Calibri"/>
        <family val="2"/>
        <scheme val="minor"/>
      </rPr>
      <t>Temperature from olivine Fo</t>
    </r>
    <r>
      <rPr>
        <sz val="9"/>
        <rFont val="Calibri"/>
        <family val="2"/>
        <scheme val="minor"/>
      </rPr>
      <t xml:space="preserve"> </t>
    </r>
    <r>
      <rPr>
        <b/>
        <sz val="9"/>
        <rFont val="Calibri"/>
        <family val="2"/>
        <scheme val="minor"/>
      </rPr>
      <t xml:space="preserve">(for fluid inclusion temps) </t>
    </r>
    <r>
      <rPr>
        <sz val="9"/>
        <rFont val="Calibri"/>
        <family val="2"/>
        <scheme val="minor"/>
      </rPr>
      <t>(fit equation: Temp = 0.02289*(Fo)^3 - 4.943*(Fo)^2 + 358.6*(Fo) - 7620)</t>
    </r>
  </si>
  <si>
    <r>
      <t xml:space="preserve">UNCERTAINIES
</t>
    </r>
    <r>
      <rPr>
        <b/>
        <sz val="12"/>
        <color theme="0"/>
        <rFont val="Calibri"/>
        <family val="2"/>
      </rPr>
      <t>→</t>
    </r>
  </si>
  <si>
    <t xml:space="preserve">Saturation pressures using other models →
</t>
  </si>
  <si>
    <r>
      <t xml:space="preserve">Original analyses (no-PEC correction; unnormalized)
</t>
    </r>
    <r>
      <rPr>
        <b/>
        <sz val="12"/>
        <color theme="0"/>
        <rFont val="Calibri"/>
        <family val="2"/>
      </rPr>
      <t>→</t>
    </r>
  </si>
  <si>
    <r>
      <t xml:space="preserve">Original analyses (unnormalized)
</t>
    </r>
    <r>
      <rPr>
        <b/>
        <sz val="12"/>
        <color theme="0"/>
        <rFont val="Calibri"/>
        <family val="2"/>
      </rPr>
      <t>→</t>
    </r>
  </si>
  <si>
    <r>
      <t xml:space="preserve">Mineral stoichiometry
</t>
    </r>
    <r>
      <rPr>
        <b/>
        <sz val="12"/>
        <color theme="0"/>
        <rFont val="Calibri"/>
        <family val="2"/>
      </rPr>
      <t>→</t>
    </r>
  </si>
  <si>
    <t>Olivine mole fractions (normalized)</t>
  </si>
  <si>
    <t>Mineral composition and size</t>
  </si>
  <si>
    <r>
      <t xml:space="preserve">Sample Name
</t>
    </r>
    <r>
      <rPr>
        <sz val="9"/>
        <rFont val="Calibri"/>
        <family val="2"/>
        <scheme val="minor"/>
      </rPr>
      <t>(silicate minerals)</t>
    </r>
  </si>
  <si>
    <t>Normalized mineral compositions</t>
  </si>
  <si>
    <t>TOTAL wt% 
(un-normalized)</t>
  </si>
  <si>
    <t>Un-normalized mineral compositions</t>
  </si>
  <si>
    <t>TOTAL wt% (raw)</t>
  </si>
  <si>
    <t>Analytical uncertainties</t>
  </si>
  <si>
    <r>
      <t>SiO</t>
    </r>
    <r>
      <rPr>
        <i/>
        <vertAlign val="subscript"/>
        <sz val="9"/>
        <rFont val="Calibri"/>
        <family val="2"/>
        <scheme val="minor"/>
      </rPr>
      <t>2</t>
    </r>
    <r>
      <rPr>
        <i/>
        <sz val="9"/>
        <rFont val="Calibri"/>
        <family val="2"/>
        <scheme val="minor"/>
      </rPr>
      <t xml:space="preserve"> wt% ± 1SE</t>
    </r>
  </si>
  <si>
    <r>
      <t>TiO</t>
    </r>
    <r>
      <rPr>
        <i/>
        <vertAlign val="subscript"/>
        <sz val="9"/>
        <rFont val="Calibri"/>
        <family val="2"/>
        <scheme val="minor"/>
      </rPr>
      <t>2</t>
    </r>
    <r>
      <rPr>
        <i/>
        <sz val="9"/>
        <rFont val="Calibri"/>
        <family val="2"/>
        <scheme val="minor"/>
      </rPr>
      <t xml:space="preserve"> wt% ± 1SE</t>
    </r>
  </si>
  <si>
    <r>
      <t>FeO</t>
    </r>
    <r>
      <rPr>
        <i/>
        <vertAlign val="superscript"/>
        <sz val="9"/>
        <rFont val="Calibri"/>
        <family val="2"/>
        <scheme val="minor"/>
      </rPr>
      <t>T</t>
    </r>
    <r>
      <rPr>
        <i/>
        <sz val="9"/>
        <rFont val="Calibri"/>
        <family val="2"/>
        <scheme val="minor"/>
      </rPr>
      <t xml:space="preserve"> wt% ± 1SE</t>
    </r>
  </si>
  <si>
    <r>
      <t>Na</t>
    </r>
    <r>
      <rPr>
        <i/>
        <vertAlign val="subscript"/>
        <sz val="9"/>
        <rFont val="Calibri"/>
        <family val="2"/>
        <scheme val="minor"/>
      </rPr>
      <t>2</t>
    </r>
    <r>
      <rPr>
        <i/>
        <sz val="9"/>
        <rFont val="Calibri"/>
        <family val="2"/>
        <scheme val="minor"/>
      </rPr>
      <t>O wt% ± 1SE</t>
    </r>
  </si>
  <si>
    <r>
      <t>K</t>
    </r>
    <r>
      <rPr>
        <i/>
        <vertAlign val="subscript"/>
        <sz val="9"/>
        <rFont val="Calibri"/>
        <family val="2"/>
        <scheme val="minor"/>
      </rPr>
      <t>2</t>
    </r>
    <r>
      <rPr>
        <i/>
        <sz val="9"/>
        <rFont val="Calibri"/>
        <family val="2"/>
        <scheme val="minor"/>
      </rPr>
      <t>O wt% ± 1SE</t>
    </r>
  </si>
  <si>
    <t>Cr2O3 wt% ± 1SE</t>
  </si>
  <si>
    <t>NiO wt% ± 1SE</t>
  </si>
  <si>
    <t xml:space="preserve"> NiO wt%</t>
  </si>
  <si>
    <r>
      <t xml:space="preserve"> Cr</t>
    </r>
    <r>
      <rPr>
        <b/>
        <vertAlign val="subscript"/>
        <sz val="9"/>
        <rFont val="Calibri"/>
        <family val="2"/>
        <scheme val="minor"/>
      </rPr>
      <t>2</t>
    </r>
    <r>
      <rPr>
        <b/>
        <sz val="9"/>
        <rFont val="Calibri"/>
        <family val="2"/>
        <scheme val="minor"/>
      </rPr>
      <t>O</t>
    </r>
    <r>
      <rPr>
        <b/>
        <vertAlign val="subscript"/>
        <sz val="9"/>
        <rFont val="Calibri"/>
        <family val="2"/>
        <scheme val="minor"/>
      </rPr>
      <t>3</t>
    </r>
    <r>
      <rPr>
        <b/>
        <sz val="9"/>
        <rFont val="Calibri"/>
        <family val="2"/>
        <scheme val="minor"/>
      </rPr>
      <t xml:space="preserve"> wt%</t>
    </r>
  </si>
  <si>
    <t>Al2O3  wt% (raw)</t>
  </si>
  <si>
    <t xml:space="preserve"> Cr2O3 wt% (raw)</t>
  </si>
  <si>
    <t xml:space="preserve"> NiO wt% (raw)</t>
  </si>
  <si>
    <t>K99-5_6a_MI; K99-5_6b_MI</t>
  </si>
  <si>
    <t>Associated melt/fluid inclusion anaylsis</t>
  </si>
  <si>
    <t>K99-5_1a_MI; K99-5_1b; K99-5_1c; K99-5_1d; K99-5_1e</t>
  </si>
  <si>
    <t>K99-5_4a; K99-5_4b; K99-5_4c; K99-5_4d; K99-5_4e_MI</t>
  </si>
  <si>
    <t>K99-5_5a; K99-5_5b; K99-5_5c; K99-5_5d; K99-5_5e; K99-5_5f</t>
  </si>
  <si>
    <t>K99-5_6c_MI; K99-5_6d</t>
  </si>
  <si>
    <t>K99-5_11a_MI; K99-5_11b; K99-5_11c; K99-5_11d; K99-5_11e; K99-5_11f</t>
  </si>
  <si>
    <t>K99-5_12a_MI; K99-5_12b; K99-5_12c_MI; K99-5_12d</t>
  </si>
  <si>
    <t>K99-5_13a; K99-5_13b</t>
  </si>
  <si>
    <t>K99-5_13c_MI; K99-5_13d_MI</t>
  </si>
  <si>
    <t>K99-5_14d; K99-5_14e_MI</t>
  </si>
  <si>
    <t>K99-5_14a_MI; K99-5_14b; K99-5_14c</t>
  </si>
  <si>
    <t>K99-5_15a_MI; K99-5_15b_MI; K99-5_15c; K99-5_15d_MI</t>
  </si>
  <si>
    <t>SW3_2b_MI; SW3_2c_MI; SW3_2d_MI; SW3_2e; SW3_2f</t>
  </si>
  <si>
    <t>SW3_6a_MI; SW3_6b_MI_rep; SW3_6d</t>
  </si>
  <si>
    <t>SW3_7a_MI; SW3_7b; SW3_7c</t>
  </si>
  <si>
    <t>SW3_10a_MI; SW3_10b; SW3_10c; SW3_10d; SW3_10e</t>
  </si>
  <si>
    <t>no associated inclusion analysis</t>
  </si>
  <si>
    <t>SW3_15a_MI; SW3_15b_MI; SW3_15c_MI</t>
  </si>
  <si>
    <t>SW3_16a; SW3_16b</t>
  </si>
  <si>
    <t>K99-6_1a_MI; K99-6_1b_MI; K99-6_1c; K99-6_1d_MI; K99-6_1other_MI</t>
  </si>
  <si>
    <t>K99-6_2_MI; K99-6_2b; K99-6_2c; K99-6_2d</t>
  </si>
  <si>
    <t>K99-6_5a; K99-6_5b; K99-6_5c; K99-6_5d; K99-6_5e</t>
  </si>
  <si>
    <t>K99-6_6a; K99-6_6c_MI</t>
  </si>
  <si>
    <t>K99-6_8b; K99-6_8c</t>
  </si>
  <si>
    <t>K99-6_9a; K99-6_9b; K99-6_9c_MI; K99-6_9d_MI</t>
  </si>
  <si>
    <t>K99-6_12a_MI; K99-6_12b_MI; K99-6_12d_MI</t>
  </si>
  <si>
    <t>K99-6_13a_MI_rep_glass; K99-6_13b; K99-6_13c; K99-6_13d; K99-6_13e; K99-6_13f; K99-6_13g; K99-6_13h</t>
  </si>
  <si>
    <t>K99-6_14a_MI; K99-6_14b_MI</t>
  </si>
  <si>
    <t xml:space="preserve">K99-6_16other_MI; K99-6_16a; K99-6_16b; K99-6_16c; K99-6_16d; K99-6_16e; K99-6_16f; K99-6_16g; K99-6_16h; K99-6_16i; K99-6_16j; K99-6_16k; K99-6_16l </t>
  </si>
  <si>
    <t>K99-6_20a_MI; K99-6_20b_MI; K99-6_20c_MI</t>
  </si>
  <si>
    <t>K97_23_5_1; K97_23_5_2</t>
  </si>
  <si>
    <t>K97_23_5b_ol1_avg</t>
  </si>
  <si>
    <t>K97_23_16b_ol1_avg</t>
  </si>
  <si>
    <t>avg of 3 olivine analyses</t>
  </si>
  <si>
    <t>avg of 2 olivine analyses</t>
  </si>
  <si>
    <t>avg of 4 olivine analyses</t>
  </si>
  <si>
    <t>only glass FTIR; no EPMA</t>
  </si>
  <si>
    <t>single EPMA analysis</t>
  </si>
  <si>
    <t>Inclusion analytical notes</t>
  </si>
  <si>
    <t>only Raman bubble analysis; no EPMA or FTIR</t>
  </si>
  <si>
    <t>only Raman bubble analysis; no glass</t>
  </si>
  <si>
    <t>single EPMA analysis + Raman + FTIR</t>
  </si>
  <si>
    <t>single EPMA analysis + Raman</t>
  </si>
  <si>
    <t>avg of 3 EPMA analyses + FTIR</t>
  </si>
  <si>
    <t>avg of 2 EPMA analyses + FTIR</t>
  </si>
  <si>
    <t>single EPMA analysis + FTIR</t>
  </si>
  <si>
    <t>avg of 3 EPMA analyses</t>
  </si>
  <si>
    <t>avg of 2 EPMA analyses + Raman</t>
  </si>
  <si>
    <t>avg of 2 EPMA analyses + Raman + FTIR</t>
  </si>
  <si>
    <t>only Raman bubble analysis; no EMPA or FTIR</t>
  </si>
  <si>
    <t>Raman bubble analysis + FTIR</t>
  </si>
  <si>
    <r>
      <t xml:space="preserve">Sulfide diameter (um)
</t>
    </r>
    <r>
      <rPr>
        <sz val="9"/>
        <rFont val="Calibri"/>
        <family val="2"/>
        <scheme val="minor"/>
      </rPr>
      <t xml:space="preserve">if present in melt inclusion </t>
    </r>
  </si>
  <si>
    <t>not measured before intersection</t>
  </si>
  <si>
    <t>only Raman bubble analysis; no EMPA or FTIR; grain lost after Raman analysis</t>
  </si>
  <si>
    <r>
      <t xml:space="preserve">CO2 in glass (ppm) </t>
    </r>
    <r>
      <rPr>
        <sz val="9"/>
        <rFont val="Calibri"/>
        <family val="2"/>
        <scheme val="minor"/>
      </rPr>
      <t>(glass-only FTIR, PEC-corrected)  Note: assume 30 ppm CO2 if bdl by FTIR (orange highlight)</t>
    </r>
    <r>
      <rPr>
        <b/>
        <sz val="9"/>
        <rFont val="Calibri"/>
        <family val="2"/>
        <scheme val="minor"/>
      </rPr>
      <t>, and if unmeasured in glass, assume glass CO2 concentration equal to the mean of other measured samples in unit (purple highlight)</t>
    </r>
  </si>
  <si>
    <t>not measured; assumed to be 148 ppm</t>
  </si>
  <si>
    <t>not measured; assumed to be 141 ppm</t>
  </si>
  <si>
    <t>not measured; assumed to be 158 ppm</t>
  </si>
  <si>
    <t>only Raman bubble analysis</t>
  </si>
  <si>
    <r>
      <t xml:space="preserve">+1σ CO2 fluid entrap pressure </t>
    </r>
    <r>
      <rPr>
        <b/>
        <i/>
        <sz val="9"/>
        <color theme="1"/>
        <rFont val="Calibri"/>
        <family val="2"/>
      </rPr>
      <t>(</t>
    </r>
    <r>
      <rPr>
        <b/>
        <i/>
        <sz val="9"/>
        <color theme="1"/>
        <rFont val="Calibri"/>
        <family val="2"/>
        <scheme val="minor"/>
      </rPr>
      <t>bar)</t>
    </r>
  </si>
  <si>
    <t>Vitric Ash IIA2 (K99-5)</t>
  </si>
  <si>
    <t>Vitric Ash IIA1 (SW3)</t>
  </si>
  <si>
    <t>Lower Reticulite (K99-6)</t>
  </si>
  <si>
    <r>
      <t>∆ν,</t>
    </r>
    <r>
      <rPr>
        <b/>
        <vertAlign val="subscript"/>
        <sz val="9"/>
        <color theme="1"/>
        <rFont val="Calibri"/>
        <family val="2"/>
        <scheme val="minor"/>
      </rPr>
      <t>Corrected</t>
    </r>
    <r>
      <rPr>
        <b/>
        <sz val="9"/>
        <color theme="1"/>
        <rFont val="Calibri"/>
        <family val="2"/>
        <scheme val="minor"/>
      </rPr>
      <t xml:space="preserve"> (cm</t>
    </r>
    <r>
      <rPr>
        <b/>
        <vertAlign val="superscript"/>
        <sz val="9"/>
        <color theme="1"/>
        <rFont val="Calibri"/>
        <family val="2"/>
        <scheme val="minor"/>
      </rPr>
      <t>-1</t>
    </r>
    <r>
      <rPr>
        <b/>
        <sz val="9"/>
        <color theme="1"/>
        <rFont val="Calibri"/>
        <family val="2"/>
        <scheme val="minor"/>
      </rPr>
      <t>)</t>
    </r>
  </si>
  <si>
    <r>
      <t>∆ν,</t>
    </r>
    <r>
      <rPr>
        <b/>
        <i/>
        <vertAlign val="subscript"/>
        <sz val="9"/>
        <rFont val="Calibri"/>
        <family val="2"/>
        <scheme val="minor"/>
      </rPr>
      <t>Corrected</t>
    </r>
    <r>
      <rPr>
        <b/>
        <i/>
        <sz val="9"/>
        <rFont val="Calibri"/>
        <family val="2"/>
        <scheme val="minor"/>
      </rPr>
      <t xml:space="preserve"> std err (1 SE) (cm</t>
    </r>
    <r>
      <rPr>
        <b/>
        <i/>
        <vertAlign val="superscript"/>
        <sz val="9"/>
        <rFont val="Calibri"/>
        <family val="2"/>
        <scheme val="minor"/>
      </rPr>
      <t>-1</t>
    </r>
    <r>
      <rPr>
        <b/>
        <i/>
        <sz val="9"/>
        <rFont val="Calibri"/>
        <family val="2"/>
        <scheme val="minor"/>
      </rPr>
      <t>)</t>
    </r>
  </si>
  <si>
    <t>± CO2 bulk density 1σ uncertainty (g/cm3)</t>
  </si>
  <si>
    <r>
      <t xml:space="preserve">Saturation pressure (bar) from total CO2
</t>
    </r>
    <r>
      <rPr>
        <sz val="9"/>
        <rFont val="Calibri"/>
        <family val="2"/>
        <scheme val="minor"/>
      </rPr>
      <t>(FTIR + Raman) (Iacono-Marziano et al 2012)</t>
    </r>
  </si>
  <si>
    <r>
      <t xml:space="preserve">CO2 ppm from just bubble </t>
    </r>
    <r>
      <rPr>
        <i/>
        <sz val="9"/>
        <color theme="1"/>
        <rFont val="Calibri"/>
        <family val="2"/>
      </rPr>
      <t>±</t>
    </r>
    <r>
      <rPr>
        <i/>
        <sz val="9"/>
        <color theme="1"/>
        <rFont val="Calibri"/>
        <family val="2"/>
        <scheme val="minor"/>
      </rPr>
      <t>1</t>
    </r>
    <r>
      <rPr>
        <i/>
        <sz val="9"/>
        <color theme="1"/>
        <rFont val="Calibri"/>
        <family val="2"/>
      </rPr>
      <t>σ</t>
    </r>
    <r>
      <rPr>
        <i/>
        <sz val="9"/>
        <color theme="1"/>
        <rFont val="Calibri"/>
        <family val="2"/>
        <scheme val="minor"/>
      </rPr>
      <t xml:space="preserve"> </t>
    </r>
    <r>
      <rPr>
        <i/>
        <sz val="9"/>
        <rFont val="Calibri"/>
        <family val="2"/>
        <scheme val="minor"/>
      </rPr>
      <t>(bubble-only Raman, propagated)</t>
    </r>
  </si>
  <si>
    <r>
      <t xml:space="preserve">±1σ total CO2 ppm in inclusion </t>
    </r>
    <r>
      <rPr>
        <i/>
        <sz val="9"/>
        <rFont val="Calibri"/>
        <family val="2"/>
        <scheme val="minor"/>
      </rPr>
      <t>(glass + bubble)</t>
    </r>
  </si>
  <si>
    <r>
      <t>H</t>
    </r>
    <r>
      <rPr>
        <vertAlign val="subscript"/>
        <sz val="12"/>
        <rFont val="Calibri"/>
        <family val="2"/>
        <scheme val="minor"/>
      </rPr>
      <t>2</t>
    </r>
    <r>
      <rPr>
        <sz val="12"/>
        <rFont val="Calibri"/>
        <family val="2"/>
        <scheme val="minor"/>
      </rPr>
      <t>O and CO</t>
    </r>
    <r>
      <rPr>
        <vertAlign val="subscript"/>
        <sz val="12"/>
        <rFont val="Calibri"/>
        <family val="2"/>
        <scheme val="minor"/>
      </rPr>
      <t>2</t>
    </r>
    <r>
      <rPr>
        <sz val="12"/>
        <rFont val="Calibri"/>
        <family val="2"/>
        <scheme val="minor"/>
      </rPr>
      <t xml:space="preserve"> by FTIR (glass) and Raman (vapor bubbles)</t>
    </r>
  </si>
  <si>
    <t>CO2 fluid entrapment pressures and depths (fluid inclusions and bubble-dominated melt inclusions)</t>
  </si>
  <si>
    <t>bubble CO2 not measured</t>
  </si>
  <si>
    <t>Isolated fluid inclusion (vapor-phase)</t>
  </si>
  <si>
    <t>only Raman bubble analysis; no EPMA or FTIR; ; grain lost after Raman analysis</t>
  </si>
  <si>
    <t>Bubble is likely a co-trapped exsolved fluid phase; grain lost after Raman analysis</t>
  </si>
  <si>
    <t>Two-phase isolated fluid inclusion (vapor+liquid). Bulk CO2 density calculated from vapor + liquid mass-balance.</t>
  </si>
  <si>
    <t>Two-phase isolated fluid inclusion (vapor+liquid). Bulk CO2 density calculated from vapor + liquid mass-balance. Possible decrepetation signs around fluid inclusion</t>
  </si>
  <si>
    <t>Isolated fluid inclusion (vapor-phase) with large decrepitation halo. But measured CO2 vapor density is a liquid saturation point, but no liquid visually identified. Possible that small amounts of liquid CO2 were wetting inclusion walls, and were unaccounted for.</t>
  </si>
  <si>
    <t>EPMA analytical uncertainties</t>
  </si>
  <si>
    <r>
      <t xml:space="preserve">EPMA UNCERTAINIES
</t>
    </r>
    <r>
      <rPr>
        <b/>
        <sz val="12"/>
        <color theme="0"/>
        <rFont val="Calibri"/>
        <family val="2"/>
      </rPr>
      <t>→</t>
    </r>
  </si>
  <si>
    <t>SW3_1b_ol1</t>
  </si>
  <si>
    <r>
      <t xml:space="preserve">Minerals </t>
    </r>
    <r>
      <rPr>
        <b/>
        <sz val="12"/>
        <color theme="1"/>
        <rFont val="Calibri"/>
        <family val="2"/>
        <scheme val="minor"/>
      </rPr>
      <t>without</t>
    </r>
    <r>
      <rPr>
        <sz val="12"/>
        <color theme="1"/>
        <rFont val="Calibri"/>
        <family val="2"/>
        <scheme val="minor"/>
      </rPr>
      <t xml:space="preserve"> associated melt/fluid inclusion analyses</t>
    </r>
  </si>
  <si>
    <r>
      <t xml:space="preserve">Minerals </t>
    </r>
    <r>
      <rPr>
        <b/>
        <sz val="12"/>
        <color theme="1"/>
        <rFont val="Calibri"/>
        <family val="2"/>
        <scheme val="minor"/>
      </rPr>
      <t>with</t>
    </r>
    <r>
      <rPr>
        <sz val="12"/>
        <color theme="1"/>
        <rFont val="Calibri"/>
        <family val="2"/>
        <scheme val="minor"/>
      </rPr>
      <t xml:space="preserve"> associated melt/fluid inclusion analyses</t>
    </r>
  </si>
  <si>
    <t>Data Source Citations:</t>
  </si>
  <si>
    <r>
      <t>Sample Site: Latitude</t>
    </r>
    <r>
      <rPr>
        <sz val="9"/>
        <rFont val="Calibri"/>
        <family val="2"/>
        <scheme val="minor"/>
      </rPr>
      <t xml:space="preserve"> (WGS84)</t>
    </r>
  </si>
  <si>
    <r>
      <t>Sample Site: Longitude</t>
    </r>
    <r>
      <rPr>
        <sz val="9"/>
        <rFont val="Calibri"/>
        <family val="2"/>
        <scheme val="minor"/>
      </rPr>
      <t xml:space="preserve"> (WGS84)</t>
    </r>
  </si>
  <si>
    <r>
      <t xml:space="preserve">Keanakākoʻi Tephra unit name
</t>
    </r>
    <r>
      <rPr>
        <sz val="9"/>
        <rFont val="Calibri"/>
        <family val="2"/>
        <scheme val="minor"/>
      </rPr>
      <t>(Swanson &amp; Houghton 2018 nomenclature)</t>
    </r>
  </si>
  <si>
    <t>Keanakākoʻi Tephra unit description</t>
  </si>
  <si>
    <t>Insights into magma storage depths and eruption controls at Kīlauea Volcano during explosive and effusive periods of the past 500 years based on melt and fluid inclusions</t>
  </si>
  <si>
    <t>1. Keanakākoʻi Tephra melt inclusion, fluid inclusion, and matrix glass compositions (EPMA, Raman, FTIR)</t>
  </si>
  <si>
    <t>Saturation depth (km) (Denlinger and Flinders 2022 parameterization)</t>
  </si>
  <si>
    <t>CO2 entrap. depth (km) using parameterization of Denlinger and Flinders (2022) + 200 kg/m3(Depth (km) = 0.0684*(kbar)^3 - 0.5008*(kbar)^2 + 4.47*(kbar))</t>
  </si>
  <si>
    <t>Saturation depth (km) using parameterization of Denlinger and Flinders (2022) + 200 kg/m3(Depth (km) = 0.0684*(kbar)^3 - 0.5008*(kbar)^2 + 4.47*(kbar))</t>
  </si>
  <si>
    <t>MATRIX GLASSES</t>
  </si>
  <si>
    <t>K97_23_4_1_MG</t>
  </si>
  <si>
    <t>matrix glass</t>
  </si>
  <si>
    <t xml:space="preserve">Unit V of Decker and Christiansen 1984. Sample from Sand Wash outcrop (19.38981 -155.29229)  </t>
  </si>
  <si>
    <t>K97_23_4_1_MG_2</t>
  </si>
  <si>
    <t>K97_23_10_MG</t>
  </si>
  <si>
    <t>SW7_7_1_MG1</t>
  </si>
  <si>
    <t>interstitial glass</t>
  </si>
  <si>
    <t>Unit VI of Decker and Christiansen 1984.</t>
  </si>
  <si>
    <t>SW7_7_1_MG2</t>
  </si>
  <si>
    <t>Unit VI of Decker and Christiansen 1984</t>
  </si>
  <si>
    <t>K97_22m_2_1_matrix</t>
  </si>
  <si>
    <t>K97_22m_2_1_matrixb</t>
  </si>
  <si>
    <t>re-entrant channel</t>
  </si>
  <si>
    <t>K99-5_1_matrixG_1</t>
  </si>
  <si>
    <t>possibly slightly structured Fe-XANES analysis; single EPMA analysis</t>
  </si>
  <si>
    <t>K99-5_1_matrixG_2</t>
  </si>
  <si>
    <t>K99-5_11_matrixG</t>
  </si>
  <si>
    <t>K99-5_12_matrixG</t>
  </si>
  <si>
    <t>K99-5_1_intG</t>
  </si>
  <si>
    <t>K99-5_5_RE_1</t>
  </si>
  <si>
    <t>K99-5_5_RE_2</t>
  </si>
  <si>
    <t>K99-5_7_RE_1</t>
  </si>
  <si>
    <t>K99-5_7_RE_2</t>
  </si>
  <si>
    <t>K99-5_9_intG_1</t>
  </si>
  <si>
    <t>K99-5_9_intG_2</t>
  </si>
  <si>
    <t>K99-5_9_intG_3</t>
  </si>
  <si>
    <t>K99-5_9_intG_4</t>
  </si>
  <si>
    <t>K99-5_12_RE</t>
  </si>
  <si>
    <t>K99-5_15_intG</t>
  </si>
  <si>
    <t>SW3_1_1_matrix_glass</t>
  </si>
  <si>
    <t xml:space="preserve">Unit IIAIa of Decker and Christiansen 1984. Sample from Sand Wash outcrop (19.38981 -155.29229)  </t>
  </si>
  <si>
    <t>SW3_11_matrix_gls</t>
  </si>
  <si>
    <t>SW3_11_matrix_glsb</t>
  </si>
  <si>
    <t>SW3_11_matrix_glsc</t>
  </si>
  <si>
    <t>SW3_3_matrixG_1</t>
  </si>
  <si>
    <t>SW3_3_matrixG_2</t>
  </si>
  <si>
    <t>SW3_10_matrixG</t>
  </si>
  <si>
    <t>SW3_1_RE_rep</t>
  </si>
  <si>
    <t>SW3_13_RE</t>
  </si>
  <si>
    <t>SW3_13_intG_1</t>
  </si>
  <si>
    <t>SW3_13_intG_2</t>
  </si>
  <si>
    <t>SW3_13_intG_3</t>
  </si>
  <si>
    <t>SW3_15_RE</t>
  </si>
  <si>
    <t>K99-6_3_matrixG</t>
  </si>
  <si>
    <t>K99-6_6_matrixG_1</t>
  </si>
  <si>
    <t>K99-6_6_matrixG_2</t>
  </si>
  <si>
    <t>K99-6_6_matrixG_3</t>
  </si>
  <si>
    <t>K99-6_21_matrixG1</t>
  </si>
  <si>
    <t>K99-6_21_matrixG2</t>
  </si>
  <si>
    <t>K99-6_21_matrixG3</t>
  </si>
  <si>
    <t>K99-6_3_RE_1</t>
  </si>
  <si>
    <t>K99-6_3_RE_2</t>
  </si>
  <si>
    <t>K99-6_3_RE_3</t>
  </si>
  <si>
    <t>K99_6_4_MG1</t>
  </si>
  <si>
    <t>Unit I of Decker and Christiansen 1984</t>
  </si>
  <si>
    <t>K99_6_4_MG2</t>
  </si>
  <si>
    <t>K99-6_6b_RE</t>
  </si>
  <si>
    <t>K99-6_12_intG_1</t>
  </si>
  <si>
    <t>K99-6_12_intG_2</t>
  </si>
  <si>
    <t>mineral-contaminated Fe-XANES analysis; single EPMA analysis</t>
  </si>
  <si>
    <t>K99-6_14_intG</t>
  </si>
  <si>
    <t>K99-6_18_intG</t>
  </si>
  <si>
    <t>no matrix glasses analyzed</t>
  </si>
  <si>
    <t>bubble-dom MI</t>
  </si>
  <si>
    <t>fluid inclusion</t>
  </si>
  <si>
    <t>Isolated fluid inclusion</t>
  </si>
  <si>
    <t>K99-5_5e</t>
  </si>
  <si>
    <t>K99-5_5f</t>
  </si>
  <si>
    <t>SW3_6d</t>
  </si>
  <si>
    <t>SW3_10b</t>
  </si>
  <si>
    <t>SW3_10c</t>
  </si>
  <si>
    <t>SW3_10d</t>
  </si>
  <si>
    <t>SW3_10e</t>
  </si>
  <si>
    <t>missing bubble CO2</t>
  </si>
  <si>
    <t>not applicable for inclusion</t>
  </si>
  <si>
    <t>melt inclusion w/ &lt;10 vol% bubble</t>
  </si>
  <si>
    <t>bubble CO2 bdl</t>
  </si>
  <si>
    <t>TAP</t>
  </si>
  <si>
    <t>LPET</t>
  </si>
  <si>
    <t>LIF</t>
  </si>
  <si>
    <t>Host An# 
(if applicable)</t>
  </si>
  <si>
    <t>Kil Iki Nat R_1_1</t>
  </si>
  <si>
    <t>Kil Iki Nat R_1_2</t>
  </si>
  <si>
    <t>Kil Iki Nat R_1_3</t>
  </si>
  <si>
    <t>Kil Iki Nat R_1_6</t>
  </si>
  <si>
    <t>Kil Iki Nat R_1_7</t>
  </si>
  <si>
    <t>Kil Iki Nat R_1_9</t>
  </si>
  <si>
    <t>Kil Iki Nat R_1_10</t>
  </si>
  <si>
    <t>Kil Iki Nat R_1_11</t>
  </si>
  <si>
    <t>Kil Iki Nat R_1_12</t>
  </si>
  <si>
    <t>Kil Iki Nat R_1_13</t>
  </si>
  <si>
    <t>Kil Iki Nat R_2_1</t>
  </si>
  <si>
    <t>Kil Iki Nat R_2_2</t>
  </si>
  <si>
    <t>Kil Iki Nat R_2_3</t>
  </si>
  <si>
    <t>Kil Iki Nat R_2_4</t>
  </si>
  <si>
    <t>Kil Iki Nat R_2_5</t>
  </si>
  <si>
    <t>Kil Iki Nat R_2_6</t>
  </si>
  <si>
    <t>Kil Iki Nat R_2_7</t>
  </si>
  <si>
    <t>Kil Iki Nat R_2_9</t>
  </si>
  <si>
    <t>Kil Iki Nat R_2_10</t>
  </si>
  <si>
    <t>Kil Iki Nat R_2_11</t>
  </si>
  <si>
    <t>Kil Iki Nat R_3_1w*</t>
  </si>
  <si>
    <t>Kil Iki Nat R_3_2</t>
  </si>
  <si>
    <t>Kil Iki Nat R_3_3</t>
  </si>
  <si>
    <t>Kil Iki Nat R_3_4</t>
  </si>
  <si>
    <t>Kil Iki Nat R_3_5</t>
  </si>
  <si>
    <t>Kil Iki Nat R_3_6</t>
  </si>
  <si>
    <t>Kil Iki Nat R_3_7</t>
  </si>
  <si>
    <t>Kil Iki Nat R_3_9</t>
  </si>
  <si>
    <t>Kil Iki Nat R_3_10</t>
  </si>
  <si>
    <t>Kil Iki Nat R_3_11</t>
  </si>
  <si>
    <t>Kil Iki Nat R_3_12</t>
  </si>
  <si>
    <t>Kil Iki Nat R_3_13</t>
  </si>
  <si>
    <t>Kil Iki Nat R_3_14</t>
  </si>
  <si>
    <t>Kil Iki Nat R_4_1</t>
  </si>
  <si>
    <t>Kil Iki Nat R_4_2</t>
  </si>
  <si>
    <t>Kil Iki Nat R_4_4w*</t>
  </si>
  <si>
    <t>Kil Iki Nat R_4_5</t>
  </si>
  <si>
    <t>Kil Iki Nat R_4_6</t>
  </si>
  <si>
    <t>Kil Iki Nat R_4_7</t>
  </si>
  <si>
    <t>Kil Iki Nat R_4_8</t>
  </si>
  <si>
    <t>Kil Iki Nat R_4_9</t>
  </si>
  <si>
    <t>Kil Iki Nat R_4_10</t>
  </si>
  <si>
    <t>Kil Iki Nat R_4_15</t>
  </si>
  <si>
    <t>Kil Iki Nat R_4_16</t>
  </si>
  <si>
    <t>Kil Iki Nat R_6_7</t>
  </si>
  <si>
    <t>Kil Iki Nat R_6_8</t>
  </si>
  <si>
    <t>Kil Iki Nat R_6_11</t>
  </si>
  <si>
    <t>Kap 8 Nat R_1_1w*</t>
  </si>
  <si>
    <t>Kap 8 Nat R_2_2</t>
  </si>
  <si>
    <t>Kap 8 Nat R_2_3</t>
  </si>
  <si>
    <t>Kap 8 Nat R_2_4</t>
  </si>
  <si>
    <t>Kap 8 Nat R_2_5</t>
  </si>
  <si>
    <t>Kap 8 Nat R_2_6</t>
  </si>
  <si>
    <t>Kap 8 Nat R_2_7</t>
  </si>
  <si>
    <t>Kap 8 Nat R_2_8</t>
  </si>
  <si>
    <t>Kap 8 Nat R_2_9</t>
  </si>
  <si>
    <t>Kap 8 Nat R_2_10</t>
  </si>
  <si>
    <t>Kap 8 Nat R_2_11</t>
  </si>
  <si>
    <t>Kap 8 Nat R_2_12</t>
  </si>
  <si>
    <t>Kap 8 Nat R_2_13</t>
  </si>
  <si>
    <t>Kap 8 Nat R_2_14</t>
  </si>
  <si>
    <t>Kap 8 Nat R_2_15</t>
  </si>
  <si>
    <t>Kap 8 Nat R_3_1w*</t>
  </si>
  <si>
    <t>Kap 8 Nat R_3_2</t>
  </si>
  <si>
    <t>Kap 8 Nat R_3_3</t>
  </si>
  <si>
    <t>Kap 8 Nat R_3_5</t>
  </si>
  <si>
    <t>Kap 8 Nat R_3_6</t>
  </si>
  <si>
    <t>Kap 8 Nat R_3_8</t>
  </si>
  <si>
    <t>Kap 8 Nat R_3_9</t>
  </si>
  <si>
    <t>Kap 8 Nat R_3_10</t>
  </si>
  <si>
    <t>Kap 8 Nat R_3_11</t>
  </si>
  <si>
    <t>Kap 8 Nat R_4_1w*</t>
  </si>
  <si>
    <t>Kap 8 Nat R_4_3</t>
  </si>
  <si>
    <t>Kap 8 Nat R_4_4</t>
  </si>
  <si>
    <t>Kap 8 Nat R_4_5</t>
  </si>
  <si>
    <t>Kap 8 Nat R_4_6</t>
  </si>
  <si>
    <t>Kap 8 Nat R_4_7</t>
  </si>
  <si>
    <t>Kap 8 Nat R_4_8</t>
  </si>
  <si>
    <t>Kap 8 Nat R_4_9</t>
  </si>
  <si>
    <t>Kap 8 Nat R_4_10</t>
  </si>
  <si>
    <t>Kap 8 Nat R_4_11</t>
  </si>
  <si>
    <t>Kap 8 Nat R_4_12</t>
  </si>
  <si>
    <t>Kap 8 Nat R_5_3</t>
  </si>
  <si>
    <t>Kap 8 Nat R_5_4</t>
  </si>
  <si>
    <t>Kap 8 Nat R_5_5</t>
  </si>
  <si>
    <t>Kap 8 Nat R_5_6</t>
  </si>
  <si>
    <t>Kap 8 Nat R_5_7</t>
  </si>
  <si>
    <t>Kap 8 Nat R_5_8</t>
  </si>
  <si>
    <t>Kap 8 Nat R_5_9</t>
  </si>
  <si>
    <t>Kap 8 Nat R_5_10</t>
  </si>
  <si>
    <t>Kap 8 Nat R_5_11</t>
  </si>
  <si>
    <t>Kap 8 Nat R_5_12</t>
  </si>
  <si>
    <t>Kap 8 Nat R_6_1w*</t>
  </si>
  <si>
    <t>Kap 8 Nat R_6_2</t>
  </si>
  <si>
    <t>Kap 8 Nat R_6_3</t>
  </si>
  <si>
    <t>Kap 8 Nat R_6_4</t>
  </si>
  <si>
    <t>Kap 8 Nat R_6_5</t>
  </si>
  <si>
    <t>Kap 8 Nat R_W7*</t>
  </si>
  <si>
    <t>not provided in original publication</t>
  </si>
  <si>
    <t>Kil-Iki-R-2</t>
  </si>
  <si>
    <t>Kil-Iki-R-3</t>
  </si>
  <si>
    <t>Kil-Iki-R-6A</t>
  </si>
  <si>
    <t>Kil-Iki-R-6B</t>
  </si>
  <si>
    <t>Kil-Iki-R-8</t>
  </si>
  <si>
    <t>Kil-Iki-R-10</t>
  </si>
  <si>
    <t>Kil-Iki-R-12</t>
  </si>
  <si>
    <t>Kil-Iki-R-14</t>
  </si>
  <si>
    <t>Kil-Iki-R-13</t>
  </si>
  <si>
    <t>Kil-Iki-R-15</t>
  </si>
  <si>
    <t>Kap8-1300-2</t>
  </si>
  <si>
    <t>Kap8-1300-3</t>
  </si>
  <si>
    <t>Kap8-1300-4</t>
  </si>
  <si>
    <t>Kap8-1300-5</t>
  </si>
  <si>
    <t>Kap8-1300-6</t>
  </si>
  <si>
    <t>Kap8-1300-7</t>
  </si>
  <si>
    <t>Kap8-1300-8</t>
  </si>
  <si>
    <t>Kap8-1300-9</t>
  </si>
  <si>
    <t>Kap8-1300-10</t>
  </si>
  <si>
    <t>Kap8-12</t>
  </si>
  <si>
    <t>Kap8-13B</t>
  </si>
  <si>
    <t>Kap8-15</t>
  </si>
  <si>
    <t>Kap8-18</t>
  </si>
  <si>
    <t>Kap8-20</t>
  </si>
  <si>
    <t>Kap8-22</t>
  </si>
  <si>
    <t>Kap8-23</t>
  </si>
  <si>
    <t>Kap8-25</t>
  </si>
  <si>
    <t>Kap8-28</t>
  </si>
  <si>
    <t>Kap8-31</t>
  </si>
  <si>
    <t>Kap8-32</t>
  </si>
  <si>
    <t>Kap8-34</t>
  </si>
  <si>
    <t>Kap8-35</t>
  </si>
  <si>
    <t>Kap8-39</t>
  </si>
  <si>
    <t>Kap8-40</t>
  </si>
  <si>
    <t>Kap8-41</t>
  </si>
  <si>
    <t>Kap8-R-50</t>
  </si>
  <si>
    <t>Kap8-R-51</t>
  </si>
  <si>
    <t>Kap8-R-52</t>
  </si>
  <si>
    <t>Kap8-R-54</t>
  </si>
  <si>
    <t>Kap8-R-55</t>
  </si>
  <si>
    <t>Kap6-R-1</t>
  </si>
  <si>
    <t>Kap6-R-2</t>
  </si>
  <si>
    <t>Kap6-R-3</t>
  </si>
  <si>
    <t>Kap6-R-4</t>
  </si>
  <si>
    <t>Kap6-R-5</t>
  </si>
  <si>
    <t>Kap6-R-6</t>
  </si>
  <si>
    <t>Kap6-R-10</t>
  </si>
  <si>
    <t>Kap6-R-11</t>
  </si>
  <si>
    <t>Kap4-R-3</t>
  </si>
  <si>
    <t>Kap4-R-4</t>
  </si>
  <si>
    <t>Kap4-R-6</t>
  </si>
  <si>
    <t>Kap4-R-7</t>
  </si>
  <si>
    <t>Kap4-R-8</t>
  </si>
  <si>
    <t>Kap4-R-9</t>
  </si>
  <si>
    <t>Kap4-R-10</t>
  </si>
  <si>
    <t>Kap4-R-12</t>
  </si>
  <si>
    <t>Kap4-R-14</t>
  </si>
  <si>
    <t>LLD_LL1_80</t>
  </si>
  <si>
    <t>LLD_LL1_103</t>
  </si>
  <si>
    <t>LLE_LL4_19b</t>
  </si>
  <si>
    <t>LLE_LL4_19c</t>
  </si>
  <si>
    <t>LLE_LL4_33b</t>
  </si>
  <si>
    <t>LLE_LL4_30</t>
  </si>
  <si>
    <t>LLE_LL5_40</t>
  </si>
  <si>
    <t>LLE_LL5_50</t>
  </si>
  <si>
    <t>LLE_LL5_52B</t>
  </si>
  <si>
    <t>LLE_LL5_46</t>
  </si>
  <si>
    <t>LLD_LL4_14_a</t>
  </si>
  <si>
    <t>LLD_LL4_14_d</t>
  </si>
  <si>
    <t>LLD_LL4_14_c</t>
  </si>
  <si>
    <t>LLD_LL4_14_b</t>
  </si>
  <si>
    <t>LLD_LL4_20</t>
  </si>
  <si>
    <t>LLD_LL4_31b</t>
  </si>
  <si>
    <t>LLD_LL4_31a</t>
  </si>
  <si>
    <t>LLD_LL4_32b</t>
  </si>
  <si>
    <t>LLD_LL4_32a</t>
  </si>
  <si>
    <t>LLD_LL5_45</t>
  </si>
  <si>
    <t>LLD_LL5_43</t>
  </si>
  <si>
    <t>LLD_LL5_36a</t>
  </si>
  <si>
    <t>LLD_LL5_36b</t>
  </si>
  <si>
    <t>LLD_LL5_72</t>
  </si>
  <si>
    <t>LLD_LL1_65a</t>
  </si>
  <si>
    <t>LLD_LL1_65b</t>
  </si>
  <si>
    <t>LLD_LL1_65c</t>
  </si>
  <si>
    <t>LLD_LL1_70</t>
  </si>
  <si>
    <t>LLD_LL1_74</t>
  </si>
  <si>
    <t>LLD_LL1_73a</t>
  </si>
  <si>
    <t>LLD_LL1_73b</t>
  </si>
  <si>
    <t>LLD_LL1_75</t>
  </si>
  <si>
    <t>LLD_LL1_82</t>
  </si>
  <si>
    <t>LLD_LL1_102</t>
  </si>
  <si>
    <t>LLD_LL1_104</t>
  </si>
  <si>
    <t>LLE_LL4_34a</t>
  </si>
  <si>
    <t>LLE_LL5_54</t>
  </si>
  <si>
    <t>LLF_LL8_249a</t>
  </si>
  <si>
    <t>LLf_LL8_249b</t>
  </si>
  <si>
    <t>LLf_LL8_249c</t>
  </si>
  <si>
    <t>LLf_LL8_249d</t>
  </si>
  <si>
    <t>LLf_LL7_110a</t>
  </si>
  <si>
    <t>LLf_LL7_105a</t>
  </si>
  <si>
    <t>LLF_LL7_105b</t>
  </si>
  <si>
    <t>LLf_LL7_272</t>
  </si>
  <si>
    <t>LLf_LL3_139b</t>
  </si>
  <si>
    <t>LLf_LL3_139a</t>
  </si>
  <si>
    <t>LLf_LL3_85a</t>
  </si>
  <si>
    <t>LLf_LL3_85b</t>
  </si>
  <si>
    <t>LLG_LL8_402a</t>
  </si>
  <si>
    <t>LLg_LL8_402b</t>
  </si>
  <si>
    <t>LLG_LL8_447</t>
  </si>
  <si>
    <t>LLG_LL3_141</t>
  </si>
  <si>
    <t>LLg_LL4_17_A</t>
  </si>
  <si>
    <t>LLg_LL4_17_C1</t>
  </si>
  <si>
    <t>LLg_LL4_17_C2</t>
  </si>
  <si>
    <t>LLg_LL4_24a</t>
  </si>
  <si>
    <t>LLg_LL4_24b</t>
  </si>
  <si>
    <t>LLg_LL1_79</t>
  </si>
  <si>
    <t>LLG_LL7_270</t>
  </si>
  <si>
    <t>LLg_LL7_204</t>
  </si>
  <si>
    <t>LLg_LL8_3001</t>
  </si>
  <si>
    <t>LLg_LL3_130</t>
  </si>
  <si>
    <t>LL11_500_b</t>
  </si>
  <si>
    <t>LL12_514</t>
  </si>
  <si>
    <t>LL8_435</t>
  </si>
  <si>
    <t>LL1_77</t>
  </si>
  <si>
    <t>LL3_137</t>
  </si>
  <si>
    <t>LL8_613b</t>
  </si>
  <si>
    <t>LL8_615</t>
  </si>
  <si>
    <t>LL8_617_a</t>
  </si>
  <si>
    <t>LL8_623_b</t>
  </si>
  <si>
    <t>LL8_623_c</t>
  </si>
  <si>
    <t>LL8_626</t>
  </si>
  <si>
    <t>LL8_404_a</t>
  </si>
  <si>
    <t>LL8_404_b</t>
  </si>
  <si>
    <t>LL8_610</t>
  </si>
  <si>
    <t>LL8_612_a</t>
  </si>
  <si>
    <t>LL8_612_b</t>
  </si>
  <si>
    <t>LL8_613_a</t>
  </si>
  <si>
    <t>LL8_617_b</t>
  </si>
  <si>
    <t>LL8_624</t>
  </si>
  <si>
    <t>LL8_630</t>
  </si>
  <si>
    <t>LL8_631a</t>
  </si>
  <si>
    <t>LL8_616_b</t>
  </si>
  <si>
    <t>LL8_202_c</t>
  </si>
  <si>
    <t>LL8_243_b</t>
  </si>
  <si>
    <t>LL8_156</t>
  </si>
  <si>
    <t>LL8_155b</t>
  </si>
  <si>
    <t>LL8_406</t>
  </si>
  <si>
    <t>LL8_302</t>
  </si>
  <si>
    <t>LL8_611</t>
  </si>
  <si>
    <t>LL8_616_a</t>
  </si>
  <si>
    <t>LL8_634</t>
  </si>
  <si>
    <t>LL8_606</t>
  </si>
  <si>
    <t>LL8_426</t>
  </si>
  <si>
    <t>LL8_401</t>
  </si>
  <si>
    <t>LL8_400_a</t>
  </si>
  <si>
    <t>LL8_280</t>
  </si>
  <si>
    <t>LL8_300R</t>
  </si>
  <si>
    <t>LL8_232</t>
  </si>
  <si>
    <t>LL4_4B</t>
  </si>
  <si>
    <t>LL4_25_A</t>
  </si>
  <si>
    <t>LL4_25_B</t>
  </si>
  <si>
    <t>LL4_2</t>
  </si>
  <si>
    <t>LL4_3</t>
  </si>
  <si>
    <t>LL4_12</t>
  </si>
  <si>
    <t>LL4_10</t>
  </si>
  <si>
    <t>LL4_9</t>
  </si>
  <si>
    <t>LL4_8</t>
  </si>
  <si>
    <t>LL4_23</t>
  </si>
  <si>
    <t>LL4_39c</t>
  </si>
  <si>
    <t>LL4_39b</t>
  </si>
  <si>
    <t>LL4_18b</t>
  </si>
  <si>
    <t>LL7_115_A</t>
  </si>
  <si>
    <t>LL7_115_B</t>
  </si>
  <si>
    <t>LL7_114</t>
  </si>
  <si>
    <t>LL7_111_A</t>
  </si>
  <si>
    <t>LL7_108</t>
  </si>
  <si>
    <t>LL7_203</t>
  </si>
  <si>
    <t>LL7_248</t>
  </si>
  <si>
    <t>LL7_287</t>
  </si>
  <si>
    <t>LL7_290_C</t>
  </si>
  <si>
    <t>LL7_290_B</t>
  </si>
  <si>
    <t>LL7_111_B</t>
  </si>
  <si>
    <t>LL4_13</t>
  </si>
  <si>
    <t>LL4_39a</t>
  </si>
  <si>
    <t>LL4_18a</t>
  </si>
  <si>
    <t>LL7_116</t>
  </si>
  <si>
    <t>LL11_501_b</t>
  </si>
  <si>
    <t>LL12_509_a</t>
  </si>
  <si>
    <t>LL12_509_b</t>
  </si>
  <si>
    <t>LL12_508</t>
  </si>
  <si>
    <t>LL1_84_a</t>
  </si>
  <si>
    <t>LL1_84_c</t>
  </si>
  <si>
    <t>LL7_282</t>
  </si>
  <si>
    <t>LL7_128</t>
  </si>
  <si>
    <t>LL8_301</t>
  </si>
  <si>
    <t>LL2_417</t>
  </si>
  <si>
    <t>D_LL5_55d</t>
  </si>
  <si>
    <t>D_LL5_55c</t>
  </si>
  <si>
    <t>LLf_LL3_124</t>
  </si>
  <si>
    <t>LLG_LL5_67d</t>
  </si>
  <si>
    <t>LLG_LL5_67a</t>
  </si>
  <si>
    <t>LLG_LL1_89</t>
  </si>
  <si>
    <t>LLG_LL1_83C</t>
  </si>
  <si>
    <t>LLg_LL1_83a</t>
  </si>
  <si>
    <t>LLg_LL3_121a</t>
  </si>
  <si>
    <t>LLg_LL3_121b</t>
  </si>
  <si>
    <t>LL9_474_c</t>
  </si>
  <si>
    <t>LL9_474_e</t>
  </si>
  <si>
    <t>LL9_476</t>
  </si>
  <si>
    <t>LL11_498a</t>
  </si>
  <si>
    <t>LL11_503_a</t>
  </si>
  <si>
    <t>LL12_510_b</t>
  </si>
  <si>
    <t>LL12_513_b</t>
  </si>
  <si>
    <t>LL12_513_c</t>
  </si>
  <si>
    <t>LL9_474_d</t>
  </si>
  <si>
    <t>LL12_510_c</t>
  </si>
  <si>
    <t>LL12_517</t>
  </si>
  <si>
    <t>LL8_531</t>
  </si>
  <si>
    <t>LL12_519_c</t>
  </si>
  <si>
    <t>LL12_519_b</t>
  </si>
  <si>
    <t>LL12_520_a</t>
  </si>
  <si>
    <t>LL12_520_b</t>
  </si>
  <si>
    <t>LL12_520_c</t>
  </si>
  <si>
    <t>LL12_512_a</t>
  </si>
  <si>
    <t>LL12_512_b</t>
  </si>
  <si>
    <t>LL12_512_c</t>
  </si>
  <si>
    <t>LL3_122_Zo</t>
  </si>
  <si>
    <t>LL10_484_d</t>
  </si>
  <si>
    <t>LL10_484_Z</t>
  </si>
  <si>
    <t>LL3_122_a</t>
  </si>
  <si>
    <t>LL9_482_a</t>
  </si>
  <si>
    <t>LL9_482_b</t>
  </si>
  <si>
    <t>LL9_468a</t>
  </si>
  <si>
    <t>LL9_468b</t>
  </si>
  <si>
    <t>LL9_464</t>
  </si>
  <si>
    <t>LL12_510_a</t>
  </si>
  <si>
    <t>D_LL1_105</t>
  </si>
  <si>
    <t>D_LL1_87</t>
  </si>
  <si>
    <t>D_LL5_49a</t>
  </si>
  <si>
    <t>LLD_LL5_48a</t>
  </si>
  <si>
    <t>LLD_LL5_48b</t>
  </si>
  <si>
    <t>LLD_LL5_44a</t>
  </si>
  <si>
    <t>LLD_LL5_44b</t>
  </si>
  <si>
    <t>LLD_LL5_44c</t>
  </si>
  <si>
    <t>LLD_LL1_92</t>
  </si>
  <si>
    <t>LLF_LL3_120B_nosims</t>
  </si>
  <si>
    <t>LLF_LL3_120A</t>
  </si>
  <si>
    <t>LLg_LL5_42a</t>
  </si>
  <si>
    <t>LLg_LL5_42b</t>
  </si>
  <si>
    <t>LLg_LL5_42c</t>
  </si>
  <si>
    <t>LL9_467</t>
  </si>
  <si>
    <t>LL11_492</t>
  </si>
  <si>
    <t>LL11_495_a</t>
  </si>
  <si>
    <t>LL11_495_b</t>
  </si>
  <si>
    <t>LL11_495_d</t>
  </si>
  <si>
    <t>LL11_495_c</t>
  </si>
  <si>
    <t>LL11_495_e</t>
  </si>
  <si>
    <t>LL11_499</t>
  </si>
  <si>
    <t>LL11_502_a</t>
  </si>
  <si>
    <t>LL11_502_b</t>
  </si>
  <si>
    <t>LL6_408</t>
  </si>
  <si>
    <t>LL3_135_a</t>
  </si>
  <si>
    <t>LL3_135_b</t>
  </si>
  <si>
    <t>LL9_497_a</t>
  </si>
  <si>
    <t>LL2_418a</t>
  </si>
  <si>
    <t>LL2_418b</t>
  </si>
  <si>
    <t>LL11_497_c</t>
  </si>
  <si>
    <t>LL1_81_a</t>
  </si>
  <si>
    <t>LL1_81_b</t>
  </si>
  <si>
    <t>LL9_471</t>
  </si>
  <si>
    <t>LL9_466</t>
  </si>
  <si>
    <t>LL9_462</t>
  </si>
  <si>
    <t>LL9_469</t>
  </si>
  <si>
    <t>LLE_LL5_62</t>
  </si>
  <si>
    <t>LLf_LL3_143a</t>
  </si>
  <si>
    <t>LLf_LL3_143b</t>
  </si>
  <si>
    <t>LLf_LL3_142</t>
  </si>
  <si>
    <t>LLg_LL6_409a</t>
  </si>
  <si>
    <t>LLG_LL6_409c</t>
  </si>
  <si>
    <t>LLG_LL3_138</t>
  </si>
  <si>
    <t>LLG_LL3_136</t>
  </si>
  <si>
    <t>LLG_LL6_420</t>
  </si>
  <si>
    <t>LLg_LL6_407a</t>
  </si>
  <si>
    <t>LLg_LL3_149</t>
  </si>
  <si>
    <t>LL2_445</t>
  </si>
  <si>
    <t>LL2_443</t>
  </si>
  <si>
    <t>LL2_446_a</t>
  </si>
  <si>
    <t>LL2_447_A</t>
  </si>
  <si>
    <t>LL2_447_D</t>
  </si>
  <si>
    <t>LL2_448</t>
  </si>
  <si>
    <t>LL2_449</t>
  </si>
  <si>
    <t>LL2_450_a</t>
  </si>
  <si>
    <t>LL2_451_b</t>
  </si>
  <si>
    <t>LL2_451_a</t>
  </si>
  <si>
    <t>LL2_452</t>
  </si>
  <si>
    <t>LL2_453_c</t>
  </si>
  <si>
    <t>LL2_460</t>
  </si>
  <si>
    <t>LL9_478</t>
  </si>
  <si>
    <t>LL11_493_c</t>
  </si>
  <si>
    <t>LL11_493_d</t>
  </si>
  <si>
    <t>LL3_134_c</t>
  </si>
  <si>
    <t>LL3_134_a</t>
  </si>
  <si>
    <t>LL3_140_b</t>
  </si>
  <si>
    <t>LL3_140_a</t>
  </si>
  <si>
    <t>LL3_146</t>
  </si>
  <si>
    <t>LL2_416_c</t>
  </si>
  <si>
    <t>LL2_416_a</t>
  </si>
  <si>
    <t>LL2_421a</t>
  </si>
  <si>
    <t>LL2_422_a</t>
  </si>
  <si>
    <t>LL2_422_b</t>
  </si>
  <si>
    <t>LL2_424_a</t>
  </si>
  <si>
    <t>LL2_425_a</t>
  </si>
  <si>
    <t>LL2_425_b</t>
  </si>
  <si>
    <t>LL2_425_c</t>
  </si>
  <si>
    <t>LL2_428_a</t>
  </si>
  <si>
    <t>LL2_432_b</t>
  </si>
  <si>
    <t>LL2_437_a</t>
  </si>
  <si>
    <t>LL2_437_c</t>
  </si>
  <si>
    <t>LL2_437_d</t>
  </si>
  <si>
    <t>LL2_439</t>
  </si>
  <si>
    <t>LL2_429_a</t>
  </si>
  <si>
    <t>LL2_429_c</t>
  </si>
  <si>
    <t>LL2_429_b</t>
  </si>
  <si>
    <t>LL2_429_e</t>
  </si>
  <si>
    <t>LL2_429_d</t>
  </si>
  <si>
    <t>LL2_433_a</t>
  </si>
  <si>
    <t>LL2_416_b</t>
  </si>
  <si>
    <t>LL2_428_b</t>
  </si>
  <si>
    <t>LL2_435</t>
  </si>
  <si>
    <t>LL2_438_B</t>
  </si>
  <si>
    <t>LL1_57</t>
  </si>
  <si>
    <t>LL2_461</t>
  </si>
  <si>
    <t>LL12_521_B</t>
  </si>
  <si>
    <t>LL12_521_A</t>
  </si>
  <si>
    <t>LL11_504_a</t>
  </si>
  <si>
    <t>LL11_504_b</t>
  </si>
  <si>
    <t>LL11_504_c</t>
  </si>
  <si>
    <t>LL11_506_b</t>
  </si>
  <si>
    <t>LL2_431a</t>
  </si>
  <si>
    <t>LL2_431b</t>
  </si>
  <si>
    <t>LL2_430</t>
  </si>
  <si>
    <t>LL12_524_a</t>
  </si>
  <si>
    <t>LL3_94a</t>
  </si>
  <si>
    <t>LL3_94b</t>
  </si>
  <si>
    <t>LL6_411</t>
  </si>
  <si>
    <t>LL3_147_a</t>
  </si>
  <si>
    <t>LL3_147_d</t>
  </si>
  <si>
    <t>LL3_147_b</t>
  </si>
  <si>
    <t>LL6_441</t>
  </si>
  <si>
    <t>LL9_463_b</t>
  </si>
  <si>
    <t>LL9_463_d</t>
  </si>
  <si>
    <t>LL9_463_e</t>
  </si>
  <si>
    <t>LL9_481ao</t>
  </si>
  <si>
    <t>LL9_481z</t>
  </si>
  <si>
    <t>LL2_446_b</t>
  </si>
  <si>
    <t>LL2_447_B</t>
  </si>
  <si>
    <t>LL2_450_b</t>
  </si>
  <si>
    <t>unspecified</t>
  </si>
  <si>
    <t>yes, or possible</t>
  </si>
  <si>
    <t>NaN</t>
  </si>
  <si>
    <r>
      <t xml:space="preserve">assuming xFe3+/ΣxFe = 0.18 (Lerner et al. 2021) </t>
    </r>
    <r>
      <rPr>
        <b/>
        <sz val="9"/>
        <rFont val="Geneva"/>
      </rPr>
      <t>*note: xFe3+/ΣxFe = 0.15</t>
    </r>
    <r>
      <rPr>
        <sz val="9"/>
        <rFont val="Geneva"/>
      </rPr>
      <t xml:space="preserve"> was assumed in the original Wieser et al. 2021 and 2022 publications</t>
    </r>
  </si>
  <si>
    <r>
      <t xml:space="preserve">Note: values in cells with </t>
    </r>
    <r>
      <rPr>
        <sz val="10"/>
        <color rgb="FFFF0000"/>
        <rFont val="Geneva"/>
      </rPr>
      <t>red font</t>
    </r>
    <r>
      <rPr>
        <sz val="10"/>
        <rFont val="Geneva"/>
      </rPr>
      <t xml:space="preserve"> were not present in the original publications and are estimated here based average values from similar samples. Cells with </t>
    </r>
    <r>
      <rPr>
        <sz val="10"/>
        <color theme="4"/>
        <rFont val="Geneva"/>
      </rPr>
      <t>blue font</t>
    </r>
    <r>
      <rPr>
        <sz val="10"/>
        <rFont val="Geneva"/>
      </rPr>
      <t xml:space="preserve"> are the originally published values.</t>
    </r>
  </si>
  <si>
    <r>
      <t>Inclusion saturation pressures from other Kilauea studies were recalculated using the CO2-H2O saturation model of Iacono-Marziano et al. (2012) for consistency. However, saturation pressures from lower-temperature samples (&lt;1130</t>
    </r>
    <r>
      <rPr>
        <sz val="9"/>
        <rFont val="Calibri"/>
        <family val="2"/>
      </rPr>
      <t>°</t>
    </r>
    <r>
      <rPr>
        <sz val="9"/>
        <rFont val="Geneva"/>
      </rPr>
      <t xml:space="preserve">C) from phases 1 and 2 of the 2018 LERZ eruption reported by Wieser et al., 2022 are not recalculated from their originally calculated values using MagmaSat (see discussion in Supplementary Materials). Compositions used in pressure calculations are shown, including any assumptions made for unquantified components (e.g., unquantified CO2 in melt inclusion glass). Originally published saturation pressures are shown for comparison. </t>
    </r>
    <r>
      <rPr>
        <i/>
        <sz val="9"/>
        <rFont val="Geneva"/>
      </rPr>
      <t>Calculations were applied using VESIcal (Iacovino et al. 2021).</t>
    </r>
  </si>
  <si>
    <t>Note 2: Data from Lerner et al., 2021a are used as-reported. See Lerner et al 2021a supplementary data tables for melt inclusion compositions and saturation pressure (using Iacono-Marziano et al 2012) calculations.</t>
  </si>
  <si>
    <t>Unit K1 golden pumice</t>
  </si>
  <si>
    <t>Unit J1 vitric ash</t>
  </si>
  <si>
    <t>J1</t>
  </si>
  <si>
    <t>golden pumice</t>
  </si>
  <si>
    <t>vitric ash associated with 1790 surge</t>
  </si>
  <si>
    <t>Unit E scoria lapilli</t>
  </si>
  <si>
    <t>scoria lapilli</t>
  </si>
  <si>
    <t>Unit D upper, vitric ash IIA2</t>
  </si>
  <si>
    <t>vitric ash 2A2</t>
  </si>
  <si>
    <t>Unit D lower, vitric ash IIA1</t>
  </si>
  <si>
    <t>vitric ash 2A1</t>
  </si>
  <si>
    <t>Unit B reticulite</t>
  </si>
  <si>
    <t>lower reticulite</t>
  </si>
  <si>
    <t>reticulite</t>
  </si>
  <si>
    <t>Manuscript published in: Earth and Planetary Science Letters 118579</t>
  </si>
  <si>
    <t>Electronic Supplement 2: Lerner et al. 2024; Keanakākoʻi Tephra silicate analyses</t>
  </si>
  <si>
    <t>Electronic Supplement 3: Lerner et al. 2024; EPMA glass and mineral standards and analysis details for 2021 analytical sessions</t>
  </si>
  <si>
    <t>Electronic Supplement 1: Lerner et al. 2024; Keanakākoʻi Tephra melt inclusion, fluid inclusion, and matrix glass analyses</t>
  </si>
  <si>
    <t>https://doi.org/10.1016/j.epsl.2024.118579</t>
  </si>
  <si>
    <t>*corresponding author email address: alerner@usgs.gov</t>
  </si>
  <si>
    <r>
      <t>a</t>
    </r>
    <r>
      <rPr>
        <i/>
        <sz val="10"/>
        <rFont val="Calibri"/>
        <family val="2"/>
        <scheme val="minor"/>
      </rPr>
      <t xml:space="preserve"> Dept. of Earth Sciences, University of Oregon, OR 97403, USA</t>
    </r>
  </si>
  <si>
    <r>
      <t>b</t>
    </r>
    <r>
      <rPr>
        <i/>
        <sz val="10"/>
        <rFont val="Calibri"/>
        <family val="2"/>
        <scheme val="minor"/>
      </rPr>
      <t xml:space="preserve"> U.S. Geological Survey, Cascades Volcano Observatory, WA 98683, USA</t>
    </r>
  </si>
  <si>
    <r>
      <t>c</t>
    </r>
    <r>
      <rPr>
        <i/>
        <sz val="10"/>
        <rFont val="Calibri"/>
        <family val="2"/>
        <scheme val="minor"/>
      </rPr>
      <t xml:space="preserve"> Dept. of Geosciences, Virginia Tech, VA 24061, USA</t>
    </r>
  </si>
  <si>
    <r>
      <t xml:space="preserve">Allan H. Lerner </t>
    </r>
    <r>
      <rPr>
        <vertAlign val="superscript"/>
        <sz val="12"/>
        <color theme="1"/>
        <rFont val="Calibri"/>
        <family val="2"/>
        <scheme val="minor"/>
      </rPr>
      <t>a,b</t>
    </r>
    <r>
      <rPr>
        <sz val="12"/>
        <color theme="1"/>
        <rFont val="Calibri"/>
        <family val="2"/>
        <scheme val="minor"/>
      </rPr>
      <t xml:space="preserve">*, D. Matthew Sublett Jr. </t>
    </r>
    <r>
      <rPr>
        <vertAlign val="superscript"/>
        <sz val="12"/>
        <color theme="1"/>
        <rFont val="Calibri"/>
        <family val="2"/>
        <scheme val="minor"/>
      </rPr>
      <t>c</t>
    </r>
    <r>
      <rPr>
        <sz val="12"/>
        <color theme="1"/>
        <rFont val="Calibri"/>
        <family val="2"/>
        <scheme val="minor"/>
      </rPr>
      <t xml:space="preserve">, Paul J. Wallace </t>
    </r>
    <r>
      <rPr>
        <vertAlign val="superscript"/>
        <sz val="12"/>
        <color theme="1"/>
        <rFont val="Calibri"/>
        <family val="2"/>
        <scheme val="minor"/>
      </rPr>
      <t>a</t>
    </r>
    <r>
      <rPr>
        <sz val="12"/>
        <color theme="1"/>
        <rFont val="Calibri"/>
        <family val="2"/>
        <scheme val="minor"/>
      </rPr>
      <t xml:space="preserve">, Christina Cauley </t>
    </r>
    <r>
      <rPr>
        <vertAlign val="superscript"/>
        <sz val="12"/>
        <color theme="1"/>
        <rFont val="Calibri"/>
        <family val="2"/>
        <scheme val="minor"/>
      </rPr>
      <t>a</t>
    </r>
    <r>
      <rPr>
        <sz val="12"/>
        <color theme="1"/>
        <rFont val="Calibri"/>
        <family val="2"/>
        <scheme val="minor"/>
      </rPr>
      <t xml:space="preserve">, Robert J. Bodnar </t>
    </r>
    <r>
      <rPr>
        <vertAlign val="superscript"/>
        <sz val="12"/>
        <color theme="1"/>
        <rFont val="Calibri"/>
        <family val="2"/>
        <scheme val="minor"/>
      </rPr>
      <t>c</t>
    </r>
  </si>
  <si>
    <t>6. Recalculated saturation pressures from literature: Anderson and Brown 1993; Moore et al., 2015; Tuohy et al., 2016; Wieser et al., 2021; Wieser et al., 2022</t>
  </si>
  <si>
    <r>
      <t>4. Raman spectroscopy replicate analyses of CO</t>
    </r>
    <r>
      <rPr>
        <vertAlign val="subscript"/>
        <sz val="12"/>
        <rFont val="Calibri"/>
        <family val="2"/>
        <scheme val="minor"/>
      </rPr>
      <t>2</t>
    </r>
    <r>
      <rPr>
        <sz val="12"/>
        <rFont val="Calibri"/>
        <family val="2"/>
        <scheme val="minor"/>
      </rPr>
      <t xml:space="preserve"> densities in fluid inclusions and melt inclusion vapor bubbles</t>
    </r>
  </si>
  <si>
    <t>2. Keanakākoʻi Tephra olivine mineral analyses (EPMA)</t>
  </si>
  <si>
    <r>
      <t>5. Extended Raman spectroscopy CO</t>
    </r>
    <r>
      <rPr>
        <vertAlign val="subscript"/>
        <sz val="12"/>
        <rFont val="Calibri"/>
        <family val="2"/>
        <scheme val="minor"/>
      </rPr>
      <t>2</t>
    </r>
    <r>
      <rPr>
        <sz val="12"/>
        <rFont val="Calibri"/>
        <family val="2"/>
        <scheme val="minor"/>
      </rPr>
      <t xml:space="preserve"> density results of 2018 LERZ samples from Lerner et al., 2021a</t>
    </r>
  </si>
  <si>
    <t>Electronic Supplement 4: Lerner et al. 2024; Replicate Raman spectroscopy analyses of CO2 densities in fluid inclusions and melt inclusion vapor bubbles</t>
  </si>
  <si>
    <t>Electronic Supplement 5: Lerner et al. 2021a - Kīlauea 2018 LERZ. Extended Ramanspectroscopy  CO2 density results of melt inclusion vapor bubble analyses</t>
  </si>
  <si>
    <t>Expanded details of Raman analyses of CO2 in melt inclusion vapor bubbles were not originally reported in Lerner et al. (2021a) data supplement, and are presented here. See Lerner et al. 2021a Supplementary Table 1 for complete compositional information, including non-PEC corrected data and uncertainties, and analyses of melt inclusions without Raman CO2 measurements (including bubble-free melt inclusions with barometry) and matrix glasses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</si>
</sst>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
    <numFmt numFmtId="166" formatCode="0.0%"/>
    <numFmt numFmtId="167" formatCode="0.00000"/>
    <numFmt numFmtId="168" formatCode="m/d/yy;@"/>
    <numFmt numFmtId="169" formatCode="0.000000"/>
  </numFmts>
  <fonts count="122">
    <font>
      <sz val="9"/>
      <name val="Geneva"/>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sz val="9"/>
      <name val="Geneva"/>
    </font>
    <font>
      <sz val="9"/>
      <color indexed="81"/>
      <name val="Tahoma"/>
      <family val="2"/>
    </font>
    <font>
      <b/>
      <sz val="9"/>
      <color indexed="81"/>
      <name val="Tahoma"/>
      <family val="2"/>
    </font>
    <font>
      <i/>
      <sz val="9"/>
      <name val="Geneva"/>
    </font>
    <font>
      <b/>
      <i/>
      <sz val="9"/>
      <name val="Geneva"/>
    </font>
    <font>
      <sz val="9"/>
      <color rgb="FFFF0000"/>
      <name val="Geneva"/>
    </font>
    <font>
      <sz val="10"/>
      <name val="Arial"/>
      <family val="2"/>
    </font>
    <font>
      <sz val="9"/>
      <name val="Geneva"/>
    </font>
    <font>
      <sz val="9"/>
      <name val="Calibri"/>
      <family val="2"/>
      <scheme val="minor"/>
    </font>
    <font>
      <sz val="10"/>
      <name val="Geneva"/>
    </font>
    <font>
      <sz val="11"/>
      <color rgb="FFFF0000"/>
      <name val="Calibri"/>
      <family val="2"/>
      <scheme val="minor"/>
    </font>
    <font>
      <sz val="11"/>
      <color rgb="FF000000"/>
      <name val="Calibri"/>
      <family val="2"/>
    </font>
    <font>
      <sz val="10"/>
      <name val="Calibri"/>
      <family val="2"/>
    </font>
    <font>
      <sz val="10"/>
      <name val="Calibri"/>
      <family val="2"/>
      <scheme val="minor"/>
    </font>
    <font>
      <i/>
      <sz val="9"/>
      <name val="Calibri"/>
      <family val="2"/>
      <scheme val="minor"/>
    </font>
    <font>
      <sz val="9"/>
      <color rgb="FFFF0000"/>
      <name val="Calibri"/>
      <family val="2"/>
      <scheme val="minor"/>
    </font>
    <font>
      <sz val="9"/>
      <color theme="1"/>
      <name val="Calibri"/>
      <family val="2"/>
      <scheme val="minor"/>
    </font>
    <font>
      <b/>
      <i/>
      <sz val="10"/>
      <name val="Calibri"/>
      <family val="2"/>
      <scheme val="minor"/>
    </font>
    <font>
      <b/>
      <i/>
      <sz val="9"/>
      <name val="Calibri"/>
      <family val="2"/>
      <scheme val="minor"/>
    </font>
    <font>
      <b/>
      <sz val="10"/>
      <name val="Calibri"/>
      <family val="2"/>
      <scheme val="minor"/>
    </font>
    <font>
      <i/>
      <sz val="10"/>
      <color theme="1"/>
      <name val="Calibri"/>
      <family val="2"/>
      <scheme val="minor"/>
    </font>
    <font>
      <sz val="10"/>
      <name val="Verdana"/>
      <family val="2"/>
    </font>
    <font>
      <vertAlign val="superscript"/>
      <sz val="9"/>
      <name val="Calibri"/>
      <family val="2"/>
      <scheme val="minor"/>
    </font>
    <font>
      <sz val="8"/>
      <name val="Calibri"/>
      <family val="2"/>
      <scheme val="minor"/>
    </font>
    <font>
      <sz val="8"/>
      <name val="Geneva"/>
    </font>
    <font>
      <i/>
      <sz val="8"/>
      <name val="Geneva"/>
    </font>
    <font>
      <sz val="11"/>
      <name val="Calibri"/>
      <family val="2"/>
      <scheme val="minor"/>
    </font>
    <font>
      <b/>
      <sz val="10"/>
      <color rgb="FFC00000"/>
      <name val="Calibri"/>
      <family val="2"/>
      <scheme val="minor"/>
    </font>
    <font>
      <i/>
      <sz val="9"/>
      <color rgb="FFFF0000"/>
      <name val="Calibri"/>
      <family val="2"/>
      <scheme val="minor"/>
    </font>
    <font>
      <b/>
      <i/>
      <sz val="9"/>
      <color rgb="FF7030A0"/>
      <name val="Calibri"/>
      <family val="2"/>
      <scheme val="minor"/>
    </font>
    <font>
      <b/>
      <sz val="9"/>
      <name val="Calibri"/>
      <family val="2"/>
      <scheme val="minor"/>
    </font>
    <font>
      <b/>
      <sz val="9"/>
      <color theme="1"/>
      <name val="Calibri"/>
      <family val="2"/>
      <scheme val="minor"/>
    </font>
    <font>
      <sz val="9"/>
      <name val="Times New Roman"/>
      <family val="1"/>
    </font>
    <font>
      <i/>
      <sz val="9"/>
      <color theme="4"/>
      <name val="Geneva"/>
    </font>
    <font>
      <sz val="9"/>
      <color theme="4"/>
      <name val="Geneva"/>
    </font>
    <font>
      <i/>
      <sz val="8"/>
      <name val="Calibri"/>
      <family val="2"/>
      <scheme val="minor"/>
    </font>
    <font>
      <i/>
      <vertAlign val="subscript"/>
      <sz val="8"/>
      <name val="Calibri"/>
      <family val="2"/>
      <scheme val="minor"/>
    </font>
    <font>
      <i/>
      <vertAlign val="subscript"/>
      <sz val="9"/>
      <name val="Calibri"/>
      <family val="2"/>
      <scheme val="minor"/>
    </font>
    <font>
      <b/>
      <i/>
      <sz val="9"/>
      <color theme="1"/>
      <name val="Calibri"/>
      <family val="2"/>
      <scheme val="minor"/>
    </font>
    <font>
      <sz val="11"/>
      <color theme="9" tint="-0.249977111117893"/>
      <name val="Calibri"/>
      <family val="2"/>
      <scheme val="minor"/>
    </font>
    <font>
      <b/>
      <i/>
      <sz val="12"/>
      <color theme="1"/>
      <name val="Calibri"/>
      <family val="2"/>
      <scheme val="minor"/>
    </font>
    <font>
      <i/>
      <sz val="11"/>
      <color theme="1"/>
      <name val="Calibri"/>
      <family val="2"/>
      <scheme val="minor"/>
    </font>
    <font>
      <i/>
      <sz val="9"/>
      <color theme="4"/>
      <name val="Calibri"/>
      <family val="2"/>
      <scheme val="minor"/>
    </font>
    <font>
      <u/>
      <sz val="9"/>
      <name val="Geneva"/>
    </font>
    <font>
      <b/>
      <sz val="9"/>
      <color theme="4"/>
      <name val="Geneva"/>
    </font>
    <font>
      <b/>
      <i/>
      <sz val="9"/>
      <color theme="4"/>
      <name val="Geneva"/>
    </font>
    <font>
      <sz val="14"/>
      <name val="Geneva"/>
    </font>
    <font>
      <b/>
      <sz val="14"/>
      <name val="Geneva"/>
    </font>
    <font>
      <sz val="9"/>
      <color theme="1"/>
      <name val="Geneva"/>
    </font>
    <font>
      <vertAlign val="subscript"/>
      <sz val="9"/>
      <name val="Geneva"/>
    </font>
    <font>
      <b/>
      <sz val="9"/>
      <color theme="0"/>
      <name val="Geneva"/>
    </font>
    <font>
      <b/>
      <i/>
      <sz val="12"/>
      <name val="Calibri"/>
      <family val="2"/>
      <scheme val="minor"/>
    </font>
    <font>
      <sz val="12"/>
      <name val="Calibri"/>
      <family val="2"/>
      <scheme val="minor"/>
    </font>
    <font>
      <vertAlign val="subscript"/>
      <sz val="12"/>
      <name val="Calibri"/>
      <family val="2"/>
      <scheme val="minor"/>
    </font>
    <font>
      <vertAlign val="subscript"/>
      <sz val="9"/>
      <name val="Calibri"/>
      <family val="2"/>
      <scheme val="minor"/>
    </font>
    <font>
      <b/>
      <sz val="12"/>
      <name val="Calibri"/>
      <family val="2"/>
      <scheme val="minor"/>
    </font>
    <font>
      <b/>
      <vertAlign val="subscript"/>
      <sz val="12"/>
      <name val="Calibri"/>
      <family val="2"/>
      <scheme val="minor"/>
    </font>
    <font>
      <b/>
      <i/>
      <sz val="8"/>
      <name val="Calibri"/>
      <family val="2"/>
      <scheme val="minor"/>
    </font>
    <font>
      <b/>
      <vertAlign val="subscript"/>
      <sz val="9"/>
      <name val="Calibri"/>
      <family val="2"/>
      <scheme val="minor"/>
    </font>
    <font>
      <b/>
      <vertAlign val="superscript"/>
      <sz val="9"/>
      <name val="Calibri"/>
      <family val="2"/>
      <scheme val="minor"/>
    </font>
    <font>
      <b/>
      <i/>
      <vertAlign val="subscript"/>
      <sz val="8"/>
      <name val="Calibri"/>
      <family val="2"/>
      <scheme val="minor"/>
    </font>
    <font>
      <b/>
      <i/>
      <vertAlign val="superscript"/>
      <sz val="8"/>
      <name val="Calibri"/>
      <family val="2"/>
      <scheme val="minor"/>
    </font>
    <font>
      <i/>
      <sz val="12"/>
      <color theme="1"/>
      <name val="Calibri"/>
      <family val="2"/>
      <scheme val="minor"/>
    </font>
    <font>
      <sz val="12"/>
      <color theme="1"/>
      <name val="Calibri"/>
      <family val="2"/>
      <scheme val="minor"/>
    </font>
    <font>
      <vertAlign val="subscript"/>
      <sz val="9"/>
      <color theme="1"/>
      <name val="Calibri"/>
      <family val="2"/>
      <scheme val="minor"/>
    </font>
    <font>
      <vertAlign val="superscript"/>
      <sz val="9"/>
      <color theme="1"/>
      <name val="Calibri"/>
      <family val="2"/>
      <scheme val="minor"/>
    </font>
    <font>
      <sz val="9"/>
      <color theme="4"/>
      <name val="Calibri"/>
      <family val="2"/>
      <scheme val="minor"/>
    </font>
    <font>
      <sz val="9"/>
      <color rgb="FF000000"/>
      <name val="Calibri"/>
      <family val="2"/>
      <scheme val="minor"/>
    </font>
    <font>
      <b/>
      <sz val="9"/>
      <color rgb="FFFF0000"/>
      <name val="Calibri"/>
      <family val="2"/>
      <scheme val="minor"/>
    </font>
    <font>
      <sz val="9"/>
      <color rgb="FF7030A0"/>
      <name val="Calibri"/>
      <family val="2"/>
      <scheme val="minor"/>
    </font>
    <font>
      <b/>
      <sz val="9"/>
      <color rgb="FF7030A0"/>
      <name val="Calibri"/>
      <family val="2"/>
      <scheme val="minor"/>
    </font>
    <font>
      <i/>
      <vertAlign val="superscript"/>
      <sz val="9"/>
      <name val="Calibri"/>
      <family val="2"/>
      <scheme val="minor"/>
    </font>
    <font>
      <b/>
      <i/>
      <vertAlign val="superscript"/>
      <sz val="9"/>
      <name val="Calibri"/>
      <family val="2"/>
      <scheme val="minor"/>
    </font>
    <font>
      <b/>
      <i/>
      <sz val="9"/>
      <color rgb="FFFF0000"/>
      <name val="Calibri"/>
      <family val="2"/>
      <scheme val="minor"/>
    </font>
    <font>
      <b/>
      <vertAlign val="superscript"/>
      <sz val="9"/>
      <color indexed="8"/>
      <name val="Calibri"/>
      <family val="2"/>
      <scheme val="minor"/>
    </font>
    <font>
      <b/>
      <vertAlign val="subscript"/>
      <sz val="9"/>
      <color indexed="8"/>
      <name val="Calibri"/>
      <family val="2"/>
      <scheme val="minor"/>
    </font>
    <font>
      <b/>
      <sz val="9"/>
      <color theme="1"/>
      <name val="Calibri"/>
      <family val="2"/>
    </font>
    <font>
      <i/>
      <sz val="12"/>
      <name val="Calibri"/>
      <family val="2"/>
      <scheme val="minor"/>
    </font>
    <font>
      <i/>
      <sz val="9"/>
      <color theme="1"/>
      <name val="Calibri"/>
      <family val="2"/>
      <scheme val="minor"/>
    </font>
    <font>
      <i/>
      <sz val="9"/>
      <color theme="1"/>
      <name val="Calibri"/>
      <family val="2"/>
    </font>
    <font>
      <b/>
      <i/>
      <sz val="9"/>
      <name val="Calibri"/>
      <family val="2"/>
    </font>
    <font>
      <b/>
      <i/>
      <sz val="9"/>
      <color theme="1"/>
      <name val="Calibri"/>
      <family val="2"/>
    </font>
    <font>
      <i/>
      <vertAlign val="subscript"/>
      <sz val="9"/>
      <color theme="1"/>
      <name val="Calibri"/>
      <family val="2"/>
      <scheme val="minor"/>
    </font>
    <font>
      <i/>
      <vertAlign val="superscript"/>
      <sz val="9"/>
      <color theme="1"/>
      <name val="Calibri"/>
      <family val="2"/>
      <scheme val="minor"/>
    </font>
    <font>
      <i/>
      <sz val="9"/>
      <color theme="0"/>
      <name val="Calibri"/>
      <family val="2"/>
      <scheme val="minor"/>
    </font>
    <font>
      <sz val="9"/>
      <color theme="0"/>
      <name val="Geneva"/>
    </font>
    <font>
      <i/>
      <sz val="9"/>
      <color theme="0"/>
      <name val="Geneva"/>
    </font>
    <font>
      <b/>
      <sz val="12"/>
      <color theme="0"/>
      <name val="Calibri"/>
      <family val="2"/>
      <scheme val="minor"/>
    </font>
    <font>
      <b/>
      <sz val="12"/>
      <color theme="0"/>
      <name val="Calibri"/>
      <family val="2"/>
    </font>
    <font>
      <b/>
      <i/>
      <sz val="11"/>
      <name val="Calibri"/>
      <family val="2"/>
      <scheme val="minor"/>
    </font>
    <font>
      <b/>
      <vertAlign val="subscript"/>
      <sz val="9"/>
      <color theme="1"/>
      <name val="Calibri"/>
      <family val="2"/>
      <scheme val="minor"/>
    </font>
    <font>
      <b/>
      <vertAlign val="superscript"/>
      <sz val="9"/>
      <color theme="1"/>
      <name val="Calibri"/>
      <family val="2"/>
      <scheme val="minor"/>
    </font>
    <font>
      <b/>
      <i/>
      <vertAlign val="subscript"/>
      <sz val="9"/>
      <name val="Calibri"/>
      <family val="2"/>
      <scheme val="minor"/>
    </font>
    <font>
      <b/>
      <i/>
      <sz val="10"/>
      <color rgb="FFC00000"/>
      <name val="Calibri"/>
      <family val="2"/>
      <scheme val="minor"/>
    </font>
    <font>
      <i/>
      <sz val="12"/>
      <name val="Geneva"/>
    </font>
    <font>
      <sz val="12"/>
      <name val="Geneva"/>
    </font>
    <font>
      <i/>
      <sz val="12"/>
      <color theme="0"/>
      <name val="Geneva"/>
    </font>
    <font>
      <b/>
      <sz val="12"/>
      <color theme="1"/>
      <name val="Calibri"/>
      <family val="2"/>
      <scheme val="minor"/>
    </font>
    <font>
      <strike/>
      <sz val="9"/>
      <color theme="1"/>
      <name val="Calibri"/>
      <family val="2"/>
      <scheme val="minor"/>
    </font>
    <font>
      <i/>
      <sz val="9"/>
      <color theme="8"/>
      <name val="Calibri"/>
      <family val="2"/>
      <scheme val="minor"/>
    </font>
    <font>
      <b/>
      <i/>
      <sz val="9"/>
      <color theme="8"/>
      <name val="Calibri"/>
      <family val="2"/>
      <scheme val="minor"/>
    </font>
    <font>
      <i/>
      <sz val="11"/>
      <name val="Calibri"/>
      <family val="2"/>
      <scheme val="minor"/>
    </font>
    <font>
      <b/>
      <i/>
      <sz val="13"/>
      <color theme="1"/>
      <name val="Calibri"/>
      <family val="2"/>
      <scheme val="minor"/>
    </font>
    <font>
      <sz val="10"/>
      <color rgb="FFFF0000"/>
      <name val="Geneva"/>
    </font>
    <font>
      <sz val="10"/>
      <color theme="4"/>
      <name val="Geneva"/>
    </font>
    <font>
      <sz val="9"/>
      <name val="Calibri"/>
      <family val="2"/>
    </font>
    <font>
      <u/>
      <sz val="9"/>
      <color theme="10"/>
      <name val="Geneva"/>
    </font>
    <font>
      <i/>
      <vertAlign val="superscript"/>
      <sz val="10"/>
      <name val="Calibri"/>
      <family val="2"/>
      <scheme val="minor"/>
    </font>
    <font>
      <i/>
      <sz val="10"/>
      <name val="Calibri"/>
      <family val="2"/>
      <scheme val="minor"/>
    </font>
    <font>
      <vertAlign val="superscript"/>
      <sz val="12"/>
      <color theme="1"/>
      <name val="Calibri"/>
      <family val="2"/>
      <scheme val="minor"/>
    </font>
    <font>
      <i/>
      <u/>
      <sz val="12"/>
      <color theme="10"/>
      <name val="Calibri"/>
      <family val="2"/>
      <scheme val="minor"/>
    </font>
    <font>
      <u/>
      <sz val="12"/>
      <color theme="1"/>
      <name val="Calibri"/>
      <family val="2"/>
      <scheme val="minor"/>
    </font>
  </fonts>
  <fills count="16">
    <fill>
      <patternFill patternType="none"/>
    </fill>
    <fill>
      <patternFill patternType="gray125"/>
    </fill>
    <fill>
      <patternFill patternType="solid">
        <fgColor theme="1"/>
        <bgColor indexed="64"/>
      </patternFill>
    </fill>
    <fill>
      <patternFill patternType="solid">
        <fgColor theme="7" tint="0.79998168889431442"/>
        <bgColor indexed="64"/>
      </patternFill>
    </fill>
    <fill>
      <patternFill patternType="solid">
        <fgColor rgb="FFFFFF00"/>
        <bgColor indexed="64"/>
      </patternFill>
    </fill>
    <fill>
      <patternFill patternType="solid">
        <fgColor theme="6" tint="0.79998168889431442"/>
        <bgColor indexed="64"/>
      </patternFill>
    </fill>
    <fill>
      <patternFill patternType="solid">
        <fgColor theme="2"/>
        <bgColor indexed="64"/>
      </patternFill>
    </fill>
    <fill>
      <patternFill patternType="solid">
        <fgColor theme="8" tint="0.79998168889431442"/>
        <bgColor indexed="64"/>
      </patternFill>
    </fill>
    <fill>
      <patternFill patternType="solid">
        <fgColor rgb="FFFFFF33"/>
        <bgColor indexed="64"/>
      </patternFill>
    </fill>
    <fill>
      <patternFill patternType="solid">
        <fgColor theme="0" tint="-4.9989318521683403E-2"/>
        <bgColor indexed="64"/>
      </patternFill>
    </fill>
    <fill>
      <patternFill patternType="solid">
        <fgColor theme="0"/>
        <bgColor indexed="64"/>
      </patternFill>
    </fill>
    <fill>
      <patternFill patternType="solid">
        <fgColor theme="9" tint="0.59999389629810485"/>
        <bgColor indexed="64"/>
      </patternFill>
    </fill>
    <fill>
      <patternFill patternType="solid">
        <fgColor rgb="FFC6EFCE"/>
        <bgColor indexed="64"/>
      </patternFill>
    </fill>
    <fill>
      <patternFill patternType="solid">
        <fgColor theme="9" tint="0.79998168889431442"/>
        <bgColor indexed="64"/>
      </patternFill>
    </fill>
    <fill>
      <patternFill patternType="solid">
        <fgColor rgb="FFFFF2CC"/>
        <bgColor indexed="64"/>
      </patternFill>
    </fill>
    <fill>
      <patternFill patternType="solid">
        <fgColor rgb="FFFFF8E5"/>
        <bgColor indexed="64"/>
      </patternFill>
    </fill>
  </fills>
  <borders count="38">
    <border>
      <left/>
      <right/>
      <top/>
      <bottom/>
      <diagonal/>
    </border>
    <border>
      <left style="thin">
        <color indexed="64"/>
      </left>
      <right/>
      <top/>
      <bottom/>
      <diagonal/>
    </border>
    <border>
      <left style="thin">
        <color indexed="64"/>
      </left>
      <right/>
      <top/>
      <bottom style="double">
        <color indexed="64"/>
      </bottom>
      <diagonal/>
    </border>
    <border>
      <left/>
      <right/>
      <top/>
      <bottom style="double">
        <color indexed="64"/>
      </bottom>
      <diagonal/>
    </border>
    <border>
      <left/>
      <right/>
      <top style="thin">
        <color indexed="64"/>
      </top>
      <bottom/>
      <diagonal/>
    </border>
    <border>
      <left style="thin">
        <color indexed="64"/>
      </left>
      <right/>
      <top style="thin">
        <color indexed="64"/>
      </top>
      <bottom/>
      <diagonal/>
    </border>
    <border>
      <left/>
      <right style="thin">
        <color indexed="64"/>
      </right>
      <top/>
      <bottom/>
      <diagonal/>
    </border>
    <border>
      <left/>
      <right/>
      <top/>
      <bottom style="thin">
        <color indexed="64"/>
      </bottom>
      <diagonal/>
    </border>
    <border>
      <left style="thin">
        <color indexed="64"/>
      </left>
      <right/>
      <top/>
      <bottom style="thin">
        <color indexed="64"/>
      </bottom>
      <diagonal/>
    </border>
    <border>
      <left/>
      <right/>
      <top/>
      <bottom style="medium">
        <color indexed="64"/>
      </bottom>
      <diagonal/>
    </border>
    <border>
      <left/>
      <right style="thin">
        <color indexed="64"/>
      </right>
      <top/>
      <bottom style="double">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top style="medium">
        <color indexed="64"/>
      </top>
      <bottom/>
      <diagonal/>
    </border>
    <border>
      <left style="medium">
        <color indexed="64"/>
      </left>
      <right/>
      <top style="thin">
        <color indexed="64"/>
      </top>
      <bottom style="medium">
        <color indexed="64"/>
      </bottom>
      <diagonal/>
    </border>
    <border>
      <left style="medium">
        <color indexed="64"/>
      </left>
      <right/>
      <top/>
      <bottom style="double">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auto="1"/>
      </right>
      <top/>
      <bottom style="double">
        <color indexed="64"/>
      </bottom>
      <diagonal/>
    </border>
    <border>
      <left/>
      <right style="thin">
        <color indexed="64"/>
      </right>
      <top style="medium">
        <color indexed="64"/>
      </top>
      <bottom style="thin">
        <color indexed="64"/>
      </bottom>
      <diagonal/>
    </border>
    <border>
      <left/>
      <right style="medium">
        <color auto="1"/>
      </right>
      <top style="medium">
        <color indexed="64"/>
      </top>
      <bottom style="thin">
        <color indexed="64"/>
      </bottom>
      <diagonal/>
    </border>
    <border>
      <left/>
      <right style="medium">
        <color indexed="64"/>
      </right>
      <top/>
      <bottom style="medium">
        <color indexed="64"/>
      </bottom>
      <diagonal/>
    </border>
  </borders>
  <cellStyleXfs count="20">
    <xf numFmtId="0" fontId="0" fillId="0" borderId="0"/>
    <xf numFmtId="0" fontId="8" fillId="0" borderId="0"/>
    <xf numFmtId="0" fontId="16" fillId="0" borderId="0"/>
    <xf numFmtId="9" fontId="17" fillId="0" borderId="0" applyFont="0" applyFill="0" applyBorder="0" applyAlignment="0" applyProtection="0"/>
    <xf numFmtId="0" fontId="7" fillId="0" borderId="0"/>
    <xf numFmtId="9" fontId="7"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19" fillId="0" borderId="0"/>
    <xf numFmtId="0" fontId="5" fillId="0" borderId="0"/>
    <xf numFmtId="0" fontId="21" fillId="0" borderId="0"/>
    <xf numFmtId="0" fontId="4" fillId="0" borderId="0"/>
    <xf numFmtId="0" fontId="3" fillId="0" borderId="0"/>
    <xf numFmtId="0" fontId="2" fillId="0" borderId="0"/>
    <xf numFmtId="0" fontId="73" fillId="0" borderId="0"/>
    <xf numFmtId="0" fontId="1" fillId="0" borderId="0"/>
    <xf numFmtId="9" fontId="31" fillId="0" borderId="0" applyFont="0" applyFill="0" applyBorder="0" applyAlignment="0" applyProtection="0"/>
    <xf numFmtId="0" fontId="31" fillId="0" borderId="0"/>
    <xf numFmtId="0" fontId="116" fillId="0" borderId="0" applyNumberFormat="0" applyFill="0" applyBorder="0" applyAlignment="0" applyProtection="0"/>
  </cellStyleXfs>
  <cellXfs count="1143">
    <xf numFmtId="0" fontId="0" fillId="0" borderId="0" xfId="0"/>
    <xf numFmtId="2" fontId="0" fillId="0" borderId="0" xfId="0" applyNumberFormat="1"/>
    <xf numFmtId="1" fontId="0" fillId="0" borderId="0" xfId="0" applyNumberFormat="1"/>
    <xf numFmtId="0" fontId="13" fillId="0" borderId="0" xfId="0" applyFont="1"/>
    <xf numFmtId="2" fontId="0" fillId="0" borderId="1" xfId="0" applyNumberFormat="1" applyBorder="1"/>
    <xf numFmtId="0" fontId="0" fillId="0" borderId="1" xfId="0" applyBorder="1"/>
    <xf numFmtId="1" fontId="0" fillId="0" borderId="0" xfId="0" applyNumberFormat="1" applyAlignment="1">
      <alignment horizontal="center" vertical="center"/>
    </xf>
    <xf numFmtId="0" fontId="0" fillId="0" borderId="0" xfId="0" applyAlignment="1">
      <alignment horizontal="center" vertical="center"/>
    </xf>
    <xf numFmtId="2" fontId="0" fillId="0" borderId="1" xfId="0" applyNumberFormat="1" applyBorder="1" applyAlignment="1">
      <alignment horizontal="center" vertical="center"/>
    </xf>
    <xf numFmtId="2" fontId="0" fillId="0" borderId="0" xfId="0" applyNumberFormat="1" applyAlignment="1">
      <alignment horizontal="center" vertical="center"/>
    </xf>
    <xf numFmtId="164" fontId="0" fillId="0" borderId="0" xfId="0" applyNumberFormat="1" applyAlignment="1">
      <alignment horizontal="center" vertical="center"/>
    </xf>
    <xf numFmtId="0" fontId="0" fillId="0" borderId="1" xfId="0" applyBorder="1" applyAlignment="1">
      <alignment horizontal="center" vertical="center"/>
    </xf>
    <xf numFmtId="0" fontId="13" fillId="0" borderId="0" xfId="0" applyFont="1" applyAlignment="1">
      <alignment horizontal="center" vertical="center"/>
    </xf>
    <xf numFmtId="0" fontId="13" fillId="0" borderId="1" xfId="0" applyFont="1" applyBorder="1" applyAlignment="1">
      <alignment horizontal="center" vertical="center"/>
    </xf>
    <xf numFmtId="1" fontId="0" fillId="0" borderId="0" xfId="0" applyNumberFormat="1" applyAlignment="1">
      <alignment horizontal="center" vertical="center" wrapText="1"/>
    </xf>
    <xf numFmtId="0" fontId="0" fillId="0" borderId="0" xfId="0" applyAlignment="1">
      <alignment horizontal="center" vertical="center" wrapText="1"/>
    </xf>
    <xf numFmtId="2" fontId="15" fillId="0" borderId="0" xfId="0" applyNumberFormat="1" applyFont="1" applyAlignment="1">
      <alignment horizontal="center" vertical="center"/>
    </xf>
    <xf numFmtId="1" fontId="15" fillId="0" borderId="0" xfId="0" applyNumberFormat="1" applyFont="1" applyAlignment="1">
      <alignment horizontal="center" vertical="center"/>
    </xf>
    <xf numFmtId="2" fontId="15" fillId="0" borderId="1" xfId="0" applyNumberFormat="1" applyFont="1" applyBorder="1" applyAlignment="1">
      <alignment horizontal="center" vertical="center"/>
    </xf>
    <xf numFmtId="2" fontId="0" fillId="0" borderId="0" xfId="0" quotePrefix="1" applyNumberFormat="1" applyAlignment="1">
      <alignment horizontal="center" vertical="center"/>
    </xf>
    <xf numFmtId="0" fontId="0" fillId="0" borderId="0" xfId="0" quotePrefix="1" applyAlignment="1">
      <alignment horizontal="center" vertical="center"/>
    </xf>
    <xf numFmtId="165" fontId="0" fillId="0" borderId="0" xfId="0" applyNumberFormat="1" applyAlignment="1">
      <alignment horizontal="center" vertical="center"/>
    </xf>
    <xf numFmtId="2" fontId="10" fillId="0" borderId="1" xfId="0" applyNumberFormat="1" applyFont="1" applyBorder="1" applyAlignment="1">
      <alignment horizontal="center" vertical="center" wrapText="1"/>
    </xf>
    <xf numFmtId="0" fontId="0" fillId="5" borderId="0" xfId="0" applyFill="1" applyAlignment="1">
      <alignment horizontal="center" vertical="center"/>
    </xf>
    <xf numFmtId="165" fontId="0" fillId="0" borderId="0" xfId="0" applyNumberFormat="1"/>
    <xf numFmtId="2" fontId="0" fillId="0" borderId="1" xfId="0" applyNumberFormat="1" applyBorder="1" applyAlignment="1">
      <alignment horizontal="center"/>
    </xf>
    <xf numFmtId="2" fontId="0" fillId="0" borderId="0" xfId="0" applyNumberFormat="1" applyAlignment="1">
      <alignment horizontal="center"/>
    </xf>
    <xf numFmtId="1" fontId="0" fillId="0" borderId="0" xfId="0" applyNumberFormat="1" applyAlignment="1">
      <alignment horizontal="center"/>
    </xf>
    <xf numFmtId="165" fontId="0" fillId="0" borderId="0" xfId="0" applyNumberFormat="1" applyAlignment="1">
      <alignment horizontal="center"/>
    </xf>
    <xf numFmtId="2" fontId="0" fillId="5" borderId="0" xfId="0" applyNumberFormat="1" applyFill="1" applyAlignment="1">
      <alignment horizontal="center" vertical="center"/>
    </xf>
    <xf numFmtId="2" fontId="0" fillId="5" borderId="0" xfId="0" applyNumberFormat="1" applyFill="1"/>
    <xf numFmtId="0" fontId="13" fillId="0" borderId="1" xfId="0" applyFont="1" applyBorder="1"/>
    <xf numFmtId="1" fontId="0" fillId="0" borderId="1" xfId="0" applyNumberFormat="1" applyBorder="1" applyAlignment="1">
      <alignment horizontal="center" vertical="center"/>
    </xf>
    <xf numFmtId="0" fontId="0" fillId="0" borderId="1" xfId="0" quotePrefix="1" applyBorder="1" applyAlignment="1">
      <alignment horizontal="center" vertical="top"/>
    </xf>
    <xf numFmtId="0" fontId="0" fillId="0" borderId="0" xfId="0" applyAlignment="1">
      <alignment horizontal="center"/>
    </xf>
    <xf numFmtId="1" fontId="0" fillId="0" borderId="0" xfId="0" quotePrefix="1" applyNumberFormat="1" applyAlignment="1">
      <alignment horizontal="center" vertical="center"/>
    </xf>
    <xf numFmtId="0" fontId="0" fillId="0" borderId="9" xfId="0" applyBorder="1"/>
    <xf numFmtId="0" fontId="0" fillId="0" borderId="0" xfId="0" quotePrefix="1" applyAlignment="1">
      <alignment horizontal="center"/>
    </xf>
    <xf numFmtId="0" fontId="0" fillId="4" borderId="0" xfId="0" applyFill="1"/>
    <xf numFmtId="0" fontId="0" fillId="0" borderId="1" xfId="0" applyBorder="1" applyAlignment="1">
      <alignment horizontal="center"/>
    </xf>
    <xf numFmtId="2" fontId="0" fillId="0" borderId="0" xfId="3" quotePrefix="1" applyNumberFormat="1" applyFont="1" applyAlignment="1">
      <alignment horizontal="center" vertical="center"/>
    </xf>
    <xf numFmtId="0" fontId="13" fillId="0" borderId="0" xfId="0" applyFont="1" applyAlignment="1">
      <alignment horizontal="center"/>
    </xf>
    <xf numFmtId="0" fontId="15" fillId="0" borderId="0" xfId="0" applyFont="1" applyAlignment="1">
      <alignment horizontal="center"/>
    </xf>
    <xf numFmtId="0" fontId="18" fillId="0" borderId="0" xfId="0" applyFont="1" applyAlignment="1">
      <alignment horizontal="center" vertical="center" wrapText="1"/>
    </xf>
    <xf numFmtId="0" fontId="18" fillId="0" borderId="3" xfId="0" applyFont="1" applyBorder="1" applyAlignment="1">
      <alignment horizontal="center" vertical="center" wrapText="1"/>
    </xf>
    <xf numFmtId="2" fontId="0" fillId="0" borderId="1" xfId="0" quotePrefix="1" applyNumberFormat="1" applyBorder="1" applyAlignment="1">
      <alignment horizontal="center"/>
    </xf>
    <xf numFmtId="2" fontId="13" fillId="0" borderId="1" xfId="0" applyNumberFormat="1" applyFont="1" applyBorder="1" applyAlignment="1">
      <alignment horizontal="center" vertical="center"/>
    </xf>
    <xf numFmtId="165" fontId="13" fillId="0" borderId="0" xfId="0" applyNumberFormat="1" applyFont="1" applyAlignment="1">
      <alignment horizontal="center"/>
    </xf>
    <xf numFmtId="1" fontId="13" fillId="0" borderId="0" xfId="0" applyNumberFormat="1" applyFont="1" applyAlignment="1">
      <alignment horizontal="center"/>
    </xf>
    <xf numFmtId="166" fontId="0" fillId="0" borderId="1" xfId="3" applyNumberFormat="1" applyFont="1" applyFill="1" applyBorder="1" applyAlignment="1">
      <alignment horizontal="center" vertical="center"/>
    </xf>
    <xf numFmtId="166" fontId="0" fillId="0" borderId="0" xfId="3" applyNumberFormat="1" applyFont="1" applyFill="1" applyBorder="1" applyAlignment="1">
      <alignment horizontal="center" vertical="center"/>
    </xf>
    <xf numFmtId="1" fontId="0" fillId="0" borderId="1" xfId="3" applyNumberFormat="1" applyFont="1" applyFill="1" applyBorder="1" applyAlignment="1">
      <alignment horizontal="center" vertical="center"/>
    </xf>
    <xf numFmtId="1" fontId="0" fillId="0" borderId="0" xfId="3" applyNumberFormat="1" applyFont="1" applyFill="1" applyBorder="1" applyAlignment="1">
      <alignment horizontal="center" vertical="center"/>
    </xf>
    <xf numFmtId="165" fontId="0" fillId="0" borderId="1" xfId="3" applyNumberFormat="1" applyFont="1" applyFill="1" applyBorder="1" applyAlignment="1">
      <alignment horizontal="center" vertical="center"/>
    </xf>
    <xf numFmtId="11" fontId="0" fillId="0" borderId="0" xfId="3" applyNumberFormat="1" applyFont="1" applyFill="1" applyBorder="1" applyAlignment="1">
      <alignment horizontal="center" vertical="center"/>
    </xf>
    <xf numFmtId="0" fontId="24" fillId="0" borderId="4" xfId="0" applyFont="1" applyBorder="1" applyAlignment="1">
      <alignment horizontal="left" vertical="center"/>
    </xf>
    <xf numFmtId="0" fontId="24" fillId="0" borderId="0" xfId="0" applyFont="1" applyAlignment="1">
      <alignment horizontal="left" vertical="center"/>
    </xf>
    <xf numFmtId="1" fontId="0" fillId="0" borderId="1" xfId="0" applyNumberFormat="1" applyBorder="1" applyAlignment="1">
      <alignment horizontal="center"/>
    </xf>
    <xf numFmtId="1" fontId="0" fillId="0" borderId="1" xfId="0" applyNumberFormat="1" applyBorder="1"/>
    <xf numFmtId="14" fontId="0" fillId="0" borderId="0" xfId="0" applyNumberFormat="1" applyAlignment="1">
      <alignment horizontal="center" vertical="top"/>
    </xf>
    <xf numFmtId="0" fontId="24" fillId="0" borderId="4" xfId="0" applyFont="1" applyBorder="1" applyAlignment="1">
      <alignment horizontal="center" vertical="center"/>
    </xf>
    <xf numFmtId="1" fontId="10" fillId="0" borderId="1" xfId="0" applyNumberFormat="1" applyFont="1" applyBorder="1" applyAlignment="1">
      <alignment horizontal="center" vertical="top" wrapText="1"/>
    </xf>
    <xf numFmtId="0" fontId="10" fillId="0" borderId="1" xfId="0" applyFont="1" applyBorder="1" applyAlignment="1">
      <alignment horizontal="center" vertical="center" wrapText="1"/>
    </xf>
    <xf numFmtId="0" fontId="43" fillId="0" borderId="0" xfId="0" applyFont="1" applyAlignment="1">
      <alignment horizontal="center"/>
    </xf>
    <xf numFmtId="0" fontId="44" fillId="0" borderId="0" xfId="0" applyFont="1"/>
    <xf numFmtId="2" fontId="18" fillId="0" borderId="0" xfId="0" applyNumberFormat="1" applyFont="1" applyAlignment="1">
      <alignment horizontal="center" vertical="center"/>
    </xf>
    <xf numFmtId="1" fontId="13" fillId="0" borderId="1" xfId="0" applyNumberFormat="1" applyFont="1" applyBorder="1" applyAlignment="1">
      <alignment horizontal="center" vertical="center"/>
    </xf>
    <xf numFmtId="1" fontId="10" fillId="0" borderId="1" xfId="0" applyNumberFormat="1" applyFont="1" applyBorder="1" applyAlignment="1">
      <alignment horizontal="center"/>
    </xf>
    <xf numFmtId="1" fontId="13" fillId="0" borderId="0" xfId="0" applyNumberFormat="1" applyFont="1"/>
    <xf numFmtId="1" fontId="0" fillId="0" borderId="1" xfId="0" quotePrefix="1" applyNumberFormat="1" applyBorder="1" applyAlignment="1">
      <alignment horizontal="center" vertical="center"/>
    </xf>
    <xf numFmtId="0" fontId="9" fillId="0" borderId="0" xfId="14" applyFont="1"/>
    <xf numFmtId="0" fontId="2" fillId="0" borderId="0" xfId="14"/>
    <xf numFmtId="0" fontId="30" fillId="0" borderId="0" xfId="14" applyFont="1"/>
    <xf numFmtId="0" fontId="36" fillId="0" borderId="0" xfId="14" applyFont="1"/>
    <xf numFmtId="0" fontId="20" fillId="0" borderId="0" xfId="14" applyFont="1"/>
    <xf numFmtId="0" fontId="49" fillId="0" borderId="0" xfId="14" applyFont="1"/>
    <xf numFmtId="0" fontId="50" fillId="0" borderId="0" xfId="14" applyFont="1" applyAlignment="1">
      <alignment vertical="center"/>
    </xf>
    <xf numFmtId="0" fontId="51" fillId="0" borderId="0" xfId="14" applyFont="1" applyAlignment="1">
      <alignment horizontal="center"/>
    </xf>
    <xf numFmtId="0" fontId="2" fillId="0" borderId="0" xfId="14" applyAlignment="1">
      <alignment vertical="center"/>
    </xf>
    <xf numFmtId="0" fontId="2" fillId="0" borderId="0" xfId="14" applyAlignment="1">
      <alignment horizontal="center"/>
    </xf>
    <xf numFmtId="0" fontId="51" fillId="0" borderId="0" xfId="14" applyFont="1"/>
    <xf numFmtId="0" fontId="0" fillId="0" borderId="0" xfId="0" applyAlignment="1">
      <alignment vertical="center" wrapText="1"/>
    </xf>
    <xf numFmtId="0" fontId="50" fillId="0" borderId="0" xfId="14" applyFont="1" applyAlignment="1">
      <alignment horizontal="center" vertical="center" wrapText="1"/>
    </xf>
    <xf numFmtId="0" fontId="44" fillId="0" borderId="1" xfId="0" applyFont="1" applyBorder="1" applyAlignment="1">
      <alignment horizontal="center"/>
    </xf>
    <xf numFmtId="0" fontId="44" fillId="0" borderId="0" xfId="0" applyFont="1" applyAlignment="1">
      <alignment horizontal="center"/>
    </xf>
    <xf numFmtId="0" fontId="44" fillId="0" borderId="1" xfId="0" applyFont="1" applyBorder="1" applyAlignment="1">
      <alignment horizontal="left" vertical="top"/>
    </xf>
    <xf numFmtId="0" fontId="44" fillId="0" borderId="0" xfId="0" applyFont="1" applyAlignment="1">
      <alignment vertical="top"/>
    </xf>
    <xf numFmtId="9" fontId="0" fillId="0" borderId="0" xfId="3" applyFont="1" applyAlignment="1">
      <alignment horizontal="center" vertical="center" wrapText="1"/>
    </xf>
    <xf numFmtId="0" fontId="53" fillId="0" borderId="0" xfId="0" applyFont="1"/>
    <xf numFmtId="0" fontId="15" fillId="0" borderId="0" xfId="0" applyFont="1" applyAlignment="1">
      <alignment horizontal="center" vertical="center" wrapText="1"/>
    </xf>
    <xf numFmtId="9" fontId="0" fillId="0" borderId="0" xfId="3" applyFont="1" applyAlignment="1">
      <alignment horizontal="center"/>
    </xf>
    <xf numFmtId="0" fontId="44" fillId="0" borderId="5" xfId="0" quotePrefix="1" applyFont="1" applyBorder="1" applyAlignment="1">
      <alignment horizontal="center"/>
    </xf>
    <xf numFmtId="0" fontId="44" fillId="0" borderId="0" xfId="0" quotePrefix="1" applyFont="1" applyAlignment="1">
      <alignment horizontal="center"/>
    </xf>
    <xf numFmtId="0" fontId="44" fillId="0" borderId="1" xfId="0" quotePrefix="1" applyFont="1" applyBorder="1" applyAlignment="1">
      <alignment horizontal="center"/>
    </xf>
    <xf numFmtId="0" fontId="44" fillId="0" borderId="0" xfId="0" applyFont="1" applyAlignment="1">
      <alignment horizontal="center" vertical="top"/>
    </xf>
    <xf numFmtId="1" fontId="44" fillId="0" borderId="0" xfId="0" applyNumberFormat="1" applyFont="1" applyAlignment="1">
      <alignment horizontal="center"/>
    </xf>
    <xf numFmtId="0" fontId="15" fillId="0" borderId="9" xfId="0" applyFont="1" applyBorder="1" applyAlignment="1">
      <alignment horizontal="center" vertical="center" wrapText="1"/>
    </xf>
    <xf numFmtId="165" fontId="13" fillId="0" borderId="9" xfId="0" applyNumberFormat="1" applyFont="1" applyBorder="1" applyAlignment="1">
      <alignment horizontal="center"/>
    </xf>
    <xf numFmtId="0" fontId="44" fillId="0" borderId="25" xfId="0" quotePrefix="1" applyFont="1" applyBorder="1" applyAlignment="1">
      <alignment horizontal="center"/>
    </xf>
    <xf numFmtId="0" fontId="44" fillId="0" borderId="9" xfId="0" quotePrefix="1" applyFont="1" applyBorder="1" applyAlignment="1">
      <alignment horizontal="center"/>
    </xf>
    <xf numFmtId="0" fontId="15" fillId="0" borderId="9" xfId="0" applyFont="1" applyBorder="1" applyAlignment="1">
      <alignment horizontal="center"/>
    </xf>
    <xf numFmtId="1" fontId="44" fillId="0" borderId="9" xfId="0" applyNumberFormat="1" applyFont="1" applyBorder="1" applyAlignment="1">
      <alignment horizontal="center"/>
    </xf>
    <xf numFmtId="1" fontId="15" fillId="0" borderId="0" xfId="0" applyNumberFormat="1" applyFont="1" applyAlignment="1">
      <alignment horizontal="center" vertical="center" wrapText="1"/>
    </xf>
    <xf numFmtId="1" fontId="15" fillId="0" borderId="9" xfId="0" applyNumberFormat="1" applyFont="1" applyBorder="1" applyAlignment="1">
      <alignment horizontal="center" vertical="center" wrapText="1"/>
    </xf>
    <xf numFmtId="2" fontId="0" fillId="0" borderId="0" xfId="3" applyNumberFormat="1" applyFont="1" applyAlignment="1">
      <alignment horizontal="center"/>
    </xf>
    <xf numFmtId="2" fontId="0" fillId="0" borderId="9" xfId="3" applyNumberFormat="1" applyFont="1" applyBorder="1" applyAlignment="1">
      <alignment horizontal="center"/>
    </xf>
    <xf numFmtId="0" fontId="13" fillId="0" borderId="0" xfId="0" applyFont="1" applyAlignment="1">
      <alignment vertical="center" wrapText="1"/>
    </xf>
    <xf numFmtId="2" fontId="13" fillId="0" borderId="9" xfId="3" applyNumberFormat="1" applyFont="1" applyBorder="1" applyAlignment="1">
      <alignment horizontal="center"/>
    </xf>
    <xf numFmtId="2" fontId="0" fillId="0" borderId="5" xfId="3" applyNumberFormat="1" applyFont="1" applyBorder="1" applyAlignment="1">
      <alignment horizontal="center"/>
    </xf>
    <xf numFmtId="2" fontId="0" fillId="0" borderId="1" xfId="3" applyNumberFormat="1" applyFont="1" applyBorder="1" applyAlignment="1">
      <alignment horizontal="center"/>
    </xf>
    <xf numFmtId="2" fontId="0" fillId="0" borderId="25" xfId="3" applyNumberFormat="1" applyFont="1" applyBorder="1" applyAlignment="1">
      <alignment horizontal="center"/>
    </xf>
    <xf numFmtId="1" fontId="0" fillId="0" borderId="5" xfId="3" applyNumberFormat="1" applyFont="1" applyBorder="1" applyAlignment="1">
      <alignment horizontal="center"/>
    </xf>
    <xf numFmtId="1" fontId="0" fillId="0" borderId="1" xfId="3" applyNumberFormat="1" applyFont="1" applyBorder="1" applyAlignment="1">
      <alignment horizontal="center"/>
    </xf>
    <xf numFmtId="1" fontId="0" fillId="0" borderId="25" xfId="3" applyNumberFormat="1" applyFont="1" applyBorder="1" applyAlignment="1">
      <alignment horizontal="center"/>
    </xf>
    <xf numFmtId="165" fontId="0" fillId="0" borderId="4" xfId="0" applyNumberFormat="1" applyBorder="1" applyAlignment="1">
      <alignment horizontal="center"/>
    </xf>
    <xf numFmtId="1" fontId="13" fillId="0" borderId="4" xfId="0" applyNumberFormat="1" applyFont="1" applyBorder="1" applyAlignment="1">
      <alignment horizontal="center"/>
    </xf>
    <xf numFmtId="165" fontId="0" fillId="0" borderId="0" xfId="3" applyNumberFormat="1" applyFont="1" applyAlignment="1">
      <alignment horizontal="center"/>
    </xf>
    <xf numFmtId="165" fontId="0" fillId="0" borderId="9" xfId="3" applyNumberFormat="1" applyFont="1" applyBorder="1" applyAlignment="1">
      <alignment horizontal="center"/>
    </xf>
    <xf numFmtId="165" fontId="0" fillId="0" borderId="0" xfId="3" applyNumberFormat="1" applyFont="1" applyFill="1" applyAlignment="1">
      <alignment horizontal="center"/>
    </xf>
    <xf numFmtId="0" fontId="44" fillId="0" borderId="5" xfId="0" applyFont="1" applyBorder="1" applyAlignment="1">
      <alignment horizontal="center"/>
    </xf>
    <xf numFmtId="2" fontId="44" fillId="0" borderId="5" xfId="0" quotePrefix="1" applyNumberFormat="1" applyFont="1" applyBorder="1" applyAlignment="1">
      <alignment horizontal="center"/>
    </xf>
    <xf numFmtId="2" fontId="44" fillId="0" borderId="0" xfId="0" quotePrefix="1" applyNumberFormat="1" applyFont="1" applyAlignment="1">
      <alignment horizontal="center"/>
    </xf>
    <xf numFmtId="1" fontId="44" fillId="0" borderId="0" xfId="0" quotePrefix="1" applyNumberFormat="1" applyFont="1" applyAlignment="1">
      <alignment horizontal="center"/>
    </xf>
    <xf numFmtId="2" fontId="44" fillId="0" borderId="1" xfId="0" quotePrefix="1" applyNumberFormat="1" applyFont="1" applyBorder="1" applyAlignment="1">
      <alignment horizontal="center"/>
    </xf>
    <xf numFmtId="0" fontId="43" fillId="0" borderId="0" xfId="0" applyFont="1" applyAlignment="1">
      <alignment vertical="top"/>
    </xf>
    <xf numFmtId="0" fontId="54" fillId="0" borderId="8" xfId="0" applyFont="1" applyBorder="1" applyAlignment="1">
      <alignment horizontal="center" vertical="top" wrapText="1"/>
    </xf>
    <xf numFmtId="0" fontId="55" fillId="0" borderId="7" xfId="0" applyFont="1" applyBorder="1" applyAlignment="1">
      <alignment horizontal="center" vertical="top" wrapText="1"/>
    </xf>
    <xf numFmtId="0" fontId="0" fillId="0" borderId="0" xfId="0" quotePrefix="1" applyAlignment="1">
      <alignment horizontal="center" vertical="center" wrapText="1"/>
    </xf>
    <xf numFmtId="0" fontId="43" fillId="0" borderId="0" xfId="0" applyFont="1" applyAlignment="1">
      <alignment horizontal="center" vertical="top"/>
    </xf>
    <xf numFmtId="0" fontId="0" fillId="4" borderId="0" xfId="0" quotePrefix="1" applyFill="1" applyAlignment="1">
      <alignment horizontal="left" vertical="center"/>
    </xf>
    <xf numFmtId="1" fontId="0" fillId="0" borderId="5" xfId="0" applyNumberFormat="1" applyBorder="1" applyAlignment="1">
      <alignment horizontal="center"/>
    </xf>
    <xf numFmtId="0" fontId="0" fillId="12" borderId="0" xfId="0" quotePrefix="1" applyFill="1" applyAlignment="1">
      <alignment horizontal="left" vertical="center"/>
    </xf>
    <xf numFmtId="0" fontId="0" fillId="0" borderId="24" xfId="0" quotePrefix="1" applyBorder="1" applyAlignment="1">
      <alignment horizontal="center" vertical="center" wrapText="1"/>
    </xf>
    <xf numFmtId="0" fontId="0" fillId="0" borderId="9" xfId="0" applyBorder="1" applyAlignment="1">
      <alignment horizontal="center" vertical="center" wrapText="1"/>
    </xf>
    <xf numFmtId="1" fontId="0" fillId="0" borderId="9" xfId="0" applyNumberFormat="1" applyBorder="1" applyAlignment="1">
      <alignment horizontal="center"/>
    </xf>
    <xf numFmtId="1" fontId="0" fillId="0" borderId="25" xfId="0" applyNumberFormat="1" applyBorder="1" applyAlignment="1">
      <alignment horizontal="center"/>
    </xf>
    <xf numFmtId="165" fontId="0" fillId="0" borderId="9" xfId="0" applyNumberFormat="1" applyBorder="1" applyAlignment="1">
      <alignment horizontal="center"/>
    </xf>
    <xf numFmtId="0" fontId="54" fillId="0" borderId="1" xfId="0" applyFont="1" applyBorder="1" applyAlignment="1">
      <alignment horizontal="center" vertical="top" wrapText="1"/>
    </xf>
    <xf numFmtId="0" fontId="0" fillId="0" borderId="0" xfId="0" applyAlignment="1">
      <alignment vertical="center"/>
    </xf>
    <xf numFmtId="0" fontId="0" fillId="0" borderId="0" xfId="0" applyAlignment="1">
      <alignment vertical="top" wrapText="1"/>
    </xf>
    <xf numFmtId="0" fontId="10" fillId="0" borderId="1" xfId="0" applyFont="1" applyBorder="1" applyAlignment="1">
      <alignment vertical="top"/>
    </xf>
    <xf numFmtId="0" fontId="13" fillId="0" borderId="0" xfId="0" applyFont="1" applyAlignment="1">
      <alignment vertical="top" wrapText="1"/>
    </xf>
    <xf numFmtId="0" fontId="13" fillId="0" borderId="0" xfId="0" applyFont="1" applyAlignment="1">
      <alignment vertical="top"/>
    </xf>
    <xf numFmtId="165" fontId="10" fillId="0" borderId="0" xfId="0" applyNumberFormat="1" applyFont="1" applyAlignment="1">
      <alignment vertical="top"/>
    </xf>
    <xf numFmtId="0" fontId="44" fillId="0" borderId="1" xfId="0" applyFont="1" applyBorder="1" applyAlignment="1">
      <alignment vertical="top"/>
    </xf>
    <xf numFmtId="0" fontId="0" fillId="0" borderId="0" xfId="0" applyAlignment="1">
      <alignment vertical="top"/>
    </xf>
    <xf numFmtId="0" fontId="0" fillId="0" borderId="1" xfId="0" applyBorder="1" applyAlignment="1">
      <alignment vertical="top"/>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7" xfId="0" applyFont="1" applyBorder="1" applyAlignment="1">
      <alignment horizontal="center" vertical="top" wrapText="1"/>
    </xf>
    <xf numFmtId="2" fontId="0" fillId="0" borderId="5" xfId="0" applyNumberFormat="1" applyBorder="1" applyAlignment="1">
      <alignment horizontal="center" vertical="center"/>
    </xf>
    <xf numFmtId="2" fontId="15" fillId="0" borderId="0" xfId="0" quotePrefix="1" applyNumberFormat="1" applyFont="1" applyAlignment="1">
      <alignment horizontal="center" vertical="center"/>
    </xf>
    <xf numFmtId="0" fontId="15" fillId="0" borderId="0" xfId="0" quotePrefix="1" applyFont="1" applyAlignment="1">
      <alignment horizontal="center"/>
    </xf>
    <xf numFmtId="2" fontId="15" fillId="0" borderId="25" xfId="0" applyNumberFormat="1" applyFont="1" applyBorder="1" applyAlignment="1">
      <alignment horizontal="center" vertical="center"/>
    </xf>
    <xf numFmtId="2" fontId="15" fillId="0" borderId="9" xfId="0" applyNumberFormat="1" applyFont="1" applyBorder="1" applyAlignment="1">
      <alignment horizontal="center" vertical="center"/>
    </xf>
    <xf numFmtId="0" fontId="15" fillId="0" borderId="9" xfId="0" quotePrefix="1" applyFont="1" applyBorder="1" applyAlignment="1">
      <alignment horizontal="center"/>
    </xf>
    <xf numFmtId="1" fontId="15" fillId="0" borderId="9" xfId="0" applyNumberFormat="1" applyFont="1" applyBorder="1" applyAlignment="1">
      <alignment horizontal="center" vertical="center"/>
    </xf>
    <xf numFmtId="2" fontId="44" fillId="0" borderId="0" xfId="0" applyNumberFormat="1" applyFont="1" applyAlignment="1">
      <alignment horizontal="center" vertical="center"/>
    </xf>
    <xf numFmtId="165" fontId="13" fillId="0" borderId="0" xfId="0" applyNumberFormat="1" applyFont="1" applyAlignment="1">
      <alignment vertical="top"/>
    </xf>
    <xf numFmtId="0" fontId="56" fillId="0" borderId="0" xfId="0" applyFont="1" applyAlignment="1">
      <alignment vertical="center"/>
    </xf>
    <xf numFmtId="0" fontId="0" fillId="4" borderId="9" xfId="0" quotePrefix="1" applyFill="1" applyBorder="1" applyAlignment="1">
      <alignment horizontal="left" vertical="center"/>
    </xf>
    <xf numFmtId="1" fontId="0" fillId="0" borderId="9" xfId="0" applyNumberFormat="1" applyBorder="1" applyAlignment="1">
      <alignment horizontal="center" vertical="center" wrapText="1"/>
    </xf>
    <xf numFmtId="1" fontId="13" fillId="0" borderId="9" xfId="0" applyNumberFormat="1" applyFont="1" applyBorder="1" applyAlignment="1">
      <alignment horizontal="center"/>
    </xf>
    <xf numFmtId="0" fontId="44" fillId="0" borderId="25" xfId="0" applyFont="1" applyBorder="1" applyAlignment="1">
      <alignment horizontal="center"/>
    </xf>
    <xf numFmtId="2" fontId="0" fillId="0" borderId="25" xfId="0" applyNumberFormat="1" applyBorder="1" applyAlignment="1">
      <alignment horizontal="center" vertical="center"/>
    </xf>
    <xf numFmtId="2" fontId="0" fillId="0" borderId="9" xfId="0" applyNumberFormat="1" applyBorder="1" applyAlignment="1">
      <alignment horizontal="center" vertical="center"/>
    </xf>
    <xf numFmtId="0" fontId="0" fillId="0" borderId="9" xfId="0" quotePrefix="1" applyBorder="1" applyAlignment="1">
      <alignment horizontal="center"/>
    </xf>
    <xf numFmtId="1" fontId="0" fillId="0" borderId="9" xfId="0" applyNumberFormat="1" applyBorder="1" applyAlignment="1">
      <alignment horizontal="center" vertical="center"/>
    </xf>
    <xf numFmtId="2" fontId="44" fillId="0" borderId="25" xfId="0" quotePrefix="1" applyNumberFormat="1" applyFont="1" applyBorder="1" applyAlignment="1">
      <alignment horizontal="center"/>
    </xf>
    <xf numFmtId="2" fontId="44" fillId="0" borderId="9" xfId="0" quotePrefix="1" applyNumberFormat="1" applyFont="1" applyBorder="1" applyAlignment="1">
      <alignment horizontal="center"/>
    </xf>
    <xf numFmtId="0" fontId="44" fillId="0" borderId="9" xfId="0" applyFont="1" applyBorder="1" applyAlignment="1">
      <alignment horizontal="center"/>
    </xf>
    <xf numFmtId="1" fontId="44" fillId="0" borderId="9" xfId="0" quotePrefix="1" applyNumberFormat="1" applyFont="1" applyBorder="1" applyAlignment="1">
      <alignment horizontal="center"/>
    </xf>
    <xf numFmtId="0" fontId="14" fillId="0" borderId="7" xfId="0" applyFont="1" applyBorder="1" applyAlignment="1">
      <alignment horizontal="center" vertical="top" wrapText="1"/>
    </xf>
    <xf numFmtId="1" fontId="10" fillId="0" borderId="8" xfId="0" applyNumberFormat="1" applyFont="1" applyBorder="1" applyAlignment="1">
      <alignment horizontal="center" vertical="top" wrapText="1"/>
    </xf>
    <xf numFmtId="1" fontId="14" fillId="0" borderId="7" xfId="0" applyNumberFormat="1" applyFont="1" applyBorder="1" applyAlignment="1">
      <alignment horizontal="center" vertical="top" wrapText="1"/>
    </xf>
    <xf numFmtId="165" fontId="10" fillId="0" borderId="7" xfId="0" applyNumberFormat="1" applyFont="1" applyBorder="1" applyAlignment="1">
      <alignment horizontal="center" vertical="top" wrapText="1"/>
    </xf>
    <xf numFmtId="165" fontId="14" fillId="0" borderId="7" xfId="0" applyNumberFormat="1" applyFont="1" applyBorder="1" applyAlignment="1">
      <alignment horizontal="center" vertical="top" wrapText="1"/>
    </xf>
    <xf numFmtId="1" fontId="14" fillId="0" borderId="0" xfId="0" applyNumberFormat="1" applyFont="1" applyAlignment="1">
      <alignment horizontal="center" vertical="top" wrapText="1"/>
    </xf>
    <xf numFmtId="165" fontId="10" fillId="0" borderId="0" xfId="0" applyNumberFormat="1" applyFont="1" applyAlignment="1">
      <alignment horizontal="center" vertical="top" wrapText="1"/>
    </xf>
    <xf numFmtId="165" fontId="14" fillId="0" borderId="6" xfId="0" applyNumberFormat="1" applyFont="1" applyBorder="1" applyAlignment="1">
      <alignment horizontal="center" vertical="top" wrapText="1"/>
    </xf>
    <xf numFmtId="2" fontId="10" fillId="0" borderId="7" xfId="0" applyNumberFormat="1" applyFont="1" applyBorder="1" applyAlignment="1">
      <alignment horizontal="center" vertical="center" wrapText="1"/>
    </xf>
    <xf numFmtId="165" fontId="14" fillId="0" borderId="12" xfId="0" applyNumberFormat="1" applyFont="1" applyBorder="1" applyAlignment="1">
      <alignment horizontal="center" vertical="top" wrapText="1"/>
    </xf>
    <xf numFmtId="0" fontId="14" fillId="0" borderId="0" xfId="0" applyFont="1" applyAlignment="1">
      <alignment vertical="top"/>
    </xf>
    <xf numFmtId="2" fontId="13" fillId="0" borderId="0" xfId="3" applyNumberFormat="1" applyFont="1" applyBorder="1" applyAlignment="1">
      <alignment horizontal="center"/>
    </xf>
    <xf numFmtId="1" fontId="0" fillId="0" borderId="1" xfId="0" quotePrefix="1" applyNumberFormat="1" applyBorder="1" applyAlignment="1">
      <alignment horizontal="center"/>
    </xf>
    <xf numFmtId="1" fontId="13" fillId="0" borderId="0" xfId="0" quotePrefix="1" applyNumberFormat="1" applyFont="1"/>
    <xf numFmtId="2" fontId="13" fillId="0" borderId="11" xfId="3" applyNumberFormat="1" applyFont="1" applyBorder="1" applyAlignment="1">
      <alignment horizontal="center"/>
    </xf>
    <xf numFmtId="2" fontId="13" fillId="0" borderId="6" xfId="3" applyNumberFormat="1" applyFont="1" applyBorder="1" applyAlignment="1">
      <alignment horizontal="center"/>
    </xf>
    <xf numFmtId="2" fontId="13" fillId="0" borderId="24" xfId="3" applyNumberFormat="1" applyFont="1" applyBorder="1" applyAlignment="1">
      <alignment horizontal="center"/>
    </xf>
    <xf numFmtId="2" fontId="58" fillId="0" borderId="0" xfId="0" applyNumberFormat="1" applyFont="1" applyAlignment="1">
      <alignment horizontal="center" vertical="center"/>
    </xf>
    <xf numFmtId="1" fontId="0" fillId="0" borderId="0" xfId="0" quotePrefix="1" applyNumberFormat="1" applyAlignment="1">
      <alignment horizontal="center"/>
    </xf>
    <xf numFmtId="0" fontId="58" fillId="0" borderId="0" xfId="0" applyFont="1" applyAlignment="1">
      <alignment horizontal="center" vertical="center" wrapText="1"/>
    </xf>
    <xf numFmtId="0" fontId="58" fillId="0" borderId="9" xfId="0" applyFont="1" applyBorder="1" applyAlignment="1">
      <alignment horizontal="center" vertical="center" wrapText="1"/>
    </xf>
    <xf numFmtId="165" fontId="0" fillId="0" borderId="0" xfId="0" applyNumberFormat="1" applyAlignment="1">
      <alignment horizontal="center" vertical="center" wrapText="1"/>
    </xf>
    <xf numFmtId="1" fontId="44" fillId="0" borderId="0" xfId="0" quotePrefix="1" applyNumberFormat="1" applyFont="1" applyAlignment="1">
      <alignment horizontal="left"/>
    </xf>
    <xf numFmtId="1" fontId="0" fillId="0" borderId="4" xfId="0" applyNumberFormat="1" applyBorder="1" applyAlignment="1">
      <alignment horizontal="center"/>
    </xf>
    <xf numFmtId="165" fontId="13" fillId="0" borderId="4" xfId="0" applyNumberFormat="1" applyFont="1" applyBorder="1" applyAlignment="1">
      <alignment horizontal="center"/>
    </xf>
    <xf numFmtId="165" fontId="13" fillId="0" borderId="6" xfId="0" applyNumberFormat="1" applyFont="1" applyBorder="1" applyAlignment="1">
      <alignment horizontal="center"/>
    </xf>
    <xf numFmtId="165" fontId="0" fillId="0" borderId="4" xfId="0" quotePrefix="1" applyNumberFormat="1" applyBorder="1" applyAlignment="1">
      <alignment horizontal="center"/>
    </xf>
    <xf numFmtId="165" fontId="13" fillId="0" borderId="0" xfId="0" quotePrefix="1" applyNumberFormat="1" applyFont="1" applyAlignment="1">
      <alignment horizontal="center"/>
    </xf>
    <xf numFmtId="1" fontId="0" fillId="0" borderId="5" xfId="0" applyNumberFormat="1" applyBorder="1" applyAlignment="1">
      <alignment horizontal="left"/>
    </xf>
    <xf numFmtId="1" fontId="0" fillId="0" borderId="1" xfId="0" applyNumberFormat="1" applyBorder="1" applyAlignment="1">
      <alignment horizontal="left"/>
    </xf>
    <xf numFmtId="165" fontId="0" fillId="0" borderId="0" xfId="0" quotePrefix="1" applyNumberFormat="1" applyAlignment="1">
      <alignment horizontal="center"/>
    </xf>
    <xf numFmtId="9" fontId="0" fillId="0" borderId="0" xfId="0" applyNumberFormat="1"/>
    <xf numFmtId="9" fontId="0" fillId="0" borderId="0" xfId="0" applyNumberFormat="1" applyAlignment="1">
      <alignment vertical="top" wrapText="1"/>
    </xf>
    <xf numFmtId="9" fontId="0" fillId="0" borderId="0" xfId="0" applyNumberFormat="1" applyAlignment="1">
      <alignment vertical="center" wrapText="1"/>
    </xf>
    <xf numFmtId="9" fontId="0" fillId="0" borderId="9" xfId="3" applyFont="1" applyBorder="1" applyAlignment="1">
      <alignment horizontal="center"/>
    </xf>
    <xf numFmtId="0" fontId="0" fillId="8" borderId="0" xfId="0" quotePrefix="1" applyFill="1" applyAlignment="1">
      <alignment horizontal="left" vertical="center"/>
    </xf>
    <xf numFmtId="2" fontId="13" fillId="0" borderId="0" xfId="3" quotePrefix="1" applyNumberFormat="1" applyFont="1" applyBorder="1" applyAlignment="1">
      <alignment horizontal="center"/>
    </xf>
    <xf numFmtId="2" fontId="0" fillId="0" borderId="0" xfId="3" quotePrefix="1" applyNumberFormat="1" applyFont="1" applyAlignment="1">
      <alignment horizontal="center"/>
    </xf>
    <xf numFmtId="0" fontId="0" fillId="0" borderId="9" xfId="0" quotePrefix="1" applyBorder="1" applyAlignment="1">
      <alignment horizontal="center" vertical="center"/>
    </xf>
    <xf numFmtId="165" fontId="0" fillId="0" borderId="9" xfId="0" applyNumberFormat="1" applyBorder="1" applyAlignment="1">
      <alignment horizontal="center" vertical="center" wrapText="1"/>
    </xf>
    <xf numFmtId="165" fontId="13" fillId="0" borderId="24" xfId="0" applyNumberFormat="1" applyFont="1" applyBorder="1" applyAlignment="1">
      <alignment horizontal="center"/>
    </xf>
    <xf numFmtId="2" fontId="44" fillId="0" borderId="9" xfId="0" applyNumberFormat="1" applyFont="1" applyBorder="1" applyAlignment="1">
      <alignment horizontal="center" vertical="center"/>
    </xf>
    <xf numFmtId="2" fontId="58" fillId="0" borderId="9" xfId="0" applyNumberFormat="1" applyFont="1" applyBorder="1" applyAlignment="1">
      <alignment horizontal="center" vertical="center"/>
    </xf>
    <xf numFmtId="1" fontId="0" fillId="0" borderId="9" xfId="0" quotePrefix="1" applyNumberFormat="1" applyBorder="1" applyAlignment="1">
      <alignment horizontal="center"/>
    </xf>
    <xf numFmtId="1" fontId="44" fillId="0" borderId="9" xfId="0" quotePrefix="1" applyNumberFormat="1" applyFont="1" applyBorder="1" applyAlignment="1">
      <alignment horizontal="left"/>
    </xf>
    <xf numFmtId="165" fontId="0" fillId="0" borderId="0" xfId="0" quotePrefix="1" applyNumberFormat="1" applyAlignment="1">
      <alignment horizontal="center" vertical="center" wrapText="1"/>
    </xf>
    <xf numFmtId="1" fontId="0" fillId="0" borderId="0" xfId="0" applyNumberFormat="1" applyAlignment="1">
      <alignment horizontal="left"/>
    </xf>
    <xf numFmtId="0" fontId="0" fillId="8" borderId="9" xfId="0" quotePrefix="1" applyFill="1" applyBorder="1" applyAlignment="1">
      <alignment horizontal="left" vertical="center"/>
    </xf>
    <xf numFmtId="165" fontId="0" fillId="0" borderId="9" xfId="0" quotePrefix="1" applyNumberFormat="1" applyBorder="1" applyAlignment="1">
      <alignment horizontal="center" vertical="center" wrapText="1"/>
    </xf>
    <xf numFmtId="1" fontId="0" fillId="0" borderId="9" xfId="0" applyNumberFormat="1" applyBorder="1" applyAlignment="1">
      <alignment horizontal="left"/>
    </xf>
    <xf numFmtId="0" fontId="10" fillId="0" borderId="0" xfId="0" applyFont="1" applyAlignment="1">
      <alignment horizontal="right"/>
    </xf>
    <xf numFmtId="0" fontId="10" fillId="0" borderId="9" xfId="0" applyFont="1" applyBorder="1" applyAlignment="1">
      <alignment horizontal="right"/>
    </xf>
    <xf numFmtId="0" fontId="60" fillId="2" borderId="0" xfId="0" applyFont="1" applyFill="1" applyAlignment="1">
      <alignment horizontal="center"/>
    </xf>
    <xf numFmtId="0" fontId="0" fillId="4" borderId="3" xfId="0" quotePrefix="1" applyFill="1" applyBorder="1" applyAlignment="1">
      <alignment horizontal="left" vertical="center"/>
    </xf>
    <xf numFmtId="0" fontId="0" fillId="0" borderId="3" xfId="0" applyBorder="1" applyAlignment="1">
      <alignment horizontal="center" vertical="center" wrapText="1"/>
    </xf>
    <xf numFmtId="1" fontId="0" fillId="0" borderId="3" xfId="0" applyNumberFormat="1" applyBorder="1" applyAlignment="1">
      <alignment horizontal="center" vertical="center" wrapText="1"/>
    </xf>
    <xf numFmtId="1" fontId="0" fillId="0" borderId="3" xfId="0" applyNumberFormat="1" applyBorder="1" applyAlignment="1">
      <alignment horizontal="left"/>
    </xf>
    <xf numFmtId="9" fontId="0" fillId="0" borderId="3" xfId="3" applyFont="1" applyBorder="1" applyAlignment="1">
      <alignment horizontal="center"/>
    </xf>
    <xf numFmtId="2" fontId="0" fillId="0" borderId="2" xfId="3" applyNumberFormat="1" applyFont="1" applyBorder="1" applyAlignment="1">
      <alignment horizontal="center"/>
    </xf>
    <xf numFmtId="2" fontId="0" fillId="0" borderId="3" xfId="3" applyNumberFormat="1" applyFont="1" applyBorder="1" applyAlignment="1">
      <alignment horizontal="center"/>
    </xf>
    <xf numFmtId="1" fontId="0" fillId="0" borderId="2" xfId="0" applyNumberFormat="1" applyBorder="1" applyAlignment="1">
      <alignment horizontal="center"/>
    </xf>
    <xf numFmtId="1" fontId="13" fillId="0" borderId="3" xfId="0" applyNumberFormat="1" applyFont="1" applyBorder="1" applyAlignment="1">
      <alignment horizontal="center"/>
    </xf>
    <xf numFmtId="165" fontId="13" fillId="0" borderId="3" xfId="0" applyNumberFormat="1" applyFont="1" applyBorder="1" applyAlignment="1">
      <alignment horizontal="center"/>
    </xf>
    <xf numFmtId="165" fontId="0" fillId="0" borderId="3" xfId="0" applyNumberFormat="1" applyBorder="1" applyAlignment="1">
      <alignment horizontal="center"/>
    </xf>
    <xf numFmtId="0" fontId="44" fillId="0" borderId="2" xfId="0" applyFont="1" applyBorder="1" applyAlignment="1">
      <alignment horizontal="center"/>
    </xf>
    <xf numFmtId="2" fontId="0" fillId="0" borderId="2" xfId="0" applyNumberFormat="1" applyBorder="1" applyAlignment="1">
      <alignment horizontal="center" vertical="center"/>
    </xf>
    <xf numFmtId="2" fontId="0" fillId="0" borderId="3" xfId="0" applyNumberFormat="1" applyBorder="1" applyAlignment="1">
      <alignment horizontal="center" vertical="center"/>
    </xf>
    <xf numFmtId="0" fontId="0" fillId="0" borderId="3" xfId="0" quotePrefix="1" applyBorder="1" applyAlignment="1">
      <alignment horizontal="center"/>
    </xf>
    <xf numFmtId="1" fontId="0" fillId="0" borderId="3" xfId="0" applyNumberFormat="1" applyBorder="1" applyAlignment="1">
      <alignment horizontal="center" vertical="center"/>
    </xf>
    <xf numFmtId="1" fontId="0" fillId="0" borderId="3" xfId="0" applyNumberFormat="1" applyBorder="1" applyAlignment="1">
      <alignment horizontal="center"/>
    </xf>
    <xf numFmtId="2" fontId="44" fillId="0" borderId="2" xfId="0" quotePrefix="1" applyNumberFormat="1" applyFont="1" applyBorder="1" applyAlignment="1">
      <alignment horizontal="center"/>
    </xf>
    <xf numFmtId="2" fontId="44" fillId="0" borderId="3" xfId="0" quotePrefix="1" applyNumberFormat="1" applyFont="1" applyBorder="1" applyAlignment="1">
      <alignment horizontal="center"/>
    </xf>
    <xf numFmtId="0" fontId="44" fillId="0" borderId="3" xfId="0" quotePrefix="1" applyFont="1" applyBorder="1" applyAlignment="1">
      <alignment horizontal="center"/>
    </xf>
    <xf numFmtId="0" fontId="44" fillId="0" borderId="3" xfId="0" applyFont="1" applyBorder="1" applyAlignment="1">
      <alignment horizontal="center"/>
    </xf>
    <xf numFmtId="1" fontId="44" fillId="0" borderId="3" xfId="0" applyNumberFormat="1" applyFont="1" applyBorder="1" applyAlignment="1">
      <alignment horizontal="center"/>
    </xf>
    <xf numFmtId="1" fontId="44" fillId="0" borderId="3" xfId="0" quotePrefix="1" applyNumberFormat="1" applyFont="1" applyBorder="1" applyAlignment="1">
      <alignment horizontal="center"/>
    </xf>
    <xf numFmtId="0" fontId="0" fillId="8" borderId="3" xfId="0" quotePrefix="1" applyFill="1" applyBorder="1" applyAlignment="1">
      <alignment horizontal="left" vertical="center"/>
    </xf>
    <xf numFmtId="165" fontId="0" fillId="0" borderId="3" xfId="0" quotePrefix="1" applyNumberFormat="1" applyBorder="1" applyAlignment="1">
      <alignment horizontal="center" vertical="center" wrapText="1"/>
    </xf>
    <xf numFmtId="165" fontId="0" fillId="0" borderId="3" xfId="0" applyNumberFormat="1" applyBorder="1" applyAlignment="1">
      <alignment horizontal="center" vertical="center" wrapText="1"/>
    </xf>
    <xf numFmtId="2" fontId="13" fillId="0" borderId="3" xfId="3" applyNumberFormat="1" applyFont="1" applyBorder="1" applyAlignment="1">
      <alignment horizontal="center"/>
    </xf>
    <xf numFmtId="165" fontId="13" fillId="0" borderId="10" xfId="0" applyNumberFormat="1" applyFont="1" applyBorder="1" applyAlignment="1">
      <alignment horizontal="center"/>
    </xf>
    <xf numFmtId="2" fontId="44" fillId="0" borderId="3" xfId="0" applyNumberFormat="1" applyFont="1" applyBorder="1" applyAlignment="1">
      <alignment horizontal="center" vertical="center"/>
    </xf>
    <xf numFmtId="2" fontId="58" fillId="0" borderId="3" xfId="0" applyNumberFormat="1" applyFont="1" applyBorder="1" applyAlignment="1">
      <alignment horizontal="center" vertical="center"/>
    </xf>
    <xf numFmtId="1" fontId="0" fillId="0" borderId="3" xfId="0" quotePrefix="1" applyNumberFormat="1" applyBorder="1" applyAlignment="1">
      <alignment horizontal="center"/>
    </xf>
    <xf numFmtId="1" fontId="44" fillId="0" borderId="3" xfId="0" quotePrefix="1" applyNumberFormat="1" applyFont="1" applyBorder="1" applyAlignment="1">
      <alignment horizontal="left"/>
    </xf>
    <xf numFmtId="0" fontId="0" fillId="0" borderId="3" xfId="0" quotePrefix="1" applyBorder="1" applyAlignment="1">
      <alignment horizontal="center" vertical="center" wrapText="1"/>
    </xf>
    <xf numFmtId="0" fontId="15" fillId="0" borderId="3" xfId="0" applyFont="1" applyBorder="1" applyAlignment="1">
      <alignment horizontal="center" vertical="center" wrapText="1"/>
    </xf>
    <xf numFmtId="0" fontId="58" fillId="0" borderId="3" xfId="0" applyFont="1" applyBorder="1" applyAlignment="1">
      <alignment horizontal="center" vertical="center" wrapText="1"/>
    </xf>
    <xf numFmtId="1" fontId="15" fillId="0" borderId="3" xfId="0" applyNumberFormat="1" applyFont="1" applyBorder="1" applyAlignment="1">
      <alignment horizontal="center" vertical="center" wrapText="1"/>
    </xf>
    <xf numFmtId="2" fontId="13" fillId="0" borderId="10" xfId="3" applyNumberFormat="1" applyFont="1" applyBorder="1" applyAlignment="1">
      <alignment horizontal="center"/>
    </xf>
    <xf numFmtId="1" fontId="0" fillId="0" borderId="2" xfId="3" applyNumberFormat="1" applyFont="1" applyBorder="1" applyAlignment="1">
      <alignment horizontal="center"/>
    </xf>
    <xf numFmtId="165" fontId="0" fillId="0" borderId="3" xfId="3" applyNumberFormat="1" applyFont="1" applyBorder="1" applyAlignment="1">
      <alignment horizontal="center"/>
    </xf>
    <xf numFmtId="2" fontId="15" fillId="0" borderId="2" xfId="0" applyNumberFormat="1" applyFont="1" applyBorder="1" applyAlignment="1">
      <alignment horizontal="center" vertical="center"/>
    </xf>
    <xf numFmtId="2" fontId="15" fillId="0" borderId="3" xfId="0" applyNumberFormat="1" applyFont="1" applyBorder="1" applyAlignment="1">
      <alignment horizontal="center" vertical="center"/>
    </xf>
    <xf numFmtId="0" fontId="15" fillId="0" borderId="3" xfId="0" quotePrefix="1" applyFont="1" applyBorder="1" applyAlignment="1">
      <alignment horizontal="center"/>
    </xf>
    <xf numFmtId="1" fontId="15" fillId="0" borderId="3" xfId="0" applyNumberFormat="1" applyFont="1" applyBorder="1" applyAlignment="1">
      <alignment horizontal="center" vertical="center"/>
    </xf>
    <xf numFmtId="0" fontId="44" fillId="0" borderId="2" xfId="0" quotePrefix="1" applyFont="1" applyBorder="1" applyAlignment="1">
      <alignment horizontal="center"/>
    </xf>
    <xf numFmtId="9" fontId="0" fillId="0" borderId="3" xfId="3" applyFont="1" applyBorder="1" applyAlignment="1">
      <alignment horizontal="center" vertical="center" wrapText="1"/>
    </xf>
    <xf numFmtId="2" fontId="0" fillId="0" borderId="3" xfId="0" quotePrefix="1" applyNumberFormat="1" applyBorder="1" applyAlignment="1">
      <alignment horizontal="center" vertical="center"/>
    </xf>
    <xf numFmtId="0" fontId="43" fillId="0" borderId="3" xfId="0" applyFont="1" applyBorder="1" applyAlignment="1">
      <alignment horizontal="center"/>
    </xf>
    <xf numFmtId="2" fontId="0" fillId="0" borderId="0" xfId="0" applyNumberFormat="1" applyAlignment="1">
      <alignment vertical="top"/>
    </xf>
    <xf numFmtId="2" fontId="0" fillId="0" borderId="3" xfId="0" applyNumberFormat="1" applyBorder="1" applyAlignment="1">
      <alignment horizontal="center"/>
    </xf>
    <xf numFmtId="0" fontId="61" fillId="0" borderId="16" xfId="0" applyFont="1" applyBorder="1" applyAlignment="1">
      <alignment horizontal="left" vertical="center"/>
    </xf>
    <xf numFmtId="0" fontId="18" fillId="0" borderId="17" xfId="0" applyFont="1" applyBorder="1" applyAlignment="1">
      <alignment horizontal="center"/>
    </xf>
    <xf numFmtId="168" fontId="18" fillId="0" borderId="17" xfId="0" applyNumberFormat="1" applyFont="1" applyBorder="1" applyAlignment="1">
      <alignment horizontal="center"/>
    </xf>
    <xf numFmtId="0" fontId="18" fillId="0" borderId="17" xfId="0" applyFont="1" applyBorder="1" applyAlignment="1">
      <alignment horizontal="center" wrapText="1"/>
    </xf>
    <xf numFmtId="1" fontId="62" fillId="0" borderId="26" xfId="0" applyNumberFormat="1" applyFont="1" applyBorder="1" applyAlignment="1">
      <alignment horizontal="left"/>
    </xf>
    <xf numFmtId="1" fontId="62" fillId="0" borderId="17" xfId="0" applyNumberFormat="1" applyFont="1" applyBorder="1" applyAlignment="1">
      <alignment horizontal="left"/>
    </xf>
    <xf numFmtId="166" fontId="18" fillId="0" borderId="17" xfId="3" applyNumberFormat="1" applyFont="1" applyBorder="1" applyAlignment="1">
      <alignment horizontal="center"/>
    </xf>
    <xf numFmtId="0" fontId="18" fillId="0" borderId="27" xfId="0" applyFont="1" applyBorder="1" applyAlignment="1">
      <alignment horizontal="center" vertical="center" wrapText="1"/>
    </xf>
    <xf numFmtId="0" fontId="18" fillId="0" borderId="22" xfId="0" applyFont="1" applyBorder="1" applyAlignment="1">
      <alignment horizontal="center" vertical="center" wrapText="1"/>
    </xf>
    <xf numFmtId="168" fontId="18" fillId="0" borderId="22" xfId="0" applyNumberFormat="1" applyFont="1" applyBorder="1" applyAlignment="1">
      <alignment horizontal="center" vertical="center" wrapText="1"/>
    </xf>
    <xf numFmtId="1" fontId="18" fillId="0" borderId="21" xfId="0" applyNumberFormat="1" applyFont="1" applyBorder="1" applyAlignment="1">
      <alignment horizontal="center" vertical="center" wrapText="1"/>
    </xf>
    <xf numFmtId="1" fontId="18" fillId="0" borderId="22" xfId="0" applyNumberFormat="1" applyFont="1" applyBorder="1" applyAlignment="1">
      <alignment horizontal="center" vertical="center" wrapText="1"/>
    </xf>
    <xf numFmtId="166" fontId="18" fillId="0" borderId="22" xfId="3" applyNumberFormat="1" applyFont="1" applyBorder="1" applyAlignment="1">
      <alignment horizontal="center" vertical="center" wrapText="1"/>
    </xf>
    <xf numFmtId="0" fontId="40" fillId="0" borderId="18" xfId="0" applyFont="1" applyBorder="1" applyAlignment="1">
      <alignment horizontal="left" vertical="center"/>
    </xf>
    <xf numFmtId="0" fontId="18" fillId="0" borderId="0" xfId="0" applyFont="1" applyAlignment="1">
      <alignment horizontal="center" vertical="center"/>
    </xf>
    <xf numFmtId="168" fontId="18" fillId="0" borderId="0" xfId="0" applyNumberFormat="1" applyFont="1" applyAlignment="1">
      <alignment horizontal="center" vertical="center"/>
    </xf>
    <xf numFmtId="1" fontId="18" fillId="0" borderId="1" xfId="0" applyNumberFormat="1" applyFont="1" applyBorder="1" applyAlignment="1">
      <alignment horizontal="center" vertical="center"/>
    </xf>
    <xf numFmtId="1" fontId="18" fillId="0" borderId="0" xfId="0" applyNumberFormat="1" applyFont="1" applyAlignment="1">
      <alignment horizontal="center" vertical="center"/>
    </xf>
    <xf numFmtId="166" fontId="18" fillId="0" borderId="0" xfId="3" applyNumberFormat="1" applyFont="1" applyBorder="1" applyAlignment="1">
      <alignment horizontal="center" vertical="center"/>
    </xf>
    <xf numFmtId="0" fontId="18" fillId="0" borderId="18" xfId="0" applyFont="1" applyBorder="1" applyAlignment="1">
      <alignment horizontal="left" vertical="center" wrapText="1"/>
    </xf>
    <xf numFmtId="0" fontId="18" fillId="0" borderId="0" xfId="0" quotePrefix="1" applyFont="1" applyAlignment="1">
      <alignment horizontal="center" vertical="center"/>
    </xf>
    <xf numFmtId="1" fontId="18" fillId="0" borderId="1" xfId="0" quotePrefix="1" applyNumberFormat="1" applyFont="1" applyBorder="1" applyAlignment="1">
      <alignment horizontal="center" vertical="center"/>
    </xf>
    <xf numFmtId="1" fontId="18" fillId="0" borderId="0" xfId="0" quotePrefix="1" applyNumberFormat="1" applyFont="1" applyAlignment="1">
      <alignment horizontal="center" vertical="center"/>
    </xf>
    <xf numFmtId="166" fontId="18" fillId="0" borderId="0" xfId="3" quotePrefix="1" applyNumberFormat="1" applyFont="1" applyBorder="1" applyAlignment="1">
      <alignment horizontal="center" vertical="center"/>
    </xf>
    <xf numFmtId="0" fontId="18" fillId="0" borderId="7" xfId="0" applyFont="1" applyBorder="1" applyAlignment="1">
      <alignment horizontal="center" vertical="center" wrapText="1"/>
    </xf>
    <xf numFmtId="2" fontId="18" fillId="0" borderId="18" xfId="0" applyNumberFormat="1" applyFont="1" applyBorder="1" applyAlignment="1">
      <alignment horizontal="left" vertical="center" wrapText="1"/>
    </xf>
    <xf numFmtId="166" fontId="18" fillId="0" borderId="0" xfId="3" quotePrefix="1" applyNumberFormat="1" applyFont="1" applyFill="1" applyBorder="1" applyAlignment="1">
      <alignment horizontal="center" vertical="center"/>
    </xf>
    <xf numFmtId="0" fontId="18" fillId="0" borderId="20" xfId="0" applyFont="1" applyBorder="1" applyAlignment="1">
      <alignment horizontal="left" vertical="center" wrapText="1"/>
    </xf>
    <xf numFmtId="0" fontId="18" fillId="0" borderId="9" xfId="0" applyFont="1" applyBorder="1" applyAlignment="1">
      <alignment horizontal="center" vertical="center"/>
    </xf>
    <xf numFmtId="168" fontId="18" fillId="0" borderId="9" xfId="0" applyNumberFormat="1" applyFont="1" applyBorder="1" applyAlignment="1">
      <alignment horizontal="center" vertical="center"/>
    </xf>
    <xf numFmtId="1" fontId="18" fillId="0" borderId="9" xfId="0" applyNumberFormat="1" applyFont="1" applyBorder="1" applyAlignment="1">
      <alignment horizontal="center" vertical="center"/>
    </xf>
    <xf numFmtId="2" fontId="18" fillId="0" borderId="9" xfId="0" applyNumberFormat="1" applyFont="1" applyBorder="1" applyAlignment="1">
      <alignment horizontal="center" vertical="center"/>
    </xf>
    <xf numFmtId="0" fontId="18" fillId="0" borderId="9" xfId="0" quotePrefix="1" applyFont="1" applyBorder="1" applyAlignment="1">
      <alignment horizontal="center" vertical="center"/>
    </xf>
    <xf numFmtId="1" fontId="18" fillId="0" borderId="25" xfId="0" quotePrefix="1" applyNumberFormat="1" applyFont="1" applyBorder="1" applyAlignment="1">
      <alignment horizontal="center" vertical="center"/>
    </xf>
    <xf numFmtId="1" fontId="18" fillId="0" borderId="9" xfId="0" quotePrefix="1" applyNumberFormat="1" applyFont="1" applyBorder="1" applyAlignment="1">
      <alignment horizontal="center" vertical="center"/>
    </xf>
    <xf numFmtId="166" fontId="18" fillId="0" borderId="9" xfId="3" quotePrefix="1" applyNumberFormat="1" applyFont="1" applyFill="1" applyBorder="1" applyAlignment="1">
      <alignment horizontal="center" vertical="center"/>
    </xf>
    <xf numFmtId="166" fontId="18" fillId="0" borderId="9" xfId="3" quotePrefix="1" applyNumberFormat="1" applyFont="1" applyBorder="1" applyAlignment="1">
      <alignment horizontal="center" vertical="center"/>
    </xf>
    <xf numFmtId="0" fontId="18" fillId="0" borderId="0" xfId="0" applyFont="1" applyAlignment="1">
      <alignment horizontal="left" vertical="center"/>
    </xf>
    <xf numFmtId="0" fontId="18" fillId="0" borderId="0" xfId="0" applyFont="1" applyAlignment="1">
      <alignment horizontal="center"/>
    </xf>
    <xf numFmtId="1" fontId="18" fillId="0" borderId="0" xfId="0" applyNumberFormat="1" applyFont="1" applyAlignment="1">
      <alignment horizontal="center"/>
    </xf>
    <xf numFmtId="165" fontId="62" fillId="0" borderId="26" xfId="0" applyNumberFormat="1" applyFont="1" applyBorder="1" applyAlignment="1">
      <alignment horizontal="left"/>
    </xf>
    <xf numFmtId="165" fontId="18" fillId="0" borderId="17" xfId="0" applyNumberFormat="1" applyFont="1" applyBorder="1" applyAlignment="1">
      <alignment horizontal="center"/>
    </xf>
    <xf numFmtId="165" fontId="18" fillId="0" borderId="21" xfId="0" applyNumberFormat="1" applyFont="1" applyBorder="1" applyAlignment="1">
      <alignment horizontal="center" vertical="center" wrapText="1"/>
    </xf>
    <xf numFmtId="165" fontId="18" fillId="0" borderId="22" xfId="0" applyNumberFormat="1" applyFont="1" applyBorder="1" applyAlignment="1">
      <alignment horizontal="center" vertical="center" wrapText="1"/>
    </xf>
    <xf numFmtId="165" fontId="18" fillId="0" borderId="1" xfId="0" applyNumberFormat="1" applyFont="1" applyBorder="1" applyAlignment="1">
      <alignment horizontal="center" vertical="center"/>
    </xf>
    <xf numFmtId="165" fontId="18" fillId="0" borderId="0" xfId="0" applyNumberFormat="1" applyFont="1" applyAlignment="1">
      <alignment horizontal="center" vertical="center"/>
    </xf>
    <xf numFmtId="165" fontId="18" fillId="0" borderId="1" xfId="0" quotePrefix="1" applyNumberFormat="1" applyFont="1" applyBorder="1" applyAlignment="1">
      <alignment horizontal="center" vertical="center"/>
    </xf>
    <xf numFmtId="165" fontId="18" fillId="0" borderId="0" xfId="0" quotePrefix="1" applyNumberFormat="1" applyFont="1" applyAlignment="1">
      <alignment horizontal="center" vertical="center"/>
    </xf>
    <xf numFmtId="165" fontId="18" fillId="0" borderId="25" xfId="0" quotePrefix="1" applyNumberFormat="1" applyFont="1" applyBorder="1" applyAlignment="1">
      <alignment horizontal="center" vertical="center"/>
    </xf>
    <xf numFmtId="165" fontId="18" fillId="0" borderId="9" xfId="0" quotePrefix="1" applyNumberFormat="1" applyFont="1" applyBorder="1" applyAlignment="1">
      <alignment horizontal="center" vertical="center"/>
    </xf>
    <xf numFmtId="165" fontId="18" fillId="0" borderId="0" xfId="0" applyNumberFormat="1" applyFont="1" applyAlignment="1">
      <alignment horizontal="center"/>
    </xf>
    <xf numFmtId="2" fontId="18" fillId="0" borderId="17" xfId="0" applyNumberFormat="1" applyFont="1" applyBorder="1" applyAlignment="1">
      <alignment horizontal="center"/>
    </xf>
    <xf numFmtId="9" fontId="18" fillId="0" borderId="17" xfId="3" applyFont="1" applyFill="1" applyBorder="1" applyAlignment="1">
      <alignment horizontal="center"/>
    </xf>
    <xf numFmtId="2" fontId="18" fillId="0" borderId="22" xfId="0" applyNumberFormat="1" applyFont="1" applyBorder="1" applyAlignment="1">
      <alignment horizontal="center" vertical="center" wrapText="1"/>
    </xf>
    <xf numFmtId="9" fontId="18" fillId="0" borderId="22" xfId="3" applyFont="1" applyFill="1" applyBorder="1" applyAlignment="1">
      <alignment horizontal="center" vertical="center" wrapText="1"/>
    </xf>
    <xf numFmtId="9" fontId="18" fillId="0" borderId="0" xfId="3" applyFont="1" applyFill="1" applyBorder="1" applyAlignment="1">
      <alignment horizontal="center" vertical="center"/>
    </xf>
    <xf numFmtId="9" fontId="18" fillId="0" borderId="0" xfId="3" quotePrefix="1" applyFont="1" applyFill="1" applyBorder="1" applyAlignment="1">
      <alignment horizontal="center" vertical="center"/>
    </xf>
    <xf numFmtId="9" fontId="18" fillId="0" borderId="9" xfId="3" quotePrefix="1" applyFont="1" applyFill="1" applyBorder="1" applyAlignment="1">
      <alignment horizontal="center" vertical="center"/>
    </xf>
    <xf numFmtId="2" fontId="18" fillId="0" borderId="0" xfId="0" applyNumberFormat="1" applyFont="1" applyAlignment="1">
      <alignment horizontal="center"/>
    </xf>
    <xf numFmtId="9" fontId="18" fillId="0" borderId="0" xfId="3" applyFont="1" applyFill="1" applyBorder="1" applyAlignment="1">
      <alignment horizontal="center"/>
    </xf>
    <xf numFmtId="1" fontId="18" fillId="0" borderId="17" xfId="0" applyNumberFormat="1" applyFont="1" applyBorder="1" applyAlignment="1">
      <alignment horizontal="center"/>
    </xf>
    <xf numFmtId="1" fontId="18" fillId="0" borderId="22" xfId="0" applyNumberFormat="1" applyFont="1" applyBorder="1" applyAlignment="1">
      <alignment horizontal="center" vertical="top" wrapText="1"/>
    </xf>
    <xf numFmtId="2" fontId="18" fillId="0" borderId="21" xfId="0" applyNumberFormat="1" applyFont="1" applyBorder="1" applyAlignment="1">
      <alignment horizontal="center" vertical="center" wrapText="1"/>
    </xf>
    <xf numFmtId="164" fontId="18" fillId="0" borderId="0" xfId="0" applyNumberFormat="1" applyFont="1" applyAlignment="1">
      <alignment horizontal="center" vertical="center"/>
    </xf>
    <xf numFmtId="164" fontId="45" fillId="0" borderId="0" xfId="0" applyNumberFormat="1" applyFont="1" applyAlignment="1">
      <alignment horizontal="center" vertical="center"/>
    </xf>
    <xf numFmtId="2" fontId="18" fillId="0" borderId="1" xfId="0" quotePrefix="1" applyNumberFormat="1" applyFont="1" applyBorder="1" applyAlignment="1">
      <alignment horizontal="center" vertical="center"/>
    </xf>
    <xf numFmtId="164" fontId="18" fillId="0" borderId="0" xfId="0" quotePrefix="1" applyNumberFormat="1" applyFont="1" applyAlignment="1">
      <alignment horizontal="center" vertical="center"/>
    </xf>
    <xf numFmtId="164" fontId="45" fillId="0" borderId="0" xfId="0" quotePrefix="1" applyNumberFormat="1" applyFont="1" applyAlignment="1">
      <alignment horizontal="center" vertical="center"/>
    </xf>
    <xf numFmtId="2" fontId="18" fillId="0" borderId="25" xfId="0" quotePrefix="1" applyNumberFormat="1" applyFont="1" applyBorder="1" applyAlignment="1">
      <alignment horizontal="center" vertical="center"/>
    </xf>
    <xf numFmtId="164" fontId="18" fillId="0" borderId="9" xfId="0" quotePrefix="1" applyNumberFormat="1" applyFont="1" applyBorder="1" applyAlignment="1">
      <alignment horizontal="center" vertical="center"/>
    </xf>
    <xf numFmtId="164" fontId="45" fillId="0" borderId="9" xfId="0" quotePrefix="1" applyNumberFormat="1" applyFont="1" applyBorder="1" applyAlignment="1">
      <alignment horizontal="center" vertical="center"/>
    </xf>
    <xf numFmtId="164" fontId="18" fillId="0" borderId="0" xfId="0" applyNumberFormat="1" applyFont="1" applyAlignment="1">
      <alignment horizontal="center"/>
    </xf>
    <xf numFmtId="164" fontId="45" fillId="0" borderId="0" xfId="0" applyNumberFormat="1" applyFont="1" applyAlignment="1">
      <alignment horizontal="center"/>
    </xf>
    <xf numFmtId="2" fontId="62" fillId="0" borderId="26" xfId="0" applyNumberFormat="1" applyFont="1" applyBorder="1" applyAlignment="1">
      <alignment horizontal="left"/>
    </xf>
    <xf numFmtId="1" fontId="45" fillId="0" borderId="17" xfId="0" applyNumberFormat="1" applyFont="1" applyBorder="1" applyAlignment="1">
      <alignment horizontal="center"/>
    </xf>
    <xf numFmtId="165" fontId="45" fillId="0" borderId="17" xfId="0" applyNumberFormat="1" applyFont="1" applyBorder="1" applyAlignment="1">
      <alignment horizontal="center"/>
    </xf>
    <xf numFmtId="1" fontId="45" fillId="0" borderId="22" xfId="0" applyNumberFormat="1" applyFont="1" applyBorder="1" applyAlignment="1">
      <alignment horizontal="center" vertical="center" wrapText="1"/>
    </xf>
    <xf numFmtId="165" fontId="45" fillId="0" borderId="22" xfId="0" applyNumberFormat="1" applyFont="1" applyBorder="1" applyAlignment="1">
      <alignment horizontal="center" vertical="center" wrapText="1"/>
    </xf>
    <xf numFmtId="2" fontId="18" fillId="0" borderId="1" xfId="0" applyNumberFormat="1" applyFont="1" applyBorder="1" applyAlignment="1">
      <alignment horizontal="center" vertical="center"/>
    </xf>
    <xf numFmtId="1" fontId="45" fillId="0" borderId="0" xfId="0" applyNumberFormat="1" applyFont="1" applyAlignment="1">
      <alignment horizontal="center" vertical="center"/>
    </xf>
    <xf numFmtId="165" fontId="45" fillId="0" borderId="0" xfId="0" applyNumberFormat="1" applyFont="1" applyAlignment="1">
      <alignment horizontal="center" vertical="center"/>
    </xf>
    <xf numFmtId="1" fontId="45" fillId="0" borderId="0" xfId="0" quotePrefix="1" applyNumberFormat="1" applyFont="1" applyAlignment="1">
      <alignment horizontal="center" vertical="center"/>
    </xf>
    <xf numFmtId="165" fontId="45" fillId="0" borderId="0" xfId="0" quotePrefix="1" applyNumberFormat="1" applyFont="1" applyAlignment="1">
      <alignment horizontal="center" vertical="center"/>
    </xf>
    <xf numFmtId="1" fontId="45" fillId="0" borderId="9" xfId="0" quotePrefix="1" applyNumberFormat="1" applyFont="1" applyBorder="1" applyAlignment="1">
      <alignment horizontal="center" vertical="center"/>
    </xf>
    <xf numFmtId="165" fontId="45" fillId="0" borderId="9" xfId="0" quotePrefix="1" applyNumberFormat="1" applyFont="1" applyBorder="1" applyAlignment="1">
      <alignment horizontal="center" vertical="center"/>
    </xf>
    <xf numFmtId="1" fontId="45" fillId="0" borderId="0" xfId="0" applyNumberFormat="1" applyFont="1" applyAlignment="1">
      <alignment horizontal="center"/>
    </xf>
    <xf numFmtId="165" fontId="45" fillId="0" borderId="0" xfId="0" applyNumberFormat="1" applyFont="1" applyAlignment="1">
      <alignment horizontal="center"/>
    </xf>
    <xf numFmtId="2" fontId="18" fillId="0" borderId="25" xfId="0" applyNumberFormat="1" applyFont="1" applyBorder="1" applyAlignment="1">
      <alignment horizontal="center" vertical="center"/>
    </xf>
    <xf numFmtId="2" fontId="45" fillId="0" borderId="0" xfId="0" applyNumberFormat="1" applyFont="1" applyAlignment="1">
      <alignment horizontal="center" vertical="center"/>
    </xf>
    <xf numFmtId="0" fontId="18" fillId="0" borderId="28" xfId="0" applyFont="1" applyBorder="1" applyAlignment="1">
      <alignment horizontal="left" vertical="center" wrapText="1"/>
    </xf>
    <xf numFmtId="0" fontId="18" fillId="0" borderId="3" xfId="0" applyFont="1" applyBorder="1" applyAlignment="1">
      <alignment horizontal="center" vertical="center"/>
    </xf>
    <xf numFmtId="168" fontId="18" fillId="0" borderId="3" xfId="0" applyNumberFormat="1" applyFont="1" applyBorder="1" applyAlignment="1">
      <alignment horizontal="center" vertical="center"/>
    </xf>
    <xf numFmtId="1" fontId="18" fillId="0" borderId="3" xfId="0" applyNumberFormat="1" applyFont="1" applyBorder="1" applyAlignment="1">
      <alignment horizontal="center" vertical="center"/>
    </xf>
    <xf numFmtId="2" fontId="18" fillId="0" borderId="3" xfId="0" applyNumberFormat="1" applyFont="1" applyBorder="1" applyAlignment="1">
      <alignment horizontal="center" vertical="center"/>
    </xf>
    <xf numFmtId="0" fontId="18" fillId="0" borderId="3" xfId="0" quotePrefix="1" applyFont="1" applyBorder="1" applyAlignment="1">
      <alignment horizontal="center" vertical="center"/>
    </xf>
    <xf numFmtId="1" fontId="18" fillId="0" borderId="2" xfId="0" quotePrefix="1" applyNumberFormat="1" applyFont="1" applyBorder="1" applyAlignment="1">
      <alignment horizontal="center" vertical="center"/>
    </xf>
    <xf numFmtId="1" fontId="18" fillId="0" borderId="3" xfId="0" quotePrefix="1" applyNumberFormat="1" applyFont="1" applyBorder="1" applyAlignment="1">
      <alignment horizontal="center" vertical="center"/>
    </xf>
    <xf numFmtId="166" fontId="18" fillId="0" borderId="3" xfId="3" quotePrefix="1" applyNumberFormat="1" applyFont="1" applyBorder="1" applyAlignment="1">
      <alignment horizontal="center" vertical="center"/>
    </xf>
    <xf numFmtId="165" fontId="18" fillId="0" borderId="2" xfId="0" quotePrefix="1" applyNumberFormat="1" applyFont="1" applyBorder="1" applyAlignment="1">
      <alignment horizontal="center" vertical="center"/>
    </xf>
    <xf numFmtId="165" fontId="18" fillId="0" borderId="3" xfId="0" quotePrefix="1" applyNumberFormat="1" applyFont="1" applyBorder="1" applyAlignment="1">
      <alignment horizontal="center" vertical="center"/>
    </xf>
    <xf numFmtId="9" fontId="18" fillId="0" borderId="3" xfId="3" quotePrefix="1" applyFont="1" applyFill="1" applyBorder="1" applyAlignment="1">
      <alignment horizontal="center" vertical="center"/>
    </xf>
    <xf numFmtId="2" fontId="18" fillId="0" borderId="2" xfId="0" quotePrefix="1" applyNumberFormat="1" applyFont="1" applyBorder="1" applyAlignment="1">
      <alignment horizontal="center" vertical="center"/>
    </xf>
    <xf numFmtId="164" fontId="18" fillId="0" borderId="3" xfId="0" quotePrefix="1" applyNumberFormat="1" applyFont="1" applyBorder="1" applyAlignment="1">
      <alignment horizontal="center" vertical="center"/>
    </xf>
    <xf numFmtId="164" fontId="45" fillId="0" borderId="3" xfId="0" quotePrefix="1" applyNumberFormat="1" applyFont="1" applyBorder="1" applyAlignment="1">
      <alignment horizontal="center" vertical="center"/>
    </xf>
    <xf numFmtId="1" fontId="45" fillId="0" borderId="3" xfId="0" quotePrefix="1" applyNumberFormat="1" applyFont="1" applyBorder="1" applyAlignment="1">
      <alignment horizontal="center" vertical="center"/>
    </xf>
    <xf numFmtId="165" fontId="45" fillId="0" borderId="3" xfId="0" quotePrefix="1" applyNumberFormat="1" applyFont="1" applyBorder="1" applyAlignment="1">
      <alignment horizontal="center" vertical="center"/>
    </xf>
    <xf numFmtId="2" fontId="18" fillId="0" borderId="2" xfId="0" applyNumberFormat="1" applyFont="1" applyBorder="1" applyAlignment="1">
      <alignment horizontal="center" vertical="center"/>
    </xf>
    <xf numFmtId="2" fontId="18" fillId="0" borderId="29" xfId="0" applyNumberFormat="1" applyFont="1" applyBorder="1" applyAlignment="1">
      <alignment horizontal="center"/>
    </xf>
    <xf numFmtId="2" fontId="18" fillId="0" borderId="23" xfId="0" applyNumberFormat="1" applyFont="1" applyBorder="1" applyAlignment="1">
      <alignment horizontal="center" vertical="center" wrapText="1"/>
    </xf>
    <xf numFmtId="2" fontId="18" fillId="0" borderId="6" xfId="0" applyNumberFormat="1" applyFont="1" applyBorder="1" applyAlignment="1">
      <alignment horizontal="center" vertical="center"/>
    </xf>
    <xf numFmtId="2" fontId="18" fillId="0" borderId="24" xfId="0" applyNumberFormat="1" applyFont="1" applyBorder="1" applyAlignment="1">
      <alignment horizontal="center" vertical="center"/>
    </xf>
    <xf numFmtId="2" fontId="18" fillId="0" borderId="10" xfId="0" applyNumberFormat="1" applyFont="1" applyBorder="1" applyAlignment="1">
      <alignment horizontal="center" vertical="center"/>
    </xf>
    <xf numFmtId="0" fontId="18" fillId="0" borderId="9" xfId="0" applyFont="1" applyBorder="1" applyAlignment="1">
      <alignment horizontal="left" vertical="center"/>
    </xf>
    <xf numFmtId="165" fontId="65" fillId="0" borderId="26" xfId="0" applyNumberFormat="1" applyFont="1" applyBorder="1" applyAlignment="1">
      <alignment horizontal="left"/>
    </xf>
    <xf numFmtId="165" fontId="65" fillId="0" borderId="17" xfId="0" applyNumberFormat="1" applyFont="1" applyBorder="1" applyAlignment="1">
      <alignment horizontal="left"/>
    </xf>
    <xf numFmtId="164" fontId="40" fillId="0" borderId="17" xfId="0" applyNumberFormat="1" applyFont="1" applyBorder="1" applyAlignment="1">
      <alignment horizontal="center"/>
    </xf>
    <xf numFmtId="164" fontId="67" fillId="0" borderId="17" xfId="0" applyNumberFormat="1" applyFont="1" applyBorder="1" applyAlignment="1">
      <alignment horizontal="center"/>
    </xf>
    <xf numFmtId="2" fontId="40" fillId="0" borderId="21" xfId="0" applyNumberFormat="1" applyFont="1" applyBorder="1" applyAlignment="1">
      <alignment horizontal="center" vertical="center" wrapText="1"/>
    </xf>
    <xf numFmtId="164" fontId="40" fillId="0" borderId="22" xfId="0" applyNumberFormat="1" applyFont="1" applyBorder="1" applyAlignment="1">
      <alignment horizontal="center" vertical="top" wrapText="1"/>
    </xf>
    <xf numFmtId="164" fontId="40" fillId="0" borderId="22" xfId="0" applyNumberFormat="1" applyFont="1" applyBorder="1" applyAlignment="1">
      <alignment horizontal="center" vertical="center" wrapText="1"/>
    </xf>
    <xf numFmtId="164" fontId="67" fillId="0" borderId="22" xfId="0" applyNumberFormat="1" applyFont="1" applyBorder="1" applyAlignment="1">
      <alignment horizontal="center" vertical="center" wrapText="1"/>
    </xf>
    <xf numFmtId="0" fontId="26" fillId="0" borderId="0" xfId="16" applyFont="1" applyAlignment="1">
      <alignment horizontal="center" vertical="center"/>
    </xf>
    <xf numFmtId="0" fontId="26" fillId="0" borderId="9" xfId="16" applyFont="1" applyBorder="1" applyAlignment="1">
      <alignment horizontal="center" vertical="center"/>
    </xf>
    <xf numFmtId="0" fontId="26" fillId="0" borderId="6" xfId="16" applyFont="1" applyBorder="1" applyAlignment="1">
      <alignment horizontal="center" vertical="center" wrapText="1"/>
    </xf>
    <xf numFmtId="0" fontId="26" fillId="0" borderId="1" xfId="16" applyFont="1" applyBorder="1" applyAlignment="1">
      <alignment horizontal="center" vertical="center" wrapText="1"/>
    </xf>
    <xf numFmtId="0" fontId="26" fillId="0" borderId="0" xfId="16" applyFont="1" applyAlignment="1">
      <alignment horizontal="center" vertical="center" wrapText="1"/>
    </xf>
    <xf numFmtId="0" fontId="26" fillId="0" borderId="0" xfId="15" applyFont="1" applyAlignment="1">
      <alignment horizontal="center" vertical="center"/>
    </xf>
    <xf numFmtId="0" fontId="26" fillId="0" borderId="6" xfId="15" applyFont="1" applyBorder="1" applyAlignment="1">
      <alignment horizontal="center" vertical="center"/>
    </xf>
    <xf numFmtId="0" fontId="26" fillId="0" borderId="1" xfId="15" applyFont="1" applyBorder="1" applyAlignment="1">
      <alignment horizontal="center" vertical="center"/>
    </xf>
    <xf numFmtId="2" fontId="77" fillId="0" borderId="1" xfId="15" applyNumberFormat="1" applyFont="1" applyBorder="1" applyAlignment="1">
      <alignment horizontal="center" vertical="center"/>
    </xf>
    <xf numFmtId="2" fontId="77" fillId="0" borderId="0" xfId="15" applyNumberFormat="1" applyFont="1" applyAlignment="1">
      <alignment horizontal="center" vertical="center"/>
    </xf>
    <xf numFmtId="2" fontId="26" fillId="0" borderId="0" xfId="15" applyNumberFormat="1" applyFont="1" applyAlignment="1">
      <alignment horizontal="center" vertical="center"/>
    </xf>
    <xf numFmtId="0" fontId="25" fillId="0" borderId="0" xfId="18" applyFont="1" applyAlignment="1">
      <alignment horizontal="center" vertical="center"/>
    </xf>
    <xf numFmtId="0" fontId="25" fillId="0" borderId="6" xfId="18" applyFont="1" applyBorder="1" applyAlignment="1">
      <alignment horizontal="center" vertical="center"/>
    </xf>
    <xf numFmtId="0" fontId="25" fillId="0" borderId="1" xfId="18" applyFont="1" applyBorder="1" applyAlignment="1">
      <alignment horizontal="center" vertical="center"/>
    </xf>
    <xf numFmtId="0" fontId="25" fillId="0" borderId="0" xfId="16" applyFont="1" applyAlignment="1">
      <alignment horizontal="center" vertical="center"/>
    </xf>
    <xf numFmtId="0" fontId="25" fillId="0" borderId="0" xfId="15" applyFont="1" applyAlignment="1">
      <alignment horizontal="center" vertical="center"/>
    </xf>
    <xf numFmtId="0" fontId="25" fillId="0" borderId="6" xfId="15" applyFont="1" applyBorder="1" applyAlignment="1">
      <alignment horizontal="center" vertical="center"/>
    </xf>
    <xf numFmtId="0" fontId="26" fillId="0" borderId="9" xfId="15" applyFont="1" applyBorder="1" applyAlignment="1">
      <alignment horizontal="center" vertical="center"/>
    </xf>
    <xf numFmtId="0" fontId="26" fillId="0" borderId="24" xfId="15" applyFont="1" applyBorder="1" applyAlignment="1">
      <alignment horizontal="center" vertical="center"/>
    </xf>
    <xf numFmtId="0" fontId="26" fillId="0" borderId="25" xfId="15" applyFont="1" applyBorder="1" applyAlignment="1">
      <alignment horizontal="center" vertical="center"/>
    </xf>
    <xf numFmtId="0" fontId="79" fillId="0" borderId="0" xfId="16" applyFont="1" applyAlignment="1">
      <alignment horizontal="center" vertical="center"/>
    </xf>
    <xf numFmtId="0" fontId="79" fillId="0" borderId="9" xfId="15" applyFont="1" applyBorder="1" applyAlignment="1">
      <alignment horizontal="center" vertical="center"/>
    </xf>
    <xf numFmtId="2" fontId="79" fillId="0" borderId="25" xfId="15" applyNumberFormat="1" applyFont="1" applyBorder="1" applyAlignment="1">
      <alignment horizontal="center" vertical="center"/>
    </xf>
    <xf numFmtId="2" fontId="79" fillId="0" borderId="9" xfId="15" applyNumberFormat="1" applyFont="1" applyBorder="1" applyAlignment="1">
      <alignment horizontal="center" vertical="center"/>
    </xf>
    <xf numFmtId="0" fontId="26" fillId="0" borderId="6" xfId="16" applyFont="1" applyBorder="1" applyAlignment="1">
      <alignment horizontal="center" vertical="center"/>
    </xf>
    <xf numFmtId="2" fontId="77" fillId="0" borderId="1" xfId="16" applyNumberFormat="1" applyFont="1" applyBorder="1" applyAlignment="1">
      <alignment horizontal="center" vertical="center"/>
    </xf>
    <xf numFmtId="2" fontId="77" fillId="0" borderId="0" xfId="16" applyNumberFormat="1" applyFont="1" applyAlignment="1">
      <alignment horizontal="center" vertical="center"/>
    </xf>
    <xf numFmtId="2" fontId="26" fillId="0" borderId="0" xfId="16" applyNumberFormat="1" applyFont="1" applyAlignment="1">
      <alignment horizontal="center" vertical="center"/>
    </xf>
    <xf numFmtId="0" fontId="26" fillId="0" borderId="0" xfId="16" applyFont="1" applyAlignment="1">
      <alignment horizontal="left" vertical="center"/>
    </xf>
    <xf numFmtId="0" fontId="25" fillId="0" borderId="6" xfId="16" applyFont="1" applyBorder="1" applyAlignment="1">
      <alignment horizontal="center" vertical="center"/>
    </xf>
    <xf numFmtId="0" fontId="18" fillId="0" borderId="0" xfId="0" applyFont="1"/>
    <xf numFmtId="0" fontId="26" fillId="0" borderId="8" xfId="16" applyFont="1" applyBorder="1" applyAlignment="1">
      <alignment horizontal="center" vertical="center" wrapText="1"/>
    </xf>
    <xf numFmtId="0" fontId="26" fillId="0" borderId="7" xfId="16" applyFont="1" applyBorder="1" applyAlignment="1">
      <alignment horizontal="center" vertical="center" wrapText="1"/>
    </xf>
    <xf numFmtId="0" fontId="18" fillId="0" borderId="7" xfId="0" applyFont="1" applyBorder="1" applyAlignment="1">
      <alignment horizontal="center" vertical="top" wrapText="1"/>
    </xf>
    <xf numFmtId="0" fontId="26" fillId="0" borderId="12" xfId="16" applyFont="1" applyBorder="1" applyAlignment="1">
      <alignment horizontal="center" vertical="center" wrapText="1"/>
    </xf>
    <xf numFmtId="0" fontId="26" fillId="0" borderId="1" xfId="16" applyFont="1" applyBorder="1" applyAlignment="1">
      <alignment horizontal="left" vertical="center" wrapText="1"/>
    </xf>
    <xf numFmtId="0" fontId="26" fillId="0" borderId="1" xfId="15" applyFont="1" applyBorder="1" applyAlignment="1">
      <alignment horizontal="left" vertical="center"/>
    </xf>
    <xf numFmtId="0" fontId="25" fillId="0" borderId="1" xfId="18" applyFont="1" applyBorder="1" applyAlignment="1">
      <alignment horizontal="left" vertical="center"/>
    </xf>
    <xf numFmtId="9" fontId="26" fillId="0" borderId="1" xfId="17" applyFont="1" applyBorder="1" applyAlignment="1">
      <alignment horizontal="left" vertical="center"/>
    </xf>
    <xf numFmtId="0" fontId="25" fillId="0" borderId="1" xfId="15" applyFont="1" applyBorder="1" applyAlignment="1">
      <alignment horizontal="left" vertical="center"/>
    </xf>
    <xf numFmtId="0" fontId="26" fillId="0" borderId="25" xfId="15" applyFont="1" applyBorder="1" applyAlignment="1">
      <alignment horizontal="left" vertical="center"/>
    </xf>
    <xf numFmtId="0" fontId="79" fillId="0" borderId="25" xfId="15" applyFont="1" applyBorder="1" applyAlignment="1">
      <alignment horizontal="left" vertical="center"/>
    </xf>
    <xf numFmtId="0" fontId="26" fillId="0" borderId="1" xfId="16" applyFont="1" applyBorder="1" applyAlignment="1">
      <alignment horizontal="left" vertical="center"/>
    </xf>
    <xf numFmtId="0" fontId="25" fillId="0" borderId="1" xfId="16" applyFont="1" applyBorder="1" applyAlignment="1">
      <alignment horizontal="left" vertical="center"/>
    </xf>
    <xf numFmtId="0" fontId="18" fillId="9" borderId="0" xfId="0" applyFont="1" applyFill="1"/>
    <xf numFmtId="0" fontId="26" fillId="9" borderId="8" xfId="16" applyFont="1" applyFill="1" applyBorder="1" applyAlignment="1">
      <alignment horizontal="center" vertical="center" wrapText="1"/>
    </xf>
    <xf numFmtId="0" fontId="26" fillId="9" borderId="7" xfId="16" applyFont="1" applyFill="1" applyBorder="1" applyAlignment="1">
      <alignment horizontal="center" vertical="center" wrapText="1"/>
    </xf>
    <xf numFmtId="0" fontId="26" fillId="9" borderId="1" xfId="16" applyFont="1" applyFill="1" applyBorder="1" applyAlignment="1">
      <alignment horizontal="center" vertical="center"/>
    </xf>
    <xf numFmtId="0" fontId="26" fillId="9" borderId="0" xfId="16" applyFont="1" applyFill="1" applyAlignment="1">
      <alignment horizontal="center" vertical="center"/>
    </xf>
    <xf numFmtId="0" fontId="26" fillId="9" borderId="1" xfId="15" applyFont="1" applyFill="1" applyBorder="1" applyAlignment="1">
      <alignment horizontal="center" vertical="center"/>
    </xf>
    <xf numFmtId="0" fontId="26" fillId="9" borderId="0" xfId="15" applyFont="1" applyFill="1" applyAlignment="1">
      <alignment horizontal="center" vertical="center"/>
    </xf>
    <xf numFmtId="0" fontId="25" fillId="9" borderId="1" xfId="18" applyFont="1" applyFill="1" applyBorder="1" applyAlignment="1">
      <alignment horizontal="center" vertical="center"/>
    </xf>
    <xf numFmtId="0" fontId="25" fillId="9" borderId="0" xfId="18" applyFont="1" applyFill="1" applyAlignment="1">
      <alignment horizontal="center" vertical="center"/>
    </xf>
    <xf numFmtId="0" fontId="26" fillId="9" borderId="25" xfId="15" applyFont="1" applyFill="1" applyBorder="1" applyAlignment="1">
      <alignment horizontal="center" vertical="center"/>
    </xf>
    <xf numFmtId="0" fontId="26" fillId="9" borderId="9" xfId="15" applyFont="1" applyFill="1" applyBorder="1" applyAlignment="1">
      <alignment horizontal="center" vertical="center"/>
    </xf>
    <xf numFmtId="0" fontId="79" fillId="9" borderId="25" xfId="15" applyFont="1" applyFill="1" applyBorder="1" applyAlignment="1">
      <alignment horizontal="center" vertical="center"/>
    </xf>
    <xf numFmtId="0" fontId="79" fillId="9" borderId="9" xfId="15" applyFont="1" applyFill="1" applyBorder="1" applyAlignment="1">
      <alignment horizontal="center" vertical="center"/>
    </xf>
    <xf numFmtId="0" fontId="18" fillId="6" borderId="0" xfId="0" applyFont="1" applyFill="1"/>
    <xf numFmtId="0" fontId="26" fillId="6" borderId="8" xfId="16" applyFont="1" applyFill="1" applyBorder="1" applyAlignment="1">
      <alignment horizontal="center" vertical="center" wrapText="1"/>
    </xf>
    <xf numFmtId="0" fontId="26" fillId="6" borderId="7" xfId="16" applyFont="1" applyFill="1" applyBorder="1" applyAlignment="1">
      <alignment horizontal="center" vertical="center" wrapText="1"/>
    </xf>
    <xf numFmtId="0" fontId="26" fillId="6" borderId="1" xfId="16" applyFont="1" applyFill="1" applyBorder="1" applyAlignment="1">
      <alignment horizontal="center" vertical="center"/>
    </xf>
    <xf numFmtId="0" fontId="26" fillId="6" borderId="0" xfId="16" applyFont="1" applyFill="1" applyAlignment="1">
      <alignment horizontal="center" vertical="center"/>
    </xf>
    <xf numFmtId="0" fontId="26" fillId="6" borderId="1" xfId="15" applyFont="1" applyFill="1" applyBorder="1" applyAlignment="1">
      <alignment horizontal="center" vertical="center"/>
    </xf>
    <xf numFmtId="0" fontId="26" fillId="6" borderId="0" xfId="15" applyFont="1" applyFill="1" applyAlignment="1">
      <alignment horizontal="center" vertical="center"/>
    </xf>
    <xf numFmtId="0" fontId="25" fillId="6" borderId="1" xfId="18" applyFont="1" applyFill="1" applyBorder="1" applyAlignment="1">
      <alignment horizontal="center" vertical="center"/>
    </xf>
    <xf numFmtId="0" fontId="25" fillId="6" borderId="0" xfId="18" applyFont="1" applyFill="1" applyAlignment="1">
      <alignment horizontal="center" vertical="center"/>
    </xf>
    <xf numFmtId="0" fontId="26" fillId="6" borderId="25" xfId="15" applyFont="1" applyFill="1" applyBorder="1" applyAlignment="1">
      <alignment horizontal="center" vertical="center"/>
    </xf>
    <xf numFmtId="0" fontId="26" fillId="6" borderId="9" xfId="15" applyFont="1" applyFill="1" applyBorder="1" applyAlignment="1">
      <alignment horizontal="center" vertical="center"/>
    </xf>
    <xf numFmtId="0" fontId="79" fillId="6" borderId="25" xfId="15" applyFont="1" applyFill="1" applyBorder="1" applyAlignment="1">
      <alignment horizontal="center" vertical="center"/>
    </xf>
    <xf numFmtId="0" fontId="79" fillId="6" borderId="9" xfId="15" applyFont="1" applyFill="1" applyBorder="1" applyAlignment="1">
      <alignment horizontal="center" vertical="center"/>
    </xf>
    <xf numFmtId="0" fontId="18" fillId="0" borderId="7" xfId="0" applyFont="1" applyBorder="1"/>
    <xf numFmtId="164" fontId="76" fillId="0" borderId="0" xfId="16" applyNumberFormat="1" applyFont="1" applyAlignment="1">
      <alignment horizontal="center" vertical="center"/>
    </xf>
    <xf numFmtId="0" fontId="41" fillId="0" borderId="0" xfId="16" applyFont="1" applyAlignment="1">
      <alignment horizontal="center" vertical="center"/>
    </xf>
    <xf numFmtId="0" fontId="76" fillId="0" borderId="0" xfId="16" applyFont="1" applyAlignment="1">
      <alignment horizontal="center" vertical="center"/>
    </xf>
    <xf numFmtId="164" fontId="52" fillId="0" borderId="0" xfId="16" applyNumberFormat="1" applyFont="1" applyAlignment="1">
      <alignment horizontal="center" vertical="center"/>
    </xf>
    <xf numFmtId="0" fontId="26" fillId="0" borderId="3" xfId="15" applyFont="1" applyBorder="1" applyAlignment="1">
      <alignment horizontal="center" vertical="center"/>
    </xf>
    <xf numFmtId="0" fontId="26" fillId="0" borderId="10" xfId="15" applyFont="1" applyBorder="1" applyAlignment="1">
      <alignment horizontal="center" vertical="center"/>
    </xf>
    <xf numFmtId="2" fontId="77" fillId="0" borderId="2" xfId="15" applyNumberFormat="1" applyFont="1" applyBorder="1" applyAlignment="1">
      <alignment horizontal="center" vertical="center"/>
    </xf>
    <xf numFmtId="2" fontId="77" fillId="0" borderId="3" xfId="15" applyNumberFormat="1" applyFont="1" applyBorder="1" applyAlignment="1">
      <alignment horizontal="center" vertical="center"/>
    </xf>
    <xf numFmtId="2" fontId="26" fillId="0" borderId="3" xfId="15" applyNumberFormat="1" applyFont="1" applyBorder="1" applyAlignment="1">
      <alignment horizontal="center" vertical="center"/>
    </xf>
    <xf numFmtId="0" fontId="26" fillId="9" borderId="2" xfId="15" applyFont="1" applyFill="1" applyBorder="1" applyAlignment="1">
      <alignment horizontal="center" vertical="center"/>
    </xf>
    <xf numFmtId="0" fontId="26" fillId="9" borderId="3" xfId="15" applyFont="1" applyFill="1" applyBorder="1" applyAlignment="1">
      <alignment horizontal="center" vertical="center"/>
    </xf>
    <xf numFmtId="0" fontId="26" fillId="6" borderId="2" xfId="15" applyFont="1" applyFill="1" applyBorder="1" applyAlignment="1">
      <alignment horizontal="center" vertical="center"/>
    </xf>
    <xf numFmtId="0" fontId="26" fillId="6" borderId="3" xfId="15" applyFont="1" applyFill="1" applyBorder="1" applyAlignment="1">
      <alignment horizontal="center" vertical="center"/>
    </xf>
    <xf numFmtId="0" fontId="18" fillId="0" borderId="0" xfId="15" applyFont="1" applyAlignment="1">
      <alignment horizontal="center" vertical="center"/>
    </xf>
    <xf numFmtId="0" fontId="18" fillId="0" borderId="6" xfId="15" applyFont="1" applyBorder="1" applyAlignment="1">
      <alignment horizontal="center" vertical="center"/>
    </xf>
    <xf numFmtId="2" fontId="18" fillId="0" borderId="1" xfId="15" applyNumberFormat="1" applyFont="1" applyBorder="1" applyAlignment="1">
      <alignment horizontal="center" vertical="center"/>
    </xf>
    <xf numFmtId="2" fontId="18" fillId="0" borderId="0" xfId="15" applyNumberFormat="1" applyFont="1" applyAlignment="1">
      <alignment horizontal="center" vertical="center"/>
    </xf>
    <xf numFmtId="0" fontId="18" fillId="9" borderId="1" xfId="15" applyFont="1" applyFill="1" applyBorder="1" applyAlignment="1">
      <alignment horizontal="center" vertical="center"/>
    </xf>
    <xf numFmtId="0" fontId="18" fillId="9" borderId="0" xfId="15" applyFont="1" applyFill="1" applyAlignment="1">
      <alignment horizontal="center" vertical="center"/>
    </xf>
    <xf numFmtId="0" fontId="18" fillId="6" borderId="1" xfId="15" applyFont="1" applyFill="1" applyBorder="1" applyAlignment="1">
      <alignment horizontal="center" vertical="center"/>
    </xf>
    <xf numFmtId="0" fontId="18" fillId="6" borderId="0" xfId="15" applyFont="1" applyFill="1" applyAlignment="1">
      <alignment horizontal="center" vertical="center"/>
    </xf>
    <xf numFmtId="0" fontId="18" fillId="0" borderId="1" xfId="15" applyFont="1" applyBorder="1" applyAlignment="1">
      <alignment horizontal="left" vertical="center"/>
    </xf>
    <xf numFmtId="0" fontId="18" fillId="0" borderId="0" xfId="16" applyFont="1" applyAlignment="1">
      <alignment horizontal="center" vertical="center"/>
    </xf>
    <xf numFmtId="0" fontId="18" fillId="9" borderId="7" xfId="16" applyFont="1" applyFill="1" applyBorder="1" applyAlignment="1">
      <alignment horizontal="center" vertical="center" wrapText="1"/>
    </xf>
    <xf numFmtId="0" fontId="26" fillId="9" borderId="0" xfId="16" applyFont="1" applyFill="1" applyAlignment="1">
      <alignment horizontal="center" vertical="center" wrapText="1"/>
    </xf>
    <xf numFmtId="2" fontId="26" fillId="9" borderId="0" xfId="15" applyNumberFormat="1" applyFont="1" applyFill="1" applyAlignment="1">
      <alignment horizontal="center" vertical="center"/>
    </xf>
    <xf numFmtId="2" fontId="18" fillId="9" borderId="0" xfId="15" applyNumberFormat="1" applyFont="1" applyFill="1" applyAlignment="1">
      <alignment horizontal="center" vertical="center"/>
    </xf>
    <xf numFmtId="2" fontId="79" fillId="9" borderId="9" xfId="15" applyNumberFormat="1" applyFont="1" applyFill="1" applyBorder="1" applyAlignment="1">
      <alignment horizontal="center" vertical="center"/>
    </xf>
    <xf numFmtId="2" fontId="26" fillId="9" borderId="0" xfId="16" applyNumberFormat="1" applyFont="1" applyFill="1" applyAlignment="1">
      <alignment horizontal="center" vertical="center"/>
    </xf>
    <xf numFmtId="2" fontId="26" fillId="9" borderId="3" xfId="15" applyNumberFormat="1" applyFont="1" applyFill="1" applyBorder="1" applyAlignment="1">
      <alignment horizontal="center" vertical="center"/>
    </xf>
    <xf numFmtId="0" fontId="26" fillId="9" borderId="13" xfId="16" applyFont="1" applyFill="1" applyBorder="1" applyAlignment="1">
      <alignment horizontal="center" vertical="top" wrapText="1"/>
    </xf>
    <xf numFmtId="0" fontId="26" fillId="9" borderId="6" xfId="16" applyFont="1" applyFill="1" applyBorder="1" applyAlignment="1">
      <alignment horizontal="center" vertical="center" wrapText="1"/>
    </xf>
    <xf numFmtId="164" fontId="26" fillId="9" borderId="6" xfId="15" applyNumberFormat="1" applyFont="1" applyFill="1" applyBorder="1" applyAlignment="1">
      <alignment horizontal="center" vertical="center"/>
    </xf>
    <xf numFmtId="0" fontId="25" fillId="9" borderId="6" xfId="18" applyFont="1" applyFill="1" applyBorder="1" applyAlignment="1">
      <alignment horizontal="center" vertical="center"/>
    </xf>
    <xf numFmtId="164" fontId="18" fillId="9" borderId="6" xfId="15" applyNumberFormat="1" applyFont="1" applyFill="1" applyBorder="1" applyAlignment="1">
      <alignment horizontal="center" vertical="center"/>
    </xf>
    <xf numFmtId="0" fontId="26" fillId="9" borderId="24" xfId="15" applyFont="1" applyFill="1" applyBorder="1" applyAlignment="1">
      <alignment horizontal="center" vertical="center"/>
    </xf>
    <xf numFmtId="164" fontId="79" fillId="9" borderId="24" xfId="15" applyNumberFormat="1" applyFont="1" applyFill="1" applyBorder="1" applyAlignment="1">
      <alignment horizontal="center" vertical="center"/>
    </xf>
    <xf numFmtId="0" fontId="26" fillId="9" borderId="6" xfId="15" applyFont="1" applyFill="1" applyBorder="1" applyAlignment="1">
      <alignment horizontal="center" vertical="center"/>
    </xf>
    <xf numFmtId="164" fontId="26" fillId="9" borderId="6" xfId="16" applyNumberFormat="1" applyFont="1" applyFill="1" applyBorder="1" applyAlignment="1">
      <alignment horizontal="center" vertical="center"/>
    </xf>
    <xf numFmtId="164" fontId="26" fillId="9" borderId="10" xfId="15" applyNumberFormat="1" applyFont="1" applyFill="1" applyBorder="1" applyAlignment="1">
      <alignment horizontal="center" vertical="center"/>
    </xf>
    <xf numFmtId="0" fontId="18" fillId="6" borderId="7" xfId="16" applyFont="1" applyFill="1" applyBorder="1" applyAlignment="1">
      <alignment horizontal="center" vertical="center" wrapText="1"/>
    </xf>
    <xf numFmtId="0" fontId="26" fillId="6" borderId="13" xfId="16" applyFont="1" applyFill="1" applyBorder="1" applyAlignment="1">
      <alignment horizontal="center" vertical="top" wrapText="1"/>
    </xf>
    <xf numFmtId="0" fontId="26" fillId="6" borderId="0" xfId="16" applyFont="1" applyFill="1" applyAlignment="1">
      <alignment horizontal="center" vertical="center" wrapText="1"/>
    </xf>
    <xf numFmtId="0" fontId="26" fillId="6" borderId="6" xfId="16" applyFont="1" applyFill="1" applyBorder="1" applyAlignment="1">
      <alignment horizontal="center" vertical="center" wrapText="1"/>
    </xf>
    <xf numFmtId="2" fontId="26" fillId="6" borderId="0" xfId="15" applyNumberFormat="1" applyFont="1" applyFill="1" applyAlignment="1">
      <alignment horizontal="center" vertical="center"/>
    </xf>
    <xf numFmtId="164" fontId="26" fillId="6" borderId="6" xfId="15" applyNumberFormat="1" applyFont="1" applyFill="1" applyBorder="1" applyAlignment="1">
      <alignment horizontal="center" vertical="center"/>
    </xf>
    <xf numFmtId="0" fontId="25" fillId="6" borderId="6" xfId="18" applyFont="1" applyFill="1" applyBorder="1" applyAlignment="1">
      <alignment horizontal="center" vertical="center"/>
    </xf>
    <xf numFmtId="2" fontId="18" fillId="6" borderId="0" xfId="15" applyNumberFormat="1" applyFont="1" applyFill="1" applyAlignment="1">
      <alignment horizontal="center" vertical="center"/>
    </xf>
    <xf numFmtId="164" fontId="18" fillId="6" borderId="6" xfId="15" applyNumberFormat="1" applyFont="1" applyFill="1" applyBorder="1" applyAlignment="1">
      <alignment horizontal="center" vertical="center"/>
    </xf>
    <xf numFmtId="0" fontId="26" fillId="6" borderId="24" xfId="15" applyFont="1" applyFill="1" applyBorder="1" applyAlignment="1">
      <alignment horizontal="center" vertical="center"/>
    </xf>
    <xf numFmtId="2" fontId="79" fillId="6" borderId="9" xfId="15" applyNumberFormat="1" applyFont="1" applyFill="1" applyBorder="1" applyAlignment="1">
      <alignment horizontal="center" vertical="center"/>
    </xf>
    <xf numFmtId="164" fontId="79" fillId="6" borderId="24" xfId="15" applyNumberFormat="1" applyFont="1" applyFill="1" applyBorder="1" applyAlignment="1">
      <alignment horizontal="center" vertical="center"/>
    </xf>
    <xf numFmtId="0" fontId="26" fillId="6" borderId="6" xfId="15" applyFont="1" applyFill="1" applyBorder="1" applyAlignment="1">
      <alignment horizontal="center" vertical="center"/>
    </xf>
    <xf numFmtId="2" fontId="26" fillId="6" borderId="0" xfId="16" applyNumberFormat="1" applyFont="1" applyFill="1" applyAlignment="1">
      <alignment horizontal="center" vertical="center"/>
    </xf>
    <xf numFmtId="164" fontId="26" fillId="6" borderId="6" xfId="16" applyNumberFormat="1" applyFont="1" applyFill="1" applyBorder="1" applyAlignment="1">
      <alignment horizontal="center" vertical="center"/>
    </xf>
    <xf numFmtId="2" fontId="26" fillId="6" borderId="3" xfId="15" applyNumberFormat="1" applyFont="1" applyFill="1" applyBorder="1" applyAlignment="1">
      <alignment horizontal="center" vertical="center"/>
    </xf>
    <xf numFmtId="164" fontId="26" fillId="6" borderId="10" xfId="15" applyNumberFormat="1" applyFont="1" applyFill="1" applyBorder="1" applyAlignment="1">
      <alignment horizontal="center" vertical="center"/>
    </xf>
    <xf numFmtId="0" fontId="24" fillId="0" borderId="0" xfId="0" applyFont="1" applyAlignment="1">
      <alignment horizontal="center" vertical="center"/>
    </xf>
    <xf numFmtId="0" fontId="38" fillId="0" borderId="0" xfId="0" applyFont="1" applyAlignment="1">
      <alignment horizontal="center" vertical="center"/>
    </xf>
    <xf numFmtId="0" fontId="25" fillId="0" borderId="0" xfId="0" applyFont="1" applyAlignment="1">
      <alignment horizontal="center" vertical="center"/>
    </xf>
    <xf numFmtId="0" fontId="24" fillId="0" borderId="9" xfId="0" applyFont="1" applyBorder="1" applyAlignment="1">
      <alignment horizontal="center" vertical="center"/>
    </xf>
    <xf numFmtId="0" fontId="18" fillId="0" borderId="0" xfId="18" applyFont="1" applyAlignment="1">
      <alignment vertical="center"/>
    </xf>
    <xf numFmtId="0" fontId="25" fillId="0" borderId="0" xfId="18" applyFont="1" applyAlignment="1">
      <alignment vertical="center"/>
    </xf>
    <xf numFmtId="0" fontId="79" fillId="0" borderId="0" xfId="18" applyFont="1" applyAlignment="1">
      <alignment vertical="center"/>
    </xf>
    <xf numFmtId="0" fontId="24" fillId="0" borderId="3" xfId="0" applyFont="1" applyBorder="1" applyAlignment="1">
      <alignment horizontal="center" vertical="center"/>
    </xf>
    <xf numFmtId="0" fontId="36" fillId="0" borderId="0" xfId="0" applyFont="1"/>
    <xf numFmtId="0" fontId="51" fillId="0" borderId="0" xfId="14" applyFont="1" applyAlignment="1">
      <alignment horizontal="center" vertical="center"/>
    </xf>
    <xf numFmtId="0" fontId="36" fillId="0" borderId="0" xfId="0" applyFont="1" applyAlignment="1">
      <alignment vertical="center"/>
    </xf>
    <xf numFmtId="0" fontId="61" fillId="0" borderId="31" xfId="0" applyFont="1" applyBorder="1" applyAlignment="1">
      <alignment horizontal="left" vertical="center"/>
    </xf>
    <xf numFmtId="167" fontId="0" fillId="0" borderId="0" xfId="0" applyNumberFormat="1" applyAlignment="1">
      <alignment horizontal="center"/>
    </xf>
    <xf numFmtId="167" fontId="0" fillId="0" borderId="0" xfId="0" applyNumberFormat="1"/>
    <xf numFmtId="169" fontId="0" fillId="0" borderId="0" xfId="0" applyNumberFormat="1" applyAlignment="1">
      <alignment horizontal="center"/>
    </xf>
    <xf numFmtId="169" fontId="0" fillId="0" borderId="0" xfId="0" applyNumberFormat="1"/>
    <xf numFmtId="0" fontId="40" fillId="0" borderId="3" xfId="0" applyFont="1" applyBorder="1" applyAlignment="1">
      <alignment horizontal="center" vertical="center" wrapText="1"/>
    </xf>
    <xf numFmtId="167" fontId="40" fillId="0" borderId="3" xfId="0" applyNumberFormat="1" applyFont="1" applyBorder="1" applyAlignment="1">
      <alignment horizontal="center" vertical="center" wrapText="1"/>
    </xf>
    <xf numFmtId="169" fontId="40" fillId="0" borderId="3" xfId="0" applyNumberFormat="1" applyFont="1" applyBorder="1" applyAlignment="1">
      <alignment horizontal="center" vertical="center" wrapText="1"/>
    </xf>
    <xf numFmtId="165" fontId="40" fillId="0" borderId="3" xfId="0" applyNumberFormat="1" applyFont="1" applyBorder="1" applyAlignment="1">
      <alignment horizontal="center" vertical="center" wrapText="1"/>
    </xf>
    <xf numFmtId="1" fontId="40" fillId="0" borderId="3" xfId="0" applyNumberFormat="1" applyFont="1" applyBorder="1" applyAlignment="1">
      <alignment horizontal="center" vertical="center" wrapText="1"/>
    </xf>
    <xf numFmtId="0" fontId="40" fillId="0" borderId="2" xfId="0" applyFont="1" applyBorder="1" applyAlignment="1">
      <alignment horizontal="center" vertical="center" wrapText="1"/>
    </xf>
    <xf numFmtId="2" fontId="40" fillId="0" borderId="3" xfId="3" applyNumberFormat="1" applyFont="1" applyBorder="1" applyAlignment="1">
      <alignment horizontal="center" vertical="center" wrapText="1"/>
    </xf>
    <xf numFmtId="11" fontId="40" fillId="0" borderId="3" xfId="3" applyNumberFormat="1" applyFont="1" applyBorder="1" applyAlignment="1">
      <alignment horizontal="center" vertical="center" wrapText="1"/>
    </xf>
    <xf numFmtId="165" fontId="40" fillId="0" borderId="2" xfId="3" applyNumberFormat="1" applyFont="1" applyFill="1" applyBorder="1" applyAlignment="1">
      <alignment horizontal="center" vertical="center" wrapText="1"/>
    </xf>
    <xf numFmtId="11" fontId="40" fillId="0" borderId="3" xfId="3" applyNumberFormat="1" applyFont="1" applyFill="1" applyBorder="1" applyAlignment="1">
      <alignment horizontal="center" vertical="center" wrapText="1"/>
    </xf>
    <xf numFmtId="1" fontId="62" fillId="0" borderId="32" xfId="0" applyNumberFormat="1" applyFont="1" applyBorder="1" applyAlignment="1">
      <alignment horizontal="left"/>
    </xf>
    <xf numFmtId="1" fontId="40" fillId="0" borderId="2" xfId="0" applyNumberFormat="1" applyFont="1" applyBorder="1" applyAlignment="1">
      <alignment horizontal="center" vertical="center" wrapText="1"/>
    </xf>
    <xf numFmtId="1" fontId="62" fillId="0" borderId="33" xfId="0" applyNumberFormat="1" applyFont="1" applyBorder="1" applyAlignment="1">
      <alignment horizontal="left"/>
    </xf>
    <xf numFmtId="2" fontId="0" fillId="0" borderId="0" xfId="3" quotePrefix="1" applyNumberFormat="1" applyFont="1" applyBorder="1" applyAlignment="1">
      <alignment horizontal="center" vertical="center"/>
    </xf>
    <xf numFmtId="166" fontId="0" fillId="0" borderId="0" xfId="3" applyNumberFormat="1" applyFont="1" applyBorder="1" applyAlignment="1">
      <alignment horizontal="center" vertical="center"/>
    </xf>
    <xf numFmtId="2" fontId="62" fillId="0" borderId="32" xfId="0" applyNumberFormat="1" applyFont="1" applyBorder="1" applyAlignment="1">
      <alignment horizontal="left"/>
    </xf>
    <xf numFmtId="0" fontId="13" fillId="0" borderId="1" xfId="0" applyFont="1" applyBorder="1" applyAlignment="1">
      <alignment horizontal="center"/>
    </xf>
    <xf numFmtId="164" fontId="0" fillId="0" borderId="1" xfId="0" applyNumberFormat="1" applyBorder="1" applyAlignment="1">
      <alignment horizontal="center"/>
    </xf>
    <xf numFmtId="164" fontId="13" fillId="0" borderId="1" xfId="0" applyNumberFormat="1" applyFont="1" applyBorder="1" applyAlignment="1">
      <alignment horizontal="center"/>
    </xf>
    <xf numFmtId="1" fontId="18" fillId="0" borderId="2" xfId="0" applyNumberFormat="1" applyFont="1" applyBorder="1" applyAlignment="1">
      <alignment horizontal="center" vertical="center" wrapText="1"/>
    </xf>
    <xf numFmtId="1" fontId="18" fillId="0" borderId="3" xfId="0" applyNumberFormat="1" applyFont="1" applyBorder="1" applyAlignment="1">
      <alignment horizontal="center" vertical="center" wrapText="1"/>
    </xf>
    <xf numFmtId="1" fontId="14" fillId="0" borderId="1" xfId="0" applyNumberFormat="1" applyFont="1" applyBorder="1" applyAlignment="1">
      <alignment horizontal="center"/>
    </xf>
    <xf numFmtId="1" fontId="10" fillId="0" borderId="1" xfId="0" quotePrefix="1" applyNumberFormat="1" applyFont="1" applyBorder="1" applyAlignment="1">
      <alignment horizontal="center"/>
    </xf>
    <xf numFmtId="0" fontId="10" fillId="0" borderId="1" xfId="0" applyFont="1" applyBorder="1"/>
    <xf numFmtId="1" fontId="13" fillId="0" borderId="1" xfId="0" applyNumberFormat="1" applyFont="1" applyBorder="1" applyAlignment="1">
      <alignment horizontal="center"/>
    </xf>
    <xf numFmtId="9" fontId="40" fillId="0" borderId="3" xfId="3" applyFont="1" applyBorder="1" applyAlignment="1">
      <alignment horizontal="center" vertical="center" wrapText="1"/>
    </xf>
    <xf numFmtId="2" fontId="40" fillId="0" borderId="3" xfId="0" applyNumberFormat="1" applyFont="1" applyBorder="1" applyAlignment="1">
      <alignment horizontal="center" vertical="center" wrapText="1"/>
    </xf>
    <xf numFmtId="2" fontId="40" fillId="0" borderId="2" xfId="0" applyNumberFormat="1" applyFont="1" applyBorder="1" applyAlignment="1">
      <alignment horizontal="center" vertical="center" wrapText="1"/>
    </xf>
    <xf numFmtId="1" fontId="40" fillId="0" borderId="3" xfId="0" applyNumberFormat="1" applyFont="1" applyBorder="1" applyAlignment="1">
      <alignment horizontal="center" vertical="top" wrapText="1"/>
    </xf>
    <xf numFmtId="165" fontId="62" fillId="0" borderId="32" xfId="0" applyNumberFormat="1" applyFont="1" applyBorder="1" applyAlignment="1">
      <alignment horizontal="left"/>
    </xf>
    <xf numFmtId="0" fontId="41" fillId="0" borderId="2" xfId="4" applyFont="1" applyBorder="1" applyAlignment="1">
      <alignment horizontal="center" vertical="center" wrapText="1"/>
    </xf>
    <xf numFmtId="0" fontId="41" fillId="0" borderId="3" xfId="4" applyFont="1" applyBorder="1" applyAlignment="1">
      <alignment horizontal="center" vertical="center" wrapText="1"/>
    </xf>
    <xf numFmtId="1" fontId="48" fillId="0" borderId="2" xfId="4" applyNumberFormat="1" applyFont="1" applyBorder="1" applyAlignment="1">
      <alignment horizontal="center" vertical="center" wrapText="1"/>
    </xf>
    <xf numFmtId="2" fontId="18" fillId="0" borderId="2" xfId="0" applyNumberFormat="1" applyFont="1" applyBorder="1" applyAlignment="1">
      <alignment horizontal="center" vertical="top" wrapText="1"/>
    </xf>
    <xf numFmtId="2" fontId="18" fillId="0" borderId="3" xfId="0" applyNumberFormat="1" applyFont="1" applyBorder="1" applyAlignment="1">
      <alignment horizontal="center" vertical="top" wrapText="1"/>
    </xf>
    <xf numFmtId="2" fontId="40" fillId="5" borderId="3" xfId="0" applyNumberFormat="1" applyFont="1" applyFill="1" applyBorder="1" applyAlignment="1">
      <alignment horizontal="center" vertical="center" wrapText="1"/>
    </xf>
    <xf numFmtId="165" fontId="48" fillId="0" borderId="3" xfId="0" applyNumberFormat="1" applyFont="1" applyBorder="1" applyAlignment="1">
      <alignment horizontal="center" vertical="top" wrapText="1"/>
    </xf>
    <xf numFmtId="2" fontId="0" fillId="9" borderId="0" xfId="0" applyNumberFormat="1" applyFill="1" applyAlignment="1">
      <alignment horizontal="center" vertical="center"/>
    </xf>
    <xf numFmtId="0" fontId="0" fillId="9" borderId="0" xfId="0" applyFill="1" applyAlignment="1">
      <alignment horizontal="center" vertical="center"/>
    </xf>
    <xf numFmtId="2" fontId="0" fillId="9" borderId="0" xfId="0" applyNumberFormat="1" applyFill="1"/>
    <xf numFmtId="2" fontId="0" fillId="9" borderId="1" xfId="0" applyNumberFormat="1" applyFill="1" applyBorder="1"/>
    <xf numFmtId="2" fontId="0" fillId="9" borderId="1" xfId="0" applyNumberFormat="1" applyFill="1" applyBorder="1" applyAlignment="1">
      <alignment horizontal="center" vertical="center"/>
    </xf>
    <xf numFmtId="0" fontId="0" fillId="9" borderId="1" xfId="0" applyFill="1" applyBorder="1" applyAlignment="1">
      <alignment horizontal="center" vertical="center"/>
    </xf>
    <xf numFmtId="1" fontId="62" fillId="9" borderId="31" xfId="0" applyNumberFormat="1" applyFont="1" applyFill="1" applyBorder="1" applyAlignment="1">
      <alignment horizontal="left"/>
    </xf>
    <xf numFmtId="0" fontId="13" fillId="9" borderId="18" xfId="0" applyFont="1" applyFill="1" applyBorder="1" applyAlignment="1">
      <alignment horizontal="center" vertical="center"/>
    </xf>
    <xf numFmtId="2" fontId="0" fillId="9" borderId="18" xfId="0" applyNumberFormat="1" applyFill="1" applyBorder="1" applyAlignment="1">
      <alignment horizontal="center" vertical="center"/>
    </xf>
    <xf numFmtId="0" fontId="0" fillId="9" borderId="18" xfId="0" applyFill="1" applyBorder="1"/>
    <xf numFmtId="2" fontId="18" fillId="9" borderId="28" xfId="0" applyNumberFormat="1" applyFont="1" applyFill="1" applyBorder="1" applyAlignment="1">
      <alignment horizontal="center" vertical="center" wrapText="1"/>
    </xf>
    <xf numFmtId="2" fontId="18" fillId="9" borderId="3" xfId="0" applyNumberFormat="1" applyFont="1" applyFill="1" applyBorder="1" applyAlignment="1">
      <alignment horizontal="center" vertical="center" wrapText="1"/>
    </xf>
    <xf numFmtId="0" fontId="18" fillId="9" borderId="3" xfId="0" applyFont="1" applyFill="1" applyBorder="1" applyAlignment="1">
      <alignment horizontal="center" vertical="center" wrapText="1"/>
    </xf>
    <xf numFmtId="1" fontId="18" fillId="9" borderId="34" xfId="0" applyNumberFormat="1" applyFont="1" applyFill="1" applyBorder="1" applyAlignment="1">
      <alignment horizontal="center" vertical="center" wrapText="1"/>
    </xf>
    <xf numFmtId="1" fontId="13" fillId="9" borderId="19" xfId="0" applyNumberFormat="1" applyFont="1" applyFill="1" applyBorder="1" applyAlignment="1">
      <alignment horizontal="center" vertical="center"/>
    </xf>
    <xf numFmtId="1" fontId="0" fillId="9" borderId="19" xfId="0" applyNumberFormat="1" applyFill="1" applyBorder="1" applyAlignment="1">
      <alignment horizontal="center" vertical="center"/>
    </xf>
    <xf numFmtId="1" fontId="0" fillId="9" borderId="19" xfId="0" quotePrefix="1" applyNumberFormat="1" applyFill="1" applyBorder="1" applyAlignment="1">
      <alignment horizontal="center" vertical="center"/>
    </xf>
    <xf numFmtId="0" fontId="0" fillId="9" borderId="19" xfId="0" applyFill="1" applyBorder="1"/>
    <xf numFmtId="1" fontId="28" fillId="0" borderId="3" xfId="0" quotePrefix="1" applyNumberFormat="1" applyFont="1" applyBorder="1" applyAlignment="1">
      <alignment horizontal="center" vertical="top" wrapText="1"/>
    </xf>
    <xf numFmtId="2" fontId="88" fillId="13" borderId="28" xfId="0" applyNumberFormat="1" applyFont="1" applyFill="1" applyBorder="1" applyAlignment="1">
      <alignment horizontal="center" vertical="center" wrapText="1"/>
    </xf>
    <xf numFmtId="2" fontId="88" fillId="13" borderId="3" xfId="0" applyNumberFormat="1" applyFont="1" applyFill="1" applyBorder="1" applyAlignment="1">
      <alignment horizontal="center" vertical="center" wrapText="1"/>
    </xf>
    <xf numFmtId="1" fontId="88" fillId="13" borderId="3" xfId="0" applyNumberFormat="1" applyFont="1" applyFill="1" applyBorder="1" applyAlignment="1">
      <alignment horizontal="center" vertical="center" wrapText="1"/>
    </xf>
    <xf numFmtId="2" fontId="13" fillId="13" borderId="18" xfId="0" applyNumberFormat="1" applyFont="1" applyFill="1" applyBorder="1"/>
    <xf numFmtId="2" fontId="13" fillId="13" borderId="18" xfId="0" applyNumberFormat="1" applyFont="1" applyFill="1" applyBorder="1" applyAlignment="1">
      <alignment horizontal="center"/>
    </xf>
    <xf numFmtId="2" fontId="0" fillId="13" borderId="0" xfId="0" applyNumberFormat="1" applyFill="1" applyAlignment="1">
      <alignment horizontal="center"/>
    </xf>
    <xf numFmtId="0" fontId="13" fillId="13" borderId="18" xfId="0" applyFont="1" applyFill="1" applyBorder="1"/>
    <xf numFmtId="1" fontId="18" fillId="0" borderId="3" xfId="0" applyNumberFormat="1" applyFont="1" applyBorder="1" applyAlignment="1">
      <alignment horizontal="center" vertical="top" wrapText="1"/>
    </xf>
    <xf numFmtId="0" fontId="95" fillId="2" borderId="0" xfId="0" applyFont="1" applyFill="1" applyAlignment="1">
      <alignment horizontal="center"/>
    </xf>
    <xf numFmtId="0" fontId="95" fillId="2" borderId="0" xfId="0" applyFont="1" applyFill="1"/>
    <xf numFmtId="0" fontId="95" fillId="2" borderId="0" xfId="0" applyFont="1" applyFill="1" applyAlignment="1">
      <alignment horizontal="left"/>
    </xf>
    <xf numFmtId="0" fontId="97" fillId="2" borderId="3" xfId="4" applyFont="1" applyFill="1" applyBorder="1" applyAlignment="1">
      <alignment horizontal="center" vertical="center" wrapText="1"/>
    </xf>
    <xf numFmtId="2" fontId="10" fillId="9" borderId="1" xfId="0" applyNumberFormat="1" applyFont="1" applyFill="1" applyBorder="1" applyAlignment="1">
      <alignment horizontal="center" vertical="center" wrapText="1"/>
    </xf>
    <xf numFmtId="2" fontId="0" fillId="13" borderId="1" xfId="0" applyNumberFormat="1" applyFill="1" applyBorder="1" applyAlignment="1">
      <alignment horizontal="center"/>
    </xf>
    <xf numFmtId="2" fontId="0" fillId="13" borderId="6" xfId="0" applyNumberFormat="1" applyFill="1" applyBorder="1" applyAlignment="1">
      <alignment horizontal="center"/>
    </xf>
    <xf numFmtId="2" fontId="10" fillId="13" borderId="1" xfId="0" applyNumberFormat="1" applyFont="1" applyFill="1" applyBorder="1" applyAlignment="1">
      <alignment horizontal="center" vertical="top" wrapText="1"/>
    </xf>
    <xf numFmtId="2" fontId="10" fillId="13" borderId="6" xfId="0" applyNumberFormat="1" applyFont="1" applyFill="1" applyBorder="1" applyAlignment="1">
      <alignment horizontal="center" vertical="top" wrapText="1"/>
    </xf>
    <xf numFmtId="2" fontId="0" fillId="5" borderId="1" xfId="0" applyNumberFormat="1" applyFill="1" applyBorder="1" applyAlignment="1">
      <alignment horizontal="center" vertical="center"/>
    </xf>
    <xf numFmtId="2" fontId="10" fillId="5" borderId="1" xfId="0" applyNumberFormat="1" applyFont="1" applyFill="1" applyBorder="1" applyAlignment="1">
      <alignment horizontal="center" vertical="center" wrapText="1"/>
    </xf>
    <xf numFmtId="2" fontId="42" fillId="5" borderId="1" xfId="1" applyNumberFormat="1" applyFont="1" applyFill="1" applyBorder="1" applyAlignment="1">
      <alignment horizontal="center" vertical="center"/>
    </xf>
    <xf numFmtId="0" fontId="10" fillId="5" borderId="1" xfId="0" applyFont="1" applyFill="1" applyBorder="1" applyAlignment="1">
      <alignment horizontal="center" vertical="center" wrapText="1"/>
    </xf>
    <xf numFmtId="0" fontId="0" fillId="5" borderId="1" xfId="0" applyFill="1" applyBorder="1" applyAlignment="1">
      <alignment horizontal="center" vertical="center"/>
    </xf>
    <xf numFmtId="0" fontId="0" fillId="5" borderId="1" xfId="0" applyFill="1" applyBorder="1"/>
    <xf numFmtId="2" fontId="0" fillId="5" borderId="1" xfId="0" applyNumberFormat="1" applyFill="1" applyBorder="1"/>
    <xf numFmtId="167" fontId="15" fillId="0" borderId="0" xfId="0" applyNumberFormat="1" applyFont="1" applyAlignment="1">
      <alignment horizontal="center"/>
    </xf>
    <xf numFmtId="167" fontId="0" fillId="0" borderId="0" xfId="0" applyNumberFormat="1" applyAlignment="1">
      <alignment horizontal="center" vertical="center"/>
    </xf>
    <xf numFmtId="169" fontId="15" fillId="0" borderId="0" xfId="0" applyNumberFormat="1" applyFont="1" applyAlignment="1">
      <alignment horizontal="center"/>
    </xf>
    <xf numFmtId="169" fontId="0" fillId="0" borderId="0" xfId="0" applyNumberFormat="1" applyAlignment="1">
      <alignment horizontal="center" vertical="center"/>
    </xf>
    <xf numFmtId="2" fontId="0" fillId="0" borderId="0" xfId="0" applyNumberFormat="1" applyAlignment="1">
      <alignment horizontal="center" vertical="top"/>
    </xf>
    <xf numFmtId="0" fontId="0" fillId="0" borderId="1" xfId="0" applyBorder="1" applyAlignment="1">
      <alignment horizontal="center" vertical="top"/>
    </xf>
    <xf numFmtId="2" fontId="40" fillId="5" borderId="2" xfId="0" applyNumberFormat="1" applyFont="1" applyFill="1" applyBorder="1" applyAlignment="1">
      <alignment horizontal="center" vertical="center" wrapText="1"/>
    </xf>
    <xf numFmtId="2" fontId="40" fillId="9" borderId="3" xfId="0" applyNumberFormat="1" applyFont="1" applyFill="1" applyBorder="1" applyAlignment="1">
      <alignment horizontal="center" vertical="center" wrapText="1"/>
    </xf>
    <xf numFmtId="1" fontId="15" fillId="0" borderId="1" xfId="3" applyNumberFormat="1" applyFont="1" applyFill="1" applyBorder="1" applyAlignment="1">
      <alignment horizontal="center" vertical="center"/>
    </xf>
    <xf numFmtId="1" fontId="15" fillId="0" borderId="0" xfId="3" applyNumberFormat="1" applyFont="1" applyFill="1" applyBorder="1" applyAlignment="1">
      <alignment horizontal="center" vertical="center"/>
    </xf>
    <xf numFmtId="1" fontId="48" fillId="0" borderId="3" xfId="4" quotePrefix="1" applyNumberFormat="1" applyFont="1" applyBorder="1" applyAlignment="1">
      <alignment horizontal="center" vertical="center" wrapText="1"/>
    </xf>
    <xf numFmtId="2" fontId="48" fillId="0" borderId="3" xfId="0" quotePrefix="1" applyNumberFormat="1" applyFont="1" applyBorder="1" applyAlignment="1">
      <alignment horizontal="center" vertical="center" wrapText="1"/>
    </xf>
    <xf numFmtId="2" fontId="28" fillId="0" borderId="3" xfId="0" quotePrefix="1" applyNumberFormat="1" applyFont="1" applyBorder="1" applyAlignment="1">
      <alignment horizontal="center" vertical="center" wrapText="1"/>
    </xf>
    <xf numFmtId="0" fontId="99" fillId="0" borderId="0" xfId="0" applyFont="1" applyAlignment="1">
      <alignment horizontal="left" vertical="center"/>
    </xf>
    <xf numFmtId="0" fontId="99" fillId="0" borderId="0" xfId="0" applyFont="1"/>
    <xf numFmtId="0" fontId="41" fillId="14" borderId="7" xfId="16" applyFont="1" applyFill="1" applyBorder="1" applyAlignment="1">
      <alignment horizontal="center" vertical="center" wrapText="1"/>
    </xf>
    <xf numFmtId="0" fontId="48" fillId="14" borderId="13" xfId="16" applyFont="1" applyFill="1" applyBorder="1" applyAlignment="1">
      <alignment horizontal="center" vertical="center" wrapText="1"/>
    </xf>
    <xf numFmtId="0" fontId="41" fillId="14" borderId="0" xfId="16" applyFont="1" applyFill="1" applyAlignment="1">
      <alignment horizontal="center" vertical="center" wrapText="1"/>
    </xf>
    <xf numFmtId="0" fontId="48" fillId="14" borderId="6" xfId="16" applyFont="1" applyFill="1" applyBorder="1" applyAlignment="1">
      <alignment horizontal="center" vertical="center" wrapText="1"/>
    </xf>
    <xf numFmtId="164" fontId="41" fillId="14" borderId="0" xfId="15" applyNumberFormat="1" applyFont="1" applyFill="1" applyAlignment="1">
      <alignment horizontal="center" vertical="center"/>
    </xf>
    <xf numFmtId="164" fontId="48" fillId="14" borderId="6" xfId="15" applyNumberFormat="1" applyFont="1" applyFill="1" applyBorder="1" applyAlignment="1">
      <alignment horizontal="center" vertical="center"/>
    </xf>
    <xf numFmtId="0" fontId="78" fillId="14" borderId="0" xfId="18" applyFont="1" applyFill="1" applyAlignment="1">
      <alignment horizontal="center" vertical="center"/>
    </xf>
    <xf numFmtId="0" fontId="83" fillId="14" borderId="6" xfId="18" applyFont="1" applyFill="1" applyBorder="1" applyAlignment="1">
      <alignment horizontal="center" vertical="center"/>
    </xf>
    <xf numFmtId="164" fontId="40" fillId="14" borderId="0" xfId="15" applyNumberFormat="1" applyFont="1" applyFill="1" applyAlignment="1">
      <alignment horizontal="center" vertical="center"/>
    </xf>
    <xf numFmtId="164" fontId="28" fillId="14" borderId="6" xfId="15" applyNumberFormat="1" applyFont="1" applyFill="1" applyBorder="1" applyAlignment="1">
      <alignment horizontal="center" vertical="center"/>
    </xf>
    <xf numFmtId="0" fontId="41" fillId="14" borderId="9" xfId="15" applyFont="1" applyFill="1" applyBorder="1" applyAlignment="1">
      <alignment horizontal="center" vertical="center"/>
    </xf>
    <xf numFmtId="0" fontId="48" fillId="14" borderId="24" xfId="15" applyFont="1" applyFill="1" applyBorder="1" applyAlignment="1">
      <alignment horizontal="center" vertical="center"/>
    </xf>
    <xf numFmtId="164" fontId="80" fillId="14" borderId="9" xfId="15" applyNumberFormat="1" applyFont="1" applyFill="1" applyBorder="1" applyAlignment="1">
      <alignment horizontal="center" vertical="center"/>
    </xf>
    <xf numFmtId="164" fontId="39" fillId="14" borderId="24" xfId="15" applyNumberFormat="1" applyFont="1" applyFill="1" applyBorder="1" applyAlignment="1">
      <alignment horizontal="center" vertical="center"/>
    </xf>
    <xf numFmtId="0" fontId="41" fillId="14" borderId="0" xfId="15" applyFont="1" applyFill="1" applyAlignment="1">
      <alignment horizontal="center" vertical="center"/>
    </xf>
    <xf numFmtId="0" fontId="48" fillId="14" borderId="6" xfId="15" applyFont="1" applyFill="1" applyBorder="1" applyAlignment="1">
      <alignment horizontal="center" vertical="center"/>
    </xf>
    <xf numFmtId="164" fontId="41" fillId="14" borderId="0" xfId="16" applyNumberFormat="1" applyFont="1" applyFill="1" applyAlignment="1">
      <alignment horizontal="center" vertical="center"/>
    </xf>
    <xf numFmtId="164" fontId="48" fillId="14" borderId="6" xfId="16" applyNumberFormat="1" applyFont="1" applyFill="1" applyBorder="1" applyAlignment="1">
      <alignment horizontal="center" vertical="center"/>
    </xf>
    <xf numFmtId="164" fontId="41" fillId="14" borderId="3" xfId="15" applyNumberFormat="1" applyFont="1" applyFill="1" applyBorder="1" applyAlignment="1">
      <alignment horizontal="center" vertical="center"/>
    </xf>
    <xf numFmtId="164" fontId="48" fillId="14" borderId="10" xfId="15" applyNumberFormat="1" applyFont="1" applyFill="1" applyBorder="1" applyAlignment="1">
      <alignment horizontal="center" vertical="center"/>
    </xf>
    <xf numFmtId="0" fontId="41" fillId="15" borderId="7" xfId="16" applyFont="1" applyFill="1" applyBorder="1" applyAlignment="1">
      <alignment horizontal="center" vertical="center" wrapText="1"/>
    </xf>
    <xf numFmtId="0" fontId="40" fillId="15" borderId="7" xfId="16" applyFont="1" applyFill="1" applyBorder="1" applyAlignment="1">
      <alignment horizontal="center" vertical="center" wrapText="1"/>
    </xf>
    <xf numFmtId="0" fontId="26" fillId="15" borderId="0" xfId="16" applyFont="1" applyFill="1" applyAlignment="1">
      <alignment horizontal="center" vertical="center" wrapText="1"/>
    </xf>
    <xf numFmtId="2" fontId="26" fillId="15" borderId="0" xfId="15" applyNumberFormat="1" applyFont="1" applyFill="1" applyAlignment="1">
      <alignment horizontal="center" vertical="center"/>
    </xf>
    <xf numFmtId="0" fontId="25" fillId="15" borderId="0" xfId="18" applyFont="1" applyFill="1" applyAlignment="1">
      <alignment horizontal="center" vertical="center"/>
    </xf>
    <xf numFmtId="2" fontId="18" fillId="15" borderId="0" xfId="15" applyNumberFormat="1" applyFont="1" applyFill="1" applyAlignment="1">
      <alignment horizontal="center" vertical="center"/>
    </xf>
    <xf numFmtId="0" fontId="26" fillId="15" borderId="9" xfId="15" applyFont="1" applyFill="1" applyBorder="1" applyAlignment="1">
      <alignment horizontal="center" vertical="center"/>
    </xf>
    <xf numFmtId="2" fontId="79" fillId="15" borderId="9" xfId="15" applyNumberFormat="1" applyFont="1" applyFill="1" applyBorder="1" applyAlignment="1">
      <alignment horizontal="center" vertical="center"/>
    </xf>
    <xf numFmtId="0" fontId="26" fillId="15" borderId="0" xfId="15" applyFont="1" applyFill="1" applyAlignment="1">
      <alignment horizontal="center" vertical="center"/>
    </xf>
    <xf numFmtId="2" fontId="26" fillId="15" borderId="0" xfId="16" applyNumberFormat="1" applyFont="1" applyFill="1" applyAlignment="1">
      <alignment horizontal="center" vertical="center"/>
    </xf>
    <xf numFmtId="2" fontId="26" fillId="15" borderId="3" xfId="15" applyNumberFormat="1" applyFont="1" applyFill="1" applyBorder="1" applyAlignment="1">
      <alignment horizontal="center" vertical="center"/>
    </xf>
    <xf numFmtId="164" fontId="41" fillId="0" borderId="3" xfId="4" applyNumberFormat="1" applyFont="1" applyBorder="1" applyAlignment="1">
      <alignment horizontal="center" vertical="center" wrapText="1"/>
    </xf>
    <xf numFmtId="164" fontId="86" fillId="0" borderId="3" xfId="4" applyNumberFormat="1" applyFont="1" applyBorder="1" applyAlignment="1">
      <alignment horizontal="center" vertical="center" wrapText="1"/>
    </xf>
    <xf numFmtId="0" fontId="14" fillId="0" borderId="1" xfId="0" applyFont="1" applyBorder="1" applyAlignment="1">
      <alignment horizontal="center" vertical="center"/>
    </xf>
    <xf numFmtId="1" fontId="10" fillId="0" borderId="1" xfId="0" applyNumberFormat="1" applyFont="1" applyBorder="1" applyAlignment="1">
      <alignment horizontal="center" vertical="center"/>
    </xf>
    <xf numFmtId="0" fontId="10" fillId="0" borderId="1" xfId="0" applyFont="1" applyBorder="1" applyAlignment="1">
      <alignment horizontal="center" vertical="center"/>
    </xf>
    <xf numFmtId="164" fontId="14" fillId="0" borderId="1" xfId="0" applyNumberFormat="1" applyFont="1" applyBorder="1" applyAlignment="1">
      <alignment horizontal="center" vertical="center"/>
    </xf>
    <xf numFmtId="1" fontId="88" fillId="0" borderId="3" xfId="0" applyNumberFormat="1" applyFont="1" applyBorder="1" applyAlignment="1">
      <alignment horizontal="center" vertical="top" wrapText="1"/>
    </xf>
    <xf numFmtId="1" fontId="88" fillId="0" borderId="3" xfId="0" applyNumberFormat="1" applyFont="1" applyBorder="1" applyAlignment="1">
      <alignment horizontal="center" vertical="center" wrapText="1"/>
    </xf>
    <xf numFmtId="1" fontId="10" fillId="7" borderId="1" xfId="0" applyNumberFormat="1" applyFont="1" applyFill="1" applyBorder="1" applyAlignment="1">
      <alignment horizontal="center"/>
    </xf>
    <xf numFmtId="0" fontId="105" fillId="0" borderId="1" xfId="0" applyFont="1" applyBorder="1" applyAlignment="1">
      <alignment horizontal="center" vertical="top"/>
    </xf>
    <xf numFmtId="2" fontId="105" fillId="0" borderId="1" xfId="0" applyNumberFormat="1" applyFont="1" applyBorder="1" applyAlignment="1">
      <alignment horizontal="center" vertical="center"/>
    </xf>
    <xf numFmtId="2" fontId="105" fillId="9" borderId="1" xfId="0" applyNumberFormat="1" applyFont="1" applyFill="1" applyBorder="1" applyAlignment="1">
      <alignment horizontal="center" vertical="center"/>
    </xf>
    <xf numFmtId="2" fontId="105" fillId="5" borderId="1" xfId="0" applyNumberFormat="1" applyFont="1" applyFill="1" applyBorder="1" applyAlignment="1">
      <alignment horizontal="center" vertical="center"/>
    </xf>
    <xf numFmtId="2" fontId="105" fillId="13" borderId="1" xfId="0" applyNumberFormat="1" applyFont="1" applyFill="1" applyBorder="1" applyAlignment="1">
      <alignment horizontal="center"/>
    </xf>
    <xf numFmtId="2" fontId="105" fillId="13" borderId="6" xfId="0" applyNumberFormat="1" applyFont="1" applyFill="1" applyBorder="1" applyAlignment="1">
      <alignment horizontal="center"/>
    </xf>
    <xf numFmtId="2" fontId="24" fillId="13" borderId="2" xfId="0" applyNumberFormat="1" applyFont="1" applyFill="1" applyBorder="1" applyAlignment="1">
      <alignment horizontal="center" vertical="center" wrapText="1"/>
    </xf>
    <xf numFmtId="2" fontId="24" fillId="13" borderId="3" xfId="0" applyNumberFormat="1" applyFont="1" applyFill="1" applyBorder="1" applyAlignment="1">
      <alignment horizontal="center" vertical="center" wrapText="1"/>
    </xf>
    <xf numFmtId="2" fontId="24" fillId="13" borderId="10" xfId="0" applyNumberFormat="1" applyFont="1" applyFill="1" applyBorder="1" applyAlignment="1">
      <alignment horizontal="center" vertical="center" wrapText="1"/>
    </xf>
    <xf numFmtId="2" fontId="40" fillId="9" borderId="2" xfId="0" applyNumberFormat="1" applyFont="1" applyFill="1" applyBorder="1" applyAlignment="1">
      <alignment horizontal="center" vertical="center" wrapText="1"/>
    </xf>
    <xf numFmtId="1" fontId="62" fillId="13" borderId="32" xfId="0" applyNumberFormat="1" applyFont="1" applyFill="1" applyBorder="1" applyAlignment="1">
      <alignment horizontal="left"/>
    </xf>
    <xf numFmtId="1" fontId="62" fillId="5" borderId="32" xfId="0" applyNumberFormat="1" applyFont="1" applyFill="1" applyBorder="1" applyAlignment="1">
      <alignment horizontal="left"/>
    </xf>
    <xf numFmtId="1" fontId="62" fillId="9" borderId="32" xfId="0" applyNumberFormat="1" applyFont="1" applyFill="1" applyBorder="1" applyAlignment="1">
      <alignment horizontal="left"/>
    </xf>
    <xf numFmtId="0" fontId="26" fillId="0" borderId="0" xfId="14" applyFont="1" applyAlignment="1">
      <alignment vertical="center"/>
    </xf>
    <xf numFmtId="0" fontId="26" fillId="9" borderId="15" xfId="14" applyFont="1" applyFill="1" applyBorder="1" applyAlignment="1">
      <alignment horizontal="center" vertical="center"/>
    </xf>
    <xf numFmtId="0" fontId="26" fillId="9" borderId="14" xfId="14" applyFont="1" applyFill="1" applyBorder="1" applyAlignment="1">
      <alignment horizontal="center" vertical="center"/>
    </xf>
    <xf numFmtId="0" fontId="26" fillId="9" borderId="14" xfId="14" applyFont="1" applyFill="1" applyBorder="1" applyAlignment="1">
      <alignment horizontal="center" vertical="center" wrapText="1"/>
    </xf>
    <xf numFmtId="0" fontId="26" fillId="9" borderId="13" xfId="14" applyFont="1" applyFill="1" applyBorder="1" applyAlignment="1">
      <alignment vertical="center"/>
    </xf>
    <xf numFmtId="0" fontId="26" fillId="13" borderId="30" xfId="14" applyFont="1" applyFill="1" applyBorder="1" applyAlignment="1">
      <alignment horizontal="center" vertical="center" wrapText="1"/>
    </xf>
    <xf numFmtId="1" fontId="26" fillId="13" borderId="14" xfId="14" applyNumberFormat="1" applyFont="1" applyFill="1" applyBorder="1" applyAlignment="1">
      <alignment horizontal="center" vertical="center" wrapText="1"/>
    </xf>
    <xf numFmtId="0" fontId="26" fillId="13" borderId="14" xfId="14" applyFont="1" applyFill="1" applyBorder="1" applyAlignment="1">
      <alignment horizontal="center" vertical="center" wrapText="1"/>
    </xf>
    <xf numFmtId="0" fontId="26" fillId="13" borderId="13" xfId="14" applyFont="1" applyFill="1" applyBorder="1" applyAlignment="1">
      <alignment vertical="center"/>
    </xf>
    <xf numFmtId="0" fontId="41" fillId="9" borderId="5" xfId="14" applyFont="1" applyFill="1" applyBorder="1" applyAlignment="1">
      <alignment horizontal="center" vertical="center"/>
    </xf>
    <xf numFmtId="0" fontId="18" fillId="9" borderId="1" xfId="0" applyFont="1" applyFill="1" applyBorder="1" applyAlignment="1">
      <alignment vertical="center"/>
    </xf>
    <xf numFmtId="0" fontId="18" fillId="9" borderId="4" xfId="14" applyFont="1" applyFill="1" applyBorder="1" applyAlignment="1">
      <alignment horizontal="center" vertical="center"/>
    </xf>
    <xf numFmtId="0" fontId="18" fillId="9" borderId="11" xfId="14" applyFont="1" applyFill="1" applyBorder="1" applyAlignment="1">
      <alignment vertical="center"/>
    </xf>
    <xf numFmtId="0" fontId="40" fillId="13" borderId="5" xfId="14" applyFont="1" applyFill="1" applyBorder="1" applyAlignment="1">
      <alignment horizontal="center" vertical="center"/>
    </xf>
    <xf numFmtId="0" fontId="18" fillId="13" borderId="5" xfId="0" applyFont="1" applyFill="1" applyBorder="1" applyAlignment="1">
      <alignment vertical="center"/>
    </xf>
    <xf numFmtId="0" fontId="18" fillId="13" borderId="4" xfId="14" applyFont="1" applyFill="1" applyBorder="1" applyAlignment="1">
      <alignment horizontal="center" vertical="center"/>
    </xf>
    <xf numFmtId="0" fontId="18" fillId="13" borderId="11" xfId="14" applyFont="1" applyFill="1" applyBorder="1" applyAlignment="1">
      <alignment vertical="center"/>
    </xf>
    <xf numFmtId="0" fontId="41" fillId="9" borderId="1" xfId="14" applyFont="1" applyFill="1" applyBorder="1" applyAlignment="1">
      <alignment horizontal="center" vertical="center"/>
    </xf>
    <xf numFmtId="0" fontId="18" fillId="9" borderId="0" xfId="14" applyFont="1" applyFill="1" applyAlignment="1">
      <alignment horizontal="center" vertical="center"/>
    </xf>
    <xf numFmtId="0" fontId="18" fillId="9" borderId="6" xfId="14" applyFont="1" applyFill="1" applyBorder="1" applyAlignment="1">
      <alignment vertical="center"/>
    </xf>
    <xf numFmtId="0" fontId="40" fillId="13" borderId="1" xfId="14" applyFont="1" applyFill="1" applyBorder="1" applyAlignment="1">
      <alignment horizontal="center" vertical="center"/>
    </xf>
    <xf numFmtId="0" fontId="18" fillId="13" borderId="1" xfId="0" applyFont="1" applyFill="1" applyBorder="1" applyAlignment="1">
      <alignment vertical="center"/>
    </xf>
    <xf numFmtId="0" fontId="18" fillId="13" borderId="0" xfId="14" applyFont="1" applyFill="1" applyAlignment="1">
      <alignment horizontal="center" vertical="center"/>
    </xf>
    <xf numFmtId="0" fontId="18" fillId="13" borderId="6" xfId="14" applyFont="1" applyFill="1" applyBorder="1" applyAlignment="1">
      <alignment vertical="center"/>
    </xf>
    <xf numFmtId="1" fontId="18" fillId="13" borderId="1" xfId="14" applyNumberFormat="1" applyFont="1" applyFill="1" applyBorder="1" applyAlignment="1">
      <alignment horizontal="left" vertical="center"/>
    </xf>
    <xf numFmtId="0" fontId="40" fillId="13" borderId="8" xfId="14" applyFont="1" applyFill="1" applyBorder="1" applyAlignment="1">
      <alignment horizontal="center" vertical="center"/>
    </xf>
    <xf numFmtId="1" fontId="18" fillId="13" borderId="8" xfId="14" applyNumberFormat="1" applyFont="1" applyFill="1" applyBorder="1" applyAlignment="1">
      <alignment horizontal="left" vertical="center"/>
    </xf>
    <xf numFmtId="0" fontId="18" fillId="13" borderId="7" xfId="14" applyFont="1" applyFill="1" applyBorder="1" applyAlignment="1">
      <alignment horizontal="center" vertical="center"/>
    </xf>
    <xf numFmtId="0" fontId="18" fillId="13" borderId="12" xfId="14" applyFont="1" applyFill="1" applyBorder="1" applyAlignment="1">
      <alignment vertical="center"/>
    </xf>
    <xf numFmtId="0" fontId="41" fillId="9" borderId="8" xfId="14" applyFont="1" applyFill="1" applyBorder="1" applyAlignment="1">
      <alignment horizontal="center" vertical="center"/>
    </xf>
    <xf numFmtId="0" fontId="18" fillId="9" borderId="8" xfId="0" applyFont="1" applyFill="1" applyBorder="1" applyAlignment="1">
      <alignment vertical="center"/>
    </xf>
    <xf numFmtId="0" fontId="18" fillId="9" borderId="7" xfId="14" applyFont="1" applyFill="1" applyBorder="1" applyAlignment="1">
      <alignment horizontal="center" vertical="center"/>
    </xf>
    <xf numFmtId="0" fontId="18" fillId="9" borderId="12" xfId="14" applyFont="1" applyFill="1" applyBorder="1" applyAlignment="1">
      <alignment vertical="center"/>
    </xf>
    <xf numFmtId="0" fontId="41" fillId="0" borderId="5" xfId="0" applyFont="1" applyBorder="1" applyAlignment="1">
      <alignment horizontal="center" vertical="center"/>
    </xf>
    <xf numFmtId="0" fontId="41" fillId="0" borderId="4" xfId="0" applyFont="1" applyBorder="1" applyAlignment="1">
      <alignment horizontal="center" vertical="center"/>
    </xf>
    <xf numFmtId="0" fontId="26" fillId="0" borderId="4" xfId="0" applyFont="1" applyBorder="1" applyAlignment="1">
      <alignment horizontal="center" vertical="center" wrapText="1"/>
    </xf>
    <xf numFmtId="0" fontId="26" fillId="0" borderId="11" xfId="0" applyFont="1" applyBorder="1" applyAlignment="1">
      <alignment horizontal="center" vertical="center" wrapText="1"/>
    </xf>
    <xf numFmtId="0" fontId="17" fillId="0" borderId="0" xfId="0" applyFont="1" applyAlignment="1">
      <alignment vertical="center"/>
    </xf>
    <xf numFmtId="0" fontId="26" fillId="0" borderId="1" xfId="0" applyFont="1" applyBorder="1" applyAlignment="1">
      <alignment vertical="center"/>
    </xf>
    <xf numFmtId="0" fontId="26" fillId="0" borderId="0" xfId="0" applyFont="1" applyAlignment="1">
      <alignment vertical="center"/>
    </xf>
    <xf numFmtId="0" fontId="26" fillId="0" borderId="0" xfId="0" applyFont="1" applyAlignment="1">
      <alignment horizontal="center" vertical="center"/>
    </xf>
    <xf numFmtId="0" fontId="26" fillId="0" borderId="6" xfId="0" applyFont="1" applyBorder="1" applyAlignment="1">
      <alignment horizontal="center" vertical="center"/>
    </xf>
    <xf numFmtId="2" fontId="26" fillId="0" borderId="0" xfId="14" applyNumberFormat="1" applyFont="1" applyAlignment="1">
      <alignment horizontal="right" vertical="center"/>
    </xf>
    <xf numFmtId="2" fontId="40" fillId="0" borderId="0" xfId="0" applyNumberFormat="1" applyFont="1" applyAlignment="1">
      <alignment horizontal="center" vertical="center"/>
    </xf>
    <xf numFmtId="2" fontId="40" fillId="0" borderId="6" xfId="0" applyNumberFormat="1" applyFont="1" applyBorder="1" applyAlignment="1">
      <alignment horizontal="center" vertical="center"/>
    </xf>
    <xf numFmtId="0" fontId="26" fillId="0" borderId="0" xfId="14" applyFont="1" applyAlignment="1">
      <alignment horizontal="right" vertical="center"/>
    </xf>
    <xf numFmtId="10" fontId="40" fillId="11" borderId="0" xfId="3" applyNumberFormat="1" applyFont="1" applyFill="1" applyAlignment="1">
      <alignment horizontal="center" vertical="center"/>
    </xf>
    <xf numFmtId="10" fontId="40" fillId="11" borderId="6" xfId="3" applyNumberFormat="1" applyFont="1" applyFill="1" applyBorder="1" applyAlignment="1">
      <alignment horizontal="center" vertical="center"/>
    </xf>
    <xf numFmtId="0" fontId="18" fillId="0" borderId="8" xfId="0" applyFont="1" applyBorder="1" applyAlignment="1">
      <alignment vertical="center"/>
    </xf>
    <xf numFmtId="0" fontId="18" fillId="0" borderId="7" xfId="0" applyFont="1" applyBorder="1" applyAlignment="1">
      <alignment horizontal="right" vertical="center"/>
    </xf>
    <xf numFmtId="0" fontId="18" fillId="0" borderId="7" xfId="0" applyFont="1" applyBorder="1" applyAlignment="1">
      <alignment vertical="center"/>
    </xf>
    <xf numFmtId="0" fontId="18" fillId="0" borderId="12" xfId="0" applyFont="1" applyBorder="1" applyAlignment="1">
      <alignment vertical="center"/>
    </xf>
    <xf numFmtId="0" fontId="18" fillId="0" borderId="0" xfId="0" applyFont="1" applyAlignment="1">
      <alignment vertical="center"/>
    </xf>
    <xf numFmtId="0" fontId="17" fillId="0" borderId="0" xfId="0" applyFont="1" applyAlignment="1">
      <alignment horizontal="right" vertical="center"/>
    </xf>
    <xf numFmtId="0" fontId="108" fillId="0" borderId="0" xfId="0" applyFont="1" applyAlignment="1">
      <alignment vertical="center"/>
    </xf>
    <xf numFmtId="0" fontId="41" fillId="0" borderId="0" xfId="14" applyFont="1" applyAlignment="1">
      <alignment horizontal="left" vertical="center"/>
    </xf>
    <xf numFmtId="0" fontId="26" fillId="0" borderId="7" xfId="14" applyFont="1" applyBorder="1" applyAlignment="1">
      <alignment horizontal="left" vertical="center"/>
    </xf>
    <xf numFmtId="0" fontId="26" fillId="0" borderId="7" xfId="14" applyFont="1" applyBorder="1" applyAlignment="1">
      <alignment horizontal="center" vertical="center"/>
    </xf>
    <xf numFmtId="0" fontId="41" fillId="0" borderId="7" xfId="14" applyFont="1" applyBorder="1" applyAlignment="1">
      <alignment horizontal="center" vertical="center"/>
    </xf>
    <xf numFmtId="2" fontId="26" fillId="0" borderId="7" xfId="14" applyNumberFormat="1" applyFont="1" applyBorder="1" applyAlignment="1">
      <alignment horizontal="center" vertical="center"/>
    </xf>
    <xf numFmtId="0" fontId="109" fillId="0" borderId="0" xfId="14" applyFont="1" applyAlignment="1">
      <alignment horizontal="left" vertical="center"/>
    </xf>
    <xf numFmtId="2" fontId="109" fillId="0" borderId="0" xfId="14" applyNumberFormat="1" applyFont="1" applyAlignment="1">
      <alignment horizontal="center" vertical="center"/>
    </xf>
    <xf numFmtId="0" fontId="26" fillId="0" borderId="0" xfId="14" applyFont="1" applyAlignment="1">
      <alignment horizontal="left" vertical="center"/>
    </xf>
    <xf numFmtId="0" fontId="26" fillId="0" borderId="0" xfId="14" applyFont="1" applyAlignment="1">
      <alignment horizontal="center" vertical="center"/>
    </xf>
    <xf numFmtId="2" fontId="26" fillId="0" borderId="0" xfId="14" applyNumberFormat="1" applyFont="1" applyAlignment="1">
      <alignment horizontal="center" vertical="center"/>
    </xf>
    <xf numFmtId="2" fontId="41" fillId="0" borderId="0" xfId="14" applyNumberFormat="1" applyFont="1" applyAlignment="1">
      <alignment horizontal="center" vertical="center"/>
    </xf>
    <xf numFmtId="10" fontId="41" fillId="11" borderId="0" xfId="3" applyNumberFormat="1" applyFont="1" applyFill="1" applyAlignment="1">
      <alignment horizontal="center" vertical="center"/>
    </xf>
    <xf numFmtId="2" fontId="41" fillId="0" borderId="7" xfId="14" applyNumberFormat="1" applyFont="1" applyBorder="1" applyAlignment="1">
      <alignment horizontal="center" vertical="center"/>
    </xf>
    <xf numFmtId="10" fontId="41" fillId="0" borderId="0" xfId="3" applyNumberFormat="1" applyFont="1" applyFill="1" applyAlignment="1">
      <alignment horizontal="center" vertical="center"/>
    </xf>
    <xf numFmtId="2" fontId="110" fillId="0" borderId="0" xfId="14" applyNumberFormat="1" applyFont="1" applyAlignment="1">
      <alignment horizontal="center" vertical="center"/>
    </xf>
    <xf numFmtId="0" fontId="26" fillId="0" borderId="9" xfId="14" applyFont="1" applyBorder="1" applyAlignment="1">
      <alignment horizontal="left" vertical="center"/>
    </xf>
    <xf numFmtId="0" fontId="26" fillId="0" borderId="9" xfId="14" applyFont="1" applyBorder="1" applyAlignment="1">
      <alignment horizontal="center" vertical="center"/>
    </xf>
    <xf numFmtId="2" fontId="26" fillId="0" borderId="9" xfId="14" applyNumberFormat="1" applyFont="1" applyBorder="1" applyAlignment="1">
      <alignment horizontal="center" vertical="center"/>
    </xf>
    <xf numFmtId="2" fontId="41" fillId="0" borderId="0" xfId="14" applyNumberFormat="1" applyFont="1" applyAlignment="1">
      <alignment horizontal="left" vertical="center"/>
    </xf>
    <xf numFmtId="0" fontId="111" fillId="0" borderId="0" xfId="0" applyFont="1" applyAlignment="1">
      <alignment vertical="center"/>
    </xf>
    <xf numFmtId="0" fontId="0" fillId="0" borderId="5" xfId="0" applyBorder="1" applyAlignment="1">
      <alignment horizontal="center" vertical="center" wrapText="1"/>
    </xf>
    <xf numFmtId="0" fontId="0" fillId="0" borderId="1" xfId="0" applyBorder="1" applyAlignment="1">
      <alignment horizontal="center" vertical="center" wrapText="1"/>
    </xf>
    <xf numFmtId="0" fontId="13" fillId="3" borderId="1" xfId="0" applyFont="1" applyFill="1" applyBorder="1" applyAlignment="1">
      <alignment horizontal="center" vertical="center"/>
    </xf>
    <xf numFmtId="1" fontId="13" fillId="3" borderId="1" xfId="0" applyNumberFormat="1" applyFont="1" applyFill="1" applyBorder="1" applyAlignment="1">
      <alignment horizontal="center" vertical="center"/>
    </xf>
    <xf numFmtId="2" fontId="13" fillId="3" borderId="1" xfId="0" applyNumberFormat="1" applyFont="1" applyFill="1" applyBorder="1" applyAlignment="1">
      <alignment horizontal="center" vertical="center"/>
    </xf>
    <xf numFmtId="0" fontId="14" fillId="3" borderId="1" xfId="0" applyFont="1" applyFill="1" applyBorder="1" applyAlignment="1">
      <alignment horizontal="center" vertical="center"/>
    </xf>
    <xf numFmtId="2" fontId="0" fillId="3" borderId="18" xfId="0" applyNumberFormat="1" applyFill="1" applyBorder="1" applyAlignment="1">
      <alignment horizontal="center" vertical="center"/>
    </xf>
    <xf numFmtId="1" fontId="0" fillId="3" borderId="19" xfId="0" applyNumberFormat="1" applyFill="1" applyBorder="1" applyAlignment="1">
      <alignment horizontal="center" vertical="center"/>
    </xf>
    <xf numFmtId="165" fontId="0" fillId="0" borderId="1" xfId="0" applyNumberFormat="1" applyBorder="1"/>
    <xf numFmtId="0" fontId="13" fillId="0" borderId="1" xfId="0" applyFont="1" applyBorder="1" applyAlignment="1">
      <alignment horizontal="center" vertical="top"/>
    </xf>
    <xf numFmtId="166" fontId="0" fillId="0" borderId="0" xfId="3" quotePrefix="1" applyNumberFormat="1" applyFont="1" applyBorder="1" applyAlignment="1">
      <alignment horizontal="center" vertical="center"/>
    </xf>
    <xf numFmtId="1" fontId="10" fillId="0" borderId="1" xfId="0" quotePrefix="1" applyNumberFormat="1" applyFont="1" applyBorder="1" applyAlignment="1">
      <alignment horizontal="center" vertical="center"/>
    </xf>
    <xf numFmtId="164" fontId="18" fillId="9" borderId="3" xfId="0" applyNumberFormat="1" applyFont="1" applyFill="1" applyBorder="1" applyAlignment="1">
      <alignment horizontal="center" vertical="center" wrapText="1"/>
    </xf>
    <xf numFmtId="11" fontId="0" fillId="0" borderId="1" xfId="0" quotePrefix="1" applyNumberFormat="1" applyBorder="1" applyAlignment="1">
      <alignment horizontal="center"/>
    </xf>
    <xf numFmtId="11" fontId="0" fillId="0" borderId="1" xfId="0" applyNumberFormat="1" applyBorder="1" applyAlignment="1">
      <alignment horizontal="center"/>
    </xf>
    <xf numFmtId="11" fontId="13" fillId="0" borderId="1" xfId="0" applyNumberFormat="1" applyFont="1" applyBorder="1"/>
    <xf numFmtId="11" fontId="0" fillId="0" borderId="1" xfId="0" applyNumberFormat="1" applyBorder="1"/>
    <xf numFmtId="11" fontId="0" fillId="0" borderId="1" xfId="3" applyNumberFormat="1" applyFont="1" applyFill="1" applyBorder="1" applyAlignment="1">
      <alignment horizontal="center" vertical="center"/>
    </xf>
    <xf numFmtId="0" fontId="41" fillId="0" borderId="3" xfId="1" applyFont="1" applyBorder="1" applyAlignment="1">
      <alignment horizontal="center" vertical="top" wrapText="1"/>
    </xf>
    <xf numFmtId="0" fontId="10" fillId="0" borderId="0" xfId="0" applyFont="1"/>
    <xf numFmtId="0" fontId="0" fillId="3" borderId="0" xfId="0" applyFill="1" applyAlignment="1">
      <alignment horizontal="center" vertical="center"/>
    </xf>
    <xf numFmtId="11" fontId="0" fillId="0" borderId="0" xfId="0" applyNumberFormat="1"/>
    <xf numFmtId="164" fontId="0" fillId="0" borderId="0" xfId="0" applyNumberFormat="1" applyAlignment="1">
      <alignment horizontal="center"/>
    </xf>
    <xf numFmtId="164" fontId="13" fillId="0" borderId="0" xfId="0" applyNumberFormat="1" applyFont="1" applyAlignment="1">
      <alignment horizontal="center"/>
    </xf>
    <xf numFmtId="0" fontId="10" fillId="0" borderId="0" xfId="0" applyFont="1" applyAlignment="1">
      <alignment horizontal="center" vertical="center"/>
    </xf>
    <xf numFmtId="2" fontId="13" fillId="0" borderId="0" xfId="0" applyNumberFormat="1" applyFont="1"/>
    <xf numFmtId="165" fontId="14" fillId="0" borderId="0" xfId="0" applyNumberFormat="1" applyFont="1" applyAlignment="1">
      <alignment horizontal="center"/>
    </xf>
    <xf numFmtId="2" fontId="13" fillId="0" borderId="0" xfId="0" applyNumberFormat="1" applyFont="1" applyAlignment="1">
      <alignment horizontal="center"/>
    </xf>
    <xf numFmtId="2" fontId="13" fillId="13" borderId="0" xfId="0" applyNumberFormat="1" applyFont="1" applyFill="1"/>
    <xf numFmtId="1" fontId="13" fillId="13" borderId="0" xfId="0" applyNumberFormat="1" applyFont="1" applyFill="1"/>
    <xf numFmtId="164" fontId="0" fillId="9" borderId="0" xfId="0" applyNumberFormat="1" applyFill="1" applyAlignment="1">
      <alignment horizontal="center" vertical="center"/>
    </xf>
    <xf numFmtId="1" fontId="0" fillId="9" borderId="0" xfId="0" applyNumberFormat="1" applyFill="1" applyAlignment="1">
      <alignment horizontal="center" vertical="center"/>
    </xf>
    <xf numFmtId="164" fontId="0" fillId="0" borderId="0" xfId="0" applyNumberFormat="1"/>
    <xf numFmtId="0" fontId="13" fillId="13" borderId="0" xfId="0" applyFont="1" applyFill="1"/>
    <xf numFmtId="0" fontId="0" fillId="9" borderId="0" xfId="0" applyFill="1"/>
    <xf numFmtId="164" fontId="0" fillId="9" borderId="0" xfId="0" applyNumberFormat="1" applyFill="1"/>
    <xf numFmtId="0" fontId="0" fillId="0" borderId="0" xfId="0" applyAlignment="1">
      <alignment horizontal="center" vertical="top"/>
    </xf>
    <xf numFmtId="1" fontId="14" fillId="0" borderId="0" xfId="0" applyNumberFormat="1" applyFont="1" applyAlignment="1">
      <alignment horizontal="center"/>
    </xf>
    <xf numFmtId="0" fontId="95" fillId="0" borderId="0" xfId="0" applyFont="1"/>
    <xf numFmtId="0" fontId="34" fillId="0" borderId="0" xfId="0" applyFont="1" applyAlignment="1">
      <alignment horizontal="center"/>
    </xf>
    <xf numFmtId="0" fontId="29" fillId="0" borderId="33" xfId="0" applyFont="1" applyBorder="1" applyAlignment="1">
      <alignment horizontal="center"/>
    </xf>
    <xf numFmtId="167" fontId="29" fillId="0" borderId="33" xfId="0" applyNumberFormat="1" applyFont="1" applyBorder="1" applyAlignment="1">
      <alignment horizontal="left"/>
    </xf>
    <xf numFmtId="169" fontId="29" fillId="0" borderId="33" xfId="0" applyNumberFormat="1" applyFont="1" applyBorder="1" applyAlignment="1">
      <alignment horizontal="center"/>
    </xf>
    <xf numFmtId="165" fontId="29" fillId="0" borderId="33" xfId="0" applyNumberFormat="1" applyFont="1" applyBorder="1" applyAlignment="1">
      <alignment horizontal="center"/>
    </xf>
    <xf numFmtId="0" fontId="29" fillId="0" borderId="33" xfId="0" applyFont="1" applyBorder="1"/>
    <xf numFmtId="0" fontId="29" fillId="0" borderId="35" xfId="0" applyFont="1" applyBorder="1" applyAlignment="1">
      <alignment horizontal="center"/>
    </xf>
    <xf numFmtId="0" fontId="0" fillId="0" borderId="33" xfId="0" applyBorder="1"/>
    <xf numFmtId="11" fontId="0" fillId="0" borderId="33" xfId="0" applyNumberFormat="1" applyBorder="1"/>
    <xf numFmtId="165" fontId="29" fillId="0" borderId="33" xfId="0" applyNumberFormat="1" applyFont="1" applyBorder="1"/>
    <xf numFmtId="2" fontId="29" fillId="0" borderId="33" xfId="0" applyNumberFormat="1" applyFont="1" applyBorder="1"/>
    <xf numFmtId="164" fontId="62" fillId="0" borderId="33" xfId="0" applyNumberFormat="1" applyFont="1" applyBorder="1" applyAlignment="1">
      <alignment horizontal="left"/>
    </xf>
    <xf numFmtId="164" fontId="18" fillId="0" borderId="33" xfId="0" applyNumberFormat="1" applyFont="1" applyBorder="1" applyAlignment="1">
      <alignment horizontal="center"/>
    </xf>
    <xf numFmtId="164" fontId="24" fillId="0" borderId="33" xfId="0" applyNumberFormat="1" applyFont="1" applyBorder="1" applyAlignment="1">
      <alignment horizontal="center"/>
    </xf>
    <xf numFmtId="164" fontId="29" fillId="0" borderId="33" xfId="0" applyNumberFormat="1" applyFont="1" applyBorder="1"/>
    <xf numFmtId="0" fontId="62" fillId="0" borderId="32" xfId="0" applyFont="1" applyBorder="1"/>
    <xf numFmtId="1" fontId="37" fillId="0" borderId="33" xfId="0" applyNumberFormat="1" applyFont="1" applyBorder="1" applyAlignment="1">
      <alignment horizontal="right"/>
    </xf>
    <xf numFmtId="9" fontId="103" fillId="0" borderId="33" xfId="3" applyFont="1" applyFill="1" applyBorder="1" applyAlignment="1">
      <alignment horizontal="center"/>
    </xf>
    <xf numFmtId="0" fontId="23" fillId="0" borderId="33" xfId="0" applyFont="1" applyBorder="1"/>
    <xf numFmtId="0" fontId="23" fillId="0" borderId="32" xfId="0" applyFont="1" applyBorder="1"/>
    <xf numFmtId="1" fontId="27" fillId="0" borderId="33" xfId="0" applyNumberFormat="1" applyFont="1" applyBorder="1"/>
    <xf numFmtId="0" fontId="28" fillId="0" borderId="33" xfId="0" applyFont="1" applyBorder="1"/>
    <xf numFmtId="0" fontId="24" fillId="0" borderId="33" xfId="0" applyFont="1" applyBorder="1"/>
    <xf numFmtId="1" fontId="24" fillId="0" borderId="33" xfId="0" applyNumberFormat="1" applyFont="1" applyBorder="1" applyAlignment="1">
      <alignment horizontal="center"/>
    </xf>
    <xf numFmtId="165" fontId="28" fillId="0" borderId="33" xfId="0" applyNumberFormat="1" applyFont="1" applyBorder="1"/>
    <xf numFmtId="2" fontId="24" fillId="0" borderId="33" xfId="0" applyNumberFormat="1" applyFont="1" applyBorder="1"/>
    <xf numFmtId="0" fontId="94" fillId="2" borderId="33" xfId="0" applyFont="1" applyFill="1" applyBorder="1"/>
    <xf numFmtId="2" fontId="62" fillId="13" borderId="31" xfId="0" applyNumberFormat="1" applyFont="1" applyFill="1" applyBorder="1"/>
    <xf numFmtId="2" fontId="27" fillId="13" borderId="33" xfId="0" applyNumberFormat="1" applyFont="1" applyFill="1" applyBorder="1"/>
    <xf numFmtId="1" fontId="27" fillId="13" borderId="33" xfId="0" applyNumberFormat="1" applyFont="1" applyFill="1" applyBorder="1"/>
    <xf numFmtId="2" fontId="29" fillId="9" borderId="33" xfId="0" applyNumberFormat="1" applyFont="1" applyFill="1" applyBorder="1"/>
    <xf numFmtId="164" fontId="29" fillId="9" borderId="33" xfId="0" applyNumberFormat="1" applyFont="1" applyFill="1" applyBorder="1"/>
    <xf numFmtId="0" fontId="29" fillId="9" borderId="33" xfId="0" applyFont="1" applyFill="1" applyBorder="1"/>
    <xf numFmtId="2" fontId="23" fillId="9" borderId="33" xfId="0" applyNumberFormat="1" applyFont="1" applyFill="1" applyBorder="1"/>
    <xf numFmtId="1" fontId="23" fillId="9" borderId="36" xfId="0" applyNumberFormat="1" applyFont="1" applyFill="1" applyBorder="1"/>
    <xf numFmtId="0" fontId="40" fillId="0" borderId="28" xfId="0" applyFont="1" applyBorder="1" applyAlignment="1">
      <alignment horizontal="center" vertical="center" wrapText="1"/>
    </xf>
    <xf numFmtId="0" fontId="14" fillId="0" borderId="18" xfId="0" applyFont="1" applyBorder="1"/>
    <xf numFmtId="11" fontId="0" fillId="0" borderId="0" xfId="3" applyNumberFormat="1" applyFont="1" applyBorder="1" applyAlignment="1">
      <alignment horizontal="center" vertical="center"/>
    </xf>
    <xf numFmtId="2" fontId="10" fillId="0" borderId="0" xfId="0" applyNumberFormat="1" applyFont="1" applyAlignment="1">
      <alignment horizontal="center"/>
    </xf>
    <xf numFmtId="0" fontId="14" fillId="0" borderId="0" xfId="0" applyFont="1" applyAlignment="1">
      <alignment horizontal="center" vertical="center"/>
    </xf>
    <xf numFmtId="0" fontId="14" fillId="0" borderId="0" xfId="0" applyFont="1"/>
    <xf numFmtId="0" fontId="96" fillId="2" borderId="0" xfId="0" applyFont="1" applyFill="1"/>
    <xf numFmtId="0" fontId="13" fillId="9" borderId="0" xfId="0" applyFont="1" applyFill="1" applyAlignment="1">
      <alignment horizontal="center" vertical="center"/>
    </xf>
    <xf numFmtId="164" fontId="13" fillId="9" borderId="0" xfId="0" applyNumberFormat="1" applyFont="1" applyFill="1" applyAlignment="1">
      <alignment horizontal="center" vertical="center"/>
    </xf>
    <xf numFmtId="2" fontId="13" fillId="9" borderId="0" xfId="0" applyNumberFormat="1" applyFont="1" applyFill="1" applyAlignment="1">
      <alignment horizontal="center" vertical="center"/>
    </xf>
    <xf numFmtId="0" fontId="0" fillId="0" borderId="18" xfId="0" applyBorder="1"/>
    <xf numFmtId="2" fontId="17" fillId="0" borderId="0" xfId="3" quotePrefix="1" applyNumberFormat="1" applyFont="1" applyBorder="1" applyAlignment="1">
      <alignment horizontal="center" vertical="center"/>
    </xf>
    <xf numFmtId="2" fontId="10" fillId="7" borderId="0" xfId="0" applyNumberFormat="1" applyFont="1" applyFill="1" applyAlignment="1">
      <alignment horizontal="center"/>
    </xf>
    <xf numFmtId="1" fontId="10" fillId="0" borderId="0" xfId="0" applyNumberFormat="1" applyFont="1" applyAlignment="1">
      <alignment horizontal="center" vertical="center"/>
    </xf>
    <xf numFmtId="165" fontId="10" fillId="0" borderId="0" xfId="0" applyNumberFormat="1" applyFont="1" applyAlignment="1">
      <alignment horizontal="center"/>
    </xf>
    <xf numFmtId="2" fontId="13" fillId="13" borderId="0" xfId="0" applyNumberFormat="1" applyFont="1" applyFill="1" applyAlignment="1">
      <alignment horizontal="center"/>
    </xf>
    <xf numFmtId="1" fontId="13" fillId="13" borderId="0" xfId="0" applyNumberFormat="1" applyFont="1" applyFill="1" applyAlignment="1">
      <alignment horizontal="center"/>
    </xf>
    <xf numFmtId="165" fontId="0" fillId="0" borderId="0" xfId="0" quotePrefix="1" applyNumberFormat="1" applyAlignment="1">
      <alignment horizontal="center" vertical="center"/>
    </xf>
    <xf numFmtId="2" fontId="0" fillId="0" borderId="0" xfId="0" quotePrefix="1" applyNumberFormat="1" applyAlignment="1">
      <alignment horizontal="center"/>
    </xf>
    <xf numFmtId="2" fontId="0" fillId="9" borderId="0" xfId="0" quotePrefix="1" applyNumberFormat="1" applyFill="1" applyAlignment="1">
      <alignment horizontal="center" vertical="center"/>
    </xf>
    <xf numFmtId="164" fontId="13" fillId="0" borderId="0" xfId="0" applyNumberFormat="1" applyFont="1"/>
    <xf numFmtId="164" fontId="0" fillId="9" borderId="0" xfId="0" quotePrefix="1" applyNumberFormat="1" applyFill="1" applyAlignment="1">
      <alignment horizontal="center" vertical="center"/>
    </xf>
    <xf numFmtId="0" fontId="10" fillId="0" borderId="18" xfId="0" applyFont="1" applyBorder="1"/>
    <xf numFmtId="0" fontId="13" fillId="0" borderId="0" xfId="0" applyFont="1" applyAlignment="1">
      <alignment horizontal="left"/>
    </xf>
    <xf numFmtId="0" fontId="0" fillId="0" borderId="0" xfId="0" quotePrefix="1" applyAlignment="1">
      <alignment horizontal="left"/>
    </xf>
    <xf numFmtId="0" fontId="0" fillId="0" borderId="0" xfId="0" applyAlignment="1">
      <alignment horizontal="left"/>
    </xf>
    <xf numFmtId="1" fontId="0" fillId="13" borderId="0" xfId="0" applyNumberFormat="1" applyFill="1" applyAlignment="1">
      <alignment horizontal="center" vertical="center"/>
    </xf>
    <xf numFmtId="1" fontId="0" fillId="3" borderId="0" xfId="0" applyNumberFormat="1" applyFill="1" applyAlignment="1">
      <alignment horizontal="center" vertical="center"/>
    </xf>
    <xf numFmtId="164" fontId="0" fillId="7" borderId="0" xfId="0" applyNumberFormat="1" applyFill="1" applyAlignment="1">
      <alignment horizontal="center"/>
    </xf>
    <xf numFmtId="164" fontId="13" fillId="7" borderId="0" xfId="0" applyNumberFormat="1" applyFont="1" applyFill="1" applyAlignment="1">
      <alignment horizontal="center"/>
    </xf>
    <xf numFmtId="1" fontId="13" fillId="7" borderId="0" xfId="0" applyNumberFormat="1" applyFont="1" applyFill="1" applyAlignment="1">
      <alignment horizontal="center"/>
    </xf>
    <xf numFmtId="165" fontId="10" fillId="7" borderId="0" xfId="0" applyNumberFormat="1" applyFont="1" applyFill="1" applyAlignment="1">
      <alignment horizontal="center"/>
    </xf>
    <xf numFmtId="2" fontId="13" fillId="7" borderId="0" xfId="0" applyNumberFormat="1" applyFont="1" applyFill="1" applyAlignment="1">
      <alignment horizontal="center"/>
    </xf>
    <xf numFmtId="0" fontId="0" fillId="7" borderId="0" xfId="0" applyFill="1" applyAlignment="1">
      <alignment horizontal="left"/>
    </xf>
    <xf numFmtId="14" fontId="0" fillId="0" borderId="0" xfId="0" applyNumberFormat="1" applyAlignment="1">
      <alignment horizontal="center"/>
    </xf>
    <xf numFmtId="164" fontId="10" fillId="0" borderId="0" xfId="0" applyNumberFormat="1" applyFont="1" applyAlignment="1">
      <alignment horizontal="center"/>
    </xf>
    <xf numFmtId="0" fontId="96" fillId="2" borderId="0" xfId="0" applyFont="1" applyFill="1" applyAlignment="1">
      <alignment horizontal="left"/>
    </xf>
    <xf numFmtId="166" fontId="0" fillId="8" borderId="0" xfId="3" quotePrefix="1" applyNumberFormat="1" applyFont="1" applyFill="1" applyBorder="1" applyAlignment="1">
      <alignment horizontal="center" vertical="center"/>
    </xf>
    <xf numFmtId="0" fontId="13" fillId="3" borderId="0" xfId="0" applyFont="1" applyFill="1" applyAlignment="1">
      <alignment horizontal="center" vertical="center"/>
    </xf>
    <xf numFmtId="0" fontId="10" fillId="3" borderId="0" xfId="0" applyFont="1" applyFill="1" applyAlignment="1">
      <alignment horizontal="center" vertical="center"/>
    </xf>
    <xf numFmtId="0" fontId="14" fillId="3" borderId="0" xfId="0" applyFont="1" applyFill="1" applyAlignment="1">
      <alignment horizontal="center" vertical="center"/>
    </xf>
    <xf numFmtId="2" fontId="0" fillId="3" borderId="0" xfId="0" applyNumberFormat="1" applyFill="1" applyAlignment="1">
      <alignment horizontal="center" vertical="center"/>
    </xf>
    <xf numFmtId="164" fontId="0" fillId="3" borderId="0" xfId="0" applyNumberFormat="1" applyFill="1" applyAlignment="1">
      <alignment horizontal="center" vertical="center"/>
    </xf>
    <xf numFmtId="11" fontId="0" fillId="0" borderId="0" xfId="0" quotePrefix="1" applyNumberFormat="1" applyAlignment="1">
      <alignment horizontal="center"/>
    </xf>
    <xf numFmtId="1" fontId="10" fillId="0" borderId="0" xfId="0" quotePrefix="1" applyNumberFormat="1" applyFont="1" applyAlignment="1">
      <alignment horizontal="center" vertical="center"/>
    </xf>
    <xf numFmtId="11" fontId="0" fillId="0" borderId="0" xfId="0" applyNumberFormat="1" applyAlignment="1">
      <alignment horizontal="center"/>
    </xf>
    <xf numFmtId="11" fontId="13" fillId="0" borderId="0" xfId="0" applyNumberFormat="1" applyFont="1"/>
    <xf numFmtId="165" fontId="13" fillId="0" borderId="0" xfId="0" applyNumberFormat="1" applyFont="1"/>
    <xf numFmtId="0" fontId="13" fillId="0" borderId="18" xfId="0" applyFont="1" applyBorder="1"/>
    <xf numFmtId="2" fontId="10" fillId="0" borderId="0" xfId="0" quotePrefix="1" applyNumberFormat="1" applyFont="1" applyAlignment="1">
      <alignment horizontal="center"/>
    </xf>
    <xf numFmtId="1" fontId="13" fillId="0" borderId="0" xfId="0" quotePrefix="1" applyNumberFormat="1" applyFont="1" applyAlignment="1">
      <alignment horizontal="center"/>
    </xf>
    <xf numFmtId="0" fontId="0" fillId="0" borderId="20" xfId="0" applyBorder="1"/>
    <xf numFmtId="0" fontId="13" fillId="0" borderId="9" xfId="0" applyFont="1" applyBorder="1" applyAlignment="1">
      <alignment horizontal="center"/>
    </xf>
    <xf numFmtId="0" fontId="0" fillId="0" borderId="9" xfId="0" applyBorder="1" applyAlignment="1">
      <alignment horizontal="center"/>
    </xf>
    <xf numFmtId="167" fontId="0" fillId="0" borderId="9" xfId="0" applyNumberFormat="1" applyBorder="1" applyAlignment="1">
      <alignment horizontal="center"/>
    </xf>
    <xf numFmtId="169" fontId="0" fillId="0" borderId="9" xfId="0" applyNumberFormat="1" applyBorder="1" applyAlignment="1">
      <alignment horizontal="center"/>
    </xf>
    <xf numFmtId="165" fontId="0" fillId="0" borderId="9" xfId="0" quotePrefix="1" applyNumberFormat="1" applyBorder="1" applyAlignment="1">
      <alignment horizontal="center"/>
    </xf>
    <xf numFmtId="14" fontId="0" fillId="0" borderId="9" xfId="0" applyNumberFormat="1" applyBorder="1" applyAlignment="1">
      <alignment horizontal="center"/>
    </xf>
    <xf numFmtId="1" fontId="0" fillId="0" borderId="25" xfId="3" applyNumberFormat="1" applyFont="1" applyFill="1" applyBorder="1" applyAlignment="1">
      <alignment horizontal="center" vertical="center"/>
    </xf>
    <xf numFmtId="1" fontId="0" fillId="0" borderId="9" xfId="3" applyNumberFormat="1" applyFont="1" applyFill="1" applyBorder="1" applyAlignment="1">
      <alignment horizontal="center" vertical="center"/>
    </xf>
    <xf numFmtId="11" fontId="0" fillId="0" borderId="9" xfId="3" applyNumberFormat="1" applyFont="1" applyBorder="1" applyAlignment="1">
      <alignment horizontal="center" vertical="center"/>
    </xf>
    <xf numFmtId="11" fontId="0" fillId="0" borderId="9" xfId="3" applyNumberFormat="1" applyFont="1" applyFill="1" applyBorder="1" applyAlignment="1">
      <alignment horizontal="center" vertical="center"/>
    </xf>
    <xf numFmtId="166" fontId="0" fillId="0" borderId="9" xfId="3" quotePrefix="1" applyNumberFormat="1" applyFont="1" applyBorder="1" applyAlignment="1">
      <alignment horizontal="center" vertical="center"/>
    </xf>
    <xf numFmtId="0" fontId="0" fillId="0" borderId="25" xfId="0" applyBorder="1" applyAlignment="1">
      <alignment horizontal="center" vertical="top"/>
    </xf>
    <xf numFmtId="0" fontId="0" fillId="0" borderId="9" xfId="0" applyBorder="1" applyAlignment="1">
      <alignment horizontal="left"/>
    </xf>
    <xf numFmtId="165" fontId="0" fillId="0" borderId="9" xfId="0" applyNumberFormat="1" applyBorder="1" applyAlignment="1">
      <alignment horizontal="center" vertical="center"/>
    </xf>
    <xf numFmtId="2" fontId="0" fillId="0" borderId="9" xfId="3" quotePrefix="1" applyNumberFormat="1" applyFont="1" applyBorder="1" applyAlignment="1">
      <alignment horizontal="center" vertical="center"/>
    </xf>
    <xf numFmtId="11" fontId="0" fillId="0" borderId="25" xfId="3" applyNumberFormat="1" applyFont="1" applyFill="1" applyBorder="1" applyAlignment="1">
      <alignment horizontal="center" vertical="center"/>
    </xf>
    <xf numFmtId="1" fontId="0" fillId="0" borderId="25" xfId="0" applyNumberFormat="1" applyBorder="1" applyAlignment="1">
      <alignment horizontal="center" vertical="center"/>
    </xf>
    <xf numFmtId="2" fontId="10" fillId="0" borderId="9" xfId="0" quotePrefix="1" applyNumberFormat="1" applyFont="1" applyBorder="1" applyAlignment="1">
      <alignment horizontal="center"/>
    </xf>
    <xf numFmtId="2" fontId="13" fillId="0" borderId="9" xfId="0" applyNumberFormat="1" applyFont="1" applyBorder="1" applyAlignment="1">
      <alignment horizontal="center"/>
    </xf>
    <xf numFmtId="1" fontId="10" fillId="0" borderId="9" xfId="0" applyNumberFormat="1" applyFont="1" applyBorder="1" applyAlignment="1">
      <alignment horizontal="center" vertical="center"/>
    </xf>
    <xf numFmtId="1" fontId="10" fillId="0" borderId="25" xfId="0" quotePrefix="1" applyNumberFormat="1" applyFont="1" applyBorder="1" applyAlignment="1">
      <alignment horizontal="center" vertical="center"/>
    </xf>
    <xf numFmtId="1" fontId="10" fillId="0" borderId="9" xfId="0" quotePrefix="1" applyNumberFormat="1" applyFont="1" applyBorder="1" applyAlignment="1">
      <alignment horizontal="center" vertical="center"/>
    </xf>
    <xf numFmtId="165" fontId="10" fillId="0" borderId="9" xfId="0" applyNumberFormat="1" applyFont="1" applyBorder="1" applyAlignment="1">
      <alignment horizontal="center"/>
    </xf>
    <xf numFmtId="1" fontId="13" fillId="0" borderId="25" xfId="0" applyNumberFormat="1" applyFont="1" applyBorder="1" applyAlignment="1">
      <alignment horizontal="center"/>
    </xf>
    <xf numFmtId="2" fontId="0" fillId="0" borderId="25" xfId="0" applyNumberFormat="1" applyBorder="1" applyAlignment="1">
      <alignment horizontal="center"/>
    </xf>
    <xf numFmtId="2" fontId="0" fillId="0" borderId="9" xfId="0" applyNumberFormat="1" applyBorder="1" applyAlignment="1">
      <alignment horizontal="center"/>
    </xf>
    <xf numFmtId="0" fontId="95" fillId="2" borderId="9" xfId="0" applyFont="1" applyFill="1" applyBorder="1"/>
    <xf numFmtId="2" fontId="13" fillId="13" borderId="20" xfId="0" applyNumberFormat="1" applyFont="1" applyFill="1" applyBorder="1" applyAlignment="1">
      <alignment horizontal="center"/>
    </xf>
    <xf numFmtId="2" fontId="13" fillId="13" borderId="9" xfId="0" applyNumberFormat="1" applyFont="1" applyFill="1" applyBorder="1" applyAlignment="1">
      <alignment horizontal="center"/>
    </xf>
    <xf numFmtId="1" fontId="13" fillId="13" borderId="9" xfId="0" applyNumberFormat="1" applyFont="1" applyFill="1" applyBorder="1" applyAlignment="1">
      <alignment horizontal="center"/>
    </xf>
    <xf numFmtId="2" fontId="0" fillId="9" borderId="20" xfId="0" applyNumberFormat="1" applyFill="1" applyBorder="1" applyAlignment="1">
      <alignment horizontal="center" vertical="center"/>
    </xf>
    <xf numFmtId="2" fontId="0" fillId="9" borderId="9" xfId="0" applyNumberFormat="1" applyFill="1" applyBorder="1" applyAlignment="1">
      <alignment horizontal="center" vertical="center"/>
    </xf>
    <xf numFmtId="164" fontId="0" fillId="9" borderId="9" xfId="0" quotePrefix="1" applyNumberFormat="1" applyFill="1" applyBorder="1" applyAlignment="1">
      <alignment horizontal="center" vertical="center"/>
    </xf>
    <xf numFmtId="1" fontId="0" fillId="9" borderId="9" xfId="0" applyNumberFormat="1" applyFill="1" applyBorder="1" applyAlignment="1">
      <alignment horizontal="center" vertical="center"/>
    </xf>
    <xf numFmtId="1" fontId="0" fillId="9" borderId="37" xfId="0" quotePrefix="1" applyNumberFormat="1" applyFill="1" applyBorder="1" applyAlignment="1">
      <alignment horizontal="center" vertical="center"/>
    </xf>
    <xf numFmtId="0" fontId="29" fillId="0" borderId="0" xfId="0" applyFont="1"/>
    <xf numFmtId="0" fontId="40" fillId="0" borderId="0" xfId="0" applyFont="1" applyAlignment="1">
      <alignment horizontal="center" vertical="center" wrapText="1"/>
    </xf>
    <xf numFmtId="165" fontId="36" fillId="7" borderId="32" xfId="0" applyNumberFormat="1" applyFont="1" applyFill="1" applyBorder="1" applyAlignment="1">
      <alignment horizontal="left"/>
    </xf>
    <xf numFmtId="1" fontId="29" fillId="7" borderId="33" xfId="0" applyNumberFormat="1" applyFont="1" applyFill="1" applyBorder="1" applyAlignment="1">
      <alignment horizontal="center"/>
    </xf>
    <xf numFmtId="0" fontId="24" fillId="7" borderId="33" xfId="0" applyFont="1" applyFill="1" applyBorder="1" applyAlignment="1">
      <alignment horizontal="center"/>
    </xf>
    <xf numFmtId="1" fontId="29" fillId="7" borderId="32" xfId="0" applyNumberFormat="1" applyFont="1" applyFill="1" applyBorder="1" applyAlignment="1">
      <alignment horizontal="center"/>
    </xf>
    <xf numFmtId="0" fontId="24" fillId="7" borderId="36" xfId="0" applyFont="1" applyFill="1" applyBorder="1" applyAlignment="1">
      <alignment horizontal="center"/>
    </xf>
    <xf numFmtId="1" fontId="33" fillId="7" borderId="2" xfId="0" applyNumberFormat="1" applyFont="1" applyFill="1" applyBorder="1" applyAlignment="1">
      <alignment horizontal="center" vertical="top" wrapText="1"/>
    </xf>
    <xf numFmtId="1" fontId="33" fillId="7" borderId="3" xfId="0" quotePrefix="1" applyNumberFormat="1" applyFont="1" applyFill="1" applyBorder="1" applyAlignment="1">
      <alignment horizontal="center" vertical="center" wrapText="1"/>
    </xf>
    <xf numFmtId="1" fontId="33" fillId="7" borderId="34" xfId="0" quotePrefix="1" applyNumberFormat="1" applyFont="1" applyFill="1" applyBorder="1" applyAlignment="1">
      <alignment horizontal="center" vertical="center" wrapText="1"/>
    </xf>
    <xf numFmtId="1" fontId="35" fillId="7" borderId="1" xfId="0" applyNumberFormat="1" applyFont="1" applyFill="1" applyBorder="1" applyAlignment="1">
      <alignment horizontal="center"/>
    </xf>
    <xf numFmtId="1" fontId="34" fillId="7" borderId="0" xfId="0" applyNumberFormat="1" applyFont="1" applyFill="1" applyAlignment="1">
      <alignment horizontal="center"/>
    </xf>
    <xf numFmtId="0" fontId="35" fillId="7" borderId="0" xfId="0" applyFont="1" applyFill="1" applyAlignment="1">
      <alignment horizontal="center"/>
    </xf>
    <xf numFmtId="1" fontId="34" fillId="7" borderId="1" xfId="0" applyNumberFormat="1" applyFont="1" applyFill="1" applyBorder="1" applyAlignment="1">
      <alignment horizontal="center"/>
    </xf>
    <xf numFmtId="0" fontId="35" fillId="7" borderId="19" xfId="0" applyFont="1" applyFill="1" applyBorder="1" applyAlignment="1">
      <alignment horizontal="center"/>
    </xf>
    <xf numFmtId="165" fontId="34" fillId="7" borderId="0" xfId="0" applyNumberFormat="1" applyFont="1" applyFill="1" applyAlignment="1">
      <alignment horizontal="center"/>
    </xf>
    <xf numFmtId="165" fontId="34" fillId="7" borderId="19" xfId="0" applyNumberFormat="1" applyFont="1" applyFill="1" applyBorder="1" applyAlignment="1">
      <alignment horizontal="center"/>
    </xf>
    <xf numFmtId="0" fontId="34" fillId="7" borderId="1" xfId="0" applyFont="1" applyFill="1" applyBorder="1" applyAlignment="1">
      <alignment horizontal="center"/>
    </xf>
    <xf numFmtId="0" fontId="34" fillId="7" borderId="0" xfId="0" applyFont="1" applyFill="1" applyAlignment="1">
      <alignment horizontal="center"/>
    </xf>
    <xf numFmtId="0" fontId="34" fillId="7" borderId="19" xfId="0" applyFont="1" applyFill="1" applyBorder="1" applyAlignment="1">
      <alignment horizontal="center"/>
    </xf>
    <xf numFmtId="1" fontId="13" fillId="7" borderId="1" xfId="0" applyNumberFormat="1" applyFont="1" applyFill="1" applyBorder="1" applyAlignment="1">
      <alignment horizontal="center"/>
    </xf>
    <xf numFmtId="1" fontId="0" fillId="7" borderId="0" xfId="0" applyNumberFormat="1" applyFill="1" applyAlignment="1">
      <alignment horizontal="center"/>
    </xf>
    <xf numFmtId="0" fontId="13" fillId="7" borderId="0" xfId="0" applyFont="1" applyFill="1" applyAlignment="1">
      <alignment horizontal="center"/>
    </xf>
    <xf numFmtId="1" fontId="0" fillId="7" borderId="1" xfId="0" applyNumberFormat="1" applyFill="1" applyBorder="1" applyAlignment="1">
      <alignment horizontal="center"/>
    </xf>
    <xf numFmtId="0" fontId="13" fillId="7" borderId="19" xfId="0" applyFont="1" applyFill="1" applyBorder="1" applyAlignment="1">
      <alignment horizontal="center"/>
    </xf>
    <xf numFmtId="0" fontId="0" fillId="7" borderId="0" xfId="0" applyFill="1" applyAlignment="1">
      <alignment horizontal="center"/>
    </xf>
    <xf numFmtId="0" fontId="0" fillId="7" borderId="19" xfId="0" applyFill="1" applyBorder="1" applyAlignment="1">
      <alignment horizontal="center"/>
    </xf>
    <xf numFmtId="165" fontId="0" fillId="7" borderId="0" xfId="0" applyNumberFormat="1" applyFill="1" applyAlignment="1">
      <alignment horizontal="center"/>
    </xf>
    <xf numFmtId="165" fontId="0" fillId="7" borderId="19" xfId="0" applyNumberFormat="1" applyFill="1" applyBorder="1" applyAlignment="1">
      <alignment horizontal="center"/>
    </xf>
    <xf numFmtId="1" fontId="0" fillId="7" borderId="25" xfId="0" applyNumberFormat="1" applyFill="1" applyBorder="1" applyAlignment="1">
      <alignment horizontal="center"/>
    </xf>
    <xf numFmtId="1" fontId="0" fillId="7" borderId="9" xfId="0" applyNumberFormat="1" applyFill="1" applyBorder="1" applyAlignment="1">
      <alignment horizontal="center"/>
    </xf>
    <xf numFmtId="165" fontId="0" fillId="7" borderId="9" xfId="0" applyNumberFormat="1" applyFill="1" applyBorder="1" applyAlignment="1">
      <alignment horizontal="center"/>
    </xf>
    <xf numFmtId="165" fontId="0" fillId="7" borderId="37" xfId="0" applyNumberFormat="1" applyFill="1" applyBorder="1" applyAlignment="1">
      <alignment horizontal="center"/>
    </xf>
    <xf numFmtId="2" fontId="105" fillId="9" borderId="0" xfId="0" applyNumberFormat="1" applyFont="1" applyFill="1" applyAlignment="1">
      <alignment horizontal="center" vertical="center"/>
    </xf>
    <xf numFmtId="0" fontId="10" fillId="9" borderId="0" xfId="0" applyFont="1" applyFill="1" applyAlignment="1">
      <alignment horizontal="center" vertical="center" wrapText="1"/>
    </xf>
    <xf numFmtId="0" fontId="105" fillId="0" borderId="0" xfId="0" applyFont="1"/>
    <xf numFmtId="0" fontId="10" fillId="0" borderId="0" xfId="0" applyFont="1" applyAlignment="1">
      <alignment horizontal="left" vertical="top" wrapText="1"/>
    </xf>
    <xf numFmtId="0" fontId="15" fillId="0" borderId="0" xfId="0" applyFont="1"/>
    <xf numFmtId="0" fontId="24" fillId="0" borderId="33" xfId="0" applyFont="1" applyBorder="1" applyAlignment="1">
      <alignment horizontal="left" vertical="center"/>
    </xf>
    <xf numFmtId="0" fontId="24" fillId="0" borderId="33" xfId="0" applyFont="1" applyBorder="1" applyAlignment="1">
      <alignment horizontal="center" vertical="center"/>
    </xf>
    <xf numFmtId="167" fontId="18" fillId="0" borderId="33" xfId="0" applyNumberFormat="1" applyFont="1" applyBorder="1" applyAlignment="1">
      <alignment horizontal="left" vertical="center"/>
    </xf>
    <xf numFmtId="169" fontId="18" fillId="0" borderId="33" xfId="0" applyNumberFormat="1" applyFont="1" applyBorder="1" applyAlignment="1">
      <alignment horizontal="left" vertical="center"/>
    </xf>
    <xf numFmtId="14" fontId="24" fillId="0" borderId="33" xfId="0" applyNumberFormat="1" applyFont="1" applyBorder="1" applyAlignment="1">
      <alignment horizontal="center" vertical="center"/>
    </xf>
    <xf numFmtId="165" fontId="24" fillId="0" borderId="33" xfId="0" applyNumberFormat="1" applyFont="1" applyBorder="1" applyAlignment="1">
      <alignment horizontal="left" vertical="center"/>
    </xf>
    <xf numFmtId="2" fontId="24" fillId="0" borderId="33" xfId="0" applyNumberFormat="1" applyFont="1" applyBorder="1" applyAlignment="1">
      <alignment horizontal="center" vertical="center"/>
    </xf>
    <xf numFmtId="2" fontId="24" fillId="0" borderId="33" xfId="0" applyNumberFormat="1" applyFont="1" applyBorder="1" applyAlignment="1">
      <alignment horizontal="left" vertical="center"/>
    </xf>
    <xf numFmtId="2" fontId="18" fillId="0" borderId="33" xfId="0" applyNumberFormat="1" applyFont="1" applyBorder="1" applyAlignment="1">
      <alignment horizontal="left" vertical="center" wrapText="1"/>
    </xf>
    <xf numFmtId="2" fontId="24" fillId="13" borderId="33" xfId="0" applyNumberFormat="1" applyFont="1" applyFill="1" applyBorder="1" applyAlignment="1">
      <alignment horizontal="center" vertical="center"/>
    </xf>
    <xf numFmtId="2" fontId="24" fillId="13" borderId="35" xfId="0" applyNumberFormat="1" applyFont="1" applyFill="1" applyBorder="1" applyAlignment="1">
      <alignment horizontal="center" vertical="center"/>
    </xf>
    <xf numFmtId="2" fontId="18" fillId="5" borderId="33" xfId="0" applyNumberFormat="1" applyFont="1" applyFill="1" applyBorder="1" applyAlignment="1">
      <alignment horizontal="left" vertical="center" wrapText="1"/>
    </xf>
    <xf numFmtId="2" fontId="18" fillId="9" borderId="33" xfId="0" applyNumberFormat="1" applyFont="1" applyFill="1" applyBorder="1" applyAlignment="1">
      <alignment horizontal="left" vertical="center" wrapText="1"/>
    </xf>
    <xf numFmtId="2" fontId="18" fillId="9" borderId="36" xfId="0" applyNumberFormat="1" applyFont="1" applyFill="1" applyBorder="1" applyAlignment="1">
      <alignment horizontal="left" vertical="center" wrapText="1"/>
    </xf>
    <xf numFmtId="2" fontId="40" fillId="9" borderId="34" xfId="0" applyNumberFormat="1" applyFont="1" applyFill="1" applyBorder="1" applyAlignment="1">
      <alignment horizontal="center" vertical="center" wrapText="1"/>
    </xf>
    <xf numFmtId="0" fontId="73" fillId="0" borderId="18" xfId="0" applyFont="1" applyBorder="1"/>
    <xf numFmtId="0" fontId="104" fillId="0" borderId="0" xfId="0" applyFont="1" applyAlignment="1">
      <alignment horizontal="center"/>
    </xf>
    <xf numFmtId="0" fontId="104" fillId="0" borderId="0" xfId="0" applyFont="1" applyAlignment="1">
      <alignment horizontal="center" vertical="center"/>
    </xf>
    <xf numFmtId="0" fontId="105" fillId="0" borderId="0" xfId="0" applyFont="1" applyAlignment="1">
      <alignment horizontal="center"/>
    </xf>
    <xf numFmtId="167" fontId="105" fillId="0" borderId="0" xfId="0" applyNumberFormat="1" applyFont="1"/>
    <xf numFmtId="169" fontId="105" fillId="0" borderId="0" xfId="0" applyNumberFormat="1" applyFont="1"/>
    <xf numFmtId="14" fontId="105" fillId="0" borderId="0" xfId="0" applyNumberFormat="1" applyFont="1" applyAlignment="1">
      <alignment horizontal="center" vertical="top"/>
    </xf>
    <xf numFmtId="165" fontId="105" fillId="0" borderId="0" xfId="0" applyNumberFormat="1" applyFont="1" applyAlignment="1">
      <alignment horizontal="center" vertical="center"/>
    </xf>
    <xf numFmtId="2" fontId="105" fillId="0" borderId="0" xfId="0" applyNumberFormat="1" applyFont="1" applyAlignment="1">
      <alignment horizontal="center" vertical="top"/>
    </xf>
    <xf numFmtId="2" fontId="105" fillId="0" borderId="0" xfId="3" quotePrefix="1" applyNumberFormat="1" applyFont="1" applyFill="1" applyBorder="1" applyAlignment="1">
      <alignment horizontal="center" vertical="center"/>
    </xf>
    <xf numFmtId="2" fontId="105" fillId="0" borderId="0" xfId="0" applyNumberFormat="1" applyFont="1" applyAlignment="1">
      <alignment horizontal="center" vertical="center"/>
    </xf>
    <xf numFmtId="0" fontId="106" fillId="2" borderId="0" xfId="0" applyFont="1" applyFill="1"/>
    <xf numFmtId="2" fontId="105" fillId="13" borderId="0" xfId="0" applyNumberFormat="1" applyFont="1" applyFill="1" applyAlignment="1">
      <alignment horizontal="center"/>
    </xf>
    <xf numFmtId="2" fontId="105" fillId="5" borderId="0" xfId="0" applyNumberFormat="1" applyFont="1" applyFill="1" applyAlignment="1">
      <alignment horizontal="center" vertical="center"/>
    </xf>
    <xf numFmtId="2" fontId="105" fillId="9" borderId="19" xfId="0" applyNumberFormat="1" applyFont="1" applyFill="1" applyBorder="1" applyAlignment="1">
      <alignment horizontal="center" vertical="center"/>
    </xf>
    <xf numFmtId="164" fontId="22" fillId="0" borderId="0" xfId="11" applyNumberFormat="1" applyFont="1" applyAlignment="1">
      <alignment horizontal="center" vertical="top"/>
    </xf>
    <xf numFmtId="0" fontId="10" fillId="0" borderId="0" xfId="0" applyFont="1" applyAlignment="1">
      <alignment horizontal="center" vertical="center" wrapText="1"/>
    </xf>
    <xf numFmtId="2" fontId="10" fillId="0" borderId="0" xfId="0" applyNumberFormat="1" applyFont="1" applyAlignment="1">
      <alignment horizontal="center" vertical="center" wrapText="1"/>
    </xf>
    <xf numFmtId="2" fontId="10" fillId="13" borderId="0" xfId="0" applyNumberFormat="1" applyFont="1" applyFill="1" applyAlignment="1">
      <alignment horizontal="center" vertical="top" wrapText="1"/>
    </xf>
    <xf numFmtId="2" fontId="10" fillId="5" borderId="0" xfId="0" applyNumberFormat="1" applyFont="1" applyFill="1" applyAlignment="1">
      <alignment horizontal="center" vertical="center" wrapText="1"/>
    </xf>
    <xf numFmtId="2" fontId="10" fillId="9" borderId="0" xfId="0" applyNumberFormat="1" applyFont="1" applyFill="1" applyAlignment="1">
      <alignment horizontal="center" vertical="center" wrapText="1"/>
    </xf>
    <xf numFmtId="0" fontId="10" fillId="9" borderId="19" xfId="0" applyFont="1" applyFill="1" applyBorder="1" applyAlignment="1">
      <alignment horizontal="center" vertical="center" wrapText="1"/>
    </xf>
    <xf numFmtId="2" fontId="42" fillId="5" borderId="0" xfId="1" applyNumberFormat="1" applyFont="1" applyFill="1" applyAlignment="1">
      <alignment horizontal="center" vertical="center"/>
    </xf>
    <xf numFmtId="0" fontId="0" fillId="5" borderId="0" xfId="0" quotePrefix="1" applyFill="1" applyAlignment="1">
      <alignment horizontal="center" vertical="center"/>
    </xf>
    <xf numFmtId="0" fontId="0" fillId="9" borderId="0" xfId="0" quotePrefix="1" applyFill="1" applyAlignment="1">
      <alignment horizontal="center" vertical="center"/>
    </xf>
    <xf numFmtId="2" fontId="0" fillId="9" borderId="19" xfId="0" applyNumberFormat="1" applyFill="1" applyBorder="1" applyAlignment="1">
      <alignment horizontal="center" vertical="center"/>
    </xf>
    <xf numFmtId="0" fontId="10" fillId="0" borderId="18" xfId="0" applyFont="1" applyBorder="1" applyAlignment="1">
      <alignment horizontal="left" vertical="top" wrapText="1"/>
    </xf>
    <xf numFmtId="167" fontId="10" fillId="0" borderId="0" xfId="0" applyNumberFormat="1" applyFont="1" applyAlignment="1">
      <alignment horizontal="center" vertical="top" wrapText="1"/>
    </xf>
    <xf numFmtId="169" fontId="10" fillId="0" borderId="0" xfId="0" applyNumberFormat="1" applyFont="1" applyAlignment="1">
      <alignment horizontal="center" vertical="top" wrapText="1"/>
    </xf>
    <xf numFmtId="0" fontId="10" fillId="5" borderId="0" xfId="0" applyFont="1" applyFill="1" applyAlignment="1">
      <alignment horizontal="center" vertical="center" wrapText="1"/>
    </xf>
    <xf numFmtId="0" fontId="0" fillId="5" borderId="0" xfId="0" applyFill="1"/>
    <xf numFmtId="0" fontId="0" fillId="9" borderId="19" xfId="0" applyFill="1" applyBorder="1" applyAlignment="1">
      <alignment horizontal="center" vertical="center"/>
    </xf>
    <xf numFmtId="0" fontId="13" fillId="0" borderId="9" xfId="0" applyFont="1" applyBorder="1" applyAlignment="1">
      <alignment horizontal="center" vertical="center"/>
    </xf>
    <xf numFmtId="0" fontId="0" fillId="0" borderId="9" xfId="0" applyBorder="1" applyAlignment="1">
      <alignment horizontal="center" vertical="center"/>
    </xf>
    <xf numFmtId="2" fontId="0" fillId="0" borderId="9" xfId="0" applyNumberFormat="1" applyBorder="1" applyAlignment="1">
      <alignment horizontal="center" vertical="top"/>
    </xf>
    <xf numFmtId="0" fontId="95" fillId="2" borderId="9" xfId="0" applyFont="1" applyFill="1" applyBorder="1" applyAlignment="1">
      <alignment horizontal="left"/>
    </xf>
    <xf numFmtId="2" fontId="0" fillId="13" borderId="25" xfId="0" applyNumberFormat="1" applyFill="1" applyBorder="1" applyAlignment="1">
      <alignment horizontal="center"/>
    </xf>
    <xf numFmtId="2" fontId="0" fillId="13" borderId="9" xfId="0" applyNumberFormat="1" applyFill="1" applyBorder="1" applyAlignment="1">
      <alignment horizontal="center"/>
    </xf>
    <xf numFmtId="2" fontId="0" fillId="13" borderId="24" xfId="0" applyNumberFormat="1" applyFill="1" applyBorder="1" applyAlignment="1">
      <alignment horizontal="center"/>
    </xf>
    <xf numFmtId="2" fontId="42" fillId="5" borderId="25" xfId="1" applyNumberFormat="1" applyFont="1" applyFill="1" applyBorder="1" applyAlignment="1">
      <alignment horizontal="center" vertical="center"/>
    </xf>
    <xf numFmtId="2" fontId="42" fillId="5" borderId="9" xfId="1" applyNumberFormat="1" applyFont="1" applyFill="1" applyBorder="1" applyAlignment="1">
      <alignment horizontal="center" vertical="center"/>
    </xf>
    <xf numFmtId="2" fontId="0" fillId="5" borderId="9" xfId="0" applyNumberFormat="1" applyFill="1" applyBorder="1" applyAlignment="1">
      <alignment horizontal="center" vertical="center"/>
    </xf>
    <xf numFmtId="2" fontId="0" fillId="9" borderId="25" xfId="0" applyNumberFormat="1" applyFill="1" applyBorder="1" applyAlignment="1">
      <alignment horizontal="center" vertical="center"/>
    </xf>
    <xf numFmtId="2" fontId="0" fillId="9" borderId="37" xfId="0" applyNumberFormat="1" applyFill="1" applyBorder="1" applyAlignment="1">
      <alignment horizontal="center" vertical="center"/>
    </xf>
    <xf numFmtId="2" fontId="29" fillId="0" borderId="0" xfId="0" applyNumberFormat="1" applyFont="1"/>
    <xf numFmtId="2" fontId="18" fillId="0" borderId="0" xfId="0" applyNumberFormat="1" applyFont="1" applyAlignment="1">
      <alignment horizontal="left" vertical="center" wrapText="1"/>
    </xf>
    <xf numFmtId="2" fontId="33" fillId="0" borderId="0" xfId="0" applyNumberFormat="1" applyFont="1" applyAlignment="1">
      <alignment horizontal="center" vertical="center" wrapText="1"/>
    </xf>
    <xf numFmtId="0" fontId="10" fillId="0" borderId="0" xfId="0" applyFont="1" applyAlignment="1">
      <alignment horizontal="center" vertical="top" wrapText="1"/>
    </xf>
    <xf numFmtId="0" fontId="0" fillId="0" borderId="2" xfId="0" applyBorder="1" applyAlignment="1">
      <alignment horizontal="center" vertical="center" wrapText="1"/>
    </xf>
    <xf numFmtId="0" fontId="0" fillId="0" borderId="25" xfId="0" applyBorder="1" applyAlignment="1">
      <alignment horizontal="center" vertical="center" wrapText="1"/>
    </xf>
    <xf numFmtId="9" fontId="10" fillId="0" borderId="7" xfId="0" applyNumberFormat="1" applyFont="1" applyBorder="1" applyAlignment="1">
      <alignment horizontal="center" vertical="center" wrapText="1"/>
    </xf>
    <xf numFmtId="1" fontId="10" fillId="0" borderId="8" xfId="0" applyNumberFormat="1" applyFont="1" applyBorder="1" applyAlignment="1">
      <alignment horizontal="center" vertical="center" wrapText="1"/>
    </xf>
    <xf numFmtId="1" fontId="10" fillId="0" borderId="1" xfId="0" applyNumberFormat="1" applyFont="1" applyBorder="1" applyAlignment="1">
      <alignment horizontal="center" vertical="center" wrapText="1"/>
    </xf>
    <xf numFmtId="2" fontId="10" fillId="0" borderId="8" xfId="0" applyNumberFormat="1" applyFont="1" applyBorder="1" applyAlignment="1">
      <alignment horizontal="center" vertical="center" wrapText="1"/>
    </xf>
    <xf numFmtId="1" fontId="10" fillId="0" borderId="7" xfId="0" applyNumberFormat="1" applyFont="1" applyBorder="1" applyAlignment="1">
      <alignment horizontal="center" vertical="center" wrapText="1"/>
    </xf>
    <xf numFmtId="0" fontId="54" fillId="0" borderId="8" xfId="0" applyFont="1" applyBorder="1" applyAlignment="1">
      <alignment horizontal="center" vertical="center" wrapText="1"/>
    </xf>
    <xf numFmtId="0" fontId="54" fillId="0" borderId="7" xfId="0" applyFont="1" applyBorder="1" applyAlignment="1">
      <alignment horizontal="center" vertical="center" wrapText="1"/>
    </xf>
    <xf numFmtId="0" fontId="55" fillId="0" borderId="7" xfId="0" applyFont="1" applyBorder="1" applyAlignment="1">
      <alignment horizontal="center" vertical="center" wrapText="1"/>
    </xf>
    <xf numFmtId="0" fontId="54" fillId="0" borderId="1" xfId="0" applyFont="1" applyBorder="1" applyAlignment="1">
      <alignment horizontal="center" vertical="center" wrapText="1"/>
    </xf>
    <xf numFmtId="1" fontId="0" fillId="0" borderId="24" xfId="0" applyNumberFormat="1" applyBorder="1" applyAlignment="1">
      <alignment horizontal="center"/>
    </xf>
    <xf numFmtId="2" fontId="44" fillId="0" borderId="0" xfId="0" quotePrefix="1" applyNumberFormat="1" applyFont="1" applyAlignment="1">
      <alignment horizontal="center" vertical="center"/>
    </xf>
    <xf numFmtId="0" fontId="44" fillId="0" borderId="5" xfId="0" applyFont="1" applyBorder="1" applyAlignment="1">
      <alignment horizontal="left"/>
    </xf>
    <xf numFmtId="0" fontId="44" fillId="0" borderId="1" xfId="0" applyFont="1" applyBorder="1" applyAlignment="1">
      <alignment horizontal="left"/>
    </xf>
    <xf numFmtId="0" fontId="44" fillId="0" borderId="25" xfId="0" applyFont="1" applyBorder="1" applyAlignment="1">
      <alignment horizontal="left"/>
    </xf>
    <xf numFmtId="0" fontId="44" fillId="0" borderId="2" xfId="0" applyFont="1" applyBorder="1" applyAlignment="1">
      <alignment horizontal="left"/>
    </xf>
    <xf numFmtId="1" fontId="0" fillId="0" borderId="4" xfId="0" applyNumberFormat="1" applyBorder="1" applyAlignment="1">
      <alignment horizontal="left"/>
    </xf>
    <xf numFmtId="165" fontId="13" fillId="0" borderId="4" xfId="0" applyNumberFormat="1" applyFont="1" applyBorder="1" applyAlignment="1">
      <alignment horizontal="left"/>
    </xf>
    <xf numFmtId="165" fontId="13" fillId="0" borderId="0" xfId="0" applyNumberFormat="1" applyFont="1" applyAlignment="1">
      <alignment horizontal="left"/>
    </xf>
    <xf numFmtId="165" fontId="13" fillId="0" borderId="9" xfId="0" applyNumberFormat="1" applyFont="1" applyBorder="1" applyAlignment="1">
      <alignment horizontal="left"/>
    </xf>
    <xf numFmtId="165" fontId="13" fillId="0" borderId="3" xfId="0" applyNumberFormat="1" applyFont="1" applyBorder="1" applyAlignment="1">
      <alignment horizontal="left"/>
    </xf>
    <xf numFmtId="165" fontId="43" fillId="0" borderId="4" xfId="0" applyNumberFormat="1" applyFont="1" applyBorder="1" applyAlignment="1">
      <alignment horizontal="left"/>
    </xf>
    <xf numFmtId="165" fontId="43" fillId="0" borderId="0" xfId="0" applyNumberFormat="1" applyFont="1" applyAlignment="1">
      <alignment horizontal="left"/>
    </xf>
    <xf numFmtId="165" fontId="43" fillId="0" borderId="9" xfId="0" applyNumberFormat="1" applyFont="1" applyBorder="1" applyAlignment="1">
      <alignment horizontal="left"/>
    </xf>
    <xf numFmtId="165" fontId="43" fillId="0" borderId="3" xfId="0" applyNumberFormat="1" applyFont="1" applyBorder="1" applyAlignment="1">
      <alignment horizontal="left"/>
    </xf>
    <xf numFmtId="0" fontId="0" fillId="10" borderId="7" xfId="0" applyFill="1" applyBorder="1" applyAlignment="1">
      <alignment horizontal="left"/>
    </xf>
    <xf numFmtId="0" fontId="0" fillId="10" borderId="12" xfId="0" applyFill="1" applyBorder="1" applyAlignment="1">
      <alignment horizontal="left"/>
    </xf>
    <xf numFmtId="0" fontId="0" fillId="10" borderId="5" xfId="0" applyFill="1" applyBorder="1" applyAlignment="1">
      <alignment horizontal="left" vertical="center"/>
    </xf>
    <xf numFmtId="0" fontId="0" fillId="10" borderId="4" xfId="0" applyFill="1" applyBorder="1" applyAlignment="1">
      <alignment horizontal="left" vertical="center"/>
    </xf>
    <xf numFmtId="0" fontId="0" fillId="10" borderId="11" xfId="0" applyFill="1" applyBorder="1" applyAlignment="1">
      <alignment horizontal="left" vertical="center"/>
    </xf>
    <xf numFmtId="0" fontId="0" fillId="10" borderId="1" xfId="0" applyFill="1" applyBorder="1" applyAlignment="1">
      <alignment horizontal="left"/>
    </xf>
    <xf numFmtId="0" fontId="0" fillId="10" borderId="0" xfId="0" applyFill="1" applyAlignment="1">
      <alignment horizontal="left"/>
    </xf>
    <xf numFmtId="0" fontId="0" fillId="10" borderId="6" xfId="0" applyFill="1" applyBorder="1" applyAlignment="1">
      <alignment horizontal="left"/>
    </xf>
    <xf numFmtId="0" fontId="0" fillId="10" borderId="8" xfId="0" applyFill="1" applyBorder="1" applyAlignment="1">
      <alignment horizontal="left" vertical="center"/>
    </xf>
    <xf numFmtId="0" fontId="0" fillId="0" borderId="1" xfId="0" applyBorder="1" applyAlignment="1">
      <alignment vertical="center" wrapText="1"/>
    </xf>
    <xf numFmtId="0" fontId="13" fillId="3" borderId="18" xfId="0" applyFont="1" applyFill="1" applyBorder="1" applyAlignment="1">
      <alignment vertical="center"/>
    </xf>
    <xf numFmtId="167" fontId="0" fillId="3" borderId="0" xfId="0" applyNumberFormat="1" applyFill="1" applyAlignment="1">
      <alignment horizontal="center" vertical="center"/>
    </xf>
    <xf numFmtId="169" fontId="0" fillId="3" borderId="0" xfId="0" applyNumberFormat="1" applyFill="1" applyAlignment="1">
      <alignment horizontal="center" vertical="center"/>
    </xf>
    <xf numFmtId="165" fontId="13" fillId="3" borderId="0" xfId="0" applyNumberFormat="1" applyFont="1" applyFill="1" applyAlignment="1">
      <alignment horizontal="center" vertical="center"/>
    </xf>
    <xf numFmtId="0" fontId="13" fillId="3" borderId="0" xfId="0" applyFont="1" applyFill="1" applyAlignment="1">
      <alignment vertical="center"/>
    </xf>
    <xf numFmtId="0" fontId="13" fillId="3" borderId="1" xfId="0" applyFont="1" applyFill="1" applyBorder="1" applyAlignment="1">
      <alignment vertical="center"/>
    </xf>
    <xf numFmtId="11" fontId="13" fillId="3" borderId="0" xfId="0" applyNumberFormat="1" applyFont="1" applyFill="1" applyAlignment="1">
      <alignment vertical="center"/>
    </xf>
    <xf numFmtId="165" fontId="13" fillId="3" borderId="1" xfId="0" applyNumberFormat="1" applyFont="1" applyFill="1" applyBorder="1" applyAlignment="1">
      <alignment vertical="center"/>
    </xf>
    <xf numFmtId="165" fontId="13" fillId="3" borderId="0" xfId="0" applyNumberFormat="1" applyFont="1" applyFill="1" applyAlignment="1">
      <alignment vertical="center"/>
    </xf>
    <xf numFmtId="2" fontId="13" fillId="3" borderId="0" xfId="0" applyNumberFormat="1" applyFont="1" applyFill="1" applyAlignment="1">
      <alignment vertical="center"/>
    </xf>
    <xf numFmtId="164" fontId="13" fillId="3" borderId="0" xfId="0" applyNumberFormat="1" applyFont="1" applyFill="1" applyAlignment="1">
      <alignment horizontal="center" vertical="center"/>
    </xf>
    <xf numFmtId="2" fontId="10" fillId="3" borderId="0" xfId="0" applyNumberFormat="1" applyFont="1" applyFill="1" applyAlignment="1">
      <alignment horizontal="center" vertical="center"/>
    </xf>
    <xf numFmtId="1" fontId="13" fillId="3" borderId="0" xfId="0" applyNumberFormat="1" applyFont="1" applyFill="1" applyAlignment="1">
      <alignment vertical="center"/>
    </xf>
    <xf numFmtId="0" fontId="14" fillId="3" borderId="0" xfId="0" applyFont="1" applyFill="1" applyAlignment="1">
      <alignment vertical="center"/>
    </xf>
    <xf numFmtId="1" fontId="14" fillId="3" borderId="1" xfId="0" applyNumberFormat="1" applyFont="1" applyFill="1" applyBorder="1" applyAlignment="1">
      <alignment horizontal="center" vertical="center"/>
    </xf>
    <xf numFmtId="1" fontId="13" fillId="3" borderId="0" xfId="0" applyNumberFormat="1" applyFont="1" applyFill="1" applyAlignment="1">
      <alignment horizontal="center" vertical="center"/>
    </xf>
    <xf numFmtId="165" fontId="14" fillId="3" borderId="0" xfId="0" applyNumberFormat="1" applyFont="1" applyFill="1" applyAlignment="1">
      <alignment horizontal="center" vertical="center"/>
    </xf>
    <xf numFmtId="2" fontId="13" fillId="3" borderId="0" xfId="0" applyNumberFormat="1" applyFont="1" applyFill="1" applyAlignment="1">
      <alignment horizontal="center" vertical="center"/>
    </xf>
    <xf numFmtId="0" fontId="0" fillId="3" borderId="1" xfId="0" applyFill="1" applyBorder="1" applyAlignment="1">
      <alignment vertical="center"/>
    </xf>
    <xf numFmtId="0" fontId="0" fillId="3" borderId="0" xfId="0" applyFill="1" applyAlignment="1">
      <alignment vertical="center"/>
    </xf>
    <xf numFmtId="0" fontId="95" fillId="2" borderId="0" xfId="0" applyFont="1" applyFill="1" applyAlignment="1">
      <alignment vertical="center"/>
    </xf>
    <xf numFmtId="2" fontId="13" fillId="3" borderId="18" xfId="0" applyNumberFormat="1" applyFont="1" applyFill="1" applyBorder="1" applyAlignment="1">
      <alignment vertical="center"/>
    </xf>
    <xf numFmtId="1" fontId="0" fillId="3" borderId="1" xfId="0" applyNumberFormat="1" applyFill="1" applyBorder="1" applyAlignment="1">
      <alignment horizontal="center" vertical="center"/>
    </xf>
    <xf numFmtId="0" fontId="13" fillId="3" borderId="19" xfId="0" applyFont="1" applyFill="1" applyBorder="1" applyAlignment="1">
      <alignment horizontal="center" vertical="center"/>
    </xf>
    <xf numFmtId="0" fontId="117" fillId="0" borderId="0" xfId="0" applyFont="1" applyAlignment="1">
      <alignment vertical="center"/>
    </xf>
    <xf numFmtId="0" fontId="23" fillId="0" borderId="0" xfId="0" applyFont="1" applyAlignment="1">
      <alignment vertical="center"/>
    </xf>
    <xf numFmtId="0" fontId="73" fillId="0" borderId="0" xfId="14" applyFont="1"/>
    <xf numFmtId="0" fontId="72" fillId="0" borderId="0" xfId="14" applyFont="1"/>
    <xf numFmtId="0" fontId="120" fillId="0" borderId="0" xfId="19" applyFont="1"/>
    <xf numFmtId="0" fontId="121" fillId="0" borderId="0" xfId="14" applyFont="1"/>
    <xf numFmtId="0" fontId="62" fillId="0" borderId="0" xfId="14" applyFont="1"/>
    <xf numFmtId="0" fontId="112" fillId="10" borderId="5" xfId="14" applyFont="1" applyFill="1" applyBorder="1" applyAlignment="1">
      <alignment horizontal="center" vertical="center" wrapText="1"/>
    </xf>
    <xf numFmtId="0" fontId="112" fillId="10" borderId="4" xfId="14" applyFont="1" applyFill="1" applyBorder="1" applyAlignment="1">
      <alignment horizontal="center" vertical="center" wrapText="1"/>
    </xf>
    <xf numFmtId="0" fontId="112" fillId="10" borderId="11" xfId="14" applyFont="1" applyFill="1" applyBorder="1" applyAlignment="1">
      <alignment horizontal="center" vertical="center" wrapText="1"/>
    </xf>
    <xf numFmtId="0" fontId="112" fillId="10" borderId="1" xfId="14" applyFont="1" applyFill="1" applyBorder="1" applyAlignment="1">
      <alignment horizontal="center" vertical="center" wrapText="1"/>
    </xf>
    <xf numFmtId="0" fontId="112" fillId="10" borderId="0" xfId="14" applyFont="1" applyFill="1" applyAlignment="1">
      <alignment horizontal="center" vertical="center" wrapText="1"/>
    </xf>
    <xf numFmtId="0" fontId="112" fillId="10" borderId="6" xfId="14" applyFont="1" applyFill="1" applyBorder="1" applyAlignment="1">
      <alignment horizontal="center" vertical="center" wrapText="1"/>
    </xf>
    <xf numFmtId="0" fontId="112" fillId="10" borderId="8" xfId="14" applyFont="1" applyFill="1" applyBorder="1" applyAlignment="1">
      <alignment horizontal="center" vertical="center" wrapText="1"/>
    </xf>
    <xf numFmtId="0" fontId="112" fillId="10" borderId="7" xfId="14" applyFont="1" applyFill="1" applyBorder="1" applyAlignment="1">
      <alignment horizontal="center" vertical="center" wrapText="1"/>
    </xf>
    <xf numFmtId="0" fontId="112" fillId="10" borderId="12" xfId="14" applyFont="1" applyFill="1" applyBorder="1" applyAlignment="1">
      <alignment horizontal="center" vertical="center" wrapText="1"/>
    </xf>
    <xf numFmtId="0" fontId="41" fillId="13" borderId="15" xfId="14" applyFont="1" applyFill="1" applyBorder="1" applyAlignment="1">
      <alignment horizontal="center" vertical="center"/>
    </xf>
    <xf numFmtId="0" fontId="41" fillId="13" borderId="14" xfId="14" applyFont="1" applyFill="1" applyBorder="1" applyAlignment="1">
      <alignment horizontal="center" vertical="center"/>
    </xf>
    <xf numFmtId="0" fontId="41" fillId="13" borderId="13" xfId="14" applyFont="1" applyFill="1" applyBorder="1" applyAlignment="1">
      <alignment horizontal="center" vertical="center"/>
    </xf>
    <xf numFmtId="0" fontId="41" fillId="9" borderId="15" xfId="14" applyFont="1" applyFill="1" applyBorder="1" applyAlignment="1">
      <alignment horizontal="center" vertical="center"/>
    </xf>
    <xf numFmtId="0" fontId="41" fillId="9" borderId="14" xfId="14" applyFont="1" applyFill="1" applyBorder="1" applyAlignment="1">
      <alignment horizontal="center" vertical="center"/>
    </xf>
    <xf numFmtId="0" fontId="41" fillId="9" borderId="13" xfId="14" applyFont="1" applyFill="1" applyBorder="1" applyAlignment="1">
      <alignment horizontal="center" vertical="center"/>
    </xf>
    <xf numFmtId="0" fontId="72" fillId="0" borderId="15" xfId="14" applyFont="1" applyBorder="1" applyAlignment="1">
      <alignment horizontal="center" vertical="center"/>
    </xf>
    <xf numFmtId="0" fontId="72" fillId="0" borderId="14" xfId="14" applyFont="1" applyBorder="1" applyAlignment="1">
      <alignment horizontal="center" vertical="center"/>
    </xf>
    <xf numFmtId="0" fontId="72" fillId="0" borderId="13" xfId="14" applyFont="1" applyBorder="1" applyAlignment="1">
      <alignment horizontal="center" vertical="center"/>
    </xf>
    <xf numFmtId="0" fontId="41" fillId="0" borderId="15" xfId="16" applyFont="1" applyBorder="1" applyAlignment="1">
      <alignment horizontal="center" vertical="center"/>
    </xf>
    <xf numFmtId="0" fontId="41" fillId="0" borderId="14" xfId="16" applyFont="1" applyBorder="1" applyAlignment="1">
      <alignment horizontal="center" vertical="center"/>
    </xf>
    <xf numFmtId="0" fontId="41" fillId="0" borderId="13" xfId="16" applyFont="1" applyBorder="1" applyAlignment="1">
      <alignment horizontal="center" vertical="center"/>
    </xf>
    <xf numFmtId="0" fontId="26" fillId="0" borderId="15" xfId="16" applyFont="1" applyBorder="1" applyAlignment="1">
      <alignment horizontal="center" vertical="center"/>
    </xf>
    <xf numFmtId="0" fontId="26" fillId="0" borderId="14" xfId="16" applyFont="1" applyBorder="1" applyAlignment="1">
      <alignment horizontal="center" vertical="center"/>
    </xf>
    <xf numFmtId="0" fontId="26" fillId="0" borderId="13" xfId="16" applyFont="1" applyBorder="1" applyAlignment="1">
      <alignment horizontal="center" vertical="center"/>
    </xf>
    <xf numFmtId="0" fontId="41" fillId="9" borderId="15" xfId="16" applyFont="1" applyFill="1" applyBorder="1" applyAlignment="1">
      <alignment horizontal="center" vertical="center"/>
    </xf>
    <xf numFmtId="0" fontId="41" fillId="9" borderId="14" xfId="16" applyFont="1" applyFill="1" applyBorder="1" applyAlignment="1">
      <alignment horizontal="center" vertical="center"/>
    </xf>
    <xf numFmtId="0" fontId="41" fillId="9" borderId="13" xfId="16" applyFont="1" applyFill="1" applyBorder="1" applyAlignment="1">
      <alignment horizontal="center" vertical="center"/>
    </xf>
    <xf numFmtId="0" fontId="41" fillId="6" borderId="15" xfId="16" applyFont="1" applyFill="1" applyBorder="1" applyAlignment="1">
      <alignment horizontal="center" vertical="center"/>
    </xf>
    <xf numFmtId="0" fontId="41" fillId="6" borderId="14" xfId="16" applyFont="1" applyFill="1" applyBorder="1" applyAlignment="1">
      <alignment horizontal="center" vertical="center"/>
    </xf>
    <xf numFmtId="0" fontId="41" fillId="6" borderId="13" xfId="16" applyFont="1" applyFill="1" applyBorder="1" applyAlignment="1">
      <alignment horizontal="center" vertical="center"/>
    </xf>
    <xf numFmtId="0" fontId="50" fillId="0" borderId="0" xfId="14" applyFont="1" applyAlignment="1">
      <alignment horizontal="left" vertical="center" wrapText="1"/>
    </xf>
    <xf numFmtId="0" fontId="19" fillId="0" borderId="5" xfId="0" applyFont="1" applyBorder="1" applyAlignment="1">
      <alignment horizontal="left" vertical="center" wrapText="1"/>
    </xf>
    <xf numFmtId="0" fontId="19" fillId="0" borderId="4" xfId="0" applyFont="1" applyBorder="1" applyAlignment="1">
      <alignment horizontal="left" vertical="center" wrapText="1"/>
    </xf>
    <xf numFmtId="0" fontId="19" fillId="0" borderId="11" xfId="0" applyFont="1" applyBorder="1" applyAlignment="1">
      <alignment horizontal="left" vertical="center" wrapText="1"/>
    </xf>
    <xf numFmtId="0" fontId="19" fillId="0" borderId="1" xfId="0" applyFont="1" applyBorder="1" applyAlignment="1">
      <alignment horizontal="left" vertical="center" wrapText="1"/>
    </xf>
    <xf numFmtId="0" fontId="19" fillId="0" borderId="0" xfId="0" applyFont="1" applyAlignment="1">
      <alignment horizontal="left" vertical="center" wrapText="1"/>
    </xf>
    <xf numFmtId="0" fontId="19" fillId="0" borderId="6" xfId="0" applyFont="1" applyBorder="1" applyAlignment="1">
      <alignment horizontal="left" vertical="center" wrapText="1"/>
    </xf>
    <xf numFmtId="0" fontId="19" fillId="0" borderId="8" xfId="0" applyFont="1" applyBorder="1" applyAlignment="1">
      <alignment horizontal="left" vertical="center" wrapText="1"/>
    </xf>
    <xf numFmtId="0" fontId="19" fillId="0" borderId="7" xfId="0" applyFont="1" applyBorder="1" applyAlignment="1">
      <alignment horizontal="left" vertical="center" wrapText="1"/>
    </xf>
    <xf numFmtId="0" fontId="19" fillId="0" borderId="12" xfId="0" applyFont="1" applyBorder="1" applyAlignment="1">
      <alignment horizontal="left"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0" fillId="0" borderId="11" xfId="0"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wrapText="1"/>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0" fillId="0" borderId="7" xfId="0" applyBorder="1" applyAlignment="1">
      <alignment horizontal="center" vertical="center" wrapText="1"/>
    </xf>
    <xf numFmtId="0" fontId="0" fillId="0" borderId="12" xfId="0" applyBorder="1" applyAlignment="1">
      <alignment horizontal="center" vertical="center" wrapText="1"/>
    </xf>
    <xf numFmtId="0" fontId="0" fillId="10" borderId="1" xfId="0" applyFill="1" applyBorder="1" applyAlignment="1">
      <alignment horizontal="left" vertical="center" wrapText="1"/>
    </xf>
    <xf numFmtId="0" fontId="0" fillId="10" borderId="0" xfId="0" applyFill="1" applyAlignment="1">
      <alignment horizontal="left" vertical="center" wrapText="1"/>
    </xf>
    <xf numFmtId="0" fontId="0" fillId="10" borderId="6" xfId="0" applyFill="1" applyBorder="1" applyAlignment="1">
      <alignment horizontal="left" vertical="center" wrapText="1"/>
    </xf>
  </cellXfs>
  <cellStyles count="20">
    <cellStyle name="Hyperlink" xfId="19" builtinId="8"/>
    <cellStyle name="Normal" xfId="0" builtinId="0"/>
    <cellStyle name="Normal 10" xfId="14" xr:uid="{C0538F07-6B50-4826-9AA7-D5AB717D8B58}"/>
    <cellStyle name="Normal 11" xfId="18" xr:uid="{77E12DA5-C40D-44E6-835D-2298EAF313F1}"/>
    <cellStyle name="Normal 2" xfId="1" xr:uid="{00000000-0005-0000-0000-000001000000}"/>
    <cellStyle name="Normal 2 2" xfId="16" xr:uid="{AD52BCEF-E7B4-4AF8-9D9C-7D4649BAB91E}"/>
    <cellStyle name="Normal 3" xfId="2" xr:uid="{00000000-0005-0000-0000-000002000000}"/>
    <cellStyle name="Normal 3 2" xfId="15" xr:uid="{00666A4F-3CDB-4BDD-B64E-259B6C600768}"/>
    <cellStyle name="Normal 4" xfId="4" xr:uid="{00000000-0005-0000-0000-000003000000}"/>
    <cellStyle name="Normal 4 2" xfId="7" xr:uid="{00000000-0005-0000-0000-000004000000}"/>
    <cellStyle name="Normal 5" xfId="6" xr:uid="{00000000-0005-0000-0000-000005000000}"/>
    <cellStyle name="Normal 6" xfId="9" xr:uid="{00000000-0005-0000-0000-000006000000}"/>
    <cellStyle name="Normal 7" xfId="10" xr:uid="{00000000-0005-0000-0000-000007000000}"/>
    <cellStyle name="Normal 8" xfId="12" xr:uid="{00000000-0005-0000-0000-000008000000}"/>
    <cellStyle name="Normal 9" xfId="13" xr:uid="{00000000-0005-0000-0000-000009000000}"/>
    <cellStyle name="Percent" xfId="3" builtinId="5"/>
    <cellStyle name="Percent 2" xfId="5" xr:uid="{00000000-0005-0000-0000-00000C000000}"/>
    <cellStyle name="Percent 3" xfId="8" xr:uid="{00000000-0005-0000-0000-00000D000000}"/>
    <cellStyle name="Percent 4" xfId="17" xr:uid="{5FAA976E-4498-4679-AC68-C299351E8CE0}"/>
    <cellStyle name="TableStyleLight1" xfId="11" xr:uid="{00000000-0005-0000-0000-00000E000000}"/>
  </cellStyles>
  <dxfs count="85">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theme="3"/>
      </font>
      <fill>
        <patternFill>
          <bgColor theme="3" tint="0.79998168889431442"/>
        </patternFill>
      </fill>
    </dxf>
    <dxf>
      <font>
        <color rgb="FF006100"/>
      </font>
      <fill>
        <patternFill>
          <bgColor rgb="FFC6EFCE"/>
        </patternFill>
      </fill>
    </dxf>
    <dxf>
      <fill>
        <patternFill patternType="none">
          <bgColor auto="1"/>
        </patternFill>
      </fill>
    </dxf>
    <dxf>
      <font>
        <b val="0"/>
        <i/>
        <color theme="3"/>
      </font>
      <fill>
        <patternFill patternType="none">
          <bgColor auto="1"/>
        </patternFill>
      </fill>
    </dxf>
    <dxf>
      <font>
        <b val="0"/>
        <i/>
        <color theme="3"/>
      </font>
      <fill>
        <patternFill patternType="none">
          <bgColor auto="1"/>
        </patternFill>
      </fill>
    </dxf>
    <dxf>
      <font>
        <b val="0"/>
        <i/>
        <color theme="3"/>
      </font>
      <fill>
        <patternFill patternType="none">
          <bgColor auto="1"/>
        </patternFill>
      </fill>
    </dxf>
    <dxf>
      <font>
        <b val="0"/>
        <i/>
        <color theme="3"/>
      </font>
      <fill>
        <patternFill patternType="none">
          <bgColor auto="1"/>
        </patternFill>
      </fill>
    </dxf>
    <dxf>
      <font>
        <b val="0"/>
        <i/>
        <color theme="3"/>
      </font>
      <fill>
        <patternFill patternType="none">
          <bgColor auto="1"/>
        </patternFill>
      </fill>
    </dxf>
    <dxf>
      <font>
        <b val="0"/>
        <i/>
        <color theme="3"/>
      </font>
      <fill>
        <patternFill patternType="none">
          <bgColor auto="1"/>
        </patternFill>
      </fill>
    </dxf>
    <dxf>
      <font>
        <b val="0"/>
        <i/>
        <color theme="3"/>
      </font>
      <fill>
        <patternFill patternType="none">
          <bgColor auto="1"/>
        </patternFill>
      </fill>
    </dxf>
    <dxf>
      <font>
        <b val="0"/>
        <i/>
        <color theme="3"/>
      </font>
      <fill>
        <patternFill patternType="none">
          <bgColor auto="1"/>
        </patternFill>
      </fill>
    </dxf>
    <dxf>
      <font>
        <b val="0"/>
        <i/>
        <color theme="3"/>
      </font>
      <fill>
        <patternFill patternType="none">
          <bgColor auto="1"/>
        </patternFill>
      </fill>
    </dxf>
    <dxf>
      <font>
        <b val="0"/>
        <i/>
        <color theme="3"/>
      </font>
      <fill>
        <patternFill patternType="none">
          <bgColor auto="1"/>
        </patternFill>
      </fill>
    </dxf>
    <dxf>
      <font>
        <b val="0"/>
        <i/>
        <color theme="3"/>
      </font>
      <fill>
        <patternFill patternType="none">
          <bgColor auto="1"/>
        </patternFill>
      </fill>
    </dxf>
    <dxf>
      <font>
        <b val="0"/>
        <i/>
      </font>
    </dxf>
    <dxf>
      <font>
        <b val="0"/>
        <i/>
        <strike val="0"/>
      </font>
    </dxf>
    <dxf>
      <font>
        <b val="0"/>
        <i/>
      </font>
    </dxf>
    <dxf>
      <font>
        <b val="0"/>
        <i/>
        <strike val="0"/>
      </font>
    </dxf>
    <dxf>
      <font>
        <b val="0"/>
        <i/>
      </font>
    </dxf>
    <dxf>
      <font>
        <b val="0"/>
        <i/>
        <strike val="0"/>
      </font>
    </dxf>
    <dxf>
      <font>
        <b val="0"/>
        <i/>
      </font>
    </dxf>
    <dxf>
      <font>
        <b val="0"/>
        <i/>
        <strike val="0"/>
      </font>
    </dxf>
    <dxf>
      <font>
        <b val="0"/>
        <i/>
      </font>
    </dxf>
    <dxf>
      <font>
        <b val="0"/>
        <i/>
        <strike val="0"/>
      </font>
    </dxf>
    <dxf>
      <font>
        <b val="0"/>
        <i/>
      </font>
    </dxf>
    <dxf>
      <font>
        <b val="0"/>
        <i/>
        <strike val="0"/>
      </font>
    </dxf>
    <dxf>
      <font>
        <b val="0"/>
        <i/>
      </font>
    </dxf>
    <dxf>
      <font>
        <b val="0"/>
        <i/>
        <strike val="0"/>
      </font>
    </dxf>
    <dxf>
      <font>
        <b val="0"/>
        <i/>
      </font>
    </dxf>
    <dxf>
      <font>
        <b val="0"/>
        <i/>
        <strike val="0"/>
      </font>
    </dxf>
    <dxf>
      <font>
        <b val="0"/>
        <i/>
      </font>
    </dxf>
    <dxf>
      <font>
        <b val="0"/>
        <i/>
        <strike val="0"/>
      </font>
    </dxf>
    <dxf>
      <font>
        <b val="0"/>
        <i/>
      </font>
    </dxf>
    <dxf>
      <font>
        <b val="0"/>
        <i/>
        <strike val="0"/>
      </font>
    </dxf>
    <dxf>
      <font>
        <b val="0"/>
        <i/>
      </font>
    </dxf>
    <dxf>
      <font>
        <b val="0"/>
        <i/>
        <strike val="0"/>
      </font>
    </dxf>
    <dxf>
      <font>
        <b val="0"/>
        <i/>
        <strike val="0"/>
      </font>
    </dxf>
    <dxf>
      <font>
        <b val="0"/>
        <i/>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3"/>
      </font>
      <fill>
        <patternFill>
          <bgColor theme="3" tint="0.79998168889431442"/>
        </patternFill>
      </fill>
    </dxf>
    <dxf>
      <font>
        <color rgb="FF006100"/>
      </font>
      <fill>
        <patternFill>
          <bgColor rgb="FFC6EFCE"/>
        </patternFill>
      </fill>
    </dxf>
    <dxf>
      <fill>
        <patternFill>
          <bgColor rgb="FFFFFF00"/>
        </patternFill>
      </fill>
    </dxf>
    <dxf>
      <font>
        <color auto="1"/>
      </font>
      <fill>
        <patternFill>
          <bgColor rgb="FFFFEB9C"/>
        </patternFill>
      </fill>
    </dxf>
    <dxf>
      <font>
        <color auto="1"/>
      </font>
      <fill>
        <patternFill>
          <bgColor rgb="FFC6EFCE"/>
        </patternFill>
      </fill>
    </dxf>
    <dxf>
      <font>
        <color auto="1"/>
      </font>
      <fill>
        <patternFill>
          <bgColor theme="3" tint="0.7999816888943144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3"/>
      </font>
      <fill>
        <patternFill>
          <bgColor theme="3" tint="0.79998168889431442"/>
        </patternFill>
      </fill>
    </dxf>
    <dxf>
      <font>
        <color rgb="FF006100"/>
      </font>
      <fill>
        <patternFill>
          <bgColor rgb="FFC6EFCE"/>
        </patternFill>
      </fill>
    </dxf>
    <dxf>
      <fill>
        <patternFill>
          <bgColor rgb="FFFFFF00"/>
        </patternFill>
      </fill>
    </dxf>
    <dxf>
      <font>
        <color theme="3"/>
      </font>
      <fill>
        <patternFill>
          <bgColor theme="3" tint="0.79998168889431442"/>
        </patternFill>
      </fill>
    </dxf>
    <dxf>
      <font>
        <color rgb="FF006100"/>
      </font>
      <fill>
        <patternFill>
          <bgColor rgb="FFC6EFCE"/>
        </patternFill>
      </fill>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8E5"/>
      <color rgb="FFFFF2CC"/>
      <color rgb="FFFFFF33"/>
      <color rgb="FFC6EFCE"/>
      <color rgb="FF006100"/>
      <color rgb="FFCCC700"/>
      <color rgb="FFFF8585"/>
      <color rgb="FFFF8B8B"/>
      <color rgb="FF6B9EDB"/>
      <color rgb="FFBCB8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txDef>
      <a:spPr>
        <a:solidFill>
          <a:schemeClr val="accent2"/>
        </a:solidFill>
        <a:ln w="9525" cmpd="sng">
          <a:solidFill>
            <a:schemeClr val="lt1">
              <a:shade val="50000"/>
            </a:schemeClr>
          </a:solidFill>
        </a:ln>
      </a:spPr>
      <a:bodyPr vertOverflow="clip" horzOverflow="clip" wrap="square" rtlCol="0" anchor="t"/>
      <a:lstStyle>
        <a:defPPr algn="l">
          <a:defRPr sz="1100"/>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oi.org/10.1016/j.epsl.2024.118579"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395C6-40E6-4A6E-A8A6-AB7228D8A304}">
  <sheetPr codeName="Sheet1"/>
  <dimension ref="A1:K30"/>
  <sheetViews>
    <sheetView tabSelected="1" workbookViewId="0"/>
  </sheetViews>
  <sheetFormatPr defaultColWidth="9" defaultRowHeight="15"/>
  <cols>
    <col min="1" max="16384" width="9" style="71"/>
  </cols>
  <sheetData>
    <row r="1" spans="1:11">
      <c r="A1" s="70" t="s">
        <v>315</v>
      </c>
    </row>
    <row r="2" spans="1:11" ht="14.45" customHeight="1">
      <c r="A2" s="1091" t="s">
        <v>928</v>
      </c>
      <c r="B2" s="1092"/>
      <c r="C2" s="1092"/>
      <c r="D2" s="1092"/>
      <c r="E2" s="1092"/>
      <c r="F2" s="1092"/>
      <c r="G2" s="1092"/>
      <c r="H2" s="1092"/>
      <c r="I2" s="1092"/>
      <c r="J2" s="1092"/>
      <c r="K2" s="1093"/>
    </row>
    <row r="3" spans="1:11" ht="22.15" customHeight="1">
      <c r="A3" s="1094"/>
      <c r="B3" s="1095"/>
      <c r="C3" s="1095"/>
      <c r="D3" s="1095"/>
      <c r="E3" s="1095"/>
      <c r="F3" s="1095"/>
      <c r="G3" s="1095"/>
      <c r="H3" s="1095"/>
      <c r="I3" s="1095"/>
      <c r="J3" s="1095"/>
      <c r="K3" s="1096"/>
    </row>
    <row r="4" spans="1:11" ht="14.45" customHeight="1">
      <c r="A4" s="1097"/>
      <c r="B4" s="1098"/>
      <c r="C4" s="1098"/>
      <c r="D4" s="1098"/>
      <c r="E4" s="1098"/>
      <c r="F4" s="1098"/>
      <c r="G4" s="1098"/>
      <c r="H4" s="1098"/>
      <c r="I4" s="1098"/>
      <c r="J4" s="1098"/>
      <c r="K4" s="1099"/>
    </row>
    <row r="5" spans="1:11" s="1086" customFormat="1" ht="18">
      <c r="A5" s="1086" t="s">
        <v>1501</v>
      </c>
    </row>
    <row r="6" spans="1:11" s="1086" customFormat="1" ht="15.75"/>
    <row r="7" spans="1:11">
      <c r="A7" s="1084" t="s">
        <v>1498</v>
      </c>
    </row>
    <row r="8" spans="1:11">
      <c r="A8" s="1084" t="s">
        <v>1499</v>
      </c>
    </row>
    <row r="9" spans="1:11">
      <c r="A9" s="1084" t="s">
        <v>1500</v>
      </c>
    </row>
    <row r="10" spans="1:11">
      <c r="A10" s="1085" t="s">
        <v>1497</v>
      </c>
    </row>
    <row r="11" spans="1:11">
      <c r="A11" s="72"/>
    </row>
    <row r="12" spans="1:11" ht="15.75">
      <c r="A12" s="1087" t="s">
        <v>1492</v>
      </c>
    </row>
    <row r="13" spans="1:11" ht="15.75">
      <c r="A13" s="1088" t="s">
        <v>1496</v>
      </c>
    </row>
    <row r="16" spans="1:11" ht="15.75">
      <c r="A16" s="1089" t="s">
        <v>732</v>
      </c>
    </row>
    <row r="17" spans="1:7" ht="15.75">
      <c r="A17" s="1090" t="s">
        <v>929</v>
      </c>
    </row>
    <row r="18" spans="1:7" ht="15.75">
      <c r="A18" s="1090" t="s">
        <v>1504</v>
      </c>
      <c r="G18" s="74"/>
    </row>
    <row r="19" spans="1:7" s="75" customFormat="1" ht="15.75">
      <c r="A19" s="1090" t="s">
        <v>731</v>
      </c>
    </row>
    <row r="20" spans="1:7" ht="18.75">
      <c r="A20" s="1090" t="s">
        <v>1503</v>
      </c>
    </row>
    <row r="21" spans="1:7" ht="18.75">
      <c r="A21" s="1090" t="s">
        <v>1505</v>
      </c>
    </row>
    <row r="22" spans="1:7" ht="15.75">
      <c r="A22" s="1090" t="s">
        <v>1502</v>
      </c>
    </row>
    <row r="23" spans="1:7">
      <c r="A23" s="73"/>
    </row>
    <row r="24" spans="1:7" s="75" customFormat="1">
      <c r="A24" s="73"/>
    </row>
    <row r="25" spans="1:7" s="75" customFormat="1">
      <c r="A25" s="73"/>
    </row>
    <row r="30" spans="1:7">
      <c r="A30" s="75"/>
    </row>
  </sheetData>
  <mergeCells count="1">
    <mergeCell ref="A2:K4"/>
  </mergeCells>
  <hyperlinks>
    <hyperlink ref="A13" r:id="rId1" xr:uid="{3A690BD2-2D87-4AF3-AE86-B127FF1C441E}"/>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DF302"/>
  <sheetViews>
    <sheetView zoomScale="90" zoomScaleNormal="90" workbookViewId="0">
      <pane xSplit="10755" ySplit="1635"/>
      <selection pane="topRight" activeCell="AF1" sqref="AF1:AF1048576"/>
      <selection pane="bottomLeft" activeCell="A4" sqref="A4"/>
      <selection pane="bottomRight"/>
    </sheetView>
  </sheetViews>
  <sheetFormatPr defaultRowHeight="12"/>
  <cols>
    <col min="1" max="1" width="22.28515625" customWidth="1"/>
    <col min="2" max="2" width="15.28515625" customWidth="1"/>
    <col min="3" max="3" width="18.140625" style="34" customWidth="1"/>
    <col min="4" max="4" width="10.5703125" customWidth="1"/>
    <col min="5" max="5" width="14" style="536" customWidth="1"/>
    <col min="6" max="6" width="14" style="538" customWidth="1"/>
    <col min="7" max="7" width="15.28515625" style="34" customWidth="1"/>
    <col min="8" max="8" width="10.85546875" customWidth="1"/>
    <col min="9" max="9" width="12.85546875" style="24" customWidth="1"/>
    <col min="10" max="10" width="20" customWidth="1"/>
    <col min="11" max="11" width="10.5703125" customWidth="1"/>
    <col min="12" max="13" width="9.85546875" customWidth="1"/>
    <col min="14" max="15" width="10.140625" customWidth="1"/>
    <col min="16" max="16" width="9.7109375" customWidth="1"/>
    <col min="17" max="17" width="10.140625" style="783" customWidth="1"/>
    <col min="18" max="18" width="12.85546875" customWidth="1"/>
    <col min="19" max="19" width="16.140625" style="34" customWidth="1"/>
    <col min="20" max="20" width="10.140625" customWidth="1"/>
    <col min="21" max="21" width="10.28515625" customWidth="1"/>
    <col min="22" max="22" width="11" customWidth="1"/>
    <col min="23" max="23" width="11.7109375" customWidth="1"/>
    <col min="24" max="24" width="14.5703125" customWidth="1"/>
    <col min="25" max="27" width="14.5703125" style="794" customWidth="1"/>
    <col min="28" max="29" width="16.42578125" customWidth="1"/>
    <col min="30" max="30" width="14.140625" customWidth="1"/>
    <col min="31" max="31" width="16.42578125" customWidth="1"/>
    <col min="32" max="32" width="10" customWidth="1"/>
    <col min="33" max="33" width="13.7109375" customWidth="1"/>
    <col min="34" max="46" width="10.28515625" customWidth="1"/>
    <col min="47" max="49" width="11.42578125" customWidth="1"/>
    <col min="50" max="50" width="10.28515625" customWidth="1"/>
    <col min="51" max="51" width="12.140625" style="3" customWidth="1"/>
    <col min="52" max="52" width="15.28515625" customWidth="1"/>
    <col min="53" max="53" width="12.140625" style="3" customWidth="1"/>
    <col min="54" max="54" width="12.85546875" customWidth="1"/>
    <col min="55" max="55" width="12.140625" style="3" customWidth="1"/>
    <col min="56" max="56" width="11.42578125" customWidth="1"/>
    <col min="57" max="57" width="12.140625" style="3" customWidth="1"/>
    <col min="58" max="58" width="20.140625" customWidth="1"/>
    <col min="59" max="59" width="11.140625" style="3" customWidth="1"/>
    <col min="60" max="60" width="11" style="3" customWidth="1"/>
    <col min="61" max="61" width="10.5703125" customWidth="1"/>
    <col min="62" max="62" width="12.7109375" style="3" customWidth="1"/>
    <col min="63" max="63" width="11.5703125" style="781" customWidth="1"/>
    <col min="64" max="65" width="10.5703125" style="68" customWidth="1"/>
    <col min="66" max="66" width="10.5703125" style="781" customWidth="1"/>
    <col min="67" max="68" width="11.85546875" style="3" customWidth="1"/>
    <col min="69" max="69" width="21.85546875" customWidth="1"/>
    <col min="70" max="71" width="15.140625" customWidth="1"/>
    <col min="72" max="72" width="17.5703125" style="800" customWidth="1"/>
    <col min="73" max="82" width="11" style="3" customWidth="1"/>
    <col min="83" max="83" width="9.5703125" style="3" customWidth="1"/>
    <col min="84" max="84" width="8.28515625" style="3" customWidth="1"/>
    <col min="85" max="85" width="21.42578125" style="800" customWidth="1"/>
    <col min="86" max="95" width="6.85546875" customWidth="1"/>
    <col min="96" max="96" width="6.85546875" style="794" customWidth="1"/>
    <col min="97" max="97" width="8.42578125" customWidth="1"/>
    <col min="98" max="98" width="11.85546875" customWidth="1"/>
    <col min="99" max="99" width="7.7109375" customWidth="1"/>
    <col min="100" max="100" width="7.42578125" customWidth="1"/>
    <col min="101" max="101" width="17.85546875" style="800" customWidth="1"/>
    <col min="102" max="102" width="13.42578125" style="801" customWidth="1"/>
    <col min="103" max="104" width="12.85546875" style="801" customWidth="1"/>
    <col min="105" max="105" width="10.5703125" style="801" customWidth="1"/>
    <col min="106" max="106" width="14.28515625" style="801" customWidth="1"/>
    <col min="107" max="108" width="12.7109375" style="801" customWidth="1"/>
    <col min="109" max="109" width="12.28515625" style="801" customWidth="1"/>
    <col min="110" max="110" width="7.85546875" customWidth="1"/>
    <col min="111" max="295" width="11" customWidth="1"/>
  </cols>
  <sheetData>
    <row r="1" spans="1:110" ht="15.6" customHeight="1">
      <c r="A1" s="534" t="s">
        <v>1495</v>
      </c>
      <c r="B1" s="802"/>
      <c r="C1" s="802"/>
      <c r="D1" s="802"/>
      <c r="E1" s="803"/>
      <c r="F1" s="804"/>
      <c r="G1" s="802"/>
      <c r="H1" s="802"/>
      <c r="I1" s="805"/>
      <c r="J1" s="806"/>
      <c r="K1" s="807"/>
      <c r="L1" s="549" t="s">
        <v>742</v>
      </c>
      <c r="M1" s="808"/>
      <c r="N1" s="808"/>
      <c r="O1" s="808"/>
      <c r="P1" s="549" t="s">
        <v>741</v>
      </c>
      <c r="Q1" s="809"/>
      <c r="R1" s="808"/>
      <c r="S1" s="549" t="s">
        <v>781</v>
      </c>
      <c r="T1" s="802"/>
      <c r="U1" s="810"/>
      <c r="V1" s="551"/>
      <c r="W1" s="811"/>
      <c r="X1" s="554" t="s">
        <v>785</v>
      </c>
      <c r="Y1" s="812"/>
      <c r="Z1" s="813"/>
      <c r="AA1" s="814"/>
      <c r="AB1" s="549" t="s">
        <v>775</v>
      </c>
      <c r="AC1" s="551"/>
      <c r="AD1" s="806"/>
      <c r="AE1" s="551" t="s">
        <v>314</v>
      </c>
      <c r="AF1" s="806"/>
      <c r="AG1" s="806"/>
      <c r="AH1" s="554" t="s">
        <v>761</v>
      </c>
      <c r="AI1" s="811"/>
      <c r="AJ1" s="806"/>
      <c r="AK1" s="806"/>
      <c r="AL1" s="806"/>
      <c r="AM1" s="806"/>
      <c r="AN1" s="806"/>
      <c r="AO1" s="806"/>
      <c r="AP1" s="806"/>
      <c r="AQ1" s="806"/>
      <c r="AR1" s="806"/>
      <c r="AS1" s="815"/>
      <c r="AT1" s="815"/>
      <c r="AU1" s="806"/>
      <c r="AV1" s="816" t="s">
        <v>763</v>
      </c>
      <c r="AW1" s="806"/>
      <c r="AX1" s="554" t="s">
        <v>909</v>
      </c>
      <c r="AY1" s="808"/>
      <c r="AZ1" s="808"/>
      <c r="BA1" s="808"/>
      <c r="BB1" s="817"/>
      <c r="BC1" s="818"/>
      <c r="BD1" s="819"/>
      <c r="BE1" s="818"/>
      <c r="BF1" s="820" t="s">
        <v>771</v>
      </c>
      <c r="BG1" s="821"/>
      <c r="BH1" s="821"/>
      <c r="BI1" s="822"/>
      <c r="BJ1" s="823"/>
      <c r="BK1" s="554" t="s">
        <v>910</v>
      </c>
      <c r="BL1" s="824"/>
      <c r="BM1" s="824"/>
      <c r="BN1" s="825"/>
      <c r="BO1" s="826" t="s">
        <v>162</v>
      </c>
      <c r="BP1" s="826" t="s">
        <v>313</v>
      </c>
      <c r="BQ1" s="823"/>
      <c r="BR1" s="568" t="s">
        <v>778</v>
      </c>
      <c r="BS1" s="823"/>
      <c r="BT1" s="827"/>
      <c r="BU1" s="828" t="s">
        <v>918</v>
      </c>
      <c r="BV1" s="829"/>
      <c r="BW1" s="829"/>
      <c r="BX1" s="829"/>
      <c r="BY1" s="829"/>
      <c r="BZ1" s="829"/>
      <c r="CA1" s="829"/>
      <c r="CB1" s="829"/>
      <c r="CC1" s="829"/>
      <c r="CD1" s="829"/>
      <c r="CE1" s="830"/>
      <c r="CF1" s="830"/>
      <c r="CG1" s="827"/>
      <c r="CH1" s="582" t="s">
        <v>787</v>
      </c>
      <c r="CI1" s="831"/>
      <c r="CJ1" s="831"/>
      <c r="CK1" s="831"/>
      <c r="CL1" s="831"/>
      <c r="CM1" s="831"/>
      <c r="CN1" s="831"/>
      <c r="CO1" s="831"/>
      <c r="CP1" s="831"/>
      <c r="CQ1" s="831"/>
      <c r="CR1" s="832"/>
      <c r="CS1" s="831"/>
      <c r="CT1" s="833"/>
      <c r="CU1" s="834"/>
      <c r="CV1" s="835"/>
      <c r="CW1" s="827"/>
      <c r="CX1" s="925" t="s">
        <v>800</v>
      </c>
      <c r="CY1" s="926"/>
      <c r="CZ1" s="926"/>
      <c r="DA1" s="927"/>
      <c r="DB1" s="928"/>
      <c r="DC1" s="926"/>
      <c r="DD1" s="926"/>
      <c r="DE1" s="929"/>
      <c r="DF1" s="923"/>
    </row>
    <row r="2" spans="1:110" s="781" customFormat="1" ht="61.15" customHeight="1" thickBot="1">
      <c r="A2" s="836" t="s">
        <v>737</v>
      </c>
      <c r="B2" s="539" t="s">
        <v>926</v>
      </c>
      <c r="C2" s="539" t="s">
        <v>927</v>
      </c>
      <c r="D2" s="539" t="s">
        <v>733</v>
      </c>
      <c r="E2" s="540" t="s">
        <v>924</v>
      </c>
      <c r="F2" s="541" t="s">
        <v>925</v>
      </c>
      <c r="G2" s="539" t="s">
        <v>404</v>
      </c>
      <c r="H2" s="539" t="s">
        <v>734</v>
      </c>
      <c r="I2" s="542" t="s">
        <v>891</v>
      </c>
      <c r="J2" s="539" t="s">
        <v>878</v>
      </c>
      <c r="K2" s="539" t="s">
        <v>738</v>
      </c>
      <c r="L2" s="550" t="s">
        <v>504</v>
      </c>
      <c r="M2" s="543" t="s">
        <v>505</v>
      </c>
      <c r="N2" s="546" t="s">
        <v>740</v>
      </c>
      <c r="O2" s="548" t="s">
        <v>739</v>
      </c>
      <c r="P2" s="547" t="s">
        <v>744</v>
      </c>
      <c r="Q2" s="548" t="s">
        <v>745</v>
      </c>
      <c r="R2" s="542" t="s">
        <v>743</v>
      </c>
      <c r="S2" s="544" t="s">
        <v>111</v>
      </c>
      <c r="T2" s="539" t="s">
        <v>503</v>
      </c>
      <c r="U2" s="542" t="s">
        <v>746</v>
      </c>
      <c r="V2" s="545" t="s">
        <v>747</v>
      </c>
      <c r="W2" s="545" t="s">
        <v>748</v>
      </c>
      <c r="X2" s="569" t="s">
        <v>777</v>
      </c>
      <c r="Y2" s="665" t="s">
        <v>786</v>
      </c>
      <c r="Z2" s="665" t="s">
        <v>776</v>
      </c>
      <c r="AA2" s="666" t="s">
        <v>905</v>
      </c>
      <c r="AB2" s="558" t="s">
        <v>750</v>
      </c>
      <c r="AC2" s="559" t="s">
        <v>751</v>
      </c>
      <c r="AD2" s="780" t="s">
        <v>784</v>
      </c>
      <c r="AE2" s="602" t="s">
        <v>813</v>
      </c>
      <c r="AF2" s="564" t="s">
        <v>774</v>
      </c>
      <c r="AG2" s="564" t="s">
        <v>773</v>
      </c>
      <c r="AH2" s="550" t="s">
        <v>126</v>
      </c>
      <c r="AI2" s="565" t="s">
        <v>752</v>
      </c>
      <c r="AJ2" s="565" t="s">
        <v>753</v>
      </c>
      <c r="AK2" s="565" t="s">
        <v>754</v>
      </c>
      <c r="AL2" s="565" t="s">
        <v>755</v>
      </c>
      <c r="AM2" s="565" t="s">
        <v>443</v>
      </c>
      <c r="AN2" s="565" t="s">
        <v>127</v>
      </c>
      <c r="AO2" s="565" t="s">
        <v>387</v>
      </c>
      <c r="AP2" s="565" t="s">
        <v>756</v>
      </c>
      <c r="AQ2" s="565" t="s">
        <v>757</v>
      </c>
      <c r="AR2" s="565" t="s">
        <v>758</v>
      </c>
      <c r="AS2" s="543" t="s">
        <v>564</v>
      </c>
      <c r="AT2" s="543" t="s">
        <v>392</v>
      </c>
      <c r="AU2" s="565" t="s">
        <v>759</v>
      </c>
      <c r="AV2" s="566" t="s">
        <v>762</v>
      </c>
      <c r="AW2" s="565" t="s">
        <v>128</v>
      </c>
      <c r="AX2" s="566" t="s">
        <v>749</v>
      </c>
      <c r="AY2" s="672" t="s">
        <v>305</v>
      </c>
      <c r="AZ2" s="567" t="s">
        <v>894</v>
      </c>
      <c r="BA2" s="672" t="s">
        <v>304</v>
      </c>
      <c r="BB2" s="543" t="s">
        <v>812</v>
      </c>
      <c r="BC2" s="671" t="s">
        <v>907</v>
      </c>
      <c r="BD2" s="567" t="s">
        <v>764</v>
      </c>
      <c r="BE2" s="671" t="s">
        <v>908</v>
      </c>
      <c r="BF2" s="550" t="s">
        <v>906</v>
      </c>
      <c r="BG2" s="594" t="s">
        <v>802</v>
      </c>
      <c r="BH2" s="594" t="s">
        <v>803</v>
      </c>
      <c r="BI2" s="542" t="s">
        <v>772</v>
      </c>
      <c r="BJ2" s="575" t="s">
        <v>811</v>
      </c>
      <c r="BK2" s="571" t="s">
        <v>765</v>
      </c>
      <c r="BL2" s="629" t="s">
        <v>899</v>
      </c>
      <c r="BM2" s="629" t="s">
        <v>770</v>
      </c>
      <c r="BN2" s="542" t="s">
        <v>766</v>
      </c>
      <c r="BO2" s="630" t="s">
        <v>767</v>
      </c>
      <c r="BP2" s="631" t="s">
        <v>768</v>
      </c>
      <c r="BQ2" s="570" t="s">
        <v>769</v>
      </c>
      <c r="BR2" s="572" t="s">
        <v>782</v>
      </c>
      <c r="BS2" s="573" t="s">
        <v>783</v>
      </c>
      <c r="BT2" s="606" t="s">
        <v>919</v>
      </c>
      <c r="BU2" s="595" t="s">
        <v>793</v>
      </c>
      <c r="BV2" s="596" t="s">
        <v>794</v>
      </c>
      <c r="BW2" s="596" t="s">
        <v>795</v>
      </c>
      <c r="BX2" s="596" t="s">
        <v>796</v>
      </c>
      <c r="BY2" s="596" t="s">
        <v>306</v>
      </c>
      <c r="BZ2" s="596" t="s">
        <v>307</v>
      </c>
      <c r="CA2" s="596" t="s">
        <v>308</v>
      </c>
      <c r="CB2" s="596" t="s">
        <v>797</v>
      </c>
      <c r="CC2" s="596" t="s">
        <v>798</v>
      </c>
      <c r="CD2" s="596" t="s">
        <v>799</v>
      </c>
      <c r="CE2" s="597" t="s">
        <v>310</v>
      </c>
      <c r="CF2" s="597" t="s">
        <v>311</v>
      </c>
      <c r="CG2" s="606" t="s">
        <v>816</v>
      </c>
      <c r="CH2" s="586" t="s">
        <v>394</v>
      </c>
      <c r="CI2" s="587" t="s">
        <v>400</v>
      </c>
      <c r="CJ2" s="587" t="s">
        <v>395</v>
      </c>
      <c r="CK2" s="587" t="s">
        <v>790</v>
      </c>
      <c r="CL2" s="587" t="s">
        <v>442</v>
      </c>
      <c r="CM2" s="587" t="s">
        <v>396</v>
      </c>
      <c r="CN2" s="587" t="s">
        <v>397</v>
      </c>
      <c r="CO2" s="587" t="s">
        <v>398</v>
      </c>
      <c r="CP2" s="587" t="s">
        <v>399</v>
      </c>
      <c r="CQ2" s="587" t="s">
        <v>401</v>
      </c>
      <c r="CR2" s="774" t="s">
        <v>788</v>
      </c>
      <c r="CS2" s="587" t="s">
        <v>791</v>
      </c>
      <c r="CT2" s="588" t="s">
        <v>792</v>
      </c>
      <c r="CU2" s="587" t="s">
        <v>403</v>
      </c>
      <c r="CV2" s="589" t="s">
        <v>789</v>
      </c>
      <c r="CW2" s="606" t="s">
        <v>815</v>
      </c>
      <c r="CX2" s="930" t="s">
        <v>801</v>
      </c>
      <c r="CY2" s="931" t="s">
        <v>804</v>
      </c>
      <c r="CZ2" s="931" t="s">
        <v>805</v>
      </c>
      <c r="DA2" s="931" t="s">
        <v>809</v>
      </c>
      <c r="DB2" s="930" t="s">
        <v>808</v>
      </c>
      <c r="DC2" s="931" t="s">
        <v>806</v>
      </c>
      <c r="DD2" s="931" t="s">
        <v>807</v>
      </c>
      <c r="DE2" s="932" t="s">
        <v>810</v>
      </c>
      <c r="DF2" s="924"/>
    </row>
    <row r="3" spans="1:110" ht="12.75" thickTop="1">
      <c r="A3" s="837" t="s">
        <v>1478</v>
      </c>
      <c r="B3" s="41"/>
      <c r="C3" s="41"/>
      <c r="D3" s="41"/>
      <c r="E3" s="535"/>
      <c r="F3" s="537"/>
      <c r="H3" s="41"/>
      <c r="I3" s="47"/>
      <c r="J3" s="3"/>
      <c r="K3" s="41"/>
      <c r="L3" s="49"/>
      <c r="M3" s="50"/>
      <c r="N3" s="838"/>
      <c r="O3" s="54"/>
      <c r="P3" s="53"/>
      <c r="Q3" s="54"/>
      <c r="R3" s="21"/>
      <c r="S3" s="624"/>
      <c r="T3" s="41"/>
      <c r="U3" s="21"/>
      <c r="V3" s="9"/>
      <c r="W3" s="9"/>
      <c r="X3" s="555"/>
      <c r="Y3" s="785"/>
      <c r="Z3" s="784"/>
      <c r="AA3" s="785"/>
      <c r="AB3" s="13"/>
      <c r="AC3" s="12"/>
      <c r="AD3" s="12"/>
      <c r="AE3" s="12"/>
      <c r="AF3" s="839"/>
      <c r="AG3" s="553"/>
      <c r="AH3" s="66"/>
      <c r="AI3" s="12"/>
      <c r="AJ3" s="12"/>
      <c r="AK3" s="12"/>
      <c r="AL3" s="12"/>
      <c r="AM3" s="12"/>
      <c r="AN3" s="12"/>
      <c r="AO3" s="12"/>
      <c r="AP3" s="12"/>
      <c r="AQ3" s="12"/>
      <c r="AR3" s="12"/>
      <c r="AS3" s="12"/>
      <c r="AT3" s="12"/>
      <c r="AU3" s="12"/>
      <c r="AV3" s="13"/>
      <c r="AW3" s="12"/>
      <c r="AX3" s="46"/>
      <c r="AY3" s="787"/>
      <c r="AZ3" s="12"/>
      <c r="BB3" s="12"/>
      <c r="BD3" s="840"/>
      <c r="BF3" s="670"/>
      <c r="BG3" s="48"/>
      <c r="BH3" s="48"/>
      <c r="BI3" s="841"/>
      <c r="BK3" s="560"/>
      <c r="BL3" s="48"/>
      <c r="BM3" s="48"/>
      <c r="BN3" s="788"/>
      <c r="BO3" s="789"/>
      <c r="BP3" s="789"/>
      <c r="BQ3" s="3"/>
      <c r="BR3" s="5"/>
      <c r="BS3" s="3"/>
      <c r="BT3" s="842"/>
      <c r="BU3" s="598"/>
      <c r="BV3" s="790"/>
      <c r="BW3" s="790"/>
      <c r="BX3" s="790"/>
      <c r="BY3" s="790"/>
      <c r="BZ3" s="790"/>
      <c r="CA3" s="790"/>
      <c r="CB3" s="790"/>
      <c r="CC3" s="790"/>
      <c r="CD3" s="790"/>
      <c r="CE3" s="791"/>
      <c r="CF3" s="791"/>
      <c r="CG3" s="842"/>
      <c r="CH3" s="583"/>
      <c r="CI3" s="843"/>
      <c r="CJ3" s="843"/>
      <c r="CK3" s="843"/>
      <c r="CL3" s="843"/>
      <c r="CM3" s="843"/>
      <c r="CN3" s="843"/>
      <c r="CO3" s="843"/>
      <c r="CP3" s="843"/>
      <c r="CQ3" s="843"/>
      <c r="CR3" s="844"/>
      <c r="CS3" s="576"/>
      <c r="CT3" s="843"/>
      <c r="CU3" s="845"/>
      <c r="CV3" s="590"/>
      <c r="CW3" s="842"/>
      <c r="CX3" s="933"/>
      <c r="CY3" s="934"/>
      <c r="CZ3" s="934"/>
      <c r="DA3" s="935"/>
      <c r="DB3" s="936"/>
      <c r="DC3" s="934"/>
      <c r="DD3" s="934"/>
      <c r="DE3" s="937"/>
      <c r="DF3" s="12"/>
    </row>
    <row r="4" spans="1:110">
      <c r="A4" s="846" t="s">
        <v>32</v>
      </c>
      <c r="B4" s="41" t="s">
        <v>157</v>
      </c>
      <c r="C4" s="41" t="s">
        <v>1481</v>
      </c>
      <c r="D4" s="34" t="s">
        <v>735</v>
      </c>
      <c r="E4" s="535">
        <v>19.390349000000001</v>
      </c>
      <c r="F4" s="537">
        <v>-155.29341099999999</v>
      </c>
      <c r="G4" s="37" t="s">
        <v>405</v>
      </c>
      <c r="H4" s="37" t="s">
        <v>64</v>
      </c>
      <c r="I4" s="202" t="s">
        <v>779</v>
      </c>
      <c r="J4" t="s">
        <v>883</v>
      </c>
      <c r="K4" s="34">
        <v>2001</v>
      </c>
      <c r="L4" s="51">
        <v>234</v>
      </c>
      <c r="M4" s="52">
        <v>178</v>
      </c>
      <c r="N4" s="838">
        <f t="shared" ref="N4:N23" si="0">(4*3.1415/3)*(L4/2)*(M4/2)*(AVERAGE(L4,M4)/2)</f>
        <v>4492508.358</v>
      </c>
      <c r="O4" s="54">
        <v>4405394.6117098331</v>
      </c>
      <c r="P4" s="53">
        <v>55</v>
      </c>
      <c r="Q4" s="54">
        <v>87113.746290166964</v>
      </c>
      <c r="R4" s="772">
        <f>IF(Q4="no bubble",0,IF(H4="Isolated fluid inclusion",1,Q4/(Q4+O4)))</f>
        <v>1.9390892425395229E-2</v>
      </c>
      <c r="S4" s="624" t="s">
        <v>90</v>
      </c>
      <c r="T4" s="37" t="s">
        <v>132</v>
      </c>
      <c r="U4" s="21">
        <v>88</v>
      </c>
      <c r="V4" s="552">
        <v>0.84499999999999997</v>
      </c>
      <c r="W4" s="847">
        <v>0.67</v>
      </c>
      <c r="X4" s="556" t="s">
        <v>423</v>
      </c>
      <c r="Y4" s="784" t="s">
        <v>64</v>
      </c>
      <c r="Z4" s="784" t="s">
        <v>64</v>
      </c>
      <c r="AA4" s="785" t="s">
        <v>64</v>
      </c>
      <c r="AB4" s="32">
        <f>IF(ISNUMBER(AN4), 20.1*AN4+1014,"-")</f>
        <v>1202.9317463880352</v>
      </c>
      <c r="AC4" s="6">
        <f t="shared" ref="AC4:AC23" si="1">IF(ISNUMBER(CM4), 20.1*CM4+1014,"-")</f>
        <v>1201.5329999999999</v>
      </c>
      <c r="AD4" s="6">
        <f t="shared" ref="AD4:AD23" si="2">IF(AND(ISNUMBER(AB4),ISNUMBER(AC4)),AB4-AC4,"-")</f>
        <v>1.3987463880353062</v>
      </c>
      <c r="AE4" s="6">
        <f>IF(ISNUMBER(U4),0.02289*U4^3- 4.943*U4^2+ 358.6*U4-7620,"-")</f>
        <v>1257.1020800000042</v>
      </c>
      <c r="AF4" s="848">
        <v>0.997</v>
      </c>
      <c r="AG4" s="553">
        <f t="shared" ref="AG4:AG23" si="3">IF(ISNUMBER(AF4),(1/AF4)-1,"-")</f>
        <v>3.0090270812437314E-3</v>
      </c>
      <c r="AH4" s="32">
        <f>100*(AN4/40.3)/((AN4/40.3)+(AL4/71.85))</f>
        <v>64.474053146651912</v>
      </c>
      <c r="AI4" s="9">
        <v>51.525801936291046</v>
      </c>
      <c r="AJ4" s="9">
        <v>2.4182366227814867</v>
      </c>
      <c r="AK4" s="9">
        <v>13.525468437598551</v>
      </c>
      <c r="AL4" s="9">
        <v>9.2340303314293219</v>
      </c>
      <c r="AM4" s="9">
        <v>0.14641732641754318</v>
      </c>
      <c r="AN4" s="9">
        <v>9.3995893725390669</v>
      </c>
      <c r="AO4" s="9">
        <v>10.796598725513791</v>
      </c>
      <c r="AP4" s="9">
        <v>2.2211105434074097</v>
      </c>
      <c r="AQ4" s="9">
        <v>0.39727453475218705</v>
      </c>
      <c r="AR4" s="9">
        <v>0.20317083138214126</v>
      </c>
      <c r="AS4" s="6" t="s">
        <v>64</v>
      </c>
      <c r="AT4" s="6">
        <v>1306.3380728537682</v>
      </c>
      <c r="AU4" s="9">
        <v>99.25800000000001</v>
      </c>
      <c r="AV4" s="8">
        <f>IF(ISNUMBER(AL4),(AL4/71.84)*(0.18/2)*159.69,"-")</f>
        <v>1.8473330641193675</v>
      </c>
      <c r="AW4" s="9">
        <f>IF(ISNUMBER(AL4),(AL4/71.84)*(1-0.18)*71.84,"-")</f>
        <v>7.5719048717720447</v>
      </c>
      <c r="AX4" s="8">
        <v>0.43386837881219908</v>
      </c>
      <c r="AY4" s="789">
        <v>2.1693418940609957E-2</v>
      </c>
      <c r="AZ4" s="6">
        <v>16.675584091314427</v>
      </c>
      <c r="BA4" s="48">
        <v>1.6675584091314428</v>
      </c>
      <c r="BB4" s="6" t="s">
        <v>64</v>
      </c>
      <c r="BC4" s="48" t="s">
        <v>64</v>
      </c>
      <c r="BD4" s="849" t="s">
        <v>1007</v>
      </c>
      <c r="BE4" s="48" t="s">
        <v>1007</v>
      </c>
      <c r="BF4" s="668" t="s">
        <v>1007</v>
      </c>
      <c r="BG4" s="48" t="s">
        <v>64</v>
      </c>
      <c r="BH4" s="48" t="s">
        <v>64</v>
      </c>
      <c r="BI4" s="850" t="str">
        <f t="shared" ref="BI4:BI23" si="4">IF(NOT(ISNUMBER(BF4)),"-",(0.0684*((BF4/1000))^3 - 0.5008*((BF4/1000))^2 + 4.47*((BF4/1000))))</f>
        <v>-</v>
      </c>
      <c r="BJ4" s="789" t="str">
        <f t="shared" ref="BJ4:BJ23" si="5">IF(NOT(ISNUMBER(BF4)),"-",AVERAGE(ABS(BI4-(0.0684*(((BF4+BG4)/1000))^3-0.5008*(((BF4+BG4)/1000))^2+4.47*(((BF4+BG4)/1000)))),ABS(BI4-(0.0684*(((BF4-BG4)/1000))^3-0.5008*(((BF4-BG4)/1000))^2+4.47*(((BF4-BG4)/1000))))))</f>
        <v>-</v>
      </c>
      <c r="BK4" s="563" t="s">
        <v>64</v>
      </c>
      <c r="BL4" s="48" t="s">
        <v>64</v>
      </c>
      <c r="BM4" s="48" t="s">
        <v>64</v>
      </c>
      <c r="BN4" s="850" t="str">
        <f t="shared" ref="BN4:BN23" si="6">IF(ISNUMBER(BK4),(0.0684*((BK4/1000))^3 - 0.5008*((BK4/1000))^2 + 4.47*((BK4/1000))),"-")</f>
        <v>-</v>
      </c>
      <c r="BO4" s="789" t="str">
        <f>IF(ISNUMBER(BL4),ABS(BN4-(0.0684*(((BK4+BL4)/1000))^3 - 0.5008*(((BK4+BL4)/1000))^2 + 4.47*(((BK4+BL4)/1000)))),"-")</f>
        <v>-</v>
      </c>
      <c r="BP4" s="789" t="str">
        <f>IF(ISNUMBER(BM4),ABS(BN4-(0.0684*(((BK4-BM4)/1000))^3 - 0.5008*(((BK4-BM4)/1000))^2 + 4.47*(((BK4-BM4)/1000)))),"-")</f>
        <v>-</v>
      </c>
      <c r="BQ4" s="34" t="s">
        <v>64</v>
      </c>
      <c r="BR4" s="25">
        <v>2.660234522466761</v>
      </c>
      <c r="BS4" s="26">
        <v>2.92282129372578</v>
      </c>
      <c r="BT4" s="603"/>
      <c r="BU4" s="599">
        <v>0.14059119352203919</v>
      </c>
      <c r="BV4" s="851">
        <v>2.9276751709534452E-2</v>
      </c>
      <c r="BW4" s="851">
        <v>6.3054465524421524E-2</v>
      </c>
      <c r="BX4" s="851">
        <v>0.10047341421967232</v>
      </c>
      <c r="BY4" s="851">
        <v>5.1732990259392509E-3</v>
      </c>
      <c r="BZ4" s="851">
        <v>2.4685254815384958E-2</v>
      </c>
      <c r="CA4" s="851">
        <v>2.2215258764803802E-2</v>
      </c>
      <c r="CB4" s="851">
        <v>3.1621573636776361E-2</v>
      </c>
      <c r="CC4" s="851">
        <v>1.0896273537026397E-2</v>
      </c>
      <c r="CD4" s="851">
        <v>5.7089711758567061E-3</v>
      </c>
      <c r="CE4" s="852" t="s">
        <v>64</v>
      </c>
      <c r="CF4" s="852">
        <v>24.534990980091862</v>
      </c>
      <c r="CG4" s="603"/>
      <c r="CH4" s="584">
        <v>51.144333333333329</v>
      </c>
      <c r="CI4" s="576">
        <v>2.4003333333333332</v>
      </c>
      <c r="CJ4" s="576">
        <v>13.425333333333334</v>
      </c>
      <c r="CK4" s="576">
        <v>9.1656666666666666</v>
      </c>
      <c r="CL4" s="576">
        <v>0.14533333333333334</v>
      </c>
      <c r="CM4" s="576">
        <v>9.33</v>
      </c>
      <c r="CN4" s="576">
        <v>10.716666666666667</v>
      </c>
      <c r="CO4" s="576">
        <v>2.2046666666666668</v>
      </c>
      <c r="CP4" s="576">
        <v>0.39433333333333337</v>
      </c>
      <c r="CQ4" s="576">
        <v>0.20166666666666666</v>
      </c>
      <c r="CR4" s="792" t="s">
        <v>64</v>
      </c>
      <c r="CS4" s="793">
        <v>1296.6666666666667</v>
      </c>
      <c r="CT4" s="576">
        <f>SUM(CH4:CR4)+(CS4/10000)</f>
        <v>99.25800000000001</v>
      </c>
      <c r="CU4" s="576">
        <v>0.43386837881219908</v>
      </c>
      <c r="CV4" s="591">
        <v>16.675584091314427</v>
      </c>
      <c r="CW4" s="603"/>
      <c r="CX4" s="936" t="s">
        <v>1007</v>
      </c>
      <c r="CY4" s="934" t="s">
        <v>64</v>
      </c>
      <c r="CZ4" s="934" t="s">
        <v>64</v>
      </c>
      <c r="DA4" s="938" t="str">
        <f t="shared" ref="DA4:DA23" si="7">IF(NOT(ISNUMBER(CX4)),"-",(0.0684*((CX4/1000))^3 - 0.5008*((CX4/1000))^2 + 4.47*((CX4/1000))))</f>
        <v>-</v>
      </c>
      <c r="DB4" s="936" t="s">
        <v>1007</v>
      </c>
      <c r="DC4" s="934" t="s">
        <v>64</v>
      </c>
      <c r="DD4" s="934" t="s">
        <v>64</v>
      </c>
      <c r="DE4" s="939" t="str">
        <f t="shared" ref="DE4:DE23" si="8">IF(NOT(ISNUMBER(DB4)),"-",(0.0684*((DB4/1000))^3 - 0.5008*((DB4/1000))^2 + 4.47*((DB4/1000))))</f>
        <v>-</v>
      </c>
      <c r="DF4" s="9"/>
    </row>
    <row r="5" spans="1:110">
      <c r="A5" s="846" t="s">
        <v>34</v>
      </c>
      <c r="B5" s="41" t="s">
        <v>157</v>
      </c>
      <c r="C5" s="41" t="s">
        <v>1481</v>
      </c>
      <c r="D5" s="34" t="s">
        <v>735</v>
      </c>
      <c r="E5" s="535">
        <v>19.390349000000001</v>
      </c>
      <c r="F5" s="537">
        <v>-155.29341099999999</v>
      </c>
      <c r="G5" s="37" t="s">
        <v>405</v>
      </c>
      <c r="H5" s="37" t="s">
        <v>64</v>
      </c>
      <c r="I5" s="202" t="s">
        <v>779</v>
      </c>
      <c r="J5" t="s">
        <v>883</v>
      </c>
      <c r="K5" s="34">
        <v>2001</v>
      </c>
      <c r="L5" s="51">
        <v>142</v>
      </c>
      <c r="M5" s="52">
        <v>113</v>
      </c>
      <c r="N5" s="838">
        <f t="shared" si="0"/>
        <v>1071180.8162500001</v>
      </c>
      <c r="O5" s="54">
        <v>1071180.8162500001</v>
      </c>
      <c r="P5" s="53" t="s">
        <v>151</v>
      </c>
      <c r="Q5" s="54" t="s">
        <v>151</v>
      </c>
      <c r="R5" s="772">
        <f t="shared" ref="R5:R23" si="9">IF(Q5="no bubble",0,IF(H5="Isolated fluid inclusion",1,Q5/(Q5+O5)))</f>
        <v>0</v>
      </c>
      <c r="S5" s="624" t="s">
        <v>92</v>
      </c>
      <c r="T5" s="37" t="s">
        <v>132</v>
      </c>
      <c r="U5" s="21">
        <v>86.2</v>
      </c>
      <c r="V5" s="552">
        <v>0.5</v>
      </c>
      <c r="W5" s="847">
        <v>0.33</v>
      </c>
      <c r="X5" s="556" t="s">
        <v>64</v>
      </c>
      <c r="Y5" s="784" t="s">
        <v>64</v>
      </c>
      <c r="Z5" s="784" t="s">
        <v>64</v>
      </c>
      <c r="AA5" s="785" t="s">
        <v>64</v>
      </c>
      <c r="AB5" s="32">
        <f t="shared" ref="AB5:AB23" si="10">IF(ISNUMBER(AN5), 20.1*AN5+1014,"-")</f>
        <v>1207.0787101667215</v>
      </c>
      <c r="AC5" s="6">
        <f t="shared" si="1"/>
        <v>1184.2470000000001</v>
      </c>
      <c r="AD5" s="6">
        <f t="shared" si="2"/>
        <v>22.83171016672145</v>
      </c>
      <c r="AE5" s="6">
        <f t="shared" ref="AE5:AE23" si="11">IF(ISNUMBER(U5),0.02289*U5^3- 4.943*U5^2+ 358.6*U5-7620,"-")</f>
        <v>1223.7899919200026</v>
      </c>
      <c r="AF5" s="839">
        <v>0.97299999999999998</v>
      </c>
      <c r="AG5" s="553">
        <f t="shared" si="3"/>
        <v>2.7749229188078095E-2</v>
      </c>
      <c r="AH5" s="32">
        <f t="shared" ref="AH5:AH12" si="12">100*(AN5/40.3)/((AN5/40.3)+(AL5/71.85))</f>
        <v>60.962098367647492</v>
      </c>
      <c r="AI5" s="9">
        <v>50.628928891936411</v>
      </c>
      <c r="AJ5" s="9">
        <v>2.3579687520653887</v>
      </c>
      <c r="AK5" s="9">
        <v>13.000012876681321</v>
      </c>
      <c r="AL5" s="9">
        <v>10.966968999580574</v>
      </c>
      <c r="AM5" s="9">
        <v>0.17201905145186924</v>
      </c>
      <c r="AN5" s="9">
        <v>9.6059059784438539</v>
      </c>
      <c r="AO5" s="9">
        <v>10.323155005842585</v>
      </c>
      <c r="AP5" s="9">
        <v>2.1296159761614453</v>
      </c>
      <c r="AQ5" s="9">
        <v>0.4194850552949092</v>
      </c>
      <c r="AR5" s="9">
        <v>0.23438853209523702</v>
      </c>
      <c r="AS5" s="6" t="s">
        <v>64</v>
      </c>
      <c r="AT5" s="6">
        <v>1437.8866472593365</v>
      </c>
      <c r="AU5" s="9">
        <v>98.931333333333342</v>
      </c>
      <c r="AV5" s="8">
        <f t="shared" ref="AV5:AV23" si="13">IF(ISNUMBER(AL5),(AL5/71.84)*(0.18/2)*159.69,"-")</f>
        <v>2.1940196987593534</v>
      </c>
      <c r="AW5" s="9">
        <f t="shared" ref="AW5:AW23" si="14">IF(ISNUMBER(AL5),(AL5/71.84)*(1-0.18)*71.84,"-")</f>
        <v>8.9929145796560697</v>
      </c>
      <c r="AX5" s="8">
        <v>0.41091237993324675</v>
      </c>
      <c r="AY5" s="789">
        <v>2.0545618996662338E-2</v>
      </c>
      <c r="AZ5" s="6">
        <v>176.56991260923846</v>
      </c>
      <c r="BA5" s="48">
        <v>17.656991260923846</v>
      </c>
      <c r="BB5" s="6" t="s">
        <v>151</v>
      </c>
      <c r="BC5" s="48" t="s">
        <v>151</v>
      </c>
      <c r="BD5" s="849">
        <v>176.56991260923846</v>
      </c>
      <c r="BE5" s="48">
        <v>17.656991260923846</v>
      </c>
      <c r="BF5" s="668">
        <v>441.39782060356748</v>
      </c>
      <c r="BG5" s="48">
        <v>40.518463605037823</v>
      </c>
      <c r="BH5" s="48">
        <v>40.789592650809084</v>
      </c>
      <c r="BI5" s="850">
        <f t="shared" si="4"/>
        <v>1.881358667480816</v>
      </c>
      <c r="BJ5" s="789">
        <f t="shared" si="5"/>
        <v>0.16482861448943631</v>
      </c>
      <c r="BK5" s="563" t="s">
        <v>64</v>
      </c>
      <c r="BL5" s="48" t="s">
        <v>64</v>
      </c>
      <c r="BM5" s="48" t="s">
        <v>64</v>
      </c>
      <c r="BN5" s="850" t="str">
        <f t="shared" si="6"/>
        <v>-</v>
      </c>
      <c r="BO5" s="789" t="str">
        <f t="shared" ref="BO5:BO23" si="15">IF(ISNUMBER(BL5),ABS(BN5-(0.0684*(((BK5+BL5)/1000))^3 - 0.5008*(((BK5+BL5)/1000))^2 + 4.47*(((BK5+BL5)/1000)))),"-")</f>
        <v>-</v>
      </c>
      <c r="BP5" s="789" t="str">
        <f t="shared" ref="BP5:BP23" si="16">IF(ISNUMBER(BM5),ABS(BN5-(0.0684*(((BK5-BM5)/1000))^3 - 0.5008*(((BK5-BM5)/1000))^2 + 4.47*(((BK5-BM5)/1000)))),"-")</f>
        <v>-</v>
      </c>
      <c r="BQ5" s="34" t="s">
        <v>64</v>
      </c>
      <c r="BR5" s="25">
        <v>2.6872313708284352</v>
      </c>
      <c r="BS5" s="26">
        <v>2.9459724133360718</v>
      </c>
      <c r="BT5" s="603"/>
      <c r="BU5" s="599">
        <v>0.13814402245424157</v>
      </c>
      <c r="BV5" s="851">
        <v>2.8547109510588663E-2</v>
      </c>
      <c r="BW5" s="851">
        <v>6.0604840973277056E-2</v>
      </c>
      <c r="BX5" s="851">
        <v>0.11932913142798879</v>
      </c>
      <c r="BY5" s="851">
        <v>6.0778735214791066E-3</v>
      </c>
      <c r="BZ5" s="851">
        <v>2.5227084653641953E-2</v>
      </c>
      <c r="CA5" s="851">
        <v>2.1241093195585006E-2</v>
      </c>
      <c r="CB5" s="851">
        <v>3.0318981019708875E-2</v>
      </c>
      <c r="CC5" s="851">
        <v>1.1505454055944398E-2</v>
      </c>
      <c r="CD5" s="851">
        <v>6.5861687161491494E-3</v>
      </c>
      <c r="CE5" s="852" t="s">
        <v>64</v>
      </c>
      <c r="CF5" s="852">
        <v>27.005670778494899</v>
      </c>
      <c r="CG5" s="603"/>
      <c r="CH5" s="584">
        <v>50.381333333333338</v>
      </c>
      <c r="CI5" s="576">
        <v>2.3986666666666667</v>
      </c>
      <c r="CJ5" s="576">
        <v>13.225666666666669</v>
      </c>
      <c r="CK5" s="576">
        <v>10.826000000000001</v>
      </c>
      <c r="CL5" s="576">
        <v>0.16466666666666666</v>
      </c>
      <c r="CM5" s="576">
        <v>8.4699999999999989</v>
      </c>
      <c r="CN5" s="576">
        <v>10.487</v>
      </c>
      <c r="CO5" s="576">
        <v>2.1653333333333333</v>
      </c>
      <c r="CP5" s="576">
        <v>0.42499999999999999</v>
      </c>
      <c r="CQ5" s="576">
        <v>0.24233333333333332</v>
      </c>
      <c r="CR5" s="792" t="s">
        <v>64</v>
      </c>
      <c r="CS5" s="793">
        <v>1453.3333333333335</v>
      </c>
      <c r="CT5" s="576">
        <f>SUM(CH5:CR5)+(CS5/10000)</f>
        <v>98.931333333333342</v>
      </c>
      <c r="CU5" s="576">
        <v>0.41091237993324675</v>
      </c>
      <c r="CV5" s="591">
        <v>181.46959158195114</v>
      </c>
      <c r="CW5" s="603"/>
      <c r="CX5" s="936">
        <v>395.91376007259339</v>
      </c>
      <c r="CY5" s="934">
        <v>37.661525456283925</v>
      </c>
      <c r="CZ5" s="934">
        <v>37.753475286660318</v>
      </c>
      <c r="DA5" s="938">
        <f t="shared" si="7"/>
        <v>1.6954800630756046</v>
      </c>
      <c r="DB5" s="936">
        <v>353.62832705276378</v>
      </c>
      <c r="DC5" s="934">
        <v>30.556921827183032</v>
      </c>
      <c r="DD5" s="934">
        <v>30.958821007858091</v>
      </c>
      <c r="DE5" s="939">
        <f t="shared" si="8"/>
        <v>1.5211168867010154</v>
      </c>
      <c r="DF5" s="9"/>
    </row>
    <row r="6" spans="1:110">
      <c r="A6" s="846" t="s">
        <v>35</v>
      </c>
      <c r="B6" s="41" t="s">
        <v>157</v>
      </c>
      <c r="C6" s="41" t="s">
        <v>1481</v>
      </c>
      <c r="D6" s="34" t="s">
        <v>735</v>
      </c>
      <c r="E6" s="535">
        <v>19.390349000000001</v>
      </c>
      <c r="F6" s="537">
        <v>-155.29341099999999</v>
      </c>
      <c r="G6" s="37" t="s">
        <v>405</v>
      </c>
      <c r="H6" s="37" t="s">
        <v>64</v>
      </c>
      <c r="I6" s="202" t="s">
        <v>779</v>
      </c>
      <c r="J6" t="s">
        <v>883</v>
      </c>
      <c r="K6" s="34">
        <v>2001</v>
      </c>
      <c r="L6" s="51">
        <v>140</v>
      </c>
      <c r="M6" s="52">
        <v>120</v>
      </c>
      <c r="N6" s="838">
        <f t="shared" si="0"/>
        <v>1143506</v>
      </c>
      <c r="O6" s="54">
        <v>1143506</v>
      </c>
      <c r="P6" s="53" t="s">
        <v>151</v>
      </c>
      <c r="Q6" s="54" t="s">
        <v>151</v>
      </c>
      <c r="R6" s="772">
        <f t="shared" si="9"/>
        <v>0</v>
      </c>
      <c r="S6" s="624" t="s">
        <v>92</v>
      </c>
      <c r="T6" s="37" t="s">
        <v>132</v>
      </c>
      <c r="U6" s="21">
        <v>86.2</v>
      </c>
      <c r="V6" s="552">
        <v>0.5</v>
      </c>
      <c r="W6" s="847">
        <v>0.33</v>
      </c>
      <c r="X6" s="556" t="s">
        <v>64</v>
      </c>
      <c r="Y6" s="784" t="s">
        <v>64</v>
      </c>
      <c r="Z6" s="784" t="s">
        <v>64</v>
      </c>
      <c r="AA6" s="785" t="s">
        <v>64</v>
      </c>
      <c r="AB6" s="32">
        <f t="shared" si="10"/>
        <v>1208.0523359446147</v>
      </c>
      <c r="AC6" s="6">
        <f t="shared" si="1"/>
        <v>1182.6523999999999</v>
      </c>
      <c r="AD6" s="6">
        <f t="shared" si="2"/>
        <v>25.399935944614754</v>
      </c>
      <c r="AE6" s="6">
        <f t="shared" si="11"/>
        <v>1223.7899919200026</v>
      </c>
      <c r="AF6" s="839">
        <v>0.97099999999999997</v>
      </c>
      <c r="AG6" s="553">
        <f t="shared" si="3"/>
        <v>2.9866117404737436E-2</v>
      </c>
      <c r="AH6" s="32">
        <f t="shared" si="12"/>
        <v>60.966010700237682</v>
      </c>
      <c r="AI6" s="9">
        <v>50.591504429455426</v>
      </c>
      <c r="AJ6" s="9">
        <v>2.2745101810462853</v>
      </c>
      <c r="AK6" s="9">
        <v>13.01530859017109</v>
      </c>
      <c r="AL6" s="9">
        <v>11.020459545936335</v>
      </c>
      <c r="AM6" s="9">
        <v>0.16196202527574166</v>
      </c>
      <c r="AN6" s="9">
        <v>9.6543450718713828</v>
      </c>
      <c r="AO6" s="9">
        <v>10.404802654826062</v>
      </c>
      <c r="AP6" s="9">
        <v>2.0944406001496527</v>
      </c>
      <c r="AQ6" s="9">
        <v>0.40943195209457672</v>
      </c>
      <c r="AR6" s="9">
        <v>0.21427274151386938</v>
      </c>
      <c r="AS6" s="6" t="s">
        <v>64</v>
      </c>
      <c r="AT6" s="6">
        <v>1408.5295657469846</v>
      </c>
      <c r="AU6" s="9">
        <v>98.475666666666655</v>
      </c>
      <c r="AV6" s="8">
        <f t="shared" si="13"/>
        <v>2.2047208608038917</v>
      </c>
      <c r="AW6" s="9">
        <f t="shared" si="14"/>
        <v>9.0367768276677953</v>
      </c>
      <c r="AX6" s="8">
        <v>0.41206017987719434</v>
      </c>
      <c r="AY6" s="789">
        <v>2.0603008993859719E-2</v>
      </c>
      <c r="AZ6" s="6">
        <v>180.01685393258427</v>
      </c>
      <c r="BA6" s="48">
        <v>18.001685393258427</v>
      </c>
      <c r="BB6" s="6" t="s">
        <v>151</v>
      </c>
      <c r="BC6" s="48" t="s">
        <v>151</v>
      </c>
      <c r="BD6" s="849">
        <v>180.01685393258427</v>
      </c>
      <c r="BE6" s="48">
        <v>18.001685393258427</v>
      </c>
      <c r="BF6" s="668">
        <v>449.75362671277418</v>
      </c>
      <c r="BG6" s="48">
        <v>41.297629155000607</v>
      </c>
      <c r="BH6" s="48">
        <v>41.579110616076605</v>
      </c>
      <c r="BI6" s="850">
        <f t="shared" si="4"/>
        <v>1.915320444430453</v>
      </c>
      <c r="BJ6" s="789">
        <f t="shared" si="5"/>
        <v>0.16771590527770797</v>
      </c>
      <c r="BK6" s="563" t="s">
        <v>64</v>
      </c>
      <c r="BL6" s="48" t="s">
        <v>64</v>
      </c>
      <c r="BM6" s="48" t="s">
        <v>64</v>
      </c>
      <c r="BN6" s="850" t="str">
        <f t="shared" si="6"/>
        <v>-</v>
      </c>
      <c r="BO6" s="789" t="str">
        <f t="shared" si="15"/>
        <v>-</v>
      </c>
      <c r="BP6" s="789" t="str">
        <f t="shared" si="16"/>
        <v>-</v>
      </c>
      <c r="BQ6" s="34" t="s">
        <v>64</v>
      </c>
      <c r="BR6" s="25">
        <v>2.688627292008658</v>
      </c>
      <c r="BS6" s="26">
        <v>2.9466680530682878</v>
      </c>
      <c r="BT6" s="603"/>
      <c r="BU6" s="599">
        <v>0.13804190759820054</v>
      </c>
      <c r="BV6" s="851">
        <v>2.7536705549809831E-2</v>
      </c>
      <c r="BW6" s="851">
        <v>6.0676148155232472E-2</v>
      </c>
      <c r="BX6" s="851">
        <v>0.11991115007292939</v>
      </c>
      <c r="BY6" s="851">
        <v>5.7225330368944043E-3</v>
      </c>
      <c r="BZ6" s="851">
        <v>2.5354295674984879E-2</v>
      </c>
      <c r="CA6" s="851">
        <v>2.1409092738387269E-2</v>
      </c>
      <c r="CB6" s="851">
        <v>2.9818195164606043E-2</v>
      </c>
      <c r="CC6" s="851">
        <v>1.1229721904033105E-2</v>
      </c>
      <c r="CD6" s="851">
        <v>6.0209277914191825E-3</v>
      </c>
      <c r="CE6" s="852" t="s">
        <v>64</v>
      </c>
      <c r="CF6" s="852">
        <v>26.454300696679944</v>
      </c>
      <c r="CG6" s="603"/>
      <c r="CH6" s="584">
        <v>50.141999999999996</v>
      </c>
      <c r="CI6" s="576">
        <v>2.306</v>
      </c>
      <c r="CJ6" s="576">
        <v>13.209666666666665</v>
      </c>
      <c r="CK6" s="576">
        <v>10.822000000000001</v>
      </c>
      <c r="CL6" s="576">
        <v>0.159</v>
      </c>
      <c r="CM6" s="576">
        <v>8.3906666666666663</v>
      </c>
      <c r="CN6" s="576">
        <v>10.549666666666667</v>
      </c>
      <c r="CO6" s="576">
        <v>2.1266666666666665</v>
      </c>
      <c r="CP6" s="576">
        <v>0.41533333333333333</v>
      </c>
      <c r="CQ6" s="576">
        <v>0.21266666666666667</v>
      </c>
      <c r="CR6" s="792" t="s">
        <v>64</v>
      </c>
      <c r="CS6" s="793">
        <v>1420.0000000000002</v>
      </c>
      <c r="CT6" s="576">
        <f>SUM(CH6:CR6)+(CS6/10000)</f>
        <v>98.475666666666655</v>
      </c>
      <c r="CU6" s="576">
        <v>0.41206017987719434</v>
      </c>
      <c r="CV6" s="591">
        <v>185.3932584269663</v>
      </c>
      <c r="CW6" s="603"/>
      <c r="CX6" s="936">
        <v>403.37399623262399</v>
      </c>
      <c r="CY6" s="934">
        <v>38.380317265115991</v>
      </c>
      <c r="CZ6" s="934">
        <v>38.475931881712711</v>
      </c>
      <c r="DA6" s="938">
        <f t="shared" si="7"/>
        <v>1.7260856163347664</v>
      </c>
      <c r="DB6" s="936">
        <v>357.05702387895138</v>
      </c>
      <c r="DC6" s="934">
        <v>30.8531945318054</v>
      </c>
      <c r="DD6" s="934">
        <v>31.258990432114501</v>
      </c>
      <c r="DE6" s="939">
        <f t="shared" si="8"/>
        <v>1.5353116890120255</v>
      </c>
      <c r="DF6" s="9"/>
    </row>
    <row r="7" spans="1:110">
      <c r="A7" s="846" t="s">
        <v>36</v>
      </c>
      <c r="B7" s="41" t="s">
        <v>157</v>
      </c>
      <c r="C7" s="41" t="s">
        <v>1481</v>
      </c>
      <c r="D7" s="34" t="s">
        <v>735</v>
      </c>
      <c r="E7" s="535">
        <v>19.390349000000001</v>
      </c>
      <c r="F7" s="537">
        <v>-155.29341099999999</v>
      </c>
      <c r="G7" s="37" t="s">
        <v>405</v>
      </c>
      <c r="H7" s="37" t="s">
        <v>64</v>
      </c>
      <c r="I7" s="202" t="s">
        <v>779</v>
      </c>
      <c r="J7" t="s">
        <v>883</v>
      </c>
      <c r="K7" s="34">
        <v>2001</v>
      </c>
      <c r="L7" s="51">
        <v>235</v>
      </c>
      <c r="M7" s="52">
        <v>150</v>
      </c>
      <c r="N7" s="838">
        <f t="shared" si="0"/>
        <v>3552840.1562500009</v>
      </c>
      <c r="O7" s="54">
        <v>3552840.1562500009</v>
      </c>
      <c r="P7" s="53" t="s">
        <v>151</v>
      </c>
      <c r="Q7" s="54" t="s">
        <v>151</v>
      </c>
      <c r="R7" s="772">
        <f t="shared" si="9"/>
        <v>0</v>
      </c>
      <c r="S7" s="624" t="s">
        <v>93</v>
      </c>
      <c r="T7" s="37" t="s">
        <v>132</v>
      </c>
      <c r="U7" s="21">
        <v>86.4</v>
      </c>
      <c r="V7" s="552">
        <v>0.53</v>
      </c>
      <c r="W7" s="847">
        <v>0.37</v>
      </c>
      <c r="X7" s="556" t="s">
        <v>64</v>
      </c>
      <c r="Y7" s="784" t="s">
        <v>64</v>
      </c>
      <c r="Z7" s="784" t="s">
        <v>64</v>
      </c>
      <c r="AA7" s="785" t="s">
        <v>64</v>
      </c>
      <c r="AB7" s="32">
        <f t="shared" si="10"/>
        <v>1207.6151175393034</v>
      </c>
      <c r="AC7" s="6">
        <f t="shared" si="1"/>
        <v>1185.5601999999999</v>
      </c>
      <c r="AD7" s="6">
        <f t="shared" si="2"/>
        <v>22.05491753930346</v>
      </c>
      <c r="AE7" s="6">
        <f t="shared" si="11"/>
        <v>1227.1642521600079</v>
      </c>
      <c r="AF7" s="839">
        <v>0.97399999999999998</v>
      </c>
      <c r="AG7" s="553">
        <f t="shared" si="3"/>
        <v>2.6694045174538106E-2</v>
      </c>
      <c r="AH7" s="32">
        <f t="shared" si="12"/>
        <v>61.327416732284199</v>
      </c>
      <c r="AI7" s="9">
        <v>50.659632858651584</v>
      </c>
      <c r="AJ7" s="9">
        <v>2.3900418504458947</v>
      </c>
      <c r="AK7" s="9">
        <v>12.869610873150162</v>
      </c>
      <c r="AL7" s="9">
        <v>10.829625657365533</v>
      </c>
      <c r="AM7" s="9">
        <v>0.15189239032715912</v>
      </c>
      <c r="AN7" s="9">
        <v>9.6325929124031529</v>
      </c>
      <c r="AO7" s="9">
        <v>10.561047722151285</v>
      </c>
      <c r="AP7" s="9">
        <v>2.1023516277070371</v>
      </c>
      <c r="AQ7" s="9">
        <v>0.40135803801679804</v>
      </c>
      <c r="AR7" s="9">
        <v>0.23437699964389461</v>
      </c>
      <c r="AS7" s="6" t="s">
        <v>64</v>
      </c>
      <c r="AT7" s="6">
        <v>1368.905676928194</v>
      </c>
      <c r="AU7" s="9">
        <v>98.769666666666666</v>
      </c>
      <c r="AV7" s="8">
        <f t="shared" si="13"/>
        <v>2.1665431919574494</v>
      </c>
      <c r="AW7" s="9">
        <f t="shared" si="14"/>
        <v>8.8802930390397368</v>
      </c>
      <c r="AX7" s="8">
        <v>0.45458616780045352</v>
      </c>
      <c r="AY7" s="789">
        <v>2.2729308390022677E-2</v>
      </c>
      <c r="AZ7" s="6">
        <v>303.98849206349206</v>
      </c>
      <c r="BA7" s="48">
        <v>30.398849206349208</v>
      </c>
      <c r="BB7" s="6" t="s">
        <v>151</v>
      </c>
      <c r="BC7" s="48" t="s">
        <v>151</v>
      </c>
      <c r="BD7" s="849">
        <v>303.98849206349206</v>
      </c>
      <c r="BE7" s="48">
        <v>30.398849206349208</v>
      </c>
      <c r="BF7" s="668">
        <v>735.52802715941743</v>
      </c>
      <c r="BG7" s="48">
        <v>66.748648476868652</v>
      </c>
      <c r="BH7" s="48">
        <v>67.480339767969895</v>
      </c>
      <c r="BI7" s="850">
        <f t="shared" si="4"/>
        <v>3.0440945885747448</v>
      </c>
      <c r="BJ7" s="789">
        <f t="shared" si="5"/>
        <v>0.25662274700223686</v>
      </c>
      <c r="BK7" s="563" t="s">
        <v>64</v>
      </c>
      <c r="BL7" s="48" t="s">
        <v>64</v>
      </c>
      <c r="BM7" s="48" t="s">
        <v>64</v>
      </c>
      <c r="BN7" s="850" t="str">
        <f t="shared" si="6"/>
        <v>-</v>
      </c>
      <c r="BO7" s="789" t="str">
        <f t="shared" si="15"/>
        <v>-</v>
      </c>
      <c r="BP7" s="789" t="str">
        <f t="shared" si="16"/>
        <v>-</v>
      </c>
      <c r="BQ7" s="34" t="s">
        <v>64</v>
      </c>
      <c r="BR7" s="25">
        <v>2.683888121152767</v>
      </c>
      <c r="BS7" s="26">
        <v>2.945682275210856</v>
      </c>
      <c r="BT7" s="603"/>
      <c r="BU7" s="599">
        <v>0.1382278000406959</v>
      </c>
      <c r="BV7" s="851">
        <v>2.8935407383921464E-2</v>
      </c>
      <c r="BW7" s="851">
        <v>5.9996919061078138E-2</v>
      </c>
      <c r="BX7" s="851">
        <v>0.11783472930698664</v>
      </c>
      <c r="BY7" s="851">
        <v>5.3667470520956523E-3</v>
      </c>
      <c r="BZ7" s="851">
        <v>2.5297170030663983E-2</v>
      </c>
      <c r="CA7" s="851">
        <v>2.1730585153693166E-2</v>
      </c>
      <c r="CB7" s="851">
        <v>2.9930823120558486E-2</v>
      </c>
      <c r="CC7" s="851">
        <v>1.1008274092481824E-2</v>
      </c>
      <c r="CD7" s="851">
        <v>6.5858446615993261E-3</v>
      </c>
      <c r="CE7" s="852" t="s">
        <v>64</v>
      </c>
      <c r="CF7" s="852">
        <v>25.710104554067772</v>
      </c>
      <c r="CG7" s="603"/>
      <c r="CH7" s="584">
        <v>50.318000000000005</v>
      </c>
      <c r="CI7" s="576">
        <v>2.4220000000000002</v>
      </c>
      <c r="CJ7" s="576">
        <v>13.056666666666667</v>
      </c>
      <c r="CK7" s="576">
        <v>10.675333333333333</v>
      </c>
      <c r="CL7" s="576">
        <v>0.14466666666666669</v>
      </c>
      <c r="CM7" s="576">
        <v>8.5353333333333321</v>
      </c>
      <c r="CN7" s="576">
        <v>10.703666666666669</v>
      </c>
      <c r="CO7" s="576">
        <v>2.1303333333333332</v>
      </c>
      <c r="CP7" s="576">
        <v>0.41066666666666668</v>
      </c>
      <c r="CQ7" s="576">
        <v>0.23499999999999999</v>
      </c>
      <c r="CR7" s="792" t="s">
        <v>64</v>
      </c>
      <c r="CS7" s="793">
        <v>1380.0000000000002</v>
      </c>
      <c r="CT7" s="576">
        <f>SUM(CH7:CR7)+(CS7/10000)</f>
        <v>98.769666666666666</v>
      </c>
      <c r="CU7" s="576">
        <v>0.45458616780045352</v>
      </c>
      <c r="CV7" s="591">
        <v>312.10317460317458</v>
      </c>
      <c r="CW7" s="603"/>
      <c r="CX7" s="936">
        <v>669.20330587654166</v>
      </c>
      <c r="CY7" s="934">
        <v>63.584001282394183</v>
      </c>
      <c r="CZ7" s="934">
        <v>63.882627043721186</v>
      </c>
      <c r="DA7" s="938">
        <f t="shared" si="7"/>
        <v>2.787562868042321</v>
      </c>
      <c r="DB7" s="936">
        <v>556.48354929019251</v>
      </c>
      <c r="DC7" s="934">
        <v>48.085583119128501</v>
      </c>
      <c r="DD7" s="934">
        <v>48.718027596590332</v>
      </c>
      <c r="DE7" s="939">
        <f t="shared" si="8"/>
        <v>2.3441840220859191</v>
      </c>
      <c r="DF7" s="9"/>
    </row>
    <row r="8" spans="1:110">
      <c r="A8" s="846" t="s">
        <v>150</v>
      </c>
      <c r="B8" s="41" t="s">
        <v>157</v>
      </c>
      <c r="C8" s="41" t="s">
        <v>1481</v>
      </c>
      <c r="D8" s="34" t="s">
        <v>735</v>
      </c>
      <c r="E8" s="535">
        <v>19.390349000000001</v>
      </c>
      <c r="F8" s="537">
        <v>-155.29341099999999</v>
      </c>
      <c r="G8" s="37" t="s">
        <v>405</v>
      </c>
      <c r="H8" s="37" t="s">
        <v>64</v>
      </c>
      <c r="I8" s="202" t="s">
        <v>779</v>
      </c>
      <c r="J8" t="s">
        <v>876</v>
      </c>
      <c r="K8" s="34">
        <v>2001</v>
      </c>
      <c r="L8" s="51">
        <v>145</v>
      </c>
      <c r="M8" s="52">
        <v>70</v>
      </c>
      <c r="N8" s="838">
        <f t="shared" si="0"/>
        <v>571294.86458333349</v>
      </c>
      <c r="O8" s="54">
        <v>537784.54294504237</v>
      </c>
      <c r="P8" s="53">
        <v>40</v>
      </c>
      <c r="Q8" s="54">
        <v>33510.32163829112</v>
      </c>
      <c r="R8" s="772">
        <f t="shared" si="9"/>
        <v>5.8656787791592419E-2</v>
      </c>
      <c r="S8" s="33" t="s">
        <v>64</v>
      </c>
      <c r="T8" s="37" t="s">
        <v>132</v>
      </c>
      <c r="U8" s="853" t="s">
        <v>64</v>
      </c>
      <c r="V8" s="552">
        <v>1.8</v>
      </c>
      <c r="W8" s="847">
        <v>1.1000000000000001</v>
      </c>
      <c r="X8" s="556" t="s">
        <v>423</v>
      </c>
      <c r="Y8" s="784" t="s">
        <v>64</v>
      </c>
      <c r="Z8" s="784" t="s">
        <v>64</v>
      </c>
      <c r="AA8" s="785" t="s">
        <v>64</v>
      </c>
      <c r="AB8" s="32" t="str">
        <f t="shared" si="10"/>
        <v>-</v>
      </c>
      <c r="AC8" s="6" t="str">
        <f t="shared" si="1"/>
        <v>-</v>
      </c>
      <c r="AD8" s="6" t="str">
        <f t="shared" si="2"/>
        <v>-</v>
      </c>
      <c r="AE8" s="6" t="str">
        <f t="shared" si="11"/>
        <v>-</v>
      </c>
      <c r="AF8" s="839" t="s">
        <v>64</v>
      </c>
      <c r="AG8" s="553" t="str">
        <f t="shared" si="3"/>
        <v>-</v>
      </c>
      <c r="AH8" s="32" t="s">
        <v>64</v>
      </c>
      <c r="AI8" s="9" t="s">
        <v>64</v>
      </c>
      <c r="AJ8" s="9" t="s">
        <v>64</v>
      </c>
      <c r="AK8" s="9" t="s">
        <v>64</v>
      </c>
      <c r="AL8" s="9" t="s">
        <v>64</v>
      </c>
      <c r="AM8" s="9" t="s">
        <v>64</v>
      </c>
      <c r="AN8" s="9" t="s">
        <v>64</v>
      </c>
      <c r="AO8" s="9" t="s">
        <v>64</v>
      </c>
      <c r="AP8" s="9" t="s">
        <v>64</v>
      </c>
      <c r="AQ8" s="9" t="s">
        <v>64</v>
      </c>
      <c r="AR8" s="9" t="s">
        <v>64</v>
      </c>
      <c r="AS8" s="6" t="s">
        <v>64</v>
      </c>
      <c r="AT8" s="6" t="s">
        <v>64</v>
      </c>
      <c r="AU8" s="9" t="s">
        <v>64</v>
      </c>
      <c r="AV8" s="8" t="str">
        <f t="shared" si="13"/>
        <v>-</v>
      </c>
      <c r="AW8" s="9" t="str">
        <f t="shared" si="14"/>
        <v>-</v>
      </c>
      <c r="AX8" s="8">
        <v>0.39659863945578233</v>
      </c>
      <c r="AY8" s="789">
        <v>1.9829931972789119E-2</v>
      </c>
      <c r="AZ8" s="6">
        <v>19.785845588235293</v>
      </c>
      <c r="BA8" s="48">
        <v>1.9785845588235293</v>
      </c>
      <c r="BB8" s="6" t="s">
        <v>64</v>
      </c>
      <c r="BC8" s="48" t="s">
        <v>64</v>
      </c>
      <c r="BD8" s="849" t="s">
        <v>1007</v>
      </c>
      <c r="BE8" s="48" t="s">
        <v>1007</v>
      </c>
      <c r="BF8" s="668" t="s">
        <v>1007</v>
      </c>
      <c r="BG8" s="48" t="s">
        <v>64</v>
      </c>
      <c r="BH8" s="48" t="s">
        <v>64</v>
      </c>
      <c r="BI8" s="850" t="str">
        <f t="shared" si="4"/>
        <v>-</v>
      </c>
      <c r="BJ8" s="789" t="str">
        <f t="shared" si="5"/>
        <v>-</v>
      </c>
      <c r="BK8" s="563" t="s">
        <v>64</v>
      </c>
      <c r="BL8" s="48" t="s">
        <v>64</v>
      </c>
      <c r="BM8" s="48" t="s">
        <v>64</v>
      </c>
      <c r="BN8" s="850" t="str">
        <f t="shared" si="6"/>
        <v>-</v>
      </c>
      <c r="BO8" s="789" t="str">
        <f t="shared" si="15"/>
        <v>-</v>
      </c>
      <c r="BP8" s="789" t="str">
        <f t="shared" si="16"/>
        <v>-</v>
      </c>
      <c r="BQ8" s="34" t="s">
        <v>64</v>
      </c>
      <c r="BR8" s="45" t="s">
        <v>64</v>
      </c>
      <c r="BS8" s="854" t="s">
        <v>64</v>
      </c>
      <c r="BT8" s="603"/>
      <c r="BU8" s="599" t="s">
        <v>64</v>
      </c>
      <c r="BV8" s="851" t="s">
        <v>64</v>
      </c>
      <c r="BW8" s="851" t="s">
        <v>64</v>
      </c>
      <c r="BX8" s="851" t="s">
        <v>64</v>
      </c>
      <c r="BY8" s="851" t="s">
        <v>64</v>
      </c>
      <c r="BZ8" s="851" t="s">
        <v>64</v>
      </c>
      <c r="CA8" s="851" t="s">
        <v>64</v>
      </c>
      <c r="CB8" s="851" t="s">
        <v>64</v>
      </c>
      <c r="CC8" s="851" t="s">
        <v>64</v>
      </c>
      <c r="CD8" s="851" t="s">
        <v>64</v>
      </c>
      <c r="CE8" s="852" t="s">
        <v>64</v>
      </c>
      <c r="CF8" s="852" t="s">
        <v>64</v>
      </c>
      <c r="CG8" s="603"/>
      <c r="CH8" s="584" t="s">
        <v>64</v>
      </c>
      <c r="CI8" s="576" t="s">
        <v>64</v>
      </c>
      <c r="CJ8" s="576" t="s">
        <v>64</v>
      </c>
      <c r="CK8" s="576" t="s">
        <v>64</v>
      </c>
      <c r="CL8" s="576" t="s">
        <v>64</v>
      </c>
      <c r="CM8" s="576" t="s">
        <v>64</v>
      </c>
      <c r="CN8" s="576" t="s">
        <v>64</v>
      </c>
      <c r="CO8" s="576" t="s">
        <v>64</v>
      </c>
      <c r="CP8" s="576" t="s">
        <v>64</v>
      </c>
      <c r="CQ8" s="576" t="s">
        <v>64</v>
      </c>
      <c r="CR8" s="792" t="s">
        <v>64</v>
      </c>
      <c r="CS8" s="793" t="s">
        <v>64</v>
      </c>
      <c r="CT8" s="855" t="s">
        <v>64</v>
      </c>
      <c r="CU8" s="576">
        <v>0.39659863945578233</v>
      </c>
      <c r="CV8" s="591">
        <v>20.220588235294116</v>
      </c>
      <c r="CW8" s="603"/>
      <c r="CX8" s="936" t="s">
        <v>1007</v>
      </c>
      <c r="CY8" s="934" t="s">
        <v>64</v>
      </c>
      <c r="CZ8" s="934" t="s">
        <v>64</v>
      </c>
      <c r="DA8" s="938" t="str">
        <f t="shared" si="7"/>
        <v>-</v>
      </c>
      <c r="DB8" s="936" t="s">
        <v>1007</v>
      </c>
      <c r="DC8" s="934" t="s">
        <v>64</v>
      </c>
      <c r="DD8" s="934" t="s">
        <v>64</v>
      </c>
      <c r="DE8" s="939" t="str">
        <f t="shared" si="8"/>
        <v>-</v>
      </c>
      <c r="DF8" s="19"/>
    </row>
    <row r="9" spans="1:110">
      <c r="A9" s="846" t="s">
        <v>33</v>
      </c>
      <c r="B9" s="41" t="s">
        <v>157</v>
      </c>
      <c r="C9" s="41" t="s">
        <v>1481</v>
      </c>
      <c r="D9" s="34" t="s">
        <v>735</v>
      </c>
      <c r="E9" s="535">
        <v>19.390349000000001</v>
      </c>
      <c r="F9" s="537">
        <v>-155.29341099999999</v>
      </c>
      <c r="G9" s="37" t="s">
        <v>405</v>
      </c>
      <c r="H9" s="37" t="s">
        <v>64</v>
      </c>
      <c r="I9" s="202" t="s">
        <v>779</v>
      </c>
      <c r="J9" t="s">
        <v>883</v>
      </c>
      <c r="K9" s="34">
        <v>2001</v>
      </c>
      <c r="L9" s="51">
        <v>310</v>
      </c>
      <c r="M9" s="52">
        <v>85</v>
      </c>
      <c r="N9" s="838">
        <f t="shared" si="0"/>
        <v>2724793.114583334</v>
      </c>
      <c r="O9" s="54">
        <v>2677080.176156939</v>
      </c>
      <c r="P9" s="53">
        <v>45</v>
      </c>
      <c r="Q9" s="54">
        <v>47712.938426394983</v>
      </c>
      <c r="R9" s="772">
        <f t="shared" si="9"/>
        <v>1.7510664633961056E-2</v>
      </c>
      <c r="S9" s="624" t="s">
        <v>91</v>
      </c>
      <c r="T9" s="37" t="s">
        <v>132</v>
      </c>
      <c r="U9" s="21">
        <v>86.4</v>
      </c>
      <c r="V9" s="552">
        <v>1.66</v>
      </c>
      <c r="W9" s="847">
        <v>0.46</v>
      </c>
      <c r="X9" s="556" t="s">
        <v>423</v>
      </c>
      <c r="Y9" s="784" t="s">
        <v>64</v>
      </c>
      <c r="Z9" s="784" t="s">
        <v>64</v>
      </c>
      <c r="AA9" s="785" t="s">
        <v>64</v>
      </c>
      <c r="AB9" s="32">
        <f t="shared" si="10"/>
        <v>1211.8161119936574</v>
      </c>
      <c r="AC9" s="6">
        <f t="shared" si="1"/>
        <v>1187.3625</v>
      </c>
      <c r="AD9" s="6">
        <f t="shared" si="2"/>
        <v>24.453611993657432</v>
      </c>
      <c r="AE9" s="6">
        <f t="shared" si="11"/>
        <v>1227.1642521600079</v>
      </c>
      <c r="AF9" s="839">
        <v>0.97099999999999997</v>
      </c>
      <c r="AG9" s="553">
        <f t="shared" si="3"/>
        <v>2.9866117404737436E-2</v>
      </c>
      <c r="AH9" s="32">
        <f>100*(AN9/40.3)/((AN9/40.3)+(AL9/71.85))</f>
        <v>61.330598452250008</v>
      </c>
      <c r="AI9" s="9">
        <v>50.58245103097714</v>
      </c>
      <c r="AJ9" s="9">
        <v>2.3061999515227383</v>
      </c>
      <c r="AK9" s="9">
        <v>12.688124515140373</v>
      </c>
      <c r="AL9" s="9">
        <v>11.063118877396382</v>
      </c>
      <c r="AM9" s="9">
        <v>0.15193551164045965</v>
      </c>
      <c r="AN9" s="9">
        <v>9.8415976116247421</v>
      </c>
      <c r="AO9" s="9">
        <v>10.582157456441815</v>
      </c>
      <c r="AP9" s="9">
        <v>2.0476077231015593</v>
      </c>
      <c r="AQ9" s="9">
        <v>0.39040383123508837</v>
      </c>
      <c r="AR9" s="9">
        <v>0.20526387003081964</v>
      </c>
      <c r="AS9" s="6" t="s">
        <v>64</v>
      </c>
      <c r="AT9" s="6">
        <v>1317.3379932485261</v>
      </c>
      <c r="AU9" s="9">
        <v>98.640666666666661</v>
      </c>
      <c r="AV9" s="8">
        <f t="shared" si="13"/>
        <v>2.2132551617181031</v>
      </c>
      <c r="AW9" s="9">
        <f t="shared" si="14"/>
        <v>9.0717574794650346</v>
      </c>
      <c r="AX9" s="8">
        <v>0.39462305470133258</v>
      </c>
      <c r="AY9" s="789">
        <v>1.9731152735066631E-2</v>
      </c>
      <c r="AZ9" s="6">
        <v>93.479071537290721</v>
      </c>
      <c r="BA9" s="48">
        <v>9.3479071537290732</v>
      </c>
      <c r="BB9" s="6" t="s">
        <v>64</v>
      </c>
      <c r="BC9" s="48" t="s">
        <v>64</v>
      </c>
      <c r="BD9" s="849" t="s">
        <v>1007</v>
      </c>
      <c r="BE9" s="48" t="s">
        <v>1007</v>
      </c>
      <c r="BF9" s="668" t="s">
        <v>1007</v>
      </c>
      <c r="BG9" s="48" t="s">
        <v>64</v>
      </c>
      <c r="BH9" s="48" t="s">
        <v>64</v>
      </c>
      <c r="BI9" s="850" t="str">
        <f t="shared" si="4"/>
        <v>-</v>
      </c>
      <c r="BJ9" s="789" t="str">
        <f t="shared" si="5"/>
        <v>-</v>
      </c>
      <c r="BK9" s="563" t="s">
        <v>64</v>
      </c>
      <c r="BL9" s="48" t="s">
        <v>64</v>
      </c>
      <c r="BM9" s="48" t="s">
        <v>64</v>
      </c>
      <c r="BN9" s="850" t="str">
        <f t="shared" si="6"/>
        <v>-</v>
      </c>
      <c r="BO9" s="789" t="str">
        <f t="shared" si="15"/>
        <v>-</v>
      </c>
      <c r="BP9" s="789" t="str">
        <f t="shared" si="16"/>
        <v>-</v>
      </c>
      <c r="BQ9" s="34" t="s">
        <v>64</v>
      </c>
      <c r="BR9" s="25">
        <v>2.6922827373897649</v>
      </c>
      <c r="BS9" s="26">
        <v>2.9531528317529929</v>
      </c>
      <c r="BT9" s="603"/>
      <c r="BU9" s="599">
        <v>0.13801720486578958</v>
      </c>
      <c r="BV9" s="851">
        <v>2.7920362605215812E-2</v>
      </c>
      <c r="BW9" s="851">
        <v>5.9150846678662911E-2</v>
      </c>
      <c r="BX9" s="851">
        <v>0.12037531669641678</v>
      </c>
      <c r="BY9" s="851">
        <v>5.3682706385013946E-3</v>
      </c>
      <c r="BZ9" s="851">
        <v>2.5846059354805186E-2</v>
      </c>
      <c r="CA9" s="851">
        <v>2.1774020889487641E-2</v>
      </c>
      <c r="CB9" s="851">
        <v>2.9151443446825045E-2</v>
      </c>
      <c r="CC9" s="851">
        <v>1.070782686258547E-2</v>
      </c>
      <c r="CD9" s="851">
        <v>5.7677842310279188E-3</v>
      </c>
      <c r="CE9" s="852" t="s">
        <v>64</v>
      </c>
      <c r="CF9" s="852">
        <v>24.741586005740576</v>
      </c>
      <c r="CG9" s="603"/>
      <c r="CH9" s="584">
        <v>50.199999999999996</v>
      </c>
      <c r="CI9" s="576">
        <v>2.3353333333333333</v>
      </c>
      <c r="CJ9" s="576">
        <v>12.891</v>
      </c>
      <c r="CK9" s="576">
        <v>10.881333333333336</v>
      </c>
      <c r="CL9" s="576">
        <v>0.15233333333333332</v>
      </c>
      <c r="CM9" s="576">
        <v>8.625</v>
      </c>
      <c r="CN9" s="576">
        <v>10.733333333333334</v>
      </c>
      <c r="CO9" s="576">
        <v>2.0836666666666663</v>
      </c>
      <c r="CP9" s="576">
        <v>0.39500000000000002</v>
      </c>
      <c r="CQ9" s="576">
        <v>0.21066666666666667</v>
      </c>
      <c r="CR9" s="792" t="s">
        <v>64</v>
      </c>
      <c r="CS9" s="793">
        <v>1330</v>
      </c>
      <c r="CT9" s="576">
        <f t="shared" ref="CT9:CT15" si="17">SUM(CH9:CR9)+(CS9/10000)</f>
        <v>98.640666666666661</v>
      </c>
      <c r="CU9" s="576">
        <v>0.39462305470133258</v>
      </c>
      <c r="CV9" s="591">
        <v>96.270928462709293</v>
      </c>
      <c r="CW9" s="603"/>
      <c r="CX9" s="936" t="s">
        <v>1007</v>
      </c>
      <c r="CY9" s="934" t="s">
        <v>64</v>
      </c>
      <c r="CZ9" s="934" t="s">
        <v>64</v>
      </c>
      <c r="DA9" s="938" t="str">
        <f t="shared" si="7"/>
        <v>-</v>
      </c>
      <c r="DB9" s="936" t="s">
        <v>1007</v>
      </c>
      <c r="DC9" s="934" t="s">
        <v>64</v>
      </c>
      <c r="DD9" s="934" t="s">
        <v>64</v>
      </c>
      <c r="DE9" s="939" t="str">
        <f t="shared" si="8"/>
        <v>-</v>
      </c>
      <c r="DF9" s="9"/>
    </row>
    <row r="10" spans="1:110">
      <c r="A10" s="846" t="s">
        <v>31</v>
      </c>
      <c r="B10" s="41" t="s">
        <v>157</v>
      </c>
      <c r="C10" s="41" t="s">
        <v>1481</v>
      </c>
      <c r="D10" s="34" t="s">
        <v>735</v>
      </c>
      <c r="E10" s="535">
        <v>19.390349000000001</v>
      </c>
      <c r="F10" s="537">
        <v>-155.29341099999999</v>
      </c>
      <c r="G10" s="37" t="s">
        <v>405</v>
      </c>
      <c r="H10" s="37" t="s">
        <v>64</v>
      </c>
      <c r="I10" s="202" t="s">
        <v>779</v>
      </c>
      <c r="J10" t="s">
        <v>884</v>
      </c>
      <c r="K10" s="34">
        <v>2001</v>
      </c>
      <c r="L10" s="51">
        <v>145</v>
      </c>
      <c r="M10" s="52">
        <v>135</v>
      </c>
      <c r="N10" s="838">
        <f t="shared" si="0"/>
        <v>1434880.1250000005</v>
      </c>
      <c r="O10" s="54">
        <v>1420742.9580588464</v>
      </c>
      <c r="P10" s="53">
        <v>30</v>
      </c>
      <c r="Q10" s="54">
        <v>14137.166941154068</v>
      </c>
      <c r="R10" s="772">
        <f t="shared" si="9"/>
        <v>9.8525073243690402E-3</v>
      </c>
      <c r="S10" s="624" t="s">
        <v>161</v>
      </c>
      <c r="T10" s="37" t="s">
        <v>132</v>
      </c>
      <c r="U10" s="21">
        <v>86</v>
      </c>
      <c r="V10" s="552">
        <v>0.5</v>
      </c>
      <c r="W10" s="847">
        <v>0.47</v>
      </c>
      <c r="X10" s="556" t="s">
        <v>423</v>
      </c>
      <c r="Y10" s="784" t="s">
        <v>64</v>
      </c>
      <c r="Z10" s="784" t="s">
        <v>64</v>
      </c>
      <c r="AA10" s="785" t="s">
        <v>64</v>
      </c>
      <c r="AB10" s="32">
        <f t="shared" si="10"/>
        <v>1204.3784612056456</v>
      </c>
      <c r="AC10" s="6">
        <f t="shared" si="1"/>
        <v>1193.9150999999999</v>
      </c>
      <c r="AD10" s="6">
        <f t="shared" si="2"/>
        <v>10.463361205645697</v>
      </c>
      <c r="AE10" s="6">
        <f t="shared" si="11"/>
        <v>1220.4938400000028</v>
      </c>
      <c r="AF10" s="839">
        <v>0.99</v>
      </c>
      <c r="AG10" s="553">
        <f t="shared" si="3"/>
        <v>1.0101010101010166E-2</v>
      </c>
      <c r="AH10" s="32">
        <f>100*(AN10/40.3)/((AN10/40.3)+(AL10/71.85))</f>
        <v>60.569513691755617</v>
      </c>
      <c r="AI10" s="9">
        <v>50.696824624317891</v>
      </c>
      <c r="AJ10" s="9">
        <v>2.4564482295438483</v>
      </c>
      <c r="AK10" s="9">
        <v>12.892076308351594</v>
      </c>
      <c r="AL10" s="9">
        <v>10.993134149748872</v>
      </c>
      <c r="AM10" s="9">
        <v>0.17107587014438927</v>
      </c>
      <c r="AN10" s="9">
        <v>9.4715652341117167</v>
      </c>
      <c r="AO10" s="9">
        <v>10.550349544669277</v>
      </c>
      <c r="AP10" s="9">
        <v>1.98749907961864</v>
      </c>
      <c r="AQ10" s="9">
        <v>0.41762638888189141</v>
      </c>
      <c r="AR10" s="9">
        <v>0.22843660307515509</v>
      </c>
      <c r="AS10" s="6" t="s">
        <v>64</v>
      </c>
      <c r="AT10" s="6">
        <v>1286.9877979839032</v>
      </c>
      <c r="AU10" s="9">
        <v>98.311500000000009</v>
      </c>
      <c r="AV10" s="8">
        <f t="shared" si="13"/>
        <v>2.1992542220713491</v>
      </c>
      <c r="AW10" s="9">
        <f t="shared" si="14"/>
        <v>9.0143700027940756</v>
      </c>
      <c r="AX10" s="8">
        <v>0.51077097505668934</v>
      </c>
      <c r="AY10" s="789">
        <v>2.553854875283447E-2</v>
      </c>
      <c r="AZ10" s="6">
        <v>62.25786924939468</v>
      </c>
      <c r="BA10" s="48">
        <v>6.2257869249394684</v>
      </c>
      <c r="BB10" s="6" t="s">
        <v>64</v>
      </c>
      <c r="BC10" s="48" t="s">
        <v>64</v>
      </c>
      <c r="BD10" s="849" t="s">
        <v>1007</v>
      </c>
      <c r="BE10" s="48" t="s">
        <v>1007</v>
      </c>
      <c r="BF10" s="668" t="s">
        <v>1007</v>
      </c>
      <c r="BG10" s="48" t="s">
        <v>64</v>
      </c>
      <c r="BH10" s="48" t="s">
        <v>64</v>
      </c>
      <c r="BI10" s="850" t="str">
        <f t="shared" si="4"/>
        <v>-</v>
      </c>
      <c r="BJ10" s="789" t="str">
        <f t="shared" si="5"/>
        <v>-</v>
      </c>
      <c r="BK10" s="563" t="s">
        <v>64</v>
      </c>
      <c r="BL10" s="48" t="s">
        <v>64</v>
      </c>
      <c r="BM10" s="48" t="s">
        <v>64</v>
      </c>
      <c r="BN10" s="850" t="str">
        <f t="shared" si="6"/>
        <v>-</v>
      </c>
      <c r="BO10" s="789" t="str">
        <f t="shared" si="15"/>
        <v>-</v>
      </c>
      <c r="BP10" s="789" t="str">
        <f t="shared" si="16"/>
        <v>-</v>
      </c>
      <c r="BQ10" s="34" t="s">
        <v>64</v>
      </c>
      <c r="BR10" s="25">
        <v>2.6820783599219808</v>
      </c>
      <c r="BS10" s="26">
        <v>2.9515928698995442</v>
      </c>
      <c r="BT10" s="603"/>
      <c r="BU10" s="599">
        <v>0.13832927996973579</v>
      </c>
      <c r="BV10" s="851">
        <v>2.9739366373899793E-2</v>
      </c>
      <c r="BW10" s="851">
        <v>6.0101650813322825E-2</v>
      </c>
      <c r="BX10" s="851">
        <v>0.11961382856202694</v>
      </c>
      <c r="BY10" s="851">
        <v>6.0445485109857748E-3</v>
      </c>
      <c r="BZ10" s="851">
        <v>2.4874278230457587E-2</v>
      </c>
      <c r="CA10" s="851">
        <v>2.1708572408094595E-2</v>
      </c>
      <c r="CB10" s="851">
        <v>2.8295686896686861E-2</v>
      </c>
      <c r="CC10" s="851">
        <v>1.1454475360159231E-2</v>
      </c>
      <c r="CD10" s="851">
        <v>6.4189232952132991E-3</v>
      </c>
      <c r="CE10" s="852" t="s">
        <v>64</v>
      </c>
      <c r="CF10" s="852">
        <v>24.171563756113539</v>
      </c>
      <c r="CG10" s="603"/>
      <c r="CH10" s="584">
        <v>49.953500000000005</v>
      </c>
      <c r="CI10" s="576">
        <v>2.4344999999999999</v>
      </c>
      <c r="CJ10" s="576">
        <v>12.803999999999998</v>
      </c>
      <c r="CK10" s="576">
        <v>10.7805</v>
      </c>
      <c r="CL10" s="576">
        <v>0.16499999999999998</v>
      </c>
      <c r="CM10" s="576">
        <v>8.9510000000000005</v>
      </c>
      <c r="CN10" s="576">
        <v>10.475999999999999</v>
      </c>
      <c r="CO10" s="576">
        <v>1.9735</v>
      </c>
      <c r="CP10" s="576">
        <v>0.41500000000000004</v>
      </c>
      <c r="CQ10" s="576">
        <v>0.23149999999999998</v>
      </c>
      <c r="CR10" s="792" t="s">
        <v>64</v>
      </c>
      <c r="CS10" s="793">
        <v>1270</v>
      </c>
      <c r="CT10" s="576">
        <f t="shared" si="17"/>
        <v>98.311500000000009</v>
      </c>
      <c r="CU10" s="576">
        <v>0.51077097505668934</v>
      </c>
      <c r="CV10" s="591">
        <v>62.886736615550184</v>
      </c>
      <c r="CW10" s="603"/>
      <c r="CX10" s="936" t="s">
        <v>1007</v>
      </c>
      <c r="CY10" s="934" t="s">
        <v>64</v>
      </c>
      <c r="CZ10" s="934" t="s">
        <v>64</v>
      </c>
      <c r="DA10" s="938" t="str">
        <f t="shared" si="7"/>
        <v>-</v>
      </c>
      <c r="DB10" s="936" t="s">
        <v>1007</v>
      </c>
      <c r="DC10" s="934" t="s">
        <v>64</v>
      </c>
      <c r="DD10" s="934" t="s">
        <v>64</v>
      </c>
      <c r="DE10" s="939" t="str">
        <f t="shared" si="8"/>
        <v>-</v>
      </c>
      <c r="DF10" s="9"/>
    </row>
    <row r="11" spans="1:110">
      <c r="A11" s="846" t="s">
        <v>37</v>
      </c>
      <c r="B11" s="41" t="s">
        <v>157</v>
      </c>
      <c r="C11" s="41" t="s">
        <v>1481</v>
      </c>
      <c r="D11" s="34" t="s">
        <v>735</v>
      </c>
      <c r="E11" s="535">
        <v>19.390349000000001</v>
      </c>
      <c r="F11" s="537">
        <v>-155.29341099999999</v>
      </c>
      <c r="G11" s="37" t="s">
        <v>405</v>
      </c>
      <c r="H11" s="37" t="s">
        <v>64</v>
      </c>
      <c r="I11" s="202" t="s">
        <v>779</v>
      </c>
      <c r="J11" t="s">
        <v>884</v>
      </c>
      <c r="K11" s="34">
        <v>2001</v>
      </c>
      <c r="L11" s="51">
        <v>190</v>
      </c>
      <c r="M11" s="52">
        <v>145</v>
      </c>
      <c r="N11" s="838">
        <f t="shared" si="0"/>
        <v>2416140.739583334</v>
      </c>
      <c r="O11" s="54">
        <v>2382630.4179450427</v>
      </c>
      <c r="P11" s="53">
        <v>40</v>
      </c>
      <c r="Q11" s="54">
        <v>33510.32163829112</v>
      </c>
      <c r="R11" s="772">
        <f t="shared" si="9"/>
        <v>1.386935830736003E-2</v>
      </c>
      <c r="S11" s="624" t="s">
        <v>94</v>
      </c>
      <c r="T11" s="37" t="s">
        <v>132</v>
      </c>
      <c r="U11" s="21">
        <v>86.8</v>
      </c>
      <c r="V11" s="552">
        <v>0.68500000000000005</v>
      </c>
      <c r="W11" s="847">
        <v>0.44</v>
      </c>
      <c r="X11" s="556" t="s">
        <v>423</v>
      </c>
      <c r="Y11" s="784" t="s">
        <v>64</v>
      </c>
      <c r="Z11" s="784" t="s">
        <v>64</v>
      </c>
      <c r="AA11" s="785" t="s">
        <v>64</v>
      </c>
      <c r="AB11" s="32">
        <f t="shared" si="10"/>
        <v>1217.5738721117114</v>
      </c>
      <c r="AC11" s="6">
        <f t="shared" si="1"/>
        <v>1190.4377999999999</v>
      </c>
      <c r="AD11" s="6">
        <f t="shared" si="2"/>
        <v>27.136072111711428</v>
      </c>
      <c r="AE11" s="6">
        <f t="shared" si="11"/>
        <v>1234.1514924800031</v>
      </c>
      <c r="AF11" s="839">
        <v>0.96799999999999997</v>
      </c>
      <c r="AG11" s="553">
        <f t="shared" si="3"/>
        <v>3.3057851239669533E-2</v>
      </c>
      <c r="AH11" s="32">
        <f t="shared" si="12"/>
        <v>62.232789359658383</v>
      </c>
      <c r="AI11" s="9">
        <v>50.623158496247967</v>
      </c>
      <c r="AJ11" s="9">
        <v>2.3377849668366508</v>
      </c>
      <c r="AK11" s="9">
        <v>12.704346716033527</v>
      </c>
      <c r="AL11" s="9">
        <v>10.95830413425927</v>
      </c>
      <c r="AM11" s="9">
        <v>0.15196105466738452</v>
      </c>
      <c r="AN11" s="9">
        <v>10.128053338891112</v>
      </c>
      <c r="AO11" s="9">
        <v>10.305173508569652</v>
      </c>
      <c r="AP11" s="9">
        <v>1.9533536894661814</v>
      </c>
      <c r="AQ11" s="9">
        <v>0.37939945436823819</v>
      </c>
      <c r="AR11" s="9">
        <v>0.34015123495083427</v>
      </c>
      <c r="AS11" s="6" t="s">
        <v>64</v>
      </c>
      <c r="AT11" s="6">
        <v>1136.3588694247849</v>
      </c>
      <c r="AU11" s="9">
        <v>98.585499999999996</v>
      </c>
      <c r="AV11" s="8">
        <f t="shared" si="13"/>
        <v>2.1922862311802285</v>
      </c>
      <c r="AW11" s="9">
        <f t="shared" si="14"/>
        <v>8.9858093900926015</v>
      </c>
      <c r="AX11" s="8">
        <v>0.47629393424036276</v>
      </c>
      <c r="AY11" s="789">
        <v>2.3814696712018139E-2</v>
      </c>
      <c r="AZ11" s="6">
        <v>46.479365079365088</v>
      </c>
      <c r="BA11" s="48">
        <v>4.6479365079365094</v>
      </c>
      <c r="BB11" s="6" t="s">
        <v>64</v>
      </c>
      <c r="BC11" s="48" t="s">
        <v>64</v>
      </c>
      <c r="BD11" s="849" t="s">
        <v>1007</v>
      </c>
      <c r="BE11" s="48" t="s">
        <v>1007</v>
      </c>
      <c r="BF11" s="668" t="s">
        <v>1007</v>
      </c>
      <c r="BG11" s="48" t="s">
        <v>64</v>
      </c>
      <c r="BH11" s="48" t="s">
        <v>64</v>
      </c>
      <c r="BI11" s="850" t="str">
        <f t="shared" si="4"/>
        <v>-</v>
      </c>
      <c r="BJ11" s="789" t="str">
        <f t="shared" si="5"/>
        <v>-</v>
      </c>
      <c r="BK11" s="563" t="s">
        <v>64</v>
      </c>
      <c r="BL11" s="48" t="s">
        <v>64</v>
      </c>
      <c r="BM11" s="48" t="s">
        <v>64</v>
      </c>
      <c r="BN11" s="850" t="str">
        <f t="shared" si="6"/>
        <v>-</v>
      </c>
      <c r="BO11" s="789" t="str">
        <f t="shared" si="15"/>
        <v>-</v>
      </c>
      <c r="BP11" s="789" t="str">
        <f t="shared" si="16"/>
        <v>-</v>
      </c>
      <c r="BQ11" s="34" t="s">
        <v>64</v>
      </c>
      <c r="BR11" s="25">
        <v>2.6843056606455491</v>
      </c>
      <c r="BS11" s="26">
        <v>2.947093950219267</v>
      </c>
      <c r="BT11" s="603"/>
      <c r="BU11" s="599">
        <v>0.13812827758882568</v>
      </c>
      <c r="BV11" s="851">
        <v>2.8302751426216983E-2</v>
      </c>
      <c r="BW11" s="851">
        <v>5.922647305801286E-2</v>
      </c>
      <c r="BX11" s="851">
        <v>0.11923485097066541</v>
      </c>
      <c r="BY11" s="851">
        <v>5.3691731390424378E-3</v>
      </c>
      <c r="BZ11" s="851">
        <v>2.6598351007199639E-2</v>
      </c>
      <c r="CA11" s="851">
        <v>2.1204094171628243E-2</v>
      </c>
      <c r="CB11" s="851">
        <v>2.7809564775360108E-2</v>
      </c>
      <c r="CC11" s="851">
        <v>1.0406003589365803E-2</v>
      </c>
      <c r="CD11" s="851">
        <v>9.5580334172765975E-3</v>
      </c>
      <c r="CE11" s="852" t="s">
        <v>64</v>
      </c>
      <c r="CF11" s="852">
        <v>21.342526250174934</v>
      </c>
      <c r="CG11" s="603"/>
      <c r="CH11" s="584">
        <v>50.246499999999997</v>
      </c>
      <c r="CI11" s="576">
        <v>2.3795000000000002</v>
      </c>
      <c r="CJ11" s="576">
        <v>12.938500000000001</v>
      </c>
      <c r="CK11" s="576">
        <v>10.7715</v>
      </c>
      <c r="CL11" s="576">
        <v>0.14550000000000002</v>
      </c>
      <c r="CM11" s="576">
        <v>8.7779999999999987</v>
      </c>
      <c r="CN11" s="576">
        <v>10.49</v>
      </c>
      <c r="CO11" s="576">
        <v>1.9904999999999999</v>
      </c>
      <c r="CP11" s="576">
        <v>0.38449999999999995</v>
      </c>
      <c r="CQ11" s="576">
        <v>0.34599999999999997</v>
      </c>
      <c r="CR11" s="792" t="s">
        <v>64</v>
      </c>
      <c r="CS11" s="793">
        <v>1150</v>
      </c>
      <c r="CT11" s="576">
        <f t="shared" si="17"/>
        <v>98.585499999999996</v>
      </c>
      <c r="CU11" s="576">
        <v>0.47629393424036276</v>
      </c>
      <c r="CV11" s="591">
        <v>48.015873015873026</v>
      </c>
      <c r="CW11" s="603"/>
      <c r="CX11" s="936" t="s">
        <v>1007</v>
      </c>
      <c r="CY11" s="934" t="s">
        <v>64</v>
      </c>
      <c r="CZ11" s="934" t="s">
        <v>64</v>
      </c>
      <c r="DA11" s="938" t="str">
        <f t="shared" si="7"/>
        <v>-</v>
      </c>
      <c r="DB11" s="936" t="s">
        <v>1007</v>
      </c>
      <c r="DC11" s="934" t="s">
        <v>64</v>
      </c>
      <c r="DD11" s="934" t="s">
        <v>64</v>
      </c>
      <c r="DE11" s="939" t="str">
        <f t="shared" si="8"/>
        <v>-</v>
      </c>
      <c r="DF11" s="9"/>
    </row>
    <row r="12" spans="1:110">
      <c r="A12" s="846" t="s">
        <v>38</v>
      </c>
      <c r="B12" s="41" t="s">
        <v>157</v>
      </c>
      <c r="C12" s="41" t="s">
        <v>1481</v>
      </c>
      <c r="D12" s="34" t="s">
        <v>735</v>
      </c>
      <c r="E12" s="535">
        <v>19.390349000000001</v>
      </c>
      <c r="F12" s="537">
        <v>-155.29341099999999</v>
      </c>
      <c r="G12" s="37" t="s">
        <v>405</v>
      </c>
      <c r="H12" s="37" t="s">
        <v>64</v>
      </c>
      <c r="I12" s="202" t="s">
        <v>779</v>
      </c>
      <c r="J12" t="s">
        <v>884</v>
      </c>
      <c r="K12" s="34">
        <v>2001</v>
      </c>
      <c r="L12" s="51">
        <v>278</v>
      </c>
      <c r="M12" s="52">
        <v>240</v>
      </c>
      <c r="N12" s="838">
        <f t="shared" si="0"/>
        <v>9047771.3200000003</v>
      </c>
      <c r="O12" s="54">
        <v>8883135.1097910758</v>
      </c>
      <c r="P12" s="53">
        <v>68</v>
      </c>
      <c r="Q12" s="54">
        <v>164636.21020892431</v>
      </c>
      <c r="R12" s="772">
        <f t="shared" si="9"/>
        <v>1.8196327513826278E-2</v>
      </c>
      <c r="S12" s="624" t="s">
        <v>95</v>
      </c>
      <c r="T12" s="37" t="s">
        <v>132</v>
      </c>
      <c r="U12" s="21">
        <v>87.9</v>
      </c>
      <c r="V12" s="552">
        <v>1.89</v>
      </c>
      <c r="W12" s="847">
        <v>1.21</v>
      </c>
      <c r="X12" s="556" t="s">
        <v>423</v>
      </c>
      <c r="Y12" s="784" t="s">
        <v>64</v>
      </c>
      <c r="Z12" s="784" t="s">
        <v>64</v>
      </c>
      <c r="AA12" s="785" t="s">
        <v>64</v>
      </c>
      <c r="AB12" s="32">
        <f t="shared" si="10"/>
        <v>1212.686636174974</v>
      </c>
      <c r="AC12" s="6">
        <f t="shared" si="1"/>
        <v>1198.3639000000001</v>
      </c>
      <c r="AD12" s="6">
        <f t="shared" si="2"/>
        <v>14.322736174973898</v>
      </c>
      <c r="AE12" s="6">
        <f t="shared" si="11"/>
        <v>1255.0718087100031</v>
      </c>
      <c r="AF12" s="839">
        <v>0.98399999999999999</v>
      </c>
      <c r="AG12" s="553">
        <f t="shared" si="3"/>
        <v>1.6260162601626105E-2</v>
      </c>
      <c r="AH12" s="32">
        <f t="shared" si="12"/>
        <v>64.476555299673421</v>
      </c>
      <c r="AI12" s="9">
        <v>51.184269319682251</v>
      </c>
      <c r="AJ12" s="9">
        <v>2.3949683675535289</v>
      </c>
      <c r="AK12" s="9">
        <v>13.265446901745628</v>
      </c>
      <c r="AL12" s="9">
        <v>9.7097393463866268</v>
      </c>
      <c r="AM12" s="9">
        <v>0.14093971057481886</v>
      </c>
      <c r="AN12" s="9">
        <v>9.8849072723867604</v>
      </c>
      <c r="AO12" s="9">
        <v>10.582558839732114</v>
      </c>
      <c r="AP12" s="9">
        <v>2.1151023708406744</v>
      </c>
      <c r="AQ12" s="9">
        <v>0.43489967834515525</v>
      </c>
      <c r="AR12" s="9">
        <v>0.21744983917257762</v>
      </c>
      <c r="AS12" s="6" t="s">
        <v>64</v>
      </c>
      <c r="AT12" s="6">
        <v>666.5824344320506</v>
      </c>
      <c r="AU12" s="9">
        <v>99.072999999999993</v>
      </c>
      <c r="AV12" s="8">
        <f t="shared" si="13"/>
        <v>1.9425020164282187</v>
      </c>
      <c r="AW12" s="9">
        <f t="shared" si="14"/>
        <v>7.9619862640370354</v>
      </c>
      <c r="AX12" s="8">
        <v>0.44947845804988662</v>
      </c>
      <c r="AY12" s="789">
        <v>2.2473922902494333E-2</v>
      </c>
      <c r="AZ12" s="6">
        <v>30.397069597069596</v>
      </c>
      <c r="BA12" s="48">
        <v>3.0397069597069599</v>
      </c>
      <c r="BB12" s="6" t="s">
        <v>64</v>
      </c>
      <c r="BC12" s="48" t="s">
        <v>64</v>
      </c>
      <c r="BD12" s="849" t="s">
        <v>1007</v>
      </c>
      <c r="BE12" s="48" t="s">
        <v>1007</v>
      </c>
      <c r="BF12" s="668" t="s">
        <v>1007</v>
      </c>
      <c r="BG12" s="48" t="s">
        <v>64</v>
      </c>
      <c r="BH12" s="48" t="s">
        <v>64</v>
      </c>
      <c r="BI12" s="850" t="str">
        <f t="shared" si="4"/>
        <v>-</v>
      </c>
      <c r="BJ12" s="789" t="str">
        <f t="shared" si="5"/>
        <v>-</v>
      </c>
      <c r="BK12" s="563" t="s">
        <v>64</v>
      </c>
      <c r="BL12" s="48" t="s">
        <v>64</v>
      </c>
      <c r="BM12" s="48" t="s">
        <v>64</v>
      </c>
      <c r="BN12" s="850" t="str">
        <f t="shared" si="6"/>
        <v>-</v>
      </c>
      <c r="BO12" s="789" t="str">
        <f t="shared" si="15"/>
        <v>-</v>
      </c>
      <c r="BP12" s="789" t="str">
        <f t="shared" si="16"/>
        <v>-</v>
      </c>
      <c r="BQ12" s="34" t="s">
        <v>64</v>
      </c>
      <c r="BR12" s="25">
        <v>2.6669430895001298</v>
      </c>
      <c r="BS12" s="26">
        <v>2.9294725252110241</v>
      </c>
      <c r="BT12" s="603"/>
      <c r="BU12" s="599">
        <v>0.13965930160786569</v>
      </c>
      <c r="BV12" s="851">
        <v>2.899505101713511E-2</v>
      </c>
      <c r="BW12" s="851">
        <v>6.1842269507426766E-2</v>
      </c>
      <c r="BX12" s="851">
        <v>0.10564949738079828</v>
      </c>
      <c r="BY12" s="851">
        <v>4.9797608334522184E-3</v>
      </c>
      <c r="BZ12" s="851">
        <v>2.5959799431047422E-2</v>
      </c>
      <c r="CA12" s="851">
        <v>2.1774846782334503E-2</v>
      </c>
      <c r="CB12" s="851">
        <v>3.0112353285331548E-2</v>
      </c>
      <c r="CC12" s="851">
        <v>1.1928239647601827E-2</v>
      </c>
      <c r="CD12" s="851">
        <v>6.1102022154743349E-3</v>
      </c>
      <c r="CE12" s="852" t="s">
        <v>64</v>
      </c>
      <c r="CF12" s="852">
        <v>12.519419249988264</v>
      </c>
      <c r="CG12" s="603"/>
      <c r="CH12" s="584">
        <v>50.881666666666661</v>
      </c>
      <c r="CI12" s="576">
        <v>2.4133333333333331</v>
      </c>
      <c r="CJ12" s="576">
        <v>13.360333333333335</v>
      </c>
      <c r="CK12" s="576">
        <v>9.5966666666666658</v>
      </c>
      <c r="CL12" s="576">
        <v>0.13866666666666669</v>
      </c>
      <c r="CM12" s="576">
        <v>9.1723333333333343</v>
      </c>
      <c r="CN12" s="576">
        <v>10.654666666666666</v>
      </c>
      <c r="CO12" s="576">
        <v>2.1319999999999997</v>
      </c>
      <c r="CP12" s="576">
        <v>0.43566666666666665</v>
      </c>
      <c r="CQ12" s="576">
        <v>0.221</v>
      </c>
      <c r="CR12" s="792" t="s">
        <v>64</v>
      </c>
      <c r="CS12" s="793">
        <v>666.66666666666663</v>
      </c>
      <c r="CT12" s="576">
        <f t="shared" si="17"/>
        <v>99.072999999999993</v>
      </c>
      <c r="CU12" s="576">
        <v>0.44947845804988662</v>
      </c>
      <c r="CV12" s="591">
        <v>30.891330891330892</v>
      </c>
      <c r="CW12" s="603"/>
      <c r="CX12" s="936" t="s">
        <v>1007</v>
      </c>
      <c r="CY12" s="934" t="s">
        <v>64</v>
      </c>
      <c r="CZ12" s="934" t="s">
        <v>64</v>
      </c>
      <c r="DA12" s="938" t="str">
        <f t="shared" si="7"/>
        <v>-</v>
      </c>
      <c r="DB12" s="936" t="s">
        <v>1007</v>
      </c>
      <c r="DC12" s="934" t="s">
        <v>64</v>
      </c>
      <c r="DD12" s="934" t="s">
        <v>64</v>
      </c>
      <c r="DE12" s="939" t="str">
        <f t="shared" si="8"/>
        <v>-</v>
      </c>
      <c r="DF12" s="9"/>
    </row>
    <row r="13" spans="1:110">
      <c r="A13" s="846" t="s">
        <v>163</v>
      </c>
      <c r="B13" s="41" t="s">
        <v>157</v>
      </c>
      <c r="C13" s="41" t="s">
        <v>1481</v>
      </c>
      <c r="D13" s="34" t="s">
        <v>735</v>
      </c>
      <c r="E13" s="535">
        <v>19.405619999999999</v>
      </c>
      <c r="F13" s="537">
        <v>-155.29281800000001</v>
      </c>
      <c r="G13" s="37" t="s">
        <v>405</v>
      </c>
      <c r="H13" s="37" t="s">
        <v>64</v>
      </c>
      <c r="I13" s="202" t="s">
        <v>779</v>
      </c>
      <c r="J13" t="s">
        <v>884</v>
      </c>
      <c r="K13" s="34">
        <v>2001</v>
      </c>
      <c r="L13" s="51">
        <v>235</v>
      </c>
      <c r="M13" s="52">
        <v>230</v>
      </c>
      <c r="N13" s="838">
        <f t="shared" si="0"/>
        <v>6579675.4062500009</v>
      </c>
      <c r="O13" s="54">
        <v>6531962.467823606</v>
      </c>
      <c r="P13" s="53">
        <v>45</v>
      </c>
      <c r="Q13" s="54">
        <v>47712.938426394983</v>
      </c>
      <c r="R13" s="772">
        <f t="shared" si="9"/>
        <v>7.2515641700307432E-3</v>
      </c>
      <c r="S13" s="624" t="s">
        <v>302</v>
      </c>
      <c r="T13" s="37" t="s">
        <v>132</v>
      </c>
      <c r="U13" s="21">
        <v>87.3</v>
      </c>
      <c r="V13" s="552">
        <v>1</v>
      </c>
      <c r="W13" s="847">
        <v>0.65</v>
      </c>
      <c r="X13" s="556" t="s">
        <v>423</v>
      </c>
      <c r="Y13" s="784" t="s">
        <v>64</v>
      </c>
      <c r="Z13" s="784" t="s">
        <v>64</v>
      </c>
      <c r="AA13" s="785" t="s">
        <v>64</v>
      </c>
      <c r="AB13" s="32">
        <f t="shared" si="10"/>
        <v>1225.0388223503955</v>
      </c>
      <c r="AC13" s="6">
        <f t="shared" si="1"/>
        <v>1200.8395500000001</v>
      </c>
      <c r="AD13" s="6">
        <f t="shared" si="2"/>
        <v>24.199272350395404</v>
      </c>
      <c r="AE13" s="6">
        <f t="shared" si="11"/>
        <v>1243.3444731300078</v>
      </c>
      <c r="AF13" s="839">
        <v>0.97</v>
      </c>
      <c r="AG13" s="553">
        <f t="shared" si="3"/>
        <v>3.0927835051546504E-2</v>
      </c>
      <c r="AH13" s="32">
        <f t="shared" ref="AH13" si="18">100*(AN13/40.3)/((AN13/40.3)+(AL13/71.85))</f>
        <v>63.275027140151877</v>
      </c>
      <c r="AI13" s="9">
        <v>50.645856119532461</v>
      </c>
      <c r="AJ13" s="9">
        <v>2.1753519604734115</v>
      </c>
      <c r="AK13" s="9">
        <v>12.704981130850031</v>
      </c>
      <c r="AL13" s="9">
        <v>10.86468569342826</v>
      </c>
      <c r="AM13" s="9">
        <v>0.17104987663296947</v>
      </c>
      <c r="AN13" s="9">
        <v>10.499443898029625</v>
      </c>
      <c r="AO13" s="9">
        <v>10.281103761386364</v>
      </c>
      <c r="AP13" s="9">
        <v>1.9962526778812435</v>
      </c>
      <c r="AQ13" s="9">
        <v>0.32097006262304267</v>
      </c>
      <c r="AR13" s="9">
        <v>0.20425367621466356</v>
      </c>
      <c r="AS13" s="6">
        <v>98.197561391966588</v>
      </c>
      <c r="AT13" s="6">
        <v>1124.3620779380176</v>
      </c>
      <c r="AU13" s="9">
        <v>99.390500000000017</v>
      </c>
      <c r="AV13" s="8">
        <f t="shared" si="13"/>
        <v>2.173557200090761</v>
      </c>
      <c r="AW13" s="9">
        <f t="shared" si="14"/>
        <v>8.9090422686111737</v>
      </c>
      <c r="AX13" s="8">
        <v>0.46893639995680808</v>
      </c>
      <c r="AY13" s="789">
        <v>2.3446819997840405E-2</v>
      </c>
      <c r="AZ13" s="6">
        <v>137.1050642479214</v>
      </c>
      <c r="BA13" s="48">
        <v>13.710506424792142</v>
      </c>
      <c r="BB13" s="6" t="s">
        <v>64</v>
      </c>
      <c r="BC13" s="48" t="s">
        <v>64</v>
      </c>
      <c r="BD13" s="849" t="s">
        <v>1007</v>
      </c>
      <c r="BE13" s="48" t="s">
        <v>1007</v>
      </c>
      <c r="BF13" s="668" t="s">
        <v>1007</v>
      </c>
      <c r="BG13" s="48" t="s">
        <v>64</v>
      </c>
      <c r="BH13" s="48" t="s">
        <v>64</v>
      </c>
      <c r="BI13" s="850" t="str">
        <f t="shared" si="4"/>
        <v>-</v>
      </c>
      <c r="BJ13" s="789" t="str">
        <f t="shared" si="5"/>
        <v>-</v>
      </c>
      <c r="BK13" s="563" t="s">
        <v>64</v>
      </c>
      <c r="BL13" s="48" t="s">
        <v>64</v>
      </c>
      <c r="BM13" s="48" t="s">
        <v>64</v>
      </c>
      <c r="BN13" s="850" t="str">
        <f t="shared" si="6"/>
        <v>-</v>
      </c>
      <c r="BO13" s="789" t="str">
        <f t="shared" si="15"/>
        <v>-</v>
      </c>
      <c r="BP13" s="789" t="str">
        <f t="shared" si="16"/>
        <v>-</v>
      </c>
      <c r="BQ13" s="34" t="s">
        <v>64</v>
      </c>
      <c r="BR13" s="25">
        <v>2.683840115404994</v>
      </c>
      <c r="BS13" s="26">
        <v>2.9495171087945802</v>
      </c>
      <c r="BT13" s="603"/>
      <c r="BU13" s="599">
        <v>0.13819020939440196</v>
      </c>
      <c r="BV13" s="851">
        <v>2.6336231379365679E-2</v>
      </c>
      <c r="BW13" s="851">
        <v>5.9229430640396048E-2</v>
      </c>
      <c r="BX13" s="851">
        <v>0.11821620970064503</v>
      </c>
      <c r="BY13" s="851">
        <v>6.0436300936741148E-3</v>
      </c>
      <c r="BZ13" s="851">
        <v>2.7573698995819917E-2</v>
      </c>
      <c r="CA13" s="851">
        <v>2.1154567864716738E-2</v>
      </c>
      <c r="CB13" s="851">
        <v>2.8420310388691465E-2</v>
      </c>
      <c r="CC13" s="851">
        <v>8.8034275887297151E-3</v>
      </c>
      <c r="CD13" s="851">
        <v>5.7393984271247173E-3</v>
      </c>
      <c r="CE13" s="852">
        <v>15.072337769143587</v>
      </c>
      <c r="CF13" s="852">
        <v>21.117208488230759</v>
      </c>
      <c r="CG13" s="603"/>
      <c r="CH13" s="584">
        <v>50.667499999999997</v>
      </c>
      <c r="CI13" s="576">
        <v>2.226</v>
      </c>
      <c r="CJ13" s="576">
        <v>13.025500000000001</v>
      </c>
      <c r="CK13" s="576">
        <v>10.766999999999999</v>
      </c>
      <c r="CL13" s="576">
        <v>0.16799999999999998</v>
      </c>
      <c r="CM13" s="576">
        <v>9.2955000000000005</v>
      </c>
      <c r="CN13" s="576">
        <v>10.532999999999999</v>
      </c>
      <c r="CO13" s="576">
        <v>2.0445000000000002</v>
      </c>
      <c r="CP13" s="576">
        <v>0.32750000000000001</v>
      </c>
      <c r="CQ13" s="576">
        <v>0.21150000000000002</v>
      </c>
      <c r="CR13" s="792">
        <v>0.01</v>
      </c>
      <c r="CS13" s="793">
        <v>1145</v>
      </c>
      <c r="CT13" s="576">
        <f t="shared" si="17"/>
        <v>99.390500000000017</v>
      </c>
      <c r="CU13" s="576">
        <v>0.46893639995680808</v>
      </c>
      <c r="CV13" s="591">
        <v>141.34542705971279</v>
      </c>
      <c r="CW13" s="603"/>
      <c r="CX13" s="936" t="s">
        <v>1007</v>
      </c>
      <c r="CY13" s="934" t="s">
        <v>64</v>
      </c>
      <c r="CZ13" s="934" t="s">
        <v>64</v>
      </c>
      <c r="DA13" s="938" t="str">
        <f t="shared" si="7"/>
        <v>-</v>
      </c>
      <c r="DB13" s="936" t="s">
        <v>1007</v>
      </c>
      <c r="DC13" s="934" t="s">
        <v>64</v>
      </c>
      <c r="DD13" s="934" t="s">
        <v>64</v>
      </c>
      <c r="DE13" s="939" t="str">
        <f t="shared" si="8"/>
        <v>-</v>
      </c>
      <c r="DF13" s="9"/>
    </row>
    <row r="14" spans="1:110">
      <c r="A14" s="846" t="s">
        <v>40</v>
      </c>
      <c r="B14" s="41" t="s">
        <v>157</v>
      </c>
      <c r="C14" s="41" t="s">
        <v>1481</v>
      </c>
      <c r="D14" s="34" t="s">
        <v>735</v>
      </c>
      <c r="E14" s="535">
        <v>19.405619999999999</v>
      </c>
      <c r="F14" s="537">
        <v>-155.29281800000001</v>
      </c>
      <c r="G14" s="37" t="s">
        <v>405</v>
      </c>
      <c r="H14" s="37" t="s">
        <v>64</v>
      </c>
      <c r="I14" s="202" t="s">
        <v>779</v>
      </c>
      <c r="J14" t="s">
        <v>884</v>
      </c>
      <c r="K14" s="34">
        <v>2001</v>
      </c>
      <c r="L14" s="51">
        <v>140</v>
      </c>
      <c r="M14" s="52">
        <v>122</v>
      </c>
      <c r="N14" s="838">
        <f t="shared" si="0"/>
        <v>1171507.2366666668</v>
      </c>
      <c r="O14" s="54">
        <v>1142776.3246520369</v>
      </c>
      <c r="P14" s="53">
        <v>38</v>
      </c>
      <c r="Q14" s="54">
        <v>28730.912014629856</v>
      </c>
      <c r="R14" s="772">
        <f t="shared" si="9"/>
        <v>2.4524741389032295E-2</v>
      </c>
      <c r="S14" s="624" t="s">
        <v>99</v>
      </c>
      <c r="T14" s="37" t="s">
        <v>132</v>
      </c>
      <c r="U14" s="21">
        <v>87.3</v>
      </c>
      <c r="V14" s="552">
        <v>1.18</v>
      </c>
      <c r="W14" s="847">
        <v>0.93</v>
      </c>
      <c r="X14" s="556" t="s">
        <v>423</v>
      </c>
      <c r="Y14" s="784" t="s">
        <v>64</v>
      </c>
      <c r="Z14" s="784" t="s">
        <v>64</v>
      </c>
      <c r="AA14" s="785" t="s">
        <v>64</v>
      </c>
      <c r="AB14" s="32">
        <f t="shared" si="10"/>
        <v>1201.3629558987523</v>
      </c>
      <c r="AC14" s="6">
        <f t="shared" si="1"/>
        <v>1200.2968499999999</v>
      </c>
      <c r="AD14" s="6">
        <f t="shared" si="2"/>
        <v>1.066105898752312</v>
      </c>
      <c r="AE14" s="6">
        <f t="shared" si="11"/>
        <v>1243.3444731300078</v>
      </c>
      <c r="AF14" s="848">
        <v>0.999</v>
      </c>
      <c r="AG14" s="553">
        <f t="shared" si="3"/>
        <v>1.0010010010010895E-3</v>
      </c>
      <c r="AH14" s="32">
        <f>100*(AN14/40.3)/((AN14/40.3)+(AL14/71.85))</f>
        <v>63.064746101344966</v>
      </c>
      <c r="AI14" s="9">
        <v>50.957450799624546</v>
      </c>
      <c r="AJ14" s="9">
        <v>2.4182600374539334</v>
      </c>
      <c r="AK14" s="9">
        <v>13.192063593796322</v>
      </c>
      <c r="AL14" s="9">
        <v>9.733383506957443</v>
      </c>
      <c r="AM14" s="9">
        <v>0.12672104999758604</v>
      </c>
      <c r="AN14" s="9">
        <v>9.3215400944652895</v>
      </c>
      <c r="AO14" s="9">
        <v>11.291247843832529</v>
      </c>
      <c r="AP14" s="9">
        <v>2.1939838934105871</v>
      </c>
      <c r="AQ14" s="9">
        <v>0.41335199642069742</v>
      </c>
      <c r="AR14" s="9">
        <v>0.27154510713768437</v>
      </c>
      <c r="AS14" s="6" t="s">
        <v>64</v>
      </c>
      <c r="AT14" s="6">
        <v>794.52086903248392</v>
      </c>
      <c r="AU14" s="9">
        <v>99.43</v>
      </c>
      <c r="AV14" s="8">
        <f t="shared" si="13"/>
        <v>1.9472321979446416</v>
      </c>
      <c r="AW14" s="9">
        <f t="shared" si="14"/>
        <v>7.9813744757051035</v>
      </c>
      <c r="AX14" s="8">
        <v>0.39794395370088337</v>
      </c>
      <c r="AY14" s="789">
        <v>1.9897197685044169E-2</v>
      </c>
      <c r="AZ14" s="6">
        <v>10</v>
      </c>
      <c r="BA14" s="48">
        <v>1</v>
      </c>
      <c r="BB14" s="6" t="s">
        <v>64</v>
      </c>
      <c r="BC14" s="48" t="s">
        <v>64</v>
      </c>
      <c r="BD14" s="849" t="s">
        <v>1007</v>
      </c>
      <c r="BE14" s="48" t="s">
        <v>1007</v>
      </c>
      <c r="BF14" s="668" t="s">
        <v>1007</v>
      </c>
      <c r="BG14" s="48" t="s">
        <v>64</v>
      </c>
      <c r="BH14" s="48" t="s">
        <v>64</v>
      </c>
      <c r="BI14" s="850" t="str">
        <f t="shared" si="4"/>
        <v>-</v>
      </c>
      <c r="BJ14" s="789" t="str">
        <f t="shared" si="5"/>
        <v>-</v>
      </c>
      <c r="BK14" s="563" t="s">
        <v>64</v>
      </c>
      <c r="BL14" s="48" t="s">
        <v>64</v>
      </c>
      <c r="BM14" s="48" t="s">
        <v>64</v>
      </c>
      <c r="BN14" s="850" t="str">
        <f t="shared" si="6"/>
        <v>-</v>
      </c>
      <c r="BO14" s="789" t="str">
        <f t="shared" si="15"/>
        <v>-</v>
      </c>
      <c r="BP14" s="789" t="str">
        <f t="shared" si="16"/>
        <v>-</v>
      </c>
      <c r="BQ14" s="34" t="s">
        <v>64</v>
      </c>
      <c r="BR14" s="25">
        <v>2.6752442657479958</v>
      </c>
      <c r="BS14" s="26">
        <v>2.9427064245176542</v>
      </c>
      <c r="BT14" s="603"/>
      <c r="BU14" s="599">
        <v>0.13904041388075677</v>
      </c>
      <c r="BV14" s="851">
        <v>2.9277035182849315E-2</v>
      </c>
      <c r="BW14" s="851">
        <v>6.1500163407182958E-2</v>
      </c>
      <c r="BX14" s="851">
        <v>0.10590676419210843</v>
      </c>
      <c r="BY14" s="851">
        <v>4.4773791501219731E-3</v>
      </c>
      <c r="BZ14" s="851">
        <v>2.4480281359519237E-2</v>
      </c>
      <c r="CA14" s="851">
        <v>2.323305691036838E-2</v>
      </c>
      <c r="CB14" s="851">
        <v>3.1235376127183866E-2</v>
      </c>
      <c r="CC14" s="851">
        <v>1.1337239178658632E-2</v>
      </c>
      <c r="CD14" s="851">
        <v>7.6302448488687327E-3</v>
      </c>
      <c r="CE14" s="852" t="s">
        <v>64</v>
      </c>
      <c r="CF14" s="852">
        <v>14.922295200829575</v>
      </c>
      <c r="CG14" s="603"/>
      <c r="CH14" s="584">
        <v>50.667500000000004</v>
      </c>
      <c r="CI14" s="576">
        <v>2.4044999999999996</v>
      </c>
      <c r="CJ14" s="576">
        <v>13.117000000000001</v>
      </c>
      <c r="CK14" s="576">
        <v>9.6780000000000008</v>
      </c>
      <c r="CL14" s="576">
        <v>0.126</v>
      </c>
      <c r="CM14" s="576">
        <v>9.2684999999999995</v>
      </c>
      <c r="CN14" s="576">
        <v>11.227</v>
      </c>
      <c r="CO14" s="576">
        <v>2.1814999999999998</v>
      </c>
      <c r="CP14" s="576">
        <v>0.41099999999999998</v>
      </c>
      <c r="CQ14" s="576">
        <v>0.27</v>
      </c>
      <c r="CR14" s="792" t="s">
        <v>64</v>
      </c>
      <c r="CS14" s="793">
        <v>789.99999999999989</v>
      </c>
      <c r="CT14" s="576">
        <f t="shared" si="17"/>
        <v>99.43</v>
      </c>
      <c r="CU14" s="576">
        <v>0.39794395370088337</v>
      </c>
      <c r="CV14" s="591">
        <v>10</v>
      </c>
      <c r="CW14" s="603"/>
      <c r="CX14" s="936" t="s">
        <v>1007</v>
      </c>
      <c r="CY14" s="934" t="s">
        <v>64</v>
      </c>
      <c r="CZ14" s="934" t="s">
        <v>64</v>
      </c>
      <c r="DA14" s="938" t="str">
        <f t="shared" si="7"/>
        <v>-</v>
      </c>
      <c r="DB14" s="936" t="s">
        <v>1007</v>
      </c>
      <c r="DC14" s="934" t="s">
        <v>64</v>
      </c>
      <c r="DD14" s="934" t="s">
        <v>64</v>
      </c>
      <c r="DE14" s="939" t="str">
        <f t="shared" si="8"/>
        <v>-</v>
      </c>
      <c r="DF14" s="9"/>
    </row>
    <row r="15" spans="1:110">
      <c r="A15" s="846" t="s">
        <v>47</v>
      </c>
      <c r="B15" s="41" t="s">
        <v>157</v>
      </c>
      <c r="C15" s="41" t="s">
        <v>1481</v>
      </c>
      <c r="D15" s="34" t="s">
        <v>735</v>
      </c>
      <c r="E15" s="535">
        <v>19.405619999999999</v>
      </c>
      <c r="F15" s="537">
        <v>-155.29281800000001</v>
      </c>
      <c r="G15" s="37" t="s">
        <v>405</v>
      </c>
      <c r="H15" s="37" t="s">
        <v>64</v>
      </c>
      <c r="I15" s="202" t="s">
        <v>779</v>
      </c>
      <c r="J15" t="s">
        <v>883</v>
      </c>
      <c r="K15" s="34">
        <v>2001</v>
      </c>
      <c r="L15" s="51">
        <v>275</v>
      </c>
      <c r="M15" s="52">
        <v>198</v>
      </c>
      <c r="N15" s="838">
        <f t="shared" si="0"/>
        <v>6742405.1062500011</v>
      </c>
      <c r="O15" s="54">
        <v>6728267.9393088473</v>
      </c>
      <c r="P15" s="53">
        <v>30</v>
      </c>
      <c r="Q15" s="54">
        <v>14137.166941154068</v>
      </c>
      <c r="R15" s="772">
        <f t="shared" si="9"/>
        <v>2.0967543062711184E-3</v>
      </c>
      <c r="S15" s="624" t="s">
        <v>98</v>
      </c>
      <c r="T15" s="37" t="s">
        <v>132</v>
      </c>
      <c r="U15" s="21">
        <v>88.9</v>
      </c>
      <c r="V15" s="552">
        <v>1.8</v>
      </c>
      <c r="W15" s="847">
        <v>2.62</v>
      </c>
      <c r="X15" s="556" t="s">
        <v>423</v>
      </c>
      <c r="Y15" s="784" t="s">
        <v>64</v>
      </c>
      <c r="Z15" s="784" t="s">
        <v>64</v>
      </c>
      <c r="AA15" s="785" t="s">
        <v>64</v>
      </c>
      <c r="AB15" s="32">
        <f t="shared" si="10"/>
        <v>1225.4377011251308</v>
      </c>
      <c r="AC15" s="6">
        <f t="shared" si="1"/>
        <v>1196.8765000000001</v>
      </c>
      <c r="AD15" s="6">
        <f t="shared" si="2"/>
        <v>28.561201125130765</v>
      </c>
      <c r="AE15" s="6">
        <f t="shared" si="11"/>
        <v>1276.3809664100081</v>
      </c>
      <c r="AF15" s="839">
        <v>0.96599999999999997</v>
      </c>
      <c r="AG15" s="553">
        <f t="shared" si="3"/>
        <v>3.5196687370600444E-2</v>
      </c>
      <c r="AH15" s="32">
        <f>100*(AN15/40.3)/((AN15/40.3)+(AL15/71.85))</f>
        <v>66.711729383585009</v>
      </c>
      <c r="AI15" s="9">
        <v>51.05919430916687</v>
      </c>
      <c r="AJ15" s="9">
        <v>2.324988139353811</v>
      </c>
      <c r="AK15" s="9">
        <v>13.292976324224103</v>
      </c>
      <c r="AL15" s="9">
        <v>9.3583036227906309</v>
      </c>
      <c r="AM15" s="9">
        <v>0.13179292352027228</v>
      </c>
      <c r="AN15" s="9">
        <v>10.519288613190588</v>
      </c>
      <c r="AO15" s="9">
        <v>10.441822543640503</v>
      </c>
      <c r="AP15" s="9">
        <v>2.1640196831458449</v>
      </c>
      <c r="AQ15" s="9">
        <v>0.34910033940102658</v>
      </c>
      <c r="AR15" s="9">
        <v>0.24245873716324901</v>
      </c>
      <c r="AS15" s="6" t="s">
        <v>64</v>
      </c>
      <c r="AT15" s="6">
        <v>1118.5919234743035</v>
      </c>
      <c r="AU15" s="9">
        <v>99.044666666666672</v>
      </c>
      <c r="AV15" s="8">
        <f t="shared" si="13"/>
        <v>1.8721948148261303</v>
      </c>
      <c r="AW15" s="9">
        <f t="shared" si="14"/>
        <v>7.6738089706883175</v>
      </c>
      <c r="AX15" s="8">
        <v>0.40637163290224515</v>
      </c>
      <c r="AY15" s="789">
        <v>2.0318581645112258E-2</v>
      </c>
      <c r="AZ15" s="6">
        <v>41.703296703296701</v>
      </c>
      <c r="BA15" s="48">
        <v>4.1703296703296706</v>
      </c>
      <c r="BB15" s="6" t="s">
        <v>64</v>
      </c>
      <c r="BC15" s="48" t="s">
        <v>64</v>
      </c>
      <c r="BD15" s="849" t="s">
        <v>1007</v>
      </c>
      <c r="BE15" s="48" t="s">
        <v>1007</v>
      </c>
      <c r="BF15" s="668" t="s">
        <v>1007</v>
      </c>
      <c r="BG15" s="48" t="s">
        <v>64</v>
      </c>
      <c r="BH15" s="48" t="s">
        <v>64</v>
      </c>
      <c r="BI15" s="850" t="str">
        <f t="shared" si="4"/>
        <v>-</v>
      </c>
      <c r="BJ15" s="789" t="str">
        <f t="shared" si="5"/>
        <v>-</v>
      </c>
      <c r="BK15" s="563" t="s">
        <v>64</v>
      </c>
      <c r="BL15" s="48" t="s">
        <v>64</v>
      </c>
      <c r="BM15" s="48" t="s">
        <v>64</v>
      </c>
      <c r="BN15" s="850" t="str">
        <f t="shared" si="6"/>
        <v>-</v>
      </c>
      <c r="BO15" s="789" t="str">
        <f t="shared" si="15"/>
        <v>-</v>
      </c>
      <c r="BP15" s="789" t="str">
        <f t="shared" si="16"/>
        <v>-</v>
      </c>
      <c r="BQ15" s="34" t="s">
        <v>64</v>
      </c>
      <c r="BR15" s="25">
        <v>2.6666538084315712</v>
      </c>
      <c r="BS15" s="26">
        <v>2.9235381096232622</v>
      </c>
      <c r="BT15" s="603"/>
      <c r="BU15" s="599">
        <v>0.13931802705516913</v>
      </c>
      <c r="BV15" s="851">
        <v>2.8147824676139927E-2</v>
      </c>
      <c r="BW15" s="851">
        <v>6.1970609093488782E-2</v>
      </c>
      <c r="BX15" s="851">
        <v>0.10182560404699922</v>
      </c>
      <c r="BY15" s="851">
        <v>4.6565814275886103E-3</v>
      </c>
      <c r="BZ15" s="851">
        <v>2.7625815299104212E-2</v>
      </c>
      <c r="CA15" s="851">
        <v>2.148526546929683E-2</v>
      </c>
      <c r="CB15" s="851">
        <v>3.0808780753906851E-2</v>
      </c>
      <c r="CC15" s="851">
        <v>9.5749726127176554E-3</v>
      </c>
      <c r="CD15" s="851">
        <v>6.8129363471280072E-3</v>
      </c>
      <c r="CE15" s="852" t="s">
        <v>64</v>
      </c>
      <c r="CF15" s="852">
        <v>21.008836321283429</v>
      </c>
      <c r="CG15" s="603"/>
      <c r="CH15" s="584">
        <v>50.93933333333333</v>
      </c>
      <c r="CI15" s="576">
        <v>2.3736666666666668</v>
      </c>
      <c r="CJ15" s="576">
        <v>13.624000000000001</v>
      </c>
      <c r="CK15" s="576">
        <v>9.2479999999999993</v>
      </c>
      <c r="CL15" s="576">
        <v>0.12966666666666668</v>
      </c>
      <c r="CM15" s="576">
        <v>9.0983333333333345</v>
      </c>
      <c r="CN15" s="576">
        <v>10.693333333333333</v>
      </c>
      <c r="CO15" s="576">
        <v>2.2136666666666667</v>
      </c>
      <c r="CP15" s="576">
        <v>0.36099999999999999</v>
      </c>
      <c r="CQ15" s="576">
        <v>0.24966666666666668</v>
      </c>
      <c r="CR15" s="792" t="s">
        <v>64</v>
      </c>
      <c r="CS15" s="793">
        <v>1140</v>
      </c>
      <c r="CT15" s="576">
        <f t="shared" si="17"/>
        <v>99.044666666666672</v>
      </c>
      <c r="CU15" s="576">
        <v>0.40637163290224515</v>
      </c>
      <c r="CV15" s="591">
        <v>43.171114599686028</v>
      </c>
      <c r="CW15" s="603"/>
      <c r="CX15" s="936" t="s">
        <v>1007</v>
      </c>
      <c r="CY15" s="934" t="s">
        <v>64</v>
      </c>
      <c r="CZ15" s="934" t="s">
        <v>64</v>
      </c>
      <c r="DA15" s="938" t="str">
        <f t="shared" si="7"/>
        <v>-</v>
      </c>
      <c r="DB15" s="936" t="s">
        <v>1007</v>
      </c>
      <c r="DC15" s="934" t="s">
        <v>64</v>
      </c>
      <c r="DD15" s="934" t="s">
        <v>64</v>
      </c>
      <c r="DE15" s="939" t="str">
        <f t="shared" si="8"/>
        <v>-</v>
      </c>
      <c r="DF15" s="9"/>
    </row>
    <row r="16" spans="1:110">
      <c r="A16" s="846" t="s">
        <v>144</v>
      </c>
      <c r="B16" s="41" t="s">
        <v>157</v>
      </c>
      <c r="C16" s="41" t="s">
        <v>1481</v>
      </c>
      <c r="D16" s="34" t="s">
        <v>735</v>
      </c>
      <c r="E16" s="535">
        <v>19.405619999999999</v>
      </c>
      <c r="F16" s="537">
        <v>-155.29281800000001</v>
      </c>
      <c r="G16" s="37" t="s">
        <v>405</v>
      </c>
      <c r="H16" s="37" t="s">
        <v>64</v>
      </c>
      <c r="I16" s="202" t="s">
        <v>779</v>
      </c>
      <c r="J16" t="s">
        <v>876</v>
      </c>
      <c r="K16" s="34">
        <v>2001</v>
      </c>
      <c r="L16" s="51">
        <v>160</v>
      </c>
      <c r="M16" s="52">
        <v>120</v>
      </c>
      <c r="N16" s="838">
        <f t="shared" si="0"/>
        <v>1407392.0000000002</v>
      </c>
      <c r="O16" s="54">
        <v>1373881.6783617092</v>
      </c>
      <c r="P16" s="53">
        <v>40</v>
      </c>
      <c r="Q16" s="54">
        <v>33510.32163829112</v>
      </c>
      <c r="R16" s="772">
        <f t="shared" si="9"/>
        <v>2.3810226033891844E-2</v>
      </c>
      <c r="S16" s="624" t="s">
        <v>98</v>
      </c>
      <c r="T16" s="37" t="s">
        <v>132</v>
      </c>
      <c r="U16" s="21">
        <v>88.9</v>
      </c>
      <c r="V16" s="552">
        <v>1.8</v>
      </c>
      <c r="W16" s="847">
        <v>2.62</v>
      </c>
      <c r="X16" s="556" t="s">
        <v>423</v>
      </c>
      <c r="Y16" s="784" t="s">
        <v>64</v>
      </c>
      <c r="Z16" s="784" t="s">
        <v>64</v>
      </c>
      <c r="AA16" s="785" t="s">
        <v>64</v>
      </c>
      <c r="AB16" s="32" t="str">
        <f t="shared" si="10"/>
        <v>-</v>
      </c>
      <c r="AC16" s="6" t="str">
        <f t="shared" si="1"/>
        <v>-</v>
      </c>
      <c r="AD16" s="6" t="str">
        <f t="shared" si="2"/>
        <v>-</v>
      </c>
      <c r="AE16" s="6">
        <f t="shared" si="11"/>
        <v>1276.3809664100081</v>
      </c>
      <c r="AF16" s="839" t="s">
        <v>64</v>
      </c>
      <c r="AG16" s="553" t="str">
        <f t="shared" si="3"/>
        <v>-</v>
      </c>
      <c r="AH16" s="32" t="s">
        <v>64</v>
      </c>
      <c r="AI16" s="9" t="s">
        <v>64</v>
      </c>
      <c r="AJ16" s="9" t="s">
        <v>64</v>
      </c>
      <c r="AK16" s="9" t="s">
        <v>64</v>
      </c>
      <c r="AL16" s="9" t="s">
        <v>64</v>
      </c>
      <c r="AM16" s="9" t="s">
        <v>64</v>
      </c>
      <c r="AN16" s="9" t="s">
        <v>64</v>
      </c>
      <c r="AO16" s="9" t="s">
        <v>64</v>
      </c>
      <c r="AP16" s="9" t="s">
        <v>64</v>
      </c>
      <c r="AQ16" s="9" t="s">
        <v>64</v>
      </c>
      <c r="AR16" s="9" t="s">
        <v>64</v>
      </c>
      <c r="AS16" s="6" t="s">
        <v>64</v>
      </c>
      <c r="AT16" s="6" t="s">
        <v>64</v>
      </c>
      <c r="AU16" s="9" t="s">
        <v>64</v>
      </c>
      <c r="AV16" s="8" t="str">
        <f t="shared" si="13"/>
        <v>-</v>
      </c>
      <c r="AW16" s="9" t="str">
        <f t="shared" si="14"/>
        <v>-</v>
      </c>
      <c r="AX16" s="8">
        <v>0.43168385633823425</v>
      </c>
      <c r="AY16" s="789">
        <v>2.1584192816911714E-2</v>
      </c>
      <c r="AZ16" s="6">
        <v>40.307459677419359</v>
      </c>
      <c r="BA16" s="48">
        <v>4.0307459677419359</v>
      </c>
      <c r="BB16" s="6" t="s">
        <v>64</v>
      </c>
      <c r="BC16" s="48" t="s">
        <v>64</v>
      </c>
      <c r="BD16" s="849" t="s">
        <v>1007</v>
      </c>
      <c r="BE16" s="48" t="s">
        <v>1007</v>
      </c>
      <c r="BF16" s="668" t="s">
        <v>1007</v>
      </c>
      <c r="BG16" s="48" t="s">
        <v>64</v>
      </c>
      <c r="BH16" s="48" t="s">
        <v>64</v>
      </c>
      <c r="BI16" s="850" t="str">
        <f t="shared" si="4"/>
        <v>-</v>
      </c>
      <c r="BJ16" s="789" t="str">
        <f t="shared" si="5"/>
        <v>-</v>
      </c>
      <c r="BK16" s="563" t="s">
        <v>64</v>
      </c>
      <c r="BL16" s="48" t="s">
        <v>64</v>
      </c>
      <c r="BM16" s="48" t="s">
        <v>64</v>
      </c>
      <c r="BN16" s="850" t="str">
        <f t="shared" si="6"/>
        <v>-</v>
      </c>
      <c r="BO16" s="789" t="str">
        <f t="shared" si="15"/>
        <v>-</v>
      </c>
      <c r="BP16" s="789" t="str">
        <f t="shared" si="16"/>
        <v>-</v>
      </c>
      <c r="BQ16" s="34" t="s">
        <v>64</v>
      </c>
      <c r="BR16" s="45" t="s">
        <v>64</v>
      </c>
      <c r="BS16" s="854" t="s">
        <v>64</v>
      </c>
      <c r="BT16" s="603"/>
      <c r="BU16" s="599" t="s">
        <v>64</v>
      </c>
      <c r="BV16" s="851" t="s">
        <v>64</v>
      </c>
      <c r="BW16" s="851" t="s">
        <v>64</v>
      </c>
      <c r="BX16" s="851" t="s">
        <v>64</v>
      </c>
      <c r="BY16" s="851" t="s">
        <v>64</v>
      </c>
      <c r="BZ16" s="851" t="s">
        <v>64</v>
      </c>
      <c r="CA16" s="851" t="s">
        <v>64</v>
      </c>
      <c r="CB16" s="851" t="s">
        <v>64</v>
      </c>
      <c r="CC16" s="851" t="s">
        <v>64</v>
      </c>
      <c r="CD16" s="851" t="s">
        <v>64</v>
      </c>
      <c r="CE16" s="852" t="s">
        <v>64</v>
      </c>
      <c r="CF16" s="852" t="s">
        <v>64</v>
      </c>
      <c r="CG16" s="603"/>
      <c r="CH16" s="584" t="s">
        <v>64</v>
      </c>
      <c r="CI16" s="576" t="s">
        <v>64</v>
      </c>
      <c r="CJ16" s="576" t="s">
        <v>64</v>
      </c>
      <c r="CK16" s="576" t="s">
        <v>64</v>
      </c>
      <c r="CL16" s="576" t="s">
        <v>64</v>
      </c>
      <c r="CM16" s="576" t="s">
        <v>64</v>
      </c>
      <c r="CN16" s="576" t="s">
        <v>64</v>
      </c>
      <c r="CO16" s="576" t="s">
        <v>64</v>
      </c>
      <c r="CP16" s="576" t="s">
        <v>64</v>
      </c>
      <c r="CQ16" s="576" t="s">
        <v>64</v>
      </c>
      <c r="CR16" s="792" t="s">
        <v>64</v>
      </c>
      <c r="CS16" s="793" t="s">
        <v>64</v>
      </c>
      <c r="CT16" s="855" t="s">
        <v>64</v>
      </c>
      <c r="CU16" s="576">
        <v>0.43168385633823425</v>
      </c>
      <c r="CV16" s="591">
        <v>42.242703533026116</v>
      </c>
      <c r="CW16" s="603"/>
      <c r="CX16" s="936" t="s">
        <v>1007</v>
      </c>
      <c r="CY16" s="934" t="s">
        <v>64</v>
      </c>
      <c r="CZ16" s="934" t="s">
        <v>64</v>
      </c>
      <c r="DA16" s="938" t="str">
        <f t="shared" si="7"/>
        <v>-</v>
      </c>
      <c r="DB16" s="936" t="s">
        <v>1007</v>
      </c>
      <c r="DC16" s="934" t="s">
        <v>64</v>
      </c>
      <c r="DD16" s="934" t="s">
        <v>64</v>
      </c>
      <c r="DE16" s="939" t="str">
        <f t="shared" si="8"/>
        <v>-</v>
      </c>
      <c r="DF16" s="19"/>
    </row>
    <row r="17" spans="1:110">
      <c r="A17" s="846" t="s">
        <v>44</v>
      </c>
      <c r="B17" s="41" t="s">
        <v>157</v>
      </c>
      <c r="C17" s="41" t="s">
        <v>1481</v>
      </c>
      <c r="D17" s="34" t="s">
        <v>735</v>
      </c>
      <c r="E17" s="535">
        <v>19.405619999999999</v>
      </c>
      <c r="F17" s="537">
        <v>-155.29281800000001</v>
      </c>
      <c r="G17" s="37" t="s">
        <v>405</v>
      </c>
      <c r="H17" s="37" t="s">
        <v>64</v>
      </c>
      <c r="I17" s="202" t="s">
        <v>779</v>
      </c>
      <c r="J17" t="s">
        <v>884</v>
      </c>
      <c r="K17" s="34">
        <v>2001</v>
      </c>
      <c r="L17" s="51">
        <v>143</v>
      </c>
      <c r="M17" s="52">
        <v>100</v>
      </c>
      <c r="N17" s="838">
        <f t="shared" si="0"/>
        <v>909699.86250000016</v>
      </c>
      <c r="O17" s="54">
        <v>909699.86250000016</v>
      </c>
      <c r="P17" s="53" t="s">
        <v>151</v>
      </c>
      <c r="Q17" s="54" t="s">
        <v>151</v>
      </c>
      <c r="R17" s="772">
        <f t="shared" si="9"/>
        <v>0</v>
      </c>
      <c r="S17" s="624" t="s">
        <v>102</v>
      </c>
      <c r="T17" s="37" t="s">
        <v>132</v>
      </c>
      <c r="U17" s="21">
        <v>87.2</v>
      </c>
      <c r="V17" s="552">
        <v>1.5</v>
      </c>
      <c r="W17" s="847">
        <v>0.73499999999999999</v>
      </c>
      <c r="X17" s="556" t="s">
        <v>64</v>
      </c>
      <c r="Y17" s="784" t="s">
        <v>64</v>
      </c>
      <c r="Z17" s="784" t="s">
        <v>64</v>
      </c>
      <c r="AA17" s="785" t="s">
        <v>64</v>
      </c>
      <c r="AB17" s="32">
        <f t="shared" si="10"/>
        <v>1222.6290299095169</v>
      </c>
      <c r="AC17" s="6">
        <f t="shared" si="1"/>
        <v>1189.6940999999999</v>
      </c>
      <c r="AD17" s="6">
        <f t="shared" si="2"/>
        <v>32.934929909516995</v>
      </c>
      <c r="AE17" s="6">
        <f t="shared" si="11"/>
        <v>1241.4643507200053</v>
      </c>
      <c r="AF17" s="839">
        <v>0.96</v>
      </c>
      <c r="AG17" s="553">
        <f t="shared" si="3"/>
        <v>4.1666666666666741E-2</v>
      </c>
      <c r="AH17" s="32">
        <f t="shared" ref="AH17:AH19" si="19">100*(AN17/40.3)/((AN17/40.3)+(AL17/71.85))</f>
        <v>63.051106251781938</v>
      </c>
      <c r="AI17" s="9">
        <v>50.549251861475206</v>
      </c>
      <c r="AJ17" s="9">
        <v>2.3297136782662773</v>
      </c>
      <c r="AK17" s="9">
        <v>12.779712311146202</v>
      </c>
      <c r="AL17" s="9">
        <v>10.844490106694343</v>
      </c>
      <c r="AM17" s="9">
        <v>0.14189616787712531</v>
      </c>
      <c r="AN17" s="9">
        <v>10.379553726841635</v>
      </c>
      <c r="AO17" s="9">
        <v>10.249733828571074</v>
      </c>
      <c r="AP17" s="9">
        <v>2.0338450729054625</v>
      </c>
      <c r="AQ17" s="9">
        <v>0.37637706940457355</v>
      </c>
      <c r="AR17" s="9">
        <v>0.20227751590994458</v>
      </c>
      <c r="AS17" s="6" t="s">
        <v>64</v>
      </c>
      <c r="AT17" s="6">
        <v>1121.8255933962475</v>
      </c>
      <c r="AU17" s="9">
        <v>99.03649999999999</v>
      </c>
      <c r="AV17" s="8">
        <f t="shared" si="13"/>
        <v>2.1695169301562047</v>
      </c>
      <c r="AW17" s="9">
        <f t="shared" si="14"/>
        <v>8.8924818874893621</v>
      </c>
      <c r="AX17" s="8">
        <v>0.38897174254317113</v>
      </c>
      <c r="AY17" s="789">
        <v>1.9448587127158558E-2</v>
      </c>
      <c r="AZ17" s="6">
        <v>9.6</v>
      </c>
      <c r="BA17" s="48">
        <v>0.96</v>
      </c>
      <c r="BB17" s="6" t="s">
        <v>151</v>
      </c>
      <c r="BC17" s="48" t="s">
        <v>151</v>
      </c>
      <c r="BD17" s="849">
        <v>9.6</v>
      </c>
      <c r="BE17" s="48">
        <v>0.96</v>
      </c>
      <c r="BF17" s="668">
        <v>41.473912955170583</v>
      </c>
      <c r="BG17" s="48">
        <v>2.3652503832829836</v>
      </c>
      <c r="BH17" s="48">
        <v>2.3661724986664225</v>
      </c>
      <c r="BI17" s="850">
        <f t="shared" si="4"/>
        <v>0.18453185167867503</v>
      </c>
      <c r="BJ17" s="789">
        <f t="shared" si="5"/>
        <v>1.0475251818348075E-2</v>
      </c>
      <c r="BK17" s="563" t="s">
        <v>64</v>
      </c>
      <c r="BL17" s="48" t="s">
        <v>64</v>
      </c>
      <c r="BM17" s="48" t="s">
        <v>64</v>
      </c>
      <c r="BN17" s="850" t="str">
        <f t="shared" si="6"/>
        <v>-</v>
      </c>
      <c r="BO17" s="789" t="str">
        <f t="shared" si="15"/>
        <v>-</v>
      </c>
      <c r="BP17" s="789" t="str">
        <f t="shared" si="16"/>
        <v>-</v>
      </c>
      <c r="BQ17" s="34" t="s">
        <v>64</v>
      </c>
      <c r="BR17" s="25">
        <v>2.6894135023681369</v>
      </c>
      <c r="BS17" s="26">
        <v>2.9478993725576812</v>
      </c>
      <c r="BT17" s="603"/>
      <c r="BU17" s="599">
        <v>0.13792661897117336</v>
      </c>
      <c r="BV17" s="851">
        <v>2.8205035136080314E-2</v>
      </c>
      <c r="BW17" s="851">
        <v>5.9577820395126116E-2</v>
      </c>
      <c r="BX17" s="851">
        <v>0.11799646604825309</v>
      </c>
      <c r="BY17" s="851">
        <v>5.0135549188343263E-3</v>
      </c>
      <c r="BZ17" s="851">
        <v>2.7258842749622408E-2</v>
      </c>
      <c r="CA17" s="851">
        <v>2.1090020576015594E-2</v>
      </c>
      <c r="CB17" s="851">
        <v>2.8955506933037022E-2</v>
      </c>
      <c r="CC17" s="851">
        <v>1.0323106926183432E-2</v>
      </c>
      <c r="CD17" s="851">
        <v>5.6838695791017798E-3</v>
      </c>
      <c r="CE17" s="852" t="s">
        <v>64</v>
      </c>
      <c r="CF17" s="852">
        <v>21.069569499023686</v>
      </c>
      <c r="CG17" s="603"/>
      <c r="CH17" s="584">
        <v>50.494500000000002</v>
      </c>
      <c r="CI17" s="576">
        <v>2.3964999999999996</v>
      </c>
      <c r="CJ17" s="576">
        <v>13.190000000000001</v>
      </c>
      <c r="CK17" s="576">
        <v>10.711</v>
      </c>
      <c r="CL17" s="576">
        <v>0.13800000000000001</v>
      </c>
      <c r="CM17" s="576">
        <v>8.7409999999999997</v>
      </c>
      <c r="CN17" s="576">
        <v>10.565</v>
      </c>
      <c r="CO17" s="576">
        <v>2.0940000000000003</v>
      </c>
      <c r="CP17" s="576">
        <v>0.38400000000000001</v>
      </c>
      <c r="CQ17" s="576">
        <v>0.20750000000000002</v>
      </c>
      <c r="CR17" s="792" t="s">
        <v>64</v>
      </c>
      <c r="CS17" s="793">
        <v>1150</v>
      </c>
      <c r="CT17" s="576">
        <f t="shared" ref="CT17:CT23" si="20">SUM(CH17:CR17)+(CS17/10000)</f>
        <v>99.03649999999999</v>
      </c>
      <c r="CU17" s="576">
        <v>0.38897174254317113</v>
      </c>
      <c r="CV17" s="591">
        <v>10</v>
      </c>
      <c r="CW17" s="603"/>
      <c r="CX17" s="936">
        <v>33.911022432443382</v>
      </c>
      <c r="CY17" s="934">
        <v>2.0918784761229077</v>
      </c>
      <c r="CZ17" s="934">
        <v>2.0920716068948799</v>
      </c>
      <c r="DA17" s="938">
        <f t="shared" si="7"/>
        <v>0.15100903892817275</v>
      </c>
      <c r="DB17" s="936">
        <v>27.39826191910258</v>
      </c>
      <c r="DC17" s="934">
        <v>2.3674759164239383</v>
      </c>
      <c r="DD17" s="934">
        <v>2.3986140865727421</v>
      </c>
      <c r="DE17" s="939">
        <f t="shared" si="8"/>
        <v>0.12209570464510658</v>
      </c>
      <c r="DF17" s="9"/>
    </row>
    <row r="18" spans="1:110">
      <c r="A18" s="846" t="s">
        <v>43</v>
      </c>
      <c r="B18" s="41" t="s">
        <v>157</v>
      </c>
      <c r="C18" s="41" t="s">
        <v>1481</v>
      </c>
      <c r="D18" s="34" t="s">
        <v>735</v>
      </c>
      <c r="E18" s="535">
        <v>19.405619999999999</v>
      </c>
      <c r="F18" s="537">
        <v>-155.29281800000001</v>
      </c>
      <c r="G18" s="37" t="s">
        <v>405</v>
      </c>
      <c r="H18" s="37" t="s">
        <v>64</v>
      </c>
      <c r="I18" s="202" t="s">
        <v>779</v>
      </c>
      <c r="J18" t="s">
        <v>884</v>
      </c>
      <c r="K18" s="34">
        <v>2001</v>
      </c>
      <c r="L18" s="51">
        <v>165</v>
      </c>
      <c r="M18" s="52">
        <v>122</v>
      </c>
      <c r="N18" s="838">
        <f t="shared" si="0"/>
        <v>1512451.6137500003</v>
      </c>
      <c r="O18" s="54">
        <v>1512451.6137500003</v>
      </c>
      <c r="P18" s="53" t="s">
        <v>151</v>
      </c>
      <c r="Q18" s="54" t="s">
        <v>151</v>
      </c>
      <c r="R18" s="772">
        <f t="shared" si="9"/>
        <v>0</v>
      </c>
      <c r="S18" s="624" t="s">
        <v>101</v>
      </c>
      <c r="T18" s="37" t="s">
        <v>132</v>
      </c>
      <c r="U18" s="21">
        <v>88.7</v>
      </c>
      <c r="V18" s="552">
        <v>1.5</v>
      </c>
      <c r="W18" s="847">
        <v>0.92500000000000004</v>
      </c>
      <c r="X18" s="556" t="s">
        <v>64</v>
      </c>
      <c r="Y18" s="784" t="s">
        <v>64</v>
      </c>
      <c r="Z18" s="784" t="s">
        <v>64</v>
      </c>
      <c r="AA18" s="785" t="s">
        <v>64</v>
      </c>
      <c r="AB18" s="32">
        <f t="shared" si="10"/>
        <v>1201.9303140609843</v>
      </c>
      <c r="AC18" s="6">
        <f t="shared" si="1"/>
        <v>1195.2015000000001</v>
      </c>
      <c r="AD18" s="6">
        <f t="shared" si="2"/>
        <v>6.7288140609841776</v>
      </c>
      <c r="AE18" s="6">
        <f t="shared" si="11"/>
        <v>1271.9376476700018</v>
      </c>
      <c r="AF18" s="839">
        <v>0.99399999999999999</v>
      </c>
      <c r="AG18" s="553">
        <f t="shared" si="3"/>
        <v>6.0362173038228661E-3</v>
      </c>
      <c r="AH18" s="32">
        <f>100*(AN18/40.3)/((AN18/40.3)+(AL18/71.85))</f>
        <v>66.2239886334511</v>
      </c>
      <c r="AI18" s="9">
        <v>51.561510168265592</v>
      </c>
      <c r="AJ18" s="9">
        <v>2.6572809882874804</v>
      </c>
      <c r="AK18" s="9">
        <v>13.938152890116543</v>
      </c>
      <c r="AL18" s="9">
        <v>8.5018910650999509</v>
      </c>
      <c r="AM18" s="9">
        <v>0.15086758071276385</v>
      </c>
      <c r="AN18" s="9">
        <v>9.3497668687056841</v>
      </c>
      <c r="AO18" s="9">
        <v>10.884593056490202</v>
      </c>
      <c r="AP18" s="9">
        <v>2.196631975177842</v>
      </c>
      <c r="AQ18" s="9">
        <v>0.37918051952474646</v>
      </c>
      <c r="AR18" s="9">
        <v>0.23937656139758529</v>
      </c>
      <c r="AS18" s="6" t="s">
        <v>64</v>
      </c>
      <c r="AT18" s="6">
        <v>1397.4857705340976</v>
      </c>
      <c r="AU18" s="9">
        <v>98.724000000000018</v>
      </c>
      <c r="AV18" s="8">
        <f t="shared" si="13"/>
        <v>1.7008634267361218</v>
      </c>
      <c r="AW18" s="9">
        <f t="shared" si="14"/>
        <v>6.9715506733819597</v>
      </c>
      <c r="AX18" s="8">
        <v>0.35583711262282691</v>
      </c>
      <c r="AY18" s="789">
        <v>1.7791855631141346E-2</v>
      </c>
      <c r="AZ18" s="6">
        <v>9.94</v>
      </c>
      <c r="BA18" s="48">
        <v>0.99399999999999999</v>
      </c>
      <c r="BB18" s="6" t="s">
        <v>151</v>
      </c>
      <c r="BC18" s="48" t="s">
        <v>151</v>
      </c>
      <c r="BD18" s="849">
        <v>9.94</v>
      </c>
      <c r="BE18" s="48">
        <v>0.99399999999999999</v>
      </c>
      <c r="BF18" s="668">
        <v>44.390606232077211</v>
      </c>
      <c r="BG18" s="48">
        <v>2.634540870024999</v>
      </c>
      <c r="BH18" s="48">
        <v>2.6356937343857538</v>
      </c>
      <c r="BI18" s="850">
        <f t="shared" si="4"/>
        <v>0.19744515361809578</v>
      </c>
      <c r="BJ18" s="789">
        <f t="shared" si="5"/>
        <v>1.1660328236869966E-2</v>
      </c>
      <c r="BK18" s="563" t="s">
        <v>64</v>
      </c>
      <c r="BL18" s="48" t="s">
        <v>64</v>
      </c>
      <c r="BM18" s="48" t="s">
        <v>64</v>
      </c>
      <c r="BN18" s="850" t="str">
        <f t="shared" si="6"/>
        <v>-</v>
      </c>
      <c r="BO18" s="789" t="str">
        <f t="shared" si="15"/>
        <v>-</v>
      </c>
      <c r="BP18" s="789" t="str">
        <f t="shared" si="16"/>
        <v>-</v>
      </c>
      <c r="BQ18" s="34" t="s">
        <v>64</v>
      </c>
      <c r="BR18" s="25">
        <v>2.657094509037043</v>
      </c>
      <c r="BS18" s="26">
        <v>2.912254174613675</v>
      </c>
      <c r="BT18" s="603"/>
      <c r="BU18" s="599">
        <v>0.14068862554178865</v>
      </c>
      <c r="BV18" s="851">
        <v>3.2170778898830958E-2</v>
      </c>
      <c r="BW18" s="851">
        <v>6.4978361743159851E-2</v>
      </c>
      <c r="BX18" s="851">
        <v>9.2507170972449676E-2</v>
      </c>
      <c r="BY18" s="851">
        <v>5.3305379045197341E-3</v>
      </c>
      <c r="BZ18" s="851">
        <v>2.4554410673803557E-2</v>
      </c>
      <c r="CA18" s="851">
        <v>2.2396317344656108E-2</v>
      </c>
      <c r="CB18" s="851">
        <v>3.1273076417630011E-2</v>
      </c>
      <c r="CC18" s="851">
        <v>1.0399998739487973E-2</v>
      </c>
      <c r="CD18" s="851">
        <v>6.7263291679114092E-3</v>
      </c>
      <c r="CE18" s="852" t="s">
        <v>64</v>
      </c>
      <c r="CF18" s="852">
        <v>26.246881636051757</v>
      </c>
      <c r="CG18" s="603"/>
      <c r="CH18" s="584">
        <v>50.963499999999996</v>
      </c>
      <c r="CI18" s="576">
        <v>2.6345000000000001</v>
      </c>
      <c r="CJ18" s="576">
        <v>13.8405</v>
      </c>
      <c r="CK18" s="576">
        <v>8.3780000000000001</v>
      </c>
      <c r="CL18" s="576">
        <v>0.14949999999999999</v>
      </c>
      <c r="CM18" s="576">
        <v>9.0150000000000006</v>
      </c>
      <c r="CN18" s="576">
        <v>10.804</v>
      </c>
      <c r="CO18" s="576">
        <v>2.1784999999999997</v>
      </c>
      <c r="CP18" s="576">
        <v>0.38</v>
      </c>
      <c r="CQ18" s="576">
        <v>0.24249999999999999</v>
      </c>
      <c r="CR18" s="792" t="s">
        <v>64</v>
      </c>
      <c r="CS18" s="793">
        <v>1380.0000000000002</v>
      </c>
      <c r="CT18" s="576">
        <f t="shared" si="20"/>
        <v>98.724000000000018</v>
      </c>
      <c r="CU18" s="576">
        <v>0.35583711262282691</v>
      </c>
      <c r="CV18" s="591">
        <v>10</v>
      </c>
      <c r="CW18" s="603"/>
      <c r="CX18" s="936">
        <v>32.430813745873522</v>
      </c>
      <c r="CY18" s="934">
        <v>2.1653734841804848</v>
      </c>
      <c r="CZ18" s="934">
        <v>2.1655954304114324</v>
      </c>
      <c r="DA18" s="938">
        <f t="shared" si="7"/>
        <v>0.14444135027784907</v>
      </c>
      <c r="DB18" s="936">
        <v>31.726494930230221</v>
      </c>
      <c r="DC18" s="934">
        <v>2.7414772835461285</v>
      </c>
      <c r="DD18" s="934">
        <v>2.7775344976964007</v>
      </c>
      <c r="DE18" s="939">
        <f t="shared" si="8"/>
        <v>0.14131552619226787</v>
      </c>
      <c r="DF18" s="9"/>
    </row>
    <row r="19" spans="1:110">
      <c r="A19" s="846" t="s">
        <v>45</v>
      </c>
      <c r="B19" s="41" t="s">
        <v>157</v>
      </c>
      <c r="C19" s="41" t="s">
        <v>1481</v>
      </c>
      <c r="D19" s="34" t="s">
        <v>735</v>
      </c>
      <c r="E19" s="535">
        <v>19.405619999999999</v>
      </c>
      <c r="F19" s="537">
        <v>-155.29281800000001</v>
      </c>
      <c r="G19" s="37" t="s">
        <v>405</v>
      </c>
      <c r="H19" s="37" t="s">
        <v>64</v>
      </c>
      <c r="I19" s="202" t="s">
        <v>779</v>
      </c>
      <c r="J19" t="s">
        <v>883</v>
      </c>
      <c r="K19" s="34">
        <v>2001</v>
      </c>
      <c r="L19" s="51">
        <v>240</v>
      </c>
      <c r="M19" s="52">
        <v>220</v>
      </c>
      <c r="N19" s="838">
        <f t="shared" si="0"/>
        <v>6358396</v>
      </c>
      <c r="O19" s="54">
        <v>6358396</v>
      </c>
      <c r="P19" s="53" t="s">
        <v>151</v>
      </c>
      <c r="Q19" s="54" t="s">
        <v>151</v>
      </c>
      <c r="R19" s="772">
        <f t="shared" si="9"/>
        <v>0</v>
      </c>
      <c r="S19" s="624" t="s">
        <v>97</v>
      </c>
      <c r="T19" s="37" t="s">
        <v>132</v>
      </c>
      <c r="U19" s="21">
        <v>84</v>
      </c>
      <c r="V19" s="552">
        <v>1.7</v>
      </c>
      <c r="W19" s="847">
        <v>1.2</v>
      </c>
      <c r="X19" s="556" t="s">
        <v>64</v>
      </c>
      <c r="Y19" s="784" t="s">
        <v>64</v>
      </c>
      <c r="Z19" s="784" t="s">
        <v>64</v>
      </c>
      <c r="AA19" s="785" t="s">
        <v>64</v>
      </c>
      <c r="AB19" s="32">
        <f t="shared" si="10"/>
        <v>1197.1810515385948</v>
      </c>
      <c r="AC19" s="6">
        <f t="shared" si="1"/>
        <v>1188.7963</v>
      </c>
      <c r="AD19" s="6">
        <f t="shared" si="2"/>
        <v>8.3847515385948554</v>
      </c>
      <c r="AE19" s="6">
        <f t="shared" si="11"/>
        <v>1191.5865600000034</v>
      </c>
      <c r="AF19" s="839">
        <v>0.99099999999999999</v>
      </c>
      <c r="AG19" s="553">
        <f t="shared" si="3"/>
        <v>9.0817356205852295E-3</v>
      </c>
      <c r="AH19" s="32">
        <f t="shared" si="19"/>
        <v>56.763068961315838</v>
      </c>
      <c r="AI19" s="9">
        <v>49.957599386948353</v>
      </c>
      <c r="AJ19" s="9">
        <v>2.2403774651035926</v>
      </c>
      <c r="AK19" s="9">
        <v>12.869589688355635</v>
      </c>
      <c r="AL19" s="9">
        <v>12.376424837546669</v>
      </c>
      <c r="AM19" s="9">
        <v>0.17109800946433551</v>
      </c>
      <c r="AN19" s="9">
        <v>9.1134851511738688</v>
      </c>
      <c r="AO19" s="9">
        <v>10.283996827685764</v>
      </c>
      <c r="AP19" s="9">
        <v>1.8317551601475917</v>
      </c>
      <c r="AQ19" s="9">
        <v>0.78604438465674131</v>
      </c>
      <c r="AR19" s="9">
        <v>0.2194080356660302</v>
      </c>
      <c r="AS19" s="6" t="s">
        <v>64</v>
      </c>
      <c r="AT19" s="6">
        <v>1284.5238610422912</v>
      </c>
      <c r="AU19" s="9">
        <v>98.612333333333325</v>
      </c>
      <c r="AV19" s="8">
        <f t="shared" si="13"/>
        <v>2.4759913057865321</v>
      </c>
      <c r="AW19" s="9">
        <f t="shared" si="14"/>
        <v>10.14866836678827</v>
      </c>
      <c r="AX19" s="8">
        <v>0.45823453190800129</v>
      </c>
      <c r="AY19" s="789">
        <v>2.2911726595400066E-2</v>
      </c>
      <c r="AZ19" s="6">
        <v>216.28968253968253</v>
      </c>
      <c r="BA19" s="48">
        <v>21.628968253968253</v>
      </c>
      <c r="BB19" s="6" t="s">
        <v>151</v>
      </c>
      <c r="BC19" s="48" t="s">
        <v>151</v>
      </c>
      <c r="BD19" s="849">
        <v>216.28968253968253</v>
      </c>
      <c r="BE19" s="48">
        <v>21.628968253968253</v>
      </c>
      <c r="BF19" s="668">
        <v>522.13135396236419</v>
      </c>
      <c r="BG19" s="48">
        <v>47.584802794671646</v>
      </c>
      <c r="BH19" s="48">
        <v>47.96140145140248</v>
      </c>
      <c r="BI19" s="850">
        <f t="shared" si="4"/>
        <v>2.2071348129555939</v>
      </c>
      <c r="BJ19" s="789">
        <f t="shared" si="5"/>
        <v>0.19048815042438227</v>
      </c>
      <c r="BK19" s="563" t="s">
        <v>64</v>
      </c>
      <c r="BL19" s="48" t="s">
        <v>64</v>
      </c>
      <c r="BM19" s="48" t="s">
        <v>64</v>
      </c>
      <c r="BN19" s="850" t="str">
        <f t="shared" si="6"/>
        <v>-</v>
      </c>
      <c r="BO19" s="789" t="str">
        <f t="shared" si="15"/>
        <v>-</v>
      </c>
      <c r="BP19" s="789" t="str">
        <f t="shared" si="16"/>
        <v>-</v>
      </c>
      <c r="BQ19" s="34" t="s">
        <v>64</v>
      </c>
      <c r="BR19" s="25">
        <v>2.7040618901679498</v>
      </c>
      <c r="BS19" s="26">
        <v>2.976396234421987</v>
      </c>
      <c r="BT19" s="603"/>
      <c r="BU19" s="599">
        <v>0.13631226025344106</v>
      </c>
      <c r="BV19" s="851">
        <v>2.7123472601300071E-2</v>
      </c>
      <c r="BW19" s="851">
        <v>5.9996820299552632E-2</v>
      </c>
      <c r="BX19" s="851">
        <v>0.1346651044700421</v>
      </c>
      <c r="BY19" s="851">
        <v>6.0453307498444893E-3</v>
      </c>
      <c r="BZ19" s="851">
        <v>2.3933886289777818E-2</v>
      </c>
      <c r="CA19" s="851">
        <v>2.1160520685424341E-2</v>
      </c>
      <c r="CB19" s="851">
        <v>2.6078387162258212E-2</v>
      </c>
      <c r="CC19" s="851">
        <v>2.1559284268764214E-2</v>
      </c>
      <c r="CD19" s="851">
        <v>6.1652262918229601E-3</v>
      </c>
      <c r="CE19" s="852" t="s">
        <v>64</v>
      </c>
      <c r="CF19" s="852">
        <v>24.125287319795717</v>
      </c>
      <c r="CG19" s="603"/>
      <c r="CH19" s="584">
        <v>49.365666666666669</v>
      </c>
      <c r="CI19" s="576">
        <v>2.2276666666666665</v>
      </c>
      <c r="CJ19" s="576">
        <v>12.799999999999999</v>
      </c>
      <c r="CK19" s="576">
        <v>12.168999999999999</v>
      </c>
      <c r="CL19" s="576">
        <v>0.17066666666666666</v>
      </c>
      <c r="CM19" s="576">
        <v>8.6963333333333335</v>
      </c>
      <c r="CN19" s="576">
        <v>10.227333333333332</v>
      </c>
      <c r="CO19" s="576">
        <v>1.8246666666666667</v>
      </c>
      <c r="CP19" s="576">
        <v>0.78633333333333333</v>
      </c>
      <c r="CQ19" s="576">
        <v>0.21766666666666667</v>
      </c>
      <c r="CR19" s="792" t="s">
        <v>64</v>
      </c>
      <c r="CS19" s="793">
        <v>1270</v>
      </c>
      <c r="CT19" s="576">
        <f t="shared" si="20"/>
        <v>98.612333333333325</v>
      </c>
      <c r="CU19" s="576">
        <v>0.45823453190800129</v>
      </c>
      <c r="CV19" s="591">
        <v>218.25396825396825</v>
      </c>
      <c r="CW19" s="603"/>
      <c r="CX19" s="936">
        <v>484.24293776696197</v>
      </c>
      <c r="CY19" s="934">
        <v>45.830799123861084</v>
      </c>
      <c r="CZ19" s="934">
        <v>45.97865492592905</v>
      </c>
      <c r="DA19" s="938">
        <f t="shared" si="7"/>
        <v>2.0548995966036254</v>
      </c>
      <c r="DB19" s="936">
        <v>407.04842705747802</v>
      </c>
      <c r="DC19" s="934">
        <v>35.172937273255059</v>
      </c>
      <c r="DD19" s="934">
        <v>35.635548486257221</v>
      </c>
      <c r="DE19" s="939">
        <f t="shared" si="8"/>
        <v>1.7411428228940118</v>
      </c>
      <c r="DF19" s="9"/>
    </row>
    <row r="20" spans="1:110">
      <c r="A20" s="846" t="s">
        <v>41</v>
      </c>
      <c r="B20" s="41" t="s">
        <v>157</v>
      </c>
      <c r="C20" s="41" t="s">
        <v>1481</v>
      </c>
      <c r="D20" s="34" t="s">
        <v>735</v>
      </c>
      <c r="E20" s="535">
        <v>19.405619999999999</v>
      </c>
      <c r="F20" s="537">
        <v>-155.29281800000001</v>
      </c>
      <c r="G20" s="37" t="s">
        <v>405</v>
      </c>
      <c r="H20" s="37" t="s">
        <v>64</v>
      </c>
      <c r="I20" s="202" t="s">
        <v>779</v>
      </c>
      <c r="J20" t="s">
        <v>883</v>
      </c>
      <c r="K20" s="34">
        <v>2001</v>
      </c>
      <c r="L20" s="51">
        <v>348</v>
      </c>
      <c r="M20" s="52">
        <v>285</v>
      </c>
      <c r="N20" s="838">
        <f t="shared" si="0"/>
        <v>16435526.917500002</v>
      </c>
      <c r="O20" s="54">
        <v>16435526.917500002</v>
      </c>
      <c r="P20" s="53" t="s">
        <v>151</v>
      </c>
      <c r="Q20" s="54" t="s">
        <v>151</v>
      </c>
      <c r="R20" s="772">
        <f t="shared" si="9"/>
        <v>0</v>
      </c>
      <c r="S20" s="624" t="s">
        <v>100</v>
      </c>
      <c r="T20" s="37" t="s">
        <v>132</v>
      </c>
      <c r="U20" s="21">
        <v>87.6</v>
      </c>
      <c r="V20" s="552">
        <v>1.8</v>
      </c>
      <c r="W20" s="847">
        <v>0.75</v>
      </c>
      <c r="X20" s="556" t="s">
        <v>64</v>
      </c>
      <c r="Y20" s="784" t="s">
        <v>64</v>
      </c>
      <c r="Z20" s="784" t="s">
        <v>64</v>
      </c>
      <c r="AA20" s="785" t="s">
        <v>64</v>
      </c>
      <c r="AB20" s="32">
        <f t="shared" si="10"/>
        <v>1201.6792120565001</v>
      </c>
      <c r="AC20" s="6">
        <f t="shared" si="1"/>
        <v>1200.6955</v>
      </c>
      <c r="AD20" s="6">
        <f t="shared" si="2"/>
        <v>0.98371205650005322</v>
      </c>
      <c r="AE20" s="6">
        <f t="shared" si="11"/>
        <v>1249.1116166400061</v>
      </c>
      <c r="AF20" s="848">
        <v>1.0009999999999999</v>
      </c>
      <c r="AG20" s="553">
        <f t="shared" si="3"/>
        <v>-9.9900099900085415E-4</v>
      </c>
      <c r="AH20" s="32">
        <f>100*(AN20/40.3)/((AN20/40.3)+(AL20/71.85))</f>
        <v>63.928307641714852</v>
      </c>
      <c r="AI20" s="9">
        <v>51.281791176746275</v>
      </c>
      <c r="AJ20" s="9">
        <v>2.3824877009563967</v>
      </c>
      <c r="AK20" s="9">
        <v>13.593583483079913</v>
      </c>
      <c r="AL20" s="9">
        <v>9.3932342100154322</v>
      </c>
      <c r="AM20" s="9">
        <v>0.12130246803744246</v>
      </c>
      <c r="AN20" s="9">
        <v>9.3372742316666688</v>
      </c>
      <c r="AO20" s="9">
        <v>10.809323242960827</v>
      </c>
      <c r="AP20" s="9">
        <v>2.2454360174555297</v>
      </c>
      <c r="AQ20" s="9">
        <v>0.39071457936922072</v>
      </c>
      <c r="AR20" s="9">
        <v>0.27577881545529048</v>
      </c>
      <c r="AS20" s="6" t="s">
        <v>64</v>
      </c>
      <c r="AT20" s="6">
        <v>1665.3957628344997</v>
      </c>
      <c r="AU20" s="9">
        <v>99.473333333333329</v>
      </c>
      <c r="AV20" s="8">
        <f t="shared" si="13"/>
        <v>1.8791829258040478</v>
      </c>
      <c r="AW20" s="9">
        <f t="shared" si="14"/>
        <v>7.7024520522126556</v>
      </c>
      <c r="AX20" s="8">
        <v>0.4860562504571721</v>
      </c>
      <c r="AY20" s="789">
        <v>2.4302812522858607E-2</v>
      </c>
      <c r="AZ20" s="6">
        <v>25.345622119815665</v>
      </c>
      <c r="BA20" s="48">
        <v>2.5345622119815667</v>
      </c>
      <c r="BB20" s="6" t="s">
        <v>151</v>
      </c>
      <c r="BC20" s="48" t="s">
        <v>151</v>
      </c>
      <c r="BD20" s="849">
        <v>25.345622119815665</v>
      </c>
      <c r="BE20" s="48">
        <v>2.5345622119815667</v>
      </c>
      <c r="BF20" s="668">
        <v>93.804127285744002</v>
      </c>
      <c r="BG20" s="48">
        <v>6.2891682282559032</v>
      </c>
      <c r="BH20" s="48">
        <v>6.29574983664277</v>
      </c>
      <c r="BI20" s="850">
        <f t="shared" si="4"/>
        <v>0.41495425998697794</v>
      </c>
      <c r="BJ20" s="789">
        <f t="shared" si="5"/>
        <v>2.7533060852987484E-2</v>
      </c>
      <c r="BK20" s="563" t="s">
        <v>64</v>
      </c>
      <c r="BL20" s="48" t="s">
        <v>64</v>
      </c>
      <c r="BM20" s="48" t="s">
        <v>64</v>
      </c>
      <c r="BN20" s="850" t="str">
        <f t="shared" si="6"/>
        <v>-</v>
      </c>
      <c r="BO20" s="789" t="str">
        <f t="shared" si="15"/>
        <v>-</v>
      </c>
      <c r="BP20" s="789" t="str">
        <f t="shared" si="16"/>
        <v>-</v>
      </c>
      <c r="BQ20" s="34" t="s">
        <v>64</v>
      </c>
      <c r="BR20" s="25">
        <v>2.6597950736842391</v>
      </c>
      <c r="BS20" s="26">
        <v>2.9251123263335548</v>
      </c>
      <c r="BT20" s="603"/>
      <c r="BU20" s="599">
        <v>0.13992539575417456</v>
      </c>
      <c r="BV20" s="851">
        <v>2.8843951917199455E-2</v>
      </c>
      <c r="BW20" s="851">
        <v>6.3372011479063628E-2</v>
      </c>
      <c r="BX20" s="851">
        <v>0.10220567593686822</v>
      </c>
      <c r="BY20" s="851">
        <v>4.2859267758555341E-3</v>
      </c>
      <c r="BZ20" s="851">
        <v>2.4521602439698652E-2</v>
      </c>
      <c r="CA20" s="851">
        <v>2.2241440940776978E-2</v>
      </c>
      <c r="CB20" s="851">
        <v>3.1967891280058572E-2</v>
      </c>
      <c r="CC20" s="851">
        <v>1.0716349927555487E-2</v>
      </c>
      <c r="CD20" s="851">
        <v>7.7492093605940242E-3</v>
      </c>
      <c r="CE20" s="852" t="s">
        <v>64</v>
      </c>
      <c r="CF20" s="852">
        <v>31.278633661932311</v>
      </c>
      <c r="CG20" s="603"/>
      <c r="CH20" s="584">
        <v>51.012999999999998</v>
      </c>
      <c r="CI20" s="576">
        <v>2.3699999999999997</v>
      </c>
      <c r="CJ20" s="576">
        <v>13.522333333333334</v>
      </c>
      <c r="CK20" s="576">
        <v>9.3439999999999994</v>
      </c>
      <c r="CL20" s="576">
        <v>0.12066666666666666</v>
      </c>
      <c r="CM20" s="576">
        <v>9.288333333333334</v>
      </c>
      <c r="CN20" s="576">
        <v>10.752666666666668</v>
      </c>
      <c r="CO20" s="576">
        <v>2.2336666666666667</v>
      </c>
      <c r="CP20" s="576">
        <v>0.38866666666666666</v>
      </c>
      <c r="CQ20" s="576">
        <v>0.27433333333333337</v>
      </c>
      <c r="CR20" s="792" t="s">
        <v>64</v>
      </c>
      <c r="CS20" s="793">
        <v>1656.6666666666665</v>
      </c>
      <c r="CT20" s="576">
        <f t="shared" si="20"/>
        <v>99.473333333333329</v>
      </c>
      <c r="CU20" s="576">
        <v>0.4860562504571721</v>
      </c>
      <c r="CV20" s="591">
        <v>25.345622119815665</v>
      </c>
      <c r="CW20" s="603"/>
      <c r="CX20" s="936">
        <v>76.041129421105325</v>
      </c>
      <c r="CY20" s="934">
        <v>5.5170948694032802</v>
      </c>
      <c r="CZ20" s="934">
        <v>5.5186189026641728</v>
      </c>
      <c r="DA20" s="938">
        <f t="shared" si="7"/>
        <v>0.33703817076065495</v>
      </c>
      <c r="DB20" s="936">
        <v>68.385555743492418</v>
      </c>
      <c r="DC20" s="934">
        <v>5.9091761635106792</v>
      </c>
      <c r="DD20" s="934">
        <v>5.9868964611248856</v>
      </c>
      <c r="DE20" s="939">
        <f t="shared" si="8"/>
        <v>0.3033632758483808</v>
      </c>
      <c r="DF20" s="9"/>
    </row>
    <row r="21" spans="1:110">
      <c r="A21" s="846" t="s">
        <v>42</v>
      </c>
      <c r="B21" s="41" t="s">
        <v>157</v>
      </c>
      <c r="C21" s="41" t="s">
        <v>1481</v>
      </c>
      <c r="D21" s="34" t="s">
        <v>735</v>
      </c>
      <c r="E21" s="535">
        <v>19.405619999999999</v>
      </c>
      <c r="F21" s="537">
        <v>-155.29281800000001</v>
      </c>
      <c r="G21" s="37" t="s">
        <v>405</v>
      </c>
      <c r="H21" s="37" t="s">
        <v>64</v>
      </c>
      <c r="I21" s="202" t="s">
        <v>779</v>
      </c>
      <c r="J21" t="s">
        <v>884</v>
      </c>
      <c r="K21" s="34">
        <v>2001</v>
      </c>
      <c r="L21" s="51">
        <v>430</v>
      </c>
      <c r="M21" s="52">
        <v>203</v>
      </c>
      <c r="N21" s="838">
        <f t="shared" si="0"/>
        <v>14465185.971250001</v>
      </c>
      <c r="O21" s="54">
        <v>14417473.032823605</v>
      </c>
      <c r="P21" s="53">
        <v>45</v>
      </c>
      <c r="Q21" s="54">
        <v>47712.938426394983</v>
      </c>
      <c r="R21" s="772">
        <f t="shared" si="9"/>
        <v>3.2984669897245639E-3</v>
      </c>
      <c r="S21" s="624" t="s">
        <v>100</v>
      </c>
      <c r="T21" s="37" t="s">
        <v>132</v>
      </c>
      <c r="U21" s="21">
        <v>87.6</v>
      </c>
      <c r="V21" s="552">
        <v>1.7</v>
      </c>
      <c r="W21" s="847">
        <v>0.53</v>
      </c>
      <c r="X21" s="556" t="s">
        <v>423</v>
      </c>
      <c r="Y21" s="784" t="s">
        <v>64</v>
      </c>
      <c r="Z21" s="784" t="s">
        <v>64</v>
      </c>
      <c r="AA21" s="785" t="s">
        <v>64</v>
      </c>
      <c r="AB21" s="32">
        <f t="shared" si="10"/>
        <v>1200.4053912901904</v>
      </c>
      <c r="AC21" s="6">
        <f t="shared" si="1"/>
        <v>1198.0959</v>
      </c>
      <c r="AD21" s="6">
        <f t="shared" si="2"/>
        <v>2.3094912901904081</v>
      </c>
      <c r="AE21" s="6">
        <f t="shared" si="11"/>
        <v>1249.1116166400061</v>
      </c>
      <c r="AF21" s="848">
        <v>1.002</v>
      </c>
      <c r="AG21" s="553">
        <f t="shared" si="3"/>
        <v>-1.9960079840319889E-3</v>
      </c>
      <c r="AH21" s="32">
        <f>100*(AN21/40.3)/((AN21/40.3)+(AL21/71.85))</f>
        <v>64.042113357922858</v>
      </c>
      <c r="AI21" s="9">
        <v>51.401849192983185</v>
      </c>
      <c r="AJ21" s="9">
        <v>2.4468151004598417</v>
      </c>
      <c r="AK21" s="9">
        <v>13.612655580625743</v>
      </c>
      <c r="AL21" s="9">
        <v>9.2835192421129964</v>
      </c>
      <c r="AM21" s="9">
        <v>0.14985666661206565</v>
      </c>
      <c r="AN21" s="9">
        <v>9.2739000641885738</v>
      </c>
      <c r="AO21" s="9">
        <v>10.73854647131258</v>
      </c>
      <c r="AP21" s="9">
        <v>2.2569629045830695</v>
      </c>
      <c r="AQ21" s="9">
        <v>0.40805565300447599</v>
      </c>
      <c r="AR21" s="9">
        <v>0.2536425336913678</v>
      </c>
      <c r="AS21" s="6" t="s">
        <v>64</v>
      </c>
      <c r="AT21" s="6">
        <v>1650.4484228220742</v>
      </c>
      <c r="AU21" s="9">
        <v>98.75200000000001</v>
      </c>
      <c r="AV21" s="8">
        <f t="shared" si="13"/>
        <v>1.8572336706510606</v>
      </c>
      <c r="AW21" s="9">
        <f t="shared" si="14"/>
        <v>7.6124857785326583</v>
      </c>
      <c r="AX21" s="8">
        <v>0.4893515470704411</v>
      </c>
      <c r="AY21" s="789">
        <v>2.4467577353522056E-2</v>
      </c>
      <c r="AZ21" s="6">
        <v>91.525857654889933</v>
      </c>
      <c r="BA21" s="48">
        <v>9.1525857654889933</v>
      </c>
      <c r="BB21" s="6" t="s">
        <v>64</v>
      </c>
      <c r="BC21" s="48" t="s">
        <v>64</v>
      </c>
      <c r="BD21" s="849" t="s">
        <v>1007</v>
      </c>
      <c r="BE21" s="48" t="s">
        <v>1007</v>
      </c>
      <c r="BF21" s="668" t="s">
        <v>1007</v>
      </c>
      <c r="BG21" s="48" t="s">
        <v>64</v>
      </c>
      <c r="BH21" s="48" t="s">
        <v>64</v>
      </c>
      <c r="BI21" s="850" t="str">
        <f t="shared" si="4"/>
        <v>-</v>
      </c>
      <c r="BJ21" s="789" t="str">
        <f t="shared" si="5"/>
        <v>-</v>
      </c>
      <c r="BK21" s="563" t="s">
        <v>64</v>
      </c>
      <c r="BL21" s="48" t="s">
        <v>64</v>
      </c>
      <c r="BM21" s="48" t="s">
        <v>64</v>
      </c>
      <c r="BN21" s="850" t="str">
        <f t="shared" si="6"/>
        <v>-</v>
      </c>
      <c r="BO21" s="789" t="str">
        <f t="shared" si="15"/>
        <v>-</v>
      </c>
      <c r="BP21" s="789" t="str">
        <f t="shared" si="16"/>
        <v>-</v>
      </c>
      <c r="BQ21" s="34" t="s">
        <v>64</v>
      </c>
      <c r="BR21" s="25">
        <v>2.6569053621738981</v>
      </c>
      <c r="BS21" s="26">
        <v>2.9209849179971852</v>
      </c>
      <c r="BT21" s="603"/>
      <c r="BU21" s="599">
        <v>0.14025298114169565</v>
      </c>
      <c r="BV21" s="851">
        <v>2.962274142259376E-2</v>
      </c>
      <c r="BW21" s="851">
        <v>6.3460923809363343E-2</v>
      </c>
      <c r="BX21" s="851">
        <v>0.10101189196383537</v>
      </c>
      <c r="BY21" s="851">
        <v>5.2948197210204917E-3</v>
      </c>
      <c r="BZ21" s="851">
        <v>2.4355168842345978E-2</v>
      </c>
      <c r="CA21" s="851">
        <v>2.2095809493626158E-2</v>
      </c>
      <c r="CB21" s="851">
        <v>3.2131997614697427E-2</v>
      </c>
      <c r="CC21" s="851">
        <v>1.1191973369851692E-2</v>
      </c>
      <c r="CD21" s="851">
        <v>7.1271939183616736E-3</v>
      </c>
      <c r="CE21" s="852" t="s">
        <v>64</v>
      </c>
      <c r="CF21" s="852">
        <v>30.997900167286414</v>
      </c>
      <c r="CG21" s="603"/>
      <c r="CH21" s="584">
        <v>50.765000000000001</v>
      </c>
      <c r="CI21" s="576">
        <v>2.4165000000000001</v>
      </c>
      <c r="CJ21" s="576">
        <v>13.443999999999999</v>
      </c>
      <c r="CK21" s="576">
        <v>9.1684999999999999</v>
      </c>
      <c r="CL21" s="576">
        <v>0.14800000000000002</v>
      </c>
      <c r="CM21" s="576">
        <v>9.1589999999999989</v>
      </c>
      <c r="CN21" s="576">
        <v>10.605499999999999</v>
      </c>
      <c r="CO21" s="576">
        <v>2.2290000000000001</v>
      </c>
      <c r="CP21" s="576">
        <v>0.40300000000000002</v>
      </c>
      <c r="CQ21" s="576">
        <v>0.2505</v>
      </c>
      <c r="CR21" s="792" t="s">
        <v>64</v>
      </c>
      <c r="CS21" s="793">
        <v>1630</v>
      </c>
      <c r="CT21" s="576">
        <f t="shared" si="20"/>
        <v>98.75200000000001</v>
      </c>
      <c r="CU21" s="576">
        <v>0.4893515470704411</v>
      </c>
      <c r="CV21" s="591">
        <v>91.525857654889933</v>
      </c>
      <c r="CW21" s="603"/>
      <c r="CX21" s="936" t="s">
        <v>1007</v>
      </c>
      <c r="CY21" s="934" t="s">
        <v>64</v>
      </c>
      <c r="CZ21" s="934" t="s">
        <v>64</v>
      </c>
      <c r="DA21" s="938" t="str">
        <f t="shared" si="7"/>
        <v>-</v>
      </c>
      <c r="DB21" s="936" t="s">
        <v>1007</v>
      </c>
      <c r="DC21" s="934" t="s">
        <v>64</v>
      </c>
      <c r="DD21" s="934" t="s">
        <v>64</v>
      </c>
      <c r="DE21" s="939" t="str">
        <f t="shared" si="8"/>
        <v>-</v>
      </c>
      <c r="DF21" s="9"/>
    </row>
    <row r="22" spans="1:110">
      <c r="A22" s="846" t="s">
        <v>39</v>
      </c>
      <c r="B22" s="41" t="s">
        <v>157</v>
      </c>
      <c r="C22" s="41" t="s">
        <v>1481</v>
      </c>
      <c r="D22" s="34" t="s">
        <v>735</v>
      </c>
      <c r="E22" s="535">
        <v>19.405619999999999</v>
      </c>
      <c r="F22" s="537">
        <v>-155.29281800000001</v>
      </c>
      <c r="G22" s="37" t="s">
        <v>405</v>
      </c>
      <c r="H22" s="37" t="s">
        <v>64</v>
      </c>
      <c r="I22" s="202" t="s">
        <v>779</v>
      </c>
      <c r="J22" t="s">
        <v>884</v>
      </c>
      <c r="K22" s="34">
        <v>2001</v>
      </c>
      <c r="L22" s="51">
        <v>215</v>
      </c>
      <c r="M22" s="52">
        <v>183</v>
      </c>
      <c r="N22" s="838">
        <f t="shared" si="0"/>
        <v>4099476.8637500005</v>
      </c>
      <c r="O22" s="54">
        <v>3919882.4837197838</v>
      </c>
      <c r="P22" s="53">
        <v>70</v>
      </c>
      <c r="Q22" s="54">
        <v>179594.38003021647</v>
      </c>
      <c r="R22" s="772">
        <f t="shared" si="9"/>
        <v>4.3809097111462254E-2</v>
      </c>
      <c r="S22" s="624" t="s">
        <v>100</v>
      </c>
      <c r="T22" s="37" t="s">
        <v>132</v>
      </c>
      <c r="U22" s="21">
        <v>87.6</v>
      </c>
      <c r="V22" s="552">
        <v>1.1000000000000001</v>
      </c>
      <c r="W22" s="847">
        <v>0.61799999999999999</v>
      </c>
      <c r="X22" s="556" t="s">
        <v>423</v>
      </c>
      <c r="Y22" s="784" t="s">
        <v>64</v>
      </c>
      <c r="Z22" s="784" t="s">
        <v>64</v>
      </c>
      <c r="AA22" s="785" t="s">
        <v>64</v>
      </c>
      <c r="AB22" s="32">
        <f t="shared" si="10"/>
        <v>1204.2537375650938</v>
      </c>
      <c r="AC22" s="6">
        <f t="shared" si="1"/>
        <v>1197.9350999999999</v>
      </c>
      <c r="AD22" s="6">
        <f t="shared" si="2"/>
        <v>6.3186375650939226</v>
      </c>
      <c r="AE22" s="6">
        <f t="shared" si="11"/>
        <v>1249.1116166400061</v>
      </c>
      <c r="AF22" s="839">
        <v>0.99299999999999999</v>
      </c>
      <c r="AG22" s="553">
        <f t="shared" si="3"/>
        <v>7.0493454179254567E-3</v>
      </c>
      <c r="AH22" s="32">
        <f>100*(AN22/40.3)/((AN22/40.3)+(AL22/71.85))</f>
        <v>63.797966380200073</v>
      </c>
      <c r="AI22" s="9">
        <v>51.333658630387255</v>
      </c>
      <c r="AJ22" s="9">
        <v>2.4355018331929048</v>
      </c>
      <c r="AK22" s="9">
        <v>13.336409666517282</v>
      </c>
      <c r="AL22" s="9">
        <v>9.5760189798278663</v>
      </c>
      <c r="AM22" s="9">
        <v>0.13077870231932165</v>
      </c>
      <c r="AN22" s="9">
        <v>9.4653600778653626</v>
      </c>
      <c r="AO22" s="9">
        <v>10.735925470398465</v>
      </c>
      <c r="AP22" s="9">
        <v>2.1749504185721023</v>
      </c>
      <c r="AQ22" s="9">
        <v>0.40943793726126076</v>
      </c>
      <c r="AR22" s="9">
        <v>0.25954542460296137</v>
      </c>
      <c r="AS22" s="6" t="s">
        <v>64</v>
      </c>
      <c r="AT22" s="6">
        <v>1304.0571905447362</v>
      </c>
      <c r="AU22" s="9">
        <v>99.200999999999979</v>
      </c>
      <c r="AV22" s="8">
        <f t="shared" si="13"/>
        <v>1.9157503115253907</v>
      </c>
      <c r="AW22" s="9">
        <f t="shared" si="14"/>
        <v>7.8523355634588503</v>
      </c>
      <c r="AX22" s="8">
        <v>0.40861678004535157</v>
      </c>
      <c r="AY22" s="789">
        <v>2.0430839002267581E-2</v>
      </c>
      <c r="AZ22" s="6">
        <v>119.35645272601795</v>
      </c>
      <c r="BA22" s="48">
        <v>11.935645272601796</v>
      </c>
      <c r="BB22" s="6" t="s">
        <v>64</v>
      </c>
      <c r="BC22" s="48" t="s">
        <v>64</v>
      </c>
      <c r="BD22" s="849" t="s">
        <v>1007</v>
      </c>
      <c r="BE22" s="48" t="s">
        <v>1007</v>
      </c>
      <c r="BF22" s="668" t="s">
        <v>1007</v>
      </c>
      <c r="BG22" s="48" t="s">
        <v>64</v>
      </c>
      <c r="BH22" s="48" t="s">
        <v>64</v>
      </c>
      <c r="BI22" s="850" t="str">
        <f t="shared" si="4"/>
        <v>-</v>
      </c>
      <c r="BJ22" s="789" t="str">
        <f t="shared" si="5"/>
        <v>-</v>
      </c>
      <c r="BK22" s="563" t="s">
        <v>64</v>
      </c>
      <c r="BL22" s="48" t="s">
        <v>64</v>
      </c>
      <c r="BM22" s="48" t="s">
        <v>64</v>
      </c>
      <c r="BN22" s="850" t="str">
        <f t="shared" si="6"/>
        <v>-</v>
      </c>
      <c r="BO22" s="789" t="str">
        <f t="shared" si="15"/>
        <v>-</v>
      </c>
      <c r="BP22" s="789" t="str">
        <f t="shared" si="16"/>
        <v>-</v>
      </c>
      <c r="BQ22" s="34" t="s">
        <v>64</v>
      </c>
      <c r="BR22" s="25">
        <v>2.667059405054208</v>
      </c>
      <c r="BS22" s="26">
        <v>2.9282129815852009</v>
      </c>
      <c r="BT22" s="603"/>
      <c r="BU22" s="599">
        <v>0.14006691916454964</v>
      </c>
      <c r="BV22" s="851">
        <v>2.9485775621283239E-2</v>
      </c>
      <c r="BW22" s="851">
        <v>6.217309126235937E-2</v>
      </c>
      <c r="BX22" s="851">
        <v>0.10419451604581871</v>
      </c>
      <c r="BY22" s="851">
        <v>4.6207463957700246E-3</v>
      </c>
      <c r="BZ22" s="851">
        <v>2.4857982213999888E-2</v>
      </c>
      <c r="CA22" s="851">
        <v>2.20904164791213E-2</v>
      </c>
      <c r="CB22" s="851">
        <v>3.0964399778007856E-2</v>
      </c>
      <c r="CC22" s="851">
        <v>1.1229886062587579E-2</v>
      </c>
      <c r="CD22" s="851">
        <v>7.2930613996298353E-3</v>
      </c>
      <c r="CE22" s="852" t="s">
        <v>64</v>
      </c>
      <c r="CF22" s="852">
        <v>24.492152584701223</v>
      </c>
      <c r="CG22" s="603"/>
      <c r="CH22" s="584">
        <v>51.008000000000003</v>
      </c>
      <c r="CI22" s="576">
        <v>2.4340000000000002</v>
      </c>
      <c r="CJ22" s="576">
        <v>13.321000000000002</v>
      </c>
      <c r="CK22" s="576">
        <v>9.4695</v>
      </c>
      <c r="CL22" s="576">
        <v>0.13</v>
      </c>
      <c r="CM22" s="576">
        <v>9.1509999999999998</v>
      </c>
      <c r="CN22" s="576">
        <v>10.724</v>
      </c>
      <c r="CO22" s="576">
        <v>2.1669999999999998</v>
      </c>
      <c r="CP22" s="576">
        <v>0.41249999999999998</v>
      </c>
      <c r="CQ22" s="576">
        <v>0.2545</v>
      </c>
      <c r="CR22" s="792" t="s">
        <v>64</v>
      </c>
      <c r="CS22" s="793">
        <v>1295</v>
      </c>
      <c r="CT22" s="576">
        <f t="shared" si="20"/>
        <v>99.200999999999979</v>
      </c>
      <c r="CU22" s="576">
        <v>0.40861678004535157</v>
      </c>
      <c r="CV22" s="591">
        <v>120.19783758914194</v>
      </c>
      <c r="CW22" s="603"/>
      <c r="CX22" s="936" t="s">
        <v>1007</v>
      </c>
      <c r="CY22" s="934" t="s">
        <v>64</v>
      </c>
      <c r="CZ22" s="934" t="s">
        <v>64</v>
      </c>
      <c r="DA22" s="938" t="str">
        <f t="shared" si="7"/>
        <v>-</v>
      </c>
      <c r="DB22" s="936" t="s">
        <v>1007</v>
      </c>
      <c r="DC22" s="934" t="s">
        <v>64</v>
      </c>
      <c r="DD22" s="934" t="s">
        <v>64</v>
      </c>
      <c r="DE22" s="939" t="str">
        <f t="shared" si="8"/>
        <v>-</v>
      </c>
      <c r="DF22" s="9"/>
    </row>
    <row r="23" spans="1:110">
      <c r="A23" s="846" t="s">
        <v>46</v>
      </c>
      <c r="B23" s="41" t="s">
        <v>157</v>
      </c>
      <c r="C23" s="41" t="s">
        <v>1481</v>
      </c>
      <c r="D23" s="34" t="s">
        <v>735</v>
      </c>
      <c r="E23" s="535">
        <v>19.405619999999999</v>
      </c>
      <c r="F23" s="537">
        <v>-155.29281800000001</v>
      </c>
      <c r="G23" s="37" t="s">
        <v>405</v>
      </c>
      <c r="H23" s="37" t="s">
        <v>64</v>
      </c>
      <c r="I23" s="202" t="s">
        <v>779</v>
      </c>
      <c r="J23" t="s">
        <v>883</v>
      </c>
      <c r="K23" s="34">
        <v>2001</v>
      </c>
      <c r="L23" s="51">
        <v>185</v>
      </c>
      <c r="M23" s="52">
        <v>180</v>
      </c>
      <c r="N23" s="838">
        <f t="shared" si="0"/>
        <v>3181946.8125</v>
      </c>
      <c r="O23" s="54">
        <v>3068849.4769707676</v>
      </c>
      <c r="P23" s="53">
        <v>60</v>
      </c>
      <c r="Q23" s="54">
        <v>113097.33552923254</v>
      </c>
      <c r="R23" s="772">
        <f t="shared" si="9"/>
        <v>3.5543439973584584E-2</v>
      </c>
      <c r="S23" s="624" t="s">
        <v>96</v>
      </c>
      <c r="T23" s="37" t="s">
        <v>132</v>
      </c>
      <c r="U23" s="21">
        <v>88.8</v>
      </c>
      <c r="V23" s="552">
        <v>1.4</v>
      </c>
      <c r="W23" s="847">
        <v>0.77</v>
      </c>
      <c r="X23" s="556" t="s">
        <v>423</v>
      </c>
      <c r="Y23" s="784" t="s">
        <v>64</v>
      </c>
      <c r="Z23" s="784" t="s">
        <v>64</v>
      </c>
      <c r="AA23" s="785" t="s">
        <v>64</v>
      </c>
      <c r="AB23" s="32">
        <f t="shared" si="10"/>
        <v>1221.6035784099129</v>
      </c>
      <c r="AC23" s="6">
        <f t="shared" si="1"/>
        <v>1189.5869</v>
      </c>
      <c r="AD23" s="6">
        <f t="shared" si="2"/>
        <v>32.016678409912856</v>
      </c>
      <c r="AE23" s="6">
        <f t="shared" si="11"/>
        <v>1274.1477580800019</v>
      </c>
      <c r="AF23" s="839">
        <v>0.96399999999999997</v>
      </c>
      <c r="AG23" s="553">
        <f t="shared" si="3"/>
        <v>3.7344398340249052E-2</v>
      </c>
      <c r="AH23" s="32">
        <f t="shared" ref="AH23" si="21">100*(AN23/40.3)/((AN23/40.3)+(AL23/71.85))</f>
        <v>66.42837439303824</v>
      </c>
      <c r="AI23" s="9">
        <v>51.248293294118461</v>
      </c>
      <c r="AJ23" s="9">
        <v>2.3200472012296744</v>
      </c>
      <c r="AK23" s="9">
        <v>13.110379479281828</v>
      </c>
      <c r="AL23" s="9">
        <v>9.3063471861988258</v>
      </c>
      <c r="AM23" s="9">
        <v>0.15091373815457554</v>
      </c>
      <c r="AN23" s="9">
        <v>10.328536239299151</v>
      </c>
      <c r="AO23" s="9">
        <v>10.662558646414611</v>
      </c>
      <c r="AP23" s="9">
        <v>2.1399568070318811</v>
      </c>
      <c r="AQ23" s="9">
        <v>0.4064610014296568</v>
      </c>
      <c r="AR23" s="9">
        <v>0.21329141659180012</v>
      </c>
      <c r="AS23" s="6" t="s">
        <v>64</v>
      </c>
      <c r="AT23" s="6">
        <v>1067.3503689921649</v>
      </c>
      <c r="AU23" s="9">
        <v>98.136666666666699</v>
      </c>
      <c r="AV23" s="8">
        <f t="shared" si="13"/>
        <v>1.8618005622879752</v>
      </c>
      <c r="AW23" s="9">
        <f t="shared" si="14"/>
        <v>7.6312046926830375</v>
      </c>
      <c r="AX23" s="8">
        <v>0.42633740571058359</v>
      </c>
      <c r="AY23" s="789">
        <v>2.1316870285529182E-2</v>
      </c>
      <c r="AZ23" s="6">
        <v>64.407191448007765</v>
      </c>
      <c r="BA23" s="48">
        <v>6.4407191448007772</v>
      </c>
      <c r="BB23" s="6" t="s">
        <v>64</v>
      </c>
      <c r="BC23" s="48" t="s">
        <v>64</v>
      </c>
      <c r="BD23" s="849" t="s">
        <v>1007</v>
      </c>
      <c r="BE23" s="48" t="s">
        <v>1007</v>
      </c>
      <c r="BF23" s="668" t="s">
        <v>1007</v>
      </c>
      <c r="BG23" s="48" t="s">
        <v>64</v>
      </c>
      <c r="BH23" s="48" t="s">
        <v>64</v>
      </c>
      <c r="BI23" s="850" t="str">
        <f t="shared" si="4"/>
        <v>-</v>
      </c>
      <c r="BJ23" s="789" t="str">
        <f t="shared" si="5"/>
        <v>-</v>
      </c>
      <c r="BK23" s="563" t="s">
        <v>64</v>
      </c>
      <c r="BL23" s="48" t="s">
        <v>64</v>
      </c>
      <c r="BM23" s="48" t="s">
        <v>64</v>
      </c>
      <c r="BN23" s="850" t="str">
        <f t="shared" si="6"/>
        <v>-</v>
      </c>
      <c r="BO23" s="789" t="str">
        <f t="shared" si="15"/>
        <v>-</v>
      </c>
      <c r="BP23" s="789" t="str">
        <f t="shared" si="16"/>
        <v>-</v>
      </c>
      <c r="BQ23" s="34" t="s">
        <v>64</v>
      </c>
      <c r="BR23" s="25">
        <v>2.664051843116511</v>
      </c>
      <c r="BS23" s="26">
        <v>2.9190031247173471</v>
      </c>
      <c r="BT23" s="603"/>
      <c r="BU23" s="599">
        <v>0.13983399480315339</v>
      </c>
      <c r="BV23" s="851">
        <v>2.808800645268331E-2</v>
      </c>
      <c r="BW23" s="851">
        <v>6.1119359725128643E-2</v>
      </c>
      <c r="BX23" s="851">
        <v>0.10126027770652808</v>
      </c>
      <c r="BY23" s="851">
        <v>5.3321687651194096E-3</v>
      </c>
      <c r="BZ23" s="851">
        <v>2.7124860335060102E-2</v>
      </c>
      <c r="CA23" s="851">
        <v>2.1939455697768787E-2</v>
      </c>
      <c r="CB23" s="851">
        <v>3.0466201672821124E-2</v>
      </c>
      <c r="CC23" s="851">
        <v>1.1148235958476159E-2</v>
      </c>
      <c r="CD23" s="851">
        <v>5.9933531850835621E-3</v>
      </c>
      <c r="CE23" s="852" t="s">
        <v>64</v>
      </c>
      <c r="CF23" s="852">
        <v>20.046442969094965</v>
      </c>
      <c r="CG23" s="603"/>
      <c r="CH23" s="584">
        <v>50.681666666666672</v>
      </c>
      <c r="CI23" s="576">
        <v>2.3606666666666665</v>
      </c>
      <c r="CJ23" s="576">
        <v>13.347333333333333</v>
      </c>
      <c r="CK23" s="576">
        <v>9.113999999999999</v>
      </c>
      <c r="CL23" s="576">
        <v>0.14899999999999999</v>
      </c>
      <c r="CM23" s="576">
        <v>8.7356666666666669</v>
      </c>
      <c r="CN23" s="576">
        <v>10.841000000000001</v>
      </c>
      <c r="CO23" s="576">
        <v>2.1739999999999999</v>
      </c>
      <c r="CP23" s="576">
        <v>0.41266666666666668</v>
      </c>
      <c r="CQ23" s="576">
        <v>0.21266666666666667</v>
      </c>
      <c r="CR23" s="792" t="s">
        <v>64</v>
      </c>
      <c r="CS23" s="793">
        <v>1080</v>
      </c>
      <c r="CT23" s="576">
        <f t="shared" si="20"/>
        <v>98.136666666666699</v>
      </c>
      <c r="CU23" s="576">
        <v>0.42633740571058359</v>
      </c>
      <c r="CV23" s="591">
        <v>66.812439261418845</v>
      </c>
      <c r="CW23" s="603"/>
      <c r="CX23" s="936" t="s">
        <v>1007</v>
      </c>
      <c r="CY23" s="934" t="s">
        <v>64</v>
      </c>
      <c r="CZ23" s="934" t="s">
        <v>64</v>
      </c>
      <c r="DA23" s="938" t="str">
        <f t="shared" si="7"/>
        <v>-</v>
      </c>
      <c r="DB23" s="936" t="s">
        <v>1007</v>
      </c>
      <c r="DC23" s="934" t="s">
        <v>64</v>
      </c>
      <c r="DD23" s="934" t="s">
        <v>64</v>
      </c>
      <c r="DE23" s="939" t="str">
        <f t="shared" si="8"/>
        <v>-</v>
      </c>
      <c r="DF23" s="9"/>
    </row>
    <row r="24" spans="1:110">
      <c r="A24" s="846"/>
      <c r="C24" s="41"/>
      <c r="D24" s="3"/>
      <c r="E24" s="535"/>
      <c r="F24" s="537"/>
      <c r="H24" s="3"/>
      <c r="J24" s="3"/>
      <c r="M24" s="3"/>
      <c r="N24" s="838"/>
      <c r="O24" s="54"/>
      <c r="P24" s="53"/>
      <c r="Q24" s="54"/>
      <c r="R24" s="853"/>
      <c r="S24" s="39"/>
      <c r="V24" s="3"/>
      <c r="X24" s="31"/>
      <c r="Y24" s="856"/>
      <c r="AB24" s="32"/>
      <c r="AC24" s="6"/>
      <c r="AD24" s="6"/>
      <c r="AE24" s="6"/>
      <c r="AF24" s="839"/>
      <c r="AG24" s="839"/>
      <c r="AH24" s="32"/>
      <c r="AI24" s="9"/>
      <c r="AJ24" s="9"/>
      <c r="AK24" s="9"/>
      <c r="AL24" s="9"/>
      <c r="AM24" s="9"/>
      <c r="AN24" s="9"/>
      <c r="AO24" s="9"/>
      <c r="AP24" s="9"/>
      <c r="AQ24" s="9"/>
      <c r="AR24" s="9"/>
      <c r="AS24" s="6"/>
      <c r="AT24" s="6"/>
      <c r="AU24" s="9"/>
      <c r="AV24" s="8"/>
      <c r="AW24" s="9"/>
      <c r="AX24" s="8"/>
      <c r="AY24" s="787"/>
      <c r="AZ24" s="6"/>
      <c r="BB24" s="6"/>
      <c r="BD24" s="849"/>
      <c r="BF24" s="668"/>
      <c r="BG24" s="68"/>
      <c r="BH24" s="68"/>
      <c r="BI24" s="3"/>
      <c r="BK24" s="58"/>
      <c r="BO24" s="787"/>
      <c r="BP24" s="787"/>
      <c r="BR24" s="25"/>
      <c r="BS24" s="26"/>
      <c r="BT24" s="604"/>
      <c r="BU24" s="598"/>
      <c r="BV24" s="790"/>
      <c r="BW24" s="790"/>
      <c r="BX24" s="790"/>
      <c r="BY24" s="790"/>
      <c r="BZ24" s="790"/>
      <c r="CA24" s="790"/>
      <c r="CB24" s="790"/>
      <c r="CC24" s="790"/>
      <c r="CD24" s="790"/>
      <c r="CE24" s="791"/>
      <c r="CF24" s="791"/>
      <c r="CG24" s="604"/>
      <c r="CH24" s="584"/>
      <c r="CI24" s="576"/>
      <c r="CJ24" s="576"/>
      <c r="CK24" s="576"/>
      <c r="CL24" s="576"/>
      <c r="CM24" s="576"/>
      <c r="CN24" s="576"/>
      <c r="CO24" s="576"/>
      <c r="CP24" s="576"/>
      <c r="CQ24" s="576"/>
      <c r="CR24" s="792"/>
      <c r="CS24" s="793"/>
      <c r="CT24" s="576"/>
      <c r="CU24" s="576"/>
      <c r="CV24" s="591"/>
      <c r="CW24" s="604"/>
      <c r="CX24" s="940"/>
      <c r="CY24" s="934"/>
      <c r="CZ24" s="934"/>
      <c r="DA24" s="935"/>
      <c r="DB24" s="936"/>
      <c r="DC24" s="934"/>
      <c r="DD24" s="934"/>
      <c r="DE24" s="937"/>
      <c r="DF24" s="9"/>
    </row>
    <row r="25" spans="1:110">
      <c r="A25" s="837" t="s">
        <v>1479</v>
      </c>
      <c r="B25" s="34"/>
      <c r="D25" s="34"/>
      <c r="E25" s="535"/>
      <c r="F25" s="537"/>
      <c r="H25" s="34"/>
      <c r="I25" s="28"/>
      <c r="K25" s="34"/>
      <c r="L25" s="49"/>
      <c r="M25" s="50"/>
      <c r="N25" s="838"/>
      <c r="O25" s="54"/>
      <c r="P25" s="53"/>
      <c r="Q25" s="54"/>
      <c r="R25" s="21"/>
      <c r="S25" s="624"/>
      <c r="T25" s="34"/>
      <c r="U25" s="21"/>
      <c r="V25" s="9"/>
      <c r="W25" s="9"/>
      <c r="X25" s="39"/>
      <c r="Y25" s="784"/>
      <c r="Z25" s="784"/>
      <c r="AA25" s="785"/>
      <c r="AB25" s="11"/>
      <c r="AC25" s="7"/>
      <c r="AD25" s="7"/>
      <c r="AE25" s="7"/>
      <c r="AF25" s="839"/>
      <c r="AG25" s="839"/>
      <c r="AH25" s="32"/>
      <c r="AI25" s="7"/>
      <c r="AJ25" s="7"/>
      <c r="AK25" s="7"/>
      <c r="AL25" s="7"/>
      <c r="AM25" s="7"/>
      <c r="AN25" s="7"/>
      <c r="AO25" s="7"/>
      <c r="AP25" s="7"/>
      <c r="AQ25" s="7"/>
      <c r="AR25" s="7"/>
      <c r="AS25" s="7"/>
      <c r="AT25" s="7"/>
      <c r="AU25" s="7"/>
      <c r="AV25" s="11"/>
      <c r="AW25" s="7"/>
      <c r="AX25" s="8"/>
      <c r="AY25" s="787"/>
      <c r="AZ25" s="7"/>
      <c r="BB25" s="7"/>
      <c r="BD25" s="786"/>
      <c r="BF25" s="669"/>
      <c r="BG25" s="68"/>
      <c r="BH25" s="68"/>
      <c r="BI25" s="781"/>
      <c r="BK25" s="563"/>
      <c r="BL25" s="48"/>
      <c r="BM25" s="48"/>
      <c r="BN25" s="788"/>
      <c r="BO25" s="789"/>
      <c r="BP25" s="789"/>
      <c r="BR25" s="25"/>
      <c r="BS25" s="26"/>
      <c r="BT25" s="604"/>
      <c r="BU25" s="598"/>
      <c r="BV25" s="790"/>
      <c r="BW25" s="790"/>
      <c r="BX25" s="790"/>
      <c r="BY25" s="790"/>
      <c r="BZ25" s="790"/>
      <c r="CA25" s="790"/>
      <c r="CB25" s="790"/>
      <c r="CC25" s="790"/>
      <c r="CD25" s="790"/>
      <c r="CE25" s="791"/>
      <c r="CF25" s="791"/>
      <c r="CG25" s="604"/>
      <c r="CH25" s="584"/>
      <c r="CI25" s="576"/>
      <c r="CJ25" s="576"/>
      <c r="CK25" s="576"/>
      <c r="CL25" s="576"/>
      <c r="CM25" s="576"/>
      <c r="CN25" s="576"/>
      <c r="CO25" s="576"/>
      <c r="CP25" s="576"/>
      <c r="CQ25" s="576"/>
      <c r="CR25" s="792"/>
      <c r="CS25" s="576"/>
      <c r="CT25" s="577"/>
      <c r="CU25" s="576"/>
      <c r="CV25" s="591"/>
      <c r="CW25" s="604"/>
      <c r="CX25" s="936"/>
      <c r="CY25" s="934"/>
      <c r="CZ25" s="934"/>
      <c r="DA25" s="941"/>
      <c r="DB25" s="936"/>
      <c r="DC25" s="934"/>
      <c r="DD25" s="934"/>
      <c r="DE25" s="942"/>
      <c r="DF25" s="7"/>
    </row>
    <row r="26" spans="1:110">
      <c r="A26" s="846" t="s">
        <v>18</v>
      </c>
      <c r="B26" s="41" t="s">
        <v>1480</v>
      </c>
      <c r="C26" s="41" t="s">
        <v>1482</v>
      </c>
      <c r="D26" s="34">
        <v>1790</v>
      </c>
      <c r="E26" s="535">
        <v>19.405619999999999</v>
      </c>
      <c r="F26" s="537">
        <v>-155.29281800000001</v>
      </c>
      <c r="G26" s="37" t="s">
        <v>405</v>
      </c>
      <c r="H26" s="37" t="s">
        <v>64</v>
      </c>
      <c r="I26" s="202" t="s">
        <v>779</v>
      </c>
      <c r="J26" t="s">
        <v>884</v>
      </c>
      <c r="K26" s="34">
        <v>2001</v>
      </c>
      <c r="L26" s="51">
        <v>150</v>
      </c>
      <c r="M26" s="52">
        <v>130</v>
      </c>
      <c r="N26" s="838">
        <f t="shared" ref="N26:N34" si="22">(4*3.1415/3)*(L26/2)*(M26/2)*(AVERAGE(L26,M26)/2)</f>
        <v>1429382.5000000002</v>
      </c>
      <c r="O26" s="54">
        <v>1429382.5000000002</v>
      </c>
      <c r="P26" s="53" t="s">
        <v>151</v>
      </c>
      <c r="Q26" s="54" t="s">
        <v>151</v>
      </c>
      <c r="R26" s="772">
        <f t="shared" ref="R26:R34" si="23">IF(Q26="no bubble",0,IF(H26="Isolated fluid inclusion",1,Q26/(Q26+O26)))</f>
        <v>0</v>
      </c>
      <c r="S26" s="624" t="s">
        <v>79</v>
      </c>
      <c r="T26" s="37" t="s">
        <v>132</v>
      </c>
      <c r="U26" s="21">
        <v>87.1</v>
      </c>
      <c r="V26" s="552">
        <v>0.97</v>
      </c>
      <c r="W26" s="847">
        <v>0.443</v>
      </c>
      <c r="X26" s="556" t="s">
        <v>64</v>
      </c>
      <c r="Y26" s="784" t="s">
        <v>64</v>
      </c>
      <c r="Z26" s="784" t="s">
        <v>64</v>
      </c>
      <c r="AA26" s="785" t="s">
        <v>64</v>
      </c>
      <c r="AB26" s="32">
        <f t="shared" ref="AB26:AB34" si="24">IF(ISNUMBER(AN26), 20.1*AN26+1014,"-")</f>
        <v>1235.3087484494938</v>
      </c>
      <c r="AC26" s="6">
        <f t="shared" ref="AC26:AC34" si="25">IF(ISNUMBER(CM26), 20.1*CM26+1014,"-")</f>
        <v>1211.5126500000001</v>
      </c>
      <c r="AD26" s="6">
        <f t="shared" ref="AD26:AD34" si="26">IF(AND(ISNUMBER(AB26),ISNUMBER(AC26)),AB26-AC26,"-")</f>
        <v>23.796098449493684</v>
      </c>
      <c r="AE26" s="6">
        <f t="shared" ref="AE26:AE34" si="27">IF(ISNUMBER(U26),0.02289*U26^3- 4.943*U26^2+ 358.6*U26-7620,"-")</f>
        <v>1239.6051287900082</v>
      </c>
      <c r="AF26" s="839">
        <v>0.97</v>
      </c>
      <c r="AG26" s="553">
        <f t="shared" ref="AG26:AG34" si="28">IF(ISNUMBER(AF26),(1/AF26)-1,"-")</f>
        <v>3.0927835051546504E-2</v>
      </c>
      <c r="AH26" s="32">
        <f t="shared" ref="AH26:AH31" si="29">100*(AN26/40.3)/((AN26/40.3)+(AL26/71.85))</f>
        <v>62.795758824949402</v>
      </c>
      <c r="AI26" s="9">
        <v>49.425492705004999</v>
      </c>
      <c r="AJ26" s="9">
        <v>2.3815756617622466</v>
      </c>
      <c r="AK26" s="9">
        <v>12.304304506840097</v>
      </c>
      <c r="AL26" s="9">
        <v>11.630178738618422</v>
      </c>
      <c r="AM26" s="9">
        <v>0.1609852580827881</v>
      </c>
      <c r="AN26" s="9">
        <v>11.010385494999689</v>
      </c>
      <c r="AO26" s="9">
        <v>10.200428415270661</v>
      </c>
      <c r="AP26" s="9">
        <v>2.0455189355144263</v>
      </c>
      <c r="AQ26" s="9">
        <v>0.40950625024809223</v>
      </c>
      <c r="AR26" s="9">
        <v>0.27266878087772239</v>
      </c>
      <c r="AS26" s="6">
        <v>138.08195587578584</v>
      </c>
      <c r="AT26" s="6">
        <v>1351.2305682130475</v>
      </c>
      <c r="AU26" s="9">
        <v>98.953000000000003</v>
      </c>
      <c r="AV26" s="8">
        <f t="shared" ref="AV26:AV34" si="30">IF(ISNUMBER(AL26),(AL26/71.84)*(0.18/2)*159.69,"-")</f>
        <v>2.3266994967886663</v>
      </c>
      <c r="AW26" s="9">
        <f t="shared" ref="AW26:AW34" si="31">IF(ISNUMBER(AL26),(AL26/71.84)*(1-0.18)*71.84,"-")</f>
        <v>9.5367465656671069</v>
      </c>
      <c r="AX26" s="8">
        <v>0.50325963718820876</v>
      </c>
      <c r="AY26" s="789">
        <v>2.516298185941044E-2</v>
      </c>
      <c r="AZ26" s="6">
        <v>99.626517273576098</v>
      </c>
      <c r="BA26" s="48">
        <v>9.9626517273576098</v>
      </c>
      <c r="BB26" s="6" t="s">
        <v>151</v>
      </c>
      <c r="BC26" s="48" t="s">
        <v>151</v>
      </c>
      <c r="BD26" s="849">
        <v>99.626517273576098</v>
      </c>
      <c r="BE26" s="48">
        <v>9.9626517273576098</v>
      </c>
      <c r="BF26" s="668">
        <v>242.21907989312439</v>
      </c>
      <c r="BG26" s="48">
        <v>21.221332087055487</v>
      </c>
      <c r="BH26" s="48">
        <v>21.295119283617879</v>
      </c>
      <c r="BI26" s="850">
        <f t="shared" ref="BI26:BI34" si="32">IF(NOT(ISNUMBER(BF26)),"-",(0.0684*((BF26/1000))^3 - 0.5008*((BF26/1000))^2 + 4.47*((BF26/1000))))</f>
        <v>1.0543093430433079</v>
      </c>
      <c r="BJ26" s="789">
        <f t="shared" ref="BJ26:BJ34" si="33">IF(NOT(ISNUMBER(BF26)),"-",AVERAGE(ABS(BI26-(0.0684*(((BF26+BG26)/1000))^3-0.5008*(((BF26+BG26)/1000))^2+4.47*(((BF26+BG26)/1000)))),ABS(BI26-(0.0684*(((BF26-BG26)/1000))^3-0.5008*(((BF26-BG26)/1000))^2+4.47*(((BF26-BG26)/1000))))))</f>
        <v>8.9967058011301781E-2</v>
      </c>
      <c r="BK26" s="563" t="s">
        <v>64</v>
      </c>
      <c r="BL26" s="48" t="s">
        <v>64</v>
      </c>
      <c r="BM26" s="48" t="s">
        <v>64</v>
      </c>
      <c r="BN26" s="850" t="str">
        <f t="shared" ref="BN26:BN34" si="34">IF(ISNUMBER(BK26),(0.0684*((BK26/1000))^3 - 0.5008*((BK26/1000))^2 + 4.47*((BK26/1000))),"-")</f>
        <v>-</v>
      </c>
      <c r="BO26" s="789" t="str">
        <f t="shared" ref="BO26:BO34" si="35">IF(ISNUMBER(BL26),ABS(BN26-(0.0684*(((BK26+BL26)/1000))^3 - 0.5008*(((BK26+BL26)/1000))^2 + 4.47*(((BK26+BL26)/1000)))),"-")</f>
        <v>-</v>
      </c>
      <c r="BP26" s="789" t="str">
        <f t="shared" ref="BP26:BP34" si="36">IF(ISNUMBER(BM26),ABS(BN26-(0.0684*(((BK26-BM26)/1000))^3 - 0.5008*(((BK26-BM26)/1000))^2 + 4.47*(((BK26-BM26)/1000)))),"-")</f>
        <v>-</v>
      </c>
      <c r="BQ26" s="34" t="s">
        <v>64</v>
      </c>
      <c r="BR26" s="25">
        <v>2.6985848644145838</v>
      </c>
      <c r="BS26" s="26">
        <v>2.9837443016957632</v>
      </c>
      <c r="BT26" s="603"/>
      <c r="BU26" s="599">
        <v>0.13486037574734516</v>
      </c>
      <c r="BV26" s="851">
        <v>2.883291017513627E-2</v>
      </c>
      <c r="BW26" s="851">
        <v>5.7361513792145158E-2</v>
      </c>
      <c r="BX26" s="851">
        <v>0.12654536793937093</v>
      </c>
      <c r="BY26" s="851">
        <v>5.6880213510747497E-3</v>
      </c>
      <c r="BZ26" s="851">
        <v>2.8915536709904942E-2</v>
      </c>
      <c r="CA26" s="851">
        <v>2.0988568948255654E-2</v>
      </c>
      <c r="CB26" s="851">
        <v>2.9121705732646812E-2</v>
      </c>
      <c r="CC26" s="851">
        <v>1.1231759721545134E-2</v>
      </c>
      <c r="CD26" s="851">
        <v>7.6618193664769133E-3</v>
      </c>
      <c r="CE26" s="852">
        <v>21.194191070350623</v>
      </c>
      <c r="CF26" s="852">
        <v>25.378139466384987</v>
      </c>
      <c r="CG26" s="603"/>
      <c r="CH26" s="584">
        <v>49.185000000000002</v>
      </c>
      <c r="CI26" s="576">
        <v>2.4290000000000003</v>
      </c>
      <c r="CJ26" s="576">
        <v>12.551</v>
      </c>
      <c r="CK26" s="576">
        <v>11.4785</v>
      </c>
      <c r="CL26" s="576">
        <v>0.156</v>
      </c>
      <c r="CM26" s="576">
        <v>9.8264999999999993</v>
      </c>
      <c r="CN26" s="576">
        <v>10.395</v>
      </c>
      <c r="CO26" s="576">
        <v>2.0834999999999999</v>
      </c>
      <c r="CP26" s="576">
        <v>0.42</v>
      </c>
      <c r="CQ26" s="576">
        <v>0.27750000000000002</v>
      </c>
      <c r="CR26" s="792">
        <v>1.4E-2</v>
      </c>
      <c r="CS26" s="793">
        <v>1370</v>
      </c>
      <c r="CT26" s="576">
        <f t="shared" ref="CT26:CT31" si="37">SUM(CH26:CR26)+(CS26/10000)</f>
        <v>98.953000000000003</v>
      </c>
      <c r="CU26" s="576">
        <v>0.50325963718820876</v>
      </c>
      <c r="CV26" s="591">
        <v>102.7077497665733</v>
      </c>
      <c r="CW26" s="603"/>
      <c r="CX26" s="936">
        <v>238.7865508655467</v>
      </c>
      <c r="CY26" s="934">
        <v>21.514657898645396</v>
      </c>
      <c r="CZ26" s="934">
        <v>21.538950871503204</v>
      </c>
      <c r="DA26" s="938">
        <f t="shared" ref="DA26:DA34" si="38">IF(NOT(ISNUMBER(CX26)),"-",(0.0684*((CX26/1000))^3 - 0.5008*((CX26/1000))^2 + 4.47*((CX26/1000))))</f>
        <v>1.0397520503254856</v>
      </c>
      <c r="DB26" s="936">
        <v>186.96034638837369</v>
      </c>
      <c r="DC26" s="934">
        <v>16.155189650630405</v>
      </c>
      <c r="DD26" s="934">
        <v>16.367670394632285</v>
      </c>
      <c r="DE26" s="939">
        <f t="shared" ref="DE26:DE34" si="39">IF(NOT(ISNUMBER(DB26)),"-",(0.0684*((DB26/1000))^3 - 0.5008*((DB26/1000))^2 + 4.47*((DB26/1000))))</f>
        <v>0.81865469646384137</v>
      </c>
      <c r="DF26" s="9"/>
    </row>
    <row r="27" spans="1:110">
      <c r="A27" s="846" t="s">
        <v>23</v>
      </c>
      <c r="B27" s="41" t="s">
        <v>1480</v>
      </c>
      <c r="C27" s="41" t="s">
        <v>1482</v>
      </c>
      <c r="D27" s="34">
        <v>1790</v>
      </c>
      <c r="E27" s="535">
        <v>19.405619999999999</v>
      </c>
      <c r="F27" s="537">
        <v>-155.29281800000001</v>
      </c>
      <c r="G27" s="37" t="s">
        <v>405</v>
      </c>
      <c r="H27" s="37" t="s">
        <v>64</v>
      </c>
      <c r="I27" s="202" t="s">
        <v>779</v>
      </c>
      <c r="J27" t="s">
        <v>884</v>
      </c>
      <c r="K27" s="34">
        <v>2001</v>
      </c>
      <c r="L27" s="51">
        <v>190</v>
      </c>
      <c r="M27" s="52">
        <v>59</v>
      </c>
      <c r="N27" s="838">
        <f t="shared" si="22"/>
        <v>730736.46125000005</v>
      </c>
      <c r="O27" s="54">
        <v>730736.46125000005</v>
      </c>
      <c r="P27" s="53" t="s">
        <v>151</v>
      </c>
      <c r="Q27" s="54" t="s">
        <v>151</v>
      </c>
      <c r="R27" s="772">
        <f t="shared" si="23"/>
        <v>0</v>
      </c>
      <c r="S27" s="624" t="s">
        <v>84</v>
      </c>
      <c r="T27" s="37" t="s">
        <v>132</v>
      </c>
      <c r="U27" s="21">
        <v>89</v>
      </c>
      <c r="V27" s="552">
        <v>1.49</v>
      </c>
      <c r="W27" s="847">
        <v>0.875</v>
      </c>
      <c r="X27" s="556" t="s">
        <v>64</v>
      </c>
      <c r="Y27" s="784" t="s">
        <v>64</v>
      </c>
      <c r="Z27" s="784" t="s">
        <v>64</v>
      </c>
      <c r="AA27" s="785" t="s">
        <v>64</v>
      </c>
      <c r="AB27" s="32">
        <f t="shared" si="24"/>
        <v>1285.7252872085214</v>
      </c>
      <c r="AC27" s="6">
        <f t="shared" si="25"/>
        <v>1223.1605999999999</v>
      </c>
      <c r="AD27" s="6">
        <f t="shared" si="26"/>
        <v>62.564687208521491</v>
      </c>
      <c r="AE27" s="6">
        <f t="shared" si="27"/>
        <v>1278.637410000003</v>
      </c>
      <c r="AF27" s="839">
        <v>0.92</v>
      </c>
      <c r="AG27" s="553">
        <f t="shared" si="28"/>
        <v>8.6956521739130377E-2</v>
      </c>
      <c r="AH27" s="32">
        <f>100*(AN27/40.3)/((AN27/40.3)+(AL27/71.85))</f>
        <v>67.064220103837158</v>
      </c>
      <c r="AI27" s="9">
        <v>48.966579894398109</v>
      </c>
      <c r="AJ27" s="9">
        <v>2.2663565574197575</v>
      </c>
      <c r="AK27" s="9">
        <v>11.236219594486768</v>
      </c>
      <c r="AL27" s="9">
        <v>11.836758815427556</v>
      </c>
      <c r="AM27" s="9">
        <v>0.17804931676133909</v>
      </c>
      <c r="AN27" s="9">
        <v>13.518671005399078</v>
      </c>
      <c r="AO27" s="9">
        <v>9.5442481210824042</v>
      </c>
      <c r="AP27" s="9">
        <v>1.8006117344790791</v>
      </c>
      <c r="AQ27" s="9">
        <v>0.2957429329256141</v>
      </c>
      <c r="AR27" s="9">
        <v>0.20319752534344918</v>
      </c>
      <c r="AS27" s="6" t="s">
        <v>64</v>
      </c>
      <c r="AT27" s="6">
        <v>1414.4546080775142</v>
      </c>
      <c r="AU27" s="9">
        <v>98.142500000000027</v>
      </c>
      <c r="AV27" s="8">
        <f t="shared" si="30"/>
        <v>2.3680273019377278</v>
      </c>
      <c r="AW27" s="9">
        <f t="shared" si="31"/>
        <v>9.7061422286505969</v>
      </c>
      <c r="AX27" s="8">
        <v>0.46990929705215423</v>
      </c>
      <c r="AY27" s="789">
        <v>2.3495464852607714E-2</v>
      </c>
      <c r="AZ27" s="6">
        <v>120.47619047619047</v>
      </c>
      <c r="BA27" s="48">
        <v>12.047619047619047</v>
      </c>
      <c r="BB27" s="6" t="s">
        <v>151</v>
      </c>
      <c r="BC27" s="48" t="s">
        <v>151</v>
      </c>
      <c r="BD27" s="849">
        <v>120.47619047619047</v>
      </c>
      <c r="BE27" s="48">
        <v>12.047619047619047</v>
      </c>
      <c r="BF27" s="668">
        <v>268.08030545081692</v>
      </c>
      <c r="BG27" s="48">
        <v>24.361682447253997</v>
      </c>
      <c r="BH27" s="48">
        <v>24.456483188668528</v>
      </c>
      <c r="BI27" s="850">
        <f t="shared" si="32"/>
        <v>1.1636457506678057</v>
      </c>
      <c r="BJ27" s="789">
        <f t="shared" si="33"/>
        <v>0.10271563742869372</v>
      </c>
      <c r="BK27" s="563" t="s">
        <v>64</v>
      </c>
      <c r="BL27" s="48" t="s">
        <v>64</v>
      </c>
      <c r="BM27" s="48" t="s">
        <v>64</v>
      </c>
      <c r="BN27" s="850" t="str">
        <f t="shared" si="34"/>
        <v>-</v>
      </c>
      <c r="BO27" s="789" t="str">
        <f t="shared" si="35"/>
        <v>-</v>
      </c>
      <c r="BP27" s="789" t="str">
        <f t="shared" si="36"/>
        <v>-</v>
      </c>
      <c r="BQ27" s="34" t="s">
        <v>64</v>
      </c>
      <c r="BR27" s="25">
        <v>2.708286760468618</v>
      </c>
      <c r="BS27" s="26">
        <v>2.9952951572063959</v>
      </c>
      <c r="BT27" s="603"/>
      <c r="BU27" s="599">
        <v>0.13360820504177223</v>
      </c>
      <c r="BV27" s="851">
        <v>2.7437992457717015E-2</v>
      </c>
      <c r="BW27" s="851">
        <v>5.238220208890515E-2</v>
      </c>
      <c r="BX27" s="851">
        <v>0.12879311945001201</v>
      </c>
      <c r="BY27" s="851">
        <v>6.2909382346174403E-3</v>
      </c>
      <c r="BZ27" s="851">
        <v>3.5502810315158333E-2</v>
      </c>
      <c r="CA27" s="851">
        <v>1.9638401603672462E-2</v>
      </c>
      <c r="CB27" s="851">
        <v>2.5635003499521844E-2</v>
      </c>
      <c r="CC27" s="851">
        <v>8.1115088230109648E-3</v>
      </c>
      <c r="CD27" s="851">
        <v>5.7097212591961282E-3</v>
      </c>
      <c r="CE27" s="852" t="s">
        <v>64</v>
      </c>
      <c r="CF27" s="852">
        <v>26.56558189039011</v>
      </c>
      <c r="CG27" s="603"/>
      <c r="CH27" s="584">
        <v>48.8</v>
      </c>
      <c r="CI27" s="576">
        <v>2.4085000000000001</v>
      </c>
      <c r="CJ27" s="576">
        <v>11.994</v>
      </c>
      <c r="CK27" s="576">
        <v>11.59</v>
      </c>
      <c r="CL27" s="576">
        <v>0.17649999999999999</v>
      </c>
      <c r="CM27" s="576">
        <v>10.406000000000001</v>
      </c>
      <c r="CN27" s="576">
        <v>10.1625</v>
      </c>
      <c r="CO27" s="576">
        <v>1.923</v>
      </c>
      <c r="CP27" s="576">
        <v>0.3135</v>
      </c>
      <c r="CQ27" s="576">
        <v>0.2185</v>
      </c>
      <c r="CR27" s="857" t="s">
        <v>64</v>
      </c>
      <c r="CS27" s="793">
        <v>1500</v>
      </c>
      <c r="CT27" s="576">
        <f t="shared" si="37"/>
        <v>98.142500000000027</v>
      </c>
      <c r="CU27" s="576">
        <v>0.46990929705215423</v>
      </c>
      <c r="CV27" s="591">
        <v>130.95238095238093</v>
      </c>
      <c r="CW27" s="603"/>
      <c r="CX27" s="936">
        <v>280.95412004862891</v>
      </c>
      <c r="CY27" s="934">
        <v>26.006774187286965</v>
      </c>
      <c r="CZ27" s="934">
        <v>26.036692466877298</v>
      </c>
      <c r="DA27" s="938">
        <f t="shared" si="38"/>
        <v>1.2178510783993846</v>
      </c>
      <c r="DB27" s="936">
        <v>199.41068523135181</v>
      </c>
      <c r="DC27" s="934">
        <v>17.231019841943407</v>
      </c>
      <c r="DD27" s="934">
        <v>17.4576504167064</v>
      </c>
      <c r="DE27" s="939">
        <f t="shared" si="39"/>
        <v>0.87199401773805563</v>
      </c>
      <c r="DF27" s="9"/>
    </row>
    <row r="28" spans="1:110">
      <c r="A28" s="846" t="s">
        <v>16</v>
      </c>
      <c r="B28" s="41" t="s">
        <v>1480</v>
      </c>
      <c r="C28" s="41" t="s">
        <v>1482</v>
      </c>
      <c r="D28" s="34">
        <v>1790</v>
      </c>
      <c r="E28" s="535">
        <v>19.405619999999999</v>
      </c>
      <c r="F28" s="537">
        <v>-155.29281800000001</v>
      </c>
      <c r="G28" s="37" t="s">
        <v>405</v>
      </c>
      <c r="H28" s="37" t="s">
        <v>64</v>
      </c>
      <c r="I28" s="202" t="s">
        <v>779</v>
      </c>
      <c r="J28" t="s">
        <v>885</v>
      </c>
      <c r="K28" s="34">
        <v>2001</v>
      </c>
      <c r="L28" s="51">
        <v>155</v>
      </c>
      <c r="M28" s="52">
        <v>57</v>
      </c>
      <c r="N28" s="838">
        <f t="shared" si="22"/>
        <v>490341.02750000014</v>
      </c>
      <c r="O28" s="54">
        <v>490341.02750000014</v>
      </c>
      <c r="P28" s="53" t="s">
        <v>151</v>
      </c>
      <c r="Q28" s="54" t="s">
        <v>151</v>
      </c>
      <c r="R28" s="772">
        <f t="shared" si="23"/>
        <v>0</v>
      </c>
      <c r="S28" s="624" t="s">
        <v>81</v>
      </c>
      <c r="T28" s="37" t="s">
        <v>132</v>
      </c>
      <c r="U28" s="21">
        <v>89.4</v>
      </c>
      <c r="V28" s="552">
        <v>1.28</v>
      </c>
      <c r="W28" s="847">
        <v>0.91</v>
      </c>
      <c r="X28" s="556" t="s">
        <v>64</v>
      </c>
      <c r="Y28" s="784" t="s">
        <v>64</v>
      </c>
      <c r="Z28" s="784" t="s">
        <v>64</v>
      </c>
      <c r="AA28" s="785" t="s">
        <v>64</v>
      </c>
      <c r="AB28" s="32">
        <f t="shared" si="24"/>
        <v>1287.4300294923319</v>
      </c>
      <c r="AC28" s="6">
        <f t="shared" si="25"/>
        <v>1235.6025</v>
      </c>
      <c r="AD28" s="6">
        <f t="shared" si="26"/>
        <v>51.827529492331905</v>
      </c>
      <c r="AE28" s="6">
        <f t="shared" si="27"/>
        <v>1287.8982837600051</v>
      </c>
      <c r="AF28" s="839">
        <v>0.94</v>
      </c>
      <c r="AG28" s="553">
        <f t="shared" si="28"/>
        <v>6.3829787234042534E-2</v>
      </c>
      <c r="AH28" s="32">
        <f>100*(AN28/40.3)/((AN28/40.3)+(AL28/71.85))</f>
        <v>68.050535259754483</v>
      </c>
      <c r="AI28" s="9">
        <v>49.962581757485175</v>
      </c>
      <c r="AJ28" s="9">
        <v>1.9229529433614809</v>
      </c>
      <c r="AK28" s="9">
        <v>11.269188143496546</v>
      </c>
      <c r="AL28" s="9">
        <v>11.386858381139481</v>
      </c>
      <c r="AM28" s="9">
        <v>0.1498535505025422</v>
      </c>
      <c r="AN28" s="9">
        <v>13.603484054344872</v>
      </c>
      <c r="AO28" s="9">
        <v>9.4578710666168249</v>
      </c>
      <c r="AP28" s="9">
        <v>1.6312916705712985</v>
      </c>
      <c r="AQ28" s="9">
        <v>0.27355815930665422</v>
      </c>
      <c r="AR28" s="9">
        <v>0.16996812103979619</v>
      </c>
      <c r="AS28" s="6" t="s">
        <v>64</v>
      </c>
      <c r="AT28" s="6">
        <v>1538.9324291517323</v>
      </c>
      <c r="AU28" s="9">
        <v>96.447000000000003</v>
      </c>
      <c r="AV28" s="8">
        <f t="shared" si="30"/>
        <v>2.2780215386911848</v>
      </c>
      <c r="AW28" s="9">
        <f t="shared" si="31"/>
        <v>9.3372238725343752</v>
      </c>
      <c r="AX28" s="8">
        <v>0.41566189694268518</v>
      </c>
      <c r="AY28" s="789">
        <v>2.0783094847134261E-2</v>
      </c>
      <c r="AZ28" s="6">
        <v>183.9354132457581</v>
      </c>
      <c r="BA28" s="48">
        <v>18.393541324575811</v>
      </c>
      <c r="BB28" s="6" t="s">
        <v>151</v>
      </c>
      <c r="BC28" s="48" t="s">
        <v>151</v>
      </c>
      <c r="BD28" s="849">
        <v>183.9354132457581</v>
      </c>
      <c r="BE28" s="48">
        <v>18.393541324575811</v>
      </c>
      <c r="BF28" s="668">
        <v>427.81860575186039</v>
      </c>
      <c r="BG28" s="48">
        <v>39.764521119115898</v>
      </c>
      <c r="BH28" s="48">
        <v>40.015220514299983</v>
      </c>
      <c r="BI28" s="850">
        <f t="shared" si="32"/>
        <v>1.8260442976226203</v>
      </c>
      <c r="BJ28" s="789">
        <f t="shared" si="33"/>
        <v>0.16220594501649455</v>
      </c>
      <c r="BK28" s="563" t="s">
        <v>64</v>
      </c>
      <c r="BL28" s="48" t="s">
        <v>64</v>
      </c>
      <c r="BM28" s="48" t="s">
        <v>64</v>
      </c>
      <c r="BN28" s="850" t="str">
        <f t="shared" si="34"/>
        <v>-</v>
      </c>
      <c r="BO28" s="789" t="str">
        <f t="shared" si="35"/>
        <v>-</v>
      </c>
      <c r="BP28" s="789" t="str">
        <f t="shared" si="36"/>
        <v>-</v>
      </c>
      <c r="BQ28" s="34" t="s">
        <v>64</v>
      </c>
      <c r="BR28" s="25">
        <v>2.7007672314427449</v>
      </c>
      <c r="BS28" s="26">
        <v>2.9833709822967061</v>
      </c>
      <c r="BT28" s="603"/>
      <c r="BU28" s="599">
        <v>0.13632585494569269</v>
      </c>
      <c r="BV28" s="851">
        <v>2.3280524056888227E-2</v>
      </c>
      <c r="BW28" s="851">
        <v>5.2535898372809704E-2</v>
      </c>
      <c r="BX28" s="851">
        <v>0.12389785367013026</v>
      </c>
      <c r="BY28" s="851">
        <v>5.2947096208926124E-3</v>
      </c>
      <c r="BZ28" s="851">
        <v>3.5725546824373636E-2</v>
      </c>
      <c r="CA28" s="851">
        <v>1.9460670758516589E-2</v>
      </c>
      <c r="CB28" s="851">
        <v>2.3224422502130453E-2</v>
      </c>
      <c r="CC28" s="851">
        <v>7.5030344795447238E-3</v>
      </c>
      <c r="CD28" s="851">
        <v>4.7759961271488576E-3</v>
      </c>
      <c r="CE28" s="852" t="s">
        <v>64</v>
      </c>
      <c r="CF28" s="852">
        <v>28.903462321759349</v>
      </c>
      <c r="CG28" s="603"/>
      <c r="CH28" s="584">
        <v>48.79</v>
      </c>
      <c r="CI28" s="576">
        <v>1.9670000000000001</v>
      </c>
      <c r="CJ28" s="576">
        <v>11.573</v>
      </c>
      <c r="CK28" s="576">
        <v>10.964</v>
      </c>
      <c r="CL28" s="576">
        <v>0.14899999999999999</v>
      </c>
      <c r="CM28" s="576">
        <v>11.025</v>
      </c>
      <c r="CN28" s="576">
        <v>9.6890000000000001</v>
      </c>
      <c r="CO28" s="576">
        <v>1.675</v>
      </c>
      <c r="CP28" s="576">
        <v>0.28199999999999997</v>
      </c>
      <c r="CQ28" s="576">
        <v>0.17599999999999999</v>
      </c>
      <c r="CR28" s="857" t="s">
        <v>64</v>
      </c>
      <c r="CS28" s="793">
        <v>1570</v>
      </c>
      <c r="CT28" s="576">
        <f t="shared" si="37"/>
        <v>96.447000000000003</v>
      </c>
      <c r="CU28" s="576">
        <v>0.41566189694268518</v>
      </c>
      <c r="CV28" s="591">
        <v>195.67597153804053</v>
      </c>
      <c r="CW28" s="603"/>
      <c r="CX28" s="936">
        <v>413.06832143444512</v>
      </c>
      <c r="CY28" s="934">
        <v>39.432592307217362</v>
      </c>
      <c r="CZ28" s="934">
        <v>39.507623479854715</v>
      </c>
      <c r="DA28" s="938">
        <f t="shared" si="38"/>
        <v>1.7657870068675523</v>
      </c>
      <c r="DB28" s="936">
        <v>311.8234017377597</v>
      </c>
      <c r="DC28" s="934">
        <v>26.944570278628305</v>
      </c>
      <c r="DD28" s="934">
        <v>27.298958092292196</v>
      </c>
      <c r="DE28" s="939">
        <f t="shared" si="39"/>
        <v>1.3472297750482107</v>
      </c>
      <c r="DF28" s="9"/>
    </row>
    <row r="29" spans="1:110">
      <c r="A29" s="846" t="s">
        <v>22</v>
      </c>
      <c r="B29" s="41" t="s">
        <v>1480</v>
      </c>
      <c r="C29" s="41" t="s">
        <v>1482</v>
      </c>
      <c r="D29" s="34">
        <v>1790</v>
      </c>
      <c r="E29" s="535">
        <v>19.405619999999999</v>
      </c>
      <c r="F29" s="537">
        <v>-155.29281800000001</v>
      </c>
      <c r="G29" s="37" t="s">
        <v>405</v>
      </c>
      <c r="H29" s="37" t="s">
        <v>64</v>
      </c>
      <c r="I29" s="202" t="s">
        <v>779</v>
      </c>
      <c r="J29" t="s">
        <v>884</v>
      </c>
      <c r="K29" s="34">
        <v>2001</v>
      </c>
      <c r="L29" s="51">
        <v>140</v>
      </c>
      <c r="M29" s="52">
        <v>60</v>
      </c>
      <c r="N29" s="838">
        <f t="shared" si="22"/>
        <v>439810.00000000006</v>
      </c>
      <c r="O29" s="54">
        <v>422652.71532119502</v>
      </c>
      <c r="P29" s="53">
        <v>32</v>
      </c>
      <c r="Q29" s="54">
        <v>17157.284678805056</v>
      </c>
      <c r="R29" s="772">
        <f t="shared" si="23"/>
        <v>3.9010674333928408E-2</v>
      </c>
      <c r="S29" s="624" t="s">
        <v>83</v>
      </c>
      <c r="T29" s="37" t="s">
        <v>132</v>
      </c>
      <c r="U29" s="21">
        <v>89.4</v>
      </c>
      <c r="V29" s="552">
        <v>0.65200000000000002</v>
      </c>
      <c r="W29" s="847">
        <v>0.625</v>
      </c>
      <c r="X29" s="556" t="s">
        <v>423</v>
      </c>
      <c r="Y29" s="784" t="s">
        <v>64</v>
      </c>
      <c r="Z29" s="784" t="s">
        <v>64</v>
      </c>
      <c r="AA29" s="785" t="s">
        <v>64</v>
      </c>
      <c r="AB29" s="32">
        <f t="shared" si="24"/>
        <v>1278.8711267149599</v>
      </c>
      <c r="AC29" s="6">
        <f t="shared" si="25"/>
        <v>1178.2773</v>
      </c>
      <c r="AD29" s="6">
        <f t="shared" si="26"/>
        <v>100.59382671495996</v>
      </c>
      <c r="AE29" s="6">
        <f t="shared" si="27"/>
        <v>1287.8982837600051</v>
      </c>
      <c r="AF29" s="839">
        <v>0.875</v>
      </c>
      <c r="AG29" s="553">
        <f t="shared" si="28"/>
        <v>0.14285714285714279</v>
      </c>
      <c r="AH29" s="32">
        <f>100*(AN29/40.3)/((AN29/40.3)+(AL29/71.85))</f>
        <v>67.955056179775283</v>
      </c>
      <c r="AI29" s="9">
        <v>49.554025169987504</v>
      </c>
      <c r="AJ29" s="9">
        <v>2.0756033839489865</v>
      </c>
      <c r="AK29" s="9">
        <v>11.642083515492935</v>
      </c>
      <c r="AL29" s="9">
        <v>11.078935310545535</v>
      </c>
      <c r="AM29" s="9">
        <v>0.15687699994963272</v>
      </c>
      <c r="AN29" s="9">
        <v>13.177667995769147</v>
      </c>
      <c r="AO29" s="9">
        <v>9.7655932468646363</v>
      </c>
      <c r="AP29" s="9">
        <v>1.8081079865989718</v>
      </c>
      <c r="AQ29" s="9">
        <v>0.3419114101466354</v>
      </c>
      <c r="AR29" s="9">
        <v>0.25442231402087867</v>
      </c>
      <c r="AS29" s="6" t="s">
        <v>64</v>
      </c>
      <c r="AT29" s="6">
        <v>1375.0606774681867</v>
      </c>
      <c r="AU29" s="9">
        <v>99.186500000000009</v>
      </c>
      <c r="AV29" s="8">
        <f t="shared" si="30"/>
        <v>2.2164193510118522</v>
      </c>
      <c r="AW29" s="9">
        <f t="shared" si="31"/>
        <v>9.0847269546473388</v>
      </c>
      <c r="AX29" s="8">
        <v>0.53009744438315864</v>
      </c>
      <c r="AY29" s="789">
        <v>2.6504872219157934E-2</v>
      </c>
      <c r="AZ29" s="6">
        <v>72.25975975975976</v>
      </c>
      <c r="BA29" s="48">
        <v>7.2259759759759765</v>
      </c>
      <c r="BB29" s="6" t="s">
        <v>64</v>
      </c>
      <c r="BC29" s="48" t="s">
        <v>64</v>
      </c>
      <c r="BD29" s="849" t="s">
        <v>1007</v>
      </c>
      <c r="BE29" s="48" t="s">
        <v>1007</v>
      </c>
      <c r="BF29" s="668" t="s">
        <v>1007</v>
      </c>
      <c r="BG29" s="48" t="s">
        <v>64</v>
      </c>
      <c r="BH29" s="48" t="s">
        <v>64</v>
      </c>
      <c r="BI29" s="850" t="str">
        <f t="shared" si="32"/>
        <v>-</v>
      </c>
      <c r="BJ29" s="789" t="str">
        <f t="shared" si="33"/>
        <v>-</v>
      </c>
      <c r="BK29" s="563" t="s">
        <v>64</v>
      </c>
      <c r="BL29" s="48" t="s">
        <v>64</v>
      </c>
      <c r="BM29" s="48" t="s">
        <v>64</v>
      </c>
      <c r="BN29" s="850" t="str">
        <f t="shared" si="34"/>
        <v>-</v>
      </c>
      <c r="BO29" s="789" t="str">
        <f t="shared" si="35"/>
        <v>-</v>
      </c>
      <c r="BP29" s="789" t="str">
        <f t="shared" si="36"/>
        <v>-</v>
      </c>
      <c r="BQ29" s="34" t="s">
        <v>64</v>
      </c>
      <c r="BR29" s="25">
        <v>2.6902718561652561</v>
      </c>
      <c r="BS29" s="26">
        <v>2.9444395232379641</v>
      </c>
      <c r="BT29" s="603"/>
      <c r="BU29" s="599">
        <v>0.13521108416874078</v>
      </c>
      <c r="BV29" s="851">
        <v>2.5128609974258469E-2</v>
      </c>
      <c r="BW29" s="851">
        <v>5.4274301629321044E-2</v>
      </c>
      <c r="BX29" s="851">
        <v>0.12054741176024431</v>
      </c>
      <c r="BY29" s="851">
        <v>5.5428660725392633E-3</v>
      </c>
      <c r="BZ29" s="851">
        <v>3.460726628106249E-2</v>
      </c>
      <c r="CA29" s="851">
        <v>2.0093844967883103E-2</v>
      </c>
      <c r="CB29" s="851">
        <v>2.5741726368004283E-2</v>
      </c>
      <c r="CC29" s="851">
        <v>9.3777977808522303E-3</v>
      </c>
      <c r="CD29" s="851">
        <v>7.149105249798342E-3</v>
      </c>
      <c r="CE29" s="852" t="s">
        <v>64</v>
      </c>
      <c r="CF29" s="852">
        <v>25.825704708322853</v>
      </c>
      <c r="CG29" s="603"/>
      <c r="CH29" s="584">
        <v>50.456000000000003</v>
      </c>
      <c r="CI29" s="576">
        <v>2.3254999999999999</v>
      </c>
      <c r="CJ29" s="576">
        <v>13.204000000000001</v>
      </c>
      <c r="CK29" s="576">
        <v>10.9595</v>
      </c>
      <c r="CL29" s="576">
        <v>0.1555</v>
      </c>
      <c r="CM29" s="576">
        <v>8.1729999999999983</v>
      </c>
      <c r="CN29" s="576">
        <v>11.038</v>
      </c>
      <c r="CO29" s="576">
        <v>2.0474999999999999</v>
      </c>
      <c r="CP29" s="576">
        <v>0.38500000000000001</v>
      </c>
      <c r="CQ29" s="576">
        <v>0.28749999999999998</v>
      </c>
      <c r="CR29" s="857" t="s">
        <v>64</v>
      </c>
      <c r="CS29" s="793">
        <v>1550</v>
      </c>
      <c r="CT29" s="576">
        <f t="shared" si="37"/>
        <v>99.186500000000009</v>
      </c>
      <c r="CU29" s="576">
        <v>0.53009744438315864</v>
      </c>
      <c r="CV29" s="591">
        <v>82.582582582582575</v>
      </c>
      <c r="CW29" s="603"/>
      <c r="CX29" s="936" t="s">
        <v>1007</v>
      </c>
      <c r="CY29" s="934" t="s">
        <v>64</v>
      </c>
      <c r="CZ29" s="934" t="s">
        <v>64</v>
      </c>
      <c r="DA29" s="938" t="str">
        <f t="shared" si="38"/>
        <v>-</v>
      </c>
      <c r="DB29" s="936" t="s">
        <v>1007</v>
      </c>
      <c r="DC29" s="934" t="s">
        <v>64</v>
      </c>
      <c r="DD29" s="934" t="s">
        <v>64</v>
      </c>
      <c r="DE29" s="939" t="str">
        <f t="shared" si="39"/>
        <v>-</v>
      </c>
      <c r="DF29" s="9"/>
    </row>
    <row r="30" spans="1:110">
      <c r="A30" s="846" t="s">
        <v>19</v>
      </c>
      <c r="B30" s="41" t="s">
        <v>1480</v>
      </c>
      <c r="C30" s="41" t="s">
        <v>1482</v>
      </c>
      <c r="D30" s="34">
        <v>1790</v>
      </c>
      <c r="E30" s="535">
        <v>19.405619999999999</v>
      </c>
      <c r="F30" s="537">
        <v>-155.29281800000001</v>
      </c>
      <c r="G30" s="37" t="s">
        <v>405</v>
      </c>
      <c r="H30" s="37" t="s">
        <v>64</v>
      </c>
      <c r="I30" s="202" t="s">
        <v>779</v>
      </c>
      <c r="J30" t="s">
        <v>884</v>
      </c>
      <c r="K30" s="34">
        <v>2001</v>
      </c>
      <c r="L30" s="51">
        <v>150</v>
      </c>
      <c r="M30" s="52">
        <v>120</v>
      </c>
      <c r="N30" s="838">
        <f t="shared" si="22"/>
        <v>1272307.5000000002</v>
      </c>
      <c r="O30" s="54">
        <v>1214401.6642090331</v>
      </c>
      <c r="P30" s="53">
        <v>48</v>
      </c>
      <c r="Q30" s="54">
        <v>57905.835790967059</v>
      </c>
      <c r="R30" s="772">
        <f t="shared" si="23"/>
        <v>4.5512453389583138E-2</v>
      </c>
      <c r="S30" s="624" t="s">
        <v>80</v>
      </c>
      <c r="T30" s="37" t="s">
        <v>132</v>
      </c>
      <c r="U30" s="21">
        <v>89.5</v>
      </c>
      <c r="V30" s="552">
        <v>0.9</v>
      </c>
      <c r="W30" s="847">
        <v>0.67500000000000004</v>
      </c>
      <c r="X30" s="556" t="s">
        <v>423</v>
      </c>
      <c r="Y30" s="784" t="s">
        <v>64</v>
      </c>
      <c r="Z30" s="784" t="s">
        <v>64</v>
      </c>
      <c r="AA30" s="785" t="s">
        <v>64</v>
      </c>
      <c r="AB30" s="32">
        <f t="shared" si="24"/>
        <v>1291.6283570970261</v>
      </c>
      <c r="AC30" s="6">
        <f t="shared" si="25"/>
        <v>1180.1365499999999</v>
      </c>
      <c r="AD30" s="6">
        <f t="shared" si="26"/>
        <v>111.49180709702614</v>
      </c>
      <c r="AE30" s="6">
        <f t="shared" si="27"/>
        <v>1290.2729637500015</v>
      </c>
      <c r="AF30" s="839">
        <v>0.86099999999999999</v>
      </c>
      <c r="AG30" s="553">
        <f t="shared" si="28"/>
        <v>0.16144018583042974</v>
      </c>
      <c r="AH30" s="32">
        <f t="shared" si="29"/>
        <v>68.21029554998141</v>
      </c>
      <c r="AI30" s="9">
        <v>49.308290726813389</v>
      </c>
      <c r="AJ30" s="9">
        <v>1.9753489645581133</v>
      </c>
      <c r="AK30" s="9">
        <v>11.27377115261298</v>
      </c>
      <c r="AL30" s="9">
        <v>11.476938408641869</v>
      </c>
      <c r="AM30" s="9">
        <v>0.17399967966830629</v>
      </c>
      <c r="AN30" s="9">
        <v>13.812356074478908</v>
      </c>
      <c r="AO30" s="9">
        <v>9.5709881602520408</v>
      </c>
      <c r="AP30" s="9">
        <v>1.7450256891590257</v>
      </c>
      <c r="AQ30" s="9">
        <v>0.36308603676450046</v>
      </c>
      <c r="AR30" s="9">
        <v>0.17299390117311378</v>
      </c>
      <c r="AS30" s="6">
        <v>113.86344388277433</v>
      </c>
      <c r="AT30" s="6">
        <v>1051.0471743025323</v>
      </c>
      <c r="AU30" s="9">
        <v>98.87</v>
      </c>
      <c r="AV30" s="8">
        <f t="shared" si="30"/>
        <v>2.2960426851731874</v>
      </c>
      <c r="AW30" s="9">
        <f t="shared" si="31"/>
        <v>9.4110894950863333</v>
      </c>
      <c r="AX30" s="8">
        <v>0.58227891156462586</v>
      </c>
      <c r="AY30" s="789">
        <v>2.9113945578231295E-2</v>
      </c>
      <c r="AZ30" s="6">
        <v>106.48611111111113</v>
      </c>
      <c r="BA30" s="48">
        <v>10.648611111111114</v>
      </c>
      <c r="BB30" s="6" t="s">
        <v>64</v>
      </c>
      <c r="BC30" s="48" t="s">
        <v>64</v>
      </c>
      <c r="BD30" s="849" t="s">
        <v>1007</v>
      </c>
      <c r="BE30" s="48" t="s">
        <v>1007</v>
      </c>
      <c r="BF30" s="668" t="s">
        <v>1007</v>
      </c>
      <c r="BG30" s="48" t="s">
        <v>64</v>
      </c>
      <c r="BH30" s="48" t="s">
        <v>64</v>
      </c>
      <c r="BI30" s="850" t="str">
        <f t="shared" si="32"/>
        <v>-</v>
      </c>
      <c r="BJ30" s="789" t="str">
        <f t="shared" si="33"/>
        <v>-</v>
      </c>
      <c r="BK30" s="563" t="s">
        <v>64</v>
      </c>
      <c r="BL30" s="48" t="s">
        <v>64</v>
      </c>
      <c r="BM30" s="48" t="s">
        <v>64</v>
      </c>
      <c r="BN30" s="850" t="str">
        <f t="shared" si="34"/>
        <v>-</v>
      </c>
      <c r="BO30" s="789" t="str">
        <f t="shared" si="35"/>
        <v>-</v>
      </c>
      <c r="BP30" s="789" t="str">
        <f t="shared" si="36"/>
        <v>-</v>
      </c>
      <c r="BQ30" s="34" t="s">
        <v>64</v>
      </c>
      <c r="BR30" s="25">
        <v>2.6928785774240889</v>
      </c>
      <c r="BS30" s="26">
        <v>2.950987143434594</v>
      </c>
      <c r="BT30" s="603"/>
      <c r="BU30" s="599">
        <v>0.13454058322829857</v>
      </c>
      <c r="BV30" s="851">
        <v>2.3914864505085103E-2</v>
      </c>
      <c r="BW30" s="851">
        <v>5.2557263931545327E-2</v>
      </c>
      <c r="BX30" s="851">
        <v>0.1248779942578606</v>
      </c>
      <c r="BY30" s="851">
        <v>6.1478541875214683E-3</v>
      </c>
      <c r="BZ30" s="851">
        <v>3.6274087705944098E-2</v>
      </c>
      <c r="CA30" s="851">
        <v>1.9693422347208171E-2</v>
      </c>
      <c r="CB30" s="851">
        <v>2.4843634411440014E-2</v>
      </c>
      <c r="CC30" s="851">
        <v>9.958566250738125E-3</v>
      </c>
      <c r="CD30" s="851">
        <v>4.8610186249556384E-3</v>
      </c>
      <c r="CE30" s="852">
        <v>17.476893126793065</v>
      </c>
      <c r="CF30" s="852">
        <v>19.740244487270886</v>
      </c>
      <c r="CG30" s="603"/>
      <c r="CH30" s="584">
        <v>50.192</v>
      </c>
      <c r="CI30" s="576">
        <v>2.2400000000000002</v>
      </c>
      <c r="CJ30" s="576">
        <v>12.952</v>
      </c>
      <c r="CK30" s="576">
        <v>11.331</v>
      </c>
      <c r="CL30" s="576">
        <v>0.18049999999999999</v>
      </c>
      <c r="CM30" s="576">
        <v>8.2654999999999994</v>
      </c>
      <c r="CN30" s="576">
        <v>10.952</v>
      </c>
      <c r="CO30" s="576">
        <v>2.0015000000000001</v>
      </c>
      <c r="CP30" s="576">
        <v>0.42049999999999998</v>
      </c>
      <c r="CQ30" s="576">
        <v>0.20200000000000001</v>
      </c>
      <c r="CR30" s="792">
        <v>1.2999999999999999E-2</v>
      </c>
      <c r="CS30" s="793">
        <v>1200</v>
      </c>
      <c r="CT30" s="576">
        <f t="shared" si="37"/>
        <v>98.87</v>
      </c>
      <c r="CU30" s="576">
        <v>0.58227891156462586</v>
      </c>
      <c r="CV30" s="591">
        <v>123.6772486772487</v>
      </c>
      <c r="CW30" s="603"/>
      <c r="CX30" s="936" t="s">
        <v>1007</v>
      </c>
      <c r="CY30" s="934" t="s">
        <v>64</v>
      </c>
      <c r="CZ30" s="934" t="s">
        <v>64</v>
      </c>
      <c r="DA30" s="938" t="str">
        <f t="shared" si="38"/>
        <v>-</v>
      </c>
      <c r="DB30" s="936" t="s">
        <v>1007</v>
      </c>
      <c r="DC30" s="934" t="s">
        <v>64</v>
      </c>
      <c r="DD30" s="934" t="s">
        <v>64</v>
      </c>
      <c r="DE30" s="939" t="str">
        <f t="shared" si="39"/>
        <v>-</v>
      </c>
      <c r="DF30" s="9"/>
    </row>
    <row r="31" spans="1:110">
      <c r="A31" s="846" t="s">
        <v>20</v>
      </c>
      <c r="B31" s="41" t="s">
        <v>1480</v>
      </c>
      <c r="C31" s="41" t="s">
        <v>1482</v>
      </c>
      <c r="D31" s="34">
        <v>1790</v>
      </c>
      <c r="E31" s="535">
        <v>19.405619999999999</v>
      </c>
      <c r="F31" s="537">
        <v>-155.29281800000001</v>
      </c>
      <c r="G31" s="37" t="s">
        <v>405</v>
      </c>
      <c r="H31" s="37" t="s">
        <v>64</v>
      </c>
      <c r="I31" s="202" t="s">
        <v>779</v>
      </c>
      <c r="J31" t="s">
        <v>884</v>
      </c>
      <c r="K31" s="34">
        <v>2001</v>
      </c>
      <c r="L31" s="51">
        <v>165</v>
      </c>
      <c r="M31" s="52">
        <v>140</v>
      </c>
      <c r="N31" s="838">
        <f t="shared" si="22"/>
        <v>1844453.1875000002</v>
      </c>
      <c r="O31" s="54">
        <v>1810942.8658617092</v>
      </c>
      <c r="P31" s="53">
        <v>40</v>
      </c>
      <c r="Q31" s="54">
        <v>33510.32163829112</v>
      </c>
      <c r="R31" s="772">
        <f t="shared" si="23"/>
        <v>1.8168160550451007E-2</v>
      </c>
      <c r="S31" s="624" t="s">
        <v>80</v>
      </c>
      <c r="T31" s="37" t="s">
        <v>132</v>
      </c>
      <c r="U31" s="21">
        <v>89.5</v>
      </c>
      <c r="V31" s="552">
        <v>0.9</v>
      </c>
      <c r="W31" s="847">
        <v>0.67500000000000004</v>
      </c>
      <c r="X31" s="556" t="s">
        <v>423</v>
      </c>
      <c r="Y31" s="784" t="s">
        <v>64</v>
      </c>
      <c r="Z31" s="784" t="s">
        <v>64</v>
      </c>
      <c r="AA31" s="785" t="s">
        <v>64</v>
      </c>
      <c r="AB31" s="32">
        <f t="shared" si="24"/>
        <v>1288.3665839101257</v>
      </c>
      <c r="AC31" s="6">
        <f t="shared" si="25"/>
        <v>1176.3878999999999</v>
      </c>
      <c r="AD31" s="6">
        <f t="shared" si="26"/>
        <v>111.97868391012571</v>
      </c>
      <c r="AE31" s="6">
        <f t="shared" si="27"/>
        <v>1290.2729637500015</v>
      </c>
      <c r="AF31" s="839">
        <v>0.86099999999999999</v>
      </c>
      <c r="AG31" s="553">
        <f t="shared" si="28"/>
        <v>0.16144018583042974</v>
      </c>
      <c r="AH31" s="32">
        <f t="shared" si="29"/>
        <v>68.204630105367755</v>
      </c>
      <c r="AI31" s="9">
        <v>49.197808514648237</v>
      </c>
      <c r="AJ31" s="9">
        <v>2.053596177164998</v>
      </c>
      <c r="AK31" s="9">
        <v>11.449653514702989</v>
      </c>
      <c r="AL31" s="9">
        <v>11.345062916061872</v>
      </c>
      <c r="AM31" s="9">
        <v>0.16493132862637594</v>
      </c>
      <c r="AN31" s="9">
        <v>13.650078801498786</v>
      </c>
      <c r="AO31" s="9">
        <v>9.6595451918069557</v>
      </c>
      <c r="AP31" s="9">
        <v>1.7629549944026646</v>
      </c>
      <c r="AQ31" s="9">
        <v>0.35399894924685565</v>
      </c>
      <c r="AR31" s="9">
        <v>0.22426637977854777</v>
      </c>
      <c r="AS31" s="6">
        <v>113.85043393445184</v>
      </c>
      <c r="AT31" s="6">
        <v>1204.1872819990101</v>
      </c>
      <c r="AU31" s="9">
        <v>98.871500000000012</v>
      </c>
      <c r="AV31" s="8">
        <f t="shared" si="30"/>
        <v>2.2696600603554127</v>
      </c>
      <c r="AW31" s="9">
        <f t="shared" si="31"/>
        <v>9.3029515911707357</v>
      </c>
      <c r="AX31" s="8">
        <v>0.62484315948601665</v>
      </c>
      <c r="AY31" s="789">
        <v>3.1242157974300834E-2</v>
      </c>
      <c r="AZ31" s="6">
        <v>62.638888888888893</v>
      </c>
      <c r="BA31" s="48">
        <v>6.2638888888888893</v>
      </c>
      <c r="BB31" s="6" t="s">
        <v>64</v>
      </c>
      <c r="BC31" s="48" t="s">
        <v>64</v>
      </c>
      <c r="BD31" s="849" t="s">
        <v>1007</v>
      </c>
      <c r="BE31" s="48" t="s">
        <v>1007</v>
      </c>
      <c r="BF31" s="668" t="s">
        <v>1007</v>
      </c>
      <c r="BG31" s="48" t="s">
        <v>64</v>
      </c>
      <c r="BH31" s="48" t="s">
        <v>64</v>
      </c>
      <c r="BI31" s="850" t="str">
        <f t="shared" si="32"/>
        <v>-</v>
      </c>
      <c r="BJ31" s="789" t="str">
        <f t="shared" si="33"/>
        <v>-</v>
      </c>
      <c r="BK31" s="563" t="s">
        <v>64</v>
      </c>
      <c r="BL31" s="48" t="s">
        <v>64</v>
      </c>
      <c r="BM31" s="48" t="s">
        <v>64</v>
      </c>
      <c r="BN31" s="850" t="str">
        <f t="shared" si="34"/>
        <v>-</v>
      </c>
      <c r="BO31" s="789" t="str">
        <f t="shared" si="35"/>
        <v>-</v>
      </c>
      <c r="BP31" s="789" t="str">
        <f t="shared" si="36"/>
        <v>-</v>
      </c>
      <c r="BQ31" s="34" t="s">
        <v>64</v>
      </c>
      <c r="BR31" s="25">
        <v>2.6889430320850791</v>
      </c>
      <c r="BS31" s="26">
        <v>2.947992073253475</v>
      </c>
      <c r="BT31" s="603"/>
      <c r="BU31" s="599">
        <v>0.13423912598770171</v>
      </c>
      <c r="BV31" s="851">
        <v>2.4862176357810246E-2</v>
      </c>
      <c r="BW31" s="851">
        <v>5.3377211010489339E-2</v>
      </c>
      <c r="BX31" s="851">
        <v>0.12344308658311372</v>
      </c>
      <c r="BY31" s="851">
        <v>5.8274461268093825E-3</v>
      </c>
      <c r="BZ31" s="851">
        <v>3.58479142130931E-2</v>
      </c>
      <c r="CA31" s="851">
        <v>1.9875638749007593E-2</v>
      </c>
      <c r="CB31" s="851">
        <v>2.5098890885594697E-2</v>
      </c>
      <c r="CC31" s="851">
        <v>9.7093295577572354E-3</v>
      </c>
      <c r="CD31" s="851">
        <v>6.3017426722111825E-3</v>
      </c>
      <c r="CE31" s="852">
        <v>17.474896230610554</v>
      </c>
      <c r="CF31" s="852">
        <v>22.616445708915883</v>
      </c>
      <c r="CG31" s="603"/>
      <c r="CH31" s="584">
        <v>50.048000000000002</v>
      </c>
      <c r="CI31" s="576">
        <v>2.3345000000000002</v>
      </c>
      <c r="CJ31" s="576">
        <v>13.156000000000001</v>
      </c>
      <c r="CK31" s="576">
        <v>11.1935</v>
      </c>
      <c r="CL31" s="576">
        <v>0.16599999999999998</v>
      </c>
      <c r="CM31" s="576">
        <v>8.0790000000000006</v>
      </c>
      <c r="CN31" s="576">
        <v>11.044</v>
      </c>
      <c r="CO31" s="576">
        <v>2.0285000000000002</v>
      </c>
      <c r="CP31" s="576">
        <v>0.40900000000000003</v>
      </c>
      <c r="CQ31" s="576">
        <v>0.26250000000000001</v>
      </c>
      <c r="CR31" s="792">
        <v>1.2999999999999999E-2</v>
      </c>
      <c r="CS31" s="793">
        <v>1375</v>
      </c>
      <c r="CT31" s="576">
        <f t="shared" si="37"/>
        <v>98.871500000000012</v>
      </c>
      <c r="CU31" s="576">
        <v>0.62484315948601665</v>
      </c>
      <c r="CV31" s="591">
        <v>72.75132275132276</v>
      </c>
      <c r="CW31" s="603"/>
      <c r="CX31" s="936" t="s">
        <v>1007</v>
      </c>
      <c r="CY31" s="934" t="s">
        <v>64</v>
      </c>
      <c r="CZ31" s="934" t="s">
        <v>64</v>
      </c>
      <c r="DA31" s="938" t="str">
        <f t="shared" si="38"/>
        <v>-</v>
      </c>
      <c r="DB31" s="936" t="s">
        <v>1007</v>
      </c>
      <c r="DC31" s="934" t="s">
        <v>64</v>
      </c>
      <c r="DD31" s="934" t="s">
        <v>64</v>
      </c>
      <c r="DE31" s="939" t="str">
        <f t="shared" si="39"/>
        <v>-</v>
      </c>
      <c r="DF31" s="9"/>
    </row>
    <row r="32" spans="1:110">
      <c r="A32" s="846" t="s">
        <v>133</v>
      </c>
      <c r="B32" s="41" t="s">
        <v>1480</v>
      </c>
      <c r="C32" s="41" t="s">
        <v>1482</v>
      </c>
      <c r="D32" s="34">
        <v>1790</v>
      </c>
      <c r="E32" s="535">
        <v>19.405619999999999</v>
      </c>
      <c r="F32" s="537">
        <v>-155.29281800000001</v>
      </c>
      <c r="G32" s="37" t="s">
        <v>405</v>
      </c>
      <c r="H32" s="37" t="s">
        <v>64</v>
      </c>
      <c r="I32" s="202" t="s">
        <v>779</v>
      </c>
      <c r="J32" t="s">
        <v>876</v>
      </c>
      <c r="K32" s="34">
        <v>2001</v>
      </c>
      <c r="L32" s="51">
        <v>145</v>
      </c>
      <c r="M32" s="52">
        <v>58</v>
      </c>
      <c r="N32" s="838">
        <f t="shared" si="22"/>
        <v>446938.58708333346</v>
      </c>
      <c r="O32" s="54">
        <v>446938.58708333346</v>
      </c>
      <c r="P32" s="53" t="s">
        <v>151</v>
      </c>
      <c r="Q32" s="54" t="s">
        <v>151</v>
      </c>
      <c r="R32" s="772">
        <f t="shared" si="23"/>
        <v>0</v>
      </c>
      <c r="S32" s="33" t="s">
        <v>64</v>
      </c>
      <c r="T32" s="37" t="s">
        <v>132</v>
      </c>
      <c r="U32" s="853" t="s">
        <v>64</v>
      </c>
      <c r="V32" s="552">
        <v>0.81</v>
      </c>
      <c r="W32" s="847">
        <v>0.245</v>
      </c>
      <c r="X32" s="556" t="s">
        <v>64</v>
      </c>
      <c r="Y32" s="784" t="s">
        <v>64</v>
      </c>
      <c r="Z32" s="784" t="s">
        <v>64</v>
      </c>
      <c r="AA32" s="785" t="s">
        <v>64</v>
      </c>
      <c r="AB32" s="32" t="str">
        <f t="shared" si="24"/>
        <v>-</v>
      </c>
      <c r="AC32" s="6" t="str">
        <f t="shared" si="25"/>
        <v>-</v>
      </c>
      <c r="AD32" s="6" t="str">
        <f t="shared" si="26"/>
        <v>-</v>
      </c>
      <c r="AE32" s="6" t="str">
        <f t="shared" si="27"/>
        <v>-</v>
      </c>
      <c r="AF32" s="839" t="s">
        <v>64</v>
      </c>
      <c r="AG32" s="553" t="str">
        <f t="shared" si="28"/>
        <v>-</v>
      </c>
      <c r="AH32" s="32" t="s">
        <v>64</v>
      </c>
      <c r="AI32" s="9" t="s">
        <v>64</v>
      </c>
      <c r="AJ32" s="9" t="s">
        <v>64</v>
      </c>
      <c r="AK32" s="9" t="s">
        <v>64</v>
      </c>
      <c r="AL32" s="9" t="s">
        <v>64</v>
      </c>
      <c r="AM32" s="9" t="s">
        <v>64</v>
      </c>
      <c r="AN32" s="9" t="s">
        <v>64</v>
      </c>
      <c r="AO32" s="9" t="s">
        <v>64</v>
      </c>
      <c r="AP32" s="9" t="s">
        <v>64</v>
      </c>
      <c r="AQ32" s="9" t="s">
        <v>64</v>
      </c>
      <c r="AR32" s="9" t="s">
        <v>64</v>
      </c>
      <c r="AS32" s="6" t="s">
        <v>64</v>
      </c>
      <c r="AT32" s="6" t="s">
        <v>64</v>
      </c>
      <c r="AU32" s="9" t="s">
        <v>64</v>
      </c>
      <c r="AV32" s="8" t="str">
        <f t="shared" si="30"/>
        <v>-</v>
      </c>
      <c r="AW32" s="9" t="str">
        <f t="shared" si="31"/>
        <v>-</v>
      </c>
      <c r="AX32" s="8">
        <v>0.21642837926130906</v>
      </c>
      <c r="AY32" s="789">
        <v>1.0821418963065453E-2</v>
      </c>
      <c r="AZ32" s="6">
        <v>9.5418749999999992</v>
      </c>
      <c r="BA32" s="48">
        <v>0.95418749999999997</v>
      </c>
      <c r="BB32" s="6" t="s">
        <v>151</v>
      </c>
      <c r="BC32" s="48" t="s">
        <v>151</v>
      </c>
      <c r="BD32" s="849">
        <v>9.5418749999999992</v>
      </c>
      <c r="BE32" s="48">
        <v>0.95418749999999997</v>
      </c>
      <c r="BF32" s="668">
        <v>26.245277442665131</v>
      </c>
      <c r="BG32" s="48">
        <v>2.1528797599706273</v>
      </c>
      <c r="BH32" s="48">
        <v>2.1536230133625018</v>
      </c>
      <c r="BI32" s="850">
        <f t="shared" si="32"/>
        <v>0.1169726683671114</v>
      </c>
      <c r="BJ32" s="789">
        <f t="shared" si="33"/>
        <v>9.5670841765640099E-3</v>
      </c>
      <c r="BK32" s="563" t="s">
        <v>64</v>
      </c>
      <c r="BL32" s="48" t="s">
        <v>64</v>
      </c>
      <c r="BM32" s="48" t="s">
        <v>64</v>
      </c>
      <c r="BN32" s="850" t="str">
        <f t="shared" si="34"/>
        <v>-</v>
      </c>
      <c r="BO32" s="789" t="str">
        <f t="shared" si="35"/>
        <v>-</v>
      </c>
      <c r="BP32" s="789" t="str">
        <f t="shared" si="36"/>
        <v>-</v>
      </c>
      <c r="BQ32" s="34" t="s">
        <v>64</v>
      </c>
      <c r="BR32" s="45" t="s">
        <v>64</v>
      </c>
      <c r="BS32" s="854" t="s">
        <v>64</v>
      </c>
      <c r="BT32" s="603"/>
      <c r="BU32" s="599" t="s">
        <v>64</v>
      </c>
      <c r="BV32" s="851" t="s">
        <v>64</v>
      </c>
      <c r="BW32" s="851" t="s">
        <v>64</v>
      </c>
      <c r="BX32" s="851" t="s">
        <v>64</v>
      </c>
      <c r="BY32" s="851" t="s">
        <v>64</v>
      </c>
      <c r="BZ32" s="851" t="s">
        <v>64</v>
      </c>
      <c r="CA32" s="851" t="s">
        <v>64</v>
      </c>
      <c r="CB32" s="851" t="s">
        <v>64</v>
      </c>
      <c r="CC32" s="851" t="s">
        <v>64</v>
      </c>
      <c r="CD32" s="851" t="s">
        <v>64</v>
      </c>
      <c r="CE32" s="852" t="s">
        <v>64</v>
      </c>
      <c r="CF32" s="852" t="s">
        <v>64</v>
      </c>
      <c r="CG32" s="603"/>
      <c r="CH32" s="584" t="s">
        <v>64</v>
      </c>
      <c r="CI32" s="576" t="s">
        <v>64</v>
      </c>
      <c r="CJ32" s="576" t="s">
        <v>64</v>
      </c>
      <c r="CK32" s="576" t="s">
        <v>64</v>
      </c>
      <c r="CL32" s="576" t="s">
        <v>64</v>
      </c>
      <c r="CM32" s="576" t="s">
        <v>64</v>
      </c>
      <c r="CN32" s="576" t="s">
        <v>64</v>
      </c>
      <c r="CO32" s="576" t="s">
        <v>64</v>
      </c>
      <c r="CP32" s="576" t="s">
        <v>64</v>
      </c>
      <c r="CQ32" s="576" t="s">
        <v>64</v>
      </c>
      <c r="CR32" s="792" t="s">
        <v>64</v>
      </c>
      <c r="CS32" s="793" t="s">
        <v>64</v>
      </c>
      <c r="CT32" s="855" t="s">
        <v>64</v>
      </c>
      <c r="CU32" s="576">
        <v>0.21642837926130906</v>
      </c>
      <c r="CV32" s="591">
        <v>10</v>
      </c>
      <c r="CW32" s="603"/>
      <c r="CX32" s="936">
        <v>24.601807945972471</v>
      </c>
      <c r="CY32" s="934">
        <v>2.0778087210854999</v>
      </c>
      <c r="CZ32" s="934">
        <v>2.0779581986749207</v>
      </c>
      <c r="DA32" s="938">
        <f t="shared" si="38"/>
        <v>0.10966799133317583</v>
      </c>
      <c r="DB32" s="936">
        <v>22.947026908770869</v>
      </c>
      <c r="DC32" s="934">
        <v>1.9828459819989419</v>
      </c>
      <c r="DD32" s="934">
        <v>2.0089253161699894</v>
      </c>
      <c r="DE32" s="939">
        <f t="shared" si="39"/>
        <v>0.10231033249315699</v>
      </c>
      <c r="DF32" s="19"/>
    </row>
    <row r="33" spans="1:110">
      <c r="A33" s="846" t="s">
        <v>134</v>
      </c>
      <c r="B33" s="41" t="s">
        <v>1480</v>
      </c>
      <c r="C33" s="41" t="s">
        <v>1482</v>
      </c>
      <c r="D33" s="34">
        <v>1790</v>
      </c>
      <c r="E33" s="535">
        <v>19.405619999999999</v>
      </c>
      <c r="F33" s="537">
        <v>-155.29281800000001</v>
      </c>
      <c r="G33" s="37" t="s">
        <v>405</v>
      </c>
      <c r="H33" s="37" t="s">
        <v>64</v>
      </c>
      <c r="I33" s="202" t="s">
        <v>779</v>
      </c>
      <c r="J33" t="s">
        <v>876</v>
      </c>
      <c r="K33" s="34">
        <v>2001</v>
      </c>
      <c r="L33" s="51">
        <v>160</v>
      </c>
      <c r="M33" s="52">
        <v>130</v>
      </c>
      <c r="N33" s="838">
        <f t="shared" si="22"/>
        <v>1579127.3333333335</v>
      </c>
      <c r="O33" s="54">
        <v>1517526.4609829693</v>
      </c>
      <c r="P33" s="53">
        <v>49</v>
      </c>
      <c r="Q33" s="54">
        <v>61600.872350364261</v>
      </c>
      <c r="R33" s="772">
        <f t="shared" si="23"/>
        <v>3.9009439612657952E-2</v>
      </c>
      <c r="S33" s="33" t="s">
        <v>64</v>
      </c>
      <c r="T33" s="37" t="s">
        <v>132</v>
      </c>
      <c r="U33" s="853" t="s">
        <v>64</v>
      </c>
      <c r="V33" s="552">
        <v>0.73499999999999999</v>
      </c>
      <c r="W33" s="847">
        <v>0.5</v>
      </c>
      <c r="X33" s="556" t="s">
        <v>423</v>
      </c>
      <c r="Y33" s="784" t="s">
        <v>64</v>
      </c>
      <c r="Z33" s="784" t="s">
        <v>64</v>
      </c>
      <c r="AA33" s="785" t="s">
        <v>64</v>
      </c>
      <c r="AB33" s="32" t="str">
        <f t="shared" si="24"/>
        <v>-</v>
      </c>
      <c r="AC33" s="6" t="str">
        <f t="shared" si="25"/>
        <v>-</v>
      </c>
      <c r="AD33" s="6" t="str">
        <f t="shared" si="26"/>
        <v>-</v>
      </c>
      <c r="AE33" s="6" t="str">
        <f t="shared" si="27"/>
        <v>-</v>
      </c>
      <c r="AF33" s="839" t="s">
        <v>64</v>
      </c>
      <c r="AG33" s="553" t="str">
        <f t="shared" si="28"/>
        <v>-</v>
      </c>
      <c r="AH33" s="32" t="s">
        <v>64</v>
      </c>
      <c r="AI33" s="9" t="s">
        <v>64</v>
      </c>
      <c r="AJ33" s="9" t="s">
        <v>64</v>
      </c>
      <c r="AK33" s="9" t="s">
        <v>64</v>
      </c>
      <c r="AL33" s="9" t="s">
        <v>64</v>
      </c>
      <c r="AM33" s="9" t="s">
        <v>64</v>
      </c>
      <c r="AN33" s="9" t="s">
        <v>64</v>
      </c>
      <c r="AO33" s="9" t="s">
        <v>64</v>
      </c>
      <c r="AP33" s="9" t="s">
        <v>64</v>
      </c>
      <c r="AQ33" s="9" t="s">
        <v>64</v>
      </c>
      <c r="AR33" s="9" t="s">
        <v>64</v>
      </c>
      <c r="AS33" s="6" t="s">
        <v>64</v>
      </c>
      <c r="AT33" s="6" t="s">
        <v>64</v>
      </c>
      <c r="AU33" s="9" t="s">
        <v>64</v>
      </c>
      <c r="AV33" s="8" t="str">
        <f t="shared" si="30"/>
        <v>-</v>
      </c>
      <c r="AW33" s="9" t="str">
        <f t="shared" si="31"/>
        <v>-</v>
      </c>
      <c r="AX33" s="8">
        <v>0.34317424886621317</v>
      </c>
      <c r="AY33" s="789">
        <v>1.7158712443310659E-2</v>
      </c>
      <c r="AZ33" s="6">
        <v>19.52392578125</v>
      </c>
      <c r="BA33" s="48">
        <v>1.952392578125</v>
      </c>
      <c r="BB33" s="6" t="s">
        <v>64</v>
      </c>
      <c r="BC33" s="48" t="s">
        <v>64</v>
      </c>
      <c r="BD33" s="849" t="s">
        <v>1007</v>
      </c>
      <c r="BE33" s="48" t="s">
        <v>1007</v>
      </c>
      <c r="BF33" s="668" t="s">
        <v>1007</v>
      </c>
      <c r="BG33" s="48" t="s">
        <v>64</v>
      </c>
      <c r="BH33" s="48" t="s">
        <v>64</v>
      </c>
      <c r="BI33" s="850" t="str">
        <f t="shared" si="32"/>
        <v>-</v>
      </c>
      <c r="BJ33" s="789" t="str">
        <f t="shared" si="33"/>
        <v>-</v>
      </c>
      <c r="BK33" s="563" t="s">
        <v>64</v>
      </c>
      <c r="BL33" s="48" t="s">
        <v>64</v>
      </c>
      <c r="BM33" s="48" t="s">
        <v>64</v>
      </c>
      <c r="BN33" s="850" t="str">
        <f t="shared" si="34"/>
        <v>-</v>
      </c>
      <c r="BO33" s="789" t="str">
        <f t="shared" si="35"/>
        <v>-</v>
      </c>
      <c r="BP33" s="789" t="str">
        <f t="shared" si="36"/>
        <v>-</v>
      </c>
      <c r="BQ33" s="34" t="s">
        <v>64</v>
      </c>
      <c r="BR33" s="45" t="s">
        <v>64</v>
      </c>
      <c r="BS33" s="854" t="s">
        <v>64</v>
      </c>
      <c r="BT33" s="603"/>
      <c r="BU33" s="599" t="s">
        <v>64</v>
      </c>
      <c r="BV33" s="851" t="s">
        <v>64</v>
      </c>
      <c r="BW33" s="851" t="s">
        <v>64</v>
      </c>
      <c r="BX33" s="851" t="s">
        <v>64</v>
      </c>
      <c r="BY33" s="851" t="s">
        <v>64</v>
      </c>
      <c r="BZ33" s="851" t="s">
        <v>64</v>
      </c>
      <c r="CA33" s="851" t="s">
        <v>64</v>
      </c>
      <c r="CB33" s="851" t="s">
        <v>64</v>
      </c>
      <c r="CC33" s="851" t="s">
        <v>64</v>
      </c>
      <c r="CD33" s="851" t="s">
        <v>64</v>
      </c>
      <c r="CE33" s="852" t="s">
        <v>64</v>
      </c>
      <c r="CF33" s="852" t="s">
        <v>64</v>
      </c>
      <c r="CG33" s="603"/>
      <c r="CH33" s="584" t="s">
        <v>64</v>
      </c>
      <c r="CI33" s="576" t="s">
        <v>64</v>
      </c>
      <c r="CJ33" s="576" t="s">
        <v>64</v>
      </c>
      <c r="CK33" s="576" t="s">
        <v>64</v>
      </c>
      <c r="CL33" s="576" t="s">
        <v>64</v>
      </c>
      <c r="CM33" s="576" t="s">
        <v>64</v>
      </c>
      <c r="CN33" s="576" t="s">
        <v>64</v>
      </c>
      <c r="CO33" s="576" t="s">
        <v>64</v>
      </c>
      <c r="CP33" s="576" t="s">
        <v>64</v>
      </c>
      <c r="CQ33" s="576" t="s">
        <v>64</v>
      </c>
      <c r="CR33" s="792" t="s">
        <v>64</v>
      </c>
      <c r="CS33" s="793" t="s">
        <v>64</v>
      </c>
      <c r="CT33" s="855" t="s">
        <v>64</v>
      </c>
      <c r="CU33" s="576">
        <v>0.34317424886621317</v>
      </c>
      <c r="CV33" s="591">
        <v>20.461309523809526</v>
      </c>
      <c r="CW33" s="603"/>
      <c r="CX33" s="936" t="s">
        <v>1007</v>
      </c>
      <c r="CY33" s="934" t="s">
        <v>64</v>
      </c>
      <c r="CZ33" s="934" t="s">
        <v>64</v>
      </c>
      <c r="DA33" s="938" t="str">
        <f t="shared" si="38"/>
        <v>-</v>
      </c>
      <c r="DB33" s="936" t="s">
        <v>1007</v>
      </c>
      <c r="DC33" s="934" t="s">
        <v>64</v>
      </c>
      <c r="DD33" s="934" t="s">
        <v>64</v>
      </c>
      <c r="DE33" s="939" t="str">
        <f t="shared" si="39"/>
        <v>-</v>
      </c>
      <c r="DF33" s="19"/>
    </row>
    <row r="34" spans="1:110">
      <c r="A34" s="846" t="s">
        <v>135</v>
      </c>
      <c r="B34" s="41" t="s">
        <v>1480</v>
      </c>
      <c r="C34" s="41" t="s">
        <v>1482</v>
      </c>
      <c r="D34" s="34">
        <v>1790</v>
      </c>
      <c r="E34" s="535">
        <v>19.405619999999999</v>
      </c>
      <c r="F34" s="537">
        <v>-155.29281800000001</v>
      </c>
      <c r="G34" s="37" t="s">
        <v>405</v>
      </c>
      <c r="H34" s="37" t="s">
        <v>64</v>
      </c>
      <c r="I34" s="202" t="s">
        <v>779</v>
      </c>
      <c r="J34" t="s">
        <v>876</v>
      </c>
      <c r="K34" s="34">
        <v>2001</v>
      </c>
      <c r="L34" s="51">
        <v>95</v>
      </c>
      <c r="M34" s="52">
        <v>80</v>
      </c>
      <c r="N34" s="838">
        <f t="shared" si="22"/>
        <v>348182.91666666674</v>
      </c>
      <c r="O34" s="54">
        <v>343994.12646188034</v>
      </c>
      <c r="P34" s="53">
        <v>20</v>
      </c>
      <c r="Q34" s="54">
        <v>4188.7902047863899</v>
      </c>
      <c r="R34" s="772">
        <f t="shared" si="23"/>
        <v>1.203042999607167E-2</v>
      </c>
      <c r="S34" s="33" t="s">
        <v>64</v>
      </c>
      <c r="T34" s="37" t="s">
        <v>132</v>
      </c>
      <c r="U34" s="853" t="s">
        <v>64</v>
      </c>
      <c r="V34" s="552">
        <v>0.73499999999999999</v>
      </c>
      <c r="W34" s="847">
        <v>0.5</v>
      </c>
      <c r="X34" s="556" t="s">
        <v>423</v>
      </c>
      <c r="Y34" s="784" t="s">
        <v>64</v>
      </c>
      <c r="Z34" s="784" t="s">
        <v>64</v>
      </c>
      <c r="AA34" s="785" t="s">
        <v>64</v>
      </c>
      <c r="AB34" s="32" t="str">
        <f t="shared" si="24"/>
        <v>-</v>
      </c>
      <c r="AC34" s="6" t="str">
        <f t="shared" si="25"/>
        <v>-</v>
      </c>
      <c r="AD34" s="6" t="str">
        <f t="shared" si="26"/>
        <v>-</v>
      </c>
      <c r="AE34" s="6" t="str">
        <f t="shared" si="27"/>
        <v>-</v>
      </c>
      <c r="AF34" s="839" t="s">
        <v>64</v>
      </c>
      <c r="AG34" s="553" t="str">
        <f t="shared" si="28"/>
        <v>-</v>
      </c>
      <c r="AH34" s="32" t="s">
        <v>64</v>
      </c>
      <c r="AI34" s="9" t="s">
        <v>64</v>
      </c>
      <c r="AJ34" s="9" t="s">
        <v>64</v>
      </c>
      <c r="AK34" s="9" t="s">
        <v>64</v>
      </c>
      <c r="AL34" s="9" t="s">
        <v>64</v>
      </c>
      <c r="AM34" s="9" t="s">
        <v>64</v>
      </c>
      <c r="AN34" s="9" t="s">
        <v>64</v>
      </c>
      <c r="AO34" s="9" t="s">
        <v>64</v>
      </c>
      <c r="AP34" s="9" t="s">
        <v>64</v>
      </c>
      <c r="AQ34" s="9" t="s">
        <v>64</v>
      </c>
      <c r="AR34" s="9" t="s">
        <v>64</v>
      </c>
      <c r="AS34" s="6" t="s">
        <v>64</v>
      </c>
      <c r="AT34" s="6" t="s">
        <v>64</v>
      </c>
      <c r="AU34" s="9" t="s">
        <v>64</v>
      </c>
      <c r="AV34" s="8" t="str">
        <f t="shared" si="30"/>
        <v>-</v>
      </c>
      <c r="AW34" s="9" t="str">
        <f t="shared" si="31"/>
        <v>-</v>
      </c>
      <c r="AX34" s="8">
        <v>0.35275120464852611</v>
      </c>
      <c r="AY34" s="789">
        <v>1.7637560232426307E-2</v>
      </c>
      <c r="AZ34" s="6">
        <v>45.555826822916664</v>
      </c>
      <c r="BA34" s="48">
        <v>4.555582682291667</v>
      </c>
      <c r="BB34" s="6" t="s">
        <v>64</v>
      </c>
      <c r="BC34" s="48" t="s">
        <v>64</v>
      </c>
      <c r="BD34" s="849" t="s">
        <v>1007</v>
      </c>
      <c r="BE34" s="48" t="s">
        <v>1007</v>
      </c>
      <c r="BF34" s="668" t="s">
        <v>1007</v>
      </c>
      <c r="BG34" s="48" t="s">
        <v>64</v>
      </c>
      <c r="BH34" s="48" t="s">
        <v>64</v>
      </c>
      <c r="BI34" s="850" t="str">
        <f t="shared" si="32"/>
        <v>-</v>
      </c>
      <c r="BJ34" s="789" t="str">
        <f t="shared" si="33"/>
        <v>-</v>
      </c>
      <c r="BK34" s="563" t="s">
        <v>64</v>
      </c>
      <c r="BL34" s="48" t="s">
        <v>64</v>
      </c>
      <c r="BM34" s="48" t="s">
        <v>64</v>
      </c>
      <c r="BN34" s="850" t="str">
        <f t="shared" si="34"/>
        <v>-</v>
      </c>
      <c r="BO34" s="789" t="str">
        <f t="shared" si="35"/>
        <v>-</v>
      </c>
      <c r="BP34" s="789" t="str">
        <f t="shared" si="36"/>
        <v>-</v>
      </c>
      <c r="BQ34" s="34" t="s">
        <v>64</v>
      </c>
      <c r="BR34" s="45" t="s">
        <v>64</v>
      </c>
      <c r="BS34" s="854" t="s">
        <v>64</v>
      </c>
      <c r="BT34" s="603"/>
      <c r="BU34" s="599" t="s">
        <v>64</v>
      </c>
      <c r="BV34" s="851" t="s">
        <v>64</v>
      </c>
      <c r="BW34" s="851" t="s">
        <v>64</v>
      </c>
      <c r="BX34" s="851" t="s">
        <v>64</v>
      </c>
      <c r="BY34" s="851" t="s">
        <v>64</v>
      </c>
      <c r="BZ34" s="851" t="s">
        <v>64</v>
      </c>
      <c r="CA34" s="851" t="s">
        <v>64</v>
      </c>
      <c r="CB34" s="851" t="s">
        <v>64</v>
      </c>
      <c r="CC34" s="851" t="s">
        <v>64</v>
      </c>
      <c r="CD34" s="851" t="s">
        <v>64</v>
      </c>
      <c r="CE34" s="852" t="s">
        <v>64</v>
      </c>
      <c r="CF34" s="852" t="s">
        <v>64</v>
      </c>
      <c r="CG34" s="603"/>
      <c r="CH34" s="584" t="s">
        <v>64</v>
      </c>
      <c r="CI34" s="576" t="s">
        <v>64</v>
      </c>
      <c r="CJ34" s="576" t="s">
        <v>64</v>
      </c>
      <c r="CK34" s="576" t="s">
        <v>64</v>
      </c>
      <c r="CL34" s="576" t="s">
        <v>64</v>
      </c>
      <c r="CM34" s="576" t="s">
        <v>64</v>
      </c>
      <c r="CN34" s="576" t="s">
        <v>64</v>
      </c>
      <c r="CO34" s="576" t="s">
        <v>64</v>
      </c>
      <c r="CP34" s="576" t="s">
        <v>64</v>
      </c>
      <c r="CQ34" s="576" t="s">
        <v>64</v>
      </c>
      <c r="CR34" s="792" t="s">
        <v>64</v>
      </c>
      <c r="CS34" s="793" t="s">
        <v>64</v>
      </c>
      <c r="CT34" s="855" t="s">
        <v>64</v>
      </c>
      <c r="CU34" s="576">
        <v>0.35275120464852611</v>
      </c>
      <c r="CV34" s="591">
        <v>47.743055555555557</v>
      </c>
      <c r="CW34" s="603"/>
      <c r="CX34" s="936" t="s">
        <v>1007</v>
      </c>
      <c r="CY34" s="934" t="s">
        <v>64</v>
      </c>
      <c r="CZ34" s="934" t="s">
        <v>64</v>
      </c>
      <c r="DA34" s="938" t="str">
        <f t="shared" si="38"/>
        <v>-</v>
      </c>
      <c r="DB34" s="936" t="s">
        <v>1007</v>
      </c>
      <c r="DC34" s="934" t="s">
        <v>64</v>
      </c>
      <c r="DD34" s="934" t="s">
        <v>64</v>
      </c>
      <c r="DE34" s="939" t="str">
        <f t="shared" si="39"/>
        <v>-</v>
      </c>
      <c r="DF34" s="19"/>
    </row>
    <row r="35" spans="1:110">
      <c r="A35" s="846"/>
      <c r="B35" s="41"/>
      <c r="C35" s="41"/>
      <c r="D35" s="34"/>
      <c r="E35" s="535"/>
      <c r="F35" s="537"/>
      <c r="H35" s="34"/>
      <c r="I35" s="28"/>
      <c r="K35" s="34"/>
      <c r="L35" s="49"/>
      <c r="M35" s="50"/>
      <c r="N35" s="838"/>
      <c r="O35" s="54"/>
      <c r="P35" s="53"/>
      <c r="Q35" s="54"/>
      <c r="R35" s="853"/>
      <c r="S35" s="624"/>
      <c r="T35" s="34"/>
      <c r="U35" s="21"/>
      <c r="V35" s="19"/>
      <c r="W35" s="19"/>
      <c r="X35" s="39"/>
      <c r="Y35" s="784"/>
      <c r="Z35" s="784"/>
      <c r="AA35" s="785"/>
      <c r="AB35" s="32"/>
      <c r="AC35" s="6"/>
      <c r="AD35" s="6"/>
      <c r="AE35" s="6"/>
      <c r="AF35" s="839"/>
      <c r="AG35" s="839"/>
      <c r="AH35" s="32"/>
      <c r="AI35" s="9"/>
      <c r="AJ35" s="9"/>
      <c r="AK35" s="9"/>
      <c r="AL35" s="9"/>
      <c r="AM35" s="9"/>
      <c r="AN35" s="9"/>
      <c r="AO35" s="9"/>
      <c r="AP35" s="9"/>
      <c r="AQ35" s="9"/>
      <c r="AR35" s="9"/>
      <c r="AS35" s="6"/>
      <c r="AT35" s="6"/>
      <c r="AU35" s="9"/>
      <c r="AV35" s="8"/>
      <c r="AW35" s="9"/>
      <c r="AX35" s="8"/>
      <c r="AY35" s="787"/>
      <c r="AZ35" s="6"/>
      <c r="BB35" s="6"/>
      <c r="BD35" s="849"/>
      <c r="BF35" s="668"/>
      <c r="BG35" s="68"/>
      <c r="BH35" s="68"/>
      <c r="BI35" s="781"/>
      <c r="BK35" s="563"/>
      <c r="BL35" s="48"/>
      <c r="BM35" s="48"/>
      <c r="BN35" s="788"/>
      <c r="BO35" s="789"/>
      <c r="BP35" s="789"/>
      <c r="BR35" s="45"/>
      <c r="BS35" s="854"/>
      <c r="BT35" s="604"/>
      <c r="BU35" s="598"/>
      <c r="BV35" s="790"/>
      <c r="BW35" s="790"/>
      <c r="BX35" s="790"/>
      <c r="BY35" s="790"/>
      <c r="BZ35" s="790"/>
      <c r="CA35" s="790"/>
      <c r="CB35" s="790"/>
      <c r="CC35" s="790"/>
      <c r="CD35" s="790"/>
      <c r="CE35" s="791"/>
      <c r="CF35" s="791"/>
      <c r="CG35" s="604"/>
      <c r="CH35" s="584"/>
      <c r="CI35" s="576"/>
      <c r="CJ35" s="576"/>
      <c r="CK35" s="576"/>
      <c r="CL35" s="576"/>
      <c r="CM35" s="576"/>
      <c r="CN35" s="576"/>
      <c r="CO35" s="576"/>
      <c r="CP35" s="576"/>
      <c r="CQ35" s="576"/>
      <c r="CR35" s="792"/>
      <c r="CS35" s="793"/>
      <c r="CT35" s="576"/>
      <c r="CU35" s="576"/>
      <c r="CV35" s="591"/>
      <c r="CW35" s="604"/>
      <c r="CX35" s="936"/>
      <c r="CY35" s="934"/>
      <c r="CZ35" s="934"/>
      <c r="DA35" s="941"/>
      <c r="DB35" s="936"/>
      <c r="DC35" s="934"/>
      <c r="DD35" s="934"/>
      <c r="DE35" s="942"/>
      <c r="DF35" s="9"/>
    </row>
    <row r="36" spans="1:110">
      <c r="A36" s="858" t="s">
        <v>1483</v>
      </c>
      <c r="B36" s="41"/>
      <c r="C36" s="41"/>
      <c r="D36" s="34"/>
      <c r="E36" s="535"/>
      <c r="F36" s="537"/>
      <c r="H36" s="34"/>
      <c r="I36" s="28"/>
      <c r="K36" s="34"/>
      <c r="L36" s="49"/>
      <c r="M36" s="50"/>
      <c r="N36" s="838"/>
      <c r="O36" s="54"/>
      <c r="P36" s="53"/>
      <c r="Q36" s="54"/>
      <c r="R36" s="853"/>
      <c r="S36" s="624"/>
      <c r="T36" s="34"/>
      <c r="U36" s="21"/>
      <c r="V36" s="19"/>
      <c r="W36" s="19"/>
      <c r="X36" s="39"/>
      <c r="Y36" s="784"/>
      <c r="Z36" s="784"/>
      <c r="AA36" s="785"/>
      <c r="AB36" s="32"/>
      <c r="AC36" s="6"/>
      <c r="AD36" s="6"/>
      <c r="AE36" s="6"/>
      <c r="AF36" s="839"/>
      <c r="AG36" s="839"/>
      <c r="AH36" s="32"/>
      <c r="AI36" s="9"/>
      <c r="AJ36" s="9"/>
      <c r="AK36" s="9"/>
      <c r="AL36" s="9"/>
      <c r="AM36" s="9"/>
      <c r="AN36" s="9"/>
      <c r="AO36" s="9"/>
      <c r="AP36" s="9"/>
      <c r="AQ36" s="9"/>
      <c r="AR36" s="9"/>
      <c r="AS36" s="6"/>
      <c r="AT36" s="6"/>
      <c r="AU36" s="9"/>
      <c r="AV36" s="8"/>
      <c r="AW36" s="9"/>
      <c r="AX36" s="8"/>
      <c r="AY36" s="787"/>
      <c r="AZ36" s="6"/>
      <c r="BB36" s="6"/>
      <c r="BD36" s="849"/>
      <c r="BF36" s="668"/>
      <c r="BG36" s="68"/>
      <c r="BH36" s="68"/>
      <c r="BI36" s="781"/>
      <c r="BK36" s="563"/>
      <c r="BL36" s="48"/>
      <c r="BM36" s="48"/>
      <c r="BN36" s="788"/>
      <c r="BO36" s="789"/>
      <c r="BP36" s="789"/>
      <c r="BR36" s="45"/>
      <c r="BS36" s="854"/>
      <c r="BT36" s="604"/>
      <c r="BU36" s="598"/>
      <c r="BV36" s="790"/>
      <c r="BW36" s="790"/>
      <c r="BX36" s="790"/>
      <c r="BY36" s="790"/>
      <c r="BZ36" s="790"/>
      <c r="CA36" s="790"/>
      <c r="CB36" s="790"/>
      <c r="CC36" s="790"/>
      <c r="CD36" s="790"/>
      <c r="CE36" s="791"/>
      <c r="CF36" s="791"/>
      <c r="CG36" s="604"/>
      <c r="CH36" s="584"/>
      <c r="CI36" s="576"/>
      <c r="CJ36" s="576"/>
      <c r="CK36" s="576"/>
      <c r="CL36" s="576"/>
      <c r="CM36" s="576"/>
      <c r="CN36" s="576"/>
      <c r="CO36" s="576"/>
      <c r="CP36" s="576"/>
      <c r="CQ36" s="576"/>
      <c r="CR36" s="792"/>
      <c r="CS36" s="793"/>
      <c r="CT36" s="576"/>
      <c r="CU36" s="576"/>
      <c r="CV36" s="591"/>
      <c r="CW36" s="604"/>
      <c r="CX36" s="936"/>
      <c r="CY36" s="934"/>
      <c r="CZ36" s="934"/>
      <c r="DA36" s="941"/>
      <c r="DB36" s="936"/>
      <c r="DC36" s="934"/>
      <c r="DD36" s="934"/>
      <c r="DE36" s="942"/>
      <c r="DF36" s="9"/>
    </row>
    <row r="37" spans="1:110">
      <c r="A37" s="846" t="s">
        <v>136</v>
      </c>
      <c r="B37" s="41" t="s">
        <v>158</v>
      </c>
      <c r="C37" s="41" t="s">
        <v>1484</v>
      </c>
      <c r="D37" s="34">
        <v>1650</v>
      </c>
      <c r="E37" s="535">
        <v>19.370640000000002</v>
      </c>
      <c r="F37" s="537">
        <v>-155.24653000000001</v>
      </c>
      <c r="G37" s="37" t="s">
        <v>405</v>
      </c>
      <c r="H37" s="37" t="s">
        <v>64</v>
      </c>
      <c r="I37" s="202" t="s">
        <v>779</v>
      </c>
      <c r="J37" t="s">
        <v>876</v>
      </c>
      <c r="K37" s="34">
        <v>2001</v>
      </c>
      <c r="L37" s="51">
        <v>250</v>
      </c>
      <c r="M37" s="52">
        <v>155</v>
      </c>
      <c r="N37" s="838">
        <f t="shared" ref="N37:N49" si="40">(4*3.1415/3)*(L37/2)*(M37/2)*(AVERAGE(L37,M37)/2)</f>
        <v>4108492.9687500005</v>
      </c>
      <c r="O37" s="54">
        <v>4108492.9687500005</v>
      </c>
      <c r="P37" s="53" t="s">
        <v>151</v>
      </c>
      <c r="Q37" s="54" t="s">
        <v>151</v>
      </c>
      <c r="R37" s="772">
        <f t="shared" ref="R37:R49" si="41">IF(Q37="no bubble",0,IF(H37="Isolated fluid inclusion",1,Q37/(Q37+O37)))</f>
        <v>0</v>
      </c>
      <c r="S37" s="624"/>
      <c r="T37" s="37" t="s">
        <v>132</v>
      </c>
      <c r="U37" s="21"/>
      <c r="V37" s="552">
        <v>1.96</v>
      </c>
      <c r="W37" s="847">
        <v>1.1000000000000001</v>
      </c>
      <c r="X37" s="556" t="s">
        <v>64</v>
      </c>
      <c r="Y37" s="784" t="s">
        <v>64</v>
      </c>
      <c r="Z37" s="784" t="s">
        <v>64</v>
      </c>
      <c r="AA37" s="785" t="s">
        <v>64</v>
      </c>
      <c r="AB37" s="32" t="str">
        <f t="shared" ref="AB37:AB49" si="42">IF(ISNUMBER(AN37), 20.1*AN37+1014,"-")</f>
        <v>-</v>
      </c>
      <c r="AC37" s="6" t="str">
        <f t="shared" ref="AC37:AC49" si="43">IF(ISNUMBER(CM37), 20.1*CM37+1014,"-")</f>
        <v>-</v>
      </c>
      <c r="AD37" s="6" t="str">
        <f t="shared" ref="AD37:AD49" si="44">IF(AND(ISNUMBER(AB37),ISNUMBER(AC37)),AB37-AC37,"-")</f>
        <v>-</v>
      </c>
      <c r="AE37" s="6" t="str">
        <f t="shared" ref="AE37:AE49" si="45">IF(ISNUMBER(U37),0.02289*U37^3- 4.943*U37^2+ 358.6*U37-7620,"-")</f>
        <v>-</v>
      </c>
      <c r="AF37" s="839" t="s">
        <v>64</v>
      </c>
      <c r="AG37" s="553" t="str">
        <f t="shared" ref="AG37:AG49" si="46">IF(ISNUMBER(AF37),(1/AF37)-1,"-")</f>
        <v>-</v>
      </c>
      <c r="AH37" s="32" t="s">
        <v>64</v>
      </c>
      <c r="AI37" s="9" t="s">
        <v>64</v>
      </c>
      <c r="AJ37" s="9" t="s">
        <v>64</v>
      </c>
      <c r="AK37" s="9" t="s">
        <v>64</v>
      </c>
      <c r="AL37" s="9" t="s">
        <v>64</v>
      </c>
      <c r="AM37" s="9" t="s">
        <v>64</v>
      </c>
      <c r="AN37" s="9" t="s">
        <v>64</v>
      </c>
      <c r="AO37" s="9" t="s">
        <v>64</v>
      </c>
      <c r="AP37" s="9" t="s">
        <v>64</v>
      </c>
      <c r="AQ37" s="9" t="s">
        <v>64</v>
      </c>
      <c r="AR37" s="9" t="s">
        <v>64</v>
      </c>
      <c r="AS37" s="6" t="s">
        <v>64</v>
      </c>
      <c r="AT37" s="6" t="s">
        <v>64</v>
      </c>
      <c r="AU37" s="9" t="s">
        <v>64</v>
      </c>
      <c r="AV37" s="8" t="str">
        <f t="shared" ref="AV37:AV49" si="47">IF(ISNUMBER(AL37),(AL37/71.84)*(0.18/2)*159.69,"-")</f>
        <v>-</v>
      </c>
      <c r="AW37" s="9" t="str">
        <f t="shared" ref="AW37:AW49" si="48">IF(ISNUMBER(AL37),(AL37/71.84)*(1-0.18)*71.84,"-")</f>
        <v>-</v>
      </c>
      <c r="AX37" s="8">
        <v>0.53505352960856478</v>
      </c>
      <c r="AY37" s="789">
        <v>2.6752676480428242E-2</v>
      </c>
      <c r="AZ37" s="6">
        <v>93.409836065573785</v>
      </c>
      <c r="BA37" s="48">
        <v>9.3409836065573781</v>
      </c>
      <c r="BB37" s="6" t="s">
        <v>151</v>
      </c>
      <c r="BC37" s="48" t="s">
        <v>151</v>
      </c>
      <c r="BD37" s="849">
        <v>93.409836065573785</v>
      </c>
      <c r="BE37" s="48">
        <v>9.3409836065573781</v>
      </c>
      <c r="BF37" s="668">
        <v>246.5964334378115</v>
      </c>
      <c r="BG37" s="48">
        <v>21.162083594321786</v>
      </c>
      <c r="BH37" s="48">
        <v>21.235486644317604</v>
      </c>
      <c r="BI37" s="850">
        <f t="shared" ref="BI37:BI49" si="49">IF(NOT(ISNUMBER(BF37)),"-",(0.0684*((BF37/1000))^3 - 0.5008*((BF37/1000))^2 + 4.47*((BF37/1000))))</f>
        <v>1.0728581999688946</v>
      </c>
      <c r="BJ37" s="789">
        <f t="shared" ref="BJ37:BJ49" si="50">IF(NOT(ISNUMBER(BF37)),"-",AVERAGE(ABS(BI37-(0.0684*(((BF37+BG37)/1000))^3-0.5008*(((BF37+BG37)/1000))^2+4.47*(((BF37+BG37)/1000)))),ABS(BI37-(0.0684*(((BF37-BG37)/1000))^3-0.5008*(((BF37-BG37)/1000))^2+4.47*(((BF37-BG37)/1000))))))</f>
        <v>8.9632382071799854E-2</v>
      </c>
      <c r="BK37" s="563" t="s">
        <v>64</v>
      </c>
      <c r="BL37" s="48" t="s">
        <v>64</v>
      </c>
      <c r="BM37" s="48" t="s">
        <v>64</v>
      </c>
      <c r="BN37" s="850" t="str">
        <f t="shared" ref="BN37:BN49" si="51">IF(ISNUMBER(BK37),(0.0684*((BK37/1000))^3 - 0.5008*((BK37/1000))^2 + 4.47*((BK37/1000))),"-")</f>
        <v>-</v>
      </c>
      <c r="BO37" s="789" t="str">
        <f t="shared" ref="BO37:BO49" si="52">IF(ISNUMBER(BL37),ABS(BN37-(0.0684*(((BK37+BL37)/1000))^3 - 0.5008*(((BK37+BL37)/1000))^2 + 4.47*(((BK37+BL37)/1000)))),"-")</f>
        <v>-</v>
      </c>
      <c r="BP37" s="789" t="str">
        <f t="shared" ref="BP37:BP49" si="53">IF(ISNUMBER(BM37),ABS(BN37-(0.0684*(((BK37-BM37)/1000))^3 - 0.5008*(((BK37-BM37)/1000))^2 + 4.47*(((BK37-BM37)/1000)))),"-")</f>
        <v>-</v>
      </c>
      <c r="BQ37" s="34" t="s">
        <v>64</v>
      </c>
      <c r="BR37" s="45" t="s">
        <v>64</v>
      </c>
      <c r="BS37" s="854" t="s">
        <v>64</v>
      </c>
      <c r="BT37" s="603"/>
      <c r="BU37" s="599" t="s">
        <v>64</v>
      </c>
      <c r="BV37" s="851" t="s">
        <v>64</v>
      </c>
      <c r="BW37" s="851" t="s">
        <v>64</v>
      </c>
      <c r="BX37" s="851" t="s">
        <v>64</v>
      </c>
      <c r="BY37" s="851" t="s">
        <v>64</v>
      </c>
      <c r="BZ37" s="851" t="s">
        <v>64</v>
      </c>
      <c r="CA37" s="851" t="s">
        <v>64</v>
      </c>
      <c r="CB37" s="851" t="s">
        <v>64</v>
      </c>
      <c r="CC37" s="851" t="s">
        <v>64</v>
      </c>
      <c r="CD37" s="851" t="s">
        <v>64</v>
      </c>
      <c r="CE37" s="852" t="s">
        <v>64</v>
      </c>
      <c r="CF37" s="852" t="s">
        <v>64</v>
      </c>
      <c r="CG37" s="603"/>
      <c r="CH37" s="584" t="s">
        <v>64</v>
      </c>
      <c r="CI37" s="576" t="s">
        <v>64</v>
      </c>
      <c r="CJ37" s="576" t="s">
        <v>64</v>
      </c>
      <c r="CK37" s="576" t="s">
        <v>64</v>
      </c>
      <c r="CL37" s="576" t="s">
        <v>64</v>
      </c>
      <c r="CM37" s="576" t="s">
        <v>64</v>
      </c>
      <c r="CN37" s="576" t="s">
        <v>64</v>
      </c>
      <c r="CO37" s="576" t="s">
        <v>64</v>
      </c>
      <c r="CP37" s="576" t="s">
        <v>64</v>
      </c>
      <c r="CQ37" s="576" t="s">
        <v>64</v>
      </c>
      <c r="CR37" s="792" t="s">
        <v>64</v>
      </c>
      <c r="CS37" s="793" t="s">
        <v>64</v>
      </c>
      <c r="CT37" s="855" t="s">
        <v>64</v>
      </c>
      <c r="CU37" s="576">
        <v>0.53505352960856478</v>
      </c>
      <c r="CV37" s="591">
        <v>100.18214936247725</v>
      </c>
      <c r="CW37" s="603"/>
      <c r="CX37" s="936">
        <v>228.49507518735649</v>
      </c>
      <c r="CY37" s="934">
        <v>20.188797284724899</v>
      </c>
      <c r="CZ37" s="934">
        <v>20.210378238118096</v>
      </c>
      <c r="DA37" s="938">
        <f t="shared" ref="DA37:DA49" si="54">IF(NOT(ISNUMBER(CX37)),"-",(0.0684*((CX37/1000))^3 - 0.5008*((CX37/1000))^2 + 4.47*((CX37/1000))))</f>
        <v>0.99604221177261021</v>
      </c>
      <c r="DB37" s="936">
        <v>193.94046616253831</v>
      </c>
      <c r="DC37" s="934">
        <v>16.758339788689881</v>
      </c>
      <c r="DD37" s="934">
        <v>16.978753450400603</v>
      </c>
      <c r="DE37" s="939">
        <f t="shared" ref="DE37:DE49" si="55">IF(NOT(ISNUMBER(DB37)),"-",(0.0684*((DB37/1000))^3 - 0.5008*((DB37/1000))^2 + 4.47*((DB37/1000))))</f>
        <v>0.84857629624771969</v>
      </c>
      <c r="DF37" s="19"/>
    </row>
    <row r="38" spans="1:110">
      <c r="A38" s="846" t="s">
        <v>137</v>
      </c>
      <c r="B38" s="41" t="s">
        <v>158</v>
      </c>
      <c r="C38" s="41" t="s">
        <v>1484</v>
      </c>
      <c r="D38" s="34">
        <v>1650</v>
      </c>
      <c r="E38" s="535">
        <v>19.370640000000002</v>
      </c>
      <c r="F38" s="537">
        <v>-155.24653000000001</v>
      </c>
      <c r="G38" s="37" t="s">
        <v>405</v>
      </c>
      <c r="H38" s="37" t="s">
        <v>64</v>
      </c>
      <c r="I38" s="202" t="s">
        <v>779</v>
      </c>
      <c r="J38" t="s">
        <v>885</v>
      </c>
      <c r="K38" s="34">
        <v>2001</v>
      </c>
      <c r="L38" s="51">
        <v>160</v>
      </c>
      <c r="M38" s="52">
        <v>140</v>
      </c>
      <c r="N38" s="838">
        <f t="shared" si="40"/>
        <v>1759240.0000000002</v>
      </c>
      <c r="O38" s="54">
        <v>1759240.0000000002</v>
      </c>
      <c r="P38" s="53" t="s">
        <v>151</v>
      </c>
      <c r="Q38" s="54" t="s">
        <v>151</v>
      </c>
      <c r="R38" s="772">
        <f t="shared" si="41"/>
        <v>0</v>
      </c>
      <c r="S38" s="39" t="s">
        <v>294</v>
      </c>
      <c r="T38" s="37" t="s">
        <v>132</v>
      </c>
      <c r="U38" s="21">
        <v>84.1</v>
      </c>
      <c r="V38" s="552">
        <v>1.73</v>
      </c>
      <c r="W38" s="847">
        <v>0.82499999999999996</v>
      </c>
      <c r="X38" s="556" t="s">
        <v>64</v>
      </c>
      <c r="Y38" s="784" t="s">
        <v>64</v>
      </c>
      <c r="Z38" s="784" t="s">
        <v>64</v>
      </c>
      <c r="AA38" s="785" t="s">
        <v>64</v>
      </c>
      <c r="AB38" s="32">
        <f t="shared" si="42"/>
        <v>1172.6588166118047</v>
      </c>
      <c r="AC38" s="6">
        <f t="shared" si="43"/>
        <v>1173.0814500000001</v>
      </c>
      <c r="AD38" s="6">
        <f t="shared" si="44"/>
        <v>-0.42263338819543605</v>
      </c>
      <c r="AE38" s="6">
        <f t="shared" si="45"/>
        <v>1192.8659876900019</v>
      </c>
      <c r="AF38" s="848">
        <v>1.0049999999999999</v>
      </c>
      <c r="AG38" s="553">
        <f t="shared" si="46"/>
        <v>-4.9751243781093191E-3</v>
      </c>
      <c r="AH38" s="32">
        <f>100*(AN38/40.3)/((AN38/40.3)+(AL38/71.85))</f>
        <v>57.637557464874931</v>
      </c>
      <c r="AI38" s="9">
        <v>51.632960759418744</v>
      </c>
      <c r="AJ38" s="9">
        <v>2.3607115658057034</v>
      </c>
      <c r="AK38" s="9">
        <v>13.909946856059205</v>
      </c>
      <c r="AL38" s="9">
        <v>10.343447253473148</v>
      </c>
      <c r="AM38" s="9">
        <v>0.15558555313294878</v>
      </c>
      <c r="AN38" s="9">
        <v>7.8934734632738648</v>
      </c>
      <c r="AO38" s="9">
        <v>10.720443016833755</v>
      </c>
      <c r="AP38" s="9">
        <v>2.1951525797796165</v>
      </c>
      <c r="AQ38" s="9">
        <v>0.42387089795835398</v>
      </c>
      <c r="AR38" s="9">
        <v>0.21791950871505966</v>
      </c>
      <c r="AS38" s="6">
        <v>100.86992806555715</v>
      </c>
      <c r="AT38" s="6">
        <v>1146.9447827108404</v>
      </c>
      <c r="AU38" s="9">
        <v>100.24449999999999</v>
      </c>
      <c r="AV38" s="8">
        <f t="shared" si="47"/>
        <v>2.0692797643602647</v>
      </c>
      <c r="AW38" s="9">
        <f t="shared" si="48"/>
        <v>8.4816267478479812</v>
      </c>
      <c r="AX38" s="8">
        <v>0.55776190476190479</v>
      </c>
      <c r="AY38" s="789">
        <v>2.788809523809524E-2</v>
      </c>
      <c r="AZ38" s="6">
        <v>218.25396825396825</v>
      </c>
      <c r="BA38" s="48">
        <v>21.825396825396826</v>
      </c>
      <c r="BB38" s="6" t="s">
        <v>151</v>
      </c>
      <c r="BC38" s="48" t="s">
        <v>151</v>
      </c>
      <c r="BD38" s="849">
        <v>218.25396825396825</v>
      </c>
      <c r="BE38" s="48">
        <v>21.825396825396826</v>
      </c>
      <c r="BF38" s="668">
        <v>591.37853310176365</v>
      </c>
      <c r="BG38" s="48">
        <v>52.20315216809206</v>
      </c>
      <c r="BH38" s="48">
        <v>52.660188608715316</v>
      </c>
      <c r="BI38" s="850">
        <f t="shared" si="49"/>
        <v>2.4824645980386255</v>
      </c>
      <c r="BJ38" s="789">
        <f t="shared" si="50"/>
        <v>0.20618292527126103</v>
      </c>
      <c r="BK38" s="563" t="s">
        <v>64</v>
      </c>
      <c r="BL38" s="48" t="s">
        <v>64</v>
      </c>
      <c r="BM38" s="48" t="s">
        <v>64</v>
      </c>
      <c r="BN38" s="850" t="str">
        <f t="shared" si="51"/>
        <v>-</v>
      </c>
      <c r="BO38" s="789" t="str">
        <f t="shared" si="52"/>
        <v>-</v>
      </c>
      <c r="BP38" s="789" t="str">
        <f t="shared" si="53"/>
        <v>-</v>
      </c>
      <c r="BQ38" s="34" t="s">
        <v>64</v>
      </c>
      <c r="BR38" s="25">
        <v>2.661914167341779</v>
      </c>
      <c r="BS38" s="26">
        <v>2.9154804495511231</v>
      </c>
      <c r="BT38" s="603"/>
      <c r="BU38" s="599">
        <v>0.14088358269937928</v>
      </c>
      <c r="BV38" s="851">
        <v>2.8580315804838035E-2</v>
      </c>
      <c r="BW38" s="851">
        <v>6.4846867857365473E-2</v>
      </c>
      <c r="BX38" s="851">
        <v>0.1125447310715815</v>
      </c>
      <c r="BY38" s="851">
        <v>5.4972359499146301E-3</v>
      </c>
      <c r="BZ38" s="851">
        <v>2.0729884689288294E-2</v>
      </c>
      <c r="CA38" s="851">
        <v>2.2058559528520618E-2</v>
      </c>
      <c r="CB38" s="851">
        <v>3.1252014516563564E-2</v>
      </c>
      <c r="CC38" s="851">
        <v>1.1625747045227149E-2</v>
      </c>
      <c r="CD38" s="851">
        <v>6.1233996309791447E-3</v>
      </c>
      <c r="CE38" s="852">
        <v>15.482519168522561</v>
      </c>
      <c r="CF38" s="852">
        <v>21.541345600530406</v>
      </c>
      <c r="CG38" s="603"/>
      <c r="CH38" s="584">
        <v>51.770499999999998</v>
      </c>
      <c r="CI38" s="576">
        <v>2.367</v>
      </c>
      <c r="CJ38" s="576">
        <v>13.946999999999999</v>
      </c>
      <c r="CK38" s="576">
        <v>10.370999999999999</v>
      </c>
      <c r="CL38" s="576">
        <v>0.156</v>
      </c>
      <c r="CM38" s="576">
        <v>7.9145000000000003</v>
      </c>
      <c r="CN38" s="576">
        <v>10.748999999999999</v>
      </c>
      <c r="CO38" s="576">
        <v>2.2010000000000001</v>
      </c>
      <c r="CP38" s="576">
        <v>0.42499999999999999</v>
      </c>
      <c r="CQ38" s="576">
        <v>0.2185</v>
      </c>
      <c r="CR38" s="792">
        <v>0.01</v>
      </c>
      <c r="CS38" s="793">
        <v>1150</v>
      </c>
      <c r="CT38" s="576">
        <f>SUM(CH38:CR38)+(CS38/10000)</f>
        <v>100.24449999999999</v>
      </c>
      <c r="CU38" s="576">
        <v>0.55776190476190479</v>
      </c>
      <c r="CV38" s="591">
        <v>218.25396825396825</v>
      </c>
      <c r="CW38" s="603"/>
      <c r="CX38" s="936">
        <v>497.84443211839749</v>
      </c>
      <c r="CY38" s="934">
        <v>46.160776821772345</v>
      </c>
      <c r="CZ38" s="934">
        <v>46.323964730334012</v>
      </c>
      <c r="DA38" s="938">
        <f t="shared" si="54"/>
        <v>2.1096816884214316</v>
      </c>
      <c r="DB38" s="936">
        <v>481.50962975940661</v>
      </c>
      <c r="DC38" s="934">
        <v>41.607108339482124</v>
      </c>
      <c r="DD38" s="934">
        <v>42.154344832950414</v>
      </c>
      <c r="DE38" s="939">
        <f t="shared" si="55"/>
        <v>2.0438728919326583</v>
      </c>
      <c r="DF38" s="9"/>
    </row>
    <row r="39" spans="1:110">
      <c r="A39" s="846" t="s">
        <v>139</v>
      </c>
      <c r="B39" s="41" t="s">
        <v>158</v>
      </c>
      <c r="C39" s="41" t="s">
        <v>1484</v>
      </c>
      <c r="D39" s="34">
        <v>1650</v>
      </c>
      <c r="E39" s="535">
        <v>19.370640000000002</v>
      </c>
      <c r="F39" s="537">
        <v>-155.24653000000001</v>
      </c>
      <c r="G39" s="37" t="s">
        <v>405</v>
      </c>
      <c r="H39" s="37" t="s">
        <v>64</v>
      </c>
      <c r="I39" s="202" t="s">
        <v>779</v>
      </c>
      <c r="J39" t="s">
        <v>885</v>
      </c>
      <c r="K39" s="34">
        <v>2001</v>
      </c>
      <c r="L39" s="51">
        <v>695</v>
      </c>
      <c r="M39" s="52">
        <v>195</v>
      </c>
      <c r="N39" s="838">
        <f t="shared" si="40"/>
        <v>31576590.906250007</v>
      </c>
      <c r="O39" s="54">
        <v>31308508.333143678</v>
      </c>
      <c r="P39" s="53">
        <v>80</v>
      </c>
      <c r="Q39" s="54">
        <v>268082.57310632896</v>
      </c>
      <c r="R39" s="772">
        <f t="shared" si="41"/>
        <v>8.4899150102130533E-3</v>
      </c>
      <c r="S39" s="39" t="s">
        <v>295</v>
      </c>
      <c r="T39" s="37" t="s">
        <v>132</v>
      </c>
      <c r="U39" s="21">
        <v>84.2</v>
      </c>
      <c r="V39" s="552">
        <v>1.46</v>
      </c>
      <c r="W39" s="847">
        <v>1.59</v>
      </c>
      <c r="X39" s="556" t="s">
        <v>423</v>
      </c>
      <c r="Y39" s="784" t="s">
        <v>64</v>
      </c>
      <c r="Z39" s="784" t="s">
        <v>64</v>
      </c>
      <c r="AA39" s="785" t="s">
        <v>64</v>
      </c>
      <c r="AB39" s="32">
        <f t="shared" si="42"/>
        <v>1191.2845304006294</v>
      </c>
      <c r="AC39" s="6">
        <f t="shared" si="43"/>
        <v>1173.2925</v>
      </c>
      <c r="AD39" s="6">
        <f t="shared" si="44"/>
        <v>17.992030400629346</v>
      </c>
      <c r="AE39" s="6">
        <f t="shared" si="45"/>
        <v>1194.1620583200056</v>
      </c>
      <c r="AF39" s="839">
        <v>0.97499999999999998</v>
      </c>
      <c r="AG39" s="553">
        <f t="shared" si="46"/>
        <v>2.5641025641025772E-2</v>
      </c>
      <c r="AH39" s="32">
        <f>100*(AN39/40.3)/((AN39/40.3)+(AL39/71.85))</f>
        <v>57.101507883058765</v>
      </c>
      <c r="AI39" s="9">
        <v>50.228931412233827</v>
      </c>
      <c r="AJ39" s="9">
        <v>2.4020126070520309</v>
      </c>
      <c r="AK39" s="9">
        <v>13.154213992201152</v>
      </c>
      <c r="AL39" s="9">
        <v>11.813836617842835</v>
      </c>
      <c r="AM39" s="9">
        <v>0.16301886985439004</v>
      </c>
      <c r="AN39" s="9">
        <v>8.8201258905785735</v>
      </c>
      <c r="AO39" s="9">
        <v>10.481509558045229</v>
      </c>
      <c r="AP39" s="9">
        <v>2.1333333585883145</v>
      </c>
      <c r="AQ39" s="9">
        <v>0.43069182899801811</v>
      </c>
      <c r="AR39" s="9">
        <v>0.22540880769989735</v>
      </c>
      <c r="AS39" s="6">
        <v>126.4778015094961</v>
      </c>
      <c r="AT39" s="6">
        <v>1332.8814466769975</v>
      </c>
      <c r="AU39" s="9">
        <v>100.84549999999999</v>
      </c>
      <c r="AV39" s="8">
        <f t="shared" si="47"/>
        <v>2.3634415542218683</v>
      </c>
      <c r="AW39" s="9">
        <f t="shared" si="48"/>
        <v>9.6873460266311255</v>
      </c>
      <c r="AX39" s="8">
        <v>0.59504818594104303</v>
      </c>
      <c r="AY39" s="789">
        <v>2.9752409297052154E-2</v>
      </c>
      <c r="AZ39" s="6">
        <v>9.75</v>
      </c>
      <c r="BA39" s="48">
        <v>0.97500000000000009</v>
      </c>
      <c r="BB39" s="6" t="s">
        <v>64</v>
      </c>
      <c r="BC39" s="48" t="s">
        <v>64</v>
      </c>
      <c r="BD39" s="849" t="s">
        <v>1007</v>
      </c>
      <c r="BE39" s="48" t="s">
        <v>1007</v>
      </c>
      <c r="BF39" s="668" t="s">
        <v>1007</v>
      </c>
      <c r="BG39" s="48" t="s">
        <v>64</v>
      </c>
      <c r="BH39" s="48" t="s">
        <v>64</v>
      </c>
      <c r="BI39" s="850" t="str">
        <f t="shared" si="49"/>
        <v>-</v>
      </c>
      <c r="BJ39" s="789" t="str">
        <f t="shared" si="50"/>
        <v>-</v>
      </c>
      <c r="BK39" s="563" t="s">
        <v>64</v>
      </c>
      <c r="BL39" s="48" t="s">
        <v>64</v>
      </c>
      <c r="BM39" s="48" t="s">
        <v>64</v>
      </c>
      <c r="BN39" s="850" t="str">
        <f t="shared" si="51"/>
        <v>-</v>
      </c>
      <c r="BO39" s="789" t="str">
        <f t="shared" si="52"/>
        <v>-</v>
      </c>
      <c r="BP39" s="789" t="str">
        <f t="shared" si="53"/>
        <v>-</v>
      </c>
      <c r="BQ39" s="34" t="s">
        <v>64</v>
      </c>
      <c r="BR39" s="25">
        <v>2.6869723063018172</v>
      </c>
      <c r="BS39" s="26">
        <v>2.9508093815154899</v>
      </c>
      <c r="BT39" s="603"/>
      <c r="BU39" s="599">
        <v>0.1370526057083804</v>
      </c>
      <c r="BV39" s="851">
        <v>2.9080333180525275E-2</v>
      </c>
      <c r="BW39" s="851">
        <v>6.1323712113839107E-2</v>
      </c>
      <c r="BX39" s="851">
        <v>0.12854370815612487</v>
      </c>
      <c r="BY39" s="851">
        <v>5.759874061778982E-3</v>
      </c>
      <c r="BZ39" s="851">
        <v>2.3163464539078339E-2</v>
      </c>
      <c r="CA39" s="851">
        <v>2.1566926121602079E-2</v>
      </c>
      <c r="CB39" s="851">
        <v>3.0371904762066592E-2</v>
      </c>
      <c r="CC39" s="851">
        <v>1.1812828581756378E-2</v>
      </c>
      <c r="CD39" s="851">
        <v>6.33384417038939E-3</v>
      </c>
      <c r="CE39" s="852">
        <v>19.413070117296996</v>
      </c>
      <c r="CF39" s="852">
        <v>25.033515405634681</v>
      </c>
      <c r="CG39" s="603"/>
      <c r="CH39" s="584">
        <v>50.920500000000004</v>
      </c>
      <c r="CI39" s="576">
        <v>2.4844999999999997</v>
      </c>
      <c r="CJ39" s="576">
        <v>13.608499999999999</v>
      </c>
      <c r="CK39" s="576">
        <v>11.873000000000001</v>
      </c>
      <c r="CL39" s="576">
        <v>0.16550000000000001</v>
      </c>
      <c r="CM39" s="576">
        <v>7.9249999999999998</v>
      </c>
      <c r="CN39" s="576">
        <v>10.829499999999999</v>
      </c>
      <c r="CO39" s="576">
        <v>2.2080000000000002</v>
      </c>
      <c r="CP39" s="576">
        <v>0.44650000000000001</v>
      </c>
      <c r="CQ39" s="576">
        <v>0.23449999999999999</v>
      </c>
      <c r="CR39" s="792">
        <v>1.2999999999999999E-2</v>
      </c>
      <c r="CS39" s="793">
        <v>1370</v>
      </c>
      <c r="CT39" s="576">
        <f>SUM(CH39:CR39)+(CS39/10000)</f>
        <v>100.84549999999999</v>
      </c>
      <c r="CU39" s="576">
        <v>0.59504818594104303</v>
      </c>
      <c r="CV39" s="591">
        <v>10</v>
      </c>
      <c r="CW39" s="603"/>
      <c r="CX39" s="936" t="s">
        <v>1007</v>
      </c>
      <c r="CY39" s="934" t="s">
        <v>64</v>
      </c>
      <c r="CZ39" s="934" t="s">
        <v>64</v>
      </c>
      <c r="DA39" s="938" t="str">
        <f t="shared" si="54"/>
        <v>-</v>
      </c>
      <c r="DB39" s="936" t="s">
        <v>1007</v>
      </c>
      <c r="DC39" s="934" t="s">
        <v>64</v>
      </c>
      <c r="DD39" s="934" t="s">
        <v>64</v>
      </c>
      <c r="DE39" s="939" t="str">
        <f t="shared" si="55"/>
        <v>-</v>
      </c>
      <c r="DF39" s="9"/>
    </row>
    <row r="40" spans="1:110">
      <c r="A40" s="846" t="s">
        <v>140</v>
      </c>
      <c r="B40" s="41" t="s">
        <v>158</v>
      </c>
      <c r="C40" s="41" t="s">
        <v>1484</v>
      </c>
      <c r="D40" s="34">
        <v>1650</v>
      </c>
      <c r="E40" s="535">
        <v>19.370640000000002</v>
      </c>
      <c r="F40" s="537">
        <v>-155.24653000000001</v>
      </c>
      <c r="G40" s="37" t="s">
        <v>405</v>
      </c>
      <c r="H40" s="37" t="s">
        <v>64</v>
      </c>
      <c r="I40" s="202" t="s">
        <v>779</v>
      </c>
      <c r="J40" t="s">
        <v>885</v>
      </c>
      <c r="K40" s="34">
        <v>2001</v>
      </c>
      <c r="L40" s="51">
        <v>170</v>
      </c>
      <c r="M40" s="52">
        <v>95</v>
      </c>
      <c r="N40" s="838">
        <f t="shared" si="40"/>
        <v>1120402.8854166667</v>
      </c>
      <c r="O40" s="54">
        <v>1072689.9469902718</v>
      </c>
      <c r="P40" s="53">
        <v>45</v>
      </c>
      <c r="Q40" s="54">
        <v>47712.938426394983</v>
      </c>
      <c r="R40" s="772">
        <f t="shared" si="41"/>
        <v>4.2585519055184345E-2</v>
      </c>
      <c r="S40" s="39" t="s">
        <v>295</v>
      </c>
      <c r="T40" s="37" t="s">
        <v>132</v>
      </c>
      <c r="U40" s="21">
        <v>84.2</v>
      </c>
      <c r="V40" s="552">
        <v>1.46</v>
      </c>
      <c r="W40" s="847">
        <v>1.59</v>
      </c>
      <c r="X40" s="556" t="s">
        <v>423</v>
      </c>
      <c r="Y40" s="784" t="s">
        <v>64</v>
      </c>
      <c r="Z40" s="784" t="s">
        <v>64</v>
      </c>
      <c r="AA40" s="785" t="s">
        <v>64</v>
      </c>
      <c r="AB40" s="32">
        <f t="shared" si="42"/>
        <v>1180.7541774258948</v>
      </c>
      <c r="AC40" s="6">
        <f t="shared" si="43"/>
        <v>1174.5387000000001</v>
      </c>
      <c r="AD40" s="6">
        <f t="shared" si="44"/>
        <v>6.2154774258947327</v>
      </c>
      <c r="AE40" s="6">
        <f t="shared" si="45"/>
        <v>1194.1620583200056</v>
      </c>
      <c r="AF40" s="839">
        <v>0.99299999999999999</v>
      </c>
      <c r="AG40" s="553">
        <f t="shared" si="46"/>
        <v>7.0493454179254567E-3</v>
      </c>
      <c r="AH40" s="32">
        <f>100*(AN40/40.3)/((AN40/40.3)+(AL40/71.85))</f>
        <v>57.077477773678154</v>
      </c>
      <c r="AI40" s="9">
        <v>50.931632918027326</v>
      </c>
      <c r="AJ40" s="9">
        <v>2.5138254337838073</v>
      </c>
      <c r="AK40" s="9">
        <v>13.331929282132856</v>
      </c>
      <c r="AL40" s="9">
        <v>11.123023426586238</v>
      </c>
      <c r="AM40" s="9">
        <v>0.15095028625603324</v>
      </c>
      <c r="AN40" s="9">
        <v>8.2962277326315874</v>
      </c>
      <c r="AO40" s="9">
        <v>10.711432312728119</v>
      </c>
      <c r="AP40" s="9">
        <v>2.16362076966981</v>
      </c>
      <c r="AQ40" s="9">
        <v>0.3884454032988589</v>
      </c>
      <c r="AR40" s="9">
        <v>0.24957113994330832</v>
      </c>
      <c r="AS40" s="6">
        <v>140.96430095278038</v>
      </c>
      <c r="AT40" s="6">
        <v>1223.368754697344</v>
      </c>
      <c r="AU40" s="9">
        <v>99.245499999999979</v>
      </c>
      <c r="AV40" s="8">
        <f t="shared" si="47"/>
        <v>2.2252394903847446</v>
      </c>
      <c r="AW40" s="9">
        <f t="shared" si="48"/>
        <v>9.1208792098007159</v>
      </c>
      <c r="AX40" s="8">
        <v>0.54822751322751317</v>
      </c>
      <c r="AY40" s="789">
        <v>2.7411375661375661E-2</v>
      </c>
      <c r="AZ40" s="6">
        <v>28.896825396825403</v>
      </c>
      <c r="BA40" s="48">
        <v>2.8896825396825405</v>
      </c>
      <c r="BB40" s="6" t="s">
        <v>64</v>
      </c>
      <c r="BC40" s="48" t="s">
        <v>64</v>
      </c>
      <c r="BD40" s="849" t="s">
        <v>1007</v>
      </c>
      <c r="BE40" s="48" t="s">
        <v>1007</v>
      </c>
      <c r="BF40" s="668" t="s">
        <v>1007</v>
      </c>
      <c r="BG40" s="48" t="s">
        <v>64</v>
      </c>
      <c r="BH40" s="48" t="s">
        <v>64</v>
      </c>
      <c r="BI40" s="850" t="str">
        <f t="shared" si="49"/>
        <v>-</v>
      </c>
      <c r="BJ40" s="789" t="str">
        <f t="shared" si="50"/>
        <v>-</v>
      </c>
      <c r="BK40" s="563" t="s">
        <v>64</v>
      </c>
      <c r="BL40" s="48" t="s">
        <v>64</v>
      </c>
      <c r="BM40" s="48" t="s">
        <v>64</v>
      </c>
      <c r="BN40" s="850" t="str">
        <f t="shared" si="51"/>
        <v>-</v>
      </c>
      <c r="BO40" s="789" t="str">
        <f t="shared" si="52"/>
        <v>-</v>
      </c>
      <c r="BP40" s="789" t="str">
        <f t="shared" si="53"/>
        <v>-</v>
      </c>
      <c r="BQ40" s="34" t="s">
        <v>64</v>
      </c>
      <c r="BR40" s="25">
        <v>2.677914890696711</v>
      </c>
      <c r="BS40" s="26">
        <v>2.938959633327368</v>
      </c>
      <c r="BT40" s="603"/>
      <c r="BU40" s="599">
        <v>0.13896996826610236</v>
      </c>
      <c r="BV40" s="851">
        <v>3.0434012276825691E-2</v>
      </c>
      <c r="BW40" s="851">
        <v>6.2152204130500883E-2</v>
      </c>
      <c r="BX40" s="851">
        <v>0.12102712466849039</v>
      </c>
      <c r="BY40" s="851">
        <v>5.3334601031208417E-3</v>
      </c>
      <c r="BZ40" s="851">
        <v>2.1787600231216692E-2</v>
      </c>
      <c r="CA40" s="851">
        <v>2.2040018955841303E-2</v>
      </c>
      <c r="CB40" s="851">
        <v>3.0803101490488566E-2</v>
      </c>
      <c r="CC40" s="851">
        <v>1.0654111951034389E-2</v>
      </c>
      <c r="CD40" s="851">
        <v>7.0127903428330758E-3</v>
      </c>
      <c r="CE40" s="852">
        <v>21.63660204219013</v>
      </c>
      <c r="CF40" s="852">
        <v>22.976702574591098</v>
      </c>
      <c r="CG40" s="603"/>
      <c r="CH40" s="584">
        <v>50.631</v>
      </c>
      <c r="CI40" s="576">
        <v>2.5099999999999998</v>
      </c>
      <c r="CJ40" s="576">
        <v>13.3225</v>
      </c>
      <c r="CK40" s="576">
        <v>11.0105</v>
      </c>
      <c r="CL40" s="576">
        <v>0.14799999999999999</v>
      </c>
      <c r="CM40" s="576">
        <v>7.9870000000000001</v>
      </c>
      <c r="CN40" s="576">
        <v>10.704499999999999</v>
      </c>
      <c r="CO40" s="576">
        <v>2.1585000000000001</v>
      </c>
      <c r="CP40" s="576">
        <v>0.39300000000000002</v>
      </c>
      <c r="CQ40" s="576">
        <v>0.245</v>
      </c>
      <c r="CR40" s="792">
        <v>1.4E-2</v>
      </c>
      <c r="CS40" s="793">
        <v>1215</v>
      </c>
      <c r="CT40" s="576">
        <f>SUM(CH40:CR40)+(CS40/10000)</f>
        <v>99.245499999999979</v>
      </c>
      <c r="CU40" s="576">
        <v>0.54822751322751317</v>
      </c>
      <c r="CV40" s="591">
        <v>29.100529100529105</v>
      </c>
      <c r="CW40" s="603"/>
      <c r="CX40" s="936" t="s">
        <v>1007</v>
      </c>
      <c r="CY40" s="934" t="s">
        <v>64</v>
      </c>
      <c r="CZ40" s="934" t="s">
        <v>64</v>
      </c>
      <c r="DA40" s="938" t="str">
        <f t="shared" si="54"/>
        <v>-</v>
      </c>
      <c r="DB40" s="936" t="s">
        <v>1007</v>
      </c>
      <c r="DC40" s="934" t="s">
        <v>64</v>
      </c>
      <c r="DD40" s="934" t="s">
        <v>64</v>
      </c>
      <c r="DE40" s="939" t="str">
        <f t="shared" si="55"/>
        <v>-</v>
      </c>
      <c r="DF40" s="9"/>
    </row>
    <row r="41" spans="1:110">
      <c r="A41" s="846" t="s">
        <v>141</v>
      </c>
      <c r="B41" s="41" t="s">
        <v>158</v>
      </c>
      <c r="C41" s="41" t="s">
        <v>1484</v>
      </c>
      <c r="D41" s="34">
        <v>1650</v>
      </c>
      <c r="E41" s="535">
        <v>19.370640000000002</v>
      </c>
      <c r="F41" s="537">
        <v>-155.24653000000001</v>
      </c>
      <c r="G41" s="37" t="s">
        <v>405</v>
      </c>
      <c r="H41" s="37" t="s">
        <v>64</v>
      </c>
      <c r="I41" s="202" t="s">
        <v>779</v>
      </c>
      <c r="J41" t="s">
        <v>885</v>
      </c>
      <c r="K41" s="34">
        <v>2001</v>
      </c>
      <c r="L41" s="51">
        <v>70</v>
      </c>
      <c r="M41" s="52">
        <v>60</v>
      </c>
      <c r="N41" s="838">
        <f t="shared" si="40"/>
        <v>142938.25</v>
      </c>
      <c r="O41" s="54">
        <v>142938.25</v>
      </c>
      <c r="P41" s="53" t="s">
        <v>151</v>
      </c>
      <c r="Q41" s="54" t="s">
        <v>151</v>
      </c>
      <c r="R41" s="772">
        <f t="shared" si="41"/>
        <v>0</v>
      </c>
      <c r="S41" s="39" t="s">
        <v>295</v>
      </c>
      <c r="T41" s="37" t="s">
        <v>132</v>
      </c>
      <c r="U41" s="21">
        <v>84.2</v>
      </c>
      <c r="V41" s="552">
        <v>1.46</v>
      </c>
      <c r="W41" s="847">
        <v>1.59</v>
      </c>
      <c r="X41" s="556" t="s">
        <v>64</v>
      </c>
      <c r="Y41" s="784" t="s">
        <v>64</v>
      </c>
      <c r="Z41" s="784" t="s">
        <v>64</v>
      </c>
      <c r="AA41" s="785" t="s">
        <v>64</v>
      </c>
      <c r="AB41" s="32">
        <f t="shared" si="42"/>
        <v>1176.794634015771</v>
      </c>
      <c r="AC41" s="6">
        <f t="shared" si="43"/>
        <v>1172.2272</v>
      </c>
      <c r="AD41" s="6">
        <f t="shared" si="44"/>
        <v>4.5674340157709139</v>
      </c>
      <c r="AE41" s="6">
        <f t="shared" si="45"/>
        <v>1194.1620583200056</v>
      </c>
      <c r="AF41" s="839">
        <v>0.99299999999999999</v>
      </c>
      <c r="AG41" s="553">
        <f t="shared" si="46"/>
        <v>7.0493454179254567E-3</v>
      </c>
      <c r="AH41" s="32">
        <f>100*(AN41/40.3)/((AN41/40.3)+(AL41/71.85))</f>
        <v>57.126458973025827</v>
      </c>
      <c r="AI41" s="9">
        <v>50.935930200397685</v>
      </c>
      <c r="AJ41" s="9">
        <v>2.4934657257326251</v>
      </c>
      <c r="AK41" s="9">
        <v>13.829779231020659</v>
      </c>
      <c r="AL41" s="9">
        <v>10.837217863656322</v>
      </c>
      <c r="AM41" s="9">
        <v>0.19118583046376059</v>
      </c>
      <c r="AN41" s="9">
        <v>8.0992355231726787</v>
      </c>
      <c r="AO41" s="9">
        <v>10.651063239257399</v>
      </c>
      <c r="AP41" s="9">
        <v>2.1533561957497245</v>
      </c>
      <c r="AQ41" s="9">
        <v>0.4487835809833538</v>
      </c>
      <c r="AR41" s="9">
        <v>0.21936058442684109</v>
      </c>
      <c r="AS41" s="6">
        <v>139.82473229716101</v>
      </c>
      <c r="AT41" s="6">
        <v>1188.5102245258684</v>
      </c>
      <c r="AU41" s="9">
        <v>100.04499999999999</v>
      </c>
      <c r="AV41" s="8">
        <f t="shared" si="47"/>
        <v>2.1680620665124586</v>
      </c>
      <c r="AW41" s="9">
        <f t="shared" si="48"/>
        <v>8.8865186481981855</v>
      </c>
      <c r="AX41" s="8">
        <v>0.50347424684159381</v>
      </c>
      <c r="AY41" s="789">
        <v>2.5173712342079692E-2</v>
      </c>
      <c r="AZ41" s="6">
        <v>77.402210884353735</v>
      </c>
      <c r="BA41" s="48">
        <v>7.7402210884353737</v>
      </c>
      <c r="BB41" s="6" t="s">
        <v>151</v>
      </c>
      <c r="BC41" s="48" t="s">
        <v>151</v>
      </c>
      <c r="BD41" s="849">
        <v>77.402210884353735</v>
      </c>
      <c r="BE41" s="48">
        <v>7.7402210884353737</v>
      </c>
      <c r="BF41" s="668">
        <v>229.79997444328319</v>
      </c>
      <c r="BG41" s="48">
        <v>19.225412666310007</v>
      </c>
      <c r="BH41" s="48">
        <v>19.287736252380881</v>
      </c>
      <c r="BI41" s="850">
        <f t="shared" si="49"/>
        <v>1.0015896786061604</v>
      </c>
      <c r="BJ41" s="789">
        <f t="shared" si="50"/>
        <v>8.1721343091466614E-2</v>
      </c>
      <c r="BK41" s="563" t="s">
        <v>64</v>
      </c>
      <c r="BL41" s="48" t="s">
        <v>64</v>
      </c>
      <c r="BM41" s="48" t="s">
        <v>64</v>
      </c>
      <c r="BN41" s="850" t="str">
        <f t="shared" si="51"/>
        <v>-</v>
      </c>
      <c r="BO41" s="789" t="str">
        <f t="shared" si="52"/>
        <v>-</v>
      </c>
      <c r="BP41" s="789" t="str">
        <f t="shared" si="53"/>
        <v>-</v>
      </c>
      <c r="BQ41" s="34" t="s">
        <v>64</v>
      </c>
      <c r="BR41" s="25">
        <v>2.6755915703881739</v>
      </c>
      <c r="BS41" s="26">
        <v>2.931715113411046</v>
      </c>
      <c r="BT41" s="603"/>
      <c r="BU41" s="599">
        <v>0.13898169365483279</v>
      </c>
      <c r="BV41" s="851">
        <v>3.0187524355884579E-2</v>
      </c>
      <c r="BW41" s="851">
        <v>6.4473133907041361E-2</v>
      </c>
      <c r="BX41" s="851">
        <v>0.11791733840183653</v>
      </c>
      <c r="BY41" s="851">
        <v>6.7550848981562453E-3</v>
      </c>
      <c r="BZ41" s="851">
        <v>2.1270258175685463E-2</v>
      </c>
      <c r="CA41" s="851">
        <v>2.191580255930391E-2</v>
      </c>
      <c r="CB41" s="851">
        <v>3.0656966494629165E-2</v>
      </c>
      <c r="CC41" s="851">
        <v>1.2309041304072513E-2</v>
      </c>
      <c r="CD41" s="851">
        <v>6.1638929421735707E-3</v>
      </c>
      <c r="CE41" s="852">
        <v>21.46168971804326</v>
      </c>
      <c r="CF41" s="852">
        <v>22.322007024404716</v>
      </c>
      <c r="CG41" s="603"/>
      <c r="CH41" s="584">
        <v>51.048999999999999</v>
      </c>
      <c r="CI41" s="576">
        <v>2.5150000000000001</v>
      </c>
      <c r="CJ41" s="576">
        <v>13.93</v>
      </c>
      <c r="CK41" s="576">
        <v>10.766999999999999</v>
      </c>
      <c r="CL41" s="576">
        <v>0.191</v>
      </c>
      <c r="CM41" s="576">
        <v>7.8719999999999999</v>
      </c>
      <c r="CN41" s="576">
        <v>10.73</v>
      </c>
      <c r="CO41" s="576">
        <v>2.1749999999999998</v>
      </c>
      <c r="CP41" s="576">
        <v>0.45700000000000002</v>
      </c>
      <c r="CQ41" s="576">
        <v>0.22600000000000001</v>
      </c>
      <c r="CR41" s="792">
        <v>1.4E-2</v>
      </c>
      <c r="CS41" s="793">
        <v>1190</v>
      </c>
      <c r="CT41" s="576">
        <f>SUM(CH41:CR41)+(CS41/10000)</f>
        <v>100.04499999999999</v>
      </c>
      <c r="CU41" s="576">
        <v>0.50347424684159381</v>
      </c>
      <c r="CV41" s="591">
        <v>77.94784580498866</v>
      </c>
      <c r="CW41" s="603"/>
      <c r="CX41" s="936">
        <v>190.63473826202971</v>
      </c>
      <c r="CY41" s="934">
        <v>16.733210146964979</v>
      </c>
      <c r="CZ41" s="934">
        <v>16.750341466708903</v>
      </c>
      <c r="DA41" s="938">
        <f t="shared" si="54"/>
        <v>0.83441127832120021</v>
      </c>
      <c r="DB41" s="936">
        <v>188.4129061869163</v>
      </c>
      <c r="DC41" s="934">
        <v>16.280704924204002</v>
      </c>
      <c r="DD41" s="934">
        <v>16.494836504827816</v>
      </c>
      <c r="DE41" s="939">
        <f t="shared" si="55"/>
        <v>0.8248850762935972</v>
      </c>
      <c r="DF41" s="9"/>
    </row>
    <row r="42" spans="1:110">
      <c r="A42" s="846" t="s">
        <v>142</v>
      </c>
      <c r="B42" s="41" t="s">
        <v>158</v>
      </c>
      <c r="C42" s="41" t="s">
        <v>1484</v>
      </c>
      <c r="D42" s="34">
        <v>1650</v>
      </c>
      <c r="E42" s="535">
        <v>19.370640000000002</v>
      </c>
      <c r="F42" s="537">
        <v>-155.24653000000001</v>
      </c>
      <c r="G42" s="37" t="s">
        <v>405</v>
      </c>
      <c r="H42" s="37" t="s">
        <v>64</v>
      </c>
      <c r="I42" s="202" t="s">
        <v>779</v>
      </c>
      <c r="J42" t="s">
        <v>876</v>
      </c>
      <c r="K42" s="34">
        <v>2001</v>
      </c>
      <c r="L42" s="51">
        <v>145</v>
      </c>
      <c r="M42" s="52">
        <v>125</v>
      </c>
      <c r="N42" s="838">
        <f t="shared" si="40"/>
        <v>1281142.9687500002</v>
      </c>
      <c r="O42" s="54">
        <v>1281142.9687500002</v>
      </c>
      <c r="P42" s="53" t="s">
        <v>151</v>
      </c>
      <c r="Q42" s="54" t="s">
        <v>151</v>
      </c>
      <c r="R42" s="772">
        <f t="shared" si="41"/>
        <v>0</v>
      </c>
      <c r="S42" s="39" t="s">
        <v>295</v>
      </c>
      <c r="T42" s="37" t="s">
        <v>132</v>
      </c>
      <c r="U42" s="21">
        <v>84.2</v>
      </c>
      <c r="V42" s="552">
        <v>1.46</v>
      </c>
      <c r="W42" s="847">
        <v>1.59</v>
      </c>
      <c r="X42" s="556" t="s">
        <v>64</v>
      </c>
      <c r="Y42" s="784" t="s">
        <v>64</v>
      </c>
      <c r="Z42" s="784" t="s">
        <v>64</v>
      </c>
      <c r="AA42" s="785" t="s">
        <v>64</v>
      </c>
      <c r="AB42" s="32" t="str">
        <f t="shared" si="42"/>
        <v>-</v>
      </c>
      <c r="AC42" s="6" t="str">
        <f t="shared" si="43"/>
        <v>-</v>
      </c>
      <c r="AD42" s="6" t="str">
        <f t="shared" si="44"/>
        <v>-</v>
      </c>
      <c r="AE42" s="6">
        <f t="shared" si="45"/>
        <v>1194.1620583200056</v>
      </c>
      <c r="AF42" s="839" t="s">
        <v>64</v>
      </c>
      <c r="AG42" s="553" t="str">
        <f t="shared" si="46"/>
        <v>-</v>
      </c>
      <c r="AH42" s="32" t="s">
        <v>64</v>
      </c>
      <c r="AI42" s="9" t="s">
        <v>64</v>
      </c>
      <c r="AJ42" s="9" t="s">
        <v>64</v>
      </c>
      <c r="AK42" s="9" t="s">
        <v>64</v>
      </c>
      <c r="AL42" s="9" t="s">
        <v>64</v>
      </c>
      <c r="AM42" s="9" t="s">
        <v>64</v>
      </c>
      <c r="AN42" s="9" t="s">
        <v>64</v>
      </c>
      <c r="AO42" s="9" t="s">
        <v>64</v>
      </c>
      <c r="AP42" s="9" t="s">
        <v>64</v>
      </c>
      <c r="AQ42" s="9" t="s">
        <v>64</v>
      </c>
      <c r="AR42" s="9" t="s">
        <v>64</v>
      </c>
      <c r="AS42" s="6" t="s">
        <v>64</v>
      </c>
      <c r="AT42" s="6" t="s">
        <v>64</v>
      </c>
      <c r="AU42" s="9" t="s">
        <v>64</v>
      </c>
      <c r="AV42" s="8" t="str">
        <f t="shared" si="47"/>
        <v>-</v>
      </c>
      <c r="AW42" s="9" t="str">
        <f t="shared" si="48"/>
        <v>-</v>
      </c>
      <c r="AX42" s="8">
        <v>0.5249590576971529</v>
      </c>
      <c r="AY42" s="789">
        <v>2.6247952884857647E-2</v>
      </c>
      <c r="AZ42" s="6">
        <v>9.3239999999999998</v>
      </c>
      <c r="BA42" s="48">
        <v>0.93240000000000001</v>
      </c>
      <c r="BB42" s="6" t="s">
        <v>151</v>
      </c>
      <c r="BC42" s="48" t="s">
        <v>151</v>
      </c>
      <c r="BD42" s="849">
        <v>9.3239999999999998</v>
      </c>
      <c r="BE42" s="48">
        <v>0.93240000000000001</v>
      </c>
      <c r="BF42" s="668">
        <v>51.690376144298241</v>
      </c>
      <c r="BG42" s="48">
        <v>2.1872517431522169</v>
      </c>
      <c r="BH42" s="48">
        <v>2.188038441658712</v>
      </c>
      <c r="BI42" s="850">
        <f t="shared" si="49"/>
        <v>0.22972734316602281</v>
      </c>
      <c r="BJ42" s="789">
        <f t="shared" si="50"/>
        <v>9.6649744572646773E-3</v>
      </c>
      <c r="BK42" s="563" t="s">
        <v>64</v>
      </c>
      <c r="BL42" s="48" t="s">
        <v>64</v>
      </c>
      <c r="BM42" s="48" t="s">
        <v>64</v>
      </c>
      <c r="BN42" s="850" t="str">
        <f t="shared" si="51"/>
        <v>-</v>
      </c>
      <c r="BO42" s="789" t="str">
        <f t="shared" si="52"/>
        <v>-</v>
      </c>
      <c r="BP42" s="789" t="str">
        <f t="shared" si="53"/>
        <v>-</v>
      </c>
      <c r="BQ42" s="34" t="s">
        <v>64</v>
      </c>
      <c r="BR42" s="45" t="s">
        <v>64</v>
      </c>
      <c r="BS42" s="854" t="s">
        <v>64</v>
      </c>
      <c r="BT42" s="603"/>
      <c r="BU42" s="599" t="s">
        <v>64</v>
      </c>
      <c r="BV42" s="851" t="s">
        <v>64</v>
      </c>
      <c r="BW42" s="851" t="s">
        <v>64</v>
      </c>
      <c r="BX42" s="851" t="s">
        <v>64</v>
      </c>
      <c r="BY42" s="851" t="s">
        <v>64</v>
      </c>
      <c r="BZ42" s="851" t="s">
        <v>64</v>
      </c>
      <c r="CA42" s="851" t="s">
        <v>64</v>
      </c>
      <c r="CB42" s="851" t="s">
        <v>64</v>
      </c>
      <c r="CC42" s="851" t="s">
        <v>64</v>
      </c>
      <c r="CD42" s="851" t="s">
        <v>64</v>
      </c>
      <c r="CE42" s="852" t="s">
        <v>64</v>
      </c>
      <c r="CF42" s="852" t="s">
        <v>64</v>
      </c>
      <c r="CG42" s="603"/>
      <c r="CH42" s="584" t="s">
        <v>64</v>
      </c>
      <c r="CI42" s="576" t="s">
        <v>64</v>
      </c>
      <c r="CJ42" s="576" t="s">
        <v>64</v>
      </c>
      <c r="CK42" s="576" t="s">
        <v>64</v>
      </c>
      <c r="CL42" s="576" t="s">
        <v>64</v>
      </c>
      <c r="CM42" s="576" t="s">
        <v>64</v>
      </c>
      <c r="CN42" s="576" t="s">
        <v>64</v>
      </c>
      <c r="CO42" s="576" t="s">
        <v>64</v>
      </c>
      <c r="CP42" s="576" t="s">
        <v>64</v>
      </c>
      <c r="CQ42" s="576" t="s">
        <v>64</v>
      </c>
      <c r="CR42" s="792" t="s">
        <v>64</v>
      </c>
      <c r="CS42" s="793" t="s">
        <v>64</v>
      </c>
      <c r="CT42" s="855" t="s">
        <v>64</v>
      </c>
      <c r="CU42" s="576">
        <v>0.5249590576971529</v>
      </c>
      <c r="CV42" s="591">
        <v>10</v>
      </c>
      <c r="CW42" s="603"/>
      <c r="CX42" s="936">
        <v>44.819446990564657</v>
      </c>
      <c r="CY42" s="934">
        <v>2.0339198319170251</v>
      </c>
      <c r="CZ42" s="934">
        <v>2.0340996304658177</v>
      </c>
      <c r="DA42" s="938">
        <f t="shared" si="54"/>
        <v>0.19934308783271931</v>
      </c>
      <c r="DB42" s="936">
        <v>26.14664444710245</v>
      </c>
      <c r="DC42" s="934">
        <v>2.2593240113766306</v>
      </c>
      <c r="DD42" s="934">
        <v>2.289039716190981</v>
      </c>
      <c r="DE42" s="939">
        <f t="shared" si="55"/>
        <v>0.1165343529081745</v>
      </c>
      <c r="DF42" s="19"/>
    </row>
    <row r="43" spans="1:110">
      <c r="A43" s="846" t="s">
        <v>143</v>
      </c>
      <c r="B43" s="41" t="s">
        <v>158</v>
      </c>
      <c r="C43" s="41" t="s">
        <v>1484</v>
      </c>
      <c r="D43" s="34">
        <v>1650</v>
      </c>
      <c r="E43" s="535">
        <v>19.370640000000002</v>
      </c>
      <c r="F43" s="537">
        <v>-155.24653000000001</v>
      </c>
      <c r="G43" s="37" t="s">
        <v>997</v>
      </c>
      <c r="H43" s="860" t="s">
        <v>760</v>
      </c>
      <c r="I43" s="202" t="s">
        <v>779</v>
      </c>
      <c r="J43" t="s">
        <v>885</v>
      </c>
      <c r="K43" s="34">
        <v>2001</v>
      </c>
      <c r="L43" s="51">
        <v>140</v>
      </c>
      <c r="M43" s="52">
        <v>123</v>
      </c>
      <c r="N43" s="838">
        <f t="shared" si="40"/>
        <v>1185617.8075000001</v>
      </c>
      <c r="O43" s="54">
        <v>964724.57404446776</v>
      </c>
      <c r="P43" s="53">
        <v>75</v>
      </c>
      <c r="Q43" s="54">
        <v>220893.23345553235</v>
      </c>
      <c r="R43" s="772">
        <f t="shared" si="41"/>
        <v>0.18631065766573546</v>
      </c>
      <c r="S43" s="39" t="s">
        <v>297</v>
      </c>
      <c r="T43" s="37" t="s">
        <v>132</v>
      </c>
      <c r="U43" s="21">
        <v>89.7</v>
      </c>
      <c r="V43" s="552">
        <v>0.77</v>
      </c>
      <c r="W43" s="847">
        <v>0.83</v>
      </c>
      <c r="X43" s="556" t="s">
        <v>423</v>
      </c>
      <c r="Y43" s="784" t="s">
        <v>64</v>
      </c>
      <c r="Z43" s="784" t="s">
        <v>64</v>
      </c>
      <c r="AA43" s="785" t="s">
        <v>64</v>
      </c>
      <c r="AB43" s="32">
        <f t="shared" si="42"/>
        <v>1280.833454549487</v>
      </c>
      <c r="AC43" s="6">
        <f t="shared" si="43"/>
        <v>1179.8652</v>
      </c>
      <c r="AD43" s="6">
        <f t="shared" si="44"/>
        <v>100.96825454948703</v>
      </c>
      <c r="AE43" s="6">
        <f t="shared" si="45"/>
        <v>1295.0946389700075</v>
      </c>
      <c r="AF43" s="839">
        <v>0.873</v>
      </c>
      <c r="AG43" s="553">
        <f t="shared" si="46"/>
        <v>0.14547537227949592</v>
      </c>
      <c r="AH43" s="32">
        <f t="shared" ref="AH43" si="56">100*(AN43/40.3)/((AN43/40.3)+(AL43/71.85))</f>
        <v>68.588611274091903</v>
      </c>
      <c r="AI43" s="9">
        <v>49.733832016382358</v>
      </c>
      <c r="AJ43" s="9">
        <v>2.0457574486596362</v>
      </c>
      <c r="AK43" s="9">
        <v>11.445781595745657</v>
      </c>
      <c r="AL43" s="9">
        <v>10.839295980435056</v>
      </c>
      <c r="AM43" s="9">
        <v>0.15589597076806475</v>
      </c>
      <c r="AN43" s="9">
        <v>13.275296246243137</v>
      </c>
      <c r="AO43" s="9">
        <v>10.028636932441119</v>
      </c>
      <c r="AP43" s="9">
        <v>1.8496302596288454</v>
      </c>
      <c r="AQ43" s="9">
        <v>0.32386130701494736</v>
      </c>
      <c r="AR43" s="9">
        <v>0.17500579944285977</v>
      </c>
      <c r="AS43" s="6">
        <v>131.38374677054492</v>
      </c>
      <c r="AT43" s="6">
        <v>1129.9002222266865</v>
      </c>
      <c r="AU43" s="9">
        <v>100.24600000000001</v>
      </c>
      <c r="AV43" s="8">
        <f t="shared" si="47"/>
        <v>2.1684778084689675</v>
      </c>
      <c r="AW43" s="9">
        <f t="shared" si="48"/>
        <v>8.8882227039567461</v>
      </c>
      <c r="AX43" s="8">
        <v>0.74572562358276628</v>
      </c>
      <c r="AY43" s="789">
        <v>3.7286281179138313E-2</v>
      </c>
      <c r="AZ43" s="6">
        <v>8.73</v>
      </c>
      <c r="BA43" s="48">
        <v>0.87300000000000011</v>
      </c>
      <c r="BB43" s="6" t="s">
        <v>64</v>
      </c>
      <c r="BC43" s="48" t="s">
        <v>64</v>
      </c>
      <c r="BD43" s="6" t="s">
        <v>998</v>
      </c>
      <c r="BE43" s="48" t="s">
        <v>998</v>
      </c>
      <c r="BF43" s="668" t="s">
        <v>1008</v>
      </c>
      <c r="BG43" s="48" t="s">
        <v>64</v>
      </c>
      <c r="BH43" s="48" t="s">
        <v>64</v>
      </c>
      <c r="BI43" s="850" t="str">
        <f t="shared" si="49"/>
        <v>-</v>
      </c>
      <c r="BJ43" s="789" t="str">
        <f t="shared" si="50"/>
        <v>-</v>
      </c>
      <c r="BK43" s="563" t="s">
        <v>911</v>
      </c>
      <c r="BL43" s="48" t="s">
        <v>64</v>
      </c>
      <c r="BM43" s="48" t="s">
        <v>64</v>
      </c>
      <c r="BN43" s="850" t="str">
        <f t="shared" si="51"/>
        <v>-</v>
      </c>
      <c r="BO43" s="789" t="str">
        <f t="shared" si="52"/>
        <v>-</v>
      </c>
      <c r="BP43" s="789" t="str">
        <f t="shared" si="53"/>
        <v>-</v>
      </c>
      <c r="BQ43" s="34" t="s">
        <v>911</v>
      </c>
      <c r="BR43" s="25">
        <v>2.671643698116823</v>
      </c>
      <c r="BS43" s="26">
        <v>2.9338675687808222</v>
      </c>
      <c r="BT43" s="603"/>
      <c r="BU43" s="599">
        <v>0.13570169776791083</v>
      </c>
      <c r="BV43" s="851">
        <v>2.4767275591686722E-2</v>
      </c>
      <c r="BW43" s="851">
        <v>5.3359160487393975E-2</v>
      </c>
      <c r="BX43" s="851">
        <v>0.11793994992469409</v>
      </c>
      <c r="BY43" s="851">
        <v>5.5082037997495623E-3</v>
      </c>
      <c r="BZ43" s="851">
        <v>3.4863658145070024E-2</v>
      </c>
      <c r="CA43" s="851">
        <v>2.0635087973212188E-2</v>
      </c>
      <c r="CB43" s="851">
        <v>2.6332871918178569E-2</v>
      </c>
      <c r="CC43" s="851">
        <v>8.882727385219915E-3</v>
      </c>
      <c r="CD43" s="851">
        <v>4.9175516870718838E-3</v>
      </c>
      <c r="CE43" s="852">
        <v>20.166083359207366</v>
      </c>
      <c r="CF43" s="852">
        <v>21.221223155637723</v>
      </c>
      <c r="CG43" s="603"/>
      <c r="CH43" s="584">
        <v>51.207999999999998</v>
      </c>
      <c r="CI43" s="576">
        <v>2.3250000000000002</v>
      </c>
      <c r="CJ43" s="576">
        <v>13.143000000000001</v>
      </c>
      <c r="CK43" s="576">
        <v>10.845000000000001</v>
      </c>
      <c r="CL43" s="576">
        <v>0.16400000000000001</v>
      </c>
      <c r="CM43" s="576">
        <v>8.2520000000000007</v>
      </c>
      <c r="CN43" s="576">
        <v>11.471</v>
      </c>
      <c r="CO43" s="576">
        <v>2.1190000000000002</v>
      </c>
      <c r="CP43" s="576">
        <v>0.375</v>
      </c>
      <c r="CQ43" s="576">
        <v>0.2</v>
      </c>
      <c r="CR43" s="792">
        <v>1.4999999999999999E-2</v>
      </c>
      <c r="CS43" s="793">
        <v>1290</v>
      </c>
      <c r="CT43" s="576">
        <f>SUM(CH43:CR43)+(CS43/10000)</f>
        <v>100.24600000000001</v>
      </c>
      <c r="CU43" s="576">
        <v>0.74572562358276628</v>
      </c>
      <c r="CV43" s="591">
        <v>10</v>
      </c>
      <c r="CW43" s="603"/>
      <c r="CX43" s="936" t="s">
        <v>998</v>
      </c>
      <c r="CY43" s="934" t="s">
        <v>64</v>
      </c>
      <c r="CZ43" s="934" t="s">
        <v>64</v>
      </c>
      <c r="DA43" s="938" t="str">
        <f t="shared" si="54"/>
        <v>-</v>
      </c>
      <c r="DB43" s="936" t="s">
        <v>998</v>
      </c>
      <c r="DC43" s="934" t="s">
        <v>64</v>
      </c>
      <c r="DD43" s="934" t="s">
        <v>64</v>
      </c>
      <c r="DE43" s="939" t="str">
        <f t="shared" si="55"/>
        <v>-</v>
      </c>
      <c r="DF43" s="9"/>
    </row>
    <row r="44" spans="1:110">
      <c r="A44" s="846" t="s">
        <v>138</v>
      </c>
      <c r="B44" s="41" t="s">
        <v>158</v>
      </c>
      <c r="C44" s="41" t="s">
        <v>1484</v>
      </c>
      <c r="D44" s="34">
        <v>1650</v>
      </c>
      <c r="E44" s="535">
        <v>19.370640000000002</v>
      </c>
      <c r="F44" s="537">
        <v>-155.24653000000001</v>
      </c>
      <c r="G44" s="37" t="s">
        <v>405</v>
      </c>
      <c r="H44" s="37" t="s">
        <v>64</v>
      </c>
      <c r="I44" s="202" t="s">
        <v>779</v>
      </c>
      <c r="J44" t="s">
        <v>876</v>
      </c>
      <c r="K44" s="34">
        <v>2001</v>
      </c>
      <c r="L44" s="51">
        <v>162</v>
      </c>
      <c r="M44" s="52">
        <v>130</v>
      </c>
      <c r="N44" s="838">
        <f t="shared" si="40"/>
        <v>1609893.09</v>
      </c>
      <c r="O44" s="54">
        <v>1608988.3113157663</v>
      </c>
      <c r="P44" s="53">
        <v>12</v>
      </c>
      <c r="Q44" s="54">
        <v>904.7786842338603</v>
      </c>
      <c r="R44" s="772">
        <f t="shared" si="41"/>
        <v>5.6201165770197834E-4</v>
      </c>
      <c r="S44" s="624"/>
      <c r="T44" s="37" t="s">
        <v>132</v>
      </c>
      <c r="U44" s="21"/>
      <c r="V44" s="552">
        <v>1.38</v>
      </c>
      <c r="W44" s="847">
        <v>0.74</v>
      </c>
      <c r="X44" s="556" t="s">
        <v>423</v>
      </c>
      <c r="Y44" s="784" t="s">
        <v>64</v>
      </c>
      <c r="Z44" s="784" t="s">
        <v>64</v>
      </c>
      <c r="AA44" s="785" t="s">
        <v>64</v>
      </c>
      <c r="AB44" s="32" t="str">
        <f t="shared" si="42"/>
        <v>-</v>
      </c>
      <c r="AC44" s="6" t="str">
        <f t="shared" si="43"/>
        <v>-</v>
      </c>
      <c r="AD44" s="6" t="str">
        <f t="shared" si="44"/>
        <v>-</v>
      </c>
      <c r="AE44" s="6" t="str">
        <f t="shared" si="45"/>
        <v>-</v>
      </c>
      <c r="AF44" s="839" t="s">
        <v>64</v>
      </c>
      <c r="AG44" s="553" t="str">
        <f t="shared" si="46"/>
        <v>-</v>
      </c>
      <c r="AH44" s="32" t="s">
        <v>64</v>
      </c>
      <c r="AI44" s="9" t="s">
        <v>64</v>
      </c>
      <c r="AJ44" s="9" t="s">
        <v>64</v>
      </c>
      <c r="AK44" s="9" t="s">
        <v>64</v>
      </c>
      <c r="AL44" s="9" t="s">
        <v>64</v>
      </c>
      <c r="AM44" s="9" t="s">
        <v>64</v>
      </c>
      <c r="AN44" s="9" t="s">
        <v>64</v>
      </c>
      <c r="AO44" s="9" t="s">
        <v>64</v>
      </c>
      <c r="AP44" s="9" t="s">
        <v>64</v>
      </c>
      <c r="AQ44" s="9" t="s">
        <v>64</v>
      </c>
      <c r="AR44" s="9" t="s">
        <v>64</v>
      </c>
      <c r="AS44" s="6" t="s">
        <v>64</v>
      </c>
      <c r="AT44" s="6" t="s">
        <v>64</v>
      </c>
      <c r="AU44" s="9" t="s">
        <v>64</v>
      </c>
      <c r="AV44" s="8" t="str">
        <f t="shared" si="47"/>
        <v>-</v>
      </c>
      <c r="AW44" s="9" t="str">
        <f t="shared" si="48"/>
        <v>-</v>
      </c>
      <c r="AX44" s="8">
        <v>0.55546343537414977</v>
      </c>
      <c r="AY44" s="789">
        <v>2.7773171768707489E-2</v>
      </c>
      <c r="AZ44" s="6">
        <v>9.3239999999999998</v>
      </c>
      <c r="BA44" s="48">
        <v>0.93240000000000001</v>
      </c>
      <c r="BB44" s="6" t="s">
        <v>64</v>
      </c>
      <c r="BC44" s="48" t="s">
        <v>64</v>
      </c>
      <c r="BD44" s="849" t="s">
        <v>1007</v>
      </c>
      <c r="BE44" s="48" t="s">
        <v>1007</v>
      </c>
      <c r="BF44" s="668" t="s">
        <v>1007</v>
      </c>
      <c r="BG44" s="48" t="s">
        <v>64</v>
      </c>
      <c r="BH44" s="48" t="s">
        <v>64</v>
      </c>
      <c r="BI44" s="850" t="str">
        <f t="shared" si="49"/>
        <v>-</v>
      </c>
      <c r="BJ44" s="789" t="str">
        <f t="shared" si="50"/>
        <v>-</v>
      </c>
      <c r="BK44" s="563" t="s">
        <v>64</v>
      </c>
      <c r="BL44" s="48" t="s">
        <v>64</v>
      </c>
      <c r="BM44" s="48" t="s">
        <v>64</v>
      </c>
      <c r="BN44" s="850" t="str">
        <f t="shared" si="51"/>
        <v>-</v>
      </c>
      <c r="BO44" s="789" t="str">
        <f t="shared" si="52"/>
        <v>-</v>
      </c>
      <c r="BP44" s="789" t="str">
        <f t="shared" si="53"/>
        <v>-</v>
      </c>
      <c r="BQ44" s="34" t="s">
        <v>64</v>
      </c>
      <c r="BR44" s="45" t="s">
        <v>64</v>
      </c>
      <c r="BS44" s="854" t="s">
        <v>64</v>
      </c>
      <c r="BT44" s="603"/>
      <c r="BU44" s="599" t="s">
        <v>64</v>
      </c>
      <c r="BV44" s="851" t="s">
        <v>64</v>
      </c>
      <c r="BW44" s="851" t="s">
        <v>64</v>
      </c>
      <c r="BX44" s="851" t="s">
        <v>64</v>
      </c>
      <c r="BY44" s="851" t="s">
        <v>64</v>
      </c>
      <c r="BZ44" s="851" t="s">
        <v>64</v>
      </c>
      <c r="CA44" s="851" t="s">
        <v>64</v>
      </c>
      <c r="CB44" s="851" t="s">
        <v>64</v>
      </c>
      <c r="CC44" s="851" t="s">
        <v>64</v>
      </c>
      <c r="CD44" s="851" t="s">
        <v>64</v>
      </c>
      <c r="CE44" s="852" t="s">
        <v>64</v>
      </c>
      <c r="CF44" s="852" t="s">
        <v>64</v>
      </c>
      <c r="CG44" s="603"/>
      <c r="CH44" s="584" t="s">
        <v>64</v>
      </c>
      <c r="CI44" s="576" t="s">
        <v>64</v>
      </c>
      <c r="CJ44" s="576" t="s">
        <v>64</v>
      </c>
      <c r="CK44" s="576" t="s">
        <v>64</v>
      </c>
      <c r="CL44" s="576" t="s">
        <v>64</v>
      </c>
      <c r="CM44" s="576" t="s">
        <v>64</v>
      </c>
      <c r="CN44" s="576" t="s">
        <v>64</v>
      </c>
      <c r="CO44" s="576" t="s">
        <v>64</v>
      </c>
      <c r="CP44" s="576" t="s">
        <v>64</v>
      </c>
      <c r="CQ44" s="576" t="s">
        <v>64</v>
      </c>
      <c r="CR44" s="792" t="s">
        <v>64</v>
      </c>
      <c r="CS44" s="793" t="s">
        <v>64</v>
      </c>
      <c r="CT44" s="855" t="s">
        <v>64</v>
      </c>
      <c r="CU44" s="576">
        <v>0.55546343537414977</v>
      </c>
      <c r="CV44" s="591">
        <v>10</v>
      </c>
      <c r="CW44" s="603"/>
      <c r="CX44" s="936" t="s">
        <v>1007</v>
      </c>
      <c r="CY44" s="934" t="s">
        <v>64</v>
      </c>
      <c r="CZ44" s="934" t="s">
        <v>64</v>
      </c>
      <c r="DA44" s="938" t="str">
        <f t="shared" si="54"/>
        <v>-</v>
      </c>
      <c r="DB44" s="936" t="s">
        <v>1007</v>
      </c>
      <c r="DC44" s="934" t="s">
        <v>64</v>
      </c>
      <c r="DD44" s="934" t="s">
        <v>64</v>
      </c>
      <c r="DE44" s="939" t="str">
        <f t="shared" si="55"/>
        <v>-</v>
      </c>
      <c r="DF44" s="19"/>
    </row>
    <row r="45" spans="1:110">
      <c r="A45" s="846" t="s">
        <v>21</v>
      </c>
      <c r="B45" s="41" t="s">
        <v>158</v>
      </c>
      <c r="C45" s="41" t="s">
        <v>1484</v>
      </c>
      <c r="D45" s="34">
        <v>1650</v>
      </c>
      <c r="E45" s="535">
        <v>19.370640000000002</v>
      </c>
      <c r="F45" s="537">
        <v>-155.24653000000001</v>
      </c>
      <c r="G45" s="37" t="s">
        <v>405</v>
      </c>
      <c r="H45" s="37" t="s">
        <v>64</v>
      </c>
      <c r="I45" s="202" t="s">
        <v>779</v>
      </c>
      <c r="J45" t="s">
        <v>884</v>
      </c>
      <c r="K45" s="34">
        <v>2001</v>
      </c>
      <c r="L45" s="51">
        <v>172</v>
      </c>
      <c r="M45" s="52">
        <v>110</v>
      </c>
      <c r="N45" s="838">
        <f t="shared" si="40"/>
        <v>1396773.73</v>
      </c>
      <c r="O45" s="54">
        <v>1357981.3439134732</v>
      </c>
      <c r="P45" s="53">
        <v>42</v>
      </c>
      <c r="Q45" s="54">
        <v>38792.386086526763</v>
      </c>
      <c r="R45" s="772">
        <f t="shared" si="41"/>
        <v>2.7772849140373482E-2</v>
      </c>
      <c r="S45" s="624" t="s">
        <v>82</v>
      </c>
      <c r="T45" s="37" t="s">
        <v>132</v>
      </c>
      <c r="U45" s="21">
        <v>89.2</v>
      </c>
      <c r="V45" s="552">
        <v>0.93</v>
      </c>
      <c r="W45" s="847">
        <v>0.46</v>
      </c>
      <c r="X45" s="556" t="s">
        <v>423</v>
      </c>
      <c r="Y45" s="784" t="s">
        <v>64</v>
      </c>
      <c r="Z45" s="784" t="s">
        <v>64</v>
      </c>
      <c r="AA45" s="785" t="s">
        <v>64</v>
      </c>
      <c r="AB45" s="32">
        <f t="shared" si="42"/>
        <v>1248.6031028431353</v>
      </c>
      <c r="AC45" s="6">
        <f t="shared" si="43"/>
        <v>1176.4281000000001</v>
      </c>
      <c r="AD45" s="6">
        <f t="shared" si="44"/>
        <v>72.175002843135189</v>
      </c>
      <c r="AE45" s="6">
        <f t="shared" si="45"/>
        <v>1283.22055232001</v>
      </c>
      <c r="AF45" s="839">
        <v>0.91300000000000003</v>
      </c>
      <c r="AG45" s="553">
        <f t="shared" si="46"/>
        <v>9.5290251916757995E-2</v>
      </c>
      <c r="AH45" s="32">
        <f>100*(AN45/40.3)/((AN45/40.3)+(AL45/71.85))</f>
        <v>67.37939676684563</v>
      </c>
      <c r="AI45" s="9">
        <v>50.532520454159204</v>
      </c>
      <c r="AJ45" s="9">
        <v>2.1052283148660447</v>
      </c>
      <c r="AK45" s="9">
        <v>12.335652199482643</v>
      </c>
      <c r="AL45" s="9">
        <v>10.074518299903634</v>
      </c>
      <c r="AM45" s="9">
        <v>0.16797569449719518</v>
      </c>
      <c r="AN45" s="9">
        <v>11.671796161350015</v>
      </c>
      <c r="AO45" s="9">
        <v>10.326984762890437</v>
      </c>
      <c r="AP45" s="9">
        <v>2.0177200189303801</v>
      </c>
      <c r="AQ45" s="9">
        <v>0.36713250593698343</v>
      </c>
      <c r="AR45" s="9">
        <v>0.27560084007324243</v>
      </c>
      <c r="AS45" s="6" t="s">
        <v>64</v>
      </c>
      <c r="AT45" s="6">
        <v>1239.5241372414796</v>
      </c>
      <c r="AU45" s="9">
        <v>98.906999999999982</v>
      </c>
      <c r="AV45" s="8">
        <f t="shared" si="47"/>
        <v>2.0154786255295796</v>
      </c>
      <c r="AW45" s="9">
        <f t="shared" si="48"/>
        <v>8.2611050059209816</v>
      </c>
      <c r="AX45" s="8">
        <v>0.60781746031746031</v>
      </c>
      <c r="AY45" s="789">
        <v>3.0390873015873017E-2</v>
      </c>
      <c r="AZ45" s="6">
        <v>9.1300000000000008</v>
      </c>
      <c r="BA45" s="48">
        <v>0.91300000000000014</v>
      </c>
      <c r="BB45" s="6" t="s">
        <v>64</v>
      </c>
      <c r="BC45" s="48" t="s">
        <v>64</v>
      </c>
      <c r="BD45" s="849" t="s">
        <v>1007</v>
      </c>
      <c r="BE45" s="48" t="s">
        <v>1007</v>
      </c>
      <c r="BF45" s="668" t="s">
        <v>1007</v>
      </c>
      <c r="BG45" s="48" t="s">
        <v>64</v>
      </c>
      <c r="BH45" s="48" t="s">
        <v>64</v>
      </c>
      <c r="BI45" s="850" t="str">
        <f t="shared" si="49"/>
        <v>-</v>
      </c>
      <c r="BJ45" s="789" t="str">
        <f t="shared" si="50"/>
        <v>-</v>
      </c>
      <c r="BK45" s="563" t="s">
        <v>64</v>
      </c>
      <c r="BL45" s="48" t="s">
        <v>64</v>
      </c>
      <c r="BM45" s="48" t="s">
        <v>64</v>
      </c>
      <c r="BN45" s="850" t="str">
        <f t="shared" si="51"/>
        <v>-</v>
      </c>
      <c r="BO45" s="789" t="str">
        <f t="shared" si="52"/>
        <v>-</v>
      </c>
      <c r="BP45" s="789" t="str">
        <f t="shared" si="53"/>
        <v>-</v>
      </c>
      <c r="BQ45" s="34" t="s">
        <v>64</v>
      </c>
      <c r="BR45" s="25">
        <v>2.665672548628812</v>
      </c>
      <c r="BS45" s="26">
        <v>2.9192439875526039</v>
      </c>
      <c r="BT45" s="603"/>
      <c r="BU45" s="599">
        <v>0.13788096633821154</v>
      </c>
      <c r="BV45" s="851">
        <v>2.5487268733579226E-2</v>
      </c>
      <c r="BW45" s="851">
        <v>5.750765379565919E-2</v>
      </c>
      <c r="BX45" s="851">
        <v>0.10961857540847027</v>
      </c>
      <c r="BY45" s="851">
        <v>5.9350113677508727E-3</v>
      </c>
      <c r="BZ45" s="851">
        <v>3.065253714570813E-2</v>
      </c>
      <c r="CA45" s="851">
        <v>2.1248973366552487E-2</v>
      </c>
      <c r="CB45" s="851">
        <v>2.8725937277810486E-2</v>
      </c>
      <c r="CC45" s="851">
        <v>1.0069551051186064E-2</v>
      </c>
      <c r="CD45" s="851">
        <v>7.7442083655239529E-3</v>
      </c>
      <c r="CE45" s="852" t="s">
        <v>64</v>
      </c>
      <c r="CF45" s="852">
        <v>23.280124922325633</v>
      </c>
      <c r="CG45" s="603"/>
      <c r="CH45" s="584">
        <v>50.906000000000006</v>
      </c>
      <c r="CI45" s="576">
        <v>2.2675000000000001</v>
      </c>
      <c r="CJ45" s="576">
        <v>13.361499999999999</v>
      </c>
      <c r="CK45" s="576">
        <v>9.9425000000000008</v>
      </c>
      <c r="CL45" s="576">
        <v>0.17199999999999999</v>
      </c>
      <c r="CM45" s="576">
        <v>8.0809999999999995</v>
      </c>
      <c r="CN45" s="576">
        <v>11.155999999999999</v>
      </c>
      <c r="CO45" s="576">
        <v>2.1859999999999999</v>
      </c>
      <c r="CP45" s="576">
        <v>0.40100000000000002</v>
      </c>
      <c r="CQ45" s="576">
        <v>0.3</v>
      </c>
      <c r="CR45" s="857" t="s">
        <v>64</v>
      </c>
      <c r="CS45" s="793">
        <v>1335</v>
      </c>
      <c r="CT45" s="576">
        <f>SUM(CH45:CR45)+(CS45/10000)</f>
        <v>98.906999999999982</v>
      </c>
      <c r="CU45" s="576">
        <v>0.60781746031746031</v>
      </c>
      <c r="CV45" s="591">
        <v>10</v>
      </c>
      <c r="CW45" s="603"/>
      <c r="CX45" s="936" t="s">
        <v>1007</v>
      </c>
      <c r="CY45" s="934" t="s">
        <v>64</v>
      </c>
      <c r="CZ45" s="934" t="s">
        <v>64</v>
      </c>
      <c r="DA45" s="938" t="str">
        <f t="shared" si="54"/>
        <v>-</v>
      </c>
      <c r="DB45" s="936" t="s">
        <v>1007</v>
      </c>
      <c r="DC45" s="934" t="s">
        <v>64</v>
      </c>
      <c r="DD45" s="934" t="s">
        <v>64</v>
      </c>
      <c r="DE45" s="939" t="str">
        <f t="shared" si="55"/>
        <v>-</v>
      </c>
      <c r="DF45" s="9"/>
    </row>
    <row r="46" spans="1:110">
      <c r="A46" s="846" t="s">
        <v>17</v>
      </c>
      <c r="B46" s="41" t="s">
        <v>158</v>
      </c>
      <c r="C46" s="41" t="s">
        <v>1484</v>
      </c>
      <c r="D46" s="34">
        <v>1650</v>
      </c>
      <c r="E46" s="535">
        <v>19.370640000000002</v>
      </c>
      <c r="F46" s="537">
        <v>-155.24653000000001</v>
      </c>
      <c r="G46" s="37" t="s">
        <v>405</v>
      </c>
      <c r="H46" s="37" t="s">
        <v>64</v>
      </c>
      <c r="I46" s="202" t="s">
        <v>779</v>
      </c>
      <c r="J46" t="s">
        <v>884</v>
      </c>
      <c r="K46" s="34">
        <v>2001</v>
      </c>
      <c r="L46" s="51">
        <v>145</v>
      </c>
      <c r="M46" s="52">
        <v>108</v>
      </c>
      <c r="N46" s="838">
        <f t="shared" si="40"/>
        <v>1037213.3475000003</v>
      </c>
      <c r="O46" s="54">
        <v>971763.50055021292</v>
      </c>
      <c r="P46" s="53">
        <v>50</v>
      </c>
      <c r="Q46" s="54">
        <v>65449.846949787352</v>
      </c>
      <c r="R46" s="772">
        <f t="shared" si="41"/>
        <v>6.3101624277725879E-2</v>
      </c>
      <c r="S46" s="624" t="s">
        <v>78</v>
      </c>
      <c r="T46" s="37" t="s">
        <v>132</v>
      </c>
      <c r="U46" s="21">
        <v>89</v>
      </c>
      <c r="V46" s="552">
        <v>1.52</v>
      </c>
      <c r="W46" s="847">
        <v>1.3</v>
      </c>
      <c r="X46" s="556" t="s">
        <v>423</v>
      </c>
      <c r="Y46" s="784" t="s">
        <v>64</v>
      </c>
      <c r="Z46" s="784" t="s">
        <v>64</v>
      </c>
      <c r="AA46" s="785" t="s">
        <v>64</v>
      </c>
      <c r="AB46" s="32">
        <f t="shared" si="42"/>
        <v>1284.1957147916169</v>
      </c>
      <c r="AC46" s="6">
        <f t="shared" si="43"/>
        <v>1172.2473</v>
      </c>
      <c r="AD46" s="6">
        <f t="shared" si="44"/>
        <v>111.94841479161687</v>
      </c>
      <c r="AE46" s="6">
        <f t="shared" si="45"/>
        <v>1278.637410000003</v>
      </c>
      <c r="AF46" s="839">
        <v>0.85799999999999998</v>
      </c>
      <c r="AG46" s="553">
        <f t="shared" si="46"/>
        <v>0.16550116550116556</v>
      </c>
      <c r="AH46" s="32">
        <f>100*(AN46/40.3)/((AN46/40.3)+(AL46/71.85))</f>
        <v>67.110180309920466</v>
      </c>
      <c r="AI46" s="9">
        <v>48.944081933681247</v>
      </c>
      <c r="AJ46" s="9">
        <v>2.1354820573226454</v>
      </c>
      <c r="AK46" s="9">
        <v>11.747666013881854</v>
      </c>
      <c r="AL46" s="9">
        <v>11.74565425499601</v>
      </c>
      <c r="AM46" s="9">
        <v>0.16597010808207091</v>
      </c>
      <c r="AN46" s="9">
        <v>13.442572875204823</v>
      </c>
      <c r="AO46" s="9">
        <v>9.2178792149339248</v>
      </c>
      <c r="AP46" s="9">
        <v>1.8860239554780782</v>
      </c>
      <c r="AQ46" s="9">
        <v>0.36211659945179103</v>
      </c>
      <c r="AR46" s="9">
        <v>0.23235815131489923</v>
      </c>
      <c r="AS46" s="6">
        <v>120.62419316020427</v>
      </c>
      <c r="AT46" s="6">
        <v>1072.6937177461023</v>
      </c>
      <c r="AU46" s="9">
        <v>100.16749999999999</v>
      </c>
      <c r="AV46" s="8">
        <f t="shared" si="47"/>
        <v>2.3498011903984986</v>
      </c>
      <c r="AW46" s="9">
        <f t="shared" si="48"/>
        <v>9.6314364890967283</v>
      </c>
      <c r="AX46" s="8">
        <v>0.61144467448815276</v>
      </c>
      <c r="AY46" s="789">
        <v>3.0572233724407639E-2</v>
      </c>
      <c r="AZ46" s="6">
        <v>8.58</v>
      </c>
      <c r="BA46" s="48">
        <v>0.8580000000000001</v>
      </c>
      <c r="BB46" s="6" t="s">
        <v>64</v>
      </c>
      <c r="BC46" s="48" t="s">
        <v>64</v>
      </c>
      <c r="BD46" s="849" t="s">
        <v>1007</v>
      </c>
      <c r="BE46" s="48" t="s">
        <v>1007</v>
      </c>
      <c r="BF46" s="668" t="s">
        <v>1007</v>
      </c>
      <c r="BG46" s="48" t="s">
        <v>64</v>
      </c>
      <c r="BH46" s="48" t="s">
        <v>64</v>
      </c>
      <c r="BI46" s="850" t="str">
        <f t="shared" si="49"/>
        <v>-</v>
      </c>
      <c r="BJ46" s="789" t="str">
        <f t="shared" si="50"/>
        <v>-</v>
      </c>
      <c r="BK46" s="563" t="s">
        <v>64</v>
      </c>
      <c r="BL46" s="48" t="s">
        <v>64</v>
      </c>
      <c r="BM46" s="48" t="s">
        <v>64</v>
      </c>
      <c r="BN46" s="850" t="str">
        <f t="shared" si="51"/>
        <v>-</v>
      </c>
      <c r="BO46" s="789" t="str">
        <f t="shared" si="52"/>
        <v>-</v>
      </c>
      <c r="BP46" s="789" t="str">
        <f t="shared" si="53"/>
        <v>-</v>
      </c>
      <c r="BQ46" s="34" t="s">
        <v>64</v>
      </c>
      <c r="BR46" s="25">
        <v>2.6934147222597851</v>
      </c>
      <c r="BS46" s="26">
        <v>2.9499890451465349</v>
      </c>
      <c r="BT46" s="603"/>
      <c r="BU46" s="599">
        <v>0.13354681802730312</v>
      </c>
      <c r="BV46" s="851">
        <v>2.5853540296023485E-2</v>
      </c>
      <c r="BW46" s="851">
        <v>5.4766517335960808E-2</v>
      </c>
      <c r="BX46" s="851">
        <v>0.12780183114912955</v>
      </c>
      <c r="BY46" s="851">
        <v>5.8641488646464851E-3</v>
      </c>
      <c r="BZ46" s="851">
        <v>3.5302960974898046E-2</v>
      </c>
      <c r="CA46" s="851">
        <v>1.8966859585004967E-2</v>
      </c>
      <c r="CB46" s="851">
        <v>2.6851002785922538E-2</v>
      </c>
      <c r="CC46" s="851">
        <v>9.9319769448243406E-3</v>
      </c>
      <c r="CD46" s="851">
        <v>6.5291163072373612E-3</v>
      </c>
      <c r="CE46" s="852">
        <v>18.514600125189606</v>
      </c>
      <c r="CF46" s="852">
        <v>20.146799083798829</v>
      </c>
      <c r="CG46" s="603"/>
      <c r="CH46" s="584">
        <v>50.461500000000001</v>
      </c>
      <c r="CI46" s="576">
        <v>2.4684999999999997</v>
      </c>
      <c r="CJ46" s="576">
        <v>13.715</v>
      </c>
      <c r="CK46" s="576">
        <v>11.737500000000001</v>
      </c>
      <c r="CL46" s="576">
        <v>0.16750000000000001</v>
      </c>
      <c r="CM46" s="576">
        <v>7.8729999999999993</v>
      </c>
      <c r="CN46" s="576">
        <v>10.715</v>
      </c>
      <c r="CO46" s="576">
        <v>2.2050000000000001</v>
      </c>
      <c r="CP46" s="576">
        <v>0.41849999999999998</v>
      </c>
      <c r="CQ46" s="576">
        <v>0.26750000000000002</v>
      </c>
      <c r="CR46" s="792">
        <v>1.4E-2</v>
      </c>
      <c r="CS46" s="793">
        <v>1245</v>
      </c>
      <c r="CT46" s="576">
        <f>SUM(CH46:CR46)+(CS46/10000)</f>
        <v>100.16749999999999</v>
      </c>
      <c r="CU46" s="576">
        <v>0.61144467448815276</v>
      </c>
      <c r="CV46" s="591">
        <v>10</v>
      </c>
      <c r="CW46" s="603"/>
      <c r="CX46" s="936" t="s">
        <v>1007</v>
      </c>
      <c r="CY46" s="934" t="s">
        <v>64</v>
      </c>
      <c r="CZ46" s="934" t="s">
        <v>64</v>
      </c>
      <c r="DA46" s="938" t="str">
        <f t="shared" si="54"/>
        <v>-</v>
      </c>
      <c r="DB46" s="936" t="s">
        <v>1007</v>
      </c>
      <c r="DC46" s="934" t="s">
        <v>64</v>
      </c>
      <c r="DD46" s="934" t="s">
        <v>64</v>
      </c>
      <c r="DE46" s="939" t="str">
        <f t="shared" si="55"/>
        <v>-</v>
      </c>
      <c r="DF46" s="9"/>
    </row>
    <row r="47" spans="1:110">
      <c r="A47" s="846" t="s">
        <v>152</v>
      </c>
      <c r="B47" s="41" t="s">
        <v>158</v>
      </c>
      <c r="C47" s="41" t="s">
        <v>1484</v>
      </c>
      <c r="D47" s="34">
        <v>1650</v>
      </c>
      <c r="E47" s="535">
        <v>19.370640000000002</v>
      </c>
      <c r="F47" s="537">
        <v>-155.24653000000001</v>
      </c>
      <c r="G47" s="37" t="s">
        <v>405</v>
      </c>
      <c r="H47" s="37" t="s">
        <v>64</v>
      </c>
      <c r="I47" s="202" t="s">
        <v>779</v>
      </c>
      <c r="J47" t="s">
        <v>883</v>
      </c>
      <c r="K47" s="34">
        <v>2001</v>
      </c>
      <c r="L47" s="51">
        <v>185</v>
      </c>
      <c r="M47" s="52">
        <v>160</v>
      </c>
      <c r="N47" s="838">
        <f t="shared" si="40"/>
        <v>2673416.5000000005</v>
      </c>
      <c r="O47" s="54">
        <v>2560319.1644707681</v>
      </c>
      <c r="P47" s="53">
        <v>60</v>
      </c>
      <c r="Q47" s="54">
        <v>113097.33552923254</v>
      </c>
      <c r="R47" s="772">
        <f t="shared" si="41"/>
        <v>4.2304420403342508E-2</v>
      </c>
      <c r="S47" s="624" t="s">
        <v>153</v>
      </c>
      <c r="T47" s="37" t="s">
        <v>132</v>
      </c>
      <c r="U47" s="21">
        <v>89.4</v>
      </c>
      <c r="V47" s="552">
        <v>1.6</v>
      </c>
      <c r="W47" s="847">
        <v>1.27</v>
      </c>
      <c r="X47" s="556" t="s">
        <v>423</v>
      </c>
      <c r="Y47" s="784" t="s">
        <v>64</v>
      </c>
      <c r="Z47" s="784" t="s">
        <v>64</v>
      </c>
      <c r="AA47" s="785" t="s">
        <v>64</v>
      </c>
      <c r="AB47" s="32">
        <f t="shared" si="42"/>
        <v>1290.1109784489151</v>
      </c>
      <c r="AC47" s="6">
        <f t="shared" si="43"/>
        <v>1193.4528</v>
      </c>
      <c r="AD47" s="6">
        <f t="shared" si="44"/>
        <v>96.658178448915123</v>
      </c>
      <c r="AE47" s="6">
        <f t="shared" si="45"/>
        <v>1287.8982837600051</v>
      </c>
      <c r="AF47" s="839">
        <v>0.876</v>
      </c>
      <c r="AG47" s="553">
        <f t="shared" si="46"/>
        <v>0.14155251141552516</v>
      </c>
      <c r="AH47" s="32">
        <f t="shared" ref="AH47:AH48" si="57">100*(AN47/40.3)/((AN47/40.3)+(AL47/71.85))</f>
        <v>68.034048942755575</v>
      </c>
      <c r="AI47" s="9">
        <v>49.360791522478394</v>
      </c>
      <c r="AJ47" s="9">
        <v>2.1230339826807092</v>
      </c>
      <c r="AK47" s="9">
        <v>11.36139976425579</v>
      </c>
      <c r="AL47" s="9">
        <v>11.507226352360338</v>
      </c>
      <c r="AM47" s="9">
        <v>0.14884368992740166</v>
      </c>
      <c r="AN47" s="9">
        <v>13.736864599448511</v>
      </c>
      <c r="AO47" s="9">
        <v>9.349998549020631</v>
      </c>
      <c r="AP47" s="9">
        <v>1.72377084145653</v>
      </c>
      <c r="AQ47" s="9">
        <v>0.3258469968680956</v>
      </c>
      <c r="AR47" s="9">
        <v>0.22024843306824976</v>
      </c>
      <c r="AS47" s="6">
        <v>115.28777877986136</v>
      </c>
      <c r="AT47" s="6">
        <v>1179.4826598247355</v>
      </c>
      <c r="AU47" s="9">
        <v>99.342000000000013</v>
      </c>
      <c r="AV47" s="8">
        <f t="shared" si="47"/>
        <v>2.3021020024882795</v>
      </c>
      <c r="AW47" s="9">
        <f t="shared" si="48"/>
        <v>9.4359256089354773</v>
      </c>
      <c r="AX47" s="8">
        <v>0.55503779289493582</v>
      </c>
      <c r="AY47" s="789">
        <v>2.7751889644746792E-2</v>
      </c>
      <c r="AZ47" s="6">
        <v>124.27380952380953</v>
      </c>
      <c r="BA47" s="48">
        <v>12.427380952380954</v>
      </c>
      <c r="BB47" s="6" t="s">
        <v>64</v>
      </c>
      <c r="BC47" s="48" t="s">
        <v>64</v>
      </c>
      <c r="BD47" s="849" t="s">
        <v>1007</v>
      </c>
      <c r="BE47" s="48" t="s">
        <v>1007</v>
      </c>
      <c r="BF47" s="668" t="s">
        <v>1007</v>
      </c>
      <c r="BG47" s="48" t="s">
        <v>64</v>
      </c>
      <c r="BH47" s="48" t="s">
        <v>64</v>
      </c>
      <c r="BI47" s="850" t="str">
        <f t="shared" si="49"/>
        <v>-</v>
      </c>
      <c r="BJ47" s="789" t="str">
        <f t="shared" si="50"/>
        <v>-</v>
      </c>
      <c r="BK47" s="563" t="s">
        <v>64</v>
      </c>
      <c r="BL47" s="48" t="s">
        <v>64</v>
      </c>
      <c r="BM47" s="48" t="s">
        <v>64</v>
      </c>
      <c r="BN47" s="850" t="str">
        <f t="shared" si="51"/>
        <v>-</v>
      </c>
      <c r="BO47" s="789" t="str">
        <f t="shared" si="52"/>
        <v>-</v>
      </c>
      <c r="BP47" s="789" t="str">
        <f t="shared" si="53"/>
        <v>-</v>
      </c>
      <c r="BQ47" s="34" t="s">
        <v>64</v>
      </c>
      <c r="BR47" s="25">
        <v>2.6944033904445912</v>
      </c>
      <c r="BS47" s="26">
        <v>2.957937809112007</v>
      </c>
      <c r="BT47" s="603"/>
      <c r="BU47" s="599">
        <v>0.13468383474978921</v>
      </c>
      <c r="BV47" s="851">
        <v>2.5702835775580593E-2</v>
      </c>
      <c r="BW47" s="851">
        <v>5.2965780301775053E-2</v>
      </c>
      <c r="BX47" s="851">
        <v>0.12520755058439009</v>
      </c>
      <c r="BY47" s="851">
        <v>5.2590286611487449E-3</v>
      </c>
      <c r="BZ47" s="851">
        <v>3.6075831566909029E-2</v>
      </c>
      <c r="CA47" s="851">
        <v>1.9238710495573106E-2</v>
      </c>
      <c r="CB47" s="851">
        <v>2.4541032754013346E-2</v>
      </c>
      <c r="CC47" s="851">
        <v>8.9371900247975991E-3</v>
      </c>
      <c r="CD47" s="851">
        <v>6.1888409244594336E-3</v>
      </c>
      <c r="CE47" s="852">
        <v>17.695514204149376</v>
      </c>
      <c r="CF47" s="852">
        <v>22.152455800937247</v>
      </c>
      <c r="CG47" s="603"/>
      <c r="CH47" s="584">
        <v>50.313000000000002</v>
      </c>
      <c r="CI47" s="576">
        <v>2.3819999999999997</v>
      </c>
      <c r="CJ47" s="576">
        <v>12.883500000000002</v>
      </c>
      <c r="CK47" s="576">
        <v>11.411</v>
      </c>
      <c r="CL47" s="576">
        <v>0.14599999999999999</v>
      </c>
      <c r="CM47" s="576">
        <v>8.9280000000000008</v>
      </c>
      <c r="CN47" s="576">
        <v>10.5595</v>
      </c>
      <c r="CO47" s="576">
        <v>1.952</v>
      </c>
      <c r="CP47" s="576">
        <v>0.3705</v>
      </c>
      <c r="CQ47" s="576">
        <v>0.2505</v>
      </c>
      <c r="CR47" s="792">
        <v>1.2999999999999999E-2</v>
      </c>
      <c r="CS47" s="793">
        <v>1330</v>
      </c>
      <c r="CT47" s="576">
        <f>SUM(CH47:CR47)+(CS47/10000)</f>
        <v>99.342000000000013</v>
      </c>
      <c r="CU47" s="576">
        <v>0.55503779289493582</v>
      </c>
      <c r="CV47" s="591">
        <v>141.86507936507937</v>
      </c>
      <c r="CW47" s="603"/>
      <c r="CX47" s="936" t="s">
        <v>1007</v>
      </c>
      <c r="CY47" s="934" t="s">
        <v>64</v>
      </c>
      <c r="CZ47" s="934" t="s">
        <v>64</v>
      </c>
      <c r="DA47" s="938" t="str">
        <f t="shared" si="54"/>
        <v>-</v>
      </c>
      <c r="DB47" s="936" t="s">
        <v>1007</v>
      </c>
      <c r="DC47" s="934" t="s">
        <v>64</v>
      </c>
      <c r="DD47" s="934" t="s">
        <v>64</v>
      </c>
      <c r="DE47" s="939" t="str">
        <f t="shared" si="55"/>
        <v>-</v>
      </c>
      <c r="DF47" s="9"/>
    </row>
    <row r="48" spans="1:110">
      <c r="A48" s="846" t="s">
        <v>24</v>
      </c>
      <c r="B48" s="41" t="s">
        <v>158</v>
      </c>
      <c r="C48" s="41" t="s">
        <v>1484</v>
      </c>
      <c r="D48" s="34">
        <v>1650</v>
      </c>
      <c r="E48" s="535">
        <v>19.370640000000002</v>
      </c>
      <c r="F48" s="537">
        <v>-155.24653000000001</v>
      </c>
      <c r="G48" s="37" t="s">
        <v>405</v>
      </c>
      <c r="H48" s="37" t="s">
        <v>64</v>
      </c>
      <c r="I48" s="202" t="s">
        <v>779</v>
      </c>
      <c r="J48" t="s">
        <v>884</v>
      </c>
      <c r="K48" s="34">
        <v>2001</v>
      </c>
      <c r="L48" s="51">
        <v>160</v>
      </c>
      <c r="M48" s="52">
        <v>115</v>
      </c>
      <c r="N48" s="838">
        <f t="shared" si="40"/>
        <v>1324665.8333333335</v>
      </c>
      <c r="O48" s="54">
        <v>1291155.5116950423</v>
      </c>
      <c r="P48" s="53">
        <v>40</v>
      </c>
      <c r="Q48" s="54">
        <v>33510.32163829112</v>
      </c>
      <c r="R48" s="772">
        <f t="shared" si="41"/>
        <v>2.5297188766443195E-2</v>
      </c>
      <c r="S48" s="624" t="s">
        <v>85</v>
      </c>
      <c r="T48" s="37" t="s">
        <v>132</v>
      </c>
      <c r="U48" s="21">
        <v>89.6</v>
      </c>
      <c r="V48" s="552">
        <v>1</v>
      </c>
      <c r="W48" s="847">
        <v>1</v>
      </c>
      <c r="X48" s="556" t="s">
        <v>423</v>
      </c>
      <c r="Y48" s="784" t="s">
        <v>64</v>
      </c>
      <c r="Z48" s="784" t="s">
        <v>64</v>
      </c>
      <c r="AA48" s="785" t="s">
        <v>64</v>
      </c>
      <c r="AB48" s="32">
        <f t="shared" si="42"/>
        <v>1274.8507664408494</v>
      </c>
      <c r="AC48" s="6">
        <f t="shared" si="43"/>
        <v>1172.3076000000001</v>
      </c>
      <c r="AD48" s="6">
        <f t="shared" si="44"/>
        <v>102.54316644084929</v>
      </c>
      <c r="AE48" s="6">
        <f t="shared" si="45"/>
        <v>1292.6717030400105</v>
      </c>
      <c r="AF48" s="839">
        <v>0.875</v>
      </c>
      <c r="AG48" s="553">
        <f t="shared" si="46"/>
        <v>0.14285714285714279</v>
      </c>
      <c r="AH48" s="32">
        <f t="shared" si="57"/>
        <v>68.493274814473779</v>
      </c>
      <c r="AI48" s="9">
        <v>49.952335953668793</v>
      </c>
      <c r="AJ48" s="9">
        <v>2.1735024261729237</v>
      </c>
      <c r="AK48" s="9">
        <v>12.024165434936283</v>
      </c>
      <c r="AL48" s="9">
        <v>10.643221968422898</v>
      </c>
      <c r="AM48" s="9">
        <v>0.17400088835165006</v>
      </c>
      <c r="AN48" s="9">
        <v>12.977650071684051</v>
      </c>
      <c r="AO48" s="9">
        <v>9.6907431171569272</v>
      </c>
      <c r="AP48" s="9">
        <v>1.7038006061716486</v>
      </c>
      <c r="AQ48" s="9">
        <v>0.34297284929429295</v>
      </c>
      <c r="AR48" s="9">
        <v>0.20216288184209058</v>
      </c>
      <c r="AS48" s="6" t="s">
        <v>64</v>
      </c>
      <c r="AT48" s="6">
        <v>1119.0958386933642</v>
      </c>
      <c r="AU48" s="9">
        <v>99.087000000000003</v>
      </c>
      <c r="AV48" s="8">
        <f t="shared" si="47"/>
        <v>2.129251815873757</v>
      </c>
      <c r="AW48" s="9">
        <f t="shared" si="48"/>
        <v>8.7274420141067779</v>
      </c>
      <c r="AX48" s="8">
        <v>0.54346031746031753</v>
      </c>
      <c r="AY48" s="789">
        <v>2.7173015873015877E-2</v>
      </c>
      <c r="AZ48" s="6">
        <v>35.138888888888886</v>
      </c>
      <c r="BA48" s="48">
        <v>3.5138888888888888</v>
      </c>
      <c r="BB48" s="6" t="s">
        <v>64</v>
      </c>
      <c r="BC48" s="48" t="s">
        <v>64</v>
      </c>
      <c r="BD48" s="849" t="s">
        <v>1007</v>
      </c>
      <c r="BE48" s="48" t="s">
        <v>1007</v>
      </c>
      <c r="BF48" s="668" t="s">
        <v>1007</v>
      </c>
      <c r="BG48" s="48" t="s">
        <v>64</v>
      </c>
      <c r="BH48" s="48" t="s">
        <v>64</v>
      </c>
      <c r="BI48" s="850" t="str">
        <f t="shared" si="49"/>
        <v>-</v>
      </c>
      <c r="BJ48" s="789" t="str">
        <f t="shared" si="50"/>
        <v>-</v>
      </c>
      <c r="BK48" s="563" t="s">
        <v>64</v>
      </c>
      <c r="BL48" s="48" t="s">
        <v>64</v>
      </c>
      <c r="BM48" s="48" t="s">
        <v>64</v>
      </c>
      <c r="BN48" s="850" t="str">
        <f t="shared" si="51"/>
        <v>-</v>
      </c>
      <c r="BO48" s="789" t="str">
        <f t="shared" si="52"/>
        <v>-</v>
      </c>
      <c r="BP48" s="789" t="str">
        <f t="shared" si="53"/>
        <v>-</v>
      </c>
      <c r="BQ48" s="34" t="s">
        <v>64</v>
      </c>
      <c r="BR48" s="25">
        <v>2.681678285296178</v>
      </c>
      <c r="BS48" s="26">
        <v>2.9283450821935211</v>
      </c>
      <c r="BT48" s="603"/>
      <c r="BU48" s="599">
        <v>0.1362978986648973</v>
      </c>
      <c r="BV48" s="851">
        <v>2.6313839709343177E-2</v>
      </c>
      <c r="BW48" s="851">
        <v>5.6055531708574621E-2</v>
      </c>
      <c r="BX48" s="851">
        <v>0.11580651255016457</v>
      </c>
      <c r="BY48" s="851">
        <v>6.1478968933986891E-3</v>
      </c>
      <c r="BZ48" s="851">
        <v>3.4081978076653287E-2</v>
      </c>
      <c r="CA48" s="851">
        <v>1.9939832112324581E-2</v>
      </c>
      <c r="CB48" s="851">
        <v>2.4256719905434519E-2</v>
      </c>
      <c r="CC48" s="851">
        <v>9.4069104731696468E-3</v>
      </c>
      <c r="CD48" s="851">
        <v>5.6806484346850457E-3</v>
      </c>
      <c r="CE48" s="852" t="s">
        <v>64</v>
      </c>
      <c r="CF48" s="852">
        <v>21.018300605920999</v>
      </c>
      <c r="CG48" s="603"/>
      <c r="CH48" s="584">
        <v>50.832999999999998</v>
      </c>
      <c r="CI48" s="576">
        <v>2.4409999999999998</v>
      </c>
      <c r="CJ48" s="576">
        <v>13.626999999999999</v>
      </c>
      <c r="CK48" s="576">
        <v>10.5265</v>
      </c>
      <c r="CL48" s="576">
        <v>0.17749999999999999</v>
      </c>
      <c r="CM48" s="576">
        <v>7.8759999999999994</v>
      </c>
      <c r="CN48" s="576">
        <v>10.936</v>
      </c>
      <c r="CO48" s="576">
        <v>1.9255</v>
      </c>
      <c r="CP48" s="576">
        <v>0.39300000000000002</v>
      </c>
      <c r="CQ48" s="576">
        <v>0.22550000000000001</v>
      </c>
      <c r="CR48" s="857" t="s">
        <v>64</v>
      </c>
      <c r="CS48" s="793">
        <v>1260</v>
      </c>
      <c r="CT48" s="576">
        <f>SUM(CH48:CR48)+(CS48/10000)</f>
        <v>99.087000000000003</v>
      </c>
      <c r="CU48" s="576">
        <v>0.54346031746031753</v>
      </c>
      <c r="CV48" s="591">
        <v>40.158730158730158</v>
      </c>
      <c r="CW48" s="603"/>
      <c r="CX48" s="936" t="s">
        <v>1007</v>
      </c>
      <c r="CY48" s="934" t="s">
        <v>64</v>
      </c>
      <c r="CZ48" s="934" t="s">
        <v>64</v>
      </c>
      <c r="DA48" s="938" t="str">
        <f t="shared" si="54"/>
        <v>-</v>
      </c>
      <c r="DB48" s="936" t="s">
        <v>1007</v>
      </c>
      <c r="DC48" s="934" t="s">
        <v>64</v>
      </c>
      <c r="DD48" s="934" t="s">
        <v>64</v>
      </c>
      <c r="DE48" s="939" t="str">
        <f t="shared" si="55"/>
        <v>-</v>
      </c>
      <c r="DF48" s="9"/>
    </row>
    <row r="49" spans="1:110">
      <c r="A49" s="846" t="s">
        <v>15</v>
      </c>
      <c r="B49" s="41" t="s">
        <v>158</v>
      </c>
      <c r="C49" s="41" t="s">
        <v>1484</v>
      </c>
      <c r="D49" s="34">
        <v>1650</v>
      </c>
      <c r="E49" s="535">
        <v>19.370640000000002</v>
      </c>
      <c r="F49" s="537">
        <v>-155.24653000000001</v>
      </c>
      <c r="G49" s="37" t="s">
        <v>405</v>
      </c>
      <c r="H49" s="37" t="s">
        <v>64</v>
      </c>
      <c r="I49" s="202" t="s">
        <v>779</v>
      </c>
      <c r="J49" t="s">
        <v>884</v>
      </c>
      <c r="K49" s="34">
        <v>2001</v>
      </c>
      <c r="L49" s="51">
        <v>295</v>
      </c>
      <c r="M49" s="52">
        <v>250</v>
      </c>
      <c r="N49" s="838">
        <f t="shared" si="40"/>
        <v>10522388.802083334</v>
      </c>
      <c r="O49" s="54">
        <v>10499939.504579557</v>
      </c>
      <c r="P49" s="53">
        <v>35</v>
      </c>
      <c r="Q49" s="54">
        <v>22449.297503777059</v>
      </c>
      <c r="R49" s="772">
        <f t="shared" si="41"/>
        <v>2.1334791867158825E-3</v>
      </c>
      <c r="S49" s="624" t="s">
        <v>77</v>
      </c>
      <c r="T49" s="37" t="s">
        <v>132</v>
      </c>
      <c r="U49" s="21">
        <v>82.7</v>
      </c>
      <c r="V49" s="552">
        <v>1.47</v>
      </c>
      <c r="W49" s="847">
        <v>1.1000000000000001</v>
      </c>
      <c r="X49" s="556" t="s">
        <v>423</v>
      </c>
      <c r="Y49" s="784" t="s">
        <v>64</v>
      </c>
      <c r="Z49" s="784" t="s">
        <v>64</v>
      </c>
      <c r="AA49" s="785" t="s">
        <v>64</v>
      </c>
      <c r="AB49" s="32">
        <f t="shared" si="42"/>
        <v>1205.4118925909409</v>
      </c>
      <c r="AC49" s="6">
        <f t="shared" si="43"/>
        <v>1177.24215</v>
      </c>
      <c r="AD49" s="6">
        <f t="shared" si="44"/>
        <v>28.169742590940814</v>
      </c>
      <c r="AE49" s="6">
        <f t="shared" si="45"/>
        <v>1176.406017870002</v>
      </c>
      <c r="AF49" s="839">
        <v>0.96299999999999997</v>
      </c>
      <c r="AG49" s="553">
        <f t="shared" si="46"/>
        <v>3.8421599169262688E-2</v>
      </c>
      <c r="AH49" s="32">
        <f t="shared" ref="AH49" si="58">100*(AN49/40.3)/((AN49/40.3)+(AL49/71.85))</f>
        <v>54.681826391171498</v>
      </c>
      <c r="AI49" s="9">
        <v>50.411568992099163</v>
      </c>
      <c r="AJ49" s="9">
        <v>2.4522478473692284</v>
      </c>
      <c r="AK49" s="9">
        <v>12.103127157980859</v>
      </c>
      <c r="AL49" s="9">
        <v>14.070967935705486</v>
      </c>
      <c r="AM49" s="9">
        <v>0.21249457732850396</v>
      </c>
      <c r="AN49" s="9">
        <v>9.5229797308925761</v>
      </c>
      <c r="AO49" s="9">
        <v>8.1916156018485857</v>
      </c>
      <c r="AP49" s="9">
        <v>2.2427745199553475</v>
      </c>
      <c r="AQ49" s="9">
        <v>0.4451308207544965</v>
      </c>
      <c r="AR49" s="9">
        <v>0.25177082621860664</v>
      </c>
      <c r="AS49" s="6">
        <v>116.93985802983191</v>
      </c>
      <c r="AT49" s="6">
        <v>764.98157127848356</v>
      </c>
      <c r="AU49" s="9">
        <v>99.52000000000001</v>
      </c>
      <c r="AV49" s="8">
        <f t="shared" si="47"/>
        <v>2.8149966351441091</v>
      </c>
      <c r="AW49" s="9">
        <f t="shared" si="48"/>
        <v>11.5381937072785</v>
      </c>
      <c r="AX49" s="8">
        <v>0.54195488721804508</v>
      </c>
      <c r="AY49" s="789">
        <v>2.7097744360902256E-2</v>
      </c>
      <c r="AZ49" s="6">
        <v>70.796992481202992</v>
      </c>
      <c r="BA49" s="48">
        <v>7.0796992481202992</v>
      </c>
      <c r="BB49" s="6" t="s">
        <v>64</v>
      </c>
      <c r="BC49" s="48" t="s">
        <v>64</v>
      </c>
      <c r="BD49" s="849" t="s">
        <v>1007</v>
      </c>
      <c r="BE49" s="48" t="s">
        <v>1007</v>
      </c>
      <c r="BF49" s="668" t="s">
        <v>1007</v>
      </c>
      <c r="BG49" s="48" t="s">
        <v>64</v>
      </c>
      <c r="BH49" s="48" t="s">
        <v>64</v>
      </c>
      <c r="BI49" s="850" t="str">
        <f t="shared" si="49"/>
        <v>-</v>
      </c>
      <c r="BJ49" s="789" t="str">
        <f t="shared" si="50"/>
        <v>-</v>
      </c>
      <c r="BK49" s="563" t="s">
        <v>64</v>
      </c>
      <c r="BL49" s="48" t="s">
        <v>64</v>
      </c>
      <c r="BM49" s="48" t="s">
        <v>64</v>
      </c>
      <c r="BN49" s="850" t="str">
        <f t="shared" si="51"/>
        <v>-</v>
      </c>
      <c r="BO49" s="789" t="str">
        <f t="shared" si="52"/>
        <v>-</v>
      </c>
      <c r="BP49" s="789" t="str">
        <f t="shared" si="53"/>
        <v>-</v>
      </c>
      <c r="BQ49" s="34" t="s">
        <v>64</v>
      </c>
      <c r="BR49" s="25">
        <v>2.7068997128002459</v>
      </c>
      <c r="BS49" s="26">
        <v>2.9691183078981238</v>
      </c>
      <c r="BT49" s="603"/>
      <c r="BU49" s="599">
        <v>0.13755094313099817</v>
      </c>
      <c r="BV49" s="851">
        <v>2.9688513804365029E-2</v>
      </c>
      <c r="BW49" s="851">
        <v>5.6423643856884594E-2</v>
      </c>
      <c r="BX49" s="851">
        <v>0.15310304808767414</v>
      </c>
      <c r="BY49" s="851">
        <v>7.5079774833206386E-3</v>
      </c>
      <c r="BZ49" s="851">
        <v>2.5009303272928936E-2</v>
      </c>
      <c r="CA49" s="851">
        <v>1.6855202728506546E-2</v>
      </c>
      <c r="CB49" s="851">
        <v>3.1929999992100881E-2</v>
      </c>
      <c r="CC49" s="851">
        <v>1.2208854981675513E-2</v>
      </c>
      <c r="CD49" s="851">
        <v>7.0746001285005152E-3</v>
      </c>
      <c r="CE49" s="852">
        <v>17.949091748479173</v>
      </c>
      <c r="CF49" s="852">
        <v>14.367502824328293</v>
      </c>
      <c r="CG49" s="603"/>
      <c r="CH49" s="584">
        <v>50.587499999999999</v>
      </c>
      <c r="CI49" s="576">
        <v>2.5309999999999997</v>
      </c>
      <c r="CJ49" s="576">
        <v>12.513500000000001</v>
      </c>
      <c r="CK49" s="576">
        <v>13.9655</v>
      </c>
      <c r="CL49" s="576">
        <v>0.20699999999999999</v>
      </c>
      <c r="CM49" s="576">
        <v>8.1215000000000011</v>
      </c>
      <c r="CN49" s="576">
        <v>8.4615000000000009</v>
      </c>
      <c r="CO49" s="576">
        <v>2.3244999999999996</v>
      </c>
      <c r="CP49" s="576">
        <v>0.45850000000000002</v>
      </c>
      <c r="CQ49" s="576">
        <v>0.25900000000000001</v>
      </c>
      <c r="CR49" s="792">
        <v>1.2E-2</v>
      </c>
      <c r="CS49" s="793">
        <v>785</v>
      </c>
      <c r="CT49" s="576">
        <f>SUM(CH49:CR49)+(CS49/10000)</f>
        <v>99.52000000000001</v>
      </c>
      <c r="CU49" s="576">
        <v>0.54195488721804508</v>
      </c>
      <c r="CV49" s="591">
        <v>73.517126148705088</v>
      </c>
      <c r="CW49" s="603"/>
      <c r="CX49" s="936" t="s">
        <v>1007</v>
      </c>
      <c r="CY49" s="934" t="s">
        <v>64</v>
      </c>
      <c r="CZ49" s="934" t="s">
        <v>64</v>
      </c>
      <c r="DA49" s="938" t="str">
        <f t="shared" si="54"/>
        <v>-</v>
      </c>
      <c r="DB49" s="936" t="s">
        <v>1007</v>
      </c>
      <c r="DC49" s="934" t="s">
        <v>64</v>
      </c>
      <c r="DD49" s="934" t="s">
        <v>64</v>
      </c>
      <c r="DE49" s="939" t="str">
        <f t="shared" si="55"/>
        <v>-</v>
      </c>
      <c r="DF49" s="9"/>
    </row>
    <row r="50" spans="1:110">
      <c r="A50" s="846"/>
      <c r="B50" s="34"/>
      <c r="D50" s="34"/>
      <c r="E50" s="535"/>
      <c r="F50" s="537"/>
      <c r="H50" s="34"/>
      <c r="I50" s="28"/>
      <c r="K50" s="34"/>
      <c r="L50" s="49"/>
      <c r="M50" s="50"/>
      <c r="N50" s="838"/>
      <c r="O50" s="54"/>
      <c r="P50" s="53"/>
      <c r="Q50" s="54"/>
      <c r="R50" s="21"/>
      <c r="S50" s="624"/>
      <c r="T50" s="34"/>
      <c r="U50" s="21"/>
      <c r="V50" s="9"/>
      <c r="W50" s="9"/>
      <c r="X50" s="39"/>
      <c r="Y50" s="784"/>
      <c r="Z50" s="784"/>
      <c r="AA50" s="785"/>
      <c r="AB50" s="11"/>
      <c r="AC50" s="7"/>
      <c r="AD50" s="7"/>
      <c r="AE50" s="7"/>
      <c r="AF50" s="839"/>
      <c r="AG50" s="839"/>
      <c r="AH50" s="32"/>
      <c r="AI50" s="7"/>
      <c r="AJ50" s="7"/>
      <c r="AK50" s="7"/>
      <c r="AL50" s="7"/>
      <c r="AM50" s="7"/>
      <c r="AN50" s="7"/>
      <c r="AO50" s="7"/>
      <c r="AP50" s="7"/>
      <c r="AQ50" s="7"/>
      <c r="AR50" s="7"/>
      <c r="AS50" s="7"/>
      <c r="AT50" s="7"/>
      <c r="AU50" s="7"/>
      <c r="AV50" s="11"/>
      <c r="AW50" s="7"/>
      <c r="AX50" s="8"/>
      <c r="AY50" s="787"/>
      <c r="AZ50" s="7"/>
      <c r="BB50" s="7"/>
      <c r="BD50" s="786"/>
      <c r="BF50" s="669"/>
      <c r="BG50" s="68"/>
      <c r="BH50" s="68"/>
      <c r="BI50" s="781"/>
      <c r="BK50" s="563"/>
      <c r="BL50" s="48"/>
      <c r="BM50" s="48"/>
      <c r="BN50" s="788"/>
      <c r="BO50" s="789"/>
      <c r="BP50" s="789"/>
      <c r="BR50" s="45"/>
      <c r="BS50" s="854"/>
      <c r="BT50" s="604"/>
      <c r="BU50" s="598"/>
      <c r="BV50" s="790"/>
      <c r="BW50" s="790"/>
      <c r="BX50" s="790"/>
      <c r="BY50" s="790"/>
      <c r="BZ50" s="790"/>
      <c r="CA50" s="790"/>
      <c r="CB50" s="790"/>
      <c r="CC50" s="790"/>
      <c r="CD50" s="790"/>
      <c r="CE50" s="791"/>
      <c r="CF50" s="791"/>
      <c r="CG50" s="604"/>
      <c r="CH50" s="584"/>
      <c r="CI50" s="576"/>
      <c r="CJ50" s="576"/>
      <c r="CK50" s="576"/>
      <c r="CL50" s="576"/>
      <c r="CM50" s="576"/>
      <c r="CN50" s="576"/>
      <c r="CO50" s="576"/>
      <c r="CP50" s="576"/>
      <c r="CQ50" s="576"/>
      <c r="CR50" s="792"/>
      <c r="CS50" s="576"/>
      <c r="CT50" s="576"/>
      <c r="CU50" s="576"/>
      <c r="CV50" s="591"/>
      <c r="CW50" s="604"/>
      <c r="CX50" s="936"/>
      <c r="CY50" s="934"/>
      <c r="CZ50" s="934"/>
      <c r="DA50" s="941"/>
      <c r="DB50" s="936"/>
      <c r="DC50" s="934"/>
      <c r="DD50" s="934"/>
      <c r="DE50" s="942"/>
      <c r="DF50" s="9"/>
    </row>
    <row r="51" spans="1:110">
      <c r="A51" s="837" t="s">
        <v>1485</v>
      </c>
      <c r="B51" s="41"/>
      <c r="C51" s="41"/>
      <c r="D51" s="41"/>
      <c r="E51" s="535"/>
      <c r="F51" s="537"/>
      <c r="H51" s="41"/>
      <c r="I51" s="47"/>
      <c r="J51" s="3"/>
      <c r="K51" s="41"/>
      <c r="L51" s="49"/>
      <c r="M51" s="50"/>
      <c r="N51" s="838"/>
      <c r="O51" s="54"/>
      <c r="P51" s="53"/>
      <c r="Q51" s="54"/>
      <c r="R51" s="21"/>
      <c r="S51" s="624"/>
      <c r="T51" s="41"/>
      <c r="U51" s="21"/>
      <c r="V51" s="9"/>
      <c r="W51" s="9"/>
      <c r="X51" s="555"/>
      <c r="Y51" s="785"/>
      <c r="Z51" s="784"/>
      <c r="AA51" s="785"/>
      <c r="AB51" s="13"/>
      <c r="AC51" s="12"/>
      <c r="AD51" s="12"/>
      <c r="AE51" s="12"/>
      <c r="AF51" s="839"/>
      <c r="AG51" s="839"/>
      <c r="AH51" s="66"/>
      <c r="AI51" s="12"/>
      <c r="AJ51" s="12"/>
      <c r="AK51" s="12"/>
      <c r="AL51" s="12"/>
      <c r="AM51" s="12"/>
      <c r="AN51" s="12"/>
      <c r="AO51" s="12"/>
      <c r="AP51" s="12"/>
      <c r="AQ51" s="12"/>
      <c r="AR51" s="12"/>
      <c r="AS51" s="12"/>
      <c r="AT51" s="12"/>
      <c r="AU51" s="12"/>
      <c r="AV51" s="13"/>
      <c r="AW51" s="12"/>
      <c r="AX51" s="46"/>
      <c r="AY51" s="787"/>
      <c r="AZ51" s="12"/>
      <c r="BB51" s="12"/>
      <c r="BD51" s="840"/>
      <c r="BF51" s="667"/>
      <c r="BG51" s="68"/>
      <c r="BH51" s="68"/>
      <c r="BI51" s="841"/>
      <c r="BK51" s="563"/>
      <c r="BL51" s="48"/>
      <c r="BM51" s="48"/>
      <c r="BN51" s="788"/>
      <c r="BO51" s="789"/>
      <c r="BP51" s="789"/>
      <c r="BQ51" s="3"/>
      <c r="BR51" s="45"/>
      <c r="BS51" s="854"/>
      <c r="BT51" s="842"/>
      <c r="BU51" s="598"/>
      <c r="BV51" s="790"/>
      <c r="BW51" s="790"/>
      <c r="BX51" s="790"/>
      <c r="BY51" s="790"/>
      <c r="BZ51" s="790"/>
      <c r="CA51" s="790"/>
      <c r="CB51" s="790"/>
      <c r="CC51" s="790"/>
      <c r="CD51" s="790"/>
      <c r="CE51" s="791"/>
      <c r="CF51" s="791"/>
      <c r="CG51" s="842"/>
      <c r="CH51" s="583"/>
      <c r="CI51" s="843"/>
      <c r="CJ51" s="843"/>
      <c r="CK51" s="843"/>
      <c r="CL51" s="843"/>
      <c r="CM51" s="843"/>
      <c r="CN51" s="843"/>
      <c r="CO51" s="843"/>
      <c r="CP51" s="843"/>
      <c r="CQ51" s="843"/>
      <c r="CR51" s="844"/>
      <c r="CS51" s="576"/>
      <c r="CT51" s="843"/>
      <c r="CU51" s="845"/>
      <c r="CV51" s="590"/>
      <c r="CW51" s="842"/>
      <c r="CX51" s="933"/>
      <c r="CY51" s="934"/>
      <c r="CZ51" s="934"/>
      <c r="DA51" s="935"/>
      <c r="DB51" s="936"/>
      <c r="DC51" s="934"/>
      <c r="DD51" s="934"/>
      <c r="DE51" s="937"/>
      <c r="DF51" s="12"/>
    </row>
    <row r="52" spans="1:110">
      <c r="A52" s="846" t="s">
        <v>52</v>
      </c>
      <c r="B52" s="41" t="s">
        <v>678</v>
      </c>
      <c r="C52" s="41" t="s">
        <v>1486</v>
      </c>
      <c r="D52" s="34" t="s">
        <v>736</v>
      </c>
      <c r="E52" s="535">
        <v>19.389810000000001</v>
      </c>
      <c r="F52" s="537">
        <v>-155.29229000000001</v>
      </c>
      <c r="G52" s="37" t="s">
        <v>405</v>
      </c>
      <c r="H52" s="37" t="s">
        <v>64</v>
      </c>
      <c r="I52" s="202" t="s">
        <v>779</v>
      </c>
      <c r="J52" t="s">
        <v>884</v>
      </c>
      <c r="K52" s="34">
        <v>2001</v>
      </c>
      <c r="L52" s="51">
        <v>245</v>
      </c>
      <c r="M52" s="52">
        <v>136</v>
      </c>
      <c r="N52" s="838">
        <f t="shared" ref="N52:N83" si="59">(4*3.1415/3)*(L52/2)*(M52/2)*(AVERAGE(L52,M52)/2)</f>
        <v>3323424.2650000006</v>
      </c>
      <c r="O52" s="54">
        <v>3323424.2650000006</v>
      </c>
      <c r="P52" s="53" t="s">
        <v>151</v>
      </c>
      <c r="Q52" s="54" t="s">
        <v>151</v>
      </c>
      <c r="R52" s="772">
        <f t="shared" ref="R52:R83" si="60">IF(Q52="no bubble",0,IF(H52="Isolated fluid inclusion",1,Q52/(Q52+O52)))</f>
        <v>0</v>
      </c>
      <c r="S52" s="624" t="s">
        <v>105</v>
      </c>
      <c r="T52" s="37" t="s">
        <v>132</v>
      </c>
      <c r="U52" s="21">
        <v>89.6</v>
      </c>
      <c r="V52" s="552">
        <v>1.4</v>
      </c>
      <c r="W52" s="847">
        <v>0.68</v>
      </c>
      <c r="X52" s="556" t="s">
        <v>64</v>
      </c>
      <c r="Y52" s="784" t="s">
        <v>64</v>
      </c>
      <c r="Z52" s="784" t="s">
        <v>64</v>
      </c>
      <c r="AA52" s="785" t="s">
        <v>64</v>
      </c>
      <c r="AB52" s="32">
        <f t="shared" ref="AB52:AB110" si="61">IF(ISNUMBER(AN52), 20.1*AN52+1014,"-")</f>
        <v>1294.6002391562583</v>
      </c>
      <c r="AC52" s="6">
        <f t="shared" ref="AC52:AC83" si="62">IF(ISNUMBER(CM52), 20.1*CM52+1014,"-")</f>
        <v>1168.569</v>
      </c>
      <c r="AD52" s="6">
        <f t="shared" ref="AD52:AD83" si="63">IF(AND(ISNUMBER(AB52),ISNUMBER(AC52)),AB52-AC52,"-")</f>
        <v>126.03123915625838</v>
      </c>
      <c r="AE52" s="6">
        <f t="shared" ref="AE52:AE110" si="64">IF(ISNUMBER(U52),0.02289*U52^3- 4.943*U52^2+ 358.6*U52-7620,"-")</f>
        <v>1292.6717030400105</v>
      </c>
      <c r="AF52" s="839">
        <v>0.84599999999999997</v>
      </c>
      <c r="AG52" s="553">
        <f t="shared" ref="AG52:AG83" si="65">IF(ISNUMBER(AF52),(1/AF52)-1,"-")</f>
        <v>0.18203309692671388</v>
      </c>
      <c r="AH52" s="32">
        <f>100*(AN52/40.3)/((AN52/40.3)+(AL52/71.85))</f>
        <v>68.404774790161511</v>
      </c>
      <c r="AI52" s="9">
        <v>49.006576099648299</v>
      </c>
      <c r="AJ52" s="9">
        <v>2.0719045000569625</v>
      </c>
      <c r="AK52" s="9">
        <v>11.251648369969534</v>
      </c>
      <c r="AL52" s="9">
        <v>11.496052638665573</v>
      </c>
      <c r="AM52" s="9">
        <v>0.1548899480625108</v>
      </c>
      <c r="AN52" s="9">
        <v>13.960210903296428</v>
      </c>
      <c r="AO52" s="9">
        <v>9.4653850728330458</v>
      </c>
      <c r="AP52" s="9">
        <v>1.900922089858087</v>
      </c>
      <c r="AQ52" s="9">
        <v>0.3731439657869578</v>
      </c>
      <c r="AR52" s="9">
        <v>0.19512110340342267</v>
      </c>
      <c r="AS52" s="6" t="s">
        <v>64</v>
      </c>
      <c r="AT52" s="6">
        <v>1139.3126465026744</v>
      </c>
      <c r="AU52" s="9">
        <v>98.21</v>
      </c>
      <c r="AV52" s="8">
        <f t="shared" ref="AV52:AV110" si="66">IF(ISNUMBER(AL52),(AL52/71.84)*(0.18/2)*159.69,"-")</f>
        <v>2.2998666220513009</v>
      </c>
      <c r="AW52" s="9">
        <f t="shared" ref="AW52:AW110" si="67">IF(ISNUMBER(AL52),(AL52/71.84)*(1-0.18)*71.84,"-")</f>
        <v>9.4267631637057683</v>
      </c>
      <c r="AX52" s="8">
        <v>0.5937712585034014</v>
      </c>
      <c r="AY52" s="789">
        <v>2.9688562925170071E-2</v>
      </c>
      <c r="AZ52" s="6">
        <v>101.55357142857144</v>
      </c>
      <c r="BA52" s="48">
        <v>10.155357142857145</v>
      </c>
      <c r="BB52" s="6" t="s">
        <v>151</v>
      </c>
      <c r="BC52" s="48" t="s">
        <v>151</v>
      </c>
      <c r="BD52" s="849">
        <v>101.55357142857144</v>
      </c>
      <c r="BE52" s="48">
        <v>10.155357142857145</v>
      </c>
      <c r="BF52" s="668">
        <v>224.33038197725531</v>
      </c>
      <c r="BG52" s="48">
        <v>19.207996493118884</v>
      </c>
      <c r="BH52" s="48">
        <v>19.266857456754707</v>
      </c>
      <c r="BI52" s="850">
        <f t="shared" ref="BI52:BI83" si="68">IF(NOT(ISNUMBER(BF52)),"-",(0.0684*((BF52/1000))^3 - 0.5008*((BF52/1000))^2 + 4.47*((BF52/1000))))</f>
        <v>0.97832667127520401</v>
      </c>
      <c r="BJ52" s="789">
        <f t="shared" ref="BJ52:BJ83" si="69">IF(NOT(ISNUMBER(BF52)),"-",AVERAGE(ABS(BI52-(0.0684*(((BF52+BG52)/1000))^3-0.5008*(((BF52+BG52)/1000))^2+4.47*(((BF52+BG52)/1000)))),ABS(BI52-(0.0684*(((BF52-BG52)/1000))^3-0.5008*(((BF52-BG52)/1000))^2+4.47*(((BF52-BG52)/1000))))))</f>
        <v>8.1742749125001513E-2</v>
      </c>
      <c r="BK52" s="563" t="s">
        <v>64</v>
      </c>
      <c r="BL52" s="48" t="s">
        <v>64</v>
      </c>
      <c r="BM52" s="48" t="s">
        <v>64</v>
      </c>
      <c r="BN52" s="850" t="str">
        <f t="shared" ref="BN52:BN83" si="70">IF(ISNUMBER(BK52),(0.0684*((BK52/1000))^3 - 0.5008*((BK52/1000))^2 + 4.47*((BK52/1000))),"-")</f>
        <v>-</v>
      </c>
      <c r="BO52" s="789" t="str">
        <f t="shared" ref="BO52:BO110" si="71">IF(ISNUMBER(BL52),ABS(BN52-(0.0684*(((BK52+BL52)/1000))^3 - 0.5008*(((BK52+BL52)/1000))^2 + 4.47*(((BK52+BL52)/1000)))),"-")</f>
        <v>-</v>
      </c>
      <c r="BP52" s="789" t="str">
        <f t="shared" ref="BP52:BP110" si="72">IF(ISNUMBER(BM52),ABS(BN52-(0.0684*(((BK52-BM52)/1000))^3 - 0.5008*(((BK52-BM52)/1000))^2 + 4.47*(((BK52-BM52)/1000)))),"-")</f>
        <v>-</v>
      </c>
      <c r="BQ52" s="34" t="s">
        <v>64</v>
      </c>
      <c r="BR52" s="25">
        <v>2.692785123164549</v>
      </c>
      <c r="BS52" s="26">
        <v>2.948618894033034</v>
      </c>
      <c r="BT52" s="603"/>
      <c r="BU52" s="599">
        <v>0.13371733704983743</v>
      </c>
      <c r="BV52" s="851">
        <v>2.5083828870420655E-2</v>
      </c>
      <c r="BW52" s="851">
        <v>5.2454129593394218E-2</v>
      </c>
      <c r="BX52" s="851">
        <v>0.12508597191027582</v>
      </c>
      <c r="BY52" s="851">
        <v>5.4726584417645833E-3</v>
      </c>
      <c r="BZ52" s="851">
        <v>3.6662384894298794E-2</v>
      </c>
      <c r="CA52" s="851">
        <v>1.9476131701050205E-2</v>
      </c>
      <c r="CB52" s="851">
        <v>2.7063104995218846E-2</v>
      </c>
      <c r="CC52" s="851">
        <v>1.0234430763204433E-2</v>
      </c>
      <c r="CD52" s="851">
        <v>5.4827789380666554E-3</v>
      </c>
      <c r="CE52" s="852" t="s">
        <v>64</v>
      </c>
      <c r="CF52" s="852">
        <v>21.398002619936481</v>
      </c>
      <c r="CG52" s="603"/>
      <c r="CH52" s="584">
        <v>49.683500000000002</v>
      </c>
      <c r="CI52" s="576">
        <v>2.3730000000000002</v>
      </c>
      <c r="CJ52" s="576">
        <v>13.0745</v>
      </c>
      <c r="CK52" s="576">
        <v>11.275</v>
      </c>
      <c r="CL52" s="576">
        <v>0.1605</v>
      </c>
      <c r="CM52" s="576">
        <v>7.69</v>
      </c>
      <c r="CN52" s="576">
        <v>10.9435</v>
      </c>
      <c r="CO52" s="576">
        <v>2.2130000000000001</v>
      </c>
      <c r="CP52" s="576">
        <v>0.4345</v>
      </c>
      <c r="CQ52" s="576">
        <v>0.23099999999999998</v>
      </c>
      <c r="CR52" s="792" t="s">
        <v>64</v>
      </c>
      <c r="CS52" s="793">
        <v>1315</v>
      </c>
      <c r="CT52" s="576">
        <f t="shared" ref="CT52:CT80" si="73">SUM(CH52:CR52)+(CS52/10000)</f>
        <v>98.21</v>
      </c>
      <c r="CU52" s="576">
        <v>0.5937712585034014</v>
      </c>
      <c r="CV52" s="591">
        <v>120.03968253968256</v>
      </c>
      <c r="CW52" s="603"/>
      <c r="CX52" s="936">
        <v>252.71777897144739</v>
      </c>
      <c r="CY52" s="934">
        <v>21.990402076823784</v>
      </c>
      <c r="CZ52" s="934">
        <v>22.010475584617183</v>
      </c>
      <c r="DA52" s="938">
        <f t="shared" ref="DA52:DA83" si="74">IF(NOT(ISNUMBER(CX52)),"-",(0.0684*((CX52/1000))^3 - 0.5008*((CX52/1000))^2 + 4.47*((CX52/1000))))</f>
        <v>1.0987682268843357</v>
      </c>
      <c r="DB52" s="936">
        <v>167.73288426940439</v>
      </c>
      <c r="DC52" s="934">
        <v>14.493750190163297</v>
      </c>
      <c r="DD52" s="934">
        <v>14.684378891551489</v>
      </c>
      <c r="DE52" s="939">
        <f t="shared" ref="DE52:DE83" si="75">IF(NOT(ISNUMBER(DB52)),"-",(0.0684*((DB52/1000))^3 - 0.5008*((DB52/1000))^2 + 4.47*((DB52/1000))))</f>
        <v>0.73599910806435154</v>
      </c>
      <c r="DF52" s="9"/>
    </row>
    <row r="53" spans="1:110">
      <c r="A53" s="846" t="s">
        <v>53</v>
      </c>
      <c r="B53" s="41" t="s">
        <v>678</v>
      </c>
      <c r="C53" s="41" t="s">
        <v>1486</v>
      </c>
      <c r="D53" s="34" t="s">
        <v>736</v>
      </c>
      <c r="E53" s="535">
        <v>19.389810000000001</v>
      </c>
      <c r="F53" s="537">
        <v>-155.29229000000001</v>
      </c>
      <c r="G53" s="37" t="s">
        <v>405</v>
      </c>
      <c r="H53" s="37" t="s">
        <v>64</v>
      </c>
      <c r="I53" s="202" t="s">
        <v>779</v>
      </c>
      <c r="J53" t="s">
        <v>884</v>
      </c>
      <c r="K53" s="34">
        <v>2001</v>
      </c>
      <c r="L53" s="51">
        <v>173</v>
      </c>
      <c r="M53" s="52">
        <v>140</v>
      </c>
      <c r="N53" s="838">
        <f t="shared" si="59"/>
        <v>1984605.9741666671</v>
      </c>
      <c r="O53" s="54">
        <v>1984605.9741666671</v>
      </c>
      <c r="P53" s="53" t="s">
        <v>151</v>
      </c>
      <c r="Q53" s="54" t="s">
        <v>151</v>
      </c>
      <c r="R53" s="772">
        <f t="shared" si="60"/>
        <v>0</v>
      </c>
      <c r="S53" s="624" t="s">
        <v>105</v>
      </c>
      <c r="T53" s="37" t="s">
        <v>132</v>
      </c>
      <c r="U53" s="21">
        <v>89.6</v>
      </c>
      <c r="V53" s="552">
        <v>1.4</v>
      </c>
      <c r="W53" s="847">
        <v>0.68</v>
      </c>
      <c r="X53" s="556" t="s">
        <v>64</v>
      </c>
      <c r="Y53" s="784" t="s">
        <v>64</v>
      </c>
      <c r="Z53" s="784" t="s">
        <v>64</v>
      </c>
      <c r="AA53" s="785" t="s">
        <v>64</v>
      </c>
      <c r="AB53" s="32">
        <f t="shared" si="61"/>
        <v>1286.2216551210267</v>
      </c>
      <c r="AC53" s="6">
        <f t="shared" si="62"/>
        <v>1162.1169</v>
      </c>
      <c r="AD53" s="6">
        <f t="shared" si="63"/>
        <v>124.10475512102676</v>
      </c>
      <c r="AE53" s="6">
        <f t="shared" si="64"/>
        <v>1292.6717030400105</v>
      </c>
      <c r="AF53" s="839">
        <v>0.85099999999999998</v>
      </c>
      <c r="AG53" s="553">
        <f t="shared" si="65"/>
        <v>0.17508813160987069</v>
      </c>
      <c r="AH53" s="32">
        <f>100*(AN53/40.3)/((AN53/40.3)+(AL53/71.85))</f>
        <v>68.37375366025951</v>
      </c>
      <c r="AI53" s="9">
        <v>49.068300669697159</v>
      </c>
      <c r="AJ53" s="9">
        <v>2.22269706649239</v>
      </c>
      <c r="AK53" s="9">
        <v>11.507737481812637</v>
      </c>
      <c r="AL53" s="9">
        <v>11.168801322804521</v>
      </c>
      <c r="AM53" s="9">
        <v>0.15488477295919822</v>
      </c>
      <c r="AN53" s="9">
        <v>13.54336592641924</v>
      </c>
      <c r="AO53" s="9">
        <v>9.6642063854865956</v>
      </c>
      <c r="AP53" s="9">
        <v>1.9390768978268451</v>
      </c>
      <c r="AQ53" s="9">
        <v>0.38419469656112809</v>
      </c>
      <c r="AR53" s="9">
        <v>0.22226970664923901</v>
      </c>
      <c r="AS53" s="6" t="s">
        <v>64</v>
      </c>
      <c r="AT53" s="6">
        <v>1172.4209273196391</v>
      </c>
      <c r="AU53" s="9">
        <v>97.457499999999996</v>
      </c>
      <c r="AV53" s="8">
        <f t="shared" si="66"/>
        <v>2.234397682231053</v>
      </c>
      <c r="AW53" s="9">
        <f t="shared" si="67"/>
        <v>9.1584170846997086</v>
      </c>
      <c r="AX53" s="8">
        <v>0.55163265306122444</v>
      </c>
      <c r="AY53" s="789">
        <v>2.7581632653061225E-2</v>
      </c>
      <c r="AZ53" s="6">
        <v>71.817195767195784</v>
      </c>
      <c r="BA53" s="48">
        <v>7.1817195767195789</v>
      </c>
      <c r="BB53" s="6" t="s">
        <v>151</v>
      </c>
      <c r="BC53" s="48" t="s">
        <v>151</v>
      </c>
      <c r="BD53" s="849">
        <v>71.817195767195784</v>
      </c>
      <c r="BE53" s="48">
        <v>7.1817195767195789</v>
      </c>
      <c r="BF53" s="668">
        <v>168.9133608150033</v>
      </c>
      <c r="BG53" s="48">
        <v>14.082832573138688</v>
      </c>
      <c r="BH53" s="48">
        <v>14.114580443121895</v>
      </c>
      <c r="BI53" s="850">
        <f t="shared" si="68"/>
        <v>0.74108368196149055</v>
      </c>
      <c r="BJ53" s="789">
        <f t="shared" si="69"/>
        <v>6.0650318913115009E-2</v>
      </c>
      <c r="BK53" s="563" t="s">
        <v>64</v>
      </c>
      <c r="BL53" s="48" t="s">
        <v>64</v>
      </c>
      <c r="BM53" s="48" t="s">
        <v>64</v>
      </c>
      <c r="BN53" s="850" t="str">
        <f t="shared" si="70"/>
        <v>-</v>
      </c>
      <c r="BO53" s="789" t="str">
        <f t="shared" si="71"/>
        <v>-</v>
      </c>
      <c r="BP53" s="789" t="str">
        <f t="shared" si="72"/>
        <v>-</v>
      </c>
      <c r="BQ53" s="34" t="s">
        <v>64</v>
      </c>
      <c r="BR53" s="25">
        <v>2.691920937231393</v>
      </c>
      <c r="BS53" s="26">
        <v>2.9444423510612898</v>
      </c>
      <c r="BT53" s="603"/>
      <c r="BU53" s="599">
        <v>0.13388575618445922</v>
      </c>
      <c r="BV53" s="851">
        <v>2.6909422150078965E-2</v>
      </c>
      <c r="BW53" s="851">
        <v>5.3647993018412693E-2</v>
      </c>
      <c r="BX53" s="851">
        <v>0.1215252236960829</v>
      </c>
      <c r="BY53" s="851">
        <v>5.4724755921143333E-3</v>
      </c>
      <c r="BZ53" s="851">
        <v>3.5567664256524051E-2</v>
      </c>
      <c r="CA53" s="851">
        <v>1.9885229697636755E-2</v>
      </c>
      <c r="CB53" s="851">
        <v>2.760630851715172E-2</v>
      </c>
      <c r="CC53" s="851">
        <v>1.0537525411278229E-2</v>
      </c>
      <c r="CD53" s="851">
        <v>6.2456374268603319E-3</v>
      </c>
      <c r="CE53" s="852" t="s">
        <v>64</v>
      </c>
      <c r="CF53" s="852">
        <v>22.019825858568755</v>
      </c>
      <c r="CG53" s="603"/>
      <c r="CH53" s="584">
        <v>49.292500000000004</v>
      </c>
      <c r="CI53" s="576">
        <v>2.5135000000000001</v>
      </c>
      <c r="CJ53" s="576">
        <v>13.182500000000001</v>
      </c>
      <c r="CK53" s="576">
        <v>10.866</v>
      </c>
      <c r="CL53" s="576">
        <v>0.15949999999999998</v>
      </c>
      <c r="CM53" s="576">
        <v>7.3689999999999998</v>
      </c>
      <c r="CN53" s="576">
        <v>11.022</v>
      </c>
      <c r="CO53" s="576">
        <v>2.2195</v>
      </c>
      <c r="CP53" s="576">
        <v>0.44450000000000001</v>
      </c>
      <c r="CQ53" s="576">
        <v>0.255</v>
      </c>
      <c r="CR53" s="792" t="s">
        <v>64</v>
      </c>
      <c r="CS53" s="793">
        <v>1335</v>
      </c>
      <c r="CT53" s="576">
        <f t="shared" si="73"/>
        <v>97.457499999999996</v>
      </c>
      <c r="CU53" s="576">
        <v>0.55163265306122444</v>
      </c>
      <c r="CV53" s="591">
        <v>84.391534391534407</v>
      </c>
      <c r="CW53" s="603"/>
      <c r="CX53" s="936">
        <v>183.5458343646612</v>
      </c>
      <c r="CY53" s="934">
        <v>15.585491490280305</v>
      </c>
      <c r="CZ53" s="934">
        <v>15.59530975825021</v>
      </c>
      <c r="DA53" s="938">
        <f t="shared" si="74"/>
        <v>0.804001342347473</v>
      </c>
      <c r="DB53" s="936">
        <v>126.79815603873941</v>
      </c>
      <c r="DC53" s="934">
        <v>10.956592120881183</v>
      </c>
      <c r="DD53" s="934">
        <v>11.100698435688713</v>
      </c>
      <c r="DE53" s="939">
        <f t="shared" si="75"/>
        <v>0.55887545150915219</v>
      </c>
      <c r="DF53" s="9"/>
    </row>
    <row r="54" spans="1:110">
      <c r="A54" s="846" t="s">
        <v>58</v>
      </c>
      <c r="B54" s="41" t="s">
        <v>678</v>
      </c>
      <c r="C54" s="41" t="s">
        <v>1486</v>
      </c>
      <c r="D54" s="34" t="s">
        <v>736</v>
      </c>
      <c r="E54" s="535">
        <v>19.389810000000001</v>
      </c>
      <c r="F54" s="537">
        <v>-155.29229000000001</v>
      </c>
      <c r="G54" s="37" t="s">
        <v>405</v>
      </c>
      <c r="H54" s="37" t="s">
        <v>64</v>
      </c>
      <c r="I54" s="202" t="s">
        <v>779</v>
      </c>
      <c r="J54" t="s">
        <v>883</v>
      </c>
      <c r="K54" s="34">
        <v>2001</v>
      </c>
      <c r="L54" s="51">
        <v>249</v>
      </c>
      <c r="M54" s="52">
        <v>210</v>
      </c>
      <c r="N54" s="838">
        <f t="shared" si="59"/>
        <v>6283290.5887500001</v>
      </c>
      <c r="O54" s="54">
        <v>6103696.2087197835</v>
      </c>
      <c r="P54" s="53">
        <v>70</v>
      </c>
      <c r="Q54" s="54">
        <v>179594.38003021647</v>
      </c>
      <c r="R54" s="772">
        <f t="shared" si="60"/>
        <v>2.8582854396671322E-2</v>
      </c>
      <c r="S54" s="624" t="s">
        <v>110</v>
      </c>
      <c r="T54" s="37" t="s">
        <v>132</v>
      </c>
      <c r="U54" s="21">
        <v>88.9</v>
      </c>
      <c r="V54" s="552">
        <v>2</v>
      </c>
      <c r="W54" s="847">
        <v>2</v>
      </c>
      <c r="X54" s="556" t="s">
        <v>423</v>
      </c>
      <c r="Y54" s="784" t="s">
        <v>64</v>
      </c>
      <c r="Z54" s="784" t="s">
        <v>64</v>
      </c>
      <c r="AA54" s="785" t="s">
        <v>64</v>
      </c>
      <c r="AB54" s="32">
        <f t="shared" si="61"/>
        <v>1290.3481415090855</v>
      </c>
      <c r="AC54" s="6">
        <f t="shared" si="62"/>
        <v>1170.6594</v>
      </c>
      <c r="AD54" s="6">
        <f t="shared" si="63"/>
        <v>119.6887415090855</v>
      </c>
      <c r="AE54" s="6">
        <f t="shared" si="64"/>
        <v>1276.3809664100081</v>
      </c>
      <c r="AF54" s="839">
        <v>0.84899999999999998</v>
      </c>
      <c r="AG54" s="553">
        <f t="shared" si="65"/>
        <v>0.17785630153121312</v>
      </c>
      <c r="AH54" s="32">
        <f>100*(AN54/40.3)/((AN54/40.3)+(AL54/71.85))</f>
        <v>66.85306453875684</v>
      </c>
      <c r="AI54" s="9">
        <v>47.977097431166733</v>
      </c>
      <c r="AJ54" s="9">
        <v>2.6996791322770735</v>
      </c>
      <c r="AK54" s="9">
        <v>11.394736531133724</v>
      </c>
      <c r="AL54" s="9">
        <v>12.153581559007586</v>
      </c>
      <c r="AM54" s="9">
        <v>0.15679446933552624</v>
      </c>
      <c r="AN54" s="9">
        <v>13.74866375667092</v>
      </c>
      <c r="AO54" s="9">
        <v>8.9905546679889881</v>
      </c>
      <c r="AP54" s="9">
        <v>1.9669665159591336</v>
      </c>
      <c r="AQ54" s="9">
        <v>0.41711349214258581</v>
      </c>
      <c r="AR54" s="9">
        <v>0.28946671261943302</v>
      </c>
      <c r="AS54" s="6" t="s">
        <v>64</v>
      </c>
      <c r="AT54" s="6">
        <v>1819.8091482776756</v>
      </c>
      <c r="AU54" s="9">
        <v>98.939666666666653</v>
      </c>
      <c r="AV54" s="8">
        <f t="shared" si="66"/>
        <v>2.4314099321299127</v>
      </c>
      <c r="AW54" s="9">
        <f t="shared" si="67"/>
        <v>9.9659368783862217</v>
      </c>
      <c r="AX54" s="8">
        <v>0.58877963306534742</v>
      </c>
      <c r="AY54" s="789">
        <v>2.9438981653267374E-2</v>
      </c>
      <c r="AZ54" s="6">
        <v>232.46428571428575</v>
      </c>
      <c r="BA54" s="48">
        <v>23.246428571428577</v>
      </c>
      <c r="BB54" s="6" t="s">
        <v>64</v>
      </c>
      <c r="BC54" s="48" t="s">
        <v>64</v>
      </c>
      <c r="BD54" s="849" t="s">
        <v>1007</v>
      </c>
      <c r="BE54" s="48" t="s">
        <v>1007</v>
      </c>
      <c r="BF54" s="668" t="s">
        <v>1007</v>
      </c>
      <c r="BG54" s="48" t="s">
        <v>64</v>
      </c>
      <c r="BH54" s="48" t="s">
        <v>64</v>
      </c>
      <c r="BI54" s="850" t="str">
        <f t="shared" si="68"/>
        <v>-</v>
      </c>
      <c r="BJ54" s="789" t="str">
        <f t="shared" si="69"/>
        <v>-</v>
      </c>
      <c r="BK54" s="563" t="s">
        <v>64</v>
      </c>
      <c r="BL54" s="48" t="s">
        <v>64</v>
      </c>
      <c r="BM54" s="48" t="s">
        <v>64</v>
      </c>
      <c r="BN54" s="850" t="str">
        <f t="shared" si="70"/>
        <v>-</v>
      </c>
      <c r="BO54" s="789" t="str">
        <f t="shared" si="71"/>
        <v>-</v>
      </c>
      <c r="BP54" s="789" t="str">
        <f t="shared" si="72"/>
        <v>-</v>
      </c>
      <c r="BQ54" s="34" t="s">
        <v>64</v>
      </c>
      <c r="BR54" s="25">
        <v>2.705578334499767</v>
      </c>
      <c r="BS54" s="26">
        <v>2.9738004048263269</v>
      </c>
      <c r="BT54" s="603"/>
      <c r="BU54" s="599">
        <v>0.13090834370537166</v>
      </c>
      <c r="BV54" s="851">
        <v>3.2684078516756962E-2</v>
      </c>
      <c r="BW54" s="851">
        <v>5.3121193182851842E-2</v>
      </c>
      <c r="BX54" s="851">
        <v>0.13224039670678947</v>
      </c>
      <c r="BY54" s="851">
        <v>5.5399500546333656E-3</v>
      </c>
      <c r="BZ54" s="851">
        <v>3.6106818580394204E-2</v>
      </c>
      <c r="CA54" s="851">
        <v>1.8499112865657183E-2</v>
      </c>
      <c r="CB54" s="851">
        <v>2.8003368274528224E-2</v>
      </c>
      <c r="CC54" s="851">
        <v>1.1440407850971387E-2</v>
      </c>
      <c r="CD54" s="851">
        <v>8.133830567469932E-3</v>
      </c>
      <c r="CE54" s="852" t="s">
        <v>64</v>
      </c>
      <c r="CF54" s="852">
        <v>34.17874895197933</v>
      </c>
      <c r="CG54" s="603"/>
      <c r="CH54" s="584">
        <v>48.838333333333331</v>
      </c>
      <c r="CI54" s="576">
        <v>3.1080000000000001</v>
      </c>
      <c r="CJ54" s="576">
        <v>13.287333333333335</v>
      </c>
      <c r="CK54" s="576">
        <v>12.005000000000001</v>
      </c>
      <c r="CL54" s="576">
        <v>0.15733333333333333</v>
      </c>
      <c r="CM54" s="576">
        <v>7.7939999999999996</v>
      </c>
      <c r="CN54" s="576">
        <v>10.427999999999999</v>
      </c>
      <c r="CO54" s="576">
        <v>2.2903333333333333</v>
      </c>
      <c r="CP54" s="576">
        <v>0.48466666666666663</v>
      </c>
      <c r="CQ54" s="576">
        <v>0.33566666666666661</v>
      </c>
      <c r="CR54" s="792" t="s">
        <v>64</v>
      </c>
      <c r="CS54" s="793">
        <v>2110</v>
      </c>
      <c r="CT54" s="576">
        <f t="shared" si="73"/>
        <v>98.939666666666653</v>
      </c>
      <c r="CU54" s="576">
        <v>0.58877963306534742</v>
      </c>
      <c r="CV54" s="591">
        <v>273.80952380952385</v>
      </c>
      <c r="CW54" s="603"/>
      <c r="CX54" s="936" t="s">
        <v>1007</v>
      </c>
      <c r="CY54" s="934" t="s">
        <v>64</v>
      </c>
      <c r="CZ54" s="934" t="s">
        <v>64</v>
      </c>
      <c r="DA54" s="938" t="str">
        <f t="shared" si="74"/>
        <v>-</v>
      </c>
      <c r="DB54" s="936" t="s">
        <v>1007</v>
      </c>
      <c r="DC54" s="934" t="s">
        <v>64</v>
      </c>
      <c r="DD54" s="934" t="s">
        <v>64</v>
      </c>
      <c r="DE54" s="939" t="str">
        <f t="shared" si="75"/>
        <v>-</v>
      </c>
      <c r="DF54" s="9"/>
    </row>
    <row r="55" spans="1:110">
      <c r="A55" s="846" t="s">
        <v>48</v>
      </c>
      <c r="B55" s="41" t="s">
        <v>678</v>
      </c>
      <c r="C55" s="41" t="s">
        <v>1486</v>
      </c>
      <c r="D55" s="34" t="s">
        <v>736</v>
      </c>
      <c r="E55" s="535">
        <v>19.389810000000001</v>
      </c>
      <c r="F55" s="537">
        <v>-155.29229000000001</v>
      </c>
      <c r="G55" s="37" t="s">
        <v>405</v>
      </c>
      <c r="H55" s="37" t="s">
        <v>64</v>
      </c>
      <c r="I55" s="202" t="s">
        <v>779</v>
      </c>
      <c r="J55" t="s">
        <v>884</v>
      </c>
      <c r="K55" s="34">
        <v>2001</v>
      </c>
      <c r="L55" s="51">
        <v>265</v>
      </c>
      <c r="M55" s="52">
        <v>220</v>
      </c>
      <c r="N55" s="838">
        <f t="shared" si="59"/>
        <v>7402290.2708333349</v>
      </c>
      <c r="O55" s="54">
        <v>7402290.2708333349</v>
      </c>
      <c r="P55" s="53" t="s">
        <v>151</v>
      </c>
      <c r="Q55" s="54" t="s">
        <v>151</v>
      </c>
      <c r="R55" s="772">
        <f t="shared" si="60"/>
        <v>0</v>
      </c>
      <c r="S55" s="624" t="s">
        <v>103</v>
      </c>
      <c r="T55" s="37" t="s">
        <v>132</v>
      </c>
      <c r="U55" s="21">
        <v>89.4</v>
      </c>
      <c r="V55" s="552">
        <v>2</v>
      </c>
      <c r="W55" s="847">
        <v>1.6</v>
      </c>
      <c r="X55" s="556" t="s">
        <v>64</v>
      </c>
      <c r="Y55" s="784" t="s">
        <v>64</v>
      </c>
      <c r="Z55" s="784" t="s">
        <v>64</v>
      </c>
      <c r="AA55" s="785" t="s">
        <v>64</v>
      </c>
      <c r="AB55" s="32">
        <f t="shared" si="61"/>
        <v>1283.870478387782</v>
      </c>
      <c r="AC55" s="6">
        <f t="shared" si="62"/>
        <v>1171.9558500000001</v>
      </c>
      <c r="AD55" s="6">
        <f t="shared" si="63"/>
        <v>111.91462838778193</v>
      </c>
      <c r="AE55" s="6">
        <f t="shared" si="64"/>
        <v>1287.8982837600051</v>
      </c>
      <c r="AF55" s="839">
        <v>0.86199999999999999</v>
      </c>
      <c r="AG55" s="553">
        <f t="shared" si="65"/>
        <v>0.16009280742459397</v>
      </c>
      <c r="AH55" s="32">
        <f t="shared" ref="AH55:AH63" si="76">100*(AN55/40.3)/((AN55/40.3)+(AL55/71.85))</f>
        <v>67.936329640658585</v>
      </c>
      <c r="AI55" s="9">
        <v>49.280378666331295</v>
      </c>
      <c r="AJ55" s="9">
        <v>2.1608115270846535</v>
      </c>
      <c r="AK55" s="9">
        <v>11.424448846317278</v>
      </c>
      <c r="AL55" s="9">
        <v>11.29775631378463</v>
      </c>
      <c r="AM55" s="9">
        <v>0.16490139155043423</v>
      </c>
      <c r="AN55" s="9">
        <v>13.426391959591147</v>
      </c>
      <c r="AO55" s="9">
        <v>9.5984675837832025</v>
      </c>
      <c r="AP55" s="9">
        <v>1.8682121067116271</v>
      </c>
      <c r="AQ55" s="9">
        <v>0.38912706420742715</v>
      </c>
      <c r="AR55" s="9">
        <v>0.23327513926646795</v>
      </c>
      <c r="AS55" s="6" t="s">
        <v>64</v>
      </c>
      <c r="AT55" s="6">
        <v>1417.8377133966055</v>
      </c>
      <c r="AU55" s="9">
        <v>98.726500000000001</v>
      </c>
      <c r="AV55" s="8">
        <f t="shared" si="66"/>
        <v>2.2601960400521164</v>
      </c>
      <c r="AW55" s="9">
        <f t="shared" si="67"/>
        <v>9.2641601773033972</v>
      </c>
      <c r="AX55" s="8">
        <v>0.61849721706864558</v>
      </c>
      <c r="AY55" s="789">
        <v>3.0924860853432282E-2</v>
      </c>
      <c r="AZ55" s="6">
        <v>143.66666666666666</v>
      </c>
      <c r="BA55" s="48">
        <v>14.366666666666667</v>
      </c>
      <c r="BB55" s="6" t="s">
        <v>151</v>
      </c>
      <c r="BC55" s="48" t="s">
        <v>151</v>
      </c>
      <c r="BD55" s="849">
        <v>143.66666666666666</v>
      </c>
      <c r="BE55" s="48">
        <v>14.366666666666667</v>
      </c>
      <c r="BF55" s="668">
        <v>320.14766538057512</v>
      </c>
      <c r="BG55" s="48">
        <v>28.028083900747106</v>
      </c>
      <c r="BH55" s="48">
        <v>28.153687606973392</v>
      </c>
      <c r="BI55" s="850">
        <f t="shared" si="68"/>
        <v>1.3819752402526193</v>
      </c>
      <c r="BJ55" s="789">
        <f t="shared" si="69"/>
        <v>0.11688904166401026</v>
      </c>
      <c r="BK55" s="563" t="s">
        <v>64</v>
      </c>
      <c r="BL55" s="48" t="s">
        <v>64</v>
      </c>
      <c r="BM55" s="48" t="s">
        <v>64</v>
      </c>
      <c r="BN55" s="850" t="str">
        <f t="shared" si="70"/>
        <v>-</v>
      </c>
      <c r="BO55" s="789" t="str">
        <f t="shared" si="71"/>
        <v>-</v>
      </c>
      <c r="BP55" s="789" t="str">
        <f t="shared" si="72"/>
        <v>-</v>
      </c>
      <c r="BQ55" s="34" t="s">
        <v>64</v>
      </c>
      <c r="BR55" s="25">
        <v>2.6869981069756279</v>
      </c>
      <c r="BS55" s="26">
        <v>2.9443594282814489</v>
      </c>
      <c r="BT55" s="603"/>
      <c r="BU55" s="599">
        <v>0.13446442352288165</v>
      </c>
      <c r="BV55" s="851">
        <v>2.6160195397584022E-2</v>
      </c>
      <c r="BW55" s="851">
        <v>5.3259709210007257E-2</v>
      </c>
      <c r="BX55" s="851">
        <v>0.12292835404755457</v>
      </c>
      <c r="BY55" s="851">
        <v>5.8263883732661507E-3</v>
      </c>
      <c r="BZ55" s="851">
        <v>3.5260466562723324E-2</v>
      </c>
      <c r="CA55" s="851">
        <v>1.974996446014322E-2</v>
      </c>
      <c r="CB55" s="851">
        <v>2.6597418519688137E-2</v>
      </c>
      <c r="CC55" s="851">
        <v>1.0672808250619488E-2</v>
      </c>
      <c r="CD55" s="851">
        <v>6.5548830856105179E-3</v>
      </c>
      <c r="CE55" s="852" t="s">
        <v>64</v>
      </c>
      <c r="CF55" s="852">
        <v>26.629121689323842</v>
      </c>
      <c r="CG55" s="603"/>
      <c r="CH55" s="584">
        <v>50.0655</v>
      </c>
      <c r="CI55" s="576">
        <v>2.4510000000000001</v>
      </c>
      <c r="CJ55" s="576">
        <v>13.093999999999999</v>
      </c>
      <c r="CK55" s="576">
        <v>11.129</v>
      </c>
      <c r="CL55" s="576">
        <v>0.16750000000000001</v>
      </c>
      <c r="CM55" s="576">
        <v>7.8584999999999994</v>
      </c>
      <c r="CN55" s="576">
        <v>10.952500000000001</v>
      </c>
      <c r="CO55" s="576">
        <v>2.137</v>
      </c>
      <c r="CP55" s="576">
        <v>0.44550000000000001</v>
      </c>
      <c r="CQ55" s="576">
        <v>0.26450000000000001</v>
      </c>
      <c r="CR55" s="792" t="s">
        <v>64</v>
      </c>
      <c r="CS55" s="793">
        <v>1615</v>
      </c>
      <c r="CT55" s="576">
        <f t="shared" si="73"/>
        <v>98.726500000000001</v>
      </c>
      <c r="CU55" s="576">
        <v>0.61849721706864558</v>
      </c>
      <c r="CV55" s="591">
        <v>166.66666666666666</v>
      </c>
      <c r="CW55" s="603"/>
      <c r="CX55" s="936">
        <v>346.64312314513808</v>
      </c>
      <c r="CY55" s="934">
        <v>30.967533922085636</v>
      </c>
      <c r="CZ55" s="934">
        <v>31.012585027390003</v>
      </c>
      <c r="DA55" s="938">
        <f t="shared" si="74"/>
        <v>1.4921669787945548</v>
      </c>
      <c r="DB55" s="936">
        <v>236.86046946595721</v>
      </c>
      <c r="DC55" s="934">
        <v>20.467044904864878</v>
      </c>
      <c r="DD55" s="934">
        <v>20.736237221571912</v>
      </c>
      <c r="DE55" s="939">
        <f t="shared" si="75"/>
        <v>1.0315789123692181</v>
      </c>
      <c r="DF55" s="9"/>
    </row>
    <row r="56" spans="1:110">
      <c r="A56" s="846" t="s">
        <v>49</v>
      </c>
      <c r="B56" s="41" t="s">
        <v>678</v>
      </c>
      <c r="C56" s="41" t="s">
        <v>1486</v>
      </c>
      <c r="D56" s="34" t="s">
        <v>736</v>
      </c>
      <c r="E56" s="535">
        <v>19.389810000000001</v>
      </c>
      <c r="F56" s="537">
        <v>-155.29229000000001</v>
      </c>
      <c r="G56" s="37" t="s">
        <v>405</v>
      </c>
      <c r="H56" s="37" t="s">
        <v>64</v>
      </c>
      <c r="I56" s="202" t="s">
        <v>779</v>
      </c>
      <c r="J56" t="s">
        <v>883</v>
      </c>
      <c r="K56" s="34">
        <v>2001</v>
      </c>
      <c r="L56" s="51">
        <v>205</v>
      </c>
      <c r="M56" s="52">
        <v>189</v>
      </c>
      <c r="N56" s="838">
        <f t="shared" si="59"/>
        <v>3996388.5412500002</v>
      </c>
      <c r="O56" s="54">
        <v>3816794.1612197836</v>
      </c>
      <c r="P56" s="53">
        <v>70</v>
      </c>
      <c r="Q56" s="54">
        <v>179594.38003021647</v>
      </c>
      <c r="R56" s="772">
        <f t="shared" si="60"/>
        <v>4.4939168996326495E-2</v>
      </c>
      <c r="S56" s="624" t="s">
        <v>103</v>
      </c>
      <c r="T56" s="37" t="s">
        <v>132</v>
      </c>
      <c r="U56" s="21">
        <v>89.4</v>
      </c>
      <c r="V56" s="552">
        <v>2</v>
      </c>
      <c r="W56" s="847">
        <v>1.6</v>
      </c>
      <c r="X56" s="556" t="s">
        <v>423</v>
      </c>
      <c r="Y56" s="784" t="s">
        <v>64</v>
      </c>
      <c r="Z56" s="784" t="s">
        <v>64</v>
      </c>
      <c r="AA56" s="785" t="s">
        <v>64</v>
      </c>
      <c r="AB56" s="32">
        <f t="shared" si="61"/>
        <v>1278.4474345941971</v>
      </c>
      <c r="AC56" s="6">
        <f t="shared" si="62"/>
        <v>1174.7598</v>
      </c>
      <c r="AD56" s="6">
        <f t="shared" si="63"/>
        <v>103.68763459419711</v>
      </c>
      <c r="AE56" s="6">
        <f t="shared" si="64"/>
        <v>1287.8982837600051</v>
      </c>
      <c r="AF56" s="839">
        <v>0.872</v>
      </c>
      <c r="AG56" s="553">
        <f t="shared" si="65"/>
        <v>0.14678899082568808</v>
      </c>
      <c r="AH56" s="32">
        <f t="shared" si="76"/>
        <v>67.940217573971793</v>
      </c>
      <c r="AI56" s="9">
        <v>49.638415586285745</v>
      </c>
      <c r="AJ56" s="9">
        <v>2.1662813212484444</v>
      </c>
      <c r="AK56" s="9">
        <v>11.617865284615615</v>
      </c>
      <c r="AL56" s="9">
        <v>11.06875219204289</v>
      </c>
      <c r="AM56" s="9">
        <v>0.16594076973351599</v>
      </c>
      <c r="AN56" s="9">
        <v>13.156588785780945</v>
      </c>
      <c r="AO56" s="9">
        <v>9.540085707225046</v>
      </c>
      <c r="AP56" s="9">
        <v>1.942009856699511</v>
      </c>
      <c r="AQ56" s="9">
        <v>0.3670810966832323</v>
      </c>
      <c r="AR56" s="9">
        <v>0.20114032694971634</v>
      </c>
      <c r="AS56" s="6" t="s">
        <v>64</v>
      </c>
      <c r="AT56" s="6">
        <v>1224.4089206796418</v>
      </c>
      <c r="AU56" s="9">
        <v>99.08</v>
      </c>
      <c r="AV56" s="8">
        <f t="shared" si="66"/>
        <v>2.2143821461478232</v>
      </c>
      <c r="AW56" s="9">
        <f t="shared" si="67"/>
        <v>9.0763767974751701</v>
      </c>
      <c r="AX56" s="8">
        <v>0.62314058956916085</v>
      </c>
      <c r="AY56" s="789">
        <v>3.1157029478458043E-2</v>
      </c>
      <c r="AZ56" s="6">
        <v>133.22222222222223</v>
      </c>
      <c r="BA56" s="48">
        <v>13.322222222222223</v>
      </c>
      <c r="BB56" s="6" t="s">
        <v>64</v>
      </c>
      <c r="BC56" s="48" t="s">
        <v>64</v>
      </c>
      <c r="BD56" s="849" t="s">
        <v>1007</v>
      </c>
      <c r="BE56" s="48" t="s">
        <v>1007</v>
      </c>
      <c r="BF56" s="668" t="s">
        <v>1007</v>
      </c>
      <c r="BG56" s="48" t="s">
        <v>64</v>
      </c>
      <c r="BH56" s="48" t="s">
        <v>64</v>
      </c>
      <c r="BI56" s="850" t="str">
        <f t="shared" si="68"/>
        <v>-</v>
      </c>
      <c r="BJ56" s="789" t="str">
        <f t="shared" si="69"/>
        <v>-</v>
      </c>
      <c r="BK56" s="563" t="s">
        <v>64</v>
      </c>
      <c r="BL56" s="48" t="s">
        <v>64</v>
      </c>
      <c r="BM56" s="48" t="s">
        <v>64</v>
      </c>
      <c r="BN56" s="850" t="str">
        <f t="shared" si="70"/>
        <v>-</v>
      </c>
      <c r="BO56" s="789" t="str">
        <f t="shared" si="71"/>
        <v>-</v>
      </c>
      <c r="BP56" s="789" t="str">
        <f t="shared" si="72"/>
        <v>-</v>
      </c>
      <c r="BQ56" s="34" t="s">
        <v>64</v>
      </c>
      <c r="BR56" s="25">
        <v>2.6807002372734261</v>
      </c>
      <c r="BS56" s="26">
        <v>2.9365320800595551</v>
      </c>
      <c r="BT56" s="603"/>
      <c r="BU56" s="599">
        <v>0.1354413484034219</v>
      </c>
      <c r="BV56" s="851">
        <v>2.6226416297609668E-2</v>
      </c>
      <c r="BW56" s="851">
        <v>5.4161398508001307E-2</v>
      </c>
      <c r="BX56" s="851">
        <v>0.12043661153037263</v>
      </c>
      <c r="BY56" s="851">
        <v>5.8631122656747957E-3</v>
      </c>
      <c r="BZ56" s="851">
        <v>3.4551907940475191E-2</v>
      </c>
      <c r="CA56" s="851">
        <v>1.9629836952593144E-2</v>
      </c>
      <c r="CB56" s="851">
        <v>2.7648064554572246E-2</v>
      </c>
      <c r="CC56" s="851">
        <v>1.0068141020483853E-2</v>
      </c>
      <c r="CD56" s="851">
        <v>5.6519152923998938E-3</v>
      </c>
      <c r="CE56" s="852" t="s">
        <v>64</v>
      </c>
      <c r="CF56" s="852">
        <v>22.996238453950202</v>
      </c>
      <c r="CG56" s="603"/>
      <c r="CH56" s="584">
        <v>50.536000000000001</v>
      </c>
      <c r="CI56" s="576">
        <v>2.4346666666666663</v>
      </c>
      <c r="CJ56" s="576">
        <v>13.207333333333333</v>
      </c>
      <c r="CK56" s="576">
        <v>10.939</v>
      </c>
      <c r="CL56" s="576">
        <v>0.17166666666666663</v>
      </c>
      <c r="CM56" s="576">
        <v>7.9980000000000002</v>
      </c>
      <c r="CN56" s="576">
        <v>10.799999999999999</v>
      </c>
      <c r="CO56" s="576">
        <v>2.2063333333333333</v>
      </c>
      <c r="CP56" s="576">
        <v>0.42</v>
      </c>
      <c r="CQ56" s="576">
        <v>0.22866666666666668</v>
      </c>
      <c r="CR56" s="792" t="s">
        <v>64</v>
      </c>
      <c r="CS56" s="793">
        <v>1383.3333333333333</v>
      </c>
      <c r="CT56" s="576">
        <f t="shared" si="73"/>
        <v>99.08</v>
      </c>
      <c r="CU56" s="576">
        <v>0.62314058956916085</v>
      </c>
      <c r="CV56" s="591">
        <v>152.77777777777777</v>
      </c>
      <c r="CW56" s="603"/>
      <c r="CX56" s="936" t="s">
        <v>1007</v>
      </c>
      <c r="CY56" s="934" t="s">
        <v>64</v>
      </c>
      <c r="CZ56" s="934" t="s">
        <v>64</v>
      </c>
      <c r="DA56" s="938" t="str">
        <f t="shared" si="74"/>
        <v>-</v>
      </c>
      <c r="DB56" s="936" t="s">
        <v>1007</v>
      </c>
      <c r="DC56" s="934" t="s">
        <v>64</v>
      </c>
      <c r="DD56" s="934" t="s">
        <v>64</v>
      </c>
      <c r="DE56" s="939" t="str">
        <f t="shared" si="75"/>
        <v>-</v>
      </c>
      <c r="DF56" s="9"/>
    </row>
    <row r="57" spans="1:110">
      <c r="A57" s="846" t="s">
        <v>54</v>
      </c>
      <c r="B57" s="41" t="s">
        <v>678</v>
      </c>
      <c r="C57" s="41" t="s">
        <v>1486</v>
      </c>
      <c r="D57" s="34" t="s">
        <v>736</v>
      </c>
      <c r="E57" s="535">
        <v>19.389810000000001</v>
      </c>
      <c r="F57" s="537">
        <v>-155.29229000000001</v>
      </c>
      <c r="G57" s="37" t="s">
        <v>405</v>
      </c>
      <c r="H57" s="37" t="s">
        <v>64</v>
      </c>
      <c r="I57" s="202" t="s">
        <v>779</v>
      </c>
      <c r="J57" t="s">
        <v>884</v>
      </c>
      <c r="K57" s="34">
        <v>2001</v>
      </c>
      <c r="L57" s="51">
        <v>248</v>
      </c>
      <c r="M57" s="52">
        <v>230</v>
      </c>
      <c r="N57" s="838">
        <f t="shared" si="59"/>
        <v>7137781.206666667</v>
      </c>
      <c r="O57" s="54">
        <v>7137781.206666667</v>
      </c>
      <c r="P57" s="53" t="s">
        <v>151</v>
      </c>
      <c r="Q57" s="54" t="s">
        <v>151</v>
      </c>
      <c r="R57" s="772">
        <f t="shared" si="60"/>
        <v>0</v>
      </c>
      <c r="S57" s="624" t="s">
        <v>106</v>
      </c>
      <c r="T57" s="37" t="s">
        <v>132</v>
      </c>
      <c r="U57" s="21">
        <v>88.7</v>
      </c>
      <c r="V57" s="552">
        <v>2.23</v>
      </c>
      <c r="W57" s="847">
        <v>2</v>
      </c>
      <c r="X57" s="556" t="s">
        <v>64</v>
      </c>
      <c r="Y57" s="784" t="s">
        <v>64</v>
      </c>
      <c r="Z57" s="784" t="s">
        <v>64</v>
      </c>
      <c r="AA57" s="785" t="s">
        <v>64</v>
      </c>
      <c r="AB57" s="32">
        <f t="shared" si="61"/>
        <v>1274.362431740338</v>
      </c>
      <c r="AC57" s="6">
        <f t="shared" si="62"/>
        <v>1166.1569999999999</v>
      </c>
      <c r="AD57" s="6">
        <f t="shared" si="63"/>
        <v>108.2054317403381</v>
      </c>
      <c r="AE57" s="6">
        <f t="shared" si="64"/>
        <v>1271.9376476700018</v>
      </c>
      <c r="AF57" s="839">
        <v>0.86699999999999999</v>
      </c>
      <c r="AG57" s="553">
        <f t="shared" si="65"/>
        <v>0.15340253748558252</v>
      </c>
      <c r="AH57" s="32">
        <f>100*(AN57/40.3)/((AN57/40.3)+(AL57/71.85))</f>
        <v>66.388805516314534</v>
      </c>
      <c r="AI57" s="9">
        <v>49.51120408239732</v>
      </c>
      <c r="AJ57" s="9">
        <v>2.1111182352967273</v>
      </c>
      <c r="AK57" s="9">
        <v>11.583491527352265</v>
      </c>
      <c r="AL57" s="9">
        <v>11.692115047796309</v>
      </c>
      <c r="AM57" s="9">
        <v>0.16695837401584407</v>
      </c>
      <c r="AN57" s="9">
        <v>12.953354812952142</v>
      </c>
      <c r="AO57" s="9">
        <v>9.4774021587427626</v>
      </c>
      <c r="AP57" s="9">
        <v>1.932090581231545</v>
      </c>
      <c r="AQ57" s="9">
        <v>0.26150106773565934</v>
      </c>
      <c r="AR57" s="9">
        <v>0.17399878737795796</v>
      </c>
      <c r="AS57" s="6" t="s">
        <v>64</v>
      </c>
      <c r="AT57" s="6">
        <v>1169.7218476023486</v>
      </c>
      <c r="AU57" s="9">
        <v>98.403500000000008</v>
      </c>
      <c r="AV57" s="8">
        <f t="shared" si="66"/>
        <v>2.3390902934080362</v>
      </c>
      <c r="AW57" s="9">
        <f t="shared" si="67"/>
        <v>9.5875343391929739</v>
      </c>
      <c r="AX57" s="8">
        <v>0.54073620559334845</v>
      </c>
      <c r="AY57" s="789">
        <v>2.7036810279667423E-2</v>
      </c>
      <c r="AZ57" s="6">
        <v>196.79523809523806</v>
      </c>
      <c r="BA57" s="48">
        <v>19.679523809523808</v>
      </c>
      <c r="BB57" s="6" t="s">
        <v>151</v>
      </c>
      <c r="BC57" s="48" t="s">
        <v>151</v>
      </c>
      <c r="BD57" s="849">
        <v>196.79523809523806</v>
      </c>
      <c r="BE57" s="48">
        <v>19.679523809523808</v>
      </c>
      <c r="BF57" s="668">
        <v>431.9685272362471</v>
      </c>
      <c r="BG57" s="48">
        <v>39.150359396030581</v>
      </c>
      <c r="BH57" s="48">
        <v>39.395950224311207</v>
      </c>
      <c r="BI57" s="850">
        <f t="shared" si="68"/>
        <v>1.842964945119693</v>
      </c>
      <c r="BJ57" s="789">
        <f t="shared" si="69"/>
        <v>0.15956648333371615</v>
      </c>
      <c r="BK57" s="563" t="s">
        <v>64</v>
      </c>
      <c r="BL57" s="48" t="s">
        <v>64</v>
      </c>
      <c r="BM57" s="48" t="s">
        <v>64</v>
      </c>
      <c r="BN57" s="850" t="str">
        <f t="shared" si="70"/>
        <v>-</v>
      </c>
      <c r="BO57" s="789" t="str">
        <f t="shared" si="71"/>
        <v>-</v>
      </c>
      <c r="BP57" s="789" t="str">
        <f t="shared" si="72"/>
        <v>-</v>
      </c>
      <c r="BQ57" s="34" t="s">
        <v>64</v>
      </c>
      <c r="BR57" s="25">
        <v>2.6960111810112908</v>
      </c>
      <c r="BS57" s="26">
        <v>2.945529061824435</v>
      </c>
      <c r="BT57" s="603"/>
      <c r="BU57" s="599">
        <v>0.13509424430238295</v>
      </c>
      <c r="BV57" s="851">
        <v>2.5558575956542241E-2</v>
      </c>
      <c r="BW57" s="851">
        <v>5.4001151274990021E-2</v>
      </c>
      <c r="BX57" s="851">
        <v>0.12721928303645338</v>
      </c>
      <c r="BY57" s="851">
        <v>5.8990668304204118E-3</v>
      </c>
      <c r="BZ57" s="851">
        <v>3.4018173730651212E-2</v>
      </c>
      <c r="CA57" s="851">
        <v>1.9500858254279638E-2</v>
      </c>
      <c r="CB57" s="851">
        <v>2.7506845514140083E-2</v>
      </c>
      <c r="CC57" s="851">
        <v>7.1723378042582329E-3</v>
      </c>
      <c r="CD57" s="851">
        <v>4.8892552883558144E-3</v>
      </c>
      <c r="CE57" s="852" t="s">
        <v>64</v>
      </c>
      <c r="CF57" s="852">
        <v>21.969133087765861</v>
      </c>
      <c r="CG57" s="603"/>
      <c r="CH57" s="584">
        <v>50.113</v>
      </c>
      <c r="CI57" s="576">
        <v>2.3715000000000002</v>
      </c>
      <c r="CJ57" s="576">
        <v>13.154500000000001</v>
      </c>
      <c r="CK57" s="576">
        <v>11.486000000000001</v>
      </c>
      <c r="CL57" s="576">
        <v>0.16749999999999998</v>
      </c>
      <c r="CM57" s="576">
        <v>7.57</v>
      </c>
      <c r="CN57" s="576">
        <v>10.7135</v>
      </c>
      <c r="CO57" s="576">
        <v>2.1959999999999997</v>
      </c>
      <c r="CP57" s="576">
        <v>0.30049999999999999</v>
      </c>
      <c r="CQ57" s="576">
        <v>0.19900000000000001</v>
      </c>
      <c r="CR57" s="792" t="s">
        <v>64</v>
      </c>
      <c r="CS57" s="793">
        <v>1320</v>
      </c>
      <c r="CT57" s="576">
        <f t="shared" si="73"/>
        <v>98.403500000000008</v>
      </c>
      <c r="CU57" s="576">
        <v>0.54073620559334845</v>
      </c>
      <c r="CV57" s="591">
        <v>226.98412698412696</v>
      </c>
      <c r="CW57" s="603"/>
      <c r="CX57" s="936">
        <v>451.91670756098603</v>
      </c>
      <c r="CY57" s="934">
        <v>42.113819477057973</v>
      </c>
      <c r="CZ57" s="934">
        <v>42.206577818931237</v>
      </c>
      <c r="DA57" s="938">
        <f t="shared" si="74"/>
        <v>1.9241028792094168</v>
      </c>
      <c r="DB57" s="936">
        <v>325.77119084593818</v>
      </c>
      <c r="DC57" s="934">
        <v>28.149794715801704</v>
      </c>
      <c r="DD57" s="934">
        <v>28.520034214938278</v>
      </c>
      <c r="DE57" s="939">
        <f t="shared" si="75"/>
        <v>1.4054136856211881</v>
      </c>
      <c r="DF57" s="9"/>
    </row>
    <row r="58" spans="1:110">
      <c r="A58" s="846" t="s">
        <v>56</v>
      </c>
      <c r="B58" s="41" t="s">
        <v>678</v>
      </c>
      <c r="C58" s="41" t="s">
        <v>1486</v>
      </c>
      <c r="D58" s="34" t="s">
        <v>736</v>
      </c>
      <c r="E58" s="535">
        <v>19.389810000000001</v>
      </c>
      <c r="F58" s="537">
        <v>-155.29229000000001</v>
      </c>
      <c r="G58" s="37" t="s">
        <v>405</v>
      </c>
      <c r="H58" s="37" t="s">
        <v>64</v>
      </c>
      <c r="I58" s="202" t="s">
        <v>779</v>
      </c>
      <c r="J58" t="s">
        <v>883</v>
      </c>
      <c r="K58" s="34">
        <v>2001</v>
      </c>
      <c r="L58" s="51">
        <v>331</v>
      </c>
      <c r="M58" s="52">
        <v>300</v>
      </c>
      <c r="N58" s="838">
        <f t="shared" si="59"/>
        <v>16403420.787500003</v>
      </c>
      <c r="O58" s="54">
        <v>16070382.644688051</v>
      </c>
      <c r="P58" s="53">
        <v>86</v>
      </c>
      <c r="Q58" s="54">
        <v>333038.14281195158</v>
      </c>
      <c r="R58" s="772">
        <f t="shared" si="60"/>
        <v>2.0302968943266921E-2</v>
      </c>
      <c r="S58" s="624" t="s">
        <v>108</v>
      </c>
      <c r="T58" s="37" t="s">
        <v>132</v>
      </c>
      <c r="U58" s="21">
        <v>86.2</v>
      </c>
      <c r="V58" s="552">
        <v>2</v>
      </c>
      <c r="W58" s="847">
        <v>2</v>
      </c>
      <c r="X58" s="556" t="s">
        <v>423</v>
      </c>
      <c r="Y58" s="784" t="s">
        <v>64</v>
      </c>
      <c r="Z58" s="784" t="s">
        <v>64</v>
      </c>
      <c r="AA58" s="785" t="s">
        <v>64</v>
      </c>
      <c r="AB58" s="32">
        <f t="shared" si="61"/>
        <v>1180.2795320329835</v>
      </c>
      <c r="AC58" s="6">
        <f t="shared" si="62"/>
        <v>1178.3242</v>
      </c>
      <c r="AD58" s="6">
        <f t="shared" si="63"/>
        <v>1.955332032983506</v>
      </c>
      <c r="AE58" s="6">
        <f t="shared" si="64"/>
        <v>1223.7899919200026</v>
      </c>
      <c r="AF58" s="848">
        <v>1</v>
      </c>
      <c r="AG58" s="553">
        <f t="shared" si="65"/>
        <v>0</v>
      </c>
      <c r="AH58" s="32">
        <f>100*(AN58/40.3)/((AN58/40.3)+(AL58/71.85))</f>
        <v>60.854431051835768</v>
      </c>
      <c r="AI58" s="9">
        <v>51.322854525940606</v>
      </c>
      <c r="AJ58" s="9">
        <v>2.5671883555050274</v>
      </c>
      <c r="AK58" s="9">
        <v>13.731472599212937</v>
      </c>
      <c r="AL58" s="9">
        <v>9.4875672137229525</v>
      </c>
      <c r="AM58" s="9">
        <v>0.13323339908349574</v>
      </c>
      <c r="AN58" s="9">
        <v>8.2726135339792801</v>
      </c>
      <c r="AO58" s="9">
        <v>11.355533198848015</v>
      </c>
      <c r="AP58" s="9">
        <v>2.292626363469672</v>
      </c>
      <c r="AQ58" s="9">
        <v>0.45906495228515865</v>
      </c>
      <c r="AR58" s="9">
        <v>0.23813361962771634</v>
      </c>
      <c r="AS58" s="6" t="s">
        <v>64</v>
      </c>
      <c r="AT58" s="6">
        <v>1291.8580214931358</v>
      </c>
      <c r="AU58" s="9">
        <v>98.813666666666649</v>
      </c>
      <c r="AV58" s="8">
        <f t="shared" si="66"/>
        <v>1.8980549102498279</v>
      </c>
      <c r="AW58" s="9">
        <f t="shared" si="67"/>
        <v>7.7798051152528211</v>
      </c>
      <c r="AX58" s="8">
        <v>0.56785714285714295</v>
      </c>
      <c r="AY58" s="789">
        <v>2.839285714285715E-2</v>
      </c>
      <c r="AZ58" s="6">
        <v>105.27544351073763</v>
      </c>
      <c r="BA58" s="48">
        <v>10.527544351073765</v>
      </c>
      <c r="BB58" s="6" t="s">
        <v>64</v>
      </c>
      <c r="BC58" s="48" t="s">
        <v>64</v>
      </c>
      <c r="BD58" s="849" t="s">
        <v>1007</v>
      </c>
      <c r="BE58" s="48" t="s">
        <v>1007</v>
      </c>
      <c r="BF58" s="668" t="s">
        <v>1007</v>
      </c>
      <c r="BG58" s="48" t="s">
        <v>64</v>
      </c>
      <c r="BH58" s="48" t="s">
        <v>64</v>
      </c>
      <c r="BI58" s="850" t="str">
        <f t="shared" si="68"/>
        <v>-</v>
      </c>
      <c r="BJ58" s="789" t="str">
        <f t="shared" si="69"/>
        <v>-</v>
      </c>
      <c r="BK58" s="563" t="s">
        <v>64</v>
      </c>
      <c r="BL58" s="48" t="s">
        <v>64</v>
      </c>
      <c r="BM58" s="48" t="s">
        <v>64</v>
      </c>
      <c r="BN58" s="850" t="str">
        <f t="shared" si="70"/>
        <v>-</v>
      </c>
      <c r="BO58" s="789" t="str">
        <f t="shared" si="71"/>
        <v>-</v>
      </c>
      <c r="BP58" s="789" t="str">
        <f t="shared" si="72"/>
        <v>-</v>
      </c>
      <c r="BQ58" s="34" t="s">
        <v>64</v>
      </c>
      <c r="BR58" s="25">
        <v>2.6560621872740029</v>
      </c>
      <c r="BS58" s="26">
        <v>2.9176255330194332</v>
      </c>
      <c r="BT58" s="603"/>
      <c r="BU58" s="599">
        <v>0.14003743952751324</v>
      </c>
      <c r="BV58" s="851">
        <v>3.1080058654177515E-2</v>
      </c>
      <c r="BW58" s="851">
        <v>6.401483760811906E-2</v>
      </c>
      <c r="BX58" s="851">
        <v>0.10323209220537796</v>
      </c>
      <c r="BY58" s="851">
        <v>4.7074771173983123E-3</v>
      </c>
      <c r="BZ58" s="851">
        <v>2.1725584489050726E-2</v>
      </c>
      <c r="CA58" s="851">
        <v>2.3365331512098408E-2</v>
      </c>
      <c r="CB58" s="851">
        <v>3.263973222280693E-2</v>
      </c>
      <c r="CC58" s="851">
        <v>1.2591034294411246E-2</v>
      </c>
      <c r="CD58" s="851">
        <v>6.6914032945014435E-3</v>
      </c>
      <c r="CE58" s="852" t="s">
        <v>64</v>
      </c>
      <c r="CF58" s="852">
        <v>24.263033868141292</v>
      </c>
      <c r="CG58" s="603"/>
      <c r="CH58" s="584">
        <v>50.719333333333331</v>
      </c>
      <c r="CI58" s="576">
        <v>2.5369999999999999</v>
      </c>
      <c r="CJ58" s="576">
        <v>13.57</v>
      </c>
      <c r="CK58" s="576">
        <v>9.3759999999999994</v>
      </c>
      <c r="CL58" s="576">
        <v>0.13166666666666668</v>
      </c>
      <c r="CM58" s="576">
        <v>8.1753333333333327</v>
      </c>
      <c r="CN58" s="576">
        <v>11.222</v>
      </c>
      <c r="CO58" s="576">
        <v>2.2656666666666667</v>
      </c>
      <c r="CP58" s="576">
        <v>0.45366666666666666</v>
      </c>
      <c r="CQ58" s="576">
        <v>0.23533333333333331</v>
      </c>
      <c r="CR58" s="792" t="s">
        <v>64</v>
      </c>
      <c r="CS58" s="793">
        <v>1276.6666666666667</v>
      </c>
      <c r="CT58" s="576">
        <f t="shared" si="73"/>
        <v>98.813666666666649</v>
      </c>
      <c r="CU58" s="576">
        <v>0.56785714285714295</v>
      </c>
      <c r="CV58" s="591">
        <v>105.27544351073763</v>
      </c>
      <c r="CW58" s="603"/>
      <c r="CX58" s="936" t="s">
        <v>1007</v>
      </c>
      <c r="CY58" s="934" t="s">
        <v>64</v>
      </c>
      <c r="CZ58" s="934" t="s">
        <v>64</v>
      </c>
      <c r="DA58" s="938" t="str">
        <f t="shared" si="74"/>
        <v>-</v>
      </c>
      <c r="DB58" s="936" t="s">
        <v>1007</v>
      </c>
      <c r="DC58" s="934" t="s">
        <v>64</v>
      </c>
      <c r="DD58" s="934" t="s">
        <v>64</v>
      </c>
      <c r="DE58" s="939" t="str">
        <f t="shared" si="75"/>
        <v>-</v>
      </c>
      <c r="DF58" s="9"/>
    </row>
    <row r="59" spans="1:110">
      <c r="A59" s="846" t="s">
        <v>51</v>
      </c>
      <c r="B59" s="41" t="s">
        <v>678</v>
      </c>
      <c r="C59" s="41" t="s">
        <v>1486</v>
      </c>
      <c r="D59" s="34" t="s">
        <v>736</v>
      </c>
      <c r="E59" s="535">
        <v>19.389810000000001</v>
      </c>
      <c r="F59" s="537">
        <v>-155.29229000000001</v>
      </c>
      <c r="G59" s="37" t="s">
        <v>405</v>
      </c>
      <c r="H59" s="37" t="s">
        <v>64</v>
      </c>
      <c r="I59" s="202" t="s">
        <v>779</v>
      </c>
      <c r="J59" t="s">
        <v>884</v>
      </c>
      <c r="K59" s="34">
        <v>2001</v>
      </c>
      <c r="L59" s="51">
        <v>482</v>
      </c>
      <c r="M59" s="52">
        <v>265</v>
      </c>
      <c r="N59" s="838">
        <f t="shared" si="59"/>
        <v>24978671.238750003</v>
      </c>
      <c r="O59" s="54">
        <v>24300595.639985714</v>
      </c>
      <c r="P59" s="53">
        <v>109</v>
      </c>
      <c r="Q59" s="54">
        <v>678075.5987642894</v>
      </c>
      <c r="R59" s="772">
        <f t="shared" si="60"/>
        <v>2.7146183729436123E-2</v>
      </c>
      <c r="S59" s="624" t="s">
        <v>104</v>
      </c>
      <c r="T59" s="37" t="s">
        <v>132</v>
      </c>
      <c r="U59" s="21">
        <v>89.5</v>
      </c>
      <c r="V59" s="552">
        <v>2.7</v>
      </c>
      <c r="W59" s="847">
        <v>1.2</v>
      </c>
      <c r="X59" s="556" t="s">
        <v>423</v>
      </c>
      <c r="Y59" s="784" t="s">
        <v>64</v>
      </c>
      <c r="Z59" s="784" t="s">
        <v>64</v>
      </c>
      <c r="AA59" s="785" t="s">
        <v>64</v>
      </c>
      <c r="AB59" s="32">
        <f t="shared" si="61"/>
        <v>1275.4271445507825</v>
      </c>
      <c r="AC59" s="6">
        <f t="shared" si="62"/>
        <v>1172.69955</v>
      </c>
      <c r="AD59" s="6">
        <f t="shared" si="63"/>
        <v>102.72759455078244</v>
      </c>
      <c r="AE59" s="6">
        <f t="shared" si="64"/>
        <v>1290.2729637500015</v>
      </c>
      <c r="AF59" s="839">
        <v>0.875</v>
      </c>
      <c r="AG59" s="553">
        <f t="shared" si="65"/>
        <v>0.14285714285714279</v>
      </c>
      <c r="AH59" s="32">
        <f>100*(AN59/40.3)/((AN59/40.3)+(AL59/71.85))</f>
        <v>68.134239481607423</v>
      </c>
      <c r="AI59" s="9">
        <v>49.462856126795415</v>
      </c>
      <c r="AJ59" s="9">
        <v>2.1993995272710958</v>
      </c>
      <c r="AK59" s="9">
        <v>11.831703446888179</v>
      </c>
      <c r="AL59" s="9">
        <v>10.845141519017604</v>
      </c>
      <c r="AM59" s="9">
        <v>0.16593549245529532</v>
      </c>
      <c r="AN59" s="9">
        <v>13.006325599541418</v>
      </c>
      <c r="AO59" s="9">
        <v>9.7549956170688752</v>
      </c>
      <c r="AP59" s="9">
        <v>1.992231579114788</v>
      </c>
      <c r="AQ59" s="9">
        <v>0.37712611921658024</v>
      </c>
      <c r="AR59" s="9">
        <v>0.22828701083243658</v>
      </c>
      <c r="AS59" s="6" t="s">
        <v>64</v>
      </c>
      <c r="AT59" s="6">
        <v>1229.0330488106761</v>
      </c>
      <c r="AU59" s="9">
        <v>98.805000000000007</v>
      </c>
      <c r="AV59" s="8">
        <f t="shared" si="66"/>
        <v>2.1696472497977854</v>
      </c>
      <c r="AW59" s="9">
        <f t="shared" si="67"/>
        <v>8.893016045594436</v>
      </c>
      <c r="AX59" s="8">
        <v>0.65007215007215013</v>
      </c>
      <c r="AY59" s="789">
        <v>3.2503607503607507E-2</v>
      </c>
      <c r="AZ59" s="6">
        <v>130.20833333333331</v>
      </c>
      <c r="BA59" s="48">
        <v>13.020833333333332</v>
      </c>
      <c r="BB59" s="6" t="s">
        <v>64</v>
      </c>
      <c r="BC59" s="48" t="s">
        <v>64</v>
      </c>
      <c r="BD59" s="849" t="s">
        <v>1007</v>
      </c>
      <c r="BE59" s="48" t="s">
        <v>1007</v>
      </c>
      <c r="BF59" s="668" t="s">
        <v>1007</v>
      </c>
      <c r="BG59" s="48" t="s">
        <v>64</v>
      </c>
      <c r="BH59" s="48" t="s">
        <v>64</v>
      </c>
      <c r="BI59" s="850" t="str">
        <f t="shared" si="68"/>
        <v>-</v>
      </c>
      <c r="BJ59" s="789" t="str">
        <f t="shared" si="69"/>
        <v>-</v>
      </c>
      <c r="BK59" s="563" t="s">
        <v>64</v>
      </c>
      <c r="BL59" s="48" t="s">
        <v>64</v>
      </c>
      <c r="BM59" s="48" t="s">
        <v>64</v>
      </c>
      <c r="BN59" s="850" t="str">
        <f t="shared" si="70"/>
        <v>-</v>
      </c>
      <c r="BO59" s="789" t="str">
        <f t="shared" si="71"/>
        <v>-</v>
      </c>
      <c r="BP59" s="789" t="str">
        <f t="shared" si="72"/>
        <v>-</v>
      </c>
      <c r="BQ59" s="34" t="s">
        <v>64</v>
      </c>
      <c r="BR59" s="25">
        <v>2.6776526578415139</v>
      </c>
      <c r="BS59" s="26">
        <v>2.9361715317874588</v>
      </c>
      <c r="BT59" s="603"/>
      <c r="BU59" s="599">
        <v>0.1349623240502571</v>
      </c>
      <c r="BV59" s="851">
        <v>2.6627366926533291E-2</v>
      </c>
      <c r="BW59" s="851">
        <v>5.5158291968144937E-2</v>
      </c>
      <c r="BX59" s="851">
        <v>0.1180035539197278</v>
      </c>
      <c r="BY59" s="851">
        <v>5.8629258059234362E-3</v>
      </c>
      <c r="BZ59" s="851">
        <v>3.4157285910226612E-2</v>
      </c>
      <c r="CA59" s="851">
        <v>2.0072039110854253E-2</v>
      </c>
      <c r="CB59" s="851">
        <v>2.836306268838153E-2</v>
      </c>
      <c r="CC59" s="851">
        <v>1.0343651539367799E-2</v>
      </c>
      <c r="CD59" s="851">
        <v>6.4147198483109954E-3</v>
      </c>
      <c r="CE59" s="852" t="s">
        <v>64</v>
      </c>
      <c r="CF59" s="852">
        <v>23.083086525167992</v>
      </c>
      <c r="CG59" s="603"/>
      <c r="CH59" s="584">
        <v>50.150500000000001</v>
      </c>
      <c r="CI59" s="576">
        <v>2.4649999999999999</v>
      </c>
      <c r="CJ59" s="576">
        <v>13.374500000000001</v>
      </c>
      <c r="CK59" s="576">
        <v>10.695</v>
      </c>
      <c r="CL59" s="576">
        <v>0.16699999999999998</v>
      </c>
      <c r="CM59" s="576">
        <v>7.8955000000000002</v>
      </c>
      <c r="CN59" s="576">
        <v>10.9855</v>
      </c>
      <c r="CO59" s="576">
        <v>2.25</v>
      </c>
      <c r="CP59" s="576">
        <v>0.42549999999999999</v>
      </c>
      <c r="CQ59" s="576">
        <v>0.25850000000000001</v>
      </c>
      <c r="CR59" s="792" t="s">
        <v>64</v>
      </c>
      <c r="CS59" s="793">
        <v>1380.0000000000002</v>
      </c>
      <c r="CT59" s="576">
        <f t="shared" si="73"/>
        <v>98.805000000000007</v>
      </c>
      <c r="CU59" s="576">
        <v>0.65007215007215013</v>
      </c>
      <c r="CV59" s="591">
        <v>148.8095238095238</v>
      </c>
      <c r="CW59" s="603"/>
      <c r="CX59" s="936" t="s">
        <v>1007</v>
      </c>
      <c r="CY59" s="934" t="s">
        <v>64</v>
      </c>
      <c r="CZ59" s="934" t="s">
        <v>64</v>
      </c>
      <c r="DA59" s="938" t="str">
        <f t="shared" si="74"/>
        <v>-</v>
      </c>
      <c r="DB59" s="936" t="s">
        <v>1007</v>
      </c>
      <c r="DC59" s="934" t="s">
        <v>64</v>
      </c>
      <c r="DD59" s="934" t="s">
        <v>64</v>
      </c>
      <c r="DE59" s="939" t="str">
        <f t="shared" si="75"/>
        <v>-</v>
      </c>
      <c r="DF59" s="9"/>
    </row>
    <row r="60" spans="1:110">
      <c r="A60" s="846" t="s">
        <v>50</v>
      </c>
      <c r="B60" s="41" t="s">
        <v>678</v>
      </c>
      <c r="C60" s="41" t="s">
        <v>1486</v>
      </c>
      <c r="D60" s="34" t="s">
        <v>736</v>
      </c>
      <c r="E60" s="535">
        <v>19.389810000000001</v>
      </c>
      <c r="F60" s="537">
        <v>-155.29229000000001</v>
      </c>
      <c r="G60" s="37" t="s">
        <v>405</v>
      </c>
      <c r="H60" s="37" t="s">
        <v>64</v>
      </c>
      <c r="I60" s="202" t="s">
        <v>779</v>
      </c>
      <c r="J60" t="s">
        <v>883</v>
      </c>
      <c r="K60" s="34">
        <v>2001</v>
      </c>
      <c r="L60" s="51">
        <v>193</v>
      </c>
      <c r="M60" s="52">
        <v>140</v>
      </c>
      <c r="N60" s="838">
        <f t="shared" si="59"/>
        <v>2355512.4075000002</v>
      </c>
      <c r="O60" s="54">
        <v>2293911.5351496357</v>
      </c>
      <c r="P60" s="53">
        <v>49</v>
      </c>
      <c r="Q60" s="54">
        <v>61600.872350364261</v>
      </c>
      <c r="R60" s="772">
        <f t="shared" si="60"/>
        <v>2.6151792770959647E-2</v>
      </c>
      <c r="S60" s="624" t="s">
        <v>104</v>
      </c>
      <c r="T60" s="37" t="s">
        <v>132</v>
      </c>
      <c r="U60" s="21">
        <v>89.5</v>
      </c>
      <c r="V60" s="552">
        <v>2.7</v>
      </c>
      <c r="W60" s="847">
        <v>1.2</v>
      </c>
      <c r="X60" s="556" t="s">
        <v>423</v>
      </c>
      <c r="Y60" s="784" t="s">
        <v>64</v>
      </c>
      <c r="Z60" s="784" t="s">
        <v>64</v>
      </c>
      <c r="AA60" s="785" t="s">
        <v>64</v>
      </c>
      <c r="AB60" s="32">
        <f t="shared" si="61"/>
        <v>1282.2582084602122</v>
      </c>
      <c r="AC60" s="6">
        <f t="shared" si="62"/>
        <v>1176.7429999999999</v>
      </c>
      <c r="AD60" s="6">
        <f t="shared" si="63"/>
        <v>105.51520846021231</v>
      </c>
      <c r="AE60" s="6">
        <f t="shared" si="64"/>
        <v>1290.2729637500015</v>
      </c>
      <c r="AF60" s="839">
        <v>0.87</v>
      </c>
      <c r="AG60" s="553">
        <f t="shared" si="65"/>
        <v>0.14942528735632177</v>
      </c>
      <c r="AH60" s="32">
        <f t="shared" si="76"/>
        <v>68.172205103194486</v>
      </c>
      <c r="AI60" s="9">
        <v>49.361148754117316</v>
      </c>
      <c r="AJ60" s="9">
        <v>2.1355094311418132</v>
      </c>
      <c r="AK60" s="9">
        <v>11.675392353868594</v>
      </c>
      <c r="AL60" s="9">
        <v>11.109074968219588</v>
      </c>
      <c r="AM60" s="9">
        <v>0.18307240530749411</v>
      </c>
      <c r="AN60" s="9">
        <v>13.346179525383691</v>
      </c>
      <c r="AO60" s="9">
        <v>9.5670420158218494</v>
      </c>
      <c r="AP60" s="9">
        <v>1.9474075641500472</v>
      </c>
      <c r="AQ60" s="9">
        <v>0.35809767192015329</v>
      </c>
      <c r="AR60" s="9">
        <v>0.20117846737087269</v>
      </c>
      <c r="AS60" s="6" t="s">
        <v>64</v>
      </c>
      <c r="AT60" s="6">
        <v>1071.8725205046946</v>
      </c>
      <c r="AU60" s="9">
        <v>98.79</v>
      </c>
      <c r="AV60" s="8">
        <f t="shared" si="66"/>
        <v>2.2224490026551882</v>
      </c>
      <c r="AW60" s="9">
        <f t="shared" si="67"/>
        <v>9.1094414739400627</v>
      </c>
      <c r="AX60" s="8">
        <v>0.6313129251700681</v>
      </c>
      <c r="AY60" s="789">
        <v>3.1565646258503409E-2</v>
      </c>
      <c r="AZ60" s="6">
        <v>86.585714285714275</v>
      </c>
      <c r="BA60" s="48">
        <v>8.6585714285714275</v>
      </c>
      <c r="BB60" s="6" t="s">
        <v>64</v>
      </c>
      <c r="BC60" s="48" t="s">
        <v>64</v>
      </c>
      <c r="BD60" s="849" t="s">
        <v>1007</v>
      </c>
      <c r="BE60" s="48" t="s">
        <v>1007</v>
      </c>
      <c r="BF60" s="668" t="s">
        <v>1007</v>
      </c>
      <c r="BG60" s="48" t="s">
        <v>64</v>
      </c>
      <c r="BH60" s="48" t="s">
        <v>64</v>
      </c>
      <c r="BI60" s="850" t="str">
        <f t="shared" si="68"/>
        <v>-</v>
      </c>
      <c r="BJ60" s="789" t="str">
        <f t="shared" si="69"/>
        <v>-</v>
      </c>
      <c r="BK60" s="563" t="s">
        <v>64</v>
      </c>
      <c r="BL60" s="48" t="s">
        <v>64</v>
      </c>
      <c r="BM60" s="48" t="s">
        <v>64</v>
      </c>
      <c r="BN60" s="850" t="str">
        <f t="shared" si="70"/>
        <v>-</v>
      </c>
      <c r="BO60" s="789" t="str">
        <f t="shared" si="71"/>
        <v>-</v>
      </c>
      <c r="BP60" s="789" t="str">
        <f t="shared" si="72"/>
        <v>-</v>
      </c>
      <c r="BQ60" s="34" t="s">
        <v>64</v>
      </c>
      <c r="BR60" s="25">
        <v>2.6826611378718099</v>
      </c>
      <c r="BS60" s="26">
        <v>2.9421945601779131</v>
      </c>
      <c r="BT60" s="603"/>
      <c r="BU60" s="599">
        <v>0.1346848094774129</v>
      </c>
      <c r="BV60" s="851">
        <v>2.5853871701353951E-2</v>
      </c>
      <c r="BW60" s="851">
        <v>5.4429584310339181E-2</v>
      </c>
      <c r="BX60" s="851">
        <v>0.12087535461956296</v>
      </c>
      <c r="BY60" s="851">
        <v>6.4684168139552802E-3</v>
      </c>
      <c r="BZ60" s="851">
        <v>3.5049812213975053E-2</v>
      </c>
      <c r="CA60" s="851">
        <v>1.9685302695652277E-2</v>
      </c>
      <c r="CB60" s="851">
        <v>2.77249107989537E-2</v>
      </c>
      <c r="CC60" s="851">
        <v>9.821747544549472E-3</v>
      </c>
      <c r="CD60" s="851">
        <v>5.6529870139828365E-3</v>
      </c>
      <c r="CE60" s="852" t="s">
        <v>64</v>
      </c>
      <c r="CF60" s="852">
        <v>20.131375766259904</v>
      </c>
      <c r="CG60" s="603"/>
      <c r="CH60" s="584">
        <v>50.081666666666671</v>
      </c>
      <c r="CI60" s="576">
        <v>2.4033333333333333</v>
      </c>
      <c r="CJ60" s="576">
        <v>13.263</v>
      </c>
      <c r="CK60" s="576">
        <v>10.951666666666668</v>
      </c>
      <c r="CL60" s="576">
        <v>0.19066666666666665</v>
      </c>
      <c r="CM60" s="576">
        <v>8.0966666666666658</v>
      </c>
      <c r="CN60" s="576">
        <v>10.825333333333333</v>
      </c>
      <c r="CO60" s="576">
        <v>2.2166666666666668</v>
      </c>
      <c r="CP60" s="576">
        <v>0.40866666666666668</v>
      </c>
      <c r="CQ60" s="576">
        <v>0.23133333333333336</v>
      </c>
      <c r="CR60" s="792" t="s">
        <v>64</v>
      </c>
      <c r="CS60" s="793">
        <v>1210</v>
      </c>
      <c r="CT60" s="576">
        <f t="shared" si="73"/>
        <v>98.79</v>
      </c>
      <c r="CU60" s="576">
        <v>0.6313129251700681</v>
      </c>
      <c r="CV60" s="591">
        <v>99.523809523809518</v>
      </c>
      <c r="CW60" s="603"/>
      <c r="CX60" s="936" t="s">
        <v>1007</v>
      </c>
      <c r="CY60" s="934" t="s">
        <v>64</v>
      </c>
      <c r="CZ60" s="934" t="s">
        <v>64</v>
      </c>
      <c r="DA60" s="938" t="str">
        <f t="shared" si="74"/>
        <v>-</v>
      </c>
      <c r="DB60" s="936" t="s">
        <v>1007</v>
      </c>
      <c r="DC60" s="934" t="s">
        <v>64</v>
      </c>
      <c r="DD60" s="934" t="s">
        <v>64</v>
      </c>
      <c r="DE60" s="939" t="str">
        <f t="shared" si="75"/>
        <v>-</v>
      </c>
      <c r="DF60" s="9"/>
    </row>
    <row r="61" spans="1:110">
      <c r="A61" s="846" t="s">
        <v>59</v>
      </c>
      <c r="B61" s="41" t="s">
        <v>678</v>
      </c>
      <c r="C61" s="41" t="s">
        <v>1486</v>
      </c>
      <c r="D61" s="34" t="s">
        <v>736</v>
      </c>
      <c r="E61" s="535">
        <v>19.389810000000001</v>
      </c>
      <c r="F61" s="537">
        <v>-155.29229000000001</v>
      </c>
      <c r="G61" s="37" t="s">
        <v>405</v>
      </c>
      <c r="H61" s="37" t="s">
        <v>64</v>
      </c>
      <c r="I61" s="202" t="s">
        <v>779</v>
      </c>
      <c r="J61" t="s">
        <v>883</v>
      </c>
      <c r="K61" s="34">
        <v>2001</v>
      </c>
      <c r="L61" s="51">
        <v>212</v>
      </c>
      <c r="M61" s="52">
        <v>163</v>
      </c>
      <c r="N61" s="838">
        <f t="shared" si="59"/>
        <v>3392427.3125000005</v>
      </c>
      <c r="O61" s="54">
        <v>3279329.9769707681</v>
      </c>
      <c r="P61" s="53">
        <v>60</v>
      </c>
      <c r="Q61" s="54">
        <v>113097.33552923254</v>
      </c>
      <c r="R61" s="772">
        <f t="shared" si="60"/>
        <v>3.3338175032521802E-2</v>
      </c>
      <c r="S61" s="624" t="s">
        <v>107</v>
      </c>
      <c r="T61" s="37" t="s">
        <v>132</v>
      </c>
      <c r="U61" s="21">
        <v>89.4</v>
      </c>
      <c r="V61" s="552">
        <v>1.4</v>
      </c>
      <c r="W61" s="847">
        <v>1.3</v>
      </c>
      <c r="X61" s="556" t="s">
        <v>423</v>
      </c>
      <c r="Y61" s="784" t="s">
        <v>64</v>
      </c>
      <c r="Z61" s="784" t="s">
        <v>64</v>
      </c>
      <c r="AA61" s="785" t="s">
        <v>64</v>
      </c>
      <c r="AB61" s="32">
        <f t="shared" si="61"/>
        <v>1275.5252094975331</v>
      </c>
      <c r="AC61" s="6">
        <f t="shared" si="62"/>
        <v>1172.8972000000001</v>
      </c>
      <c r="AD61" s="6">
        <f t="shared" si="63"/>
        <v>102.62800949753296</v>
      </c>
      <c r="AE61" s="6">
        <f t="shared" si="64"/>
        <v>1287.8982837600051</v>
      </c>
      <c r="AF61" s="839">
        <v>0.875</v>
      </c>
      <c r="AG61" s="553">
        <f t="shared" si="65"/>
        <v>0.14285714285714279</v>
      </c>
      <c r="AH61" s="32">
        <f>100*(AN61/40.3)/((AN61/40.3)+(AL61/71.85))</f>
        <v>67.923599652764224</v>
      </c>
      <c r="AI61" s="9">
        <v>49.322711739411389</v>
      </c>
      <c r="AJ61" s="9">
        <v>2.1630033833813918</v>
      </c>
      <c r="AK61" s="9">
        <v>11.812552647411071</v>
      </c>
      <c r="AL61" s="9">
        <v>10.954792588822356</v>
      </c>
      <c r="AM61" s="9">
        <v>0.15687053826475925</v>
      </c>
      <c r="AN61" s="9">
        <v>13.01120445261359</v>
      </c>
      <c r="AO61" s="9">
        <v>9.9823963676555447</v>
      </c>
      <c r="AP61" s="9">
        <v>1.8432288246109212</v>
      </c>
      <c r="AQ61" s="9">
        <v>0.3418973269872958</v>
      </c>
      <c r="AR61" s="9">
        <v>0.26346205785491622</v>
      </c>
      <c r="AS61" s="6" t="s">
        <v>64</v>
      </c>
      <c r="AT61" s="6">
        <v>1388.3295326845789</v>
      </c>
      <c r="AU61" s="9">
        <v>98.656999999999996</v>
      </c>
      <c r="AV61" s="8">
        <f t="shared" si="66"/>
        <v>2.19158372168449</v>
      </c>
      <c r="AW61" s="9">
        <f t="shared" si="67"/>
        <v>8.982929922834332</v>
      </c>
      <c r="AX61" s="8">
        <v>0.54368732678256493</v>
      </c>
      <c r="AY61" s="789">
        <v>2.7184366339128248E-2</v>
      </c>
      <c r="AZ61" s="6">
        <v>89.969135802469125</v>
      </c>
      <c r="BA61" s="48">
        <v>8.9969135802469129</v>
      </c>
      <c r="BB61" s="6" t="s">
        <v>64</v>
      </c>
      <c r="BC61" s="48" t="s">
        <v>64</v>
      </c>
      <c r="BD61" s="849" t="s">
        <v>1007</v>
      </c>
      <c r="BE61" s="48" t="s">
        <v>1007</v>
      </c>
      <c r="BF61" s="668" t="s">
        <v>1007</v>
      </c>
      <c r="BG61" s="48" t="s">
        <v>64</v>
      </c>
      <c r="BH61" s="48" t="s">
        <v>64</v>
      </c>
      <c r="BI61" s="850" t="str">
        <f t="shared" si="68"/>
        <v>-</v>
      </c>
      <c r="BJ61" s="789" t="str">
        <f t="shared" si="69"/>
        <v>-</v>
      </c>
      <c r="BK61" s="563" t="s">
        <v>64</v>
      </c>
      <c r="BL61" s="48" t="s">
        <v>64</v>
      </c>
      <c r="BM61" s="48" t="s">
        <v>64</v>
      </c>
      <c r="BN61" s="850" t="str">
        <f t="shared" si="70"/>
        <v>-</v>
      </c>
      <c r="BO61" s="789" t="str">
        <f t="shared" si="71"/>
        <v>-</v>
      </c>
      <c r="BP61" s="789" t="str">
        <f t="shared" si="72"/>
        <v>-</v>
      </c>
      <c r="BQ61" s="34" t="s">
        <v>64</v>
      </c>
      <c r="BR61" s="25">
        <v>2.690079384955617</v>
      </c>
      <c r="BS61" s="26">
        <v>2.9455606661591021</v>
      </c>
      <c r="BT61" s="603"/>
      <c r="BU61" s="599">
        <v>0.13457993181282824</v>
      </c>
      <c r="BV61" s="851">
        <v>2.6186731441235855E-2</v>
      </c>
      <c r="BW61" s="851">
        <v>5.5069012736821778E-2</v>
      </c>
      <c r="BX61" s="851">
        <v>0.11919664263188257</v>
      </c>
      <c r="BY61" s="851">
        <v>5.5426377646683317E-3</v>
      </c>
      <c r="BZ61" s="851">
        <v>3.41700987817809E-2</v>
      </c>
      <c r="CA61" s="851">
        <v>2.0539942628066157E-2</v>
      </c>
      <c r="CB61" s="851">
        <v>2.6241735774864518E-2</v>
      </c>
      <c r="CC61" s="851">
        <v>9.3774115140694246E-3</v>
      </c>
      <c r="CD61" s="851">
        <v>7.4031163036222085E-3</v>
      </c>
      <c r="CE61" s="852" t="s">
        <v>64</v>
      </c>
      <c r="CF61" s="852">
        <v>26.074913737605101</v>
      </c>
      <c r="CG61" s="603"/>
      <c r="CH61" s="584">
        <v>49.916333333333334</v>
      </c>
      <c r="CI61" s="576">
        <v>2.4216666666666669</v>
      </c>
      <c r="CJ61" s="576">
        <v>13.329333333333333</v>
      </c>
      <c r="CK61" s="576">
        <v>10.784999999999998</v>
      </c>
      <c r="CL61" s="576">
        <v>0.15600000000000003</v>
      </c>
      <c r="CM61" s="576">
        <v>7.905333333333334</v>
      </c>
      <c r="CN61" s="576">
        <v>11.218999999999999</v>
      </c>
      <c r="CO61" s="576">
        <v>2.079333333333333</v>
      </c>
      <c r="CP61" s="576">
        <v>0.38733333333333331</v>
      </c>
      <c r="CQ61" s="576">
        <v>0.30199999999999999</v>
      </c>
      <c r="CR61" s="792" t="s">
        <v>64</v>
      </c>
      <c r="CS61" s="793">
        <v>1556.6666666666665</v>
      </c>
      <c r="CT61" s="576">
        <f t="shared" si="73"/>
        <v>98.656999999999996</v>
      </c>
      <c r="CU61" s="576">
        <v>0.54368732678256493</v>
      </c>
      <c r="CV61" s="591">
        <v>102.82186948853614</v>
      </c>
      <c r="CW61" s="603"/>
      <c r="CX61" s="936" t="s">
        <v>1007</v>
      </c>
      <c r="CY61" s="934" t="s">
        <v>64</v>
      </c>
      <c r="CZ61" s="934" t="s">
        <v>64</v>
      </c>
      <c r="DA61" s="938" t="str">
        <f t="shared" si="74"/>
        <v>-</v>
      </c>
      <c r="DB61" s="936" t="s">
        <v>1007</v>
      </c>
      <c r="DC61" s="934" t="s">
        <v>64</v>
      </c>
      <c r="DD61" s="934" t="s">
        <v>64</v>
      </c>
      <c r="DE61" s="939" t="str">
        <f t="shared" si="75"/>
        <v>-</v>
      </c>
      <c r="DF61" s="9"/>
    </row>
    <row r="62" spans="1:110">
      <c r="A62" s="846" t="s">
        <v>55</v>
      </c>
      <c r="B62" s="41" t="s">
        <v>678</v>
      </c>
      <c r="C62" s="41" t="s">
        <v>1486</v>
      </c>
      <c r="D62" s="34" t="s">
        <v>736</v>
      </c>
      <c r="E62" s="535">
        <v>19.389810000000001</v>
      </c>
      <c r="F62" s="537">
        <v>-155.29229000000001</v>
      </c>
      <c r="G62" s="37" t="s">
        <v>405</v>
      </c>
      <c r="H62" s="37" t="s">
        <v>64</v>
      </c>
      <c r="I62" s="202" t="s">
        <v>779</v>
      </c>
      <c r="J62" t="s">
        <v>883</v>
      </c>
      <c r="K62" s="34">
        <v>2001</v>
      </c>
      <c r="L62" s="51">
        <v>465</v>
      </c>
      <c r="M62" s="52">
        <v>223</v>
      </c>
      <c r="N62" s="838">
        <f t="shared" si="59"/>
        <v>18676782.970000003</v>
      </c>
      <c r="O62" s="54">
        <v>18676782.970000003</v>
      </c>
      <c r="P62" s="53" t="s">
        <v>151</v>
      </c>
      <c r="Q62" s="54" t="s">
        <v>151</v>
      </c>
      <c r="R62" s="772">
        <f t="shared" si="60"/>
        <v>0</v>
      </c>
      <c r="S62" s="624" t="s">
        <v>107</v>
      </c>
      <c r="T62" s="37" t="s">
        <v>132</v>
      </c>
      <c r="U62" s="21">
        <v>89.4</v>
      </c>
      <c r="V62" s="552">
        <v>0.86</v>
      </c>
      <c r="W62" s="847">
        <v>0.7</v>
      </c>
      <c r="X62" s="556" t="s">
        <v>64</v>
      </c>
      <c r="Y62" s="784" t="s">
        <v>64</v>
      </c>
      <c r="Z62" s="784" t="s">
        <v>64</v>
      </c>
      <c r="AA62" s="785" t="s">
        <v>64</v>
      </c>
      <c r="AB62" s="32">
        <f t="shared" si="61"/>
        <v>1281.1084853149878</v>
      </c>
      <c r="AC62" s="6">
        <f t="shared" si="62"/>
        <v>1172.5287000000001</v>
      </c>
      <c r="AD62" s="6">
        <f t="shared" si="63"/>
        <v>108.5797853149877</v>
      </c>
      <c r="AE62" s="6">
        <f t="shared" si="64"/>
        <v>1287.8982837600051</v>
      </c>
      <c r="AF62" s="839">
        <v>0.86699999999999999</v>
      </c>
      <c r="AG62" s="553">
        <f t="shared" si="65"/>
        <v>0.15340253748558252</v>
      </c>
      <c r="AH62" s="32">
        <f t="shared" si="76"/>
        <v>67.9406318705865</v>
      </c>
      <c r="AI62" s="9">
        <v>49.293836133260065</v>
      </c>
      <c r="AJ62" s="9">
        <v>2.1995760145156238</v>
      </c>
      <c r="AK62" s="9">
        <v>11.654635050849132</v>
      </c>
      <c r="AL62" s="9">
        <v>11.179920885850789</v>
      </c>
      <c r="AM62" s="9">
        <v>0.17399481047608731</v>
      </c>
      <c r="AN62" s="9">
        <v>13.288979368904865</v>
      </c>
      <c r="AO62" s="9">
        <v>9.5546283209412106</v>
      </c>
      <c r="AP62" s="9">
        <v>1.941098174675425</v>
      </c>
      <c r="AQ62" s="9">
        <v>0.37413913004106636</v>
      </c>
      <c r="AR62" s="9">
        <v>0.20919607271113386</v>
      </c>
      <c r="AS62" s="6" t="s">
        <v>64</v>
      </c>
      <c r="AT62" s="6">
        <v>1182.1769676110441</v>
      </c>
      <c r="AU62" s="9">
        <v>98.347999999999999</v>
      </c>
      <c r="AV62" s="8">
        <f t="shared" si="66"/>
        <v>2.2366222294478857</v>
      </c>
      <c r="AW62" s="9">
        <f t="shared" si="67"/>
        <v>9.1675351263976488</v>
      </c>
      <c r="AX62" s="8">
        <v>0.55560531620055431</v>
      </c>
      <c r="AY62" s="789">
        <v>2.7780265810027717E-2</v>
      </c>
      <c r="AZ62" s="6">
        <v>117.10998677248676</v>
      </c>
      <c r="BA62" s="48">
        <v>11.710998677248677</v>
      </c>
      <c r="BB62" s="6" t="s">
        <v>151</v>
      </c>
      <c r="BC62" s="48" t="s">
        <v>151</v>
      </c>
      <c r="BD62" s="849">
        <v>117.10998677248676</v>
      </c>
      <c r="BE62" s="48">
        <v>11.710998677248677</v>
      </c>
      <c r="BF62" s="668">
        <v>263.28294336424341</v>
      </c>
      <c r="BG62" s="48">
        <v>23.097445393681312</v>
      </c>
      <c r="BH62" s="48">
        <v>23.182893069488216</v>
      </c>
      <c r="BI62" s="850">
        <f t="shared" si="68"/>
        <v>1.1434086636257577</v>
      </c>
      <c r="BJ62" s="789">
        <f t="shared" si="69"/>
        <v>9.7484069352837599E-2</v>
      </c>
      <c r="BK62" s="563" t="s">
        <v>64</v>
      </c>
      <c r="BL62" s="48" t="s">
        <v>64</v>
      </c>
      <c r="BM62" s="48" t="s">
        <v>64</v>
      </c>
      <c r="BN62" s="850" t="str">
        <f t="shared" si="70"/>
        <v>-</v>
      </c>
      <c r="BO62" s="789" t="str">
        <f t="shared" si="71"/>
        <v>-</v>
      </c>
      <c r="BP62" s="789" t="str">
        <f t="shared" si="72"/>
        <v>-</v>
      </c>
      <c r="BQ62" s="34" t="s">
        <v>64</v>
      </c>
      <c r="BR62" s="25">
        <v>2.6895054045916851</v>
      </c>
      <c r="BS62" s="26">
        <v>2.9451314462691278</v>
      </c>
      <c r="BT62" s="603"/>
      <c r="BU62" s="599">
        <v>0.1345011430161491</v>
      </c>
      <c r="BV62" s="851">
        <v>2.6629503596365046E-2</v>
      </c>
      <c r="BW62" s="851">
        <v>5.4332815710149168E-2</v>
      </c>
      <c r="BX62" s="851">
        <v>0.1216462131691288</v>
      </c>
      <c r="BY62" s="851">
        <v>6.1476821464934023E-3</v>
      </c>
      <c r="BZ62" s="851">
        <v>3.4899592839255887E-2</v>
      </c>
      <c r="CA62" s="851">
        <v>1.9659760073293901E-2</v>
      </c>
      <c r="CB62" s="851">
        <v>2.7635085092409261E-2</v>
      </c>
      <c r="CC62" s="851">
        <v>1.026172569650239E-2</v>
      </c>
      <c r="CD62" s="851">
        <v>5.878276626057383E-3</v>
      </c>
      <c r="CE62" s="852" t="s">
        <v>64</v>
      </c>
      <c r="CF62" s="852">
        <v>22.203058947709405</v>
      </c>
      <c r="CG62" s="603"/>
      <c r="CH62" s="584">
        <v>49.826999999999998</v>
      </c>
      <c r="CI62" s="576">
        <v>2.4723333333333333</v>
      </c>
      <c r="CJ62" s="576">
        <v>13.221000000000002</v>
      </c>
      <c r="CK62" s="576">
        <v>10.970666666666666</v>
      </c>
      <c r="CL62" s="576">
        <v>0.17333333333333334</v>
      </c>
      <c r="CM62" s="576">
        <v>7.8869999999999996</v>
      </c>
      <c r="CN62" s="576">
        <v>10.796000000000001</v>
      </c>
      <c r="CO62" s="576">
        <v>2.2056666666666662</v>
      </c>
      <c r="CP62" s="576">
        <v>0.42666666666666669</v>
      </c>
      <c r="CQ62" s="576">
        <v>0.23499999999999999</v>
      </c>
      <c r="CR62" s="792" t="s">
        <v>64</v>
      </c>
      <c r="CS62" s="793">
        <v>1333.3333333333333</v>
      </c>
      <c r="CT62" s="576">
        <f t="shared" si="73"/>
        <v>98.347999999999999</v>
      </c>
      <c r="CU62" s="576">
        <v>0.55560531620055431</v>
      </c>
      <c r="CV62" s="591">
        <v>135.07495590828924</v>
      </c>
      <c r="CW62" s="603"/>
      <c r="CX62" s="936">
        <v>282.07027446840601</v>
      </c>
      <c r="CY62" s="934">
        <v>25.298133394240608</v>
      </c>
      <c r="CZ62" s="934">
        <v>25.327079217268533</v>
      </c>
      <c r="DA62" s="938">
        <f t="shared" si="74"/>
        <v>1.2225437256712404</v>
      </c>
      <c r="DB62" s="936">
        <v>201.96249705355081</v>
      </c>
      <c r="DC62" s="934">
        <v>17.451521166083609</v>
      </c>
      <c r="DD62" s="934">
        <v>17.681051879217904</v>
      </c>
      <c r="DE62" s="939">
        <f t="shared" si="75"/>
        <v>0.88290877239519105</v>
      </c>
      <c r="DF62" s="9"/>
    </row>
    <row r="63" spans="1:110">
      <c r="A63" s="846" t="s">
        <v>57</v>
      </c>
      <c r="B63" s="41" t="s">
        <v>678</v>
      </c>
      <c r="C63" s="41" t="s">
        <v>1486</v>
      </c>
      <c r="D63" s="34" t="s">
        <v>736</v>
      </c>
      <c r="E63" s="535">
        <v>19.389810000000001</v>
      </c>
      <c r="F63" s="537">
        <v>-155.29229000000001</v>
      </c>
      <c r="G63" s="37" t="s">
        <v>405</v>
      </c>
      <c r="H63" s="37" t="s">
        <v>64</v>
      </c>
      <c r="I63" s="202" t="s">
        <v>779</v>
      </c>
      <c r="J63" t="s">
        <v>883</v>
      </c>
      <c r="K63" s="34">
        <v>2001</v>
      </c>
      <c r="L63" s="51">
        <v>280</v>
      </c>
      <c r="M63" s="52">
        <v>235</v>
      </c>
      <c r="N63" s="838">
        <f t="shared" si="59"/>
        <v>8871334.2083333358</v>
      </c>
      <c r="O63" s="54">
        <v>8622859.3621756118</v>
      </c>
      <c r="P63" s="53">
        <v>78</v>
      </c>
      <c r="Q63" s="54">
        <v>248474.84615772392</v>
      </c>
      <c r="R63" s="772">
        <f t="shared" si="60"/>
        <v>2.8008734686640228E-2</v>
      </c>
      <c r="S63" s="624" t="s">
        <v>109</v>
      </c>
      <c r="T63" s="37" t="s">
        <v>132</v>
      </c>
      <c r="U63" s="21">
        <v>89.5</v>
      </c>
      <c r="V63" s="552">
        <v>2.4</v>
      </c>
      <c r="W63" s="847">
        <v>1.3</v>
      </c>
      <c r="X63" s="556" t="s">
        <v>423</v>
      </c>
      <c r="Y63" s="784" t="s">
        <v>64</v>
      </c>
      <c r="Z63" s="784" t="s">
        <v>64</v>
      </c>
      <c r="AA63" s="785" t="s">
        <v>64</v>
      </c>
      <c r="AB63" s="32">
        <f t="shared" si="61"/>
        <v>1271.6212541525611</v>
      </c>
      <c r="AC63" s="6">
        <f t="shared" si="62"/>
        <v>1176.7899</v>
      </c>
      <c r="AD63" s="6">
        <f t="shared" si="63"/>
        <v>94.831354152561062</v>
      </c>
      <c r="AE63" s="6">
        <f t="shared" si="64"/>
        <v>1290.2729637500015</v>
      </c>
      <c r="AF63" s="839">
        <v>0.88500000000000001</v>
      </c>
      <c r="AG63" s="553">
        <f t="shared" si="65"/>
        <v>0.12994350282485878</v>
      </c>
      <c r="AH63" s="32">
        <f t="shared" si="76"/>
        <v>68.111569718965271</v>
      </c>
      <c r="AI63" s="9">
        <v>49.669435663620135</v>
      </c>
      <c r="AJ63" s="9">
        <v>2.1074930170184141</v>
      </c>
      <c r="AK63" s="9">
        <v>11.922676485776726</v>
      </c>
      <c r="AL63" s="9">
        <v>10.698419205723546</v>
      </c>
      <c r="AM63" s="9">
        <v>0.14888256158411703</v>
      </c>
      <c r="AN63" s="9">
        <v>12.816977818535374</v>
      </c>
      <c r="AO63" s="9">
        <v>9.9590362140726949</v>
      </c>
      <c r="AP63" s="9">
        <v>1.9897953163066455</v>
      </c>
      <c r="AQ63" s="9">
        <v>0.37321236721423939</v>
      </c>
      <c r="AR63" s="9">
        <v>0.20421054055118759</v>
      </c>
      <c r="AS63" s="6" t="s">
        <v>64</v>
      </c>
      <c r="AT63" s="6">
        <v>1066.6335933562568</v>
      </c>
      <c r="AU63" s="9">
        <v>98.490000000000009</v>
      </c>
      <c r="AV63" s="8">
        <f t="shared" si="66"/>
        <v>2.1402944135102917</v>
      </c>
      <c r="AW63" s="9">
        <f t="shared" si="67"/>
        <v>8.7727037486933082</v>
      </c>
      <c r="AX63" s="8">
        <v>0.55021025287752234</v>
      </c>
      <c r="AY63" s="789">
        <v>2.751051264387612E-2</v>
      </c>
      <c r="AZ63" s="6">
        <v>31.784960819770948</v>
      </c>
      <c r="BA63" s="48">
        <v>3.1784960819770949</v>
      </c>
      <c r="BB63" s="6" t="s">
        <v>64</v>
      </c>
      <c r="BC63" s="48" t="s">
        <v>64</v>
      </c>
      <c r="BD63" s="849" t="s">
        <v>1007</v>
      </c>
      <c r="BE63" s="48" t="s">
        <v>1007</v>
      </c>
      <c r="BF63" s="668" t="s">
        <v>1007</v>
      </c>
      <c r="BG63" s="48" t="s">
        <v>64</v>
      </c>
      <c r="BH63" s="48" t="s">
        <v>64</v>
      </c>
      <c r="BI63" s="850" t="str">
        <f t="shared" si="68"/>
        <v>-</v>
      </c>
      <c r="BJ63" s="789" t="str">
        <f t="shared" si="69"/>
        <v>-</v>
      </c>
      <c r="BK63" s="563" t="s">
        <v>64</v>
      </c>
      <c r="BL63" s="48" t="s">
        <v>64</v>
      </c>
      <c r="BM63" s="48" t="s">
        <v>64</v>
      </c>
      <c r="BN63" s="850" t="str">
        <f t="shared" si="70"/>
        <v>-</v>
      </c>
      <c r="BO63" s="789" t="str">
        <f t="shared" si="71"/>
        <v>-</v>
      </c>
      <c r="BP63" s="789" t="str">
        <f t="shared" si="72"/>
        <v>-</v>
      </c>
      <c r="BQ63" s="34" t="s">
        <v>64</v>
      </c>
      <c r="BR63" s="25">
        <v>2.6826550664760642</v>
      </c>
      <c r="BS63" s="26">
        <v>2.9389851101310902</v>
      </c>
      <c r="BT63" s="603"/>
      <c r="BU63" s="599">
        <v>0.13552598851636921</v>
      </c>
      <c r="BV63" s="851">
        <v>2.5514686696729048E-2</v>
      </c>
      <c r="BW63" s="851">
        <v>5.5582399744575357E-2</v>
      </c>
      <c r="BX63" s="851">
        <v>0.11640710131672011</v>
      </c>
      <c r="BY63" s="851">
        <v>5.2604020963066085E-3</v>
      </c>
      <c r="BZ63" s="851">
        <v>3.3660019695968643E-2</v>
      </c>
      <c r="CA63" s="851">
        <v>2.0491876392594963E-2</v>
      </c>
      <c r="CB63" s="851">
        <v>2.8328378028487009E-2</v>
      </c>
      <c r="CC63" s="851">
        <v>1.0236306847868274E-2</v>
      </c>
      <c r="CD63" s="851">
        <v>5.7381863424088141E-3</v>
      </c>
      <c r="CE63" s="852" t="s">
        <v>64</v>
      </c>
      <c r="CF63" s="852">
        <v>20.032980846136748</v>
      </c>
      <c r="CG63" s="603"/>
      <c r="CH63" s="584">
        <v>50.093333333333334</v>
      </c>
      <c r="CI63" s="576">
        <v>2.3243333333333331</v>
      </c>
      <c r="CJ63" s="576">
        <v>13.276333333333334</v>
      </c>
      <c r="CK63" s="576">
        <v>10.513666666666667</v>
      </c>
      <c r="CL63" s="576">
        <v>0.15133333333333335</v>
      </c>
      <c r="CM63" s="576">
        <v>8.0990000000000002</v>
      </c>
      <c r="CN63" s="576">
        <v>11.052333333333332</v>
      </c>
      <c r="CO63" s="576">
        <v>2.2166666666666668</v>
      </c>
      <c r="CP63" s="576">
        <v>0.41966666666666663</v>
      </c>
      <c r="CQ63" s="576">
        <v>0.2253333333333333</v>
      </c>
      <c r="CR63" s="792" t="s">
        <v>64</v>
      </c>
      <c r="CS63" s="793">
        <v>1180</v>
      </c>
      <c r="CT63" s="576">
        <f t="shared" si="73"/>
        <v>98.490000000000009</v>
      </c>
      <c r="CU63" s="576">
        <v>0.55021025287752234</v>
      </c>
      <c r="CV63" s="591">
        <v>35.915209965842877</v>
      </c>
      <c r="CW63" s="603"/>
      <c r="CX63" s="936" t="s">
        <v>1007</v>
      </c>
      <c r="CY63" s="934" t="s">
        <v>64</v>
      </c>
      <c r="CZ63" s="934" t="s">
        <v>64</v>
      </c>
      <c r="DA63" s="938" t="str">
        <f t="shared" si="74"/>
        <v>-</v>
      </c>
      <c r="DB63" s="936" t="s">
        <v>1007</v>
      </c>
      <c r="DC63" s="934" t="s">
        <v>64</v>
      </c>
      <c r="DD63" s="934" t="s">
        <v>64</v>
      </c>
      <c r="DE63" s="939" t="str">
        <f t="shared" si="75"/>
        <v>-</v>
      </c>
      <c r="DF63" s="9"/>
    </row>
    <row r="64" spans="1:110">
      <c r="A64" s="846" t="s">
        <v>241</v>
      </c>
      <c r="B64" s="41" t="s">
        <v>678</v>
      </c>
      <c r="C64" s="41" t="s">
        <v>1486</v>
      </c>
      <c r="D64" s="34" t="s">
        <v>736</v>
      </c>
      <c r="E64" s="535">
        <v>19.389810000000001</v>
      </c>
      <c r="F64" s="537">
        <v>-155.29229000000001</v>
      </c>
      <c r="G64" s="37" t="s">
        <v>997</v>
      </c>
      <c r="H64" s="860" t="s">
        <v>760</v>
      </c>
      <c r="I64" s="202" t="s">
        <v>780</v>
      </c>
      <c r="J64" t="s">
        <v>881</v>
      </c>
      <c r="K64" s="34">
        <v>2021</v>
      </c>
      <c r="L64" s="51">
        <v>64</v>
      </c>
      <c r="M64" s="52">
        <v>44</v>
      </c>
      <c r="N64" s="838">
        <f t="shared" si="59"/>
        <v>79618.176000000007</v>
      </c>
      <c r="O64" s="54">
        <v>62463.239533774649</v>
      </c>
      <c r="P64" s="53">
        <v>32</v>
      </c>
      <c r="Q64" s="54">
        <v>17157.284678805056</v>
      </c>
      <c r="R64" s="772">
        <f t="shared" si="60"/>
        <v>0.21548821548821551</v>
      </c>
      <c r="S64" s="624" t="s">
        <v>226</v>
      </c>
      <c r="T64" s="37" t="s">
        <v>132</v>
      </c>
      <c r="U64" s="21">
        <v>89.220296156190912</v>
      </c>
      <c r="V64" s="552" t="s">
        <v>423</v>
      </c>
      <c r="W64" s="552" t="s">
        <v>423</v>
      </c>
      <c r="X64" s="556">
        <v>102.93798926610084</v>
      </c>
      <c r="Y64" s="784">
        <v>3.0120475172590372E-3</v>
      </c>
      <c r="Z64" s="784">
        <v>0.12298618946579865</v>
      </c>
      <c r="AA64" s="785">
        <v>1.0692768686285279E-3</v>
      </c>
      <c r="AB64" s="32">
        <f t="shared" si="61"/>
        <v>1261.9052612162175</v>
      </c>
      <c r="AC64" s="6">
        <f t="shared" si="62"/>
        <v>1152.377043</v>
      </c>
      <c r="AD64" s="6">
        <f t="shared" si="63"/>
        <v>109.52821821621751</v>
      </c>
      <c r="AE64" s="6">
        <f t="shared" si="64"/>
        <v>1283.6909213348445</v>
      </c>
      <c r="AF64" s="839">
        <v>0.86699999999999999</v>
      </c>
      <c r="AG64" s="553">
        <f t="shared" si="65"/>
        <v>0.15340253748558252</v>
      </c>
      <c r="AH64" s="32">
        <f t="shared" ref="AH64:AH67" si="77">100*(AN64/40.3)/((AN64/40.3)+(AL64/71.85))</f>
        <v>67.494321862114489</v>
      </c>
      <c r="AI64" s="9">
        <v>50.55094918911994</v>
      </c>
      <c r="AJ64" s="9">
        <v>1.9887381657201806</v>
      </c>
      <c r="AK64" s="9">
        <v>11.802728679165421</v>
      </c>
      <c r="AL64" s="9">
        <v>10.59018154677991</v>
      </c>
      <c r="AM64" s="9">
        <v>0.15684689274638433</v>
      </c>
      <c r="AN64" s="9">
        <v>12.333595085383951</v>
      </c>
      <c r="AO64" s="9">
        <v>10.05127171016413</v>
      </c>
      <c r="AP64" s="9">
        <v>1.8449618473693283</v>
      </c>
      <c r="AQ64" s="9">
        <v>0.34787836468108313</v>
      </c>
      <c r="AR64" s="9">
        <v>0.18298804153744838</v>
      </c>
      <c r="AS64" s="6">
        <v>151.55853488089488</v>
      </c>
      <c r="AT64" s="6">
        <v>1101.9055122743605</v>
      </c>
      <c r="AU64" s="9">
        <v>100.46925999999999</v>
      </c>
      <c r="AV64" s="8">
        <f t="shared" si="66"/>
        <v>2.1186407044609621</v>
      </c>
      <c r="AW64" s="9">
        <f t="shared" si="67"/>
        <v>8.6839488683595256</v>
      </c>
      <c r="AX64" s="8">
        <v>0.55927937651848447</v>
      </c>
      <c r="AY64" s="789">
        <v>2.7963968825924224E-2</v>
      </c>
      <c r="AZ64" s="6">
        <v>243.8170920215621</v>
      </c>
      <c r="BA64" s="48">
        <v>24.381709202156213</v>
      </c>
      <c r="BB64" s="6">
        <v>9956.5166635340847</v>
      </c>
      <c r="BC64" s="48">
        <v>558.5934534481305</v>
      </c>
      <c r="BD64" s="6" t="s">
        <v>998</v>
      </c>
      <c r="BE64" s="48" t="s">
        <v>998</v>
      </c>
      <c r="BF64" s="32" t="s">
        <v>1008</v>
      </c>
      <c r="BG64" s="48" t="s">
        <v>64</v>
      </c>
      <c r="BH64" s="48" t="s">
        <v>64</v>
      </c>
      <c r="BI64" s="850" t="str">
        <f t="shared" si="68"/>
        <v>-</v>
      </c>
      <c r="BJ64" s="789" t="str">
        <f t="shared" si="69"/>
        <v>-</v>
      </c>
      <c r="BK64" s="67">
        <v>386</v>
      </c>
      <c r="BL64" s="48">
        <v>38.600000000000023</v>
      </c>
      <c r="BM64" s="48">
        <v>4</v>
      </c>
      <c r="BN64" s="850">
        <f t="shared" si="70"/>
        <v>1.6547366551903999</v>
      </c>
      <c r="BO64" s="789">
        <f t="shared" si="71"/>
        <v>0.1581744936808227</v>
      </c>
      <c r="BP64" s="789">
        <f t="shared" si="72"/>
        <v>1.646257537920004E-2</v>
      </c>
      <c r="BQ64" s="861" t="s">
        <v>760</v>
      </c>
      <c r="BR64" s="25">
        <v>2.673415257506373</v>
      </c>
      <c r="BS64" s="26">
        <v>2.9078756505317349</v>
      </c>
      <c r="BT64" s="605"/>
      <c r="BU64" s="599">
        <v>0.13535572705827947</v>
      </c>
      <c r="BV64" s="851">
        <v>2.3588224509790492E-2</v>
      </c>
      <c r="BW64" s="851">
        <v>5.506492248892552E-2</v>
      </c>
      <c r="BX64" s="851">
        <v>0.11459847255401476</v>
      </c>
      <c r="BY64" s="851">
        <v>5.404175374265947E-3</v>
      </c>
      <c r="BZ64" s="851">
        <v>3.2634322588073375E-2</v>
      </c>
      <c r="CA64" s="851">
        <v>1.9467906124548497E-2</v>
      </c>
      <c r="CB64" s="851">
        <v>2.7001939117173804E-2</v>
      </c>
      <c r="CC64" s="851">
        <v>9.1529580774510413E-3</v>
      </c>
      <c r="CD64" s="851">
        <v>5.8366414692909152E-3</v>
      </c>
      <c r="CE64" s="852">
        <v>19.335686321569689</v>
      </c>
      <c r="CF64" s="852">
        <v>18.146069785582942</v>
      </c>
      <c r="CG64" s="605"/>
      <c r="CH64" s="584">
        <v>52.341200000000001</v>
      </c>
      <c r="CI64" s="576">
        <v>2.2783600000000002</v>
      </c>
      <c r="CJ64" s="576">
        <v>13.6747</v>
      </c>
      <c r="CK64" s="576">
        <v>10.626099999999999</v>
      </c>
      <c r="CL64" s="576">
        <v>0.16639699999999999</v>
      </c>
      <c r="CM64" s="576">
        <v>6.88443</v>
      </c>
      <c r="CN64" s="576">
        <v>11.598800000000001</v>
      </c>
      <c r="CO64" s="576">
        <v>2.1348099999999999</v>
      </c>
      <c r="CP64" s="576">
        <v>0.40742499999999998</v>
      </c>
      <c r="CQ64" s="576">
        <v>0.21256900000000001</v>
      </c>
      <c r="CR64" s="857">
        <v>1.7468000000000001E-2</v>
      </c>
      <c r="CS64" s="793">
        <v>1270.01</v>
      </c>
      <c r="CT64" s="576">
        <f t="shared" si="73"/>
        <v>100.46925999999999</v>
      </c>
      <c r="CU64" s="576">
        <v>0.55927937651848447</v>
      </c>
      <c r="CV64" s="591">
        <v>281.21925262002549</v>
      </c>
      <c r="CW64" s="605"/>
      <c r="CX64" s="936" t="s">
        <v>998</v>
      </c>
      <c r="CY64" s="934" t="s">
        <v>64</v>
      </c>
      <c r="CZ64" s="934" t="s">
        <v>64</v>
      </c>
      <c r="DA64" s="938" t="str">
        <f t="shared" si="74"/>
        <v>-</v>
      </c>
      <c r="DB64" s="936" t="s">
        <v>998</v>
      </c>
      <c r="DC64" s="934" t="s">
        <v>64</v>
      </c>
      <c r="DD64" s="934" t="s">
        <v>64</v>
      </c>
      <c r="DE64" s="939" t="str">
        <f t="shared" si="75"/>
        <v>-</v>
      </c>
      <c r="DF64" s="9"/>
    </row>
    <row r="65" spans="1:110">
      <c r="A65" s="846" t="s">
        <v>242</v>
      </c>
      <c r="B65" s="41" t="s">
        <v>678</v>
      </c>
      <c r="C65" s="41" t="s">
        <v>1486</v>
      </c>
      <c r="D65" s="34" t="s">
        <v>736</v>
      </c>
      <c r="E65" s="535">
        <v>19.389810000000001</v>
      </c>
      <c r="F65" s="537">
        <v>-155.29229000000001</v>
      </c>
      <c r="G65" s="37" t="s">
        <v>997</v>
      </c>
      <c r="H65" s="860" t="s">
        <v>760</v>
      </c>
      <c r="I65" s="202" t="s">
        <v>780</v>
      </c>
      <c r="J65" t="s">
        <v>881</v>
      </c>
      <c r="K65" s="34">
        <v>2021</v>
      </c>
      <c r="L65" s="51">
        <v>145</v>
      </c>
      <c r="M65" s="52">
        <v>70</v>
      </c>
      <c r="N65" s="838">
        <f t="shared" si="59"/>
        <v>571294.86458333349</v>
      </c>
      <c r="O65" s="54">
        <v>537801.3923864027</v>
      </c>
      <c r="P65" s="53">
        <v>40</v>
      </c>
      <c r="Q65" s="54">
        <v>33510.321638291127</v>
      </c>
      <c r="R65" s="772">
        <f t="shared" si="60"/>
        <v>5.8655057853133234E-2</v>
      </c>
      <c r="S65" s="624" t="s">
        <v>229</v>
      </c>
      <c r="T65" s="37" t="s">
        <v>132</v>
      </c>
      <c r="U65" s="21">
        <v>88.981997909971113</v>
      </c>
      <c r="V65" s="552" t="s">
        <v>423</v>
      </c>
      <c r="W65" s="552" t="s">
        <v>423</v>
      </c>
      <c r="X65" s="556">
        <v>102.81389623458372</v>
      </c>
      <c r="Y65" s="784">
        <v>7.1606227761973409E-3</v>
      </c>
      <c r="Z65" s="784">
        <v>7.8933163277220331E-2</v>
      </c>
      <c r="AA65" s="785">
        <v>2.542021085550425E-3</v>
      </c>
      <c r="AB65" s="32">
        <f t="shared" si="61"/>
        <v>1232.9426144730032</v>
      </c>
      <c r="AC65" s="6">
        <f t="shared" si="62"/>
        <v>1156.937934</v>
      </c>
      <c r="AD65" s="6">
        <f t="shared" si="63"/>
        <v>76.004680473003191</v>
      </c>
      <c r="AE65" s="6">
        <f t="shared" si="64"/>
        <v>1278.2294819264243</v>
      </c>
      <c r="AF65" s="839">
        <v>0.90900000000000003</v>
      </c>
      <c r="AG65" s="553">
        <f t="shared" si="65"/>
        <v>0.10011001100110017</v>
      </c>
      <c r="AH65" s="32">
        <f>100*(AN65/40.3)/((AN65/40.3)+(AL65/71.85))</f>
        <v>66.948782941307329</v>
      </c>
      <c r="AI65" s="9">
        <v>51.000047930642367</v>
      </c>
      <c r="AJ65" s="9">
        <v>2.067515153904107</v>
      </c>
      <c r="AK65" s="9">
        <v>13.330243618751384</v>
      </c>
      <c r="AL65" s="9">
        <v>9.5873976057012449</v>
      </c>
      <c r="AM65" s="9">
        <v>0.14983451261270037</v>
      </c>
      <c r="AN65" s="9">
        <v>10.892667386716582</v>
      </c>
      <c r="AO65" s="9">
        <v>10.102265192665691</v>
      </c>
      <c r="AP65" s="9">
        <v>2.1348904045420327</v>
      </c>
      <c r="AQ65" s="9">
        <v>0.39218429475807481</v>
      </c>
      <c r="AR65" s="9">
        <v>0.21017055796009651</v>
      </c>
      <c r="AS65" s="6">
        <v>190.53715817379683</v>
      </c>
      <c r="AT65" s="6">
        <v>1137.2962592835406</v>
      </c>
      <c r="AU65" s="9">
        <v>100.40567699999998</v>
      </c>
      <c r="AV65" s="8">
        <f t="shared" si="66"/>
        <v>1.9180266860926902</v>
      </c>
      <c r="AW65" s="9">
        <f t="shared" si="67"/>
        <v>7.8616660366750226</v>
      </c>
      <c r="AX65" s="8">
        <v>0.43726418999877359</v>
      </c>
      <c r="AY65" s="789">
        <v>2.1863209499938682E-2</v>
      </c>
      <c r="AZ65" s="862" t="s">
        <v>292</v>
      </c>
      <c r="BA65" s="48" t="s">
        <v>64</v>
      </c>
      <c r="BB65" s="6">
        <v>1541.2760763282395</v>
      </c>
      <c r="BC65" s="48">
        <v>74.520350345819367</v>
      </c>
      <c r="BD65" s="6" t="s">
        <v>998</v>
      </c>
      <c r="BE65" s="48" t="s">
        <v>998</v>
      </c>
      <c r="BF65" s="32" t="s">
        <v>1008</v>
      </c>
      <c r="BG65" s="48" t="s">
        <v>64</v>
      </c>
      <c r="BH65" s="48" t="s">
        <v>64</v>
      </c>
      <c r="BI65" s="850" t="str">
        <f t="shared" si="68"/>
        <v>-</v>
      </c>
      <c r="BJ65" s="789" t="str">
        <f t="shared" si="69"/>
        <v>-</v>
      </c>
      <c r="BK65" s="57" t="s">
        <v>1009</v>
      </c>
      <c r="BL65" s="48" t="s">
        <v>64</v>
      </c>
      <c r="BM65" s="48" t="s">
        <v>64</v>
      </c>
      <c r="BN65" s="850" t="str">
        <f t="shared" si="70"/>
        <v>-</v>
      </c>
      <c r="BO65" s="789" t="str">
        <f t="shared" si="71"/>
        <v>-</v>
      </c>
      <c r="BP65" s="789" t="str">
        <f t="shared" si="72"/>
        <v>-</v>
      </c>
      <c r="BQ65" s="861" t="s">
        <v>760</v>
      </c>
      <c r="BR65" s="25">
        <v>2.665710687741377</v>
      </c>
      <c r="BS65" s="26">
        <v>2.895760397880947</v>
      </c>
      <c r="BT65" s="605"/>
      <c r="BU65" s="599">
        <v>0.13775571946497878</v>
      </c>
      <c r="BV65" s="851">
        <v>2.4424590270646168E-2</v>
      </c>
      <c r="BW65" s="851">
        <v>6.0173786114533251E-2</v>
      </c>
      <c r="BX65" s="851">
        <v>0.10997799667475956</v>
      </c>
      <c r="BY65" s="851">
        <v>5.4920791756597033E-3</v>
      </c>
      <c r="BZ65" s="851">
        <v>2.8242725853626489E-2</v>
      </c>
      <c r="CA65" s="851">
        <v>1.9999454401920268E-2</v>
      </c>
      <c r="CB65" s="851">
        <v>2.9615840158928437E-2</v>
      </c>
      <c r="CC65" s="851">
        <v>1.0121923681840627E-2</v>
      </c>
      <c r="CD65" s="851">
        <v>6.2563151352445613E-3</v>
      </c>
      <c r="CE65" s="852">
        <v>20.945940335203659</v>
      </c>
      <c r="CF65" s="852">
        <v>19.20165512323959</v>
      </c>
      <c r="CG65" s="605"/>
      <c r="CH65" s="584">
        <v>52.239199999999997</v>
      </c>
      <c r="CI65" s="576">
        <v>2.2709600000000001</v>
      </c>
      <c r="CJ65" s="576">
        <v>14.7308</v>
      </c>
      <c r="CK65" s="576">
        <v>9.6083800000000004</v>
      </c>
      <c r="CL65" s="576">
        <v>0.15457699999999999</v>
      </c>
      <c r="CM65" s="576">
        <v>7.1113400000000002</v>
      </c>
      <c r="CN65" s="576">
        <v>11.126200000000001</v>
      </c>
      <c r="CO65" s="576">
        <v>2.3557899999999998</v>
      </c>
      <c r="CP65" s="576">
        <v>0.433363</v>
      </c>
      <c r="CQ65" s="576">
        <v>0.229215</v>
      </c>
      <c r="CR65" s="857">
        <v>2.0929E-2</v>
      </c>
      <c r="CS65" s="793">
        <v>1249.23</v>
      </c>
      <c r="CT65" s="576">
        <f t="shared" si="73"/>
        <v>100.40567699999998</v>
      </c>
      <c r="CU65" s="576">
        <v>0.43726418999877359</v>
      </c>
      <c r="CV65" s="591" t="s">
        <v>292</v>
      </c>
      <c r="CW65" s="605"/>
      <c r="CX65" s="936" t="s">
        <v>998</v>
      </c>
      <c r="CY65" s="934" t="s">
        <v>64</v>
      </c>
      <c r="CZ65" s="934" t="s">
        <v>64</v>
      </c>
      <c r="DA65" s="938" t="str">
        <f t="shared" si="74"/>
        <v>-</v>
      </c>
      <c r="DB65" s="936" t="s">
        <v>998</v>
      </c>
      <c r="DC65" s="934" t="s">
        <v>64</v>
      </c>
      <c r="DD65" s="934" t="s">
        <v>64</v>
      </c>
      <c r="DE65" s="939" t="str">
        <f t="shared" si="75"/>
        <v>-</v>
      </c>
      <c r="DF65" s="9"/>
    </row>
    <row r="66" spans="1:110">
      <c r="A66" s="846" t="s">
        <v>243</v>
      </c>
      <c r="B66" s="41" t="s">
        <v>678</v>
      </c>
      <c r="C66" s="41" t="s">
        <v>1486</v>
      </c>
      <c r="D66" s="34" t="s">
        <v>736</v>
      </c>
      <c r="E66" s="535">
        <v>19.389810000000001</v>
      </c>
      <c r="F66" s="537">
        <v>-155.29229000000001</v>
      </c>
      <c r="G66" s="37" t="s">
        <v>405</v>
      </c>
      <c r="H66" s="37" t="s">
        <v>64</v>
      </c>
      <c r="I66" s="202" t="s">
        <v>780</v>
      </c>
      <c r="J66" t="s">
        <v>881</v>
      </c>
      <c r="K66" s="34">
        <v>2021</v>
      </c>
      <c r="L66" s="51">
        <v>68</v>
      </c>
      <c r="M66" s="52">
        <v>56</v>
      </c>
      <c r="N66" s="838">
        <f t="shared" si="59"/>
        <v>123615.93066666668</v>
      </c>
      <c r="O66" s="54">
        <v>116381.34704978506</v>
      </c>
      <c r="P66" s="53">
        <v>24</v>
      </c>
      <c r="Q66" s="54">
        <v>7238.2294738708824</v>
      </c>
      <c r="R66" s="772">
        <f t="shared" si="60"/>
        <v>5.8552453239360258E-2</v>
      </c>
      <c r="S66" s="624" t="s">
        <v>231</v>
      </c>
      <c r="T66" s="37" t="s">
        <v>132</v>
      </c>
      <c r="U66" s="21">
        <v>88.645448815760545</v>
      </c>
      <c r="V66" s="552" t="s">
        <v>423</v>
      </c>
      <c r="W66" s="552" t="s">
        <v>423</v>
      </c>
      <c r="X66" s="556" t="s">
        <v>292</v>
      </c>
      <c r="Y66" s="784" t="s">
        <v>64</v>
      </c>
      <c r="Z66" s="784" t="s">
        <v>292</v>
      </c>
      <c r="AA66" s="785" t="s">
        <v>64</v>
      </c>
      <c r="AB66" s="32">
        <f t="shared" si="61"/>
        <v>1252.2608113459585</v>
      </c>
      <c r="AC66" s="6">
        <f t="shared" si="62"/>
        <v>1160.172828</v>
      </c>
      <c r="AD66" s="6">
        <f t="shared" si="63"/>
        <v>92.087983345958492</v>
      </c>
      <c r="AE66" s="6">
        <f t="shared" si="64"/>
        <v>1270.7416940145085</v>
      </c>
      <c r="AF66" s="839">
        <v>0.89100000000000001</v>
      </c>
      <c r="AG66" s="553">
        <f t="shared" si="65"/>
        <v>0.122334455667789</v>
      </c>
      <c r="AH66" s="32">
        <f t="shared" si="77"/>
        <v>66.250200794719007</v>
      </c>
      <c r="AI66" s="9">
        <v>50.313948668989909</v>
      </c>
      <c r="AJ66" s="9">
        <v>1.9107962366099931</v>
      </c>
      <c r="AK66" s="9">
        <v>12.63477574654793</v>
      </c>
      <c r="AL66" s="9">
        <v>10.766195944413276</v>
      </c>
      <c r="AM66" s="9">
        <v>0.15881420588341869</v>
      </c>
      <c r="AN66" s="9">
        <v>11.853771708754154</v>
      </c>
      <c r="AO66" s="9">
        <v>9.3549608490947946</v>
      </c>
      <c r="AP66" s="9">
        <v>2.2073164311391609</v>
      </c>
      <c r="AQ66" s="9">
        <v>0.38396852308522744</v>
      </c>
      <c r="AR66" s="9">
        <v>0.22314401079822122</v>
      </c>
      <c r="AS66" s="6">
        <v>226.86465164713471</v>
      </c>
      <c r="AT66" s="6">
        <v>1358.0719133382531</v>
      </c>
      <c r="AU66" s="9">
        <v>98.009320000000002</v>
      </c>
      <c r="AV66" s="8">
        <f t="shared" si="66"/>
        <v>2.1538536293527564</v>
      </c>
      <c r="AW66" s="9">
        <f t="shared" si="67"/>
        <v>8.8282806744188882</v>
      </c>
      <c r="AX66" s="8">
        <v>0.33236116760865758</v>
      </c>
      <c r="AY66" s="789">
        <v>1.6618058380432881E-2</v>
      </c>
      <c r="AZ66" s="6">
        <v>336.40661070390786</v>
      </c>
      <c r="BA66" s="48">
        <v>33.640661070390784</v>
      </c>
      <c r="BB66" s="6" t="s">
        <v>292</v>
      </c>
      <c r="BC66" s="48" t="s">
        <v>292</v>
      </c>
      <c r="BD66" s="849">
        <v>336.40661070390786</v>
      </c>
      <c r="BE66" s="48">
        <v>33.640661070390784</v>
      </c>
      <c r="BF66" s="668">
        <v>709.7201849963725</v>
      </c>
      <c r="BG66" s="48">
        <v>65.637262049943956</v>
      </c>
      <c r="BH66" s="48">
        <v>66.33046570624083</v>
      </c>
      <c r="BI66" s="850">
        <f t="shared" si="68"/>
        <v>2.9446470736176837</v>
      </c>
      <c r="BJ66" s="789">
        <f t="shared" si="69"/>
        <v>0.25354353376519989</v>
      </c>
      <c r="BK66" s="67" t="s">
        <v>64</v>
      </c>
      <c r="BL66" s="48" t="s">
        <v>64</v>
      </c>
      <c r="BM66" s="48" t="s">
        <v>64</v>
      </c>
      <c r="BN66" s="850" t="str">
        <f t="shared" si="70"/>
        <v>-</v>
      </c>
      <c r="BO66" s="789" t="str">
        <f t="shared" si="71"/>
        <v>-</v>
      </c>
      <c r="BP66" s="789" t="str">
        <f t="shared" si="72"/>
        <v>-</v>
      </c>
      <c r="BQ66" s="34" t="s">
        <v>64</v>
      </c>
      <c r="BR66" s="25">
        <v>2.674092762315234</v>
      </c>
      <c r="BS66" s="26">
        <v>2.9138351765726132</v>
      </c>
      <c r="BT66" s="605"/>
      <c r="BU66" s="599">
        <v>0.13815908420812614</v>
      </c>
      <c r="BV66" s="851">
        <v>2.4354626672583649E-2</v>
      </c>
      <c r="BW66" s="851">
        <v>5.9159178739274045E-2</v>
      </c>
      <c r="BX66" s="851">
        <v>0.11759808168123177</v>
      </c>
      <c r="BY66" s="851">
        <v>5.7355432826384882E-3</v>
      </c>
      <c r="BZ66" s="851">
        <v>3.1175419594023424E-2</v>
      </c>
      <c r="CA66" s="851">
        <v>1.9881349895713236E-2</v>
      </c>
      <c r="CB66" s="851">
        <v>2.9707168188486396E-2</v>
      </c>
      <c r="CC66" s="851">
        <v>1.0287054289385563E-2</v>
      </c>
      <c r="CD66" s="851">
        <v>6.377210370201284E-3</v>
      </c>
      <c r="CE66" s="852">
        <v>22.719360539202306</v>
      </c>
      <c r="CF66" s="852">
        <v>20.710596678408361</v>
      </c>
      <c r="CG66" s="605"/>
      <c r="CH66" s="584">
        <v>50.506900000000002</v>
      </c>
      <c r="CI66" s="576">
        <v>2.0894699999999999</v>
      </c>
      <c r="CJ66" s="576">
        <v>13.9085</v>
      </c>
      <c r="CK66" s="576">
        <v>10.5318</v>
      </c>
      <c r="CL66" s="576">
        <v>0.161888</v>
      </c>
      <c r="CM66" s="576">
        <v>7.2722800000000003</v>
      </c>
      <c r="CN66" s="576">
        <v>10.2639</v>
      </c>
      <c r="CO66" s="576">
        <v>2.43215</v>
      </c>
      <c r="CP66" s="576">
        <v>0.42113800000000001</v>
      </c>
      <c r="CQ66" s="576">
        <v>0.24784600000000001</v>
      </c>
      <c r="CR66" s="857">
        <v>2.4826999999999998E-2</v>
      </c>
      <c r="CS66" s="793">
        <v>1486.21</v>
      </c>
      <c r="CT66" s="576">
        <f t="shared" si="73"/>
        <v>98.009320000000002</v>
      </c>
      <c r="CU66" s="576">
        <v>0.33236116760865758</v>
      </c>
      <c r="CV66" s="591">
        <v>377.56073030741624</v>
      </c>
      <c r="CW66" s="605"/>
      <c r="CX66" s="936">
        <v>729.96238820399572</v>
      </c>
      <c r="CY66" s="934">
        <v>70.430966150664858</v>
      </c>
      <c r="CZ66" s="934">
        <v>70.751221324168682</v>
      </c>
      <c r="DA66" s="938">
        <f t="shared" si="74"/>
        <v>3.0226877052264571</v>
      </c>
      <c r="DB66" s="936">
        <v>588.35235500995179</v>
      </c>
      <c r="DC66" s="934">
        <v>50.839357436984869</v>
      </c>
      <c r="DD66" s="934">
        <v>51.508020865044955</v>
      </c>
      <c r="DE66" s="939">
        <f t="shared" si="75"/>
        <v>2.4705094137588026</v>
      </c>
      <c r="DF66" s="9"/>
    </row>
    <row r="67" spans="1:110">
      <c r="A67" s="846" t="s">
        <v>244</v>
      </c>
      <c r="B67" s="41" t="s">
        <v>678</v>
      </c>
      <c r="C67" s="41" t="s">
        <v>1486</v>
      </c>
      <c r="D67" s="34" t="s">
        <v>736</v>
      </c>
      <c r="E67" s="535">
        <v>19.389810000000001</v>
      </c>
      <c r="F67" s="537">
        <v>-155.29229000000001</v>
      </c>
      <c r="G67" s="37" t="s">
        <v>405</v>
      </c>
      <c r="H67" s="37" t="s">
        <v>64</v>
      </c>
      <c r="I67" s="202" t="s">
        <v>780</v>
      </c>
      <c r="J67" t="s">
        <v>882</v>
      </c>
      <c r="K67" s="34">
        <v>2021</v>
      </c>
      <c r="L67" s="51">
        <v>40</v>
      </c>
      <c r="M67" s="52">
        <v>35</v>
      </c>
      <c r="N67" s="838">
        <f t="shared" si="59"/>
        <v>27488.125000000004</v>
      </c>
      <c r="O67" s="54">
        <v>26052.180678668959</v>
      </c>
      <c r="P67" s="53">
        <v>14</v>
      </c>
      <c r="Q67" s="54">
        <v>1436.7550402417319</v>
      </c>
      <c r="R67" s="772">
        <f t="shared" si="60"/>
        <v>5.2266666666666656E-2</v>
      </c>
      <c r="S67" s="624" t="s">
        <v>231</v>
      </c>
      <c r="T67" s="37" t="s">
        <v>132</v>
      </c>
      <c r="U67" s="21">
        <v>88.645448815760545</v>
      </c>
      <c r="V67" s="552" t="s">
        <v>423</v>
      </c>
      <c r="W67" s="552" t="s">
        <v>423</v>
      </c>
      <c r="X67" s="556">
        <v>102.93489765990638</v>
      </c>
      <c r="Y67" s="784">
        <v>7.0995770945505871E-3</v>
      </c>
      <c r="Z67" s="784">
        <v>0.12188866926675956</v>
      </c>
      <c r="AA67" s="785">
        <v>2.5203498685670983E-3</v>
      </c>
      <c r="AB67" s="32">
        <f t="shared" si="61"/>
        <v>1232.8368759635443</v>
      </c>
      <c r="AC67" s="6">
        <f t="shared" si="62"/>
        <v>1155.3365670000001</v>
      </c>
      <c r="AD67" s="6">
        <f t="shared" si="63"/>
        <v>77.500308963544285</v>
      </c>
      <c r="AE67" s="6">
        <f t="shared" si="64"/>
        <v>1270.7416940145085</v>
      </c>
      <c r="AF67" s="839">
        <v>0.90900000000000003</v>
      </c>
      <c r="AG67" s="553">
        <f t="shared" si="65"/>
        <v>0.10011001100110017</v>
      </c>
      <c r="AH67" s="32">
        <f t="shared" si="77"/>
        <v>66.153802068288968</v>
      </c>
      <c r="AI67" s="9">
        <v>51.100829938868898</v>
      </c>
      <c r="AJ67" s="9">
        <v>1.9395832700814235</v>
      </c>
      <c r="AK67" s="9">
        <v>13.031103774108477</v>
      </c>
      <c r="AL67" s="9">
        <v>9.9311891957460965</v>
      </c>
      <c r="AM67" s="9">
        <v>0.15886685156706321</v>
      </c>
      <c r="AN67" s="9">
        <v>10.887406764355443</v>
      </c>
      <c r="AO67" s="9">
        <v>9.8125418002719602</v>
      </c>
      <c r="AP67" s="9">
        <v>2.3266955349758494</v>
      </c>
      <c r="AQ67" s="9">
        <v>0.41928782976876805</v>
      </c>
      <c r="AR67" s="9">
        <v>0.23729479094827161</v>
      </c>
      <c r="AS67" s="6">
        <v>186.08582959440767</v>
      </c>
      <c r="AT67" s="6">
        <v>1365.9166634829876</v>
      </c>
      <c r="AU67" s="9">
        <v>98.694552000000016</v>
      </c>
      <c r="AV67" s="8">
        <f t="shared" si="66"/>
        <v>1.9868046247241433</v>
      </c>
      <c r="AW67" s="9">
        <f t="shared" si="67"/>
        <v>8.1435751405117998</v>
      </c>
      <c r="AX67" s="8" t="s">
        <v>64</v>
      </c>
      <c r="AY67" s="789" t="s">
        <v>64</v>
      </c>
      <c r="AZ67" s="863" t="s">
        <v>895</v>
      </c>
      <c r="BA67" s="48" t="s">
        <v>64</v>
      </c>
      <c r="BB67" s="6">
        <v>2107.1659971427657</v>
      </c>
      <c r="BC67" s="48">
        <v>229.26842847162101</v>
      </c>
      <c r="BD67" s="849">
        <v>2255.1659971427657</v>
      </c>
      <c r="BE67" s="48">
        <v>229.74562518978854</v>
      </c>
      <c r="BF67" s="668">
        <v>3763.778367420332</v>
      </c>
      <c r="BG67" s="48">
        <v>283.30618086233608</v>
      </c>
      <c r="BH67" s="48">
        <v>295.85611349478677</v>
      </c>
      <c r="BI67" s="850">
        <f t="shared" si="68"/>
        <v>13.376679395665432</v>
      </c>
      <c r="BJ67" s="789">
        <f t="shared" si="69"/>
        <v>1.0234601229191505</v>
      </c>
      <c r="BK67" s="67" t="s">
        <v>64</v>
      </c>
      <c r="BL67" s="48" t="s">
        <v>64</v>
      </c>
      <c r="BM67" s="48" t="s">
        <v>64</v>
      </c>
      <c r="BN67" s="850" t="str">
        <f t="shared" si="70"/>
        <v>-</v>
      </c>
      <c r="BO67" s="789" t="str">
        <f t="shared" si="71"/>
        <v>-</v>
      </c>
      <c r="BP67" s="789" t="str">
        <f t="shared" si="72"/>
        <v>-</v>
      </c>
      <c r="BQ67" s="34" t="s">
        <v>64</v>
      </c>
      <c r="BR67" s="25">
        <v>2.6588989549798732</v>
      </c>
      <c r="BS67" s="26">
        <v>2.8930717474985048</v>
      </c>
      <c r="BT67" s="605"/>
      <c r="BU67" s="599">
        <v>0.13848376014263411</v>
      </c>
      <c r="BV67" s="851">
        <v>2.5018878559107286E-2</v>
      </c>
      <c r="BW67" s="851">
        <v>6.0187280245625779E-2</v>
      </c>
      <c r="BX67" s="851">
        <v>0.11248263506885943</v>
      </c>
      <c r="BY67" s="851">
        <v>5.8399295769200861E-3</v>
      </c>
      <c r="BZ67" s="851">
        <v>2.9075799630820003E-2</v>
      </c>
      <c r="CA67" s="851">
        <v>2.0506446105044349E-2</v>
      </c>
      <c r="CB67" s="851">
        <v>3.0518799993171222E-2</v>
      </c>
      <c r="CC67" s="851">
        <v>1.0587269274359254E-2</v>
      </c>
      <c r="CD67" s="851">
        <v>6.443645130283936E-3</v>
      </c>
      <c r="CE67" s="852">
        <v>22.918702944506439</v>
      </c>
      <c r="CF67" s="852">
        <v>20.884592601322183</v>
      </c>
      <c r="CG67" s="605"/>
      <c r="CH67" s="584">
        <v>51.467100000000002</v>
      </c>
      <c r="CI67" s="576">
        <v>2.0925699999999998</v>
      </c>
      <c r="CJ67" s="576">
        <v>14.150499999999999</v>
      </c>
      <c r="CK67" s="576">
        <v>9.7750699999999995</v>
      </c>
      <c r="CL67" s="576">
        <v>0.157526</v>
      </c>
      <c r="CM67" s="576">
        <v>7.0316700000000001</v>
      </c>
      <c r="CN67" s="576">
        <v>10.619199999999999</v>
      </c>
      <c r="CO67" s="576">
        <v>2.52332</v>
      </c>
      <c r="CP67" s="576">
        <v>0.45160099999999997</v>
      </c>
      <c r="CQ67" s="576">
        <v>0.25840600000000002</v>
      </c>
      <c r="CR67" s="857">
        <v>2.0094000000000001E-2</v>
      </c>
      <c r="CS67" s="793">
        <v>1474.9499999999998</v>
      </c>
      <c r="CT67" s="576">
        <f t="shared" si="73"/>
        <v>98.694552000000016</v>
      </c>
      <c r="CU67" s="576" t="s">
        <v>64</v>
      </c>
      <c r="CV67" s="591" t="s">
        <v>64</v>
      </c>
      <c r="CW67" s="605"/>
      <c r="CX67" s="936">
        <v>4220.1734435045028</v>
      </c>
      <c r="CY67" s="934">
        <v>353.39105709140767</v>
      </c>
      <c r="CZ67" s="934">
        <v>364.78820821834961</v>
      </c>
      <c r="DA67" s="938">
        <f t="shared" si="74"/>
        <v>15.085988335738342</v>
      </c>
      <c r="DB67" s="936">
        <v>3252.9825037479382</v>
      </c>
      <c r="DC67" s="934">
        <v>286.32767719635103</v>
      </c>
      <c r="DD67" s="934">
        <v>290.16494838692415</v>
      </c>
      <c r="DE67" s="939">
        <f t="shared" si="75"/>
        <v>11.595932728067629</v>
      </c>
      <c r="DF67" s="9"/>
    </row>
    <row r="68" spans="1:110">
      <c r="A68" s="846" t="s">
        <v>245</v>
      </c>
      <c r="B68" s="41" t="s">
        <v>678</v>
      </c>
      <c r="C68" s="41" t="s">
        <v>1486</v>
      </c>
      <c r="D68" s="34" t="s">
        <v>736</v>
      </c>
      <c r="E68" s="535">
        <v>19.389810000000001</v>
      </c>
      <c r="F68" s="537">
        <v>-155.29229000000001</v>
      </c>
      <c r="G68" s="37" t="s">
        <v>405</v>
      </c>
      <c r="H68" s="37" t="s">
        <v>64</v>
      </c>
      <c r="I68" s="202" t="s">
        <v>780</v>
      </c>
      <c r="J68" t="s">
        <v>881</v>
      </c>
      <c r="K68" s="34">
        <v>2021</v>
      </c>
      <c r="L68" s="51">
        <v>60.4</v>
      </c>
      <c r="M68" s="52">
        <v>38.799999999999997</v>
      </c>
      <c r="N68" s="838">
        <f t="shared" si="59"/>
        <v>60860.589461333322</v>
      </c>
      <c r="O68" s="54">
        <v>57156.410957848311</v>
      </c>
      <c r="P68" s="53">
        <v>19.2</v>
      </c>
      <c r="Q68" s="54">
        <v>3705.9734906218919</v>
      </c>
      <c r="R68" s="772">
        <f t="shared" si="60"/>
        <v>6.089103350460405E-2</v>
      </c>
      <c r="S68" s="624" t="s">
        <v>232</v>
      </c>
      <c r="T68" s="37" t="s">
        <v>132</v>
      </c>
      <c r="U68" s="21">
        <v>88.281313681103867</v>
      </c>
      <c r="V68" s="552" t="s">
        <v>423</v>
      </c>
      <c r="W68" s="552" t="s">
        <v>423</v>
      </c>
      <c r="X68" s="556">
        <v>102.89651913446394</v>
      </c>
      <c r="Y68" s="784">
        <v>6.3011713350214684E-3</v>
      </c>
      <c r="Z68" s="784">
        <v>0.10826429273469529</v>
      </c>
      <c r="AA68" s="785">
        <v>2.2369158239324543E-3</v>
      </c>
      <c r="AB68" s="32">
        <f t="shared" si="61"/>
        <v>1243.2670184125357</v>
      </c>
      <c r="AC68" s="6">
        <f t="shared" si="62"/>
        <v>1161.631887</v>
      </c>
      <c r="AD68" s="6">
        <f t="shared" si="63"/>
        <v>81.635131412535657</v>
      </c>
      <c r="AE68" s="6">
        <f t="shared" si="64"/>
        <v>1262.9319474366785</v>
      </c>
      <c r="AF68" s="839">
        <v>0.90200000000000002</v>
      </c>
      <c r="AG68" s="553">
        <f t="shared" si="65"/>
        <v>0.10864745011086474</v>
      </c>
      <c r="AH68" s="32">
        <f t="shared" ref="AH68:AH80" si="78">100*(AN68/40.3)/((AN68/40.3)+(AL68/71.85))</f>
        <v>65.282025643511858</v>
      </c>
      <c r="AI68" s="9">
        <v>51.375196532090719</v>
      </c>
      <c r="AJ68" s="9">
        <v>1.950829541441691</v>
      </c>
      <c r="AK68" s="9">
        <v>11.57022922877737</v>
      </c>
      <c r="AL68" s="9">
        <v>10.815036968147107</v>
      </c>
      <c r="AM68" s="9">
        <v>0.15083733567848126</v>
      </c>
      <c r="AN68" s="9">
        <v>11.406319324006752</v>
      </c>
      <c r="AO68" s="9">
        <v>9.7481142137813173</v>
      </c>
      <c r="AP68" s="9">
        <v>2.1710520515322731</v>
      </c>
      <c r="AQ68" s="9">
        <v>0.41631104647260825</v>
      </c>
      <c r="AR68" s="9">
        <v>0.23530624365843078</v>
      </c>
      <c r="AS68" s="6">
        <v>215.46237381533734</v>
      </c>
      <c r="AT68" s="6">
        <v>1392.2127703170181</v>
      </c>
      <c r="AU68" s="9">
        <v>98.877784999999989</v>
      </c>
      <c r="AV68" s="8">
        <f t="shared" si="66"/>
        <v>2.1636246215187502</v>
      </c>
      <c r="AW68" s="9">
        <f t="shared" si="67"/>
        <v>8.8683303138806284</v>
      </c>
      <c r="AX68" s="8" t="s">
        <v>64</v>
      </c>
      <c r="AY68" s="789" t="s">
        <v>64</v>
      </c>
      <c r="AZ68" s="862" t="s">
        <v>292</v>
      </c>
      <c r="BA68" s="48" t="s">
        <v>64</v>
      </c>
      <c r="BB68" s="6">
        <v>2172.5356837904123</v>
      </c>
      <c r="BC68" s="48">
        <v>176.07828789139541</v>
      </c>
      <c r="BD68" s="849">
        <v>2199.5956837904123</v>
      </c>
      <c r="BE68" s="48">
        <v>176.09907978966024</v>
      </c>
      <c r="BF68" s="668">
        <v>3823.4027089784959</v>
      </c>
      <c r="BG68" s="48">
        <v>226.7793152718441</v>
      </c>
      <c r="BH68" s="48">
        <v>234.69869856887408</v>
      </c>
      <c r="BI68" s="850">
        <f t="shared" si="68"/>
        <v>13.59272827209997</v>
      </c>
      <c r="BJ68" s="789">
        <f t="shared" si="69"/>
        <v>0.82631464777032537</v>
      </c>
      <c r="BK68" s="67" t="s">
        <v>64</v>
      </c>
      <c r="BL68" s="48" t="s">
        <v>64</v>
      </c>
      <c r="BM68" s="48" t="s">
        <v>64</v>
      </c>
      <c r="BN68" s="850" t="str">
        <f t="shared" si="70"/>
        <v>-</v>
      </c>
      <c r="BO68" s="789" t="str">
        <f t="shared" si="71"/>
        <v>-</v>
      </c>
      <c r="BP68" s="789" t="str">
        <f t="shared" si="72"/>
        <v>-</v>
      </c>
      <c r="BQ68" s="34" t="s">
        <v>64</v>
      </c>
      <c r="BR68" s="25">
        <v>2.6697622576811968</v>
      </c>
      <c r="BS68" s="26">
        <v>2.9074678918233761</v>
      </c>
      <c r="BT68" s="605"/>
      <c r="BU68" s="599">
        <v>0.13840221069762579</v>
      </c>
      <c r="BV68" s="851">
        <v>2.4356692073761944E-2</v>
      </c>
      <c r="BW68" s="851">
        <v>5.6664387731891148E-2</v>
      </c>
      <c r="BX68" s="851">
        <v>0.11712360585394271</v>
      </c>
      <c r="BY68" s="851">
        <v>5.8221250686529948E-3</v>
      </c>
      <c r="BZ68" s="851">
        <v>2.9764105896836181E-2</v>
      </c>
      <c r="CA68" s="851">
        <v>2.0259993176212403E-2</v>
      </c>
      <c r="CB68" s="851">
        <v>2.9534340793429589E-2</v>
      </c>
      <c r="CC68" s="851">
        <v>1.0507149608608218E-2</v>
      </c>
      <c r="CD68" s="851">
        <v>6.3585629692599456E-3</v>
      </c>
      <c r="CE68" s="852">
        <v>22.585196948071292</v>
      </c>
      <c r="CF68" s="852">
        <v>21.468060139565452</v>
      </c>
      <c r="CG68" s="605"/>
      <c r="CH68" s="584">
        <v>51.984099999999998</v>
      </c>
      <c r="CI68" s="576">
        <v>2.1225900000000002</v>
      </c>
      <c r="CJ68" s="576">
        <v>12.690300000000001</v>
      </c>
      <c r="CK68" s="576">
        <v>10.665699999999999</v>
      </c>
      <c r="CL68" s="576">
        <v>0.15054000000000001</v>
      </c>
      <c r="CM68" s="576">
        <v>7.3448700000000002</v>
      </c>
      <c r="CN68" s="576">
        <v>10.6561</v>
      </c>
      <c r="CO68" s="576">
        <v>2.3788399999999998</v>
      </c>
      <c r="CP68" s="576">
        <v>0.454849</v>
      </c>
      <c r="CQ68" s="576">
        <v>0.25463999999999998</v>
      </c>
      <c r="CR68" s="857">
        <v>2.3487999999999998E-2</v>
      </c>
      <c r="CS68" s="793">
        <v>1517.6799999999998</v>
      </c>
      <c r="CT68" s="576">
        <f t="shared" si="73"/>
        <v>98.877784999999989</v>
      </c>
      <c r="CU68" s="576" t="s">
        <v>292</v>
      </c>
      <c r="CV68" s="591" t="s">
        <v>292</v>
      </c>
      <c r="CW68" s="605"/>
      <c r="CX68" s="936">
        <v>4152.2965475581759</v>
      </c>
      <c r="CY68" s="934">
        <v>276.55012332731985</v>
      </c>
      <c r="CZ68" s="934">
        <v>283.26160554695889</v>
      </c>
      <c r="DA68" s="938">
        <f t="shared" si="74"/>
        <v>14.823088477004678</v>
      </c>
      <c r="DB68" s="936">
        <v>2951.5071611905519</v>
      </c>
      <c r="DC68" s="934">
        <v>204.43378981266733</v>
      </c>
      <c r="DD68" s="934">
        <v>206.58225202719404</v>
      </c>
      <c r="DE68" s="939">
        <f t="shared" si="75"/>
        <v>10.589253876526756</v>
      </c>
      <c r="DF68" s="9"/>
    </row>
    <row r="69" spans="1:110">
      <c r="A69" s="846" t="s">
        <v>246</v>
      </c>
      <c r="B69" s="41" t="s">
        <v>678</v>
      </c>
      <c r="C69" s="41" t="s">
        <v>1486</v>
      </c>
      <c r="D69" s="34" t="s">
        <v>736</v>
      </c>
      <c r="E69" s="535">
        <v>19.389810000000001</v>
      </c>
      <c r="F69" s="537">
        <v>-155.29229000000001</v>
      </c>
      <c r="G69" s="37" t="s">
        <v>405</v>
      </c>
      <c r="H69" s="37" t="s">
        <v>64</v>
      </c>
      <c r="I69" s="202" t="s">
        <v>780</v>
      </c>
      <c r="J69" t="s">
        <v>881</v>
      </c>
      <c r="K69" s="34">
        <v>2021</v>
      </c>
      <c r="L69" s="51">
        <v>64</v>
      </c>
      <c r="M69" s="52">
        <v>56</v>
      </c>
      <c r="N69" s="838">
        <f>(4*3.1415/3)*(L69/2)*(M69/2)*(AVERAGE(L69,M69)/2)</f>
        <v>112591.36000000002</v>
      </c>
      <c r="O69" s="54">
        <v>109219.37675721198</v>
      </c>
      <c r="P69" s="53">
        <v>17.92561898622866</v>
      </c>
      <c r="Q69" s="54">
        <v>3015.9289474462016</v>
      </c>
      <c r="R69" s="772">
        <f t="shared" si="60"/>
        <v>2.6871481558418647E-2</v>
      </c>
      <c r="S69" s="624" t="s">
        <v>233</v>
      </c>
      <c r="T69" s="37" t="s">
        <v>132</v>
      </c>
      <c r="U69" s="21">
        <v>89.034474837007977</v>
      </c>
      <c r="V69" s="552" t="s">
        <v>423</v>
      </c>
      <c r="W69" s="552" t="s">
        <v>423</v>
      </c>
      <c r="X69" s="556" t="s">
        <v>292</v>
      </c>
      <c r="Y69" s="784" t="s">
        <v>64</v>
      </c>
      <c r="Z69" s="784" t="s">
        <v>292</v>
      </c>
      <c r="AA69" s="785" t="s">
        <v>64</v>
      </c>
      <c r="AB69" s="32">
        <f t="shared" si="61"/>
        <v>1227.6277992814205</v>
      </c>
      <c r="AC69" s="6">
        <f t="shared" si="62"/>
        <v>1165.282248</v>
      </c>
      <c r="AD69" s="6">
        <f t="shared" si="63"/>
        <v>62.345551281420512</v>
      </c>
      <c r="AE69" s="6">
        <f t="shared" si="64"/>
        <v>1279.4207260628791</v>
      </c>
      <c r="AF69" s="839">
        <v>0.92500000000000004</v>
      </c>
      <c r="AG69" s="553">
        <f t="shared" si="65"/>
        <v>8.1081081081080919E-2</v>
      </c>
      <c r="AH69" s="32">
        <f t="shared" si="78"/>
        <v>67.104683127193127</v>
      </c>
      <c r="AI69" s="9">
        <v>51.56158620027562</v>
      </c>
      <c r="AJ69" s="9">
        <v>2.1668756852043516</v>
      </c>
      <c r="AK69" s="9">
        <v>13.241571182578241</v>
      </c>
      <c r="AL69" s="9">
        <v>9.2889083897530416</v>
      </c>
      <c r="AM69" s="9">
        <v>0.15887069988969263</v>
      </c>
      <c r="AN69" s="9">
        <v>10.628248720468678</v>
      </c>
      <c r="AO69" s="9">
        <v>10.275314444131448</v>
      </c>
      <c r="AP69" s="9">
        <v>1.9496853613045189</v>
      </c>
      <c r="AQ69" s="9">
        <v>0.32477997509095391</v>
      </c>
      <c r="AR69" s="9">
        <v>0.26042728652804048</v>
      </c>
      <c r="AS69" s="6">
        <v>140.44670292369301</v>
      </c>
      <c r="AT69" s="6">
        <v>1296.8738448304521</v>
      </c>
      <c r="AU69" s="9">
        <v>100.190635</v>
      </c>
      <c r="AV69" s="8">
        <f t="shared" si="66"/>
        <v>1.8583118077445668</v>
      </c>
      <c r="AW69" s="9">
        <f t="shared" si="67"/>
        <v>7.6169048795974952</v>
      </c>
      <c r="AX69" s="8">
        <v>0.40050656520957989</v>
      </c>
      <c r="AY69" s="789">
        <v>2.0025328260478995E-2</v>
      </c>
      <c r="AZ69" s="862" t="s">
        <v>292</v>
      </c>
      <c r="BA69" s="48" t="s">
        <v>64</v>
      </c>
      <c r="BB69" s="6" t="s">
        <v>292</v>
      </c>
      <c r="BC69" s="48" t="s">
        <v>292</v>
      </c>
      <c r="BD69" s="849" t="s">
        <v>64</v>
      </c>
      <c r="BE69" s="48" t="s">
        <v>64</v>
      </c>
      <c r="BF69" s="668" t="s">
        <v>64</v>
      </c>
      <c r="BG69" s="48" t="s">
        <v>64</v>
      </c>
      <c r="BH69" s="48" t="s">
        <v>64</v>
      </c>
      <c r="BI69" s="850" t="str">
        <f t="shared" si="68"/>
        <v>-</v>
      </c>
      <c r="BJ69" s="789" t="str">
        <f t="shared" si="69"/>
        <v>-</v>
      </c>
      <c r="BK69" s="67" t="s">
        <v>64</v>
      </c>
      <c r="BL69" s="48" t="s">
        <v>64</v>
      </c>
      <c r="BM69" s="48" t="s">
        <v>64</v>
      </c>
      <c r="BN69" s="850" t="str">
        <f t="shared" si="70"/>
        <v>-</v>
      </c>
      <c r="BO69" s="789" t="str">
        <f t="shared" si="71"/>
        <v>-</v>
      </c>
      <c r="BP69" s="789" t="str">
        <f t="shared" si="72"/>
        <v>-</v>
      </c>
      <c r="BQ69" s="34" t="s">
        <v>64</v>
      </c>
      <c r="BR69" s="25">
        <v>2.6633440000451389</v>
      </c>
      <c r="BS69" s="26">
        <v>2.8930836156835049</v>
      </c>
      <c r="BT69" s="605"/>
      <c r="BU69" s="599">
        <v>0.13871613535460151</v>
      </c>
      <c r="BV69" s="851">
        <v>2.543630360590832E-2</v>
      </c>
      <c r="BW69" s="851">
        <v>6.0558074736420539E-2</v>
      </c>
      <c r="BX69" s="851">
        <v>0.10836626305653693</v>
      </c>
      <c r="BY69" s="851">
        <v>5.613410213342487E-3</v>
      </c>
      <c r="BZ69" s="851">
        <v>2.6711871226666725E-2</v>
      </c>
      <c r="CA69" s="851">
        <v>2.0367831044301798E-2</v>
      </c>
      <c r="CB69" s="851">
        <v>2.8643217579996948E-2</v>
      </c>
      <c r="CC69" s="851">
        <v>9.7669133229252025E-3</v>
      </c>
      <c r="CD69" s="851">
        <v>6.240957622543921E-3</v>
      </c>
      <c r="CE69" s="852">
        <v>20.842150267173121</v>
      </c>
      <c r="CF69" s="852">
        <v>19.660477800245168</v>
      </c>
      <c r="CG69" s="605"/>
      <c r="CH69" s="584">
        <v>52.5396</v>
      </c>
      <c r="CI69" s="576">
        <v>2.33223</v>
      </c>
      <c r="CJ69" s="576">
        <v>14.3438</v>
      </c>
      <c r="CK69" s="576">
        <v>9.2881800000000005</v>
      </c>
      <c r="CL69" s="576">
        <v>0.15943099999999999</v>
      </c>
      <c r="CM69" s="576">
        <v>7.5264800000000003</v>
      </c>
      <c r="CN69" s="576">
        <v>11.100300000000001</v>
      </c>
      <c r="CO69" s="576">
        <v>2.11191</v>
      </c>
      <c r="CP69" s="576">
        <v>0.34774899999999997</v>
      </c>
      <c r="CQ69" s="576">
        <v>0.28612599999999999</v>
      </c>
      <c r="CR69" s="857">
        <v>1.5129E-2</v>
      </c>
      <c r="CS69" s="793">
        <v>1397</v>
      </c>
      <c r="CT69" s="576">
        <f t="shared" si="73"/>
        <v>100.190635</v>
      </c>
      <c r="CU69" s="576">
        <v>0.40050656520957989</v>
      </c>
      <c r="CV69" s="591" t="s">
        <v>292</v>
      </c>
      <c r="CW69" s="605"/>
      <c r="CX69" s="936" t="s">
        <v>64</v>
      </c>
      <c r="CY69" s="934" t="s">
        <v>64</v>
      </c>
      <c r="CZ69" s="934" t="s">
        <v>64</v>
      </c>
      <c r="DA69" s="938" t="str">
        <f t="shared" si="74"/>
        <v>-</v>
      </c>
      <c r="DB69" s="936" t="s">
        <v>64</v>
      </c>
      <c r="DC69" s="934" t="s">
        <v>64</v>
      </c>
      <c r="DD69" s="934" t="s">
        <v>64</v>
      </c>
      <c r="DE69" s="939" t="str">
        <f t="shared" si="75"/>
        <v>-</v>
      </c>
      <c r="DF69" s="9"/>
    </row>
    <row r="70" spans="1:110">
      <c r="A70" s="846" t="s">
        <v>247</v>
      </c>
      <c r="B70" s="41" t="s">
        <v>678</v>
      </c>
      <c r="C70" s="41" t="s">
        <v>1486</v>
      </c>
      <c r="D70" s="34" t="s">
        <v>736</v>
      </c>
      <c r="E70" s="535">
        <v>19.389810000000001</v>
      </c>
      <c r="F70" s="537">
        <v>-155.29229000000001</v>
      </c>
      <c r="G70" s="37" t="s">
        <v>405</v>
      </c>
      <c r="H70" s="37" t="s">
        <v>64</v>
      </c>
      <c r="I70" s="202" t="s">
        <v>780</v>
      </c>
      <c r="J70" t="s">
        <v>881</v>
      </c>
      <c r="K70" s="34">
        <v>2021</v>
      </c>
      <c r="L70" s="51">
        <v>108</v>
      </c>
      <c r="M70" s="52">
        <v>90</v>
      </c>
      <c r="N70" s="838">
        <f>(4*3.1415/3)*(L70/2)*(M70/2)*(AVERAGE(L70,M70)/2)</f>
        <v>503833.77</v>
      </c>
      <c r="O70" s="54">
        <v>486066.34510392597</v>
      </c>
      <c r="P70" s="53">
        <v>32</v>
      </c>
      <c r="Q70" s="54">
        <v>17157.284678805056</v>
      </c>
      <c r="R70" s="772">
        <f t="shared" si="60"/>
        <v>3.4094751643941656E-2</v>
      </c>
      <c r="S70" s="624" t="s">
        <v>234</v>
      </c>
      <c r="T70" s="37" t="s">
        <v>132</v>
      </c>
      <c r="U70" s="21">
        <v>88.469006643741707</v>
      </c>
      <c r="V70" s="552" t="s">
        <v>423</v>
      </c>
      <c r="W70" s="552" t="s">
        <v>423</v>
      </c>
      <c r="X70" s="556">
        <v>102.67727754245557</v>
      </c>
      <c r="Y70" s="784">
        <v>3.3321632226375191E-3</v>
      </c>
      <c r="Z70" s="784">
        <v>3.0433527571723573E-2</v>
      </c>
      <c r="AA70" s="785">
        <v>1.1829179440354665E-3</v>
      </c>
      <c r="AB70" s="32">
        <f t="shared" si="61"/>
        <v>1228.4874324747557</v>
      </c>
      <c r="AC70" s="6">
        <f t="shared" si="62"/>
        <v>1172.0264010000001</v>
      </c>
      <c r="AD70" s="6">
        <f t="shared" si="63"/>
        <v>56.4610314747556</v>
      </c>
      <c r="AE70" s="6">
        <f t="shared" si="64"/>
        <v>1266.9199853634927</v>
      </c>
      <c r="AF70" s="839">
        <v>0.93</v>
      </c>
      <c r="AG70" s="553">
        <f t="shared" si="65"/>
        <v>7.5268817204301008E-2</v>
      </c>
      <c r="AH70" s="32">
        <f t="shared" si="78"/>
        <v>65.786200812082456</v>
      </c>
      <c r="AI70" s="9">
        <v>51.316233564935665</v>
      </c>
      <c r="AJ70" s="9">
        <v>2.1686032295660613</v>
      </c>
      <c r="AK70" s="9">
        <v>12.865771757597164</v>
      </c>
      <c r="AL70" s="9">
        <v>9.8945036963086004</v>
      </c>
      <c r="AM70" s="9">
        <v>0.15992945895222807</v>
      </c>
      <c r="AN70" s="9">
        <v>10.671016541032625</v>
      </c>
      <c r="AO70" s="9">
        <v>10.088631907489605</v>
      </c>
      <c r="AP70" s="9">
        <v>2.091153114224416</v>
      </c>
      <c r="AQ70" s="9">
        <v>0.40133241586125157</v>
      </c>
      <c r="AR70" s="9">
        <v>0.21525096991054593</v>
      </c>
      <c r="AS70" s="6">
        <v>154.04739009722451</v>
      </c>
      <c r="AT70" s="6">
        <v>1121.6860511210273</v>
      </c>
      <c r="AU70" s="9">
        <v>100.546701</v>
      </c>
      <c r="AV70" s="8">
        <f t="shared" si="66"/>
        <v>1.9794654311486195</v>
      </c>
      <c r="AW70" s="9">
        <f t="shared" si="67"/>
        <v>8.1134930309730535</v>
      </c>
      <c r="AX70" s="8">
        <v>0.49914563226389774</v>
      </c>
      <c r="AY70" s="789">
        <v>2.4957281613194889E-2</v>
      </c>
      <c r="AZ70" s="862" t="s">
        <v>292</v>
      </c>
      <c r="BA70" s="48" t="s">
        <v>64</v>
      </c>
      <c r="BB70" s="6">
        <v>343.85160832977965</v>
      </c>
      <c r="BC70" s="48">
        <v>20.338190782057136</v>
      </c>
      <c r="BD70" s="849">
        <v>371.75160832977963</v>
      </c>
      <c r="BE70" s="48">
        <v>20.528665428793804</v>
      </c>
      <c r="BF70" s="668">
        <v>886.22397846965714</v>
      </c>
      <c r="BG70" s="48">
        <v>44.046266889045796</v>
      </c>
      <c r="BH70" s="48">
        <v>44.358313433638727</v>
      </c>
      <c r="BI70" s="850">
        <f t="shared" si="68"/>
        <v>3.6157051288278428</v>
      </c>
      <c r="BJ70" s="789">
        <f t="shared" si="69"/>
        <v>0.16489395659791706</v>
      </c>
      <c r="BK70" s="67" t="s">
        <v>64</v>
      </c>
      <c r="BL70" s="48" t="s">
        <v>64</v>
      </c>
      <c r="BM70" s="48" t="s">
        <v>64</v>
      </c>
      <c r="BN70" s="850" t="str">
        <f t="shared" si="70"/>
        <v>-</v>
      </c>
      <c r="BO70" s="789" t="str">
        <f t="shared" si="71"/>
        <v>-</v>
      </c>
      <c r="BP70" s="789" t="str">
        <f t="shared" si="72"/>
        <v>-</v>
      </c>
      <c r="BQ70" s="34" t="s">
        <v>64</v>
      </c>
      <c r="BR70" s="25">
        <v>2.663120279092134</v>
      </c>
      <c r="BS70" s="26">
        <v>2.9044010554638828</v>
      </c>
      <c r="BT70" s="605"/>
      <c r="BU70" s="599">
        <v>0.1384080925220019</v>
      </c>
      <c r="BV70" s="851">
        <v>2.5153628859736744E-2</v>
      </c>
      <c r="BW70" s="851">
        <v>5.993905746429367E-2</v>
      </c>
      <c r="BX70" s="851">
        <v>0.11158526543512025</v>
      </c>
      <c r="BY70" s="851">
        <v>5.7535902293735655E-3</v>
      </c>
      <c r="BZ70" s="851">
        <v>2.6275030608653809E-2</v>
      </c>
      <c r="CA70" s="851">
        <v>2.0196734874560668E-2</v>
      </c>
      <c r="CB70" s="851">
        <v>2.9667607462124636E-2</v>
      </c>
      <c r="CC70" s="851">
        <v>1.0781594685904592E-2</v>
      </c>
      <c r="CD70" s="851">
        <v>6.2173305399931995E-3</v>
      </c>
      <c r="CE70" s="852">
        <v>21.169038299770492</v>
      </c>
      <c r="CF70" s="852">
        <v>18.98633111290518</v>
      </c>
      <c r="CG70" s="605"/>
      <c r="CH70" s="584">
        <v>52.414200000000001</v>
      </c>
      <c r="CI70" s="576">
        <v>2.3317199999999998</v>
      </c>
      <c r="CJ70" s="576">
        <v>13.917</v>
      </c>
      <c r="CK70" s="576">
        <v>9.9207300000000007</v>
      </c>
      <c r="CL70" s="576">
        <v>0.15801100000000001</v>
      </c>
      <c r="CM70" s="576">
        <v>7.8620099999999997</v>
      </c>
      <c r="CN70" s="576">
        <v>10.8813</v>
      </c>
      <c r="CO70" s="576">
        <v>2.2619899999999999</v>
      </c>
      <c r="CP70" s="576">
        <v>0.42959199999999997</v>
      </c>
      <c r="CQ70" s="576">
        <v>0.23302400000000001</v>
      </c>
      <c r="CR70" s="857">
        <v>1.6558E-2</v>
      </c>
      <c r="CS70" s="793">
        <v>1205.6600000000001</v>
      </c>
      <c r="CT70" s="576">
        <f t="shared" si="73"/>
        <v>100.546701</v>
      </c>
      <c r="CU70" s="576">
        <v>0.49914563226389774</v>
      </c>
      <c r="CV70" s="591" t="s">
        <v>292</v>
      </c>
      <c r="CW70" s="605"/>
      <c r="CX70" s="936">
        <v>815.91634914076008</v>
      </c>
      <c r="CY70" s="934">
        <v>42.670155034208165</v>
      </c>
      <c r="CZ70" s="934">
        <v>42.801765531852084</v>
      </c>
      <c r="DA70" s="938">
        <f t="shared" si="74"/>
        <v>3.3509066854462821</v>
      </c>
      <c r="DB70" s="936">
        <v>689.86493432873624</v>
      </c>
      <c r="DC70" s="934">
        <v>33.009498985342702</v>
      </c>
      <c r="DD70" s="934">
        <v>33.248247910307555</v>
      </c>
      <c r="DE70" s="939">
        <f t="shared" si="75"/>
        <v>2.8678155345839444</v>
      </c>
      <c r="DF70" s="9"/>
    </row>
    <row r="71" spans="1:110">
      <c r="A71" s="846" t="s">
        <v>248</v>
      </c>
      <c r="B71" s="41" t="s">
        <v>678</v>
      </c>
      <c r="C71" s="41" t="s">
        <v>1486</v>
      </c>
      <c r="D71" s="34" t="s">
        <v>736</v>
      </c>
      <c r="E71" s="535">
        <v>19.389810000000001</v>
      </c>
      <c r="F71" s="537">
        <v>-155.29229000000001</v>
      </c>
      <c r="G71" s="37" t="s">
        <v>997</v>
      </c>
      <c r="H71" s="860" t="s">
        <v>760</v>
      </c>
      <c r="I71" s="202" t="s">
        <v>780</v>
      </c>
      <c r="J71" t="s">
        <v>881</v>
      </c>
      <c r="K71" s="34">
        <v>2021</v>
      </c>
      <c r="L71" s="51">
        <v>60</v>
      </c>
      <c r="M71" s="52">
        <v>36</v>
      </c>
      <c r="N71" s="838">
        <f t="shared" si="59"/>
        <v>54285.120000000003</v>
      </c>
      <c r="O71" s="54">
        <v>50097.930849245233</v>
      </c>
      <c r="P71" s="53">
        <v>20</v>
      </c>
      <c r="Q71" s="54">
        <v>4188.7902047863909</v>
      </c>
      <c r="R71" s="772">
        <f t="shared" si="60"/>
        <v>7.7160493827160503E-2</v>
      </c>
      <c r="S71" s="624" t="s">
        <v>235</v>
      </c>
      <c r="T71" s="37" t="s">
        <v>132</v>
      </c>
      <c r="U71" s="21">
        <v>88.892319232465653</v>
      </c>
      <c r="V71" s="552" t="s">
        <v>423</v>
      </c>
      <c r="W71" s="552" t="s">
        <v>423</v>
      </c>
      <c r="X71" s="556">
        <v>102.8338892139197</v>
      </c>
      <c r="Y71" s="784">
        <v>5.7714760007862645E-3</v>
      </c>
      <c r="Z71" s="784">
        <v>8.6030670941489973E-2</v>
      </c>
      <c r="AA71" s="785">
        <v>2.0488739802789597E-3</v>
      </c>
      <c r="AB71" s="32">
        <f t="shared" si="61"/>
        <v>1248.1832545150389</v>
      </c>
      <c r="AC71" s="6">
        <f t="shared" si="62"/>
        <v>1168.3024740000001</v>
      </c>
      <c r="AD71" s="6">
        <f t="shared" si="63"/>
        <v>79.88078051503885</v>
      </c>
      <c r="AE71" s="6">
        <f t="shared" si="64"/>
        <v>1276.2086168314927</v>
      </c>
      <c r="AF71" s="839">
        <v>0.90100000000000002</v>
      </c>
      <c r="AG71" s="553">
        <f t="shared" si="65"/>
        <v>0.10987791342952269</v>
      </c>
      <c r="AH71" s="32">
        <f t="shared" si="78"/>
        <v>66.836294752483965</v>
      </c>
      <c r="AI71" s="9">
        <v>50.51675374384358</v>
      </c>
      <c r="AJ71" s="9">
        <v>2.0686367909909085</v>
      </c>
      <c r="AK71" s="9">
        <v>12.867162080405548</v>
      </c>
      <c r="AL71" s="9">
        <v>10.306997888639833</v>
      </c>
      <c r="AM71" s="9">
        <v>0.16786314095990365</v>
      </c>
      <c r="AN71" s="9">
        <v>11.650908184827804</v>
      </c>
      <c r="AO71" s="9">
        <v>9.6978657723422188</v>
      </c>
      <c r="AP71" s="9">
        <v>1.9530424124855856</v>
      </c>
      <c r="AQ71" s="9">
        <v>0.38900021288313003</v>
      </c>
      <c r="AR71" s="9">
        <v>0.19902336473090371</v>
      </c>
      <c r="AS71" s="6">
        <v>131.41702565138078</v>
      </c>
      <c r="AT71" s="6">
        <v>1532.2911477650632</v>
      </c>
      <c r="AU71" s="9">
        <v>100.46388699999999</v>
      </c>
      <c r="AV71" s="8">
        <f t="shared" si="66"/>
        <v>2.0619878111820786</v>
      </c>
      <c r="AW71" s="9">
        <f t="shared" si="67"/>
        <v>8.4517382686846627</v>
      </c>
      <c r="AX71" s="8">
        <v>0.45418396984487991</v>
      </c>
      <c r="AY71" s="789">
        <v>2.2709198492243995E-2</v>
      </c>
      <c r="AZ71" s="6">
        <v>162.91388365774509</v>
      </c>
      <c r="BA71" s="48">
        <v>16.291388365774509</v>
      </c>
      <c r="BB71" s="6">
        <v>2218.4542459972745</v>
      </c>
      <c r="BC71" s="48">
        <v>178.3848711856327</v>
      </c>
      <c r="BD71" s="6" t="s">
        <v>998</v>
      </c>
      <c r="BE71" s="48" t="s">
        <v>998</v>
      </c>
      <c r="BF71" s="32" t="s">
        <v>1008</v>
      </c>
      <c r="BG71" s="48" t="s">
        <v>64</v>
      </c>
      <c r="BH71" s="48" t="s">
        <v>64</v>
      </c>
      <c r="BI71" s="850" t="str">
        <f t="shared" si="68"/>
        <v>-</v>
      </c>
      <c r="BJ71" s="789" t="str">
        <f t="shared" si="69"/>
        <v>-</v>
      </c>
      <c r="BK71" s="57" t="s">
        <v>1009</v>
      </c>
      <c r="BL71" s="48" t="s">
        <v>64</v>
      </c>
      <c r="BM71" s="48" t="s">
        <v>64</v>
      </c>
      <c r="BN71" s="850" t="str">
        <f t="shared" si="70"/>
        <v>-</v>
      </c>
      <c r="BO71" s="789" t="str">
        <f t="shared" si="71"/>
        <v>-</v>
      </c>
      <c r="BP71" s="789" t="str">
        <f t="shared" si="72"/>
        <v>-</v>
      </c>
      <c r="BQ71" s="861" t="s">
        <v>760</v>
      </c>
      <c r="BR71" s="25">
        <v>2.6765904675293379</v>
      </c>
      <c r="BS71" s="26">
        <v>2.9142432606111588</v>
      </c>
      <c r="BT71" s="605"/>
      <c r="BU71" s="599">
        <v>0.13715096574438557</v>
      </c>
      <c r="BV71" s="851">
        <v>2.4941140061619186E-2</v>
      </c>
      <c r="BW71" s="851">
        <v>5.9034539624900656E-2</v>
      </c>
      <c r="BX71" s="851">
        <v>0.11375112079839579</v>
      </c>
      <c r="BY71" s="851">
        <v>5.8618144549480271E-3</v>
      </c>
      <c r="BZ71" s="851">
        <v>2.9988505595091981E-2</v>
      </c>
      <c r="CA71" s="851">
        <v>2.0128793218415784E-2</v>
      </c>
      <c r="CB71" s="851">
        <v>2.833727827547711E-2</v>
      </c>
      <c r="CC71" s="851">
        <v>1.0050170600027259E-2</v>
      </c>
      <c r="CD71" s="851">
        <v>6.2039165207187844E-3</v>
      </c>
      <c r="CE71" s="852">
        <v>21.605747519240907</v>
      </c>
      <c r="CF71" s="852">
        <v>21.133972426434859</v>
      </c>
      <c r="CG71" s="605"/>
      <c r="CH71" s="584">
        <v>51.853999999999999</v>
      </c>
      <c r="CI71" s="576">
        <v>2.2841900000000002</v>
      </c>
      <c r="CJ71" s="576">
        <v>14.3521</v>
      </c>
      <c r="CK71" s="576">
        <v>10.3344</v>
      </c>
      <c r="CL71" s="576">
        <v>0.16649600000000001</v>
      </c>
      <c r="CM71" s="576">
        <v>7.6767399999999997</v>
      </c>
      <c r="CN71" s="576">
        <v>10.781499999999999</v>
      </c>
      <c r="CO71" s="576">
        <v>2.1755599999999999</v>
      </c>
      <c r="CP71" s="576">
        <v>0.43095099999999997</v>
      </c>
      <c r="CQ71" s="576">
        <v>0.22339600000000001</v>
      </c>
      <c r="CR71" s="857">
        <v>1.4578000000000001E-2</v>
      </c>
      <c r="CS71" s="793">
        <v>1699.76</v>
      </c>
      <c r="CT71" s="576">
        <f t="shared" si="73"/>
        <v>100.46388699999999</v>
      </c>
      <c r="CU71" s="576">
        <v>0.45418396984487991</v>
      </c>
      <c r="CV71" s="591">
        <v>180.81452126275815</v>
      </c>
      <c r="CW71" s="605"/>
      <c r="CX71" s="936" t="s">
        <v>998</v>
      </c>
      <c r="CY71" s="934" t="s">
        <v>64</v>
      </c>
      <c r="CZ71" s="934" t="s">
        <v>64</v>
      </c>
      <c r="DA71" s="938" t="str">
        <f t="shared" si="74"/>
        <v>-</v>
      </c>
      <c r="DB71" s="936" t="s">
        <v>998</v>
      </c>
      <c r="DC71" s="934" t="s">
        <v>64</v>
      </c>
      <c r="DD71" s="934" t="s">
        <v>64</v>
      </c>
      <c r="DE71" s="939" t="str">
        <f t="shared" si="75"/>
        <v>-</v>
      </c>
      <c r="DF71" s="9"/>
    </row>
    <row r="72" spans="1:110">
      <c r="A72" s="846" t="s">
        <v>249</v>
      </c>
      <c r="B72" s="41" t="s">
        <v>678</v>
      </c>
      <c r="C72" s="41" t="s">
        <v>1486</v>
      </c>
      <c r="D72" s="34" t="s">
        <v>736</v>
      </c>
      <c r="E72" s="535">
        <v>19.389810000000001</v>
      </c>
      <c r="F72" s="537">
        <v>-155.29229000000001</v>
      </c>
      <c r="G72" s="37" t="s">
        <v>405</v>
      </c>
      <c r="H72" s="37" t="s">
        <v>64</v>
      </c>
      <c r="I72" s="202" t="s">
        <v>780</v>
      </c>
      <c r="J72" t="s">
        <v>881</v>
      </c>
      <c r="K72" s="34">
        <v>2021</v>
      </c>
      <c r="L72" s="51">
        <v>120</v>
      </c>
      <c r="M72" s="52">
        <v>107.5</v>
      </c>
      <c r="N72" s="838">
        <f t="shared" si="59"/>
        <v>768293.09375</v>
      </c>
      <c r="O72" s="54">
        <v>749555.33912496851</v>
      </c>
      <c r="P72" s="53">
        <v>32.5</v>
      </c>
      <c r="Q72" s="54">
        <v>17974.164218585353</v>
      </c>
      <c r="R72" s="772">
        <f t="shared" si="60"/>
        <v>2.3418206258241956E-2</v>
      </c>
      <c r="S72" s="624" t="s">
        <v>236</v>
      </c>
      <c r="T72" s="37" t="s">
        <v>132</v>
      </c>
      <c r="U72" s="21">
        <v>88.949695033339694</v>
      </c>
      <c r="V72" s="552" t="s">
        <v>423</v>
      </c>
      <c r="W72" s="552" t="s">
        <v>423</v>
      </c>
      <c r="X72" s="556" t="s">
        <v>292</v>
      </c>
      <c r="Y72" s="784" t="s">
        <v>64</v>
      </c>
      <c r="Z72" s="784" t="s">
        <v>292</v>
      </c>
      <c r="AA72" s="785" t="s">
        <v>64</v>
      </c>
      <c r="AB72" s="32">
        <f t="shared" si="61"/>
        <v>1261.2514142165576</v>
      </c>
      <c r="AC72" s="6">
        <f t="shared" si="62"/>
        <v>1167.0287370000001</v>
      </c>
      <c r="AD72" s="6">
        <f t="shared" si="63"/>
        <v>94.222677216557486</v>
      </c>
      <c r="AE72" s="6">
        <f t="shared" si="64"/>
        <v>1277.4993939389169</v>
      </c>
      <c r="AF72" s="839">
        <v>0.88300000000000001</v>
      </c>
      <c r="AG72" s="553">
        <f t="shared" si="65"/>
        <v>0.13250283125707818</v>
      </c>
      <c r="AH72" s="32">
        <f t="shared" si="78"/>
        <v>67.019224492759022</v>
      </c>
      <c r="AI72" s="9">
        <v>50.058055233388252</v>
      </c>
      <c r="AJ72" s="9">
        <v>1.8342988276854808</v>
      </c>
      <c r="AK72" s="9">
        <v>12.779753016571869</v>
      </c>
      <c r="AL72" s="9">
        <v>10.792595953245931</v>
      </c>
      <c r="AM72" s="9">
        <v>0.16693728365997249</v>
      </c>
      <c r="AN72" s="9">
        <v>12.301065383908332</v>
      </c>
      <c r="AO72" s="9">
        <v>9.4762049634212069</v>
      </c>
      <c r="AP72" s="9">
        <v>1.9408973341189568</v>
      </c>
      <c r="AQ72" s="9">
        <v>0.33689150618126973</v>
      </c>
      <c r="AR72" s="9">
        <v>0.17699374653105512</v>
      </c>
      <c r="AS72" s="6">
        <v>127.02558636857866</v>
      </c>
      <c r="AT72" s="6">
        <v>1101.1768354687654</v>
      </c>
      <c r="AU72" s="9">
        <v>100.573831</v>
      </c>
      <c r="AV72" s="8">
        <f t="shared" si="66"/>
        <v>2.1591351378013064</v>
      </c>
      <c r="AW72" s="9">
        <f t="shared" si="67"/>
        <v>8.8499286816616642</v>
      </c>
      <c r="AX72" s="8">
        <v>0.59981365893896943</v>
      </c>
      <c r="AY72" s="789">
        <v>2.9990682946948472E-2</v>
      </c>
      <c r="AZ72" s="6">
        <v>134.10787944858194</v>
      </c>
      <c r="BA72" s="48">
        <v>13.410787944858194</v>
      </c>
      <c r="BB72" s="6" t="s">
        <v>292</v>
      </c>
      <c r="BC72" s="48" t="s">
        <v>292</v>
      </c>
      <c r="BD72" s="849">
        <v>134.10787944858194</v>
      </c>
      <c r="BE72" s="48">
        <v>13.410787944858194</v>
      </c>
      <c r="BF72" s="668">
        <v>318.17628102914119</v>
      </c>
      <c r="BG72" s="48">
        <v>27.49674188982101</v>
      </c>
      <c r="BH72" s="48">
        <v>27.618793325557817</v>
      </c>
      <c r="BI72" s="850">
        <f t="shared" si="68"/>
        <v>1.373752142700797</v>
      </c>
      <c r="BJ72" s="789">
        <f t="shared" si="69"/>
        <v>0.11472025696350607</v>
      </c>
      <c r="BK72" s="67" t="s">
        <v>64</v>
      </c>
      <c r="BL72" s="48" t="s">
        <v>64</v>
      </c>
      <c r="BM72" s="48" t="s">
        <v>64</v>
      </c>
      <c r="BN72" s="850" t="str">
        <f t="shared" si="70"/>
        <v>-</v>
      </c>
      <c r="BO72" s="789" t="str">
        <f t="shared" si="71"/>
        <v>-</v>
      </c>
      <c r="BP72" s="789" t="str">
        <f t="shared" si="72"/>
        <v>-</v>
      </c>
      <c r="BQ72" s="34" t="s">
        <v>64</v>
      </c>
      <c r="BR72" s="25">
        <v>2.6746225431811621</v>
      </c>
      <c r="BS72" s="26">
        <v>2.9169745263581741</v>
      </c>
      <c r="BT72" s="605"/>
      <c r="BU72" s="599">
        <v>0.13640169296380264</v>
      </c>
      <c r="BV72" s="851">
        <v>2.3245885613375331E-2</v>
      </c>
      <c r="BW72" s="851">
        <v>5.8273245602494576E-2</v>
      </c>
      <c r="BX72" s="851">
        <v>0.11628698361743893</v>
      </c>
      <c r="BY72" s="851">
        <v>5.6230319941606832E-3</v>
      </c>
      <c r="BZ72" s="851">
        <v>3.0876412177532949E-2</v>
      </c>
      <c r="CA72" s="851">
        <v>1.9095500621790076E-2</v>
      </c>
      <c r="CB72" s="851">
        <v>2.7983469583860297E-2</v>
      </c>
      <c r="CC72" s="851">
        <v>9.4269318151149074E-3</v>
      </c>
      <c r="CD72" s="851">
        <v>6.0408142684795635E-3</v>
      </c>
      <c r="CE72" s="852">
        <v>20.170900961812077</v>
      </c>
      <c r="CF72" s="852">
        <v>18.159947664449597</v>
      </c>
      <c r="CG72" s="605"/>
      <c r="CH72" s="584">
        <v>51.627400000000002</v>
      </c>
      <c r="CI72" s="576">
        <v>2.0741900000000002</v>
      </c>
      <c r="CJ72" s="576">
        <v>14.5646</v>
      </c>
      <c r="CK72" s="576">
        <v>10.8316</v>
      </c>
      <c r="CL72" s="576">
        <v>0.168792</v>
      </c>
      <c r="CM72" s="576">
        <v>7.6133699999999997</v>
      </c>
      <c r="CN72" s="576">
        <v>10.7577</v>
      </c>
      <c r="CO72" s="576">
        <v>2.2090999999999998</v>
      </c>
      <c r="CP72" s="576">
        <v>0.38741300000000001</v>
      </c>
      <c r="CQ72" s="576">
        <v>0.20055899999999999</v>
      </c>
      <c r="CR72" s="857">
        <v>1.4387E-2</v>
      </c>
      <c r="CS72" s="793">
        <v>1247.2</v>
      </c>
      <c r="CT72" s="576">
        <f t="shared" si="73"/>
        <v>100.573831</v>
      </c>
      <c r="CU72" s="576">
        <v>0.59981365893896943</v>
      </c>
      <c r="CV72" s="591">
        <v>151.87755316940198</v>
      </c>
      <c r="CW72" s="605"/>
      <c r="CX72" s="936">
        <v>323.64157791040492</v>
      </c>
      <c r="CY72" s="934">
        <v>28.898141548399508</v>
      </c>
      <c r="CZ72" s="934">
        <v>28.940552453499208</v>
      </c>
      <c r="DA72" s="938">
        <f t="shared" si="74"/>
        <v>1.3965408465489075</v>
      </c>
      <c r="DB72" s="936">
        <v>263.81215650836651</v>
      </c>
      <c r="DC72" s="934">
        <v>22.795932414893684</v>
      </c>
      <c r="DD72" s="934">
        <v>23.095755368661401</v>
      </c>
      <c r="DE72" s="939">
        <f t="shared" si="75"/>
        <v>1.1456420930830205</v>
      </c>
      <c r="DF72" s="9"/>
    </row>
    <row r="73" spans="1:110">
      <c r="A73" s="846" t="s">
        <v>250</v>
      </c>
      <c r="B73" s="41" t="s">
        <v>678</v>
      </c>
      <c r="C73" s="41" t="s">
        <v>1486</v>
      </c>
      <c r="D73" s="34" t="s">
        <v>736</v>
      </c>
      <c r="E73" s="535">
        <v>19.389810000000001</v>
      </c>
      <c r="F73" s="537">
        <v>-155.29229000000001</v>
      </c>
      <c r="G73" s="37" t="s">
        <v>405</v>
      </c>
      <c r="H73" s="37" t="s">
        <v>64</v>
      </c>
      <c r="I73" s="202" t="s">
        <v>780</v>
      </c>
      <c r="J73" t="s">
        <v>882</v>
      </c>
      <c r="K73" s="34">
        <v>2021</v>
      </c>
      <c r="L73" s="51">
        <v>46</v>
      </c>
      <c r="M73" s="52">
        <v>37.5</v>
      </c>
      <c r="N73" s="838">
        <f t="shared" si="59"/>
        <v>37707.817187500004</v>
      </c>
      <c r="O73" s="54">
        <v>30844.476032281924</v>
      </c>
      <c r="P73" s="53">
        <v>11.5</v>
      </c>
      <c r="Q73" s="54">
        <v>796.32828783806269</v>
      </c>
      <c r="R73" s="772">
        <f t="shared" si="60"/>
        <v>2.5167763745237274E-2</v>
      </c>
      <c r="S73" s="624" t="s">
        <v>236</v>
      </c>
      <c r="T73" s="37" t="s">
        <v>132</v>
      </c>
      <c r="U73" s="21">
        <v>88.949695033339694</v>
      </c>
      <c r="V73" s="552" t="s">
        <v>423</v>
      </c>
      <c r="W73" s="552" t="s">
        <v>423</v>
      </c>
      <c r="X73" s="556" t="s">
        <v>292</v>
      </c>
      <c r="Y73" s="784" t="s">
        <v>64</v>
      </c>
      <c r="Z73" s="784" t="s">
        <v>292</v>
      </c>
      <c r="AA73" s="785" t="s">
        <v>64</v>
      </c>
      <c r="AB73" s="32">
        <f t="shared" si="61"/>
        <v>1226.2354265694692</v>
      </c>
      <c r="AC73" s="6">
        <f t="shared" si="62"/>
        <v>1133.844441</v>
      </c>
      <c r="AD73" s="6">
        <f t="shared" si="63"/>
        <v>92.390985569469194</v>
      </c>
      <c r="AE73" s="6">
        <f t="shared" si="64"/>
        <v>1277.4993939389169</v>
      </c>
      <c r="AF73" s="839">
        <v>0.89200000000000002</v>
      </c>
      <c r="AG73" s="553">
        <f t="shared" si="65"/>
        <v>0.12107623318385641</v>
      </c>
      <c r="AH73" s="32">
        <f t="shared" si="78"/>
        <v>66.84042148177727</v>
      </c>
      <c r="AI73" s="9">
        <v>50.539498537380034</v>
      </c>
      <c r="AJ73" s="9">
        <v>2.7460779615929503</v>
      </c>
      <c r="AK73" s="9">
        <v>13.395551301479781</v>
      </c>
      <c r="AL73" s="9">
        <v>9.3392794241213188</v>
      </c>
      <c r="AM73" s="9">
        <v>0.1488171139933199</v>
      </c>
      <c r="AN73" s="9">
        <v>10.558976446242244</v>
      </c>
      <c r="AO73" s="9">
        <v>10.197994392704395</v>
      </c>
      <c r="AP73" s="9">
        <v>2.2201904574138536</v>
      </c>
      <c r="AQ73" s="9">
        <v>0.39416424787419868</v>
      </c>
      <c r="AR73" s="9">
        <v>0.33081642232298819</v>
      </c>
      <c r="AS73" s="6">
        <v>182.9055754237792</v>
      </c>
      <c r="AT73" s="6">
        <v>1103.4313733255233</v>
      </c>
      <c r="AU73" s="9">
        <v>101.23809399999999</v>
      </c>
      <c r="AV73" s="8">
        <f t="shared" si="66"/>
        <v>1.8683888893570992</v>
      </c>
      <c r="AW73" s="9">
        <f t="shared" si="67"/>
        <v>7.6582091277794824</v>
      </c>
      <c r="AX73" s="8" t="s">
        <v>64</v>
      </c>
      <c r="AY73" s="789" t="s">
        <v>64</v>
      </c>
      <c r="AZ73" s="6" t="s">
        <v>64</v>
      </c>
      <c r="BA73" s="48" t="s">
        <v>64</v>
      </c>
      <c r="BB73" s="6" t="s">
        <v>292</v>
      </c>
      <c r="BC73" s="48" t="s">
        <v>292</v>
      </c>
      <c r="BD73" s="849" t="s">
        <v>64</v>
      </c>
      <c r="BE73" s="48" t="s">
        <v>64</v>
      </c>
      <c r="BF73" s="668" t="s">
        <v>64</v>
      </c>
      <c r="BG73" s="48" t="s">
        <v>64</v>
      </c>
      <c r="BH73" s="48" t="s">
        <v>64</v>
      </c>
      <c r="BI73" s="850" t="str">
        <f t="shared" si="68"/>
        <v>-</v>
      </c>
      <c r="BJ73" s="789" t="str">
        <f t="shared" si="69"/>
        <v>-</v>
      </c>
      <c r="BK73" s="67" t="s">
        <v>64</v>
      </c>
      <c r="BL73" s="48" t="s">
        <v>64</v>
      </c>
      <c r="BM73" s="48" t="s">
        <v>64</v>
      </c>
      <c r="BN73" s="850" t="str">
        <f t="shared" si="70"/>
        <v>-</v>
      </c>
      <c r="BO73" s="789" t="str">
        <f t="shared" si="71"/>
        <v>-</v>
      </c>
      <c r="BP73" s="789" t="str">
        <f t="shared" si="72"/>
        <v>-</v>
      </c>
      <c r="BQ73" s="34" t="s">
        <v>64</v>
      </c>
      <c r="BR73" s="25">
        <v>2.658961327039373</v>
      </c>
      <c r="BS73" s="26">
        <v>2.8865912816144839</v>
      </c>
      <c r="BT73" s="605"/>
      <c r="BU73" s="599">
        <v>0.13629694123554797</v>
      </c>
      <c r="BV73" s="851">
        <v>2.7068227771319793E-2</v>
      </c>
      <c r="BW73" s="851">
        <v>5.9382344963946856E-2</v>
      </c>
      <c r="BX73" s="851">
        <v>0.10808348077535603</v>
      </c>
      <c r="BY73" s="851">
        <v>5.6084556933548467E-3</v>
      </c>
      <c r="BZ73" s="851">
        <v>3.0040076810030257E-2</v>
      </c>
      <c r="CA73" s="851">
        <v>1.9831427815828674E-2</v>
      </c>
      <c r="CB73" s="851">
        <v>2.9680838148982841E-2</v>
      </c>
      <c r="CC73" s="851">
        <v>1.0224462924157565E-2</v>
      </c>
      <c r="CD73" s="851">
        <v>6.2427043790881809E-3</v>
      </c>
      <c r="CE73" s="852">
        <v>20.385923814432733</v>
      </c>
      <c r="CF73" s="852">
        <v>18.505316532630353</v>
      </c>
      <c r="CG73" s="605"/>
      <c r="CH73" s="584">
        <v>52.375599999999999</v>
      </c>
      <c r="CI73" s="576">
        <v>3.0852499999999998</v>
      </c>
      <c r="CJ73" s="576">
        <v>15.210599999999999</v>
      </c>
      <c r="CK73" s="576">
        <v>9.4321999999999999</v>
      </c>
      <c r="CL73" s="576">
        <v>0.14959900000000001</v>
      </c>
      <c r="CM73" s="576">
        <v>5.9624100000000002</v>
      </c>
      <c r="CN73" s="576">
        <v>11.5345</v>
      </c>
      <c r="CO73" s="576">
        <v>2.52501</v>
      </c>
      <c r="CP73" s="576">
        <v>0.44241900000000001</v>
      </c>
      <c r="CQ73" s="576">
        <v>0.37531399999999998</v>
      </c>
      <c r="CR73" s="857">
        <v>2.0645E-2</v>
      </c>
      <c r="CS73" s="793">
        <v>1245.47</v>
      </c>
      <c r="CT73" s="576">
        <f t="shared" si="73"/>
        <v>101.23809399999999</v>
      </c>
      <c r="CU73" s="576" t="s">
        <v>64</v>
      </c>
      <c r="CV73" s="591" t="s">
        <v>64</v>
      </c>
      <c r="CW73" s="605"/>
      <c r="CX73" s="936" t="s">
        <v>64</v>
      </c>
      <c r="CY73" s="934" t="s">
        <v>64</v>
      </c>
      <c r="CZ73" s="934" t="s">
        <v>64</v>
      </c>
      <c r="DA73" s="938" t="str">
        <f t="shared" si="74"/>
        <v>-</v>
      </c>
      <c r="DB73" s="936" t="s">
        <v>64</v>
      </c>
      <c r="DC73" s="934" t="s">
        <v>64</v>
      </c>
      <c r="DD73" s="934" t="s">
        <v>64</v>
      </c>
      <c r="DE73" s="939" t="str">
        <f t="shared" si="75"/>
        <v>-</v>
      </c>
      <c r="DF73" s="9"/>
    </row>
    <row r="74" spans="1:110">
      <c r="A74" s="846" t="s">
        <v>251</v>
      </c>
      <c r="B74" s="41" t="s">
        <v>678</v>
      </c>
      <c r="C74" s="41" t="s">
        <v>1486</v>
      </c>
      <c r="D74" s="34" t="s">
        <v>736</v>
      </c>
      <c r="E74" s="535">
        <v>19.389810000000001</v>
      </c>
      <c r="F74" s="537">
        <v>-155.29229000000001</v>
      </c>
      <c r="G74" s="37" t="s">
        <v>405</v>
      </c>
      <c r="H74" s="37" t="s">
        <v>64</v>
      </c>
      <c r="I74" s="202" t="s">
        <v>780</v>
      </c>
      <c r="J74" t="s">
        <v>882</v>
      </c>
      <c r="K74" s="34">
        <v>2021</v>
      </c>
      <c r="L74" s="51">
        <v>40</v>
      </c>
      <c r="M74" s="52">
        <v>32.5</v>
      </c>
      <c r="N74" s="838">
        <f t="shared" si="59"/>
        <v>24673.864583333336</v>
      </c>
      <c r="O74" s="54">
        <v>24104.118524471534</v>
      </c>
      <c r="P74" s="53">
        <v>10</v>
      </c>
      <c r="Q74" s="54">
        <v>523.59877559829886</v>
      </c>
      <c r="R74" s="772">
        <f t="shared" si="60"/>
        <v>2.1260548398320867E-2</v>
      </c>
      <c r="S74" s="624" t="s">
        <v>237</v>
      </c>
      <c r="T74" s="37" t="s">
        <v>132</v>
      </c>
      <c r="U74" s="21">
        <v>88.484558557351974</v>
      </c>
      <c r="V74" s="552" t="s">
        <v>423</v>
      </c>
      <c r="W74" s="552" t="s">
        <v>423</v>
      </c>
      <c r="X74" s="556" t="s">
        <v>292</v>
      </c>
      <c r="Y74" s="784" t="s">
        <v>64</v>
      </c>
      <c r="Z74" s="784" t="s">
        <v>292</v>
      </c>
      <c r="AA74" s="785" t="s">
        <v>64</v>
      </c>
      <c r="AB74" s="32">
        <f t="shared" si="61"/>
        <v>1229.6069552413592</v>
      </c>
      <c r="AC74" s="6">
        <f t="shared" si="62"/>
        <v>1159.13607</v>
      </c>
      <c r="AD74" s="6">
        <f t="shared" si="63"/>
        <v>70.470885241359156</v>
      </c>
      <c r="AE74" s="6">
        <f t="shared" si="64"/>
        <v>1267.2539934254819</v>
      </c>
      <c r="AF74" s="839">
        <v>0.91800000000000004</v>
      </c>
      <c r="AG74" s="553">
        <f t="shared" si="65"/>
        <v>8.9324618736383421E-2</v>
      </c>
      <c r="AH74" s="32">
        <f t="shared" si="78"/>
        <v>65.814196125567193</v>
      </c>
      <c r="AI74" s="9">
        <v>51.286976443960263</v>
      </c>
      <c r="AJ74" s="9">
        <v>2.0316356427632196</v>
      </c>
      <c r="AK74" s="9">
        <v>12.89520097177348</v>
      </c>
      <c r="AL74" s="9">
        <v>9.9337825979982668</v>
      </c>
      <c r="AM74" s="9">
        <v>0.15093875503441451</v>
      </c>
      <c r="AN74" s="9">
        <v>10.726714191112393</v>
      </c>
      <c r="AO74" s="9">
        <v>10.193397256657462</v>
      </c>
      <c r="AP74" s="9">
        <v>2.1010674700790504</v>
      </c>
      <c r="AQ74" s="9">
        <v>0.29483370150055632</v>
      </c>
      <c r="AR74" s="9">
        <v>0.30389002680262123</v>
      </c>
      <c r="AS74" s="6">
        <v>143.37104256994709</v>
      </c>
      <c r="AT74" s="6">
        <v>672.25838061261447</v>
      </c>
      <c r="AU74" s="9">
        <v>98.636479999999978</v>
      </c>
      <c r="AV74" s="8">
        <f t="shared" si="66"/>
        <v>1.9873234531833361</v>
      </c>
      <c r="AW74" s="9">
        <f t="shared" si="67"/>
        <v>8.1457017303585797</v>
      </c>
      <c r="AX74" s="8" t="s">
        <v>64</v>
      </c>
      <c r="AY74" s="789" t="s">
        <v>64</v>
      </c>
      <c r="AZ74" s="6" t="s">
        <v>64</v>
      </c>
      <c r="BA74" s="48" t="s">
        <v>64</v>
      </c>
      <c r="BB74" s="6" t="s">
        <v>292</v>
      </c>
      <c r="BC74" s="48" t="s">
        <v>292</v>
      </c>
      <c r="BD74" s="849" t="s">
        <v>64</v>
      </c>
      <c r="BE74" s="48" t="s">
        <v>64</v>
      </c>
      <c r="BF74" s="668" t="s">
        <v>64</v>
      </c>
      <c r="BG74" s="48" t="s">
        <v>64</v>
      </c>
      <c r="BH74" s="48" t="s">
        <v>64</v>
      </c>
      <c r="BI74" s="850" t="str">
        <f t="shared" si="68"/>
        <v>-</v>
      </c>
      <c r="BJ74" s="789" t="str">
        <f t="shared" si="69"/>
        <v>-</v>
      </c>
      <c r="BK74" s="67" t="s">
        <v>64</v>
      </c>
      <c r="BL74" s="48" t="s">
        <v>64</v>
      </c>
      <c r="BM74" s="48" t="s">
        <v>64</v>
      </c>
      <c r="BN74" s="850" t="str">
        <f t="shared" si="70"/>
        <v>-</v>
      </c>
      <c r="BO74" s="789" t="str">
        <f t="shared" si="71"/>
        <v>-</v>
      </c>
      <c r="BP74" s="789" t="str">
        <f t="shared" si="72"/>
        <v>-</v>
      </c>
      <c r="BQ74" s="34" t="s">
        <v>64</v>
      </c>
      <c r="BR74" s="25">
        <v>2.6621609104229269</v>
      </c>
      <c r="BS74" s="26">
        <v>2.898068975847079</v>
      </c>
      <c r="BT74" s="605"/>
      <c r="BU74" s="599">
        <v>0.13882769079662716</v>
      </c>
      <c r="BV74" s="851">
        <v>2.5038487152106745E-2</v>
      </c>
      <c r="BW74" s="851">
        <v>6.0199440408588441E-2</v>
      </c>
      <c r="BX74" s="851">
        <v>0.11249611440929118</v>
      </c>
      <c r="BY74" s="851">
        <v>5.8483484719409409E-3</v>
      </c>
      <c r="BZ74" s="851">
        <v>2.8241293122360709E-2</v>
      </c>
      <c r="CA74" s="851">
        <v>2.0988306885430283E-2</v>
      </c>
      <c r="CB74" s="851">
        <v>2.9235303312414949E-2</v>
      </c>
      <c r="CC74" s="851">
        <v>9.6169151589152978E-3</v>
      </c>
      <c r="CD74" s="851">
        <v>6.8358238189088821E-3</v>
      </c>
      <c r="CE74" s="852">
        <v>22.802734207622375</v>
      </c>
      <c r="CF74" s="852">
        <v>18.448517835799734</v>
      </c>
      <c r="CG74" s="605"/>
      <c r="CH74" s="584">
        <v>51.527999999999999</v>
      </c>
      <c r="CI74" s="576">
        <v>2.1744400000000002</v>
      </c>
      <c r="CJ74" s="576">
        <v>13.866199999999999</v>
      </c>
      <c r="CK74" s="576">
        <v>9.7796699999999994</v>
      </c>
      <c r="CL74" s="576">
        <v>0.14982699999999999</v>
      </c>
      <c r="CM74" s="576">
        <v>7.2206999999999999</v>
      </c>
      <c r="CN74" s="576">
        <v>10.930300000000001</v>
      </c>
      <c r="CO74" s="576">
        <v>2.2628200000000001</v>
      </c>
      <c r="CP74" s="576">
        <v>0.31476500000000002</v>
      </c>
      <c r="CQ74" s="576">
        <v>0.32266600000000001</v>
      </c>
      <c r="CR74" s="857">
        <v>1.5309E-2</v>
      </c>
      <c r="CS74" s="793">
        <v>717.83</v>
      </c>
      <c r="CT74" s="576">
        <f t="shared" si="73"/>
        <v>98.636479999999978</v>
      </c>
      <c r="CU74" s="576" t="s">
        <v>64</v>
      </c>
      <c r="CV74" s="591" t="s">
        <v>64</v>
      </c>
      <c r="CW74" s="605"/>
      <c r="CX74" s="936" t="s">
        <v>64</v>
      </c>
      <c r="CY74" s="934" t="s">
        <v>64</v>
      </c>
      <c r="CZ74" s="934" t="s">
        <v>64</v>
      </c>
      <c r="DA74" s="938" t="str">
        <f t="shared" si="74"/>
        <v>-</v>
      </c>
      <c r="DB74" s="936" t="s">
        <v>64</v>
      </c>
      <c r="DC74" s="934" t="s">
        <v>64</v>
      </c>
      <c r="DD74" s="934" t="s">
        <v>64</v>
      </c>
      <c r="DE74" s="939" t="str">
        <f t="shared" si="75"/>
        <v>-</v>
      </c>
      <c r="DF74" s="9"/>
    </row>
    <row r="75" spans="1:110">
      <c r="A75" s="846" t="s">
        <v>252</v>
      </c>
      <c r="B75" s="41" t="s">
        <v>678</v>
      </c>
      <c r="C75" s="41" t="s">
        <v>1486</v>
      </c>
      <c r="D75" s="34" t="s">
        <v>736</v>
      </c>
      <c r="E75" s="535">
        <v>19.389810000000001</v>
      </c>
      <c r="F75" s="537">
        <v>-155.29229000000001</v>
      </c>
      <c r="G75" s="37" t="s">
        <v>405</v>
      </c>
      <c r="H75" s="37" t="s">
        <v>64</v>
      </c>
      <c r="I75" s="202" t="s">
        <v>780</v>
      </c>
      <c r="J75" t="s">
        <v>882</v>
      </c>
      <c r="K75" s="34">
        <v>2021</v>
      </c>
      <c r="L75" s="51">
        <v>30</v>
      </c>
      <c r="M75" s="52">
        <v>25</v>
      </c>
      <c r="N75" s="838">
        <f t="shared" si="59"/>
        <v>10798.906250000002</v>
      </c>
      <c r="O75" s="54">
        <v>10562.706513259382</v>
      </c>
      <c r="P75" s="53">
        <v>7.5</v>
      </c>
      <c r="Q75" s="54">
        <v>220.89323345553231</v>
      </c>
      <c r="R75" s="772">
        <f t="shared" si="60"/>
        <v>2.0484183263833083E-2</v>
      </c>
      <c r="S75" s="624" t="s">
        <v>237</v>
      </c>
      <c r="T75" s="37" t="s">
        <v>132</v>
      </c>
      <c r="U75" s="21">
        <v>88.484558557351974</v>
      </c>
      <c r="V75" s="552" t="s">
        <v>423</v>
      </c>
      <c r="W75" s="552" t="s">
        <v>423</v>
      </c>
      <c r="X75" s="556">
        <v>102.64062374700656</v>
      </c>
      <c r="Y75" s="784">
        <v>3.3321632226375191E-3</v>
      </c>
      <c r="Z75" s="784">
        <v>1.7421430187326337E-2</v>
      </c>
      <c r="AA75" s="785">
        <v>1.1829179440378352E-3</v>
      </c>
      <c r="AB75" s="32">
        <f t="shared" si="61"/>
        <v>1223.0699132078228</v>
      </c>
      <c r="AC75" s="6">
        <f t="shared" si="62"/>
        <v>1146.9811979999999</v>
      </c>
      <c r="AD75" s="6">
        <f t="shared" si="63"/>
        <v>76.088715207822816</v>
      </c>
      <c r="AE75" s="6">
        <f t="shared" si="64"/>
        <v>1267.2539934254819</v>
      </c>
      <c r="AF75" s="839">
        <v>0.91300000000000003</v>
      </c>
      <c r="AG75" s="553">
        <f t="shared" si="65"/>
        <v>9.5290251916757995E-2</v>
      </c>
      <c r="AH75" s="32">
        <f t="shared" si="78"/>
        <v>65.999332457044403</v>
      </c>
      <c r="AI75" s="9">
        <v>50.70386032747556</v>
      </c>
      <c r="AJ75" s="9">
        <v>1.9563770028554417</v>
      </c>
      <c r="AK75" s="9">
        <v>14.495295109588572</v>
      </c>
      <c r="AL75" s="9">
        <v>9.5535572098308403</v>
      </c>
      <c r="AM75" s="9">
        <v>0.1418247595900346</v>
      </c>
      <c r="AN75" s="9">
        <v>10.401488219294663</v>
      </c>
      <c r="AO75" s="9">
        <v>10.17818966164227</v>
      </c>
      <c r="AP75" s="9">
        <v>1.9714647432373604</v>
      </c>
      <c r="AQ75" s="9">
        <v>0.30276065699716603</v>
      </c>
      <c r="AR75" s="9">
        <v>0.19211722752976318</v>
      </c>
      <c r="AS75" s="6">
        <v>167.88666422279928</v>
      </c>
      <c r="AT75" s="6">
        <v>862.76415536042509</v>
      </c>
      <c r="AU75" s="9">
        <v>98.246713999999997</v>
      </c>
      <c r="AV75" s="8">
        <f t="shared" si="66"/>
        <v>1.9112566756042568</v>
      </c>
      <c r="AW75" s="9">
        <f t="shared" si="67"/>
        <v>7.833916912061289</v>
      </c>
      <c r="AX75" s="8" t="s">
        <v>64</v>
      </c>
      <c r="AY75" s="789" t="s">
        <v>64</v>
      </c>
      <c r="AZ75" s="863" t="s">
        <v>895</v>
      </c>
      <c r="BA75" s="48" t="s">
        <v>64</v>
      </c>
      <c r="BB75" s="6">
        <v>115.10310552306052</v>
      </c>
      <c r="BC75" s="48">
        <v>23.225222042956915</v>
      </c>
      <c r="BD75" s="849">
        <v>263.10310552306055</v>
      </c>
      <c r="BE75" s="48">
        <v>27.539987998266302</v>
      </c>
      <c r="BF75" s="668">
        <v>641.3330864068032</v>
      </c>
      <c r="BG75" s="48">
        <v>59.957240152022564</v>
      </c>
      <c r="BH75" s="48">
        <v>60.543838919635846</v>
      </c>
      <c r="BI75" s="850">
        <f t="shared" si="68"/>
        <v>2.6788187148296165</v>
      </c>
      <c r="BJ75" s="789">
        <f t="shared" si="69"/>
        <v>0.23456993705538198</v>
      </c>
      <c r="BK75" s="67" t="s">
        <v>64</v>
      </c>
      <c r="BL75" s="48" t="s">
        <v>64</v>
      </c>
      <c r="BM75" s="48" t="s">
        <v>64</v>
      </c>
      <c r="BN75" s="850" t="str">
        <f t="shared" si="70"/>
        <v>-</v>
      </c>
      <c r="BO75" s="789" t="str">
        <f t="shared" si="71"/>
        <v>-</v>
      </c>
      <c r="BP75" s="789" t="str">
        <f t="shared" si="72"/>
        <v>-</v>
      </c>
      <c r="BQ75" s="34" t="s">
        <v>64</v>
      </c>
      <c r="BR75" s="25">
        <v>2.6609640400661561</v>
      </c>
      <c r="BS75" s="26">
        <v>2.8894819455776819</v>
      </c>
      <c r="BT75" s="605"/>
      <c r="BU75" s="599">
        <v>0.13859748108934461</v>
      </c>
      <c r="BV75" s="851">
        <v>2.4972956803749426E-2</v>
      </c>
      <c r="BW75" s="851">
        <v>6.3584771621819039E-2</v>
      </c>
      <c r="BX75" s="851">
        <v>0.11073432626342829</v>
      </c>
      <c r="BY75" s="851">
        <v>5.793640706584626E-3</v>
      </c>
      <c r="BZ75" s="851">
        <v>2.8588074311202607E-2</v>
      </c>
      <c r="CA75" s="851">
        <v>2.0966561793499993E-2</v>
      </c>
      <c r="CB75" s="851">
        <v>2.8374700609992361E-2</v>
      </c>
      <c r="CC75" s="851">
        <v>9.4005367433678075E-3</v>
      </c>
      <c r="CD75" s="851">
        <v>6.3868411706132127E-3</v>
      </c>
      <c r="CE75" s="852">
        <v>23.159125896214043</v>
      </c>
      <c r="CF75" s="852">
        <v>18.943281177171173</v>
      </c>
      <c r="CG75" s="605"/>
      <c r="CH75" s="584">
        <v>50.753799999999998</v>
      </c>
      <c r="CI75" s="576">
        <v>2.0877699999999999</v>
      </c>
      <c r="CJ75" s="576">
        <v>15.597899999999999</v>
      </c>
      <c r="CK75" s="576">
        <v>9.3638899999999996</v>
      </c>
      <c r="CL75" s="576">
        <v>0.141259</v>
      </c>
      <c r="CM75" s="576">
        <v>6.6159800000000004</v>
      </c>
      <c r="CN75" s="576">
        <v>10.9253</v>
      </c>
      <c r="CO75" s="576">
        <v>2.1211600000000002</v>
      </c>
      <c r="CP75" s="576">
        <v>0.32136100000000001</v>
      </c>
      <c r="CQ75" s="576">
        <v>0.20803199999999999</v>
      </c>
      <c r="CR75" s="857">
        <v>1.7961000000000001E-2</v>
      </c>
      <c r="CS75" s="793">
        <v>923.01</v>
      </c>
      <c r="CT75" s="576">
        <f t="shared" si="73"/>
        <v>98.246713999999997</v>
      </c>
      <c r="CU75" s="576" t="s">
        <v>64</v>
      </c>
      <c r="CV75" s="591" t="s">
        <v>64</v>
      </c>
      <c r="CW75" s="605"/>
      <c r="CX75" s="936">
        <v>591.95516189600426</v>
      </c>
      <c r="CY75" s="934">
        <v>58.111050230394312</v>
      </c>
      <c r="CZ75" s="934">
        <v>58.340820817782514</v>
      </c>
      <c r="DA75" s="938">
        <f t="shared" si="74"/>
        <v>2.4847418324581509</v>
      </c>
      <c r="DB75" s="936">
        <v>552.22981783837338</v>
      </c>
      <c r="DC75" s="934">
        <v>49.93401061620159</v>
      </c>
      <c r="DD75" s="934">
        <v>50.621790439083099</v>
      </c>
      <c r="DE75" s="939">
        <f t="shared" si="75"/>
        <v>2.3272634570560871</v>
      </c>
      <c r="DF75" s="9"/>
    </row>
    <row r="76" spans="1:110">
      <c r="A76" s="846" t="s">
        <v>253</v>
      </c>
      <c r="B76" s="41" t="s">
        <v>678</v>
      </c>
      <c r="C76" s="41" t="s">
        <v>1486</v>
      </c>
      <c r="D76" s="34" t="s">
        <v>736</v>
      </c>
      <c r="E76" s="535">
        <v>19.389810000000001</v>
      </c>
      <c r="F76" s="537">
        <v>-155.29229000000001</v>
      </c>
      <c r="G76" s="37" t="s">
        <v>405</v>
      </c>
      <c r="H76" s="37" t="s">
        <v>64</v>
      </c>
      <c r="I76" s="202" t="s">
        <v>780</v>
      </c>
      <c r="J76" t="s">
        <v>882</v>
      </c>
      <c r="K76" s="34">
        <v>2021</v>
      </c>
      <c r="L76" s="51">
        <v>72.5</v>
      </c>
      <c r="M76" s="52">
        <v>65</v>
      </c>
      <c r="N76" s="838">
        <f t="shared" si="59"/>
        <v>169632.81901041672</v>
      </c>
      <c r="O76" s="54">
        <v>165402.15685819369</v>
      </c>
      <c r="P76" s="53">
        <v>20</v>
      </c>
      <c r="Q76" s="54">
        <v>4188.7902047863909</v>
      </c>
      <c r="R76" s="772">
        <f t="shared" si="60"/>
        <v>2.46993738600376E-2</v>
      </c>
      <c r="S76" s="624" t="s">
        <v>238</v>
      </c>
      <c r="T76" s="37" t="s">
        <v>132</v>
      </c>
      <c r="U76" s="21">
        <v>88.53271504461533</v>
      </c>
      <c r="V76" s="552" t="s">
        <v>423</v>
      </c>
      <c r="W76" s="552" t="s">
        <v>423</v>
      </c>
      <c r="X76" s="556" t="s">
        <v>292</v>
      </c>
      <c r="Y76" s="784" t="s">
        <v>64</v>
      </c>
      <c r="Z76" s="784" t="s">
        <v>292</v>
      </c>
      <c r="AA76" s="785" t="s">
        <v>64</v>
      </c>
      <c r="AB76" s="32">
        <f t="shared" si="61"/>
        <v>1235.9657146889515</v>
      </c>
      <c r="AC76" s="6">
        <f t="shared" si="62"/>
        <v>1163.9640899999999</v>
      </c>
      <c r="AD76" s="6">
        <f t="shared" si="63"/>
        <v>72.001624688951551</v>
      </c>
      <c r="AE76" s="6">
        <f t="shared" si="64"/>
        <v>1268.2917281280024</v>
      </c>
      <c r="AF76" s="839">
        <v>0.91600000000000004</v>
      </c>
      <c r="AG76" s="553">
        <f t="shared" si="65"/>
        <v>9.1703056768558833E-2</v>
      </c>
      <c r="AH76" s="32">
        <f t="shared" si="78"/>
        <v>65.965327538297728</v>
      </c>
      <c r="AI76" s="9">
        <v>50.630011384648391</v>
      </c>
      <c r="AJ76" s="9">
        <v>2.0747281730541869</v>
      </c>
      <c r="AK76" s="9">
        <v>13.133905130440551</v>
      </c>
      <c r="AL76" s="9">
        <v>10.158215426632605</v>
      </c>
      <c r="AM76" s="9">
        <v>0.16911903594037042</v>
      </c>
      <c r="AN76" s="9">
        <v>11.043070382534902</v>
      </c>
      <c r="AO76" s="9">
        <v>9.9951363562615345</v>
      </c>
      <c r="AP76" s="9">
        <v>2.0616415809873727</v>
      </c>
      <c r="AQ76" s="9">
        <v>0.40467769314302926</v>
      </c>
      <c r="AR76" s="9">
        <v>0.28488504268526676</v>
      </c>
      <c r="AS76" s="6">
        <v>87.14047262617828</v>
      </c>
      <c r="AT76" s="6">
        <v>358.95746409165668</v>
      </c>
      <c r="AU76" s="9">
        <v>98.103692999999978</v>
      </c>
      <c r="AV76" s="8">
        <f t="shared" si="66"/>
        <v>2.0322228275766485</v>
      </c>
      <c r="AW76" s="9">
        <f t="shared" si="67"/>
        <v>8.3297366498387362</v>
      </c>
      <c r="AX76" s="8" t="s">
        <v>64</v>
      </c>
      <c r="AY76" s="789" t="s">
        <v>64</v>
      </c>
      <c r="AZ76" s="6" t="s">
        <v>64</v>
      </c>
      <c r="BA76" s="48" t="s">
        <v>64</v>
      </c>
      <c r="BB76" s="6" t="s">
        <v>292</v>
      </c>
      <c r="BC76" s="48" t="s">
        <v>292</v>
      </c>
      <c r="BD76" s="849" t="s">
        <v>64</v>
      </c>
      <c r="BE76" s="48" t="s">
        <v>64</v>
      </c>
      <c r="BF76" s="668" t="s">
        <v>64</v>
      </c>
      <c r="BG76" s="48" t="s">
        <v>64</v>
      </c>
      <c r="BH76" s="48" t="s">
        <v>64</v>
      </c>
      <c r="BI76" s="850" t="str">
        <f t="shared" si="68"/>
        <v>-</v>
      </c>
      <c r="BJ76" s="789" t="str">
        <f t="shared" si="69"/>
        <v>-</v>
      </c>
      <c r="BK76" s="67" t="s">
        <v>64</v>
      </c>
      <c r="BL76" s="48" t="s">
        <v>64</v>
      </c>
      <c r="BM76" s="48" t="s">
        <v>64</v>
      </c>
      <c r="BN76" s="850" t="str">
        <f t="shared" si="70"/>
        <v>-</v>
      </c>
      <c r="BO76" s="789" t="str">
        <f t="shared" si="71"/>
        <v>-</v>
      </c>
      <c r="BP76" s="789" t="str">
        <f t="shared" si="72"/>
        <v>-</v>
      </c>
      <c r="BQ76" s="34" t="s">
        <v>64</v>
      </c>
      <c r="BR76" s="25">
        <v>2.6679924957670469</v>
      </c>
      <c r="BS76" s="26">
        <v>2.910814489090277</v>
      </c>
      <c r="BT76" s="605"/>
      <c r="BU76" s="599">
        <v>0.13889482913184747</v>
      </c>
      <c r="BV76" s="851">
        <v>2.5656503533622688E-2</v>
      </c>
      <c r="BW76" s="851">
        <v>6.109603720768074E-2</v>
      </c>
      <c r="BX76" s="851">
        <v>0.11433680955600595</v>
      </c>
      <c r="BY76" s="851">
        <v>5.8322559853432078E-3</v>
      </c>
      <c r="BZ76" s="851">
        <v>2.8591613527421109E-2</v>
      </c>
      <c r="CA76" s="851">
        <v>2.0825866111906531E-2</v>
      </c>
      <c r="CB76" s="851">
        <v>2.9122748973027631E-2</v>
      </c>
      <c r="CC76" s="851">
        <v>1.0448413827029187E-2</v>
      </c>
      <c r="CD76" s="851">
        <v>6.7657063902281326E-3</v>
      </c>
      <c r="CE76" s="852">
        <v>23.486448744098073</v>
      </c>
      <c r="CF76" s="852">
        <v>16.902624964894336</v>
      </c>
      <c r="CG76" s="605"/>
      <c r="CH76" s="584">
        <v>50.566899999999997</v>
      </c>
      <c r="CI76" s="576">
        <v>2.2132299999999998</v>
      </c>
      <c r="CJ76" s="576">
        <v>14.074299999999999</v>
      </c>
      <c r="CK76" s="576">
        <v>9.9480599999999999</v>
      </c>
      <c r="CL76" s="576">
        <v>0.168852</v>
      </c>
      <c r="CM76" s="576">
        <v>7.4608999999999996</v>
      </c>
      <c r="CN76" s="576">
        <v>10.6739</v>
      </c>
      <c r="CO76" s="576">
        <v>2.2133099999999999</v>
      </c>
      <c r="CP76" s="576">
        <v>0.43392599999999998</v>
      </c>
      <c r="CQ76" s="576">
        <v>0.30285400000000001</v>
      </c>
      <c r="CR76" s="857">
        <v>9.2709999999999997E-3</v>
      </c>
      <c r="CS76" s="793">
        <v>381.90000000000003</v>
      </c>
      <c r="CT76" s="576">
        <f t="shared" si="73"/>
        <v>98.103692999999978</v>
      </c>
      <c r="CU76" s="576" t="s">
        <v>64</v>
      </c>
      <c r="CV76" s="591" t="s">
        <v>64</v>
      </c>
      <c r="CW76" s="605"/>
      <c r="CX76" s="936" t="s">
        <v>64</v>
      </c>
      <c r="CY76" s="934" t="s">
        <v>64</v>
      </c>
      <c r="CZ76" s="934" t="s">
        <v>64</v>
      </c>
      <c r="DA76" s="938" t="str">
        <f t="shared" si="74"/>
        <v>-</v>
      </c>
      <c r="DB76" s="936" t="s">
        <v>64</v>
      </c>
      <c r="DC76" s="934" t="s">
        <v>64</v>
      </c>
      <c r="DD76" s="934" t="s">
        <v>64</v>
      </c>
      <c r="DE76" s="939" t="str">
        <f t="shared" si="75"/>
        <v>-</v>
      </c>
      <c r="DF76" s="9"/>
    </row>
    <row r="77" spans="1:110">
      <c r="A77" s="846" t="s">
        <v>254</v>
      </c>
      <c r="B77" s="41" t="s">
        <v>678</v>
      </c>
      <c r="C77" s="41" t="s">
        <v>1486</v>
      </c>
      <c r="D77" s="34" t="s">
        <v>736</v>
      </c>
      <c r="E77" s="535">
        <v>19.389810000000001</v>
      </c>
      <c r="F77" s="537">
        <v>-155.29229000000001</v>
      </c>
      <c r="G77" s="37" t="s">
        <v>405</v>
      </c>
      <c r="H77" s="37" t="s">
        <v>64</v>
      </c>
      <c r="I77" s="28">
        <v>16</v>
      </c>
      <c r="J77" t="s">
        <v>877</v>
      </c>
      <c r="K77" s="34">
        <v>2021</v>
      </c>
      <c r="L77" s="51">
        <v>40</v>
      </c>
      <c r="M77" s="52">
        <v>42</v>
      </c>
      <c r="N77" s="838">
        <f t="shared" si="59"/>
        <v>36064.420000000006</v>
      </c>
      <c r="O77" s="54">
        <v>22239.669219769763</v>
      </c>
      <c r="P77" s="53">
        <v>12.5</v>
      </c>
      <c r="Q77" s="54">
        <v>1022.6538585904274</v>
      </c>
      <c r="R77" s="772">
        <f t="shared" si="60"/>
        <v>4.3961811343844359E-2</v>
      </c>
      <c r="S77" s="624" t="s">
        <v>239</v>
      </c>
      <c r="T77" s="37" t="s">
        <v>132</v>
      </c>
      <c r="U77" s="21">
        <v>88.426821431725955</v>
      </c>
      <c r="V77" s="552" t="s">
        <v>423</v>
      </c>
      <c r="W77" s="552" t="s">
        <v>423</v>
      </c>
      <c r="X77" s="556" t="s">
        <v>423</v>
      </c>
      <c r="Y77" s="784" t="s">
        <v>64</v>
      </c>
      <c r="Z77" s="784" t="s">
        <v>423</v>
      </c>
      <c r="AA77" s="785" t="s">
        <v>64</v>
      </c>
      <c r="AB77" s="32">
        <f t="shared" si="61"/>
        <v>1251.2556820391458</v>
      </c>
      <c r="AC77" s="6">
        <f t="shared" si="62"/>
        <v>1163.093961</v>
      </c>
      <c r="AD77" s="6">
        <f t="shared" si="63"/>
        <v>88.161721039145732</v>
      </c>
      <c r="AE77" s="6">
        <f t="shared" si="64"/>
        <v>1266.0167306939438</v>
      </c>
      <c r="AF77" s="839">
        <v>0.89300000000000002</v>
      </c>
      <c r="AG77" s="553">
        <f t="shared" si="65"/>
        <v>0.11982082866741317</v>
      </c>
      <c r="AH77" s="32">
        <f t="shared" si="78"/>
        <v>65.753102920179884</v>
      </c>
      <c r="AI77" s="9">
        <v>49.502191490581652</v>
      </c>
      <c r="AJ77" s="9">
        <v>2.1151430107825031</v>
      </c>
      <c r="AK77" s="9">
        <v>12.674765678497907</v>
      </c>
      <c r="AL77" s="9">
        <v>10.960926548505807</v>
      </c>
      <c r="AM77" s="9">
        <v>0.17701624816819803</v>
      </c>
      <c r="AN77" s="9">
        <v>11.803765275579387</v>
      </c>
      <c r="AO77" s="9">
        <v>9.9762736680702062</v>
      </c>
      <c r="AP77" s="9">
        <v>2.0889928832122004</v>
      </c>
      <c r="AQ77" s="9">
        <v>0.19713173091458419</v>
      </c>
      <c r="AR77" s="9">
        <v>0.36710756012154705</v>
      </c>
      <c r="AS77" s="6">
        <v>68.706066793974529</v>
      </c>
      <c r="AT77" s="6">
        <v>1298.1529888662008</v>
      </c>
      <c r="AU77" s="9">
        <v>99.062990999999982</v>
      </c>
      <c r="AV77" s="8">
        <f t="shared" si="66"/>
        <v>2.1928108636940467</v>
      </c>
      <c r="AW77" s="9">
        <f t="shared" si="67"/>
        <v>8.9879597697747631</v>
      </c>
      <c r="AX77" s="8" t="s">
        <v>64</v>
      </c>
      <c r="AY77" s="789" t="s">
        <v>64</v>
      </c>
      <c r="AZ77" s="6" t="s">
        <v>64</v>
      </c>
      <c r="BA77" s="48" t="s">
        <v>64</v>
      </c>
      <c r="BB77" s="6" t="s">
        <v>64</v>
      </c>
      <c r="BC77" s="48" t="s">
        <v>64</v>
      </c>
      <c r="BD77" s="849" t="s">
        <v>64</v>
      </c>
      <c r="BE77" s="48" t="s">
        <v>64</v>
      </c>
      <c r="BF77" s="668" t="s">
        <v>64</v>
      </c>
      <c r="BG77" s="48" t="s">
        <v>64</v>
      </c>
      <c r="BH77" s="48" t="s">
        <v>64</v>
      </c>
      <c r="BI77" s="850" t="str">
        <f t="shared" si="68"/>
        <v>-</v>
      </c>
      <c r="BJ77" s="789" t="str">
        <f t="shared" si="69"/>
        <v>-</v>
      </c>
      <c r="BK77" s="67" t="s">
        <v>64</v>
      </c>
      <c r="BL77" s="48" t="s">
        <v>64</v>
      </c>
      <c r="BM77" s="48" t="s">
        <v>64</v>
      </c>
      <c r="BN77" s="850" t="str">
        <f t="shared" si="70"/>
        <v>-</v>
      </c>
      <c r="BO77" s="789" t="str">
        <f t="shared" si="71"/>
        <v>-</v>
      </c>
      <c r="BP77" s="789" t="str">
        <f t="shared" si="72"/>
        <v>-</v>
      </c>
      <c r="BQ77" s="34" t="s">
        <v>64</v>
      </c>
      <c r="BR77" s="25">
        <v>2.687279015031073</v>
      </c>
      <c r="BS77" s="26">
        <v>2.9358775820972611</v>
      </c>
      <c r="BT77" s="605"/>
      <c r="BU77" s="599">
        <v>0.13651120342974721</v>
      </c>
      <c r="BV77" s="851">
        <v>2.5399483330680608E-2</v>
      </c>
      <c r="BW77" s="851">
        <v>5.8993556121657451E-2</v>
      </c>
      <c r="BX77" s="851">
        <v>0.11785845880546354</v>
      </c>
      <c r="BY77" s="851">
        <v>5.7811736489251798E-3</v>
      </c>
      <c r="BZ77" s="851">
        <v>3.0802161561929924E-2</v>
      </c>
      <c r="CA77" s="851">
        <v>2.0428415590107361E-2</v>
      </c>
      <c r="CB77" s="851">
        <v>2.9001279298346658E-2</v>
      </c>
      <c r="CC77" s="851">
        <v>8.3304321113346815E-3</v>
      </c>
      <c r="CD77" s="851">
        <v>6.524712798308293E-3</v>
      </c>
      <c r="CE77" s="852">
        <v>22.164096205268628</v>
      </c>
      <c r="CF77" s="852">
        <v>20.587927511624624</v>
      </c>
      <c r="CG77" s="605"/>
      <c r="CH77" s="584">
        <v>50.106499999999997</v>
      </c>
      <c r="CI77" s="576">
        <v>2.33066</v>
      </c>
      <c r="CJ77" s="576">
        <v>14.0625</v>
      </c>
      <c r="CK77" s="576">
        <v>10.832599999999999</v>
      </c>
      <c r="CL77" s="576">
        <v>0.18101200000000001</v>
      </c>
      <c r="CM77" s="576">
        <v>7.4176099999999998</v>
      </c>
      <c r="CN77" s="576">
        <v>11.0343</v>
      </c>
      <c r="CO77" s="576">
        <v>2.3127499999999999</v>
      </c>
      <c r="CP77" s="576">
        <v>0.22164400000000001</v>
      </c>
      <c r="CQ77" s="576">
        <v>0.41265600000000002</v>
      </c>
      <c r="CR77" s="857">
        <v>7.5779999999999997E-3</v>
      </c>
      <c r="CS77" s="793">
        <v>1431.81</v>
      </c>
      <c r="CT77" s="576">
        <f t="shared" si="73"/>
        <v>99.062990999999982</v>
      </c>
      <c r="CU77" s="576" t="s">
        <v>64</v>
      </c>
      <c r="CV77" s="591" t="s">
        <v>64</v>
      </c>
      <c r="CW77" s="605"/>
      <c r="CX77" s="936" t="s">
        <v>64</v>
      </c>
      <c r="CY77" s="934" t="s">
        <v>64</v>
      </c>
      <c r="CZ77" s="934" t="s">
        <v>64</v>
      </c>
      <c r="DA77" s="938" t="str">
        <f t="shared" si="74"/>
        <v>-</v>
      </c>
      <c r="DB77" s="936" t="s">
        <v>64</v>
      </c>
      <c r="DC77" s="934" t="s">
        <v>64</v>
      </c>
      <c r="DD77" s="934" t="s">
        <v>64</v>
      </c>
      <c r="DE77" s="939" t="str">
        <f t="shared" si="75"/>
        <v>-</v>
      </c>
      <c r="DF77" s="9"/>
    </row>
    <row r="78" spans="1:110">
      <c r="A78" s="846" t="s">
        <v>255</v>
      </c>
      <c r="B78" s="41" t="s">
        <v>678</v>
      </c>
      <c r="C78" s="41" t="s">
        <v>1486</v>
      </c>
      <c r="D78" s="34" t="s">
        <v>736</v>
      </c>
      <c r="E78" s="535">
        <v>19.389810000000001</v>
      </c>
      <c r="F78" s="537">
        <v>-155.29229000000001</v>
      </c>
      <c r="G78" s="37" t="s">
        <v>405</v>
      </c>
      <c r="H78" s="37" t="s">
        <v>64</v>
      </c>
      <c r="I78" s="202" t="s">
        <v>780</v>
      </c>
      <c r="J78" t="s">
        <v>881</v>
      </c>
      <c r="K78" s="34">
        <v>2021</v>
      </c>
      <c r="L78" s="51">
        <v>120</v>
      </c>
      <c r="M78" s="52">
        <v>112</v>
      </c>
      <c r="N78" s="838">
        <f t="shared" si="59"/>
        <v>816287.3600000001</v>
      </c>
      <c r="O78" s="54">
        <v>795731.90883265622</v>
      </c>
      <c r="P78" s="53">
        <v>34</v>
      </c>
      <c r="Q78" s="54">
        <v>20579.526276115535</v>
      </c>
      <c r="R78" s="772">
        <f t="shared" si="60"/>
        <v>2.5210385878489325E-2</v>
      </c>
      <c r="S78" s="624" t="s">
        <v>240</v>
      </c>
      <c r="T78" s="37" t="s">
        <v>132</v>
      </c>
      <c r="U78" s="21">
        <v>89.039670038900226</v>
      </c>
      <c r="V78" s="552" t="s">
        <v>423</v>
      </c>
      <c r="W78" s="552" t="s">
        <v>423</v>
      </c>
      <c r="X78" s="556">
        <v>102.75391729657625</v>
      </c>
      <c r="Y78" s="784">
        <v>1.3883363798967599E-3</v>
      </c>
      <c r="Z78" s="784">
        <v>5.7640640284567723E-2</v>
      </c>
      <c r="AA78" s="785">
        <v>4.9285941486435479E-4</v>
      </c>
      <c r="AB78" s="32">
        <f t="shared" si="61"/>
        <v>1255.1981764180043</v>
      </c>
      <c r="AC78" s="6">
        <f t="shared" si="62"/>
        <v>1170.403728</v>
      </c>
      <c r="AD78" s="6">
        <f t="shared" si="63"/>
        <v>84.794448418004322</v>
      </c>
      <c r="AE78" s="6">
        <f t="shared" si="64"/>
        <v>1279.5390094452523</v>
      </c>
      <c r="AF78" s="839">
        <v>0.89400000000000002</v>
      </c>
      <c r="AG78" s="553">
        <f t="shared" si="65"/>
        <v>0.11856823266219241</v>
      </c>
      <c r="AH78" s="32">
        <f t="shared" si="78"/>
        <v>67.117890610227334</v>
      </c>
      <c r="AI78" s="9">
        <v>51.035564869818906</v>
      </c>
      <c r="AJ78" s="9">
        <v>1.9800403386863989</v>
      </c>
      <c r="AK78" s="9">
        <v>12.079352233774008</v>
      </c>
      <c r="AL78" s="9">
        <v>10.48144258513374</v>
      </c>
      <c r="AM78" s="9">
        <v>0.15788031141379613</v>
      </c>
      <c r="AN78" s="9">
        <v>11.999909274527576</v>
      </c>
      <c r="AO78" s="9">
        <v>9.5482392157579259</v>
      </c>
      <c r="AP78" s="9">
        <v>2.0172478006119428</v>
      </c>
      <c r="AQ78" s="9">
        <v>0.37710265465078696</v>
      </c>
      <c r="AR78" s="9">
        <v>0.17899806007424021</v>
      </c>
      <c r="AS78" s="6">
        <v>150.8397311578305</v>
      </c>
      <c r="AT78" s="6">
        <v>1165.4731653544384</v>
      </c>
      <c r="AU78" s="9">
        <v>101.22553299999997</v>
      </c>
      <c r="AV78" s="8">
        <f t="shared" si="66"/>
        <v>2.0968867062611443</v>
      </c>
      <c r="AW78" s="9">
        <f t="shared" si="67"/>
        <v>8.594782919809667</v>
      </c>
      <c r="AX78" s="8">
        <v>0.27223005586768823</v>
      </c>
      <c r="AY78" s="789">
        <v>1.3611502793384411E-2</v>
      </c>
      <c r="AZ78" s="6">
        <v>125.21158772162921</v>
      </c>
      <c r="BA78" s="48">
        <v>12.521158772162922</v>
      </c>
      <c r="BB78" s="6">
        <v>456.78656798335788</v>
      </c>
      <c r="BC78" s="48">
        <v>19.395200144412286</v>
      </c>
      <c r="BD78" s="849">
        <v>581.99815570498708</v>
      </c>
      <c r="BE78" s="48">
        <v>23.085779294611712</v>
      </c>
      <c r="BF78" s="668">
        <v>1287.0224409831851</v>
      </c>
      <c r="BG78" s="48">
        <v>45.771617153662874</v>
      </c>
      <c r="BH78" s="48">
        <v>46.100242224470094</v>
      </c>
      <c r="BI78" s="850">
        <f t="shared" si="68"/>
        <v>5.0692709036816304</v>
      </c>
      <c r="BJ78" s="789">
        <f t="shared" si="69"/>
        <v>0.16116005124980681</v>
      </c>
      <c r="BK78" s="67" t="s">
        <v>64</v>
      </c>
      <c r="BL78" s="48" t="s">
        <v>64</v>
      </c>
      <c r="BM78" s="48" t="s">
        <v>64</v>
      </c>
      <c r="BN78" s="850" t="str">
        <f t="shared" si="70"/>
        <v>-</v>
      </c>
      <c r="BO78" s="789" t="str">
        <f t="shared" si="71"/>
        <v>-</v>
      </c>
      <c r="BP78" s="789" t="str">
        <f t="shared" si="72"/>
        <v>-</v>
      </c>
      <c r="BQ78" s="34" t="s">
        <v>64</v>
      </c>
      <c r="BR78" s="25">
        <v>2.6881831715417062</v>
      </c>
      <c r="BS78" s="26">
        <v>2.916081328123258</v>
      </c>
      <c r="BT78" s="605"/>
      <c r="BU78" s="599">
        <v>0.13708458937422577</v>
      </c>
      <c r="BV78" s="851">
        <v>2.4636453910071649E-2</v>
      </c>
      <c r="BW78" s="851">
        <v>5.6843257328738406E-2</v>
      </c>
      <c r="BX78" s="851">
        <v>0.11420475026335872</v>
      </c>
      <c r="BY78" s="851">
        <v>5.6938902790139925E-3</v>
      </c>
      <c r="BZ78" s="851">
        <v>3.0696367919705269E-2</v>
      </c>
      <c r="CA78" s="851">
        <v>1.982615487238407E-2</v>
      </c>
      <c r="CB78" s="851">
        <v>2.851339421208969E-2</v>
      </c>
      <c r="CC78" s="851">
        <v>9.6576366958721193E-3</v>
      </c>
      <c r="CD78" s="851">
        <v>6.2611731433368486E-3</v>
      </c>
      <c r="CE78" s="852">
        <v>21.127668624083846</v>
      </c>
      <c r="CF78" s="852">
        <v>19.559669944877399</v>
      </c>
      <c r="CG78" s="605"/>
      <c r="CH78" s="584">
        <v>52.9377</v>
      </c>
      <c r="CI78" s="576">
        <v>2.2227700000000001</v>
      </c>
      <c r="CJ78" s="576">
        <v>13.689399999999999</v>
      </c>
      <c r="CK78" s="576">
        <v>10.5915</v>
      </c>
      <c r="CL78" s="576">
        <v>0.16279299999999999</v>
      </c>
      <c r="CM78" s="576">
        <v>7.7812799999999998</v>
      </c>
      <c r="CN78" s="576">
        <v>10.780099999999999</v>
      </c>
      <c r="CO78" s="576">
        <v>2.2844099999999998</v>
      </c>
      <c r="CP78" s="576">
        <v>0.42830600000000002</v>
      </c>
      <c r="CQ78" s="576">
        <v>0.19906199999999999</v>
      </c>
      <c r="CR78" s="857">
        <v>1.6983999999999999E-2</v>
      </c>
      <c r="CS78" s="793">
        <v>1312.2800000000002</v>
      </c>
      <c r="CT78" s="576">
        <f t="shared" si="73"/>
        <v>101.22553299999997</v>
      </c>
      <c r="CU78" s="576">
        <v>0.27223005586768823</v>
      </c>
      <c r="CV78" s="591">
        <v>140.05770438660986</v>
      </c>
      <c r="CW78" s="605"/>
      <c r="CX78" s="936">
        <v>1233.569258850471</v>
      </c>
      <c r="CY78" s="934">
        <v>46.731314819138106</v>
      </c>
      <c r="CZ78" s="934">
        <v>46.8890595080411</v>
      </c>
      <c r="DA78" s="938">
        <f t="shared" si="74"/>
        <v>4.880385261702445</v>
      </c>
      <c r="DB78" s="936">
        <v>955.29241642832767</v>
      </c>
      <c r="DC78" s="934">
        <v>32.866462319498623</v>
      </c>
      <c r="DD78" s="934">
        <v>33.036997891157057</v>
      </c>
      <c r="DE78" s="939">
        <f t="shared" si="75"/>
        <v>3.8727652729317192</v>
      </c>
      <c r="DF78" s="9"/>
    </row>
    <row r="79" spans="1:110">
      <c r="A79" s="846" t="s">
        <v>256</v>
      </c>
      <c r="B79" s="41" t="s">
        <v>678</v>
      </c>
      <c r="C79" s="41" t="s">
        <v>1486</v>
      </c>
      <c r="D79" s="34" t="s">
        <v>736</v>
      </c>
      <c r="E79" s="535">
        <v>19.389810000000001</v>
      </c>
      <c r="F79" s="537">
        <v>-155.29229000000001</v>
      </c>
      <c r="G79" s="37" t="s">
        <v>405</v>
      </c>
      <c r="H79" s="37" t="s">
        <v>64</v>
      </c>
      <c r="I79" s="202" t="s">
        <v>780</v>
      </c>
      <c r="J79" t="s">
        <v>882</v>
      </c>
      <c r="K79" s="34">
        <v>2021</v>
      </c>
      <c r="L79" s="51">
        <v>165</v>
      </c>
      <c r="M79" s="52">
        <v>135</v>
      </c>
      <c r="N79" s="838">
        <f t="shared" si="59"/>
        <v>1749422.8125000002</v>
      </c>
      <c r="O79" s="54">
        <v>1701761.4705414209</v>
      </c>
      <c r="P79" s="53">
        <v>45</v>
      </c>
      <c r="Q79" s="54">
        <v>47712.938426394976</v>
      </c>
      <c r="R79" s="772">
        <f t="shared" si="60"/>
        <v>2.7272727272727271E-2</v>
      </c>
      <c r="S79" s="624" t="s">
        <v>240</v>
      </c>
      <c r="T79" s="37" t="s">
        <v>132</v>
      </c>
      <c r="U79" s="21">
        <v>89.039670038900226</v>
      </c>
      <c r="V79" s="552" t="s">
        <v>423</v>
      </c>
      <c r="W79" s="552" t="s">
        <v>423</v>
      </c>
      <c r="X79" s="556" t="s">
        <v>292</v>
      </c>
      <c r="Y79" s="784" t="s">
        <v>64</v>
      </c>
      <c r="Z79" s="784" t="s">
        <v>292</v>
      </c>
      <c r="AA79" s="785" t="s">
        <v>64</v>
      </c>
      <c r="AB79" s="32">
        <f t="shared" si="61"/>
        <v>1240.9570048788353</v>
      </c>
      <c r="AC79" s="6">
        <f t="shared" si="62"/>
        <v>1171.995447</v>
      </c>
      <c r="AD79" s="6">
        <f t="shared" si="63"/>
        <v>68.961557878835265</v>
      </c>
      <c r="AE79" s="6">
        <f t="shared" si="64"/>
        <v>1279.5390094452523</v>
      </c>
      <c r="AF79" s="839">
        <v>0.91500000000000004</v>
      </c>
      <c r="AG79" s="553">
        <f t="shared" si="65"/>
        <v>9.2896174863387859E-2</v>
      </c>
      <c r="AH79" s="32">
        <f t="shared" si="78"/>
        <v>67.094184205949077</v>
      </c>
      <c r="AI79" s="9">
        <v>51.733611423277381</v>
      </c>
      <c r="AJ79" s="9">
        <v>2.1082095412215538</v>
      </c>
      <c r="AK79" s="9">
        <v>12.214740777001214</v>
      </c>
      <c r="AL79" s="9">
        <v>9.8731797980108649</v>
      </c>
      <c r="AM79" s="9">
        <v>0.14986794925668487</v>
      </c>
      <c r="AN79" s="9">
        <v>11.29139327755399</v>
      </c>
      <c r="AO79" s="9">
        <v>9.8812263993132365</v>
      </c>
      <c r="AP79" s="9">
        <v>1.9191144106158033</v>
      </c>
      <c r="AQ79" s="9">
        <v>0.42244656837454797</v>
      </c>
      <c r="AR79" s="9">
        <v>0.28464852107142158</v>
      </c>
      <c r="AS79" s="6">
        <v>151.86816098131999</v>
      </c>
      <c r="AT79" s="6">
        <v>1063.7451820516224</v>
      </c>
      <c r="AU79" s="9">
        <v>100.56668000000001</v>
      </c>
      <c r="AV79" s="8">
        <f t="shared" si="66"/>
        <v>1.975199434507126</v>
      </c>
      <c r="AW79" s="9">
        <f t="shared" si="67"/>
        <v>8.0960074343689108</v>
      </c>
      <c r="AX79" s="8" t="s">
        <v>64</v>
      </c>
      <c r="AY79" s="789" t="s">
        <v>64</v>
      </c>
      <c r="AZ79" s="6" t="s">
        <v>64</v>
      </c>
      <c r="BA79" s="48" t="s">
        <v>64</v>
      </c>
      <c r="BB79" s="6" t="s">
        <v>292</v>
      </c>
      <c r="BC79" s="48" t="s">
        <v>292</v>
      </c>
      <c r="BD79" s="849" t="s">
        <v>64</v>
      </c>
      <c r="BE79" s="48" t="s">
        <v>64</v>
      </c>
      <c r="BF79" s="668" t="s">
        <v>64</v>
      </c>
      <c r="BG79" s="48" t="s">
        <v>64</v>
      </c>
      <c r="BH79" s="48" t="s">
        <v>64</v>
      </c>
      <c r="BI79" s="850" t="str">
        <f t="shared" si="68"/>
        <v>-</v>
      </c>
      <c r="BJ79" s="789" t="str">
        <f t="shared" si="69"/>
        <v>-</v>
      </c>
      <c r="BK79" s="67" t="s">
        <v>64</v>
      </c>
      <c r="BL79" s="48" t="s">
        <v>64</v>
      </c>
      <c r="BM79" s="48" t="s">
        <v>64</v>
      </c>
      <c r="BN79" s="850" t="str">
        <f t="shared" si="70"/>
        <v>-</v>
      </c>
      <c r="BO79" s="789" t="str">
        <f t="shared" si="71"/>
        <v>-</v>
      </c>
      <c r="BP79" s="789" t="str">
        <f t="shared" si="72"/>
        <v>-</v>
      </c>
      <c r="BQ79" s="34" t="s">
        <v>64</v>
      </c>
      <c r="BR79" s="25">
        <v>2.658000249586304</v>
      </c>
      <c r="BS79" s="26">
        <v>2.8950537310610569</v>
      </c>
      <c r="BT79" s="605"/>
      <c r="BU79" s="599">
        <v>0.13868850017575046</v>
      </c>
      <c r="BV79" s="851">
        <v>2.4748060983445702E-2</v>
      </c>
      <c r="BW79" s="851">
        <v>5.7995222766978466E-2</v>
      </c>
      <c r="BX79" s="851">
        <v>0.11142574524641123</v>
      </c>
      <c r="BY79" s="851">
        <v>5.7508528432369168E-3</v>
      </c>
      <c r="BZ79" s="851">
        <v>2.7805846343506128E-2</v>
      </c>
      <c r="CA79" s="851">
        <v>1.9857707821115855E-2</v>
      </c>
      <c r="CB79" s="851">
        <v>2.8225567105572991E-2</v>
      </c>
      <c r="CC79" s="851">
        <v>1.0662382407146242E-2</v>
      </c>
      <c r="CD79" s="851">
        <v>6.2729417831114522E-3</v>
      </c>
      <c r="CE79" s="852">
        <v>21.041181835800902</v>
      </c>
      <c r="CF79" s="852">
        <v>18.806589320599862</v>
      </c>
      <c r="CG79" s="605"/>
      <c r="CH79" s="584">
        <v>53.070599999999999</v>
      </c>
      <c r="CI79" s="576">
        <v>2.3029999999999999</v>
      </c>
      <c r="CJ79" s="576">
        <v>13.430099999999999</v>
      </c>
      <c r="CK79" s="576">
        <v>9.9029100000000003</v>
      </c>
      <c r="CL79" s="576">
        <v>0.14807600000000001</v>
      </c>
      <c r="CM79" s="576">
        <v>7.8604700000000003</v>
      </c>
      <c r="CN79" s="576">
        <v>10.8314</v>
      </c>
      <c r="CO79" s="576">
        <v>2.11565</v>
      </c>
      <c r="CP79" s="576">
        <v>0.45951900000000001</v>
      </c>
      <c r="CQ79" s="576">
        <v>0.31212200000000001</v>
      </c>
      <c r="CR79" s="857">
        <v>1.6594999999999999E-2</v>
      </c>
      <c r="CS79" s="793">
        <v>1162.3799999999999</v>
      </c>
      <c r="CT79" s="576">
        <f t="shared" si="73"/>
        <v>100.56668000000001</v>
      </c>
      <c r="CU79" s="576" t="s">
        <v>64</v>
      </c>
      <c r="CV79" s="591" t="s">
        <v>64</v>
      </c>
      <c r="CW79" s="605"/>
      <c r="CX79" s="936" t="s">
        <v>64</v>
      </c>
      <c r="CY79" s="934" t="s">
        <v>64</v>
      </c>
      <c r="CZ79" s="934" t="s">
        <v>64</v>
      </c>
      <c r="DA79" s="938" t="str">
        <f t="shared" si="74"/>
        <v>-</v>
      </c>
      <c r="DB79" s="936" t="s">
        <v>64</v>
      </c>
      <c r="DC79" s="934" t="s">
        <v>64</v>
      </c>
      <c r="DD79" s="934" t="s">
        <v>64</v>
      </c>
      <c r="DE79" s="939" t="str">
        <f t="shared" si="75"/>
        <v>-</v>
      </c>
      <c r="DF79" s="9"/>
    </row>
    <row r="80" spans="1:110">
      <c r="A80" s="846" t="s">
        <v>257</v>
      </c>
      <c r="B80" s="41" t="s">
        <v>678</v>
      </c>
      <c r="C80" s="41" t="s">
        <v>1486</v>
      </c>
      <c r="D80" s="34" t="s">
        <v>736</v>
      </c>
      <c r="E80" s="535">
        <v>19.389810000000001</v>
      </c>
      <c r="F80" s="537">
        <v>-155.29229000000001</v>
      </c>
      <c r="G80" s="37" t="s">
        <v>405</v>
      </c>
      <c r="H80" s="37" t="s">
        <v>64</v>
      </c>
      <c r="I80" s="202" t="s">
        <v>780</v>
      </c>
      <c r="J80" t="s">
        <v>881</v>
      </c>
      <c r="K80" s="34">
        <v>2021</v>
      </c>
      <c r="L80" s="51">
        <v>112</v>
      </c>
      <c r="M80" s="52">
        <v>80</v>
      </c>
      <c r="N80" s="838">
        <f t="shared" si="59"/>
        <v>450365.44000000006</v>
      </c>
      <c r="O80" s="54">
        <v>436241.55587747868</v>
      </c>
      <c r="P80" s="53">
        <v>30</v>
      </c>
      <c r="Q80" s="54">
        <v>14137.166941154068</v>
      </c>
      <c r="R80" s="772">
        <f t="shared" si="60"/>
        <v>3.1389508928571425E-2</v>
      </c>
      <c r="S80" s="624" t="s">
        <v>240</v>
      </c>
      <c r="T80" s="37" t="s">
        <v>132</v>
      </c>
      <c r="U80" s="21">
        <v>89.039670038900226</v>
      </c>
      <c r="V80" s="552" t="s">
        <v>423</v>
      </c>
      <c r="W80" s="552" t="s">
        <v>423</v>
      </c>
      <c r="X80" s="556" t="s">
        <v>423</v>
      </c>
      <c r="Y80" s="784" t="s">
        <v>64</v>
      </c>
      <c r="Z80" s="784" t="s">
        <v>423</v>
      </c>
      <c r="AA80" s="785" t="s">
        <v>64</v>
      </c>
      <c r="AB80" s="32">
        <f t="shared" si="61"/>
        <v>1260.4197156753073</v>
      </c>
      <c r="AC80" s="6">
        <f t="shared" si="62"/>
        <v>1177.516515</v>
      </c>
      <c r="AD80" s="6">
        <f t="shared" si="63"/>
        <v>82.903200675307289</v>
      </c>
      <c r="AE80" s="6">
        <f t="shared" si="64"/>
        <v>1279.5390094452523</v>
      </c>
      <c r="AF80" s="839">
        <v>0.89400000000000002</v>
      </c>
      <c r="AG80" s="553">
        <f t="shared" si="65"/>
        <v>0.11856823266219241</v>
      </c>
      <c r="AH80" s="32">
        <f t="shared" si="78"/>
        <v>67.145885588282042</v>
      </c>
      <c r="AI80" s="9">
        <v>51.010242370622258</v>
      </c>
      <c r="AJ80" s="9">
        <v>1.9382825340978647</v>
      </c>
      <c r="AK80" s="9">
        <v>11.974882592539196</v>
      </c>
      <c r="AL80" s="9">
        <v>10.694770763166153</v>
      </c>
      <c r="AM80" s="9">
        <v>0.14995020642813181</v>
      </c>
      <c r="AN80" s="9">
        <v>12.259687347030212</v>
      </c>
      <c r="AO80" s="9">
        <v>9.2506194462240767</v>
      </c>
      <c r="AP80" s="9">
        <v>2.0298628615137035</v>
      </c>
      <c r="AQ80" s="9">
        <v>0.40456364418865093</v>
      </c>
      <c r="AR80" s="9">
        <v>0.21536472601087386</v>
      </c>
      <c r="AS80" s="6">
        <v>64.718670824430063</v>
      </c>
      <c r="AT80" s="6">
        <v>472.17534033197779</v>
      </c>
      <c r="AU80" s="9">
        <v>101.27407499999998</v>
      </c>
      <c r="AV80" s="8">
        <f t="shared" si="66"/>
        <v>2.1395645167775648</v>
      </c>
      <c r="AW80" s="9">
        <f t="shared" si="67"/>
        <v>8.7697120257962471</v>
      </c>
      <c r="AX80" s="8">
        <v>0.56618774169542119</v>
      </c>
      <c r="AY80" s="789">
        <v>2.830938708477106E-2</v>
      </c>
      <c r="AZ80" s="6">
        <v>179.69511457215395</v>
      </c>
      <c r="BA80" s="48">
        <v>17.969511457215397</v>
      </c>
      <c r="BB80" s="6" t="s">
        <v>64</v>
      </c>
      <c r="BC80" s="48" t="s">
        <v>64</v>
      </c>
      <c r="BD80" s="849" t="s">
        <v>1007</v>
      </c>
      <c r="BE80" s="48" t="s">
        <v>1007</v>
      </c>
      <c r="BF80" s="668" t="s">
        <v>1007</v>
      </c>
      <c r="BG80" s="48" t="s">
        <v>64</v>
      </c>
      <c r="BH80" s="48" t="s">
        <v>64</v>
      </c>
      <c r="BI80" s="850" t="str">
        <f t="shared" si="68"/>
        <v>-</v>
      </c>
      <c r="BJ80" s="789" t="str">
        <f t="shared" si="69"/>
        <v>-</v>
      </c>
      <c r="BK80" s="67" t="s">
        <v>64</v>
      </c>
      <c r="BL80" s="48" t="s">
        <v>64</v>
      </c>
      <c r="BM80" s="48" t="s">
        <v>64</v>
      </c>
      <c r="BN80" s="850" t="str">
        <f t="shared" si="70"/>
        <v>-</v>
      </c>
      <c r="BO80" s="789" t="str">
        <f t="shared" si="71"/>
        <v>-</v>
      </c>
      <c r="BP80" s="789" t="str">
        <f t="shared" si="72"/>
        <v>-</v>
      </c>
      <c r="BQ80" s="34" t="s">
        <v>64</v>
      </c>
      <c r="BR80" s="25">
        <v>2.6680064734461668</v>
      </c>
      <c r="BS80" s="26">
        <v>2.9101902129890349</v>
      </c>
      <c r="BT80" s="605"/>
      <c r="BU80" s="599">
        <v>0.13711196077526669</v>
      </c>
      <c r="BV80" s="851">
        <v>2.4173096795748108E-2</v>
      </c>
      <c r="BW80" s="851">
        <v>5.6684902984173162E-2</v>
      </c>
      <c r="BX80" s="851">
        <v>0.11528214248739692</v>
      </c>
      <c r="BY80" s="851">
        <v>5.6091573818158403E-3</v>
      </c>
      <c r="BZ80" s="851">
        <v>3.0662091039289917E-2</v>
      </c>
      <c r="CA80" s="851">
        <v>1.9530370305840584E-2</v>
      </c>
      <c r="CB80" s="851">
        <v>2.8583716870691372E-2</v>
      </c>
      <c r="CC80" s="851">
        <v>9.862128867115582E-3</v>
      </c>
      <c r="CD80" s="851">
        <v>6.0939387507310859E-3</v>
      </c>
      <c r="CE80" s="852">
        <v>21.408742152708992</v>
      </c>
      <c r="CF80" s="852">
        <v>16.123796304122344</v>
      </c>
      <c r="CG80" s="605"/>
      <c r="CH80" s="584">
        <v>52.925699999999999</v>
      </c>
      <c r="CI80" s="576">
        <v>2.18119</v>
      </c>
      <c r="CJ80" s="576">
        <v>13.563800000000001</v>
      </c>
      <c r="CK80" s="576">
        <v>10.808</v>
      </c>
      <c r="CL80" s="576">
        <v>0.156667</v>
      </c>
      <c r="CM80" s="576">
        <v>8.1351499999999994</v>
      </c>
      <c r="CN80" s="576">
        <v>10.4375</v>
      </c>
      <c r="CO80" s="576">
        <v>2.2999700000000001</v>
      </c>
      <c r="CP80" s="576">
        <v>0.45998299999999998</v>
      </c>
      <c r="CQ80" s="576">
        <v>0.24568000000000001</v>
      </c>
      <c r="CR80" s="857">
        <v>7.2849999999999998E-3</v>
      </c>
      <c r="CS80" s="793">
        <v>531.5</v>
      </c>
      <c r="CT80" s="576">
        <f t="shared" si="73"/>
        <v>101.27407499999998</v>
      </c>
      <c r="CU80" s="576">
        <v>0.56618774169542119</v>
      </c>
      <c r="CV80" s="591">
        <v>201.00124672500442</v>
      </c>
      <c r="CW80" s="605"/>
      <c r="CX80" s="936" t="s">
        <v>1007</v>
      </c>
      <c r="CY80" s="934" t="s">
        <v>64</v>
      </c>
      <c r="CZ80" s="934" t="s">
        <v>64</v>
      </c>
      <c r="DA80" s="938" t="str">
        <f t="shared" si="74"/>
        <v>-</v>
      </c>
      <c r="DB80" s="936" t="s">
        <v>1007</v>
      </c>
      <c r="DC80" s="934" t="s">
        <v>64</v>
      </c>
      <c r="DD80" s="934" t="s">
        <v>64</v>
      </c>
      <c r="DE80" s="939" t="str">
        <f t="shared" si="75"/>
        <v>-</v>
      </c>
      <c r="DF80" s="9"/>
    </row>
    <row r="81" spans="1:110">
      <c r="A81" s="846" t="s">
        <v>579</v>
      </c>
      <c r="B81" s="41" t="s">
        <v>678</v>
      </c>
      <c r="C81" s="41" t="s">
        <v>1486</v>
      </c>
      <c r="D81" s="34" t="s">
        <v>736</v>
      </c>
      <c r="E81" s="535">
        <v>19.389810000000001</v>
      </c>
      <c r="F81" s="537">
        <v>-155.29229000000001</v>
      </c>
      <c r="G81" s="37" t="s">
        <v>997</v>
      </c>
      <c r="H81" s="860" t="s">
        <v>760</v>
      </c>
      <c r="I81" s="202" t="s">
        <v>780</v>
      </c>
      <c r="J81" t="s">
        <v>879</v>
      </c>
      <c r="K81" s="34">
        <v>2021</v>
      </c>
      <c r="L81" s="51">
        <v>15</v>
      </c>
      <c r="M81" s="52">
        <v>12</v>
      </c>
      <c r="N81" s="54">
        <f t="shared" si="59"/>
        <v>1272.3075000000001</v>
      </c>
      <c r="O81" s="54">
        <v>249.69116611343878</v>
      </c>
      <c r="P81" s="53">
        <v>12.5</v>
      </c>
      <c r="Q81" s="54">
        <v>1022.6538585904274</v>
      </c>
      <c r="R81" s="772">
        <f t="shared" si="60"/>
        <v>0.80375514403292181</v>
      </c>
      <c r="S81" s="8" t="s">
        <v>226</v>
      </c>
      <c r="T81" s="37" t="s">
        <v>132</v>
      </c>
      <c r="U81" s="21">
        <v>89.220296156190912</v>
      </c>
      <c r="V81" s="552" t="s">
        <v>423</v>
      </c>
      <c r="W81" s="552" t="s">
        <v>423</v>
      </c>
      <c r="X81" s="556">
        <v>102.98797210434348</v>
      </c>
      <c r="Y81" s="784">
        <v>7.1002256792479851E-3</v>
      </c>
      <c r="Z81" s="784">
        <v>0.1407300970419314</v>
      </c>
      <c r="AA81" s="785">
        <v>2.5205801161320828E-3</v>
      </c>
      <c r="AB81" s="32" t="str">
        <f t="shared" si="61"/>
        <v>-</v>
      </c>
      <c r="AC81" s="6" t="str">
        <f t="shared" si="62"/>
        <v>-</v>
      </c>
      <c r="AD81" s="6" t="str">
        <f t="shared" si="63"/>
        <v>-</v>
      </c>
      <c r="AE81" s="6">
        <f t="shared" si="64"/>
        <v>1283.6909213348445</v>
      </c>
      <c r="AF81" s="839">
        <v>0.86699999999999999</v>
      </c>
      <c r="AG81" s="553">
        <f t="shared" si="65"/>
        <v>0.15340253748558252</v>
      </c>
      <c r="AH81" s="69" t="s">
        <v>64</v>
      </c>
      <c r="AI81" s="9" t="s">
        <v>64</v>
      </c>
      <c r="AJ81" s="9" t="s">
        <v>64</v>
      </c>
      <c r="AK81" s="9" t="s">
        <v>64</v>
      </c>
      <c r="AL81" s="9" t="s">
        <v>64</v>
      </c>
      <c r="AM81" s="9" t="s">
        <v>64</v>
      </c>
      <c r="AN81" s="9" t="s">
        <v>64</v>
      </c>
      <c r="AO81" s="9" t="s">
        <v>64</v>
      </c>
      <c r="AP81" s="9" t="s">
        <v>64</v>
      </c>
      <c r="AQ81" s="9" t="s">
        <v>64</v>
      </c>
      <c r="AR81" s="9" t="s">
        <v>64</v>
      </c>
      <c r="AS81" s="6" t="s">
        <v>64</v>
      </c>
      <c r="AT81" s="6" t="s">
        <v>64</v>
      </c>
      <c r="AU81" s="9" t="s">
        <v>64</v>
      </c>
      <c r="AV81" s="8" t="str">
        <f t="shared" si="66"/>
        <v>-</v>
      </c>
      <c r="AW81" s="9" t="str">
        <f t="shared" si="67"/>
        <v>-</v>
      </c>
      <c r="AX81" s="8" t="s">
        <v>64</v>
      </c>
      <c r="AY81" s="789" t="s">
        <v>64</v>
      </c>
      <c r="AZ81" s="863" t="s">
        <v>895</v>
      </c>
      <c r="BA81" s="48" t="s">
        <v>64</v>
      </c>
      <c r="BB81" s="6">
        <v>143336.32219531346</v>
      </c>
      <c r="BC81" s="48">
        <v>86874.797683633995</v>
      </c>
      <c r="BD81" s="6" t="s">
        <v>998</v>
      </c>
      <c r="BE81" s="48" t="s">
        <v>998</v>
      </c>
      <c r="BF81" s="32" t="s">
        <v>1008</v>
      </c>
      <c r="BG81" s="48" t="s">
        <v>64</v>
      </c>
      <c r="BH81" s="48" t="s">
        <v>64</v>
      </c>
      <c r="BI81" s="850" t="str">
        <f t="shared" si="68"/>
        <v>-</v>
      </c>
      <c r="BJ81" s="789" t="str">
        <f t="shared" si="69"/>
        <v>-</v>
      </c>
      <c r="BK81" s="67">
        <v>448</v>
      </c>
      <c r="BL81" s="48">
        <v>44.800000000000068</v>
      </c>
      <c r="BM81" s="48">
        <v>9</v>
      </c>
      <c r="BN81" s="850">
        <f t="shared" si="70"/>
        <v>1.9081976496127999</v>
      </c>
      <c r="BO81" s="789">
        <f t="shared" si="71"/>
        <v>0.18118408216903736</v>
      </c>
      <c r="BP81" s="789">
        <f t="shared" si="72"/>
        <v>3.659537731319995E-2</v>
      </c>
      <c r="BQ81" s="861" t="s">
        <v>760</v>
      </c>
      <c r="BR81" s="45" t="s">
        <v>64</v>
      </c>
      <c r="BS81" s="854" t="s">
        <v>64</v>
      </c>
      <c r="BT81" s="605"/>
      <c r="BU81" s="599" t="s">
        <v>64</v>
      </c>
      <c r="BV81" s="851" t="s">
        <v>64</v>
      </c>
      <c r="BW81" s="851" t="s">
        <v>64</v>
      </c>
      <c r="BX81" s="851" t="s">
        <v>64</v>
      </c>
      <c r="BY81" s="851" t="s">
        <v>64</v>
      </c>
      <c r="BZ81" s="851" t="s">
        <v>64</v>
      </c>
      <c r="CA81" s="851" t="s">
        <v>64</v>
      </c>
      <c r="CB81" s="851" t="s">
        <v>64</v>
      </c>
      <c r="CC81" s="851" t="s">
        <v>64</v>
      </c>
      <c r="CD81" s="851" t="s">
        <v>64</v>
      </c>
      <c r="CE81" s="852" t="s">
        <v>64</v>
      </c>
      <c r="CF81" s="852" t="s">
        <v>64</v>
      </c>
      <c r="CG81" s="605"/>
      <c r="CH81" s="584" t="s">
        <v>64</v>
      </c>
      <c r="CI81" s="576" t="s">
        <v>64</v>
      </c>
      <c r="CJ81" s="576" t="s">
        <v>64</v>
      </c>
      <c r="CK81" s="576" t="s">
        <v>64</v>
      </c>
      <c r="CL81" s="576" t="s">
        <v>64</v>
      </c>
      <c r="CM81" s="576" t="s">
        <v>64</v>
      </c>
      <c r="CN81" s="576" t="s">
        <v>64</v>
      </c>
      <c r="CO81" s="576" t="s">
        <v>64</v>
      </c>
      <c r="CP81" s="576" t="s">
        <v>64</v>
      </c>
      <c r="CQ81" s="576" t="s">
        <v>64</v>
      </c>
      <c r="CR81" s="857" t="s">
        <v>64</v>
      </c>
      <c r="CS81" s="793" t="s">
        <v>64</v>
      </c>
      <c r="CT81" s="855" t="s">
        <v>64</v>
      </c>
      <c r="CU81" s="576" t="s">
        <v>64</v>
      </c>
      <c r="CV81" s="591" t="s">
        <v>64</v>
      </c>
      <c r="CW81" s="605"/>
      <c r="CX81" s="936" t="s">
        <v>998</v>
      </c>
      <c r="CY81" s="934" t="s">
        <v>64</v>
      </c>
      <c r="CZ81" s="934" t="s">
        <v>64</v>
      </c>
      <c r="DA81" s="938" t="str">
        <f t="shared" si="74"/>
        <v>-</v>
      </c>
      <c r="DB81" s="936" t="s">
        <v>998</v>
      </c>
      <c r="DC81" s="934" t="s">
        <v>64</v>
      </c>
      <c r="DD81" s="934" t="s">
        <v>64</v>
      </c>
      <c r="DE81" s="939" t="str">
        <f t="shared" si="75"/>
        <v>-</v>
      </c>
      <c r="DF81" s="19"/>
    </row>
    <row r="82" spans="1:110">
      <c r="A82" s="846" t="s">
        <v>580</v>
      </c>
      <c r="B82" s="41" t="s">
        <v>678</v>
      </c>
      <c r="C82" s="41" t="s">
        <v>1486</v>
      </c>
      <c r="D82" s="34" t="s">
        <v>736</v>
      </c>
      <c r="E82" s="535">
        <v>19.389810000000001</v>
      </c>
      <c r="F82" s="537">
        <v>-155.29229000000001</v>
      </c>
      <c r="G82" s="37" t="s">
        <v>998</v>
      </c>
      <c r="H82" s="860" t="s">
        <v>999</v>
      </c>
      <c r="I82" s="202" t="s">
        <v>64</v>
      </c>
      <c r="J82" t="s">
        <v>880</v>
      </c>
      <c r="K82" s="34">
        <v>2021</v>
      </c>
      <c r="L82" s="51" t="s">
        <v>998</v>
      </c>
      <c r="M82" s="52" t="s">
        <v>998</v>
      </c>
      <c r="N82" s="54" t="str">
        <f>L82</f>
        <v>fluid inclusion</v>
      </c>
      <c r="O82" s="54" t="s">
        <v>998</v>
      </c>
      <c r="P82" s="53">
        <v>10</v>
      </c>
      <c r="Q82" s="54">
        <v>523.59877559829886</v>
      </c>
      <c r="R82" s="772">
        <f t="shared" si="60"/>
        <v>1</v>
      </c>
      <c r="S82" s="8" t="s">
        <v>226</v>
      </c>
      <c r="T82" s="37" t="s">
        <v>132</v>
      </c>
      <c r="U82" s="21">
        <v>89.220296156190912</v>
      </c>
      <c r="V82" s="552" t="s">
        <v>423</v>
      </c>
      <c r="W82" s="552" t="s">
        <v>423</v>
      </c>
      <c r="X82" s="556">
        <v>102.9771722324932</v>
      </c>
      <c r="Y82" s="784">
        <v>8.8160752149744268E-3</v>
      </c>
      <c r="Z82" s="784">
        <v>0.13689614253508608</v>
      </c>
      <c r="AA82" s="785">
        <v>3.1297067013154561E-3</v>
      </c>
      <c r="AB82" s="32" t="str">
        <f t="shared" si="61"/>
        <v>-</v>
      </c>
      <c r="AC82" s="6" t="str">
        <f t="shared" si="62"/>
        <v>-</v>
      </c>
      <c r="AD82" s="6" t="str">
        <f t="shared" si="63"/>
        <v>-</v>
      </c>
      <c r="AE82" s="6">
        <f t="shared" si="64"/>
        <v>1283.6909213348445</v>
      </c>
      <c r="AF82" s="839" t="s">
        <v>998</v>
      </c>
      <c r="AG82" s="553" t="str">
        <f t="shared" si="65"/>
        <v>-</v>
      </c>
      <c r="AH82" s="69" t="s">
        <v>64</v>
      </c>
      <c r="AI82" s="9" t="s">
        <v>64</v>
      </c>
      <c r="AJ82" s="9" t="s">
        <v>64</v>
      </c>
      <c r="AK82" s="9" t="s">
        <v>64</v>
      </c>
      <c r="AL82" s="9" t="s">
        <v>64</v>
      </c>
      <c r="AM82" s="9" t="s">
        <v>64</v>
      </c>
      <c r="AN82" s="9" t="s">
        <v>64</v>
      </c>
      <c r="AO82" s="9" t="s">
        <v>64</v>
      </c>
      <c r="AP82" s="9" t="s">
        <v>64</v>
      </c>
      <c r="AQ82" s="9" t="s">
        <v>64</v>
      </c>
      <c r="AR82" s="9" t="s">
        <v>64</v>
      </c>
      <c r="AS82" s="6" t="s">
        <v>64</v>
      </c>
      <c r="AT82" s="6" t="s">
        <v>64</v>
      </c>
      <c r="AU82" s="9" t="s">
        <v>64</v>
      </c>
      <c r="AV82" s="8" t="str">
        <f t="shared" si="66"/>
        <v>-</v>
      </c>
      <c r="AW82" s="9" t="str">
        <f t="shared" si="67"/>
        <v>-</v>
      </c>
      <c r="AX82" s="8" t="s">
        <v>64</v>
      </c>
      <c r="AY82" s="789" t="s">
        <v>64</v>
      </c>
      <c r="AZ82" s="6" t="s">
        <v>64</v>
      </c>
      <c r="BA82" s="48" t="s">
        <v>64</v>
      </c>
      <c r="BB82" s="6" t="s">
        <v>64</v>
      </c>
      <c r="BC82" s="48" t="s">
        <v>64</v>
      </c>
      <c r="BD82" s="849" t="s">
        <v>64</v>
      </c>
      <c r="BE82" s="48" t="s">
        <v>64</v>
      </c>
      <c r="BF82" s="32" t="s">
        <v>1008</v>
      </c>
      <c r="BG82" s="48" t="s">
        <v>64</v>
      </c>
      <c r="BH82" s="48" t="s">
        <v>64</v>
      </c>
      <c r="BI82" s="850" t="str">
        <f t="shared" si="68"/>
        <v>-</v>
      </c>
      <c r="BJ82" s="789" t="str">
        <f t="shared" si="69"/>
        <v>-</v>
      </c>
      <c r="BK82" s="67">
        <v>435</v>
      </c>
      <c r="BL82" s="48">
        <v>43.500000000000057</v>
      </c>
      <c r="BM82" s="48">
        <v>11</v>
      </c>
      <c r="BN82" s="850">
        <f t="shared" si="70"/>
        <v>1.8553163206499999</v>
      </c>
      <c r="BO82" s="789">
        <f t="shared" si="71"/>
        <v>0.17640818161515015</v>
      </c>
      <c r="BP82" s="789">
        <f t="shared" si="72"/>
        <v>4.4854349808399974E-2</v>
      </c>
      <c r="BQ82" s="861" t="s">
        <v>912</v>
      </c>
      <c r="BR82" s="45" t="s">
        <v>64</v>
      </c>
      <c r="BS82" s="854" t="s">
        <v>64</v>
      </c>
      <c r="BT82" s="605"/>
      <c r="BU82" s="599" t="s">
        <v>64</v>
      </c>
      <c r="BV82" s="851" t="s">
        <v>64</v>
      </c>
      <c r="BW82" s="851" t="s">
        <v>64</v>
      </c>
      <c r="BX82" s="851" t="s">
        <v>64</v>
      </c>
      <c r="BY82" s="851" t="s">
        <v>64</v>
      </c>
      <c r="BZ82" s="851" t="s">
        <v>64</v>
      </c>
      <c r="CA82" s="851" t="s">
        <v>64</v>
      </c>
      <c r="CB82" s="851" t="s">
        <v>64</v>
      </c>
      <c r="CC82" s="851" t="s">
        <v>64</v>
      </c>
      <c r="CD82" s="851" t="s">
        <v>64</v>
      </c>
      <c r="CE82" s="852" t="s">
        <v>64</v>
      </c>
      <c r="CF82" s="852" t="s">
        <v>64</v>
      </c>
      <c r="CG82" s="605"/>
      <c r="CH82" s="584" t="s">
        <v>64</v>
      </c>
      <c r="CI82" s="576" t="s">
        <v>64</v>
      </c>
      <c r="CJ82" s="576" t="s">
        <v>64</v>
      </c>
      <c r="CK82" s="576" t="s">
        <v>64</v>
      </c>
      <c r="CL82" s="576" t="s">
        <v>64</v>
      </c>
      <c r="CM82" s="576" t="s">
        <v>64</v>
      </c>
      <c r="CN82" s="576" t="s">
        <v>64</v>
      </c>
      <c r="CO82" s="576" t="s">
        <v>64</v>
      </c>
      <c r="CP82" s="576" t="s">
        <v>64</v>
      </c>
      <c r="CQ82" s="576" t="s">
        <v>64</v>
      </c>
      <c r="CR82" s="857" t="s">
        <v>64</v>
      </c>
      <c r="CS82" s="793" t="s">
        <v>64</v>
      </c>
      <c r="CT82" s="855" t="s">
        <v>64</v>
      </c>
      <c r="CU82" s="576" t="s">
        <v>64</v>
      </c>
      <c r="CV82" s="591" t="s">
        <v>64</v>
      </c>
      <c r="CW82" s="605"/>
      <c r="CX82" s="936" t="s">
        <v>64</v>
      </c>
      <c r="CY82" s="934" t="s">
        <v>64</v>
      </c>
      <c r="CZ82" s="934" t="s">
        <v>64</v>
      </c>
      <c r="DA82" s="938" t="str">
        <f t="shared" si="74"/>
        <v>-</v>
      </c>
      <c r="DB82" s="936" t="s">
        <v>64</v>
      </c>
      <c r="DC82" s="934" t="s">
        <v>64</v>
      </c>
      <c r="DD82" s="934" t="s">
        <v>64</v>
      </c>
      <c r="DE82" s="939" t="str">
        <f t="shared" si="75"/>
        <v>-</v>
      </c>
      <c r="DF82" s="19"/>
    </row>
    <row r="83" spans="1:110">
      <c r="A83" s="846" t="s">
        <v>581</v>
      </c>
      <c r="B83" s="41" t="s">
        <v>678</v>
      </c>
      <c r="C83" s="41" t="s">
        <v>1486</v>
      </c>
      <c r="D83" s="34" t="s">
        <v>736</v>
      </c>
      <c r="E83" s="535">
        <v>19.389810000000001</v>
      </c>
      <c r="F83" s="537">
        <v>-155.29229000000001</v>
      </c>
      <c r="G83" s="37" t="s">
        <v>405</v>
      </c>
      <c r="H83" s="37" t="s">
        <v>64</v>
      </c>
      <c r="I83" s="202" t="s">
        <v>780</v>
      </c>
      <c r="J83" t="s">
        <v>879</v>
      </c>
      <c r="K83" s="34">
        <v>2021</v>
      </c>
      <c r="L83" s="51">
        <v>45</v>
      </c>
      <c r="M83" s="52">
        <v>50</v>
      </c>
      <c r="N83" s="54">
        <f t="shared" si="59"/>
        <v>55957.968750000007</v>
      </c>
      <c r="O83" s="54">
        <v>54671.369804555521</v>
      </c>
      <c r="P83" s="53">
        <v>13.5</v>
      </c>
      <c r="Q83" s="54">
        <v>1288.2493375126644</v>
      </c>
      <c r="R83" s="772">
        <f t="shared" si="60"/>
        <v>2.3021052631578946E-2</v>
      </c>
      <c r="S83" s="8" t="s">
        <v>226</v>
      </c>
      <c r="T83" s="37" t="s">
        <v>132</v>
      </c>
      <c r="U83" s="21">
        <v>89.220296156190912</v>
      </c>
      <c r="V83" s="552" t="s">
        <v>423</v>
      </c>
      <c r="W83" s="552" t="s">
        <v>423</v>
      </c>
      <c r="X83" s="556" t="s">
        <v>292</v>
      </c>
      <c r="Y83" s="784" t="s">
        <v>64</v>
      </c>
      <c r="Z83" s="784" t="s">
        <v>292</v>
      </c>
      <c r="AA83" s="785" t="s">
        <v>64</v>
      </c>
      <c r="AB83" s="32" t="str">
        <f t="shared" si="61"/>
        <v>-</v>
      </c>
      <c r="AC83" s="6" t="str">
        <f t="shared" si="62"/>
        <v>-</v>
      </c>
      <c r="AD83" s="6" t="str">
        <f t="shared" si="63"/>
        <v>-</v>
      </c>
      <c r="AE83" s="6">
        <f t="shared" si="64"/>
        <v>1283.6909213348445</v>
      </c>
      <c r="AF83" s="839">
        <v>0.86699999999999999</v>
      </c>
      <c r="AG83" s="553">
        <f t="shared" si="65"/>
        <v>0.15340253748558252</v>
      </c>
      <c r="AH83" s="69" t="s">
        <v>64</v>
      </c>
      <c r="AI83" s="9" t="s">
        <v>64</v>
      </c>
      <c r="AJ83" s="9" t="s">
        <v>64</v>
      </c>
      <c r="AK83" s="9" t="s">
        <v>64</v>
      </c>
      <c r="AL83" s="9" t="s">
        <v>64</v>
      </c>
      <c r="AM83" s="9" t="s">
        <v>64</v>
      </c>
      <c r="AN83" s="9" t="s">
        <v>64</v>
      </c>
      <c r="AO83" s="9" t="s">
        <v>64</v>
      </c>
      <c r="AP83" s="9" t="s">
        <v>64</v>
      </c>
      <c r="AQ83" s="9" t="s">
        <v>64</v>
      </c>
      <c r="AR83" s="9" t="s">
        <v>64</v>
      </c>
      <c r="AS83" s="6" t="s">
        <v>64</v>
      </c>
      <c r="AT83" s="6" t="s">
        <v>64</v>
      </c>
      <c r="AU83" s="9" t="s">
        <v>64</v>
      </c>
      <c r="AV83" s="8" t="str">
        <f t="shared" si="66"/>
        <v>-</v>
      </c>
      <c r="AW83" s="9" t="str">
        <f t="shared" si="67"/>
        <v>-</v>
      </c>
      <c r="AX83" s="8" t="s">
        <v>64</v>
      </c>
      <c r="AY83" s="789" t="s">
        <v>64</v>
      </c>
      <c r="AZ83" s="6" t="s">
        <v>64</v>
      </c>
      <c r="BA83" s="48" t="s">
        <v>64</v>
      </c>
      <c r="BB83" s="6" t="s">
        <v>292</v>
      </c>
      <c r="BC83" s="48" t="s">
        <v>292</v>
      </c>
      <c r="BD83" s="849" t="s">
        <v>64</v>
      </c>
      <c r="BE83" s="48" t="s">
        <v>64</v>
      </c>
      <c r="BF83" s="668" t="s">
        <v>64</v>
      </c>
      <c r="BG83" s="48" t="s">
        <v>64</v>
      </c>
      <c r="BH83" s="48" t="s">
        <v>64</v>
      </c>
      <c r="BI83" s="850" t="str">
        <f t="shared" si="68"/>
        <v>-</v>
      </c>
      <c r="BJ83" s="789" t="str">
        <f t="shared" si="69"/>
        <v>-</v>
      </c>
      <c r="BK83" s="67" t="s">
        <v>64</v>
      </c>
      <c r="BL83" s="48" t="s">
        <v>64</v>
      </c>
      <c r="BM83" s="48" t="s">
        <v>64</v>
      </c>
      <c r="BN83" s="850" t="str">
        <f t="shared" si="70"/>
        <v>-</v>
      </c>
      <c r="BO83" s="789" t="str">
        <f t="shared" si="71"/>
        <v>-</v>
      </c>
      <c r="BP83" s="789" t="str">
        <f t="shared" si="72"/>
        <v>-</v>
      </c>
      <c r="BQ83" s="34" t="s">
        <v>64</v>
      </c>
      <c r="BR83" s="45" t="s">
        <v>64</v>
      </c>
      <c r="BS83" s="854" t="s">
        <v>64</v>
      </c>
      <c r="BT83" s="605"/>
      <c r="BU83" s="599" t="s">
        <v>64</v>
      </c>
      <c r="BV83" s="851" t="s">
        <v>64</v>
      </c>
      <c r="BW83" s="851" t="s">
        <v>64</v>
      </c>
      <c r="BX83" s="851" t="s">
        <v>64</v>
      </c>
      <c r="BY83" s="851" t="s">
        <v>64</v>
      </c>
      <c r="BZ83" s="851" t="s">
        <v>64</v>
      </c>
      <c r="CA83" s="851" t="s">
        <v>64</v>
      </c>
      <c r="CB83" s="851" t="s">
        <v>64</v>
      </c>
      <c r="CC83" s="851" t="s">
        <v>64</v>
      </c>
      <c r="CD83" s="851" t="s">
        <v>64</v>
      </c>
      <c r="CE83" s="852" t="s">
        <v>64</v>
      </c>
      <c r="CF83" s="852" t="s">
        <v>64</v>
      </c>
      <c r="CG83" s="605"/>
      <c r="CH83" s="584" t="s">
        <v>64</v>
      </c>
      <c r="CI83" s="576" t="s">
        <v>64</v>
      </c>
      <c r="CJ83" s="576" t="s">
        <v>64</v>
      </c>
      <c r="CK83" s="576" t="s">
        <v>64</v>
      </c>
      <c r="CL83" s="576" t="s">
        <v>64</v>
      </c>
      <c r="CM83" s="576" t="s">
        <v>64</v>
      </c>
      <c r="CN83" s="576" t="s">
        <v>64</v>
      </c>
      <c r="CO83" s="576" t="s">
        <v>64</v>
      </c>
      <c r="CP83" s="576" t="s">
        <v>64</v>
      </c>
      <c r="CQ83" s="576" t="s">
        <v>64</v>
      </c>
      <c r="CR83" s="857" t="s">
        <v>64</v>
      </c>
      <c r="CS83" s="793" t="s">
        <v>64</v>
      </c>
      <c r="CT83" s="855" t="s">
        <v>64</v>
      </c>
      <c r="CU83" s="576" t="s">
        <v>64</v>
      </c>
      <c r="CV83" s="591" t="s">
        <v>64</v>
      </c>
      <c r="CW83" s="605"/>
      <c r="CX83" s="936" t="s">
        <v>64</v>
      </c>
      <c r="CY83" s="934" t="s">
        <v>64</v>
      </c>
      <c r="CZ83" s="934" t="s">
        <v>64</v>
      </c>
      <c r="DA83" s="938" t="str">
        <f t="shared" si="74"/>
        <v>-</v>
      </c>
      <c r="DB83" s="936" t="s">
        <v>64</v>
      </c>
      <c r="DC83" s="934" t="s">
        <v>64</v>
      </c>
      <c r="DD83" s="934" t="s">
        <v>64</v>
      </c>
      <c r="DE83" s="939" t="str">
        <f t="shared" si="75"/>
        <v>-</v>
      </c>
      <c r="DF83" s="19"/>
    </row>
    <row r="84" spans="1:110">
      <c r="A84" s="846" t="s">
        <v>583</v>
      </c>
      <c r="B84" s="41" t="s">
        <v>678</v>
      </c>
      <c r="C84" s="41" t="s">
        <v>1486</v>
      </c>
      <c r="D84" s="34" t="s">
        <v>736</v>
      </c>
      <c r="E84" s="535">
        <v>19.389810000000001</v>
      </c>
      <c r="F84" s="537">
        <v>-155.29229000000001</v>
      </c>
      <c r="G84" s="37" t="s">
        <v>405</v>
      </c>
      <c r="H84" s="37" t="s">
        <v>64</v>
      </c>
      <c r="I84" s="202" t="s">
        <v>780</v>
      </c>
      <c r="J84" t="s">
        <v>879</v>
      </c>
      <c r="K84" s="34">
        <v>2021</v>
      </c>
      <c r="L84" s="51">
        <v>45</v>
      </c>
      <c r="M84" s="52">
        <v>40</v>
      </c>
      <c r="N84" s="54">
        <f t="shared" ref="N84:N110" si="79">(4*3.1415/3)*(L84/2)*(M84/2)*(AVERAGE(L84,M84)/2)</f>
        <v>40054.125000000007</v>
      </c>
      <c r="O84" s="54">
        <v>38288.160465625602</v>
      </c>
      <c r="P84" s="53">
        <v>15</v>
      </c>
      <c r="Q84" s="54">
        <v>1767.1458676442585</v>
      </c>
      <c r="R84" s="772">
        <f t="shared" ref="R84:R110" si="80">IF(Q84="no bubble",0,IF(H84="Isolated fluid inclusion",1,Q84/(Q84+O84)))</f>
        <v>4.4117647058823532E-2</v>
      </c>
      <c r="S84" s="8" t="s">
        <v>226</v>
      </c>
      <c r="T84" s="37" t="s">
        <v>132</v>
      </c>
      <c r="U84" s="21">
        <v>89.220296156190912</v>
      </c>
      <c r="V84" s="552" t="s">
        <v>423</v>
      </c>
      <c r="W84" s="552" t="s">
        <v>423</v>
      </c>
      <c r="X84" s="556" t="s">
        <v>292</v>
      </c>
      <c r="Y84" s="784" t="s">
        <v>64</v>
      </c>
      <c r="Z84" s="784" t="s">
        <v>292</v>
      </c>
      <c r="AA84" s="785" t="s">
        <v>64</v>
      </c>
      <c r="AB84" s="32" t="str">
        <f t="shared" si="61"/>
        <v>-</v>
      </c>
      <c r="AC84" s="6" t="str">
        <f t="shared" ref="AC84:AC110" si="81">IF(ISNUMBER(CM84), 20.1*CM84+1014,"-")</f>
        <v>-</v>
      </c>
      <c r="AD84" s="6" t="str">
        <f t="shared" ref="AD84:AD110" si="82">IF(AND(ISNUMBER(AB84),ISNUMBER(AC84)),AB84-AC84,"-")</f>
        <v>-</v>
      </c>
      <c r="AE84" s="6">
        <f t="shared" si="64"/>
        <v>1283.6909213348445</v>
      </c>
      <c r="AF84" s="839">
        <v>0.86699999999999999</v>
      </c>
      <c r="AG84" s="553">
        <f t="shared" ref="AG84:AG110" si="83">IF(ISNUMBER(AF84),(1/AF84)-1,"-")</f>
        <v>0.15340253748558252</v>
      </c>
      <c r="AH84" s="69" t="s">
        <v>64</v>
      </c>
      <c r="AI84" s="9" t="s">
        <v>64</v>
      </c>
      <c r="AJ84" s="9" t="s">
        <v>64</v>
      </c>
      <c r="AK84" s="9" t="s">
        <v>64</v>
      </c>
      <c r="AL84" s="9" t="s">
        <v>64</v>
      </c>
      <c r="AM84" s="9" t="s">
        <v>64</v>
      </c>
      <c r="AN84" s="9" t="s">
        <v>64</v>
      </c>
      <c r="AO84" s="9" t="s">
        <v>64</v>
      </c>
      <c r="AP84" s="9" t="s">
        <v>64</v>
      </c>
      <c r="AQ84" s="9" t="s">
        <v>64</v>
      </c>
      <c r="AR84" s="9" t="s">
        <v>64</v>
      </c>
      <c r="AS84" s="6" t="s">
        <v>64</v>
      </c>
      <c r="AT84" s="6" t="s">
        <v>64</v>
      </c>
      <c r="AU84" s="9" t="s">
        <v>64</v>
      </c>
      <c r="AV84" s="8" t="str">
        <f t="shared" si="66"/>
        <v>-</v>
      </c>
      <c r="AW84" s="9" t="str">
        <f t="shared" si="67"/>
        <v>-</v>
      </c>
      <c r="AX84" s="8" t="s">
        <v>64</v>
      </c>
      <c r="AY84" s="789" t="s">
        <v>64</v>
      </c>
      <c r="AZ84" s="6" t="s">
        <v>64</v>
      </c>
      <c r="BA84" s="48" t="s">
        <v>64</v>
      </c>
      <c r="BB84" s="6" t="s">
        <v>292</v>
      </c>
      <c r="BC84" s="48" t="s">
        <v>292</v>
      </c>
      <c r="BD84" s="849" t="s">
        <v>64</v>
      </c>
      <c r="BE84" s="48" t="s">
        <v>64</v>
      </c>
      <c r="BF84" s="668" t="s">
        <v>64</v>
      </c>
      <c r="BG84" s="48" t="s">
        <v>64</v>
      </c>
      <c r="BH84" s="48" t="s">
        <v>64</v>
      </c>
      <c r="BI84" s="850" t="str">
        <f t="shared" ref="BI84:BI110" si="84">IF(NOT(ISNUMBER(BF84)),"-",(0.0684*((BF84/1000))^3 - 0.5008*((BF84/1000))^2 + 4.47*((BF84/1000))))</f>
        <v>-</v>
      </c>
      <c r="BJ84" s="789" t="str">
        <f t="shared" ref="BJ84:BJ110" si="85">IF(NOT(ISNUMBER(BF84)),"-",AVERAGE(ABS(BI84-(0.0684*(((BF84+BG84)/1000))^3-0.5008*(((BF84+BG84)/1000))^2+4.47*(((BF84+BG84)/1000)))),ABS(BI84-(0.0684*(((BF84-BG84)/1000))^3-0.5008*(((BF84-BG84)/1000))^2+4.47*(((BF84-BG84)/1000))))))</f>
        <v>-</v>
      </c>
      <c r="BK84" s="67" t="s">
        <v>64</v>
      </c>
      <c r="BL84" s="48" t="s">
        <v>64</v>
      </c>
      <c r="BM84" s="48" t="s">
        <v>64</v>
      </c>
      <c r="BN84" s="850" t="str">
        <f t="shared" ref="BN84:BN110" si="86">IF(ISNUMBER(BK84),(0.0684*((BK84/1000))^3 - 0.5008*((BK84/1000))^2 + 4.47*((BK84/1000))),"-")</f>
        <v>-</v>
      </c>
      <c r="BO84" s="789" t="str">
        <f t="shared" si="71"/>
        <v>-</v>
      </c>
      <c r="BP84" s="789" t="str">
        <f t="shared" si="72"/>
        <v>-</v>
      </c>
      <c r="BQ84" s="34" t="s">
        <v>64</v>
      </c>
      <c r="BR84" s="45" t="s">
        <v>64</v>
      </c>
      <c r="BS84" s="854" t="s">
        <v>64</v>
      </c>
      <c r="BT84" s="605"/>
      <c r="BU84" s="599" t="s">
        <v>64</v>
      </c>
      <c r="BV84" s="851" t="s">
        <v>64</v>
      </c>
      <c r="BW84" s="851" t="s">
        <v>64</v>
      </c>
      <c r="BX84" s="851" t="s">
        <v>64</v>
      </c>
      <c r="BY84" s="851" t="s">
        <v>64</v>
      </c>
      <c r="BZ84" s="851" t="s">
        <v>64</v>
      </c>
      <c r="CA84" s="851" t="s">
        <v>64</v>
      </c>
      <c r="CB84" s="851" t="s">
        <v>64</v>
      </c>
      <c r="CC84" s="851" t="s">
        <v>64</v>
      </c>
      <c r="CD84" s="851" t="s">
        <v>64</v>
      </c>
      <c r="CE84" s="852" t="s">
        <v>64</v>
      </c>
      <c r="CF84" s="852" t="s">
        <v>64</v>
      </c>
      <c r="CG84" s="605"/>
      <c r="CH84" s="584" t="s">
        <v>64</v>
      </c>
      <c r="CI84" s="576" t="s">
        <v>64</v>
      </c>
      <c r="CJ84" s="576" t="s">
        <v>64</v>
      </c>
      <c r="CK84" s="576" t="s">
        <v>64</v>
      </c>
      <c r="CL84" s="576" t="s">
        <v>64</v>
      </c>
      <c r="CM84" s="576" t="s">
        <v>64</v>
      </c>
      <c r="CN84" s="576" t="s">
        <v>64</v>
      </c>
      <c r="CO84" s="576" t="s">
        <v>64</v>
      </c>
      <c r="CP84" s="576" t="s">
        <v>64</v>
      </c>
      <c r="CQ84" s="576" t="s">
        <v>64</v>
      </c>
      <c r="CR84" s="857" t="s">
        <v>64</v>
      </c>
      <c r="CS84" s="793" t="s">
        <v>64</v>
      </c>
      <c r="CT84" s="855" t="s">
        <v>64</v>
      </c>
      <c r="CU84" s="576" t="s">
        <v>64</v>
      </c>
      <c r="CV84" s="591" t="s">
        <v>64</v>
      </c>
      <c r="CW84" s="605"/>
      <c r="CX84" s="936" t="s">
        <v>64</v>
      </c>
      <c r="CY84" s="934" t="s">
        <v>64</v>
      </c>
      <c r="CZ84" s="934" t="s">
        <v>64</v>
      </c>
      <c r="DA84" s="938" t="str">
        <f t="shared" ref="DA84:DA110" si="87">IF(NOT(ISNUMBER(CX84)),"-",(0.0684*((CX84/1000))^3 - 0.5008*((CX84/1000))^2 + 4.47*((CX84/1000))))</f>
        <v>-</v>
      </c>
      <c r="DB84" s="936" t="s">
        <v>64</v>
      </c>
      <c r="DC84" s="934" t="s">
        <v>64</v>
      </c>
      <c r="DD84" s="934" t="s">
        <v>64</v>
      </c>
      <c r="DE84" s="939" t="str">
        <f t="shared" ref="DE84:DE110" si="88">IF(NOT(ISNUMBER(DB84)),"-",(0.0684*((DB84/1000))^3 - 0.5008*((DB84/1000))^2 + 4.47*((DB84/1000))))</f>
        <v>-</v>
      </c>
      <c r="DF84" s="19"/>
    </row>
    <row r="85" spans="1:110">
      <c r="A85" s="846" t="s">
        <v>663</v>
      </c>
      <c r="B85" s="41" t="s">
        <v>678</v>
      </c>
      <c r="C85" s="41" t="s">
        <v>1486</v>
      </c>
      <c r="D85" s="34" t="s">
        <v>736</v>
      </c>
      <c r="E85" s="535">
        <v>19.389810000000001</v>
      </c>
      <c r="F85" s="537">
        <v>-155.29229000000001</v>
      </c>
      <c r="G85" s="37" t="s">
        <v>405</v>
      </c>
      <c r="H85" s="37" t="s">
        <v>64</v>
      </c>
      <c r="I85" s="202" t="s">
        <v>780</v>
      </c>
      <c r="J85" t="s">
        <v>913</v>
      </c>
      <c r="K85" s="34">
        <v>2021</v>
      </c>
      <c r="L85" s="51">
        <v>200</v>
      </c>
      <c r="M85" s="52">
        <v>150</v>
      </c>
      <c r="N85" s="54">
        <f t="shared" si="79"/>
        <v>2748812.5000000005</v>
      </c>
      <c r="O85" s="54">
        <v>2677374.7569831689</v>
      </c>
      <c r="P85" s="53">
        <v>51.5</v>
      </c>
      <c r="Q85" s="54">
        <v>71518.814907900291</v>
      </c>
      <c r="R85" s="772">
        <f t="shared" si="80"/>
        <v>2.6017309523809519E-2</v>
      </c>
      <c r="S85" s="8" t="s">
        <v>227</v>
      </c>
      <c r="T85" s="37" t="s">
        <v>132</v>
      </c>
      <c r="U85" s="21">
        <v>89.19767927805249</v>
      </c>
      <c r="V85" s="552" t="s">
        <v>423</v>
      </c>
      <c r="W85" s="552" t="s">
        <v>423</v>
      </c>
      <c r="X85" s="556">
        <v>102.90294063499478</v>
      </c>
      <c r="Y85" s="784">
        <v>4.5892653204824673E-3</v>
      </c>
      <c r="Z85" s="784">
        <v>0.11054392542314417</v>
      </c>
      <c r="AA85" s="785">
        <v>1.6291891887717817E-3</v>
      </c>
      <c r="AB85" s="32" t="str">
        <f t="shared" si="61"/>
        <v>-</v>
      </c>
      <c r="AC85" s="6" t="str">
        <f t="shared" si="81"/>
        <v>-</v>
      </c>
      <c r="AD85" s="6" t="str">
        <f t="shared" si="82"/>
        <v>-</v>
      </c>
      <c r="AE85" s="6">
        <f t="shared" si="64"/>
        <v>1283.1668310300192</v>
      </c>
      <c r="AF85" s="839">
        <v>0.89200000000000002</v>
      </c>
      <c r="AG85" s="553">
        <f t="shared" si="83"/>
        <v>0.12107623318385641</v>
      </c>
      <c r="AH85" s="69" t="s">
        <v>64</v>
      </c>
      <c r="AI85" s="9" t="s">
        <v>64</v>
      </c>
      <c r="AJ85" s="9" t="s">
        <v>64</v>
      </c>
      <c r="AK85" s="9" t="s">
        <v>64</v>
      </c>
      <c r="AL85" s="9" t="s">
        <v>64</v>
      </c>
      <c r="AM85" s="9" t="s">
        <v>64</v>
      </c>
      <c r="AN85" s="9" t="s">
        <v>64</v>
      </c>
      <c r="AO85" s="9" t="s">
        <v>64</v>
      </c>
      <c r="AP85" s="9" t="s">
        <v>64</v>
      </c>
      <c r="AQ85" s="9" t="s">
        <v>64</v>
      </c>
      <c r="AR85" s="9" t="s">
        <v>64</v>
      </c>
      <c r="AS85" s="6" t="s">
        <v>64</v>
      </c>
      <c r="AT85" s="6" t="s">
        <v>64</v>
      </c>
      <c r="AU85" s="9" t="s">
        <v>64</v>
      </c>
      <c r="AV85" s="8" t="str">
        <f t="shared" si="66"/>
        <v>-</v>
      </c>
      <c r="AW85" s="9" t="str">
        <f t="shared" si="67"/>
        <v>-</v>
      </c>
      <c r="AX85" s="8" t="s">
        <v>64</v>
      </c>
      <c r="AY85" s="789" t="s">
        <v>64</v>
      </c>
      <c r="AZ85" s="863" t="s">
        <v>895</v>
      </c>
      <c r="BA85" s="48" t="s">
        <v>64</v>
      </c>
      <c r="BB85" s="6">
        <v>904.22689830411105</v>
      </c>
      <c r="BC85" s="48">
        <v>27.630834736548998</v>
      </c>
      <c r="BD85" s="849">
        <v>1052.226898304111</v>
      </c>
      <c r="BE85" s="48">
        <v>31.344904342468215</v>
      </c>
      <c r="BF85" s="668">
        <v>2036.8884065043289</v>
      </c>
      <c r="BG85" s="48">
        <v>51.122973032141999</v>
      </c>
      <c r="BH85" s="48">
        <v>51.527749869743047</v>
      </c>
      <c r="BI85" s="850">
        <f t="shared" si="84"/>
        <v>7.6051547464246623</v>
      </c>
      <c r="BJ85" s="789">
        <f t="shared" si="85"/>
        <v>0.16775433938881168</v>
      </c>
      <c r="BK85" s="67" t="s">
        <v>64</v>
      </c>
      <c r="BL85" s="48" t="s">
        <v>64</v>
      </c>
      <c r="BM85" s="48" t="s">
        <v>64</v>
      </c>
      <c r="BN85" s="850" t="str">
        <f t="shared" si="86"/>
        <v>-</v>
      </c>
      <c r="BO85" s="789" t="str">
        <f t="shared" si="71"/>
        <v>-</v>
      </c>
      <c r="BP85" s="789" t="str">
        <f t="shared" si="72"/>
        <v>-</v>
      </c>
      <c r="BQ85" s="34" t="s">
        <v>64</v>
      </c>
      <c r="BR85" s="45" t="s">
        <v>64</v>
      </c>
      <c r="BS85" s="854" t="s">
        <v>64</v>
      </c>
      <c r="BT85" s="605"/>
      <c r="BU85" s="599" t="s">
        <v>64</v>
      </c>
      <c r="BV85" s="851" t="s">
        <v>64</v>
      </c>
      <c r="BW85" s="851" t="s">
        <v>64</v>
      </c>
      <c r="BX85" s="851" t="s">
        <v>64</v>
      </c>
      <c r="BY85" s="851" t="s">
        <v>64</v>
      </c>
      <c r="BZ85" s="851" t="s">
        <v>64</v>
      </c>
      <c r="CA85" s="851" t="s">
        <v>64</v>
      </c>
      <c r="CB85" s="851" t="s">
        <v>64</v>
      </c>
      <c r="CC85" s="851" t="s">
        <v>64</v>
      </c>
      <c r="CD85" s="851" t="s">
        <v>64</v>
      </c>
      <c r="CE85" s="852" t="s">
        <v>64</v>
      </c>
      <c r="CF85" s="852" t="s">
        <v>64</v>
      </c>
      <c r="CG85" s="605"/>
      <c r="CH85" s="584" t="s">
        <v>64</v>
      </c>
      <c r="CI85" s="576" t="s">
        <v>64</v>
      </c>
      <c r="CJ85" s="576" t="s">
        <v>64</v>
      </c>
      <c r="CK85" s="576" t="s">
        <v>64</v>
      </c>
      <c r="CL85" s="576" t="s">
        <v>64</v>
      </c>
      <c r="CM85" s="576" t="s">
        <v>64</v>
      </c>
      <c r="CN85" s="576" t="s">
        <v>64</v>
      </c>
      <c r="CO85" s="576" t="s">
        <v>64</v>
      </c>
      <c r="CP85" s="576" t="s">
        <v>64</v>
      </c>
      <c r="CQ85" s="576" t="s">
        <v>64</v>
      </c>
      <c r="CR85" s="857" t="s">
        <v>64</v>
      </c>
      <c r="CS85" s="793" t="s">
        <v>64</v>
      </c>
      <c r="CT85" s="855" t="s">
        <v>64</v>
      </c>
      <c r="CU85" s="576" t="s">
        <v>64</v>
      </c>
      <c r="CV85" s="591" t="s">
        <v>64</v>
      </c>
      <c r="CW85" s="605"/>
      <c r="CX85" s="936">
        <v>2176.0111552774961</v>
      </c>
      <c r="CY85" s="934">
        <v>59.115360782987864</v>
      </c>
      <c r="CZ85" s="934">
        <v>59.394944951412072</v>
      </c>
      <c r="DA85" s="938">
        <f t="shared" si="87"/>
        <v>8.0602266610981008</v>
      </c>
      <c r="DB85" s="936">
        <v>1533.5642474182041</v>
      </c>
      <c r="DC85" s="934">
        <v>39.648473494273958</v>
      </c>
      <c r="DD85" s="934">
        <v>39.802853132759083</v>
      </c>
      <c r="DE85" s="939">
        <f t="shared" si="88"/>
        <v>5.9239370341885351</v>
      </c>
      <c r="DF85" s="19"/>
    </row>
    <row r="86" spans="1:110">
      <c r="A86" s="846" t="s">
        <v>584</v>
      </c>
      <c r="B86" s="41" t="s">
        <v>678</v>
      </c>
      <c r="C86" s="41" t="s">
        <v>1486</v>
      </c>
      <c r="D86" s="34" t="s">
        <v>736</v>
      </c>
      <c r="E86" s="535">
        <v>19.389810000000001</v>
      </c>
      <c r="F86" s="537">
        <v>-155.29229000000001</v>
      </c>
      <c r="G86" s="37" t="s">
        <v>998</v>
      </c>
      <c r="H86" s="860" t="s">
        <v>999</v>
      </c>
      <c r="I86" s="202" t="s">
        <v>64</v>
      </c>
      <c r="J86" t="s">
        <v>880</v>
      </c>
      <c r="K86" s="34">
        <v>2021</v>
      </c>
      <c r="L86" s="51" t="s">
        <v>998</v>
      </c>
      <c r="M86" s="52" t="s">
        <v>998</v>
      </c>
      <c r="N86" s="54" t="str">
        <f t="shared" ref="N86:N89" si="89">L86</f>
        <v>fluid inclusion</v>
      </c>
      <c r="O86" s="54" t="s">
        <v>998</v>
      </c>
      <c r="P86" s="53">
        <v>155.88292497992632</v>
      </c>
      <c r="Q86" s="54">
        <v>1983326.7121194045</v>
      </c>
      <c r="R86" s="772">
        <f t="shared" si="80"/>
        <v>1</v>
      </c>
      <c r="S86" s="8" t="s">
        <v>228</v>
      </c>
      <c r="T86" s="37" t="s">
        <v>132</v>
      </c>
      <c r="U86" s="21">
        <v>89.111057685559615</v>
      </c>
      <c r="V86" s="552" t="s">
        <v>423</v>
      </c>
      <c r="W86" s="552" t="s">
        <v>423</v>
      </c>
      <c r="X86" s="556">
        <v>102.97074625002925</v>
      </c>
      <c r="Y86" s="784">
        <v>1.4453451729158032E-2</v>
      </c>
      <c r="Z86" s="784">
        <v>0.13461491876037712</v>
      </c>
      <c r="AA86" s="785">
        <v>5.1309753638523053E-3</v>
      </c>
      <c r="AB86" s="32" t="str">
        <f t="shared" si="61"/>
        <v>-</v>
      </c>
      <c r="AC86" s="6" t="str">
        <f t="shared" si="81"/>
        <v>-</v>
      </c>
      <c r="AD86" s="6" t="str">
        <f t="shared" si="82"/>
        <v>-</v>
      </c>
      <c r="AE86" s="6">
        <f t="shared" si="64"/>
        <v>1281.1707621539499</v>
      </c>
      <c r="AF86" s="839" t="s">
        <v>998</v>
      </c>
      <c r="AG86" s="553" t="str">
        <f t="shared" si="83"/>
        <v>-</v>
      </c>
      <c r="AH86" s="69" t="s">
        <v>64</v>
      </c>
      <c r="AI86" s="9" t="s">
        <v>64</v>
      </c>
      <c r="AJ86" s="9" t="s">
        <v>64</v>
      </c>
      <c r="AK86" s="9" t="s">
        <v>64</v>
      </c>
      <c r="AL86" s="9" t="s">
        <v>64</v>
      </c>
      <c r="AM86" s="9" t="s">
        <v>64</v>
      </c>
      <c r="AN86" s="9" t="s">
        <v>64</v>
      </c>
      <c r="AO86" s="9" t="s">
        <v>64</v>
      </c>
      <c r="AP86" s="9" t="s">
        <v>64</v>
      </c>
      <c r="AQ86" s="9" t="s">
        <v>64</v>
      </c>
      <c r="AR86" s="9" t="s">
        <v>64</v>
      </c>
      <c r="AS86" s="6" t="s">
        <v>64</v>
      </c>
      <c r="AT86" s="6" t="s">
        <v>64</v>
      </c>
      <c r="AU86" s="9" t="s">
        <v>64</v>
      </c>
      <c r="AV86" s="8" t="str">
        <f t="shared" si="66"/>
        <v>-</v>
      </c>
      <c r="AW86" s="9" t="str">
        <f t="shared" si="67"/>
        <v>-</v>
      </c>
      <c r="AX86" s="8" t="s">
        <v>64</v>
      </c>
      <c r="AY86" s="789" t="s">
        <v>64</v>
      </c>
      <c r="AZ86" s="6" t="s">
        <v>64</v>
      </c>
      <c r="BA86" s="48" t="s">
        <v>64</v>
      </c>
      <c r="BB86" s="6" t="s">
        <v>64</v>
      </c>
      <c r="BC86" s="48" t="s">
        <v>64</v>
      </c>
      <c r="BD86" s="849" t="s">
        <v>64</v>
      </c>
      <c r="BE86" s="48" t="s">
        <v>64</v>
      </c>
      <c r="BF86" s="668" t="s">
        <v>1008</v>
      </c>
      <c r="BG86" s="48" t="s">
        <v>64</v>
      </c>
      <c r="BH86" s="48" t="s">
        <v>64</v>
      </c>
      <c r="BI86" s="850" t="str">
        <f t="shared" si="84"/>
        <v>-</v>
      </c>
      <c r="BJ86" s="789" t="str">
        <f t="shared" si="85"/>
        <v>-</v>
      </c>
      <c r="BK86" s="67">
        <v>428</v>
      </c>
      <c r="BL86" s="48">
        <v>42.800000000000011</v>
      </c>
      <c r="BM86" s="48">
        <v>19</v>
      </c>
      <c r="BN86" s="850">
        <f t="shared" si="86"/>
        <v>1.8267842010367998</v>
      </c>
      <c r="BO86" s="789">
        <f t="shared" si="71"/>
        <v>0.17382597475438089</v>
      </c>
      <c r="BP86" s="789">
        <f t="shared" si="72"/>
        <v>7.7648739493199948E-2</v>
      </c>
      <c r="BQ86" s="861" t="s">
        <v>912</v>
      </c>
      <c r="BR86" s="45" t="s">
        <v>64</v>
      </c>
      <c r="BS86" s="854" t="s">
        <v>64</v>
      </c>
      <c r="BT86" s="605"/>
      <c r="BU86" s="599" t="s">
        <v>64</v>
      </c>
      <c r="BV86" s="851" t="s">
        <v>64</v>
      </c>
      <c r="BW86" s="851" t="s">
        <v>64</v>
      </c>
      <c r="BX86" s="851" t="s">
        <v>64</v>
      </c>
      <c r="BY86" s="851" t="s">
        <v>64</v>
      </c>
      <c r="BZ86" s="851" t="s">
        <v>64</v>
      </c>
      <c r="CA86" s="851" t="s">
        <v>64</v>
      </c>
      <c r="CB86" s="851" t="s">
        <v>64</v>
      </c>
      <c r="CC86" s="851" t="s">
        <v>64</v>
      </c>
      <c r="CD86" s="851" t="s">
        <v>64</v>
      </c>
      <c r="CE86" s="852" t="s">
        <v>64</v>
      </c>
      <c r="CF86" s="852" t="s">
        <v>64</v>
      </c>
      <c r="CG86" s="605"/>
      <c r="CH86" s="584" t="s">
        <v>64</v>
      </c>
      <c r="CI86" s="576" t="s">
        <v>64</v>
      </c>
      <c r="CJ86" s="576" t="s">
        <v>64</v>
      </c>
      <c r="CK86" s="576" t="s">
        <v>64</v>
      </c>
      <c r="CL86" s="576" t="s">
        <v>64</v>
      </c>
      <c r="CM86" s="576" t="s">
        <v>64</v>
      </c>
      <c r="CN86" s="576" t="s">
        <v>64</v>
      </c>
      <c r="CO86" s="576" t="s">
        <v>64</v>
      </c>
      <c r="CP86" s="576" t="s">
        <v>64</v>
      </c>
      <c r="CQ86" s="576" t="s">
        <v>64</v>
      </c>
      <c r="CR86" s="857" t="s">
        <v>64</v>
      </c>
      <c r="CS86" s="793" t="s">
        <v>64</v>
      </c>
      <c r="CT86" s="855" t="s">
        <v>64</v>
      </c>
      <c r="CU86" s="576" t="s">
        <v>64</v>
      </c>
      <c r="CV86" s="591" t="s">
        <v>64</v>
      </c>
      <c r="CW86" s="605"/>
      <c r="CX86" s="936" t="s">
        <v>64</v>
      </c>
      <c r="CY86" s="934" t="s">
        <v>64</v>
      </c>
      <c r="CZ86" s="934" t="s">
        <v>64</v>
      </c>
      <c r="DA86" s="938" t="str">
        <f t="shared" si="87"/>
        <v>-</v>
      </c>
      <c r="DB86" s="936" t="s">
        <v>64</v>
      </c>
      <c r="DC86" s="934" t="s">
        <v>64</v>
      </c>
      <c r="DD86" s="934" t="s">
        <v>64</v>
      </c>
      <c r="DE86" s="939" t="str">
        <f t="shared" si="88"/>
        <v>-</v>
      </c>
      <c r="DF86" s="19"/>
    </row>
    <row r="87" spans="1:110">
      <c r="A87" s="846" t="s">
        <v>585</v>
      </c>
      <c r="B87" s="41" t="s">
        <v>678</v>
      </c>
      <c r="C87" s="41" t="s">
        <v>1486</v>
      </c>
      <c r="D87" s="34" t="s">
        <v>736</v>
      </c>
      <c r="E87" s="535">
        <v>19.389810000000001</v>
      </c>
      <c r="F87" s="537">
        <v>-155.29229000000001</v>
      </c>
      <c r="G87" s="37" t="s">
        <v>998</v>
      </c>
      <c r="H87" s="860" t="s">
        <v>999</v>
      </c>
      <c r="I87" s="202" t="s">
        <v>64</v>
      </c>
      <c r="J87" t="s">
        <v>880</v>
      </c>
      <c r="K87" s="34">
        <v>2021</v>
      </c>
      <c r="L87" s="51" t="s">
        <v>998</v>
      </c>
      <c r="M87" s="52" t="s">
        <v>998</v>
      </c>
      <c r="N87" s="54" t="str">
        <f t="shared" si="89"/>
        <v>fluid inclusion</v>
      </c>
      <c r="O87" s="54" t="s">
        <v>998</v>
      </c>
      <c r="P87" s="53">
        <v>19.57433820584432</v>
      </c>
      <c r="Q87" s="54">
        <v>3926.9908169872424</v>
      </c>
      <c r="R87" s="772">
        <f t="shared" si="80"/>
        <v>1</v>
      </c>
      <c r="S87" s="8" t="s">
        <v>229</v>
      </c>
      <c r="T87" s="37" t="s">
        <v>132</v>
      </c>
      <c r="U87" s="21">
        <v>88.981997909971113</v>
      </c>
      <c r="V87" s="552" t="s">
        <v>423</v>
      </c>
      <c r="W87" s="552" t="s">
        <v>423</v>
      </c>
      <c r="X87" s="556">
        <v>102.95810196886016</v>
      </c>
      <c r="Y87" s="784">
        <v>3.6108306245195365E-3</v>
      </c>
      <c r="Z87" s="784">
        <v>0.13012619894535504</v>
      </c>
      <c r="AA87" s="785">
        <v>1.2818448717030178E-3</v>
      </c>
      <c r="AB87" s="32" t="str">
        <f t="shared" si="61"/>
        <v>-</v>
      </c>
      <c r="AC87" s="6" t="str">
        <f t="shared" si="81"/>
        <v>-</v>
      </c>
      <c r="AD87" s="6" t="str">
        <f t="shared" si="82"/>
        <v>-</v>
      </c>
      <c r="AE87" s="6">
        <f t="shared" si="64"/>
        <v>1278.2294819264243</v>
      </c>
      <c r="AF87" s="839" t="s">
        <v>998</v>
      </c>
      <c r="AG87" s="553" t="str">
        <f t="shared" si="83"/>
        <v>-</v>
      </c>
      <c r="AH87" s="69" t="s">
        <v>64</v>
      </c>
      <c r="AI87" s="9" t="s">
        <v>64</v>
      </c>
      <c r="AJ87" s="9" t="s">
        <v>64</v>
      </c>
      <c r="AK87" s="9" t="s">
        <v>64</v>
      </c>
      <c r="AL87" s="9" t="s">
        <v>64</v>
      </c>
      <c r="AM87" s="9" t="s">
        <v>64</v>
      </c>
      <c r="AN87" s="9" t="s">
        <v>64</v>
      </c>
      <c r="AO87" s="9" t="s">
        <v>64</v>
      </c>
      <c r="AP87" s="9" t="s">
        <v>64</v>
      </c>
      <c r="AQ87" s="9" t="s">
        <v>64</v>
      </c>
      <c r="AR87" s="9" t="s">
        <v>64</v>
      </c>
      <c r="AS87" s="6" t="s">
        <v>64</v>
      </c>
      <c r="AT87" s="6" t="s">
        <v>64</v>
      </c>
      <c r="AU87" s="9" t="s">
        <v>64</v>
      </c>
      <c r="AV87" s="8" t="str">
        <f t="shared" si="66"/>
        <v>-</v>
      </c>
      <c r="AW87" s="9" t="str">
        <f t="shared" si="67"/>
        <v>-</v>
      </c>
      <c r="AX87" s="8" t="s">
        <v>64</v>
      </c>
      <c r="AY87" s="789" t="s">
        <v>64</v>
      </c>
      <c r="AZ87" s="6" t="s">
        <v>64</v>
      </c>
      <c r="BA87" s="48" t="s">
        <v>64</v>
      </c>
      <c r="BB87" s="6" t="s">
        <v>64</v>
      </c>
      <c r="BC87" s="48" t="s">
        <v>64</v>
      </c>
      <c r="BD87" s="849" t="s">
        <v>64</v>
      </c>
      <c r="BE87" s="48" t="s">
        <v>64</v>
      </c>
      <c r="BF87" s="668" t="s">
        <v>1008</v>
      </c>
      <c r="BG87" s="48" t="s">
        <v>64</v>
      </c>
      <c r="BH87" s="48" t="s">
        <v>64</v>
      </c>
      <c r="BI87" s="850" t="str">
        <f t="shared" si="84"/>
        <v>-</v>
      </c>
      <c r="BJ87" s="789" t="str">
        <f t="shared" si="85"/>
        <v>-</v>
      </c>
      <c r="BK87" s="67">
        <v>410</v>
      </c>
      <c r="BL87" s="48">
        <v>41.000000000000057</v>
      </c>
      <c r="BM87" s="48">
        <v>4</v>
      </c>
      <c r="BN87" s="850">
        <f t="shared" si="86"/>
        <v>1.7532297163999997</v>
      </c>
      <c r="BO87" s="789">
        <f t="shared" si="71"/>
        <v>0.1671516582084005</v>
      </c>
      <c r="BP87" s="789">
        <f t="shared" si="72"/>
        <v>1.6382023545599589E-2</v>
      </c>
      <c r="BQ87" s="861" t="s">
        <v>912</v>
      </c>
      <c r="BR87" s="45" t="s">
        <v>64</v>
      </c>
      <c r="BS87" s="854" t="s">
        <v>64</v>
      </c>
      <c r="BT87" s="605"/>
      <c r="BU87" s="599" t="s">
        <v>64</v>
      </c>
      <c r="BV87" s="851" t="s">
        <v>64</v>
      </c>
      <c r="BW87" s="851" t="s">
        <v>64</v>
      </c>
      <c r="BX87" s="851" t="s">
        <v>64</v>
      </c>
      <c r="BY87" s="851" t="s">
        <v>64</v>
      </c>
      <c r="BZ87" s="851" t="s">
        <v>64</v>
      </c>
      <c r="CA87" s="851" t="s">
        <v>64</v>
      </c>
      <c r="CB87" s="851" t="s">
        <v>64</v>
      </c>
      <c r="CC87" s="851" t="s">
        <v>64</v>
      </c>
      <c r="CD87" s="851" t="s">
        <v>64</v>
      </c>
      <c r="CE87" s="852" t="s">
        <v>64</v>
      </c>
      <c r="CF87" s="852" t="s">
        <v>64</v>
      </c>
      <c r="CG87" s="605"/>
      <c r="CH87" s="584" t="s">
        <v>64</v>
      </c>
      <c r="CI87" s="576" t="s">
        <v>64</v>
      </c>
      <c r="CJ87" s="576" t="s">
        <v>64</v>
      </c>
      <c r="CK87" s="576" t="s">
        <v>64</v>
      </c>
      <c r="CL87" s="576" t="s">
        <v>64</v>
      </c>
      <c r="CM87" s="576" t="s">
        <v>64</v>
      </c>
      <c r="CN87" s="576" t="s">
        <v>64</v>
      </c>
      <c r="CO87" s="576" t="s">
        <v>64</v>
      </c>
      <c r="CP87" s="576" t="s">
        <v>64</v>
      </c>
      <c r="CQ87" s="576" t="s">
        <v>64</v>
      </c>
      <c r="CR87" s="857" t="s">
        <v>64</v>
      </c>
      <c r="CS87" s="793" t="s">
        <v>64</v>
      </c>
      <c r="CT87" s="855" t="s">
        <v>64</v>
      </c>
      <c r="CU87" s="576" t="s">
        <v>64</v>
      </c>
      <c r="CV87" s="591" t="s">
        <v>64</v>
      </c>
      <c r="CW87" s="605"/>
      <c r="CX87" s="936" t="s">
        <v>64</v>
      </c>
      <c r="CY87" s="934" t="s">
        <v>64</v>
      </c>
      <c r="CZ87" s="934" t="s">
        <v>64</v>
      </c>
      <c r="DA87" s="938" t="str">
        <f t="shared" si="87"/>
        <v>-</v>
      </c>
      <c r="DB87" s="936" t="s">
        <v>64</v>
      </c>
      <c r="DC87" s="934" t="s">
        <v>64</v>
      </c>
      <c r="DD87" s="934" t="s">
        <v>64</v>
      </c>
      <c r="DE87" s="939" t="str">
        <f t="shared" si="88"/>
        <v>-</v>
      </c>
      <c r="DF87" s="19"/>
    </row>
    <row r="88" spans="1:110">
      <c r="A88" s="846" t="s">
        <v>586</v>
      </c>
      <c r="B88" s="41" t="s">
        <v>678</v>
      </c>
      <c r="C88" s="41" t="s">
        <v>1486</v>
      </c>
      <c r="D88" s="34" t="s">
        <v>736</v>
      </c>
      <c r="E88" s="535">
        <v>19.389810000000001</v>
      </c>
      <c r="F88" s="537">
        <v>-155.29229000000001</v>
      </c>
      <c r="G88" s="37" t="s">
        <v>998</v>
      </c>
      <c r="H88" s="860" t="s">
        <v>999</v>
      </c>
      <c r="I88" s="202" t="s">
        <v>64</v>
      </c>
      <c r="J88" t="s">
        <v>880</v>
      </c>
      <c r="K88" s="34">
        <v>2021</v>
      </c>
      <c r="L88" s="51" t="s">
        <v>998</v>
      </c>
      <c r="M88" s="52" t="s">
        <v>998</v>
      </c>
      <c r="N88" s="54" t="str">
        <f t="shared" si="89"/>
        <v>fluid inclusion</v>
      </c>
      <c r="O88" s="54" t="s">
        <v>998</v>
      </c>
      <c r="P88" s="53">
        <v>18.722180968046267</v>
      </c>
      <c r="Q88" s="54">
        <v>3436.1169648638356</v>
      </c>
      <c r="R88" s="772">
        <f t="shared" si="80"/>
        <v>1</v>
      </c>
      <c r="S88" s="8" t="s">
        <v>229</v>
      </c>
      <c r="T88" s="37" t="s">
        <v>132</v>
      </c>
      <c r="U88" s="21">
        <v>88.981997909971113</v>
      </c>
      <c r="V88" s="552" t="s">
        <v>423</v>
      </c>
      <c r="W88" s="552" t="s">
        <v>423</v>
      </c>
      <c r="X88" s="556">
        <v>102.97303680359457</v>
      </c>
      <c r="Y88" s="784">
        <v>1.6065438850129492E-3</v>
      </c>
      <c r="Z88" s="784">
        <v>0.13542806527606643</v>
      </c>
      <c r="AA88" s="785">
        <v>5.7032307917855485E-4</v>
      </c>
      <c r="AB88" s="32" t="str">
        <f t="shared" si="61"/>
        <v>-</v>
      </c>
      <c r="AC88" s="6" t="str">
        <f t="shared" si="81"/>
        <v>-</v>
      </c>
      <c r="AD88" s="6" t="str">
        <f t="shared" si="82"/>
        <v>-</v>
      </c>
      <c r="AE88" s="6">
        <f t="shared" si="64"/>
        <v>1278.2294819264243</v>
      </c>
      <c r="AF88" s="839" t="s">
        <v>998</v>
      </c>
      <c r="AG88" s="553" t="str">
        <f t="shared" si="83"/>
        <v>-</v>
      </c>
      <c r="AH88" s="69" t="s">
        <v>64</v>
      </c>
      <c r="AI88" s="9" t="s">
        <v>64</v>
      </c>
      <c r="AJ88" s="9" t="s">
        <v>64</v>
      </c>
      <c r="AK88" s="9" t="s">
        <v>64</v>
      </c>
      <c r="AL88" s="9" t="s">
        <v>64</v>
      </c>
      <c r="AM88" s="9" t="s">
        <v>64</v>
      </c>
      <c r="AN88" s="9" t="s">
        <v>64</v>
      </c>
      <c r="AO88" s="9" t="s">
        <v>64</v>
      </c>
      <c r="AP88" s="9" t="s">
        <v>64</v>
      </c>
      <c r="AQ88" s="9" t="s">
        <v>64</v>
      </c>
      <c r="AR88" s="9" t="s">
        <v>64</v>
      </c>
      <c r="AS88" s="6" t="s">
        <v>64</v>
      </c>
      <c r="AT88" s="6" t="s">
        <v>64</v>
      </c>
      <c r="AU88" s="9" t="s">
        <v>64</v>
      </c>
      <c r="AV88" s="8" t="str">
        <f t="shared" si="66"/>
        <v>-</v>
      </c>
      <c r="AW88" s="9" t="str">
        <f t="shared" si="67"/>
        <v>-</v>
      </c>
      <c r="AX88" s="8" t="s">
        <v>64</v>
      </c>
      <c r="AY88" s="789" t="s">
        <v>64</v>
      </c>
      <c r="AZ88" s="6" t="s">
        <v>64</v>
      </c>
      <c r="BA88" s="48" t="s">
        <v>64</v>
      </c>
      <c r="BB88" s="6" t="s">
        <v>64</v>
      </c>
      <c r="BC88" s="48" t="s">
        <v>64</v>
      </c>
      <c r="BD88" s="849" t="s">
        <v>64</v>
      </c>
      <c r="BE88" s="48" t="s">
        <v>64</v>
      </c>
      <c r="BF88" s="668" t="s">
        <v>1008</v>
      </c>
      <c r="BG88" s="48" t="s">
        <v>64</v>
      </c>
      <c r="BH88" s="48" t="s">
        <v>64</v>
      </c>
      <c r="BI88" s="850" t="str">
        <f t="shared" si="84"/>
        <v>-</v>
      </c>
      <c r="BJ88" s="789" t="str">
        <f t="shared" si="85"/>
        <v>-</v>
      </c>
      <c r="BK88" s="67">
        <v>428</v>
      </c>
      <c r="BL88" s="48">
        <v>42.800000000000011</v>
      </c>
      <c r="BM88" s="48">
        <v>1</v>
      </c>
      <c r="BN88" s="850">
        <f t="shared" si="86"/>
        <v>1.8267842010367998</v>
      </c>
      <c r="BO88" s="789">
        <f t="shared" si="71"/>
        <v>0.17382597475438089</v>
      </c>
      <c r="BP88" s="789">
        <f t="shared" si="72"/>
        <v>4.0793175996001185E-3</v>
      </c>
      <c r="BQ88" s="861" t="s">
        <v>912</v>
      </c>
      <c r="BR88" s="45" t="s">
        <v>64</v>
      </c>
      <c r="BS88" s="854" t="s">
        <v>64</v>
      </c>
      <c r="BT88" s="605"/>
      <c r="BU88" s="599" t="s">
        <v>64</v>
      </c>
      <c r="BV88" s="851" t="s">
        <v>64</v>
      </c>
      <c r="BW88" s="851" t="s">
        <v>64</v>
      </c>
      <c r="BX88" s="851" t="s">
        <v>64</v>
      </c>
      <c r="BY88" s="851" t="s">
        <v>64</v>
      </c>
      <c r="BZ88" s="851" t="s">
        <v>64</v>
      </c>
      <c r="CA88" s="851" t="s">
        <v>64</v>
      </c>
      <c r="CB88" s="851" t="s">
        <v>64</v>
      </c>
      <c r="CC88" s="851" t="s">
        <v>64</v>
      </c>
      <c r="CD88" s="851" t="s">
        <v>64</v>
      </c>
      <c r="CE88" s="852" t="s">
        <v>64</v>
      </c>
      <c r="CF88" s="852" t="s">
        <v>64</v>
      </c>
      <c r="CG88" s="605"/>
      <c r="CH88" s="584" t="s">
        <v>64</v>
      </c>
      <c r="CI88" s="576" t="s">
        <v>64</v>
      </c>
      <c r="CJ88" s="576" t="s">
        <v>64</v>
      </c>
      <c r="CK88" s="576" t="s">
        <v>64</v>
      </c>
      <c r="CL88" s="576" t="s">
        <v>64</v>
      </c>
      <c r="CM88" s="576" t="s">
        <v>64</v>
      </c>
      <c r="CN88" s="576" t="s">
        <v>64</v>
      </c>
      <c r="CO88" s="576" t="s">
        <v>64</v>
      </c>
      <c r="CP88" s="576" t="s">
        <v>64</v>
      </c>
      <c r="CQ88" s="576" t="s">
        <v>64</v>
      </c>
      <c r="CR88" s="857" t="s">
        <v>64</v>
      </c>
      <c r="CS88" s="793" t="s">
        <v>64</v>
      </c>
      <c r="CT88" s="855" t="s">
        <v>64</v>
      </c>
      <c r="CU88" s="576" t="s">
        <v>64</v>
      </c>
      <c r="CV88" s="591" t="s">
        <v>64</v>
      </c>
      <c r="CW88" s="605"/>
      <c r="CX88" s="936" t="s">
        <v>64</v>
      </c>
      <c r="CY88" s="934" t="s">
        <v>64</v>
      </c>
      <c r="CZ88" s="934" t="s">
        <v>64</v>
      </c>
      <c r="DA88" s="938" t="str">
        <f t="shared" si="87"/>
        <v>-</v>
      </c>
      <c r="DB88" s="936" t="s">
        <v>64</v>
      </c>
      <c r="DC88" s="934" t="s">
        <v>64</v>
      </c>
      <c r="DD88" s="934" t="s">
        <v>64</v>
      </c>
      <c r="DE88" s="939" t="str">
        <f t="shared" si="88"/>
        <v>-</v>
      </c>
      <c r="DF88" s="19"/>
    </row>
    <row r="89" spans="1:110">
      <c r="A89" s="846" t="s">
        <v>587</v>
      </c>
      <c r="B89" s="41" t="s">
        <v>678</v>
      </c>
      <c r="C89" s="41" t="s">
        <v>1486</v>
      </c>
      <c r="D89" s="34" t="s">
        <v>736</v>
      </c>
      <c r="E89" s="535">
        <v>19.389810000000001</v>
      </c>
      <c r="F89" s="537">
        <v>-155.29229000000001</v>
      </c>
      <c r="G89" s="37" t="s">
        <v>998</v>
      </c>
      <c r="H89" s="860" t="s">
        <v>999</v>
      </c>
      <c r="I89" s="202" t="s">
        <v>64</v>
      </c>
      <c r="J89" t="s">
        <v>880</v>
      </c>
      <c r="K89" s="34">
        <v>2021</v>
      </c>
      <c r="L89" s="51" t="s">
        <v>998</v>
      </c>
      <c r="M89" s="52" t="s">
        <v>998</v>
      </c>
      <c r="N89" s="54" t="str">
        <f t="shared" si="89"/>
        <v>fluid inclusion</v>
      </c>
      <c r="O89" s="54" t="s">
        <v>998</v>
      </c>
      <c r="P89" s="53">
        <v>13.712016381081545</v>
      </c>
      <c r="Q89" s="54">
        <v>1349.903093339364</v>
      </c>
      <c r="R89" s="772">
        <f t="shared" si="80"/>
        <v>1</v>
      </c>
      <c r="S89" s="8" t="s">
        <v>229</v>
      </c>
      <c r="T89" s="37" t="s">
        <v>132</v>
      </c>
      <c r="U89" s="21">
        <v>88.981997909971113</v>
      </c>
      <c r="V89" s="552" t="s">
        <v>423</v>
      </c>
      <c r="W89" s="552" t="s">
        <v>423</v>
      </c>
      <c r="X89" s="556">
        <v>102.94637970575849</v>
      </c>
      <c r="Y89" s="784">
        <v>8.0614340409169601E-3</v>
      </c>
      <c r="Z89" s="784">
        <v>0.1259647955442631</v>
      </c>
      <c r="AA89" s="785">
        <v>2.8618090845265172E-3</v>
      </c>
      <c r="AB89" s="32" t="str">
        <f t="shared" si="61"/>
        <v>-</v>
      </c>
      <c r="AC89" s="6" t="str">
        <f t="shared" si="81"/>
        <v>-</v>
      </c>
      <c r="AD89" s="6" t="str">
        <f t="shared" si="82"/>
        <v>-</v>
      </c>
      <c r="AE89" s="6">
        <f t="shared" si="64"/>
        <v>1278.2294819264243</v>
      </c>
      <c r="AF89" s="839" t="s">
        <v>998</v>
      </c>
      <c r="AG89" s="553" t="str">
        <f t="shared" si="83"/>
        <v>-</v>
      </c>
      <c r="AH89" s="69" t="s">
        <v>64</v>
      </c>
      <c r="AI89" s="9" t="s">
        <v>64</v>
      </c>
      <c r="AJ89" s="9" t="s">
        <v>64</v>
      </c>
      <c r="AK89" s="9" t="s">
        <v>64</v>
      </c>
      <c r="AL89" s="9" t="s">
        <v>64</v>
      </c>
      <c r="AM89" s="9" t="s">
        <v>64</v>
      </c>
      <c r="AN89" s="9" t="s">
        <v>64</v>
      </c>
      <c r="AO89" s="9" t="s">
        <v>64</v>
      </c>
      <c r="AP89" s="9" t="s">
        <v>64</v>
      </c>
      <c r="AQ89" s="9" t="s">
        <v>64</v>
      </c>
      <c r="AR89" s="9" t="s">
        <v>64</v>
      </c>
      <c r="AS89" s="6" t="s">
        <v>64</v>
      </c>
      <c r="AT89" s="6" t="s">
        <v>64</v>
      </c>
      <c r="AU89" s="9" t="s">
        <v>64</v>
      </c>
      <c r="AV89" s="8" t="str">
        <f t="shared" si="66"/>
        <v>-</v>
      </c>
      <c r="AW89" s="9" t="str">
        <f t="shared" si="67"/>
        <v>-</v>
      </c>
      <c r="AX89" s="8" t="s">
        <v>64</v>
      </c>
      <c r="AY89" s="789" t="s">
        <v>64</v>
      </c>
      <c r="AZ89" s="6" t="s">
        <v>64</v>
      </c>
      <c r="BA89" s="48" t="s">
        <v>64</v>
      </c>
      <c r="BB89" s="6" t="s">
        <v>64</v>
      </c>
      <c r="BC89" s="48" t="s">
        <v>64</v>
      </c>
      <c r="BD89" s="849" t="s">
        <v>64</v>
      </c>
      <c r="BE89" s="48" t="s">
        <v>64</v>
      </c>
      <c r="BF89" s="668" t="s">
        <v>1008</v>
      </c>
      <c r="BG89" s="48" t="s">
        <v>64</v>
      </c>
      <c r="BH89" s="48" t="s">
        <v>64</v>
      </c>
      <c r="BI89" s="850" t="str">
        <f t="shared" si="84"/>
        <v>-</v>
      </c>
      <c r="BJ89" s="789" t="str">
        <f t="shared" si="85"/>
        <v>-</v>
      </c>
      <c r="BK89" s="67">
        <v>397</v>
      </c>
      <c r="BL89" s="48">
        <v>39.700000000000045</v>
      </c>
      <c r="BM89" s="48">
        <v>11</v>
      </c>
      <c r="BN89" s="850">
        <f t="shared" si="86"/>
        <v>1.6999392536731999</v>
      </c>
      <c r="BO89" s="789">
        <f t="shared" si="71"/>
        <v>0.16230020401702938</v>
      </c>
      <c r="BP89" s="789">
        <f t="shared" si="72"/>
        <v>4.5202598482799949E-2</v>
      </c>
      <c r="BQ89" s="861" t="s">
        <v>912</v>
      </c>
      <c r="BR89" s="45" t="s">
        <v>64</v>
      </c>
      <c r="BS89" s="854" t="s">
        <v>64</v>
      </c>
      <c r="BT89" s="605"/>
      <c r="BU89" s="599" t="s">
        <v>64</v>
      </c>
      <c r="BV89" s="851" t="s">
        <v>64</v>
      </c>
      <c r="BW89" s="851" t="s">
        <v>64</v>
      </c>
      <c r="BX89" s="851" t="s">
        <v>64</v>
      </c>
      <c r="BY89" s="851" t="s">
        <v>64</v>
      </c>
      <c r="BZ89" s="851" t="s">
        <v>64</v>
      </c>
      <c r="CA89" s="851" t="s">
        <v>64</v>
      </c>
      <c r="CB89" s="851" t="s">
        <v>64</v>
      </c>
      <c r="CC89" s="851" t="s">
        <v>64</v>
      </c>
      <c r="CD89" s="851" t="s">
        <v>64</v>
      </c>
      <c r="CE89" s="852" t="s">
        <v>64</v>
      </c>
      <c r="CF89" s="852" t="s">
        <v>64</v>
      </c>
      <c r="CG89" s="605"/>
      <c r="CH89" s="584" t="s">
        <v>64</v>
      </c>
      <c r="CI89" s="576" t="s">
        <v>64</v>
      </c>
      <c r="CJ89" s="576" t="s">
        <v>64</v>
      </c>
      <c r="CK89" s="576" t="s">
        <v>64</v>
      </c>
      <c r="CL89" s="576" t="s">
        <v>64</v>
      </c>
      <c r="CM89" s="576" t="s">
        <v>64</v>
      </c>
      <c r="CN89" s="576" t="s">
        <v>64</v>
      </c>
      <c r="CO89" s="576" t="s">
        <v>64</v>
      </c>
      <c r="CP89" s="576" t="s">
        <v>64</v>
      </c>
      <c r="CQ89" s="576" t="s">
        <v>64</v>
      </c>
      <c r="CR89" s="857" t="s">
        <v>64</v>
      </c>
      <c r="CS89" s="793" t="s">
        <v>64</v>
      </c>
      <c r="CT89" s="855" t="s">
        <v>64</v>
      </c>
      <c r="CU89" s="576" t="s">
        <v>64</v>
      </c>
      <c r="CV89" s="591" t="s">
        <v>64</v>
      </c>
      <c r="CW89" s="605"/>
      <c r="CX89" s="936" t="s">
        <v>64</v>
      </c>
      <c r="CY89" s="934" t="s">
        <v>64</v>
      </c>
      <c r="CZ89" s="934" t="s">
        <v>64</v>
      </c>
      <c r="DA89" s="938" t="str">
        <f t="shared" si="87"/>
        <v>-</v>
      </c>
      <c r="DB89" s="936" t="s">
        <v>64</v>
      </c>
      <c r="DC89" s="934" t="s">
        <v>64</v>
      </c>
      <c r="DD89" s="934" t="s">
        <v>64</v>
      </c>
      <c r="DE89" s="939" t="str">
        <f t="shared" si="88"/>
        <v>-</v>
      </c>
      <c r="DF89" s="19"/>
    </row>
    <row r="90" spans="1:110">
      <c r="A90" s="846" t="s">
        <v>588</v>
      </c>
      <c r="B90" s="41" t="s">
        <v>678</v>
      </c>
      <c r="C90" s="41" t="s">
        <v>1486</v>
      </c>
      <c r="D90" s="34" t="s">
        <v>736</v>
      </c>
      <c r="E90" s="535">
        <v>19.389810000000001</v>
      </c>
      <c r="F90" s="537">
        <v>-155.29229000000001</v>
      </c>
      <c r="G90" s="37" t="s">
        <v>998</v>
      </c>
      <c r="H90" s="860" t="s">
        <v>999</v>
      </c>
      <c r="I90" s="202" t="s">
        <v>64</v>
      </c>
      <c r="J90" t="s">
        <v>880</v>
      </c>
      <c r="K90" s="34">
        <v>2021</v>
      </c>
      <c r="L90" s="51">
        <v>32</v>
      </c>
      <c r="M90" s="52">
        <v>34.700000000000003</v>
      </c>
      <c r="N90" s="54">
        <f t="shared" si="79"/>
        <v>19389.254226666671</v>
      </c>
      <c r="O90" s="54">
        <v>5252.6591409980401</v>
      </c>
      <c r="P90" s="53">
        <v>30</v>
      </c>
      <c r="Q90" s="54">
        <v>14137.166941154068</v>
      </c>
      <c r="R90" s="772">
        <f t="shared" si="80"/>
        <v>1</v>
      </c>
      <c r="S90" s="8" t="s">
        <v>230</v>
      </c>
      <c r="T90" s="37" t="s">
        <v>132</v>
      </c>
      <c r="U90" s="21">
        <v>89.028626413096376</v>
      </c>
      <c r="V90" s="552" t="s">
        <v>423</v>
      </c>
      <c r="W90" s="552" t="s">
        <v>423</v>
      </c>
      <c r="X90" s="556">
        <v>103.17376986262892</v>
      </c>
      <c r="Y90" s="784">
        <v>4.3774668813186621E-3</v>
      </c>
      <c r="Z90" s="864">
        <v>0.35500245990028267</v>
      </c>
      <c r="AA90" s="865">
        <v>5.037818576723007E-2</v>
      </c>
      <c r="AB90" s="32" t="str">
        <f t="shared" si="61"/>
        <v>-</v>
      </c>
      <c r="AC90" s="6" t="str">
        <f t="shared" si="81"/>
        <v>-</v>
      </c>
      <c r="AD90" s="6" t="str">
        <f t="shared" si="82"/>
        <v>-</v>
      </c>
      <c r="AE90" s="6">
        <f t="shared" si="64"/>
        <v>1279.2876458752617</v>
      </c>
      <c r="AF90" s="839" t="s">
        <v>998</v>
      </c>
      <c r="AG90" s="553" t="str">
        <f t="shared" si="83"/>
        <v>-</v>
      </c>
      <c r="AH90" s="69" t="s">
        <v>64</v>
      </c>
      <c r="AI90" s="9" t="s">
        <v>64</v>
      </c>
      <c r="AJ90" s="9" t="s">
        <v>64</v>
      </c>
      <c r="AK90" s="9" t="s">
        <v>64</v>
      </c>
      <c r="AL90" s="9" t="s">
        <v>64</v>
      </c>
      <c r="AM90" s="9" t="s">
        <v>64</v>
      </c>
      <c r="AN90" s="9" t="s">
        <v>64</v>
      </c>
      <c r="AO90" s="9" t="s">
        <v>64</v>
      </c>
      <c r="AP90" s="9" t="s">
        <v>64</v>
      </c>
      <c r="AQ90" s="9" t="s">
        <v>64</v>
      </c>
      <c r="AR90" s="9" t="s">
        <v>64</v>
      </c>
      <c r="AS90" s="6" t="s">
        <v>64</v>
      </c>
      <c r="AT90" s="6" t="s">
        <v>64</v>
      </c>
      <c r="AU90" s="9" t="s">
        <v>64</v>
      </c>
      <c r="AV90" s="8" t="str">
        <f t="shared" si="66"/>
        <v>-</v>
      </c>
      <c r="AW90" s="9" t="str">
        <f t="shared" si="67"/>
        <v>-</v>
      </c>
      <c r="AX90" s="8" t="s">
        <v>64</v>
      </c>
      <c r="AY90" s="789" t="s">
        <v>64</v>
      </c>
      <c r="AZ90" s="6" t="s">
        <v>64</v>
      </c>
      <c r="BA90" s="48" t="s">
        <v>64</v>
      </c>
      <c r="BB90" s="6" t="s">
        <v>64</v>
      </c>
      <c r="BC90" s="48" t="s">
        <v>64</v>
      </c>
      <c r="BD90" s="849" t="s">
        <v>64</v>
      </c>
      <c r="BE90" s="48" t="s">
        <v>64</v>
      </c>
      <c r="BF90" s="668" t="s">
        <v>1008</v>
      </c>
      <c r="BG90" s="48" t="s">
        <v>64</v>
      </c>
      <c r="BH90" s="48" t="s">
        <v>64</v>
      </c>
      <c r="BI90" s="850" t="str">
        <f t="shared" si="84"/>
        <v>-</v>
      </c>
      <c r="BJ90" s="789" t="str">
        <f t="shared" si="85"/>
        <v>-</v>
      </c>
      <c r="BK90" s="673">
        <v>1405.3552276256019</v>
      </c>
      <c r="BL90" s="866">
        <v>296.64477237439814</v>
      </c>
      <c r="BM90" s="866">
        <v>266.35522762560186</v>
      </c>
      <c r="BN90" s="867">
        <f t="shared" si="86"/>
        <v>5.4826978698893605</v>
      </c>
      <c r="BO90" s="868">
        <f t="shared" si="71"/>
        <v>1.0117593388178392</v>
      </c>
      <c r="BP90" s="868">
        <f t="shared" si="72"/>
        <v>0.9399950611497605</v>
      </c>
      <c r="BQ90" s="869" t="s">
        <v>916</v>
      </c>
      <c r="BR90" s="45" t="s">
        <v>64</v>
      </c>
      <c r="BS90" s="854" t="s">
        <v>64</v>
      </c>
      <c r="BT90" s="605"/>
      <c r="BU90" s="599" t="s">
        <v>64</v>
      </c>
      <c r="BV90" s="851" t="s">
        <v>64</v>
      </c>
      <c r="BW90" s="851" t="s">
        <v>64</v>
      </c>
      <c r="BX90" s="851" t="s">
        <v>64</v>
      </c>
      <c r="BY90" s="851" t="s">
        <v>64</v>
      </c>
      <c r="BZ90" s="851" t="s">
        <v>64</v>
      </c>
      <c r="CA90" s="851" t="s">
        <v>64</v>
      </c>
      <c r="CB90" s="851" t="s">
        <v>64</v>
      </c>
      <c r="CC90" s="851" t="s">
        <v>64</v>
      </c>
      <c r="CD90" s="851" t="s">
        <v>64</v>
      </c>
      <c r="CE90" s="852" t="s">
        <v>64</v>
      </c>
      <c r="CF90" s="852" t="s">
        <v>64</v>
      </c>
      <c r="CG90" s="605"/>
      <c r="CH90" s="584" t="s">
        <v>64</v>
      </c>
      <c r="CI90" s="576" t="s">
        <v>64</v>
      </c>
      <c r="CJ90" s="576" t="s">
        <v>64</v>
      </c>
      <c r="CK90" s="576" t="s">
        <v>64</v>
      </c>
      <c r="CL90" s="576" t="s">
        <v>64</v>
      </c>
      <c r="CM90" s="576" t="s">
        <v>64</v>
      </c>
      <c r="CN90" s="576" t="s">
        <v>64</v>
      </c>
      <c r="CO90" s="576" t="s">
        <v>64</v>
      </c>
      <c r="CP90" s="576" t="s">
        <v>64</v>
      </c>
      <c r="CQ90" s="576" t="s">
        <v>64</v>
      </c>
      <c r="CR90" s="857" t="s">
        <v>64</v>
      </c>
      <c r="CS90" s="793" t="s">
        <v>64</v>
      </c>
      <c r="CT90" s="855" t="s">
        <v>64</v>
      </c>
      <c r="CU90" s="576" t="s">
        <v>64</v>
      </c>
      <c r="CV90" s="591" t="s">
        <v>64</v>
      </c>
      <c r="CW90" s="605"/>
      <c r="CX90" s="936" t="s">
        <v>64</v>
      </c>
      <c r="CY90" s="934" t="s">
        <v>64</v>
      </c>
      <c r="CZ90" s="934" t="s">
        <v>64</v>
      </c>
      <c r="DA90" s="938" t="str">
        <f t="shared" si="87"/>
        <v>-</v>
      </c>
      <c r="DB90" s="936" t="s">
        <v>64</v>
      </c>
      <c r="DC90" s="934" t="s">
        <v>64</v>
      </c>
      <c r="DD90" s="934" t="s">
        <v>64</v>
      </c>
      <c r="DE90" s="939" t="str">
        <f t="shared" si="88"/>
        <v>-</v>
      </c>
      <c r="DF90" s="19"/>
    </row>
    <row r="91" spans="1:110">
      <c r="A91" s="846" t="s">
        <v>590</v>
      </c>
      <c r="B91" s="41" t="s">
        <v>678</v>
      </c>
      <c r="C91" s="41" t="s">
        <v>1486</v>
      </c>
      <c r="D91" s="34" t="s">
        <v>736</v>
      </c>
      <c r="E91" s="535">
        <v>19.389810000000001</v>
      </c>
      <c r="F91" s="537">
        <v>-155.29229000000001</v>
      </c>
      <c r="G91" s="37" t="s">
        <v>998</v>
      </c>
      <c r="H91" s="860" t="s">
        <v>999</v>
      </c>
      <c r="I91" s="202" t="s">
        <v>64</v>
      </c>
      <c r="J91" t="s">
        <v>880</v>
      </c>
      <c r="K91" s="34">
        <v>2021</v>
      </c>
      <c r="L91" s="51">
        <v>41</v>
      </c>
      <c r="M91" s="52">
        <v>45.5</v>
      </c>
      <c r="N91" s="54">
        <f t="shared" si="79"/>
        <v>42244.208635416675</v>
      </c>
      <c r="O91" s="54">
        <v>14756.518842839909</v>
      </c>
      <c r="P91" s="53">
        <v>37.444361936092534</v>
      </c>
      <c r="Q91" s="54">
        <v>27488.935718910685</v>
      </c>
      <c r="R91" s="772">
        <f t="shared" si="80"/>
        <v>1</v>
      </c>
      <c r="S91" s="8" t="s">
        <v>230</v>
      </c>
      <c r="T91" s="37" t="s">
        <v>132</v>
      </c>
      <c r="U91" s="21">
        <v>89.028626413096376</v>
      </c>
      <c r="V91" s="552" t="s">
        <v>423</v>
      </c>
      <c r="W91" s="552" t="s">
        <v>423</v>
      </c>
      <c r="X91" s="556">
        <v>103.17399552265584</v>
      </c>
      <c r="Y91" s="784">
        <v>3.7988246119112809E-3</v>
      </c>
      <c r="Z91" s="864">
        <v>0.39899946685283388</v>
      </c>
      <c r="AA91" s="865">
        <v>3.8479033425101276E-2</v>
      </c>
      <c r="AB91" s="32" t="str">
        <f t="shared" si="61"/>
        <v>-</v>
      </c>
      <c r="AC91" s="6" t="str">
        <f t="shared" si="81"/>
        <v>-</v>
      </c>
      <c r="AD91" s="6" t="str">
        <f t="shared" si="82"/>
        <v>-</v>
      </c>
      <c r="AE91" s="6">
        <f t="shared" si="64"/>
        <v>1279.2876458752617</v>
      </c>
      <c r="AF91" s="839" t="s">
        <v>998</v>
      </c>
      <c r="AG91" s="553" t="str">
        <f t="shared" si="83"/>
        <v>-</v>
      </c>
      <c r="AH91" s="69" t="s">
        <v>64</v>
      </c>
      <c r="AI91" s="9" t="s">
        <v>64</v>
      </c>
      <c r="AJ91" s="9" t="s">
        <v>64</v>
      </c>
      <c r="AK91" s="9" t="s">
        <v>64</v>
      </c>
      <c r="AL91" s="9" t="s">
        <v>64</v>
      </c>
      <c r="AM91" s="9" t="s">
        <v>64</v>
      </c>
      <c r="AN91" s="9" t="s">
        <v>64</v>
      </c>
      <c r="AO91" s="9" t="s">
        <v>64</v>
      </c>
      <c r="AP91" s="9" t="s">
        <v>64</v>
      </c>
      <c r="AQ91" s="9" t="s">
        <v>64</v>
      </c>
      <c r="AR91" s="9" t="s">
        <v>64</v>
      </c>
      <c r="AS91" s="6" t="s">
        <v>64</v>
      </c>
      <c r="AT91" s="6" t="s">
        <v>64</v>
      </c>
      <c r="AU91" s="9" t="s">
        <v>64</v>
      </c>
      <c r="AV91" s="8" t="str">
        <f t="shared" si="66"/>
        <v>-</v>
      </c>
      <c r="AW91" s="9" t="str">
        <f t="shared" si="67"/>
        <v>-</v>
      </c>
      <c r="AX91" s="8" t="s">
        <v>64</v>
      </c>
      <c r="AY91" s="789" t="s">
        <v>64</v>
      </c>
      <c r="AZ91" s="6" t="s">
        <v>64</v>
      </c>
      <c r="BA91" s="48" t="s">
        <v>64</v>
      </c>
      <c r="BB91" s="6" t="s">
        <v>64</v>
      </c>
      <c r="BC91" s="48" t="s">
        <v>64</v>
      </c>
      <c r="BD91" s="849" t="s">
        <v>64</v>
      </c>
      <c r="BE91" s="48" t="s">
        <v>64</v>
      </c>
      <c r="BF91" s="668" t="s">
        <v>1008</v>
      </c>
      <c r="BG91" s="48" t="s">
        <v>64</v>
      </c>
      <c r="BH91" s="48" t="s">
        <v>64</v>
      </c>
      <c r="BI91" s="850" t="str">
        <f t="shared" si="84"/>
        <v>-</v>
      </c>
      <c r="BJ91" s="789" t="str">
        <f t="shared" si="85"/>
        <v>-</v>
      </c>
      <c r="BK91" s="673">
        <v>1663</v>
      </c>
      <c r="BL91" s="866">
        <v>244</v>
      </c>
      <c r="BM91" s="866">
        <v>227</v>
      </c>
      <c r="BN91" s="867">
        <f t="shared" si="86"/>
        <v>6.3631943060947993</v>
      </c>
      <c r="BO91" s="868">
        <f t="shared" si="71"/>
        <v>0.81422200628639985</v>
      </c>
      <c r="BP91" s="868">
        <f t="shared" si="72"/>
        <v>0.77442796474440012</v>
      </c>
      <c r="BQ91" s="869" t="s">
        <v>916</v>
      </c>
      <c r="BR91" s="45" t="s">
        <v>64</v>
      </c>
      <c r="BS91" s="854" t="s">
        <v>64</v>
      </c>
      <c r="BT91" s="605"/>
      <c r="BU91" s="599" t="s">
        <v>64</v>
      </c>
      <c r="BV91" s="851" t="s">
        <v>64</v>
      </c>
      <c r="BW91" s="851" t="s">
        <v>64</v>
      </c>
      <c r="BX91" s="851" t="s">
        <v>64</v>
      </c>
      <c r="BY91" s="851" t="s">
        <v>64</v>
      </c>
      <c r="BZ91" s="851" t="s">
        <v>64</v>
      </c>
      <c r="CA91" s="851" t="s">
        <v>64</v>
      </c>
      <c r="CB91" s="851" t="s">
        <v>64</v>
      </c>
      <c r="CC91" s="851" t="s">
        <v>64</v>
      </c>
      <c r="CD91" s="851" t="s">
        <v>64</v>
      </c>
      <c r="CE91" s="852" t="s">
        <v>64</v>
      </c>
      <c r="CF91" s="852" t="s">
        <v>64</v>
      </c>
      <c r="CG91" s="605"/>
      <c r="CH91" s="584" t="s">
        <v>64</v>
      </c>
      <c r="CI91" s="576" t="s">
        <v>64</v>
      </c>
      <c r="CJ91" s="576" t="s">
        <v>64</v>
      </c>
      <c r="CK91" s="576" t="s">
        <v>64</v>
      </c>
      <c r="CL91" s="576" t="s">
        <v>64</v>
      </c>
      <c r="CM91" s="576" t="s">
        <v>64</v>
      </c>
      <c r="CN91" s="576" t="s">
        <v>64</v>
      </c>
      <c r="CO91" s="576" t="s">
        <v>64</v>
      </c>
      <c r="CP91" s="576" t="s">
        <v>64</v>
      </c>
      <c r="CQ91" s="576" t="s">
        <v>64</v>
      </c>
      <c r="CR91" s="857" t="s">
        <v>64</v>
      </c>
      <c r="CS91" s="793" t="s">
        <v>64</v>
      </c>
      <c r="CT91" s="855" t="s">
        <v>64</v>
      </c>
      <c r="CU91" s="576" t="s">
        <v>64</v>
      </c>
      <c r="CV91" s="591" t="s">
        <v>64</v>
      </c>
      <c r="CW91" s="605"/>
      <c r="CX91" s="936" t="s">
        <v>64</v>
      </c>
      <c r="CY91" s="934" t="s">
        <v>64</v>
      </c>
      <c r="CZ91" s="934" t="s">
        <v>64</v>
      </c>
      <c r="DA91" s="938" t="str">
        <f t="shared" si="87"/>
        <v>-</v>
      </c>
      <c r="DB91" s="936" t="s">
        <v>64</v>
      </c>
      <c r="DC91" s="934" t="s">
        <v>64</v>
      </c>
      <c r="DD91" s="934" t="s">
        <v>64</v>
      </c>
      <c r="DE91" s="939" t="str">
        <f t="shared" si="88"/>
        <v>-</v>
      </c>
      <c r="DF91" s="19"/>
    </row>
    <row r="92" spans="1:110">
      <c r="A92" s="846" t="s">
        <v>591</v>
      </c>
      <c r="B92" s="41" t="s">
        <v>678</v>
      </c>
      <c r="C92" s="41" t="s">
        <v>1486</v>
      </c>
      <c r="D92" s="34" t="s">
        <v>736</v>
      </c>
      <c r="E92" s="535">
        <v>19.389810000000001</v>
      </c>
      <c r="F92" s="537">
        <v>-155.29229000000001</v>
      </c>
      <c r="G92" s="37" t="s">
        <v>998</v>
      </c>
      <c r="H92" s="860" t="s">
        <v>999</v>
      </c>
      <c r="I92" s="202" t="s">
        <v>64</v>
      </c>
      <c r="J92" t="s">
        <v>880</v>
      </c>
      <c r="K92" s="34">
        <v>2021</v>
      </c>
      <c r="L92" s="51">
        <v>18</v>
      </c>
      <c r="M92" s="52">
        <v>21</v>
      </c>
      <c r="N92" s="54">
        <f t="shared" si="79"/>
        <v>3859.3327500000005</v>
      </c>
      <c r="O92" s="54">
        <v>805.81851564578255</v>
      </c>
      <c r="P92" s="53">
        <v>18</v>
      </c>
      <c r="Q92" s="54">
        <v>3053.6280592892786</v>
      </c>
      <c r="R92" s="772">
        <f t="shared" si="80"/>
        <v>1</v>
      </c>
      <c r="S92" s="8" t="s">
        <v>230</v>
      </c>
      <c r="T92" s="37" t="s">
        <v>132</v>
      </c>
      <c r="U92" s="21">
        <v>89.028626413096376</v>
      </c>
      <c r="V92" s="552" t="s">
        <v>423</v>
      </c>
      <c r="W92" s="552" t="s">
        <v>423</v>
      </c>
      <c r="X92" s="556">
        <v>103.17227310665456</v>
      </c>
      <c r="Y92" s="784">
        <v>5.5012417122054548E-3</v>
      </c>
      <c r="Z92" s="864">
        <v>0.32204399276126838</v>
      </c>
      <c r="AA92" s="865">
        <v>8.7648082071741157E-2</v>
      </c>
      <c r="AB92" s="32" t="str">
        <f t="shared" si="61"/>
        <v>-</v>
      </c>
      <c r="AC92" s="6" t="str">
        <f t="shared" si="81"/>
        <v>-</v>
      </c>
      <c r="AD92" s="6" t="str">
        <f t="shared" si="82"/>
        <v>-</v>
      </c>
      <c r="AE92" s="6">
        <f t="shared" si="64"/>
        <v>1279.2876458752617</v>
      </c>
      <c r="AF92" s="839" t="s">
        <v>998</v>
      </c>
      <c r="AG92" s="553" t="str">
        <f t="shared" si="83"/>
        <v>-</v>
      </c>
      <c r="AH92" s="69" t="s">
        <v>64</v>
      </c>
      <c r="AI92" s="9" t="s">
        <v>64</v>
      </c>
      <c r="AJ92" s="9" t="s">
        <v>64</v>
      </c>
      <c r="AK92" s="9" t="s">
        <v>64</v>
      </c>
      <c r="AL92" s="9" t="s">
        <v>64</v>
      </c>
      <c r="AM92" s="9" t="s">
        <v>64</v>
      </c>
      <c r="AN92" s="9" t="s">
        <v>64</v>
      </c>
      <c r="AO92" s="9" t="s">
        <v>64</v>
      </c>
      <c r="AP92" s="9" t="s">
        <v>64</v>
      </c>
      <c r="AQ92" s="9" t="s">
        <v>64</v>
      </c>
      <c r="AR92" s="9" t="s">
        <v>64</v>
      </c>
      <c r="AS92" s="6" t="s">
        <v>64</v>
      </c>
      <c r="AT92" s="6" t="s">
        <v>64</v>
      </c>
      <c r="AU92" s="9" t="s">
        <v>64</v>
      </c>
      <c r="AV92" s="8" t="str">
        <f t="shared" si="66"/>
        <v>-</v>
      </c>
      <c r="AW92" s="9" t="str">
        <f t="shared" si="67"/>
        <v>-</v>
      </c>
      <c r="AX92" s="8" t="s">
        <v>64</v>
      </c>
      <c r="AY92" s="789" t="s">
        <v>64</v>
      </c>
      <c r="AZ92" s="6" t="s">
        <v>64</v>
      </c>
      <c r="BA92" s="48" t="s">
        <v>64</v>
      </c>
      <c r="BB92" s="6" t="s">
        <v>64</v>
      </c>
      <c r="BC92" s="48" t="s">
        <v>64</v>
      </c>
      <c r="BD92" s="849" t="s">
        <v>64</v>
      </c>
      <c r="BE92" s="48" t="s">
        <v>64</v>
      </c>
      <c r="BF92" s="668" t="s">
        <v>1008</v>
      </c>
      <c r="BG92" s="48" t="s">
        <v>64</v>
      </c>
      <c r="BH92" s="48" t="s">
        <v>64</v>
      </c>
      <c r="BI92" s="850" t="str">
        <f t="shared" si="84"/>
        <v>-</v>
      </c>
      <c r="BJ92" s="789" t="str">
        <f t="shared" si="85"/>
        <v>-</v>
      </c>
      <c r="BK92" s="673">
        <v>1228.1699658905218</v>
      </c>
      <c r="BL92" s="866">
        <v>499.83003410947822</v>
      </c>
      <c r="BM92" s="866">
        <v>414.16996589052178</v>
      </c>
      <c r="BN92" s="867">
        <f t="shared" si="86"/>
        <v>4.8612283127164515</v>
      </c>
      <c r="BO92" s="868">
        <f t="shared" si="71"/>
        <v>1.7204798761603479</v>
      </c>
      <c r="BP92" s="868">
        <f t="shared" si="72"/>
        <v>1.5175846344668518</v>
      </c>
      <c r="BQ92" s="869" t="s">
        <v>916</v>
      </c>
      <c r="BR92" s="45" t="s">
        <v>64</v>
      </c>
      <c r="BS92" s="854" t="s">
        <v>64</v>
      </c>
      <c r="BT92" s="605"/>
      <c r="BU92" s="599" t="s">
        <v>64</v>
      </c>
      <c r="BV92" s="851" t="s">
        <v>64</v>
      </c>
      <c r="BW92" s="851" t="s">
        <v>64</v>
      </c>
      <c r="BX92" s="851" t="s">
        <v>64</v>
      </c>
      <c r="BY92" s="851" t="s">
        <v>64</v>
      </c>
      <c r="BZ92" s="851" t="s">
        <v>64</v>
      </c>
      <c r="CA92" s="851" t="s">
        <v>64</v>
      </c>
      <c r="CB92" s="851" t="s">
        <v>64</v>
      </c>
      <c r="CC92" s="851" t="s">
        <v>64</v>
      </c>
      <c r="CD92" s="851" t="s">
        <v>64</v>
      </c>
      <c r="CE92" s="852" t="s">
        <v>64</v>
      </c>
      <c r="CF92" s="852" t="s">
        <v>64</v>
      </c>
      <c r="CG92" s="605"/>
      <c r="CH92" s="584" t="s">
        <v>64</v>
      </c>
      <c r="CI92" s="576" t="s">
        <v>64</v>
      </c>
      <c r="CJ92" s="576" t="s">
        <v>64</v>
      </c>
      <c r="CK92" s="576" t="s">
        <v>64</v>
      </c>
      <c r="CL92" s="576" t="s">
        <v>64</v>
      </c>
      <c r="CM92" s="576" t="s">
        <v>64</v>
      </c>
      <c r="CN92" s="576" t="s">
        <v>64</v>
      </c>
      <c r="CO92" s="576" t="s">
        <v>64</v>
      </c>
      <c r="CP92" s="576" t="s">
        <v>64</v>
      </c>
      <c r="CQ92" s="576" t="s">
        <v>64</v>
      </c>
      <c r="CR92" s="857" t="s">
        <v>64</v>
      </c>
      <c r="CS92" s="793" t="s">
        <v>64</v>
      </c>
      <c r="CT92" s="855" t="s">
        <v>64</v>
      </c>
      <c r="CU92" s="576" t="s">
        <v>64</v>
      </c>
      <c r="CV92" s="591" t="s">
        <v>64</v>
      </c>
      <c r="CW92" s="605"/>
      <c r="CX92" s="936" t="s">
        <v>64</v>
      </c>
      <c r="CY92" s="934" t="s">
        <v>64</v>
      </c>
      <c r="CZ92" s="934" t="s">
        <v>64</v>
      </c>
      <c r="DA92" s="938" t="str">
        <f t="shared" si="87"/>
        <v>-</v>
      </c>
      <c r="DB92" s="936" t="s">
        <v>64</v>
      </c>
      <c r="DC92" s="934" t="s">
        <v>64</v>
      </c>
      <c r="DD92" s="934" t="s">
        <v>64</v>
      </c>
      <c r="DE92" s="939" t="str">
        <f t="shared" si="88"/>
        <v>-</v>
      </c>
      <c r="DF92" s="19"/>
    </row>
    <row r="93" spans="1:110">
      <c r="A93" s="846" t="s">
        <v>592</v>
      </c>
      <c r="B93" s="41" t="s">
        <v>678</v>
      </c>
      <c r="C93" s="41" t="s">
        <v>1486</v>
      </c>
      <c r="D93" s="34" t="s">
        <v>736</v>
      </c>
      <c r="E93" s="535">
        <v>19.389810000000001</v>
      </c>
      <c r="F93" s="537">
        <v>-155.29229000000001</v>
      </c>
      <c r="G93" s="37" t="s">
        <v>998</v>
      </c>
      <c r="H93" s="860" t="s">
        <v>999</v>
      </c>
      <c r="I93" s="202" t="s">
        <v>64</v>
      </c>
      <c r="J93" t="s">
        <v>880</v>
      </c>
      <c r="K93" s="34">
        <v>2021</v>
      </c>
      <c r="L93" s="51">
        <v>17.5</v>
      </c>
      <c r="M93" s="52">
        <v>25</v>
      </c>
      <c r="N93" s="54">
        <f t="shared" si="79"/>
        <v>4867.6888020833339</v>
      </c>
      <c r="O93" s="54">
        <v>2330.9962991166799</v>
      </c>
      <c r="P93" s="53">
        <v>16.921203967332168</v>
      </c>
      <c r="Q93" s="54">
        <v>2536.8360677737542</v>
      </c>
      <c r="R93" s="772">
        <f t="shared" si="80"/>
        <v>1</v>
      </c>
      <c r="S93" s="8" t="s">
        <v>230</v>
      </c>
      <c r="T93" s="37" t="s">
        <v>132</v>
      </c>
      <c r="U93" s="21">
        <v>89.028626413096376</v>
      </c>
      <c r="V93" s="552" t="s">
        <v>423</v>
      </c>
      <c r="W93" s="552" t="s">
        <v>423</v>
      </c>
      <c r="X93" s="556">
        <v>103.16066770150006</v>
      </c>
      <c r="Y93" s="784">
        <v>1.1234152050566085E-2</v>
      </c>
      <c r="Z93" s="864">
        <v>0.47081925769690747</v>
      </c>
      <c r="AA93" s="865">
        <v>8.0363632953273367E-2</v>
      </c>
      <c r="AB93" s="32" t="str">
        <f t="shared" si="61"/>
        <v>-</v>
      </c>
      <c r="AC93" s="6" t="str">
        <f t="shared" si="81"/>
        <v>-</v>
      </c>
      <c r="AD93" s="6" t="str">
        <f t="shared" si="82"/>
        <v>-</v>
      </c>
      <c r="AE93" s="6">
        <f t="shared" si="64"/>
        <v>1279.2876458752617</v>
      </c>
      <c r="AF93" s="839" t="s">
        <v>998</v>
      </c>
      <c r="AG93" s="553" t="str">
        <f t="shared" si="83"/>
        <v>-</v>
      </c>
      <c r="AH93" s="69" t="s">
        <v>64</v>
      </c>
      <c r="AI93" s="9" t="s">
        <v>64</v>
      </c>
      <c r="AJ93" s="9" t="s">
        <v>64</v>
      </c>
      <c r="AK93" s="9" t="s">
        <v>64</v>
      </c>
      <c r="AL93" s="9" t="s">
        <v>64</v>
      </c>
      <c r="AM93" s="9" t="s">
        <v>64</v>
      </c>
      <c r="AN93" s="9" t="s">
        <v>64</v>
      </c>
      <c r="AO93" s="9" t="s">
        <v>64</v>
      </c>
      <c r="AP93" s="9" t="s">
        <v>64</v>
      </c>
      <c r="AQ93" s="9" t="s">
        <v>64</v>
      </c>
      <c r="AR93" s="9" t="s">
        <v>64</v>
      </c>
      <c r="AS93" s="6" t="s">
        <v>64</v>
      </c>
      <c r="AT93" s="6" t="s">
        <v>64</v>
      </c>
      <c r="AU93" s="9" t="s">
        <v>64</v>
      </c>
      <c r="AV93" s="8" t="str">
        <f t="shared" si="66"/>
        <v>-</v>
      </c>
      <c r="AW93" s="9" t="str">
        <f t="shared" si="67"/>
        <v>-</v>
      </c>
      <c r="AX93" s="8" t="s">
        <v>64</v>
      </c>
      <c r="AY93" s="789" t="s">
        <v>64</v>
      </c>
      <c r="AZ93" s="6" t="s">
        <v>64</v>
      </c>
      <c r="BA93" s="48" t="s">
        <v>64</v>
      </c>
      <c r="BB93" s="6" t="s">
        <v>64</v>
      </c>
      <c r="BC93" s="48" t="s">
        <v>64</v>
      </c>
      <c r="BD93" s="849" t="s">
        <v>64</v>
      </c>
      <c r="BE93" s="48" t="s">
        <v>64</v>
      </c>
      <c r="BF93" s="668" t="s">
        <v>1008</v>
      </c>
      <c r="BG93" s="48" t="s">
        <v>64</v>
      </c>
      <c r="BH93" s="48" t="s">
        <v>64</v>
      </c>
      <c r="BI93" s="850" t="str">
        <f t="shared" si="84"/>
        <v>-</v>
      </c>
      <c r="BJ93" s="789" t="str">
        <f t="shared" si="85"/>
        <v>-</v>
      </c>
      <c r="BK93" s="673">
        <v>2135.8150425197373</v>
      </c>
      <c r="BL93" s="866">
        <v>618.18495748026271</v>
      </c>
      <c r="BM93" s="866">
        <v>525.81504251973729</v>
      </c>
      <c r="BN93" s="867">
        <f t="shared" si="86"/>
        <v>7.9290093963387385</v>
      </c>
      <c r="BO93" s="868">
        <f t="shared" si="71"/>
        <v>2.0117675740388599</v>
      </c>
      <c r="BP93" s="868">
        <f t="shared" si="72"/>
        <v>1.7449806559387389</v>
      </c>
      <c r="BQ93" s="869" t="s">
        <v>916</v>
      </c>
      <c r="BR93" s="45" t="s">
        <v>64</v>
      </c>
      <c r="BS93" s="854" t="s">
        <v>64</v>
      </c>
      <c r="BT93" s="605"/>
      <c r="BU93" s="599" t="s">
        <v>64</v>
      </c>
      <c r="BV93" s="851" t="s">
        <v>64</v>
      </c>
      <c r="BW93" s="851" t="s">
        <v>64</v>
      </c>
      <c r="BX93" s="851" t="s">
        <v>64</v>
      </c>
      <c r="BY93" s="851" t="s">
        <v>64</v>
      </c>
      <c r="BZ93" s="851" t="s">
        <v>64</v>
      </c>
      <c r="CA93" s="851" t="s">
        <v>64</v>
      </c>
      <c r="CB93" s="851" t="s">
        <v>64</v>
      </c>
      <c r="CC93" s="851" t="s">
        <v>64</v>
      </c>
      <c r="CD93" s="851" t="s">
        <v>64</v>
      </c>
      <c r="CE93" s="852" t="s">
        <v>64</v>
      </c>
      <c r="CF93" s="852" t="s">
        <v>64</v>
      </c>
      <c r="CG93" s="605"/>
      <c r="CH93" s="584" t="s">
        <v>64</v>
      </c>
      <c r="CI93" s="576" t="s">
        <v>64</v>
      </c>
      <c r="CJ93" s="576" t="s">
        <v>64</v>
      </c>
      <c r="CK93" s="576" t="s">
        <v>64</v>
      </c>
      <c r="CL93" s="576" t="s">
        <v>64</v>
      </c>
      <c r="CM93" s="576" t="s">
        <v>64</v>
      </c>
      <c r="CN93" s="576" t="s">
        <v>64</v>
      </c>
      <c r="CO93" s="576" t="s">
        <v>64</v>
      </c>
      <c r="CP93" s="576" t="s">
        <v>64</v>
      </c>
      <c r="CQ93" s="576" t="s">
        <v>64</v>
      </c>
      <c r="CR93" s="857" t="s">
        <v>64</v>
      </c>
      <c r="CS93" s="793" t="s">
        <v>64</v>
      </c>
      <c r="CT93" s="855" t="s">
        <v>64</v>
      </c>
      <c r="CU93" s="576" t="s">
        <v>64</v>
      </c>
      <c r="CV93" s="591" t="s">
        <v>64</v>
      </c>
      <c r="CW93" s="605"/>
      <c r="CX93" s="936" t="s">
        <v>64</v>
      </c>
      <c r="CY93" s="934" t="s">
        <v>64</v>
      </c>
      <c r="CZ93" s="934" t="s">
        <v>64</v>
      </c>
      <c r="DA93" s="938" t="str">
        <f t="shared" si="87"/>
        <v>-</v>
      </c>
      <c r="DB93" s="936" t="s">
        <v>64</v>
      </c>
      <c r="DC93" s="934" t="s">
        <v>64</v>
      </c>
      <c r="DD93" s="934" t="s">
        <v>64</v>
      </c>
      <c r="DE93" s="939" t="str">
        <f t="shared" si="88"/>
        <v>-</v>
      </c>
      <c r="DF93" s="19"/>
    </row>
    <row r="94" spans="1:110">
      <c r="A94" s="846" t="s">
        <v>1000</v>
      </c>
      <c r="B94" s="41" t="s">
        <v>678</v>
      </c>
      <c r="C94" s="41" t="s">
        <v>1486</v>
      </c>
      <c r="D94" s="34" t="s">
        <v>736</v>
      </c>
      <c r="E94" s="535">
        <v>19.389810000000001</v>
      </c>
      <c r="F94" s="537">
        <v>-155.29229000000001</v>
      </c>
      <c r="G94" s="37" t="s">
        <v>998</v>
      </c>
      <c r="H94" s="860" t="s">
        <v>999</v>
      </c>
      <c r="I94" s="202" t="s">
        <v>64</v>
      </c>
      <c r="J94" t="s">
        <v>880</v>
      </c>
      <c r="K94" s="34">
        <v>2021</v>
      </c>
      <c r="L94" s="51">
        <v>17.2</v>
      </c>
      <c r="M94" s="52">
        <v>22.4</v>
      </c>
      <c r="N94" s="54">
        <f t="shared" si="79"/>
        <v>3994.1784959999995</v>
      </c>
      <c r="O94" s="54">
        <v>1323.9425424464218</v>
      </c>
      <c r="P94" s="53">
        <v>17.213006207263163</v>
      </c>
      <c r="Q94" s="54">
        <v>2670.3537555513258</v>
      </c>
      <c r="R94" s="772">
        <f t="shared" si="80"/>
        <v>1</v>
      </c>
      <c r="S94" s="8" t="s">
        <v>230</v>
      </c>
      <c r="T94" s="37" t="s">
        <v>132</v>
      </c>
      <c r="U94" s="21">
        <v>89.028626413096376</v>
      </c>
      <c r="V94" s="552" t="s">
        <v>423</v>
      </c>
      <c r="W94" s="552" t="s">
        <v>423</v>
      </c>
      <c r="X94" s="556" t="s">
        <v>423</v>
      </c>
      <c r="Y94" s="784" t="s">
        <v>64</v>
      </c>
      <c r="Z94" s="864">
        <v>0.38776649202738661</v>
      </c>
      <c r="AA94" s="865">
        <v>8.5408531377205069E-2</v>
      </c>
      <c r="AB94" s="32" t="str">
        <f t="shared" si="61"/>
        <v>-</v>
      </c>
      <c r="AC94" s="6" t="str">
        <f t="shared" si="81"/>
        <v>-</v>
      </c>
      <c r="AD94" s="6" t="str">
        <f t="shared" si="82"/>
        <v>-</v>
      </c>
      <c r="AE94" s="6">
        <f t="shared" si="64"/>
        <v>1279.2876458752617</v>
      </c>
      <c r="AF94" s="839" t="s">
        <v>998</v>
      </c>
      <c r="AG94" s="553" t="str">
        <f t="shared" si="83"/>
        <v>-</v>
      </c>
      <c r="AH94" s="69" t="s">
        <v>64</v>
      </c>
      <c r="AI94" s="9" t="s">
        <v>64</v>
      </c>
      <c r="AJ94" s="9" t="s">
        <v>64</v>
      </c>
      <c r="AK94" s="9" t="s">
        <v>64</v>
      </c>
      <c r="AL94" s="9" t="s">
        <v>64</v>
      </c>
      <c r="AM94" s="9" t="s">
        <v>64</v>
      </c>
      <c r="AN94" s="9" t="s">
        <v>64</v>
      </c>
      <c r="AO94" s="9" t="s">
        <v>64</v>
      </c>
      <c r="AP94" s="9" t="s">
        <v>64</v>
      </c>
      <c r="AQ94" s="9" t="s">
        <v>64</v>
      </c>
      <c r="AR94" s="9" t="s">
        <v>64</v>
      </c>
      <c r="AS94" s="6" t="s">
        <v>64</v>
      </c>
      <c r="AT94" s="6" t="s">
        <v>64</v>
      </c>
      <c r="AU94" s="9" t="s">
        <v>64</v>
      </c>
      <c r="AV94" s="8" t="str">
        <f t="shared" si="66"/>
        <v>-</v>
      </c>
      <c r="AW94" s="9" t="str">
        <f t="shared" si="67"/>
        <v>-</v>
      </c>
      <c r="AX94" s="8" t="s">
        <v>64</v>
      </c>
      <c r="AY94" s="789" t="s">
        <v>64</v>
      </c>
      <c r="AZ94" s="6" t="s">
        <v>64</v>
      </c>
      <c r="BA94" s="48" t="s">
        <v>64</v>
      </c>
      <c r="BB94" s="6" t="s">
        <v>64</v>
      </c>
      <c r="BC94" s="48" t="s">
        <v>64</v>
      </c>
      <c r="BD94" s="849" t="s">
        <v>64</v>
      </c>
      <c r="BE94" s="48" t="s">
        <v>64</v>
      </c>
      <c r="BF94" s="668" t="s">
        <v>1008</v>
      </c>
      <c r="BG94" s="48" t="s">
        <v>64</v>
      </c>
      <c r="BH94" s="48" t="s">
        <v>64</v>
      </c>
      <c r="BI94" s="850" t="str">
        <f t="shared" si="84"/>
        <v>-</v>
      </c>
      <c r="BJ94" s="789" t="str">
        <f t="shared" si="85"/>
        <v>-</v>
      </c>
      <c r="BK94" s="673">
        <v>1594</v>
      </c>
      <c r="BL94" s="866">
        <v>559</v>
      </c>
      <c r="BM94" s="866">
        <v>466</v>
      </c>
      <c r="BN94" s="867">
        <f t="shared" si="86"/>
        <v>6.1297556639456001</v>
      </c>
      <c r="BO94" s="868">
        <f t="shared" si="71"/>
        <v>1.8553759423212002</v>
      </c>
      <c r="BP94" s="868">
        <f t="shared" si="72"/>
        <v>1.6266345291488014</v>
      </c>
      <c r="BQ94" s="869" t="s">
        <v>916</v>
      </c>
      <c r="BR94" s="45" t="s">
        <v>64</v>
      </c>
      <c r="BS94" s="854" t="s">
        <v>64</v>
      </c>
      <c r="BT94" s="605"/>
      <c r="BU94" s="599" t="s">
        <v>64</v>
      </c>
      <c r="BV94" s="851" t="s">
        <v>64</v>
      </c>
      <c r="BW94" s="851" t="s">
        <v>64</v>
      </c>
      <c r="BX94" s="851" t="s">
        <v>64</v>
      </c>
      <c r="BY94" s="851" t="s">
        <v>64</v>
      </c>
      <c r="BZ94" s="851" t="s">
        <v>64</v>
      </c>
      <c r="CA94" s="851" t="s">
        <v>64</v>
      </c>
      <c r="CB94" s="851" t="s">
        <v>64</v>
      </c>
      <c r="CC94" s="851" t="s">
        <v>64</v>
      </c>
      <c r="CD94" s="851" t="s">
        <v>64</v>
      </c>
      <c r="CE94" s="852" t="s">
        <v>64</v>
      </c>
      <c r="CF94" s="852" t="s">
        <v>64</v>
      </c>
      <c r="CG94" s="605"/>
      <c r="CH94" s="584" t="s">
        <v>64</v>
      </c>
      <c r="CI94" s="576" t="s">
        <v>64</v>
      </c>
      <c r="CJ94" s="576" t="s">
        <v>64</v>
      </c>
      <c r="CK94" s="576" t="s">
        <v>64</v>
      </c>
      <c r="CL94" s="576" t="s">
        <v>64</v>
      </c>
      <c r="CM94" s="576" t="s">
        <v>64</v>
      </c>
      <c r="CN94" s="576" t="s">
        <v>64</v>
      </c>
      <c r="CO94" s="576" t="s">
        <v>64</v>
      </c>
      <c r="CP94" s="576" t="s">
        <v>64</v>
      </c>
      <c r="CQ94" s="576" t="s">
        <v>64</v>
      </c>
      <c r="CR94" s="857" t="s">
        <v>64</v>
      </c>
      <c r="CS94" s="793" t="s">
        <v>64</v>
      </c>
      <c r="CT94" s="855" t="s">
        <v>64</v>
      </c>
      <c r="CU94" s="576" t="s">
        <v>64</v>
      </c>
      <c r="CV94" s="591" t="s">
        <v>64</v>
      </c>
      <c r="CW94" s="605"/>
      <c r="CX94" s="936" t="s">
        <v>64</v>
      </c>
      <c r="CY94" s="934" t="s">
        <v>64</v>
      </c>
      <c r="CZ94" s="934" t="s">
        <v>64</v>
      </c>
      <c r="DA94" s="938" t="str">
        <f t="shared" si="87"/>
        <v>-</v>
      </c>
      <c r="DB94" s="936" t="s">
        <v>64</v>
      </c>
      <c r="DC94" s="934" t="s">
        <v>64</v>
      </c>
      <c r="DD94" s="934" t="s">
        <v>64</v>
      </c>
      <c r="DE94" s="939" t="str">
        <f t="shared" si="88"/>
        <v>-</v>
      </c>
      <c r="DF94" s="19"/>
    </row>
    <row r="95" spans="1:110">
      <c r="A95" s="846" t="s">
        <v>1001</v>
      </c>
      <c r="B95" s="41" t="s">
        <v>678</v>
      </c>
      <c r="C95" s="41" t="s">
        <v>1486</v>
      </c>
      <c r="D95" s="34" t="s">
        <v>736</v>
      </c>
      <c r="E95" s="535">
        <v>19.389810000000001</v>
      </c>
      <c r="F95" s="537">
        <v>-155.29229000000001</v>
      </c>
      <c r="G95" s="37" t="s">
        <v>998</v>
      </c>
      <c r="H95" s="860" t="s">
        <v>999</v>
      </c>
      <c r="I95" s="202" t="s">
        <v>64</v>
      </c>
      <c r="J95" t="s">
        <v>880</v>
      </c>
      <c r="K95" s="34">
        <v>2021</v>
      </c>
      <c r="L95" s="51">
        <v>27.5</v>
      </c>
      <c r="M95" s="52">
        <v>33.700000000000003</v>
      </c>
      <c r="N95" s="54">
        <f t="shared" si="79"/>
        <v>14848.064137500003</v>
      </c>
      <c r="O95" s="54">
        <v>3991.6814457124187</v>
      </c>
      <c r="P95" s="53">
        <v>27.472700180599233</v>
      </c>
      <c r="Q95" s="54">
        <v>10856.820612030722</v>
      </c>
      <c r="R95" s="772">
        <f t="shared" si="80"/>
        <v>1</v>
      </c>
      <c r="S95" s="8" t="s">
        <v>230</v>
      </c>
      <c r="T95" s="37" t="s">
        <v>132</v>
      </c>
      <c r="U95" s="21">
        <v>89.028626413096376</v>
      </c>
      <c r="V95" s="552" t="s">
        <v>423</v>
      </c>
      <c r="W95" s="552" t="s">
        <v>423</v>
      </c>
      <c r="X95" s="556" t="s">
        <v>423</v>
      </c>
      <c r="Y95" s="784" t="s">
        <v>64</v>
      </c>
      <c r="Z95" s="864">
        <v>0.35461125250745107</v>
      </c>
      <c r="AA95" s="865">
        <v>5.5419044415594997E-2</v>
      </c>
      <c r="AB95" s="32" t="str">
        <f t="shared" si="61"/>
        <v>-</v>
      </c>
      <c r="AC95" s="6" t="str">
        <f t="shared" si="81"/>
        <v>-</v>
      </c>
      <c r="AD95" s="6" t="str">
        <f t="shared" si="82"/>
        <v>-</v>
      </c>
      <c r="AE95" s="6">
        <f t="shared" si="64"/>
        <v>1279.2876458752617</v>
      </c>
      <c r="AF95" s="839" t="s">
        <v>998</v>
      </c>
      <c r="AG95" s="553" t="str">
        <f t="shared" si="83"/>
        <v>-</v>
      </c>
      <c r="AH95" s="69" t="s">
        <v>64</v>
      </c>
      <c r="AI95" s="9" t="s">
        <v>64</v>
      </c>
      <c r="AJ95" s="9" t="s">
        <v>64</v>
      </c>
      <c r="AK95" s="9" t="s">
        <v>64</v>
      </c>
      <c r="AL95" s="9" t="s">
        <v>64</v>
      </c>
      <c r="AM95" s="9" t="s">
        <v>64</v>
      </c>
      <c r="AN95" s="9" t="s">
        <v>64</v>
      </c>
      <c r="AO95" s="9" t="s">
        <v>64</v>
      </c>
      <c r="AP95" s="9" t="s">
        <v>64</v>
      </c>
      <c r="AQ95" s="9" t="s">
        <v>64</v>
      </c>
      <c r="AR95" s="9" t="s">
        <v>64</v>
      </c>
      <c r="AS95" s="6" t="s">
        <v>64</v>
      </c>
      <c r="AT95" s="6" t="s">
        <v>64</v>
      </c>
      <c r="AU95" s="9" t="s">
        <v>64</v>
      </c>
      <c r="AV95" s="8" t="str">
        <f t="shared" si="66"/>
        <v>-</v>
      </c>
      <c r="AW95" s="9" t="str">
        <f t="shared" si="67"/>
        <v>-</v>
      </c>
      <c r="AX95" s="8" t="s">
        <v>64</v>
      </c>
      <c r="AY95" s="789" t="s">
        <v>64</v>
      </c>
      <c r="AZ95" s="6" t="s">
        <v>64</v>
      </c>
      <c r="BA95" s="48" t="s">
        <v>64</v>
      </c>
      <c r="BB95" s="6" t="s">
        <v>64</v>
      </c>
      <c r="BC95" s="48" t="s">
        <v>64</v>
      </c>
      <c r="BD95" s="849" t="s">
        <v>64</v>
      </c>
      <c r="BE95" s="48" t="s">
        <v>64</v>
      </c>
      <c r="BF95" s="668" t="s">
        <v>1008</v>
      </c>
      <c r="BG95" s="48" t="s">
        <v>64</v>
      </c>
      <c r="BH95" s="48" t="s">
        <v>64</v>
      </c>
      <c r="BI95" s="850" t="str">
        <f t="shared" si="84"/>
        <v>-</v>
      </c>
      <c r="BJ95" s="789" t="str">
        <f t="shared" si="85"/>
        <v>-</v>
      </c>
      <c r="BK95" s="673">
        <v>1403</v>
      </c>
      <c r="BL95" s="866">
        <v>327</v>
      </c>
      <c r="BM95" s="866">
        <v>290</v>
      </c>
      <c r="BN95" s="867">
        <f t="shared" si="86"/>
        <v>5.4745295361667994</v>
      </c>
      <c r="BO95" s="868">
        <f t="shared" si="71"/>
        <v>1.1138819866332001</v>
      </c>
      <c r="BP95" s="868">
        <f t="shared" si="72"/>
        <v>1.0254885584119995</v>
      </c>
      <c r="BQ95" s="869" t="s">
        <v>916</v>
      </c>
      <c r="BR95" s="45" t="s">
        <v>64</v>
      </c>
      <c r="BS95" s="854" t="s">
        <v>64</v>
      </c>
      <c r="BT95" s="605"/>
      <c r="BU95" s="599" t="s">
        <v>64</v>
      </c>
      <c r="BV95" s="851" t="s">
        <v>64</v>
      </c>
      <c r="BW95" s="851" t="s">
        <v>64</v>
      </c>
      <c r="BX95" s="851" t="s">
        <v>64</v>
      </c>
      <c r="BY95" s="851" t="s">
        <v>64</v>
      </c>
      <c r="BZ95" s="851" t="s">
        <v>64</v>
      </c>
      <c r="CA95" s="851" t="s">
        <v>64</v>
      </c>
      <c r="CB95" s="851" t="s">
        <v>64</v>
      </c>
      <c r="CC95" s="851" t="s">
        <v>64</v>
      </c>
      <c r="CD95" s="851" t="s">
        <v>64</v>
      </c>
      <c r="CE95" s="852" t="s">
        <v>64</v>
      </c>
      <c r="CF95" s="852" t="s">
        <v>64</v>
      </c>
      <c r="CG95" s="605"/>
      <c r="CH95" s="584" t="s">
        <v>64</v>
      </c>
      <c r="CI95" s="576" t="s">
        <v>64</v>
      </c>
      <c r="CJ95" s="576" t="s">
        <v>64</v>
      </c>
      <c r="CK95" s="576" t="s">
        <v>64</v>
      </c>
      <c r="CL95" s="576" t="s">
        <v>64</v>
      </c>
      <c r="CM95" s="576" t="s">
        <v>64</v>
      </c>
      <c r="CN95" s="576" t="s">
        <v>64</v>
      </c>
      <c r="CO95" s="576" t="s">
        <v>64</v>
      </c>
      <c r="CP95" s="576" t="s">
        <v>64</v>
      </c>
      <c r="CQ95" s="576" t="s">
        <v>64</v>
      </c>
      <c r="CR95" s="857" t="s">
        <v>64</v>
      </c>
      <c r="CS95" s="793" t="s">
        <v>64</v>
      </c>
      <c r="CT95" s="855" t="s">
        <v>64</v>
      </c>
      <c r="CU95" s="576" t="s">
        <v>64</v>
      </c>
      <c r="CV95" s="591" t="s">
        <v>64</v>
      </c>
      <c r="CW95" s="605"/>
      <c r="CX95" s="936" t="s">
        <v>64</v>
      </c>
      <c r="CY95" s="934" t="s">
        <v>64</v>
      </c>
      <c r="CZ95" s="934" t="s">
        <v>64</v>
      </c>
      <c r="DA95" s="938" t="str">
        <f t="shared" si="87"/>
        <v>-</v>
      </c>
      <c r="DB95" s="936" t="s">
        <v>64</v>
      </c>
      <c r="DC95" s="934" t="s">
        <v>64</v>
      </c>
      <c r="DD95" s="934" t="s">
        <v>64</v>
      </c>
      <c r="DE95" s="939" t="str">
        <f t="shared" si="88"/>
        <v>-</v>
      </c>
      <c r="DF95" s="19"/>
    </row>
    <row r="96" spans="1:110">
      <c r="A96" s="846" t="s">
        <v>594</v>
      </c>
      <c r="B96" s="41" t="s">
        <v>678</v>
      </c>
      <c r="C96" s="41" t="s">
        <v>1486</v>
      </c>
      <c r="D96" s="34" t="s">
        <v>736</v>
      </c>
      <c r="E96" s="535">
        <v>19.389810000000001</v>
      </c>
      <c r="F96" s="537">
        <v>-155.29229000000001</v>
      </c>
      <c r="G96" s="37" t="s">
        <v>998</v>
      </c>
      <c r="H96" s="860" t="s">
        <v>999</v>
      </c>
      <c r="I96" s="202" t="s">
        <v>64</v>
      </c>
      <c r="J96" t="s">
        <v>880</v>
      </c>
      <c r="K96" s="34">
        <v>2021</v>
      </c>
      <c r="L96" s="51">
        <v>154.80000000000001</v>
      </c>
      <c r="M96" s="52">
        <v>154.80000000000001</v>
      </c>
      <c r="N96" s="54">
        <f t="shared" si="79"/>
        <v>1942221.1661280009</v>
      </c>
      <c r="O96" s="54">
        <v>577.83941996128306</v>
      </c>
      <c r="P96" s="53">
        <v>154.7846471696993</v>
      </c>
      <c r="Q96" s="54">
        <v>1941700.6094593408</v>
      </c>
      <c r="R96" s="772">
        <f t="shared" si="80"/>
        <v>1</v>
      </c>
      <c r="S96" s="8" t="s">
        <v>232</v>
      </c>
      <c r="T96" s="37" t="s">
        <v>132</v>
      </c>
      <c r="U96" s="21">
        <v>88.281313681103867</v>
      </c>
      <c r="V96" s="552" t="s">
        <v>423</v>
      </c>
      <c r="W96" s="552" t="s">
        <v>423</v>
      </c>
      <c r="X96" s="556">
        <v>103.24960419364415</v>
      </c>
      <c r="Y96" s="784">
        <v>4.366407855290644E-3</v>
      </c>
      <c r="Z96" s="784">
        <v>0.23360948874366727</v>
      </c>
      <c r="AA96" s="785">
        <v>1.5500747886282157E-3</v>
      </c>
      <c r="AB96" s="32" t="str">
        <f t="shared" si="61"/>
        <v>-</v>
      </c>
      <c r="AC96" s="6" t="str">
        <f t="shared" si="81"/>
        <v>-</v>
      </c>
      <c r="AD96" s="6" t="str">
        <f t="shared" si="82"/>
        <v>-</v>
      </c>
      <c r="AE96" s="6">
        <f t="shared" si="64"/>
        <v>1262.9319474366785</v>
      </c>
      <c r="AF96" s="839" t="s">
        <v>998</v>
      </c>
      <c r="AG96" s="553" t="str">
        <f t="shared" si="83"/>
        <v>-</v>
      </c>
      <c r="AH96" s="69" t="s">
        <v>64</v>
      </c>
      <c r="AI96" s="9" t="s">
        <v>64</v>
      </c>
      <c r="AJ96" s="9" t="s">
        <v>64</v>
      </c>
      <c r="AK96" s="9" t="s">
        <v>64</v>
      </c>
      <c r="AL96" s="9" t="s">
        <v>64</v>
      </c>
      <c r="AM96" s="9" t="s">
        <v>64</v>
      </c>
      <c r="AN96" s="9" t="s">
        <v>64</v>
      </c>
      <c r="AO96" s="9" t="s">
        <v>64</v>
      </c>
      <c r="AP96" s="9" t="s">
        <v>64</v>
      </c>
      <c r="AQ96" s="9" t="s">
        <v>64</v>
      </c>
      <c r="AR96" s="9" t="s">
        <v>64</v>
      </c>
      <c r="AS96" s="6" t="s">
        <v>64</v>
      </c>
      <c r="AT96" s="6" t="s">
        <v>64</v>
      </c>
      <c r="AU96" s="9" t="s">
        <v>64</v>
      </c>
      <c r="AV96" s="8" t="str">
        <f t="shared" si="66"/>
        <v>-</v>
      </c>
      <c r="AW96" s="9" t="str">
        <f t="shared" si="67"/>
        <v>-</v>
      </c>
      <c r="AX96" s="8" t="s">
        <v>64</v>
      </c>
      <c r="AY96" s="789" t="s">
        <v>64</v>
      </c>
      <c r="AZ96" s="35" t="s">
        <v>64</v>
      </c>
      <c r="BA96" s="48" t="s">
        <v>64</v>
      </c>
      <c r="BB96" s="6" t="s">
        <v>64</v>
      </c>
      <c r="BC96" s="48" t="s">
        <v>64</v>
      </c>
      <c r="BD96" s="849" t="s">
        <v>64</v>
      </c>
      <c r="BE96" s="48" t="s">
        <v>64</v>
      </c>
      <c r="BF96" s="668" t="s">
        <v>1008</v>
      </c>
      <c r="BG96" s="48" t="s">
        <v>64</v>
      </c>
      <c r="BH96" s="48" t="s">
        <v>64</v>
      </c>
      <c r="BI96" s="850" t="str">
        <f t="shared" si="84"/>
        <v>-</v>
      </c>
      <c r="BJ96" s="789" t="str">
        <f t="shared" si="85"/>
        <v>-</v>
      </c>
      <c r="BK96" s="67">
        <v>813</v>
      </c>
      <c r="BL96" s="48">
        <v>81.300000000000068</v>
      </c>
      <c r="BM96" s="48">
        <v>9</v>
      </c>
      <c r="BN96" s="850">
        <f t="shared" si="86"/>
        <v>3.3398526821147998</v>
      </c>
      <c r="BO96" s="789">
        <f t="shared" si="71"/>
        <v>0.30606443407919937</v>
      </c>
      <c r="BP96" s="789">
        <f t="shared" si="72"/>
        <v>3.4149071977199963E-2</v>
      </c>
      <c r="BQ96" s="861" t="s">
        <v>917</v>
      </c>
      <c r="BR96" s="45" t="s">
        <v>64</v>
      </c>
      <c r="BS96" s="854" t="s">
        <v>64</v>
      </c>
      <c r="BT96" s="605"/>
      <c r="BU96" s="599" t="s">
        <v>64</v>
      </c>
      <c r="BV96" s="851" t="s">
        <v>64</v>
      </c>
      <c r="BW96" s="851" t="s">
        <v>64</v>
      </c>
      <c r="BX96" s="851" t="s">
        <v>64</v>
      </c>
      <c r="BY96" s="851" t="s">
        <v>64</v>
      </c>
      <c r="BZ96" s="851" t="s">
        <v>64</v>
      </c>
      <c r="CA96" s="851" t="s">
        <v>64</v>
      </c>
      <c r="CB96" s="851" t="s">
        <v>64</v>
      </c>
      <c r="CC96" s="851" t="s">
        <v>64</v>
      </c>
      <c r="CD96" s="851" t="s">
        <v>64</v>
      </c>
      <c r="CE96" s="852" t="s">
        <v>64</v>
      </c>
      <c r="CF96" s="852" t="s">
        <v>64</v>
      </c>
      <c r="CG96" s="605"/>
      <c r="CH96" s="584" t="s">
        <v>64</v>
      </c>
      <c r="CI96" s="576" t="s">
        <v>64</v>
      </c>
      <c r="CJ96" s="576" t="s">
        <v>64</v>
      </c>
      <c r="CK96" s="576" t="s">
        <v>64</v>
      </c>
      <c r="CL96" s="576" t="s">
        <v>64</v>
      </c>
      <c r="CM96" s="576" t="s">
        <v>64</v>
      </c>
      <c r="CN96" s="576" t="s">
        <v>64</v>
      </c>
      <c r="CO96" s="576" t="s">
        <v>64</v>
      </c>
      <c r="CP96" s="576" t="s">
        <v>64</v>
      </c>
      <c r="CQ96" s="576" t="s">
        <v>64</v>
      </c>
      <c r="CR96" s="857" t="s">
        <v>64</v>
      </c>
      <c r="CS96" s="793" t="s">
        <v>64</v>
      </c>
      <c r="CT96" s="855" t="s">
        <v>64</v>
      </c>
      <c r="CU96" s="576" t="s">
        <v>64</v>
      </c>
      <c r="CV96" s="591" t="s">
        <v>64</v>
      </c>
      <c r="CW96" s="605"/>
      <c r="CX96" s="936" t="s">
        <v>64</v>
      </c>
      <c r="CY96" s="934" t="s">
        <v>64</v>
      </c>
      <c r="CZ96" s="934" t="s">
        <v>64</v>
      </c>
      <c r="DA96" s="938" t="str">
        <f t="shared" si="87"/>
        <v>-</v>
      </c>
      <c r="DB96" s="936" t="s">
        <v>64</v>
      </c>
      <c r="DC96" s="934" t="s">
        <v>64</v>
      </c>
      <c r="DD96" s="934" t="s">
        <v>64</v>
      </c>
      <c r="DE96" s="939" t="str">
        <f t="shared" si="88"/>
        <v>-</v>
      </c>
      <c r="DF96" s="19"/>
    </row>
    <row r="97" spans="1:110">
      <c r="A97" s="846" t="s">
        <v>596</v>
      </c>
      <c r="B97" s="41" t="s">
        <v>678</v>
      </c>
      <c r="C97" s="41" t="s">
        <v>1486</v>
      </c>
      <c r="D97" s="34" t="s">
        <v>736</v>
      </c>
      <c r="E97" s="535">
        <v>19.389810000000001</v>
      </c>
      <c r="F97" s="537">
        <v>-155.29229000000001</v>
      </c>
      <c r="G97" s="37" t="s">
        <v>998</v>
      </c>
      <c r="H97" s="860" t="s">
        <v>999</v>
      </c>
      <c r="I97" s="202" t="s">
        <v>64</v>
      </c>
      <c r="J97" t="s">
        <v>880</v>
      </c>
      <c r="K97" s="34">
        <v>2021</v>
      </c>
      <c r="L97" s="51" t="s">
        <v>998</v>
      </c>
      <c r="M97" s="52" t="s">
        <v>998</v>
      </c>
      <c r="N97" s="54" t="str">
        <f t="shared" ref="N97:N98" si="90">L97</f>
        <v>fluid inclusion</v>
      </c>
      <c r="O97" s="54" t="s">
        <v>998</v>
      </c>
      <c r="P97" s="53">
        <v>8</v>
      </c>
      <c r="Q97" s="54">
        <v>268.08257310632899</v>
      </c>
      <c r="R97" s="772">
        <f t="shared" si="80"/>
        <v>1</v>
      </c>
      <c r="S97" s="8" t="s">
        <v>235</v>
      </c>
      <c r="T97" s="37" t="s">
        <v>132</v>
      </c>
      <c r="U97" s="21">
        <v>88.892319232465653</v>
      </c>
      <c r="V97" s="552" t="s">
        <v>423</v>
      </c>
      <c r="W97" s="552" t="s">
        <v>423</v>
      </c>
      <c r="X97" s="556">
        <v>103.01796180728904</v>
      </c>
      <c r="Y97" s="784">
        <v>7.1003619460838809E-3</v>
      </c>
      <c r="Z97" s="784">
        <v>0.15137644158760821</v>
      </c>
      <c r="AA97" s="785">
        <v>2.5206284908581987E-3</v>
      </c>
      <c r="AB97" s="32" t="str">
        <f t="shared" si="61"/>
        <v>-</v>
      </c>
      <c r="AC97" s="6" t="str">
        <f t="shared" si="81"/>
        <v>-</v>
      </c>
      <c r="AD97" s="6" t="str">
        <f t="shared" si="82"/>
        <v>-</v>
      </c>
      <c r="AE97" s="6">
        <f t="shared" si="64"/>
        <v>1276.2086168314927</v>
      </c>
      <c r="AF97" s="839" t="s">
        <v>998</v>
      </c>
      <c r="AG97" s="553" t="str">
        <f t="shared" si="83"/>
        <v>-</v>
      </c>
      <c r="AH97" s="69" t="s">
        <v>64</v>
      </c>
      <c r="AI97" s="9" t="s">
        <v>64</v>
      </c>
      <c r="AJ97" s="9" t="s">
        <v>64</v>
      </c>
      <c r="AK97" s="9" t="s">
        <v>64</v>
      </c>
      <c r="AL97" s="9" t="s">
        <v>64</v>
      </c>
      <c r="AM97" s="9" t="s">
        <v>64</v>
      </c>
      <c r="AN97" s="9" t="s">
        <v>64</v>
      </c>
      <c r="AO97" s="9" t="s">
        <v>64</v>
      </c>
      <c r="AP97" s="9" t="s">
        <v>64</v>
      </c>
      <c r="AQ97" s="9" t="s">
        <v>64</v>
      </c>
      <c r="AR97" s="9" t="s">
        <v>64</v>
      </c>
      <c r="AS97" s="6" t="s">
        <v>64</v>
      </c>
      <c r="AT97" s="6" t="s">
        <v>64</v>
      </c>
      <c r="AU97" s="9" t="s">
        <v>64</v>
      </c>
      <c r="AV97" s="8" t="str">
        <f t="shared" si="66"/>
        <v>-</v>
      </c>
      <c r="AW97" s="9" t="str">
        <f t="shared" si="67"/>
        <v>-</v>
      </c>
      <c r="AX97" s="8" t="s">
        <v>64</v>
      </c>
      <c r="AY97" s="789" t="s">
        <v>64</v>
      </c>
      <c r="AZ97" s="6" t="s">
        <v>64</v>
      </c>
      <c r="BA97" s="48" t="s">
        <v>64</v>
      </c>
      <c r="BB97" s="6" t="s">
        <v>64</v>
      </c>
      <c r="BC97" s="48" t="s">
        <v>64</v>
      </c>
      <c r="BD97" s="849" t="s">
        <v>64</v>
      </c>
      <c r="BE97" s="48" t="s">
        <v>64</v>
      </c>
      <c r="BF97" s="668" t="s">
        <v>1008</v>
      </c>
      <c r="BG97" s="48" t="s">
        <v>64</v>
      </c>
      <c r="BH97" s="48" t="s">
        <v>64</v>
      </c>
      <c r="BI97" s="850" t="str">
        <f t="shared" si="84"/>
        <v>-</v>
      </c>
      <c r="BJ97" s="789" t="str">
        <f t="shared" si="85"/>
        <v>-</v>
      </c>
      <c r="BK97" s="67">
        <v>485</v>
      </c>
      <c r="BL97" s="48">
        <v>48.5</v>
      </c>
      <c r="BM97" s="48">
        <v>8</v>
      </c>
      <c r="BN97" s="850">
        <f t="shared" si="86"/>
        <v>2.0579526741499996</v>
      </c>
      <c r="BO97" s="789">
        <f t="shared" si="71"/>
        <v>0.19463976742364997</v>
      </c>
      <c r="BP97" s="789">
        <f t="shared" si="72"/>
        <v>3.2285654172799827E-2</v>
      </c>
      <c r="BQ97" s="861" t="s">
        <v>912</v>
      </c>
      <c r="BR97" s="45" t="s">
        <v>64</v>
      </c>
      <c r="BS97" s="854" t="s">
        <v>64</v>
      </c>
      <c r="BT97" s="605"/>
      <c r="BU97" s="599" t="s">
        <v>64</v>
      </c>
      <c r="BV97" s="851" t="s">
        <v>64</v>
      </c>
      <c r="BW97" s="851" t="s">
        <v>64</v>
      </c>
      <c r="BX97" s="851" t="s">
        <v>64</v>
      </c>
      <c r="BY97" s="851" t="s">
        <v>64</v>
      </c>
      <c r="BZ97" s="851" t="s">
        <v>64</v>
      </c>
      <c r="CA97" s="851" t="s">
        <v>64</v>
      </c>
      <c r="CB97" s="851" t="s">
        <v>64</v>
      </c>
      <c r="CC97" s="851" t="s">
        <v>64</v>
      </c>
      <c r="CD97" s="851" t="s">
        <v>64</v>
      </c>
      <c r="CE97" s="852" t="s">
        <v>64</v>
      </c>
      <c r="CF97" s="852" t="s">
        <v>64</v>
      </c>
      <c r="CG97" s="605"/>
      <c r="CH97" s="584" t="s">
        <v>64</v>
      </c>
      <c r="CI97" s="576" t="s">
        <v>64</v>
      </c>
      <c r="CJ97" s="576" t="s">
        <v>64</v>
      </c>
      <c r="CK97" s="576" t="s">
        <v>64</v>
      </c>
      <c r="CL97" s="576" t="s">
        <v>64</v>
      </c>
      <c r="CM97" s="576" t="s">
        <v>64</v>
      </c>
      <c r="CN97" s="576" t="s">
        <v>64</v>
      </c>
      <c r="CO97" s="576" t="s">
        <v>64</v>
      </c>
      <c r="CP97" s="576" t="s">
        <v>64</v>
      </c>
      <c r="CQ97" s="576" t="s">
        <v>64</v>
      </c>
      <c r="CR97" s="857" t="s">
        <v>64</v>
      </c>
      <c r="CS97" s="793" t="s">
        <v>64</v>
      </c>
      <c r="CT97" s="855" t="s">
        <v>64</v>
      </c>
      <c r="CU97" s="576" t="s">
        <v>64</v>
      </c>
      <c r="CV97" s="591" t="s">
        <v>64</v>
      </c>
      <c r="CW97" s="605"/>
      <c r="CX97" s="936" t="s">
        <v>64</v>
      </c>
      <c r="CY97" s="934" t="s">
        <v>64</v>
      </c>
      <c r="CZ97" s="934" t="s">
        <v>64</v>
      </c>
      <c r="DA97" s="938" t="str">
        <f t="shared" si="87"/>
        <v>-</v>
      </c>
      <c r="DB97" s="936" t="s">
        <v>64</v>
      </c>
      <c r="DC97" s="934" t="s">
        <v>64</v>
      </c>
      <c r="DD97" s="934" t="s">
        <v>64</v>
      </c>
      <c r="DE97" s="939" t="str">
        <f t="shared" si="88"/>
        <v>-</v>
      </c>
      <c r="DF97" s="19"/>
    </row>
    <row r="98" spans="1:110">
      <c r="A98" s="846" t="s">
        <v>597</v>
      </c>
      <c r="B98" s="41" t="s">
        <v>678</v>
      </c>
      <c r="C98" s="41" t="s">
        <v>1486</v>
      </c>
      <c r="D98" s="34" t="s">
        <v>736</v>
      </c>
      <c r="E98" s="535">
        <v>19.389810000000001</v>
      </c>
      <c r="F98" s="537">
        <v>-155.29229000000001</v>
      </c>
      <c r="G98" s="37" t="s">
        <v>998</v>
      </c>
      <c r="H98" s="860" t="s">
        <v>999</v>
      </c>
      <c r="I98" s="202" t="s">
        <v>64</v>
      </c>
      <c r="J98" t="s">
        <v>880</v>
      </c>
      <c r="K98" s="34">
        <v>2021</v>
      </c>
      <c r="L98" s="51" t="s">
        <v>998</v>
      </c>
      <c r="M98" s="52" t="s">
        <v>998</v>
      </c>
      <c r="N98" s="54" t="str">
        <f t="shared" si="90"/>
        <v>fluid inclusion</v>
      </c>
      <c r="O98" s="54" t="s">
        <v>998</v>
      </c>
      <c r="P98" s="53">
        <v>12</v>
      </c>
      <c r="Q98" s="54">
        <v>904.7786842338603</v>
      </c>
      <c r="R98" s="772">
        <f t="shared" si="80"/>
        <v>1</v>
      </c>
      <c r="S98" s="8" t="s">
        <v>235</v>
      </c>
      <c r="T98" s="37" t="s">
        <v>132</v>
      </c>
      <c r="U98" s="21">
        <v>88.892319232465653</v>
      </c>
      <c r="V98" s="552" t="s">
        <v>423</v>
      </c>
      <c r="W98" s="552" t="s">
        <v>423</v>
      </c>
      <c r="X98" s="556">
        <v>102.94212448611842</v>
      </c>
      <c r="Y98" s="784">
        <v>9.5785576174894464E-3</v>
      </c>
      <c r="Z98" s="784">
        <v>0.12445419257203127</v>
      </c>
      <c r="AA98" s="785">
        <v>3.400387954208771E-3</v>
      </c>
      <c r="AB98" s="32" t="str">
        <f t="shared" si="61"/>
        <v>-</v>
      </c>
      <c r="AC98" s="6" t="str">
        <f t="shared" si="81"/>
        <v>-</v>
      </c>
      <c r="AD98" s="6" t="str">
        <f t="shared" si="82"/>
        <v>-</v>
      </c>
      <c r="AE98" s="6">
        <f t="shared" si="64"/>
        <v>1276.2086168314927</v>
      </c>
      <c r="AF98" s="839" t="s">
        <v>998</v>
      </c>
      <c r="AG98" s="553" t="str">
        <f t="shared" si="83"/>
        <v>-</v>
      </c>
      <c r="AH98" s="69" t="s">
        <v>64</v>
      </c>
      <c r="AI98" s="9" t="s">
        <v>64</v>
      </c>
      <c r="AJ98" s="9" t="s">
        <v>64</v>
      </c>
      <c r="AK98" s="9" t="s">
        <v>64</v>
      </c>
      <c r="AL98" s="9" t="s">
        <v>64</v>
      </c>
      <c r="AM98" s="9" t="s">
        <v>64</v>
      </c>
      <c r="AN98" s="9" t="s">
        <v>64</v>
      </c>
      <c r="AO98" s="9" t="s">
        <v>64</v>
      </c>
      <c r="AP98" s="9" t="s">
        <v>64</v>
      </c>
      <c r="AQ98" s="9" t="s">
        <v>64</v>
      </c>
      <c r="AR98" s="9" t="s">
        <v>64</v>
      </c>
      <c r="AS98" s="6" t="s">
        <v>64</v>
      </c>
      <c r="AT98" s="6" t="s">
        <v>64</v>
      </c>
      <c r="AU98" s="9" t="s">
        <v>64</v>
      </c>
      <c r="AV98" s="8" t="str">
        <f t="shared" si="66"/>
        <v>-</v>
      </c>
      <c r="AW98" s="9" t="str">
        <f t="shared" si="67"/>
        <v>-</v>
      </c>
      <c r="AX98" s="8" t="s">
        <v>64</v>
      </c>
      <c r="AY98" s="789" t="s">
        <v>64</v>
      </c>
      <c r="AZ98" s="6" t="s">
        <v>64</v>
      </c>
      <c r="BA98" s="48" t="s">
        <v>64</v>
      </c>
      <c r="BB98" s="6" t="s">
        <v>64</v>
      </c>
      <c r="BC98" s="48" t="s">
        <v>64</v>
      </c>
      <c r="BD98" s="849" t="s">
        <v>64</v>
      </c>
      <c r="BE98" s="48" t="s">
        <v>64</v>
      </c>
      <c r="BF98" s="668" t="s">
        <v>1008</v>
      </c>
      <c r="BG98" s="48" t="s">
        <v>64</v>
      </c>
      <c r="BH98" s="48" t="s">
        <v>64</v>
      </c>
      <c r="BI98" s="850" t="str">
        <f t="shared" si="84"/>
        <v>-</v>
      </c>
      <c r="BJ98" s="789" t="str">
        <f t="shared" si="85"/>
        <v>-</v>
      </c>
      <c r="BK98" s="67">
        <v>390</v>
      </c>
      <c r="BL98" s="48">
        <v>39.000000000000057</v>
      </c>
      <c r="BM98" s="48">
        <v>11</v>
      </c>
      <c r="BN98" s="850">
        <f t="shared" si="86"/>
        <v>1.6711857396000001</v>
      </c>
      <c r="BO98" s="789">
        <f t="shared" si="71"/>
        <v>0.1596769530876001</v>
      </c>
      <c r="BP98" s="789">
        <f t="shared" si="72"/>
        <v>4.5267460572400164E-2</v>
      </c>
      <c r="BQ98" s="861" t="s">
        <v>912</v>
      </c>
      <c r="BR98" s="45" t="s">
        <v>64</v>
      </c>
      <c r="BS98" s="854" t="s">
        <v>64</v>
      </c>
      <c r="BT98" s="605"/>
      <c r="BU98" s="599" t="s">
        <v>64</v>
      </c>
      <c r="BV98" s="851" t="s">
        <v>64</v>
      </c>
      <c r="BW98" s="851" t="s">
        <v>64</v>
      </c>
      <c r="BX98" s="851" t="s">
        <v>64</v>
      </c>
      <c r="BY98" s="851" t="s">
        <v>64</v>
      </c>
      <c r="BZ98" s="851" t="s">
        <v>64</v>
      </c>
      <c r="CA98" s="851" t="s">
        <v>64</v>
      </c>
      <c r="CB98" s="851" t="s">
        <v>64</v>
      </c>
      <c r="CC98" s="851" t="s">
        <v>64</v>
      </c>
      <c r="CD98" s="851" t="s">
        <v>64</v>
      </c>
      <c r="CE98" s="852" t="s">
        <v>64</v>
      </c>
      <c r="CF98" s="852" t="s">
        <v>64</v>
      </c>
      <c r="CG98" s="605"/>
      <c r="CH98" s="584" t="s">
        <v>64</v>
      </c>
      <c r="CI98" s="576" t="s">
        <v>64</v>
      </c>
      <c r="CJ98" s="576" t="s">
        <v>64</v>
      </c>
      <c r="CK98" s="576" t="s">
        <v>64</v>
      </c>
      <c r="CL98" s="576" t="s">
        <v>64</v>
      </c>
      <c r="CM98" s="576" t="s">
        <v>64</v>
      </c>
      <c r="CN98" s="576" t="s">
        <v>64</v>
      </c>
      <c r="CO98" s="576" t="s">
        <v>64</v>
      </c>
      <c r="CP98" s="576" t="s">
        <v>64</v>
      </c>
      <c r="CQ98" s="576" t="s">
        <v>64</v>
      </c>
      <c r="CR98" s="857" t="s">
        <v>64</v>
      </c>
      <c r="CS98" s="793" t="s">
        <v>64</v>
      </c>
      <c r="CT98" s="855" t="s">
        <v>64</v>
      </c>
      <c r="CU98" s="576" t="s">
        <v>64</v>
      </c>
      <c r="CV98" s="591" t="s">
        <v>64</v>
      </c>
      <c r="CW98" s="605"/>
      <c r="CX98" s="936" t="s">
        <v>64</v>
      </c>
      <c r="CY98" s="934" t="s">
        <v>64</v>
      </c>
      <c r="CZ98" s="934" t="s">
        <v>64</v>
      </c>
      <c r="DA98" s="938" t="str">
        <f t="shared" si="87"/>
        <v>-</v>
      </c>
      <c r="DB98" s="936" t="s">
        <v>64</v>
      </c>
      <c r="DC98" s="934" t="s">
        <v>64</v>
      </c>
      <c r="DD98" s="934" t="s">
        <v>64</v>
      </c>
      <c r="DE98" s="939" t="str">
        <f t="shared" si="88"/>
        <v>-</v>
      </c>
      <c r="DF98" s="19"/>
    </row>
    <row r="99" spans="1:110">
      <c r="A99" s="846" t="s">
        <v>598</v>
      </c>
      <c r="B99" s="41" t="s">
        <v>678</v>
      </c>
      <c r="C99" s="41" t="s">
        <v>1486</v>
      </c>
      <c r="D99" s="34" t="s">
        <v>736</v>
      </c>
      <c r="E99" s="535">
        <v>19.389810000000001</v>
      </c>
      <c r="F99" s="537">
        <v>-155.29229000000001</v>
      </c>
      <c r="G99" s="37" t="s">
        <v>997</v>
      </c>
      <c r="H99" s="860" t="s">
        <v>760</v>
      </c>
      <c r="I99" s="202" t="s">
        <v>780</v>
      </c>
      <c r="J99" t="s">
        <v>879</v>
      </c>
      <c r="K99" s="34">
        <v>2021</v>
      </c>
      <c r="L99" s="51">
        <v>16</v>
      </c>
      <c r="M99" s="52">
        <v>13.2</v>
      </c>
      <c r="N99" s="54">
        <f t="shared" si="79"/>
        <v>1614.4796800000001</v>
      </c>
      <c r="O99" s="54">
        <v>709.74861229900591</v>
      </c>
      <c r="P99" s="53">
        <v>12</v>
      </c>
      <c r="Q99" s="54">
        <v>904.7786842338603</v>
      </c>
      <c r="R99" s="772">
        <f t="shared" si="80"/>
        <v>0.56039850560398508</v>
      </c>
      <c r="S99" s="8" t="s">
        <v>235</v>
      </c>
      <c r="T99" s="37" t="s">
        <v>132</v>
      </c>
      <c r="U99" s="21">
        <v>88.892319232465653</v>
      </c>
      <c r="V99" s="552" t="s">
        <v>423</v>
      </c>
      <c r="W99" s="552" t="s">
        <v>423</v>
      </c>
      <c r="X99" s="556">
        <v>102.87295046415485</v>
      </c>
      <c r="Y99" s="784">
        <v>3.3322412044753951E-3</v>
      </c>
      <c r="Z99" s="784">
        <v>9.9897414774972049E-2</v>
      </c>
      <c r="AA99" s="785">
        <v>1.1829456275881021E-3</v>
      </c>
      <c r="AB99" s="32" t="str">
        <f t="shared" si="61"/>
        <v>-</v>
      </c>
      <c r="AC99" s="6" t="str">
        <f t="shared" si="81"/>
        <v>-</v>
      </c>
      <c r="AD99" s="6" t="str">
        <f t="shared" si="82"/>
        <v>-</v>
      </c>
      <c r="AE99" s="6">
        <f t="shared" si="64"/>
        <v>1276.2086168314927</v>
      </c>
      <c r="AF99" s="839">
        <v>0.90100000000000002</v>
      </c>
      <c r="AG99" s="553">
        <f t="shared" si="83"/>
        <v>0.10987791342952269</v>
      </c>
      <c r="AH99" s="69" t="s">
        <v>64</v>
      </c>
      <c r="AI99" s="9" t="s">
        <v>64</v>
      </c>
      <c r="AJ99" s="9" t="s">
        <v>64</v>
      </c>
      <c r="AK99" s="9" t="s">
        <v>64</v>
      </c>
      <c r="AL99" s="9" t="s">
        <v>64</v>
      </c>
      <c r="AM99" s="9" t="s">
        <v>64</v>
      </c>
      <c r="AN99" s="9" t="s">
        <v>64</v>
      </c>
      <c r="AO99" s="9" t="s">
        <v>64</v>
      </c>
      <c r="AP99" s="9" t="s">
        <v>64</v>
      </c>
      <c r="AQ99" s="9" t="s">
        <v>64</v>
      </c>
      <c r="AR99" s="9" t="s">
        <v>64</v>
      </c>
      <c r="AS99" s="6" t="s">
        <v>64</v>
      </c>
      <c r="AT99" s="6" t="s">
        <v>64</v>
      </c>
      <c r="AU99" s="9" t="s">
        <v>64</v>
      </c>
      <c r="AV99" s="8" t="str">
        <f t="shared" si="66"/>
        <v>-</v>
      </c>
      <c r="AW99" s="9" t="str">
        <f t="shared" si="67"/>
        <v>-</v>
      </c>
      <c r="AX99" s="8" t="s">
        <v>64</v>
      </c>
      <c r="AY99" s="789" t="s">
        <v>64</v>
      </c>
      <c r="AZ99" s="863" t="s">
        <v>895</v>
      </c>
      <c r="BA99" s="48" t="s">
        <v>64</v>
      </c>
      <c r="BB99" s="6">
        <v>37776.55047208281</v>
      </c>
      <c r="BC99" s="48">
        <v>11143.960571368758</v>
      </c>
      <c r="BD99" s="6" t="s">
        <v>998</v>
      </c>
      <c r="BE99" s="48" t="s">
        <v>998</v>
      </c>
      <c r="BF99" s="668" t="s">
        <v>1008</v>
      </c>
      <c r="BG99" s="48" t="s">
        <v>64</v>
      </c>
      <c r="BH99" s="48" t="s">
        <v>64</v>
      </c>
      <c r="BI99" s="850" t="str">
        <f t="shared" si="84"/>
        <v>-</v>
      </c>
      <c r="BJ99" s="789" t="str">
        <f t="shared" si="85"/>
        <v>-</v>
      </c>
      <c r="BK99" s="67">
        <v>308</v>
      </c>
      <c r="BL99" s="48">
        <v>30.800000000000011</v>
      </c>
      <c r="BM99" s="48">
        <v>4</v>
      </c>
      <c r="BN99" s="850">
        <f t="shared" si="86"/>
        <v>1.3312506276608</v>
      </c>
      <c r="BO99" s="789">
        <f t="shared" si="71"/>
        <v>0.12836085259092456</v>
      </c>
      <c r="BP99" s="789">
        <f t="shared" si="72"/>
        <v>1.6730899123200249E-2</v>
      </c>
      <c r="BQ99" s="861" t="s">
        <v>760</v>
      </c>
      <c r="BR99" s="45" t="s">
        <v>64</v>
      </c>
      <c r="BS99" s="854" t="s">
        <v>64</v>
      </c>
      <c r="BT99" s="605"/>
      <c r="BU99" s="599" t="s">
        <v>64</v>
      </c>
      <c r="BV99" s="851" t="s">
        <v>64</v>
      </c>
      <c r="BW99" s="851" t="s">
        <v>64</v>
      </c>
      <c r="BX99" s="851" t="s">
        <v>64</v>
      </c>
      <c r="BY99" s="851" t="s">
        <v>64</v>
      </c>
      <c r="BZ99" s="851" t="s">
        <v>64</v>
      </c>
      <c r="CA99" s="851" t="s">
        <v>64</v>
      </c>
      <c r="CB99" s="851" t="s">
        <v>64</v>
      </c>
      <c r="CC99" s="851" t="s">
        <v>64</v>
      </c>
      <c r="CD99" s="851" t="s">
        <v>64</v>
      </c>
      <c r="CE99" s="852" t="s">
        <v>64</v>
      </c>
      <c r="CF99" s="852" t="s">
        <v>64</v>
      </c>
      <c r="CG99" s="605"/>
      <c r="CH99" s="584" t="s">
        <v>64</v>
      </c>
      <c r="CI99" s="576" t="s">
        <v>64</v>
      </c>
      <c r="CJ99" s="576" t="s">
        <v>64</v>
      </c>
      <c r="CK99" s="576" t="s">
        <v>64</v>
      </c>
      <c r="CL99" s="576" t="s">
        <v>64</v>
      </c>
      <c r="CM99" s="576" t="s">
        <v>64</v>
      </c>
      <c r="CN99" s="576" t="s">
        <v>64</v>
      </c>
      <c r="CO99" s="576" t="s">
        <v>64</v>
      </c>
      <c r="CP99" s="576" t="s">
        <v>64</v>
      </c>
      <c r="CQ99" s="576" t="s">
        <v>64</v>
      </c>
      <c r="CR99" s="857" t="s">
        <v>64</v>
      </c>
      <c r="CS99" s="793" t="s">
        <v>64</v>
      </c>
      <c r="CT99" s="855" t="s">
        <v>64</v>
      </c>
      <c r="CU99" s="576" t="s">
        <v>64</v>
      </c>
      <c r="CV99" s="591" t="s">
        <v>64</v>
      </c>
      <c r="CW99" s="605"/>
      <c r="CX99" s="936" t="s">
        <v>998</v>
      </c>
      <c r="CY99" s="934" t="s">
        <v>64</v>
      </c>
      <c r="CZ99" s="934" t="s">
        <v>64</v>
      </c>
      <c r="DA99" s="938" t="str">
        <f t="shared" si="87"/>
        <v>-</v>
      </c>
      <c r="DB99" s="936" t="s">
        <v>998</v>
      </c>
      <c r="DC99" s="934" t="s">
        <v>64</v>
      </c>
      <c r="DD99" s="934" t="s">
        <v>64</v>
      </c>
      <c r="DE99" s="939" t="str">
        <f t="shared" si="88"/>
        <v>-</v>
      </c>
      <c r="DF99" s="19"/>
    </row>
    <row r="100" spans="1:110">
      <c r="A100" s="846" t="s">
        <v>599</v>
      </c>
      <c r="B100" s="41" t="s">
        <v>678</v>
      </c>
      <c r="C100" s="41" t="s">
        <v>1486</v>
      </c>
      <c r="D100" s="34" t="s">
        <v>736</v>
      </c>
      <c r="E100" s="535">
        <v>19.389810000000001</v>
      </c>
      <c r="F100" s="537">
        <v>-155.29229000000001</v>
      </c>
      <c r="G100" s="37" t="s">
        <v>998</v>
      </c>
      <c r="H100" s="860" t="s">
        <v>999</v>
      </c>
      <c r="I100" s="202" t="s">
        <v>64</v>
      </c>
      <c r="J100" t="s">
        <v>880</v>
      </c>
      <c r="K100" s="34">
        <v>2021</v>
      </c>
      <c r="L100" s="51" t="s">
        <v>998</v>
      </c>
      <c r="M100" s="52" t="s">
        <v>998</v>
      </c>
      <c r="N100" s="54" t="str">
        <f t="shared" ref="N100:N102" si="91">L100</f>
        <v>fluid inclusion</v>
      </c>
      <c r="O100" s="54" t="s">
        <v>998</v>
      </c>
      <c r="P100" s="53">
        <v>7.8297352823377269</v>
      </c>
      <c r="Q100" s="54">
        <v>251.32741228718339</v>
      </c>
      <c r="R100" s="772">
        <f t="shared" si="80"/>
        <v>1</v>
      </c>
      <c r="S100" s="8" t="s">
        <v>235</v>
      </c>
      <c r="T100" s="37" t="s">
        <v>132</v>
      </c>
      <c r="U100" s="21">
        <v>88.892319232465653</v>
      </c>
      <c r="V100" s="552" t="s">
        <v>423</v>
      </c>
      <c r="W100" s="552" t="s">
        <v>423</v>
      </c>
      <c r="X100" s="556">
        <v>102.96464677983028</v>
      </c>
      <c r="Y100" s="784">
        <v>5.0918004865644646E-3</v>
      </c>
      <c r="Z100" s="784">
        <v>0.13244960683974227</v>
      </c>
      <c r="AA100" s="785">
        <v>1.8075891727305044E-3</v>
      </c>
      <c r="AB100" s="32" t="str">
        <f t="shared" si="61"/>
        <v>-</v>
      </c>
      <c r="AC100" s="6" t="str">
        <f t="shared" si="81"/>
        <v>-</v>
      </c>
      <c r="AD100" s="6" t="str">
        <f t="shared" si="82"/>
        <v>-</v>
      </c>
      <c r="AE100" s="6">
        <f t="shared" si="64"/>
        <v>1276.2086168314927</v>
      </c>
      <c r="AF100" s="839" t="s">
        <v>998</v>
      </c>
      <c r="AG100" s="553" t="str">
        <f t="shared" si="83"/>
        <v>-</v>
      </c>
      <c r="AH100" s="69" t="s">
        <v>64</v>
      </c>
      <c r="AI100" s="9" t="s">
        <v>64</v>
      </c>
      <c r="AJ100" s="9" t="s">
        <v>64</v>
      </c>
      <c r="AK100" s="9" t="s">
        <v>64</v>
      </c>
      <c r="AL100" s="9" t="s">
        <v>64</v>
      </c>
      <c r="AM100" s="9" t="s">
        <v>64</v>
      </c>
      <c r="AN100" s="9" t="s">
        <v>64</v>
      </c>
      <c r="AO100" s="9" t="s">
        <v>64</v>
      </c>
      <c r="AP100" s="9" t="s">
        <v>64</v>
      </c>
      <c r="AQ100" s="9" t="s">
        <v>64</v>
      </c>
      <c r="AR100" s="9" t="s">
        <v>64</v>
      </c>
      <c r="AS100" s="6" t="s">
        <v>64</v>
      </c>
      <c r="AT100" s="6" t="s">
        <v>64</v>
      </c>
      <c r="AU100" s="9" t="s">
        <v>64</v>
      </c>
      <c r="AV100" s="8" t="str">
        <f t="shared" si="66"/>
        <v>-</v>
      </c>
      <c r="AW100" s="9" t="str">
        <f t="shared" si="67"/>
        <v>-</v>
      </c>
      <c r="AX100" s="8" t="s">
        <v>64</v>
      </c>
      <c r="AY100" s="789" t="s">
        <v>64</v>
      </c>
      <c r="AZ100" s="6" t="s">
        <v>64</v>
      </c>
      <c r="BA100" s="48" t="s">
        <v>64</v>
      </c>
      <c r="BB100" s="6" t="s">
        <v>64</v>
      </c>
      <c r="BC100" s="48" t="s">
        <v>64</v>
      </c>
      <c r="BD100" s="849" t="s">
        <v>64</v>
      </c>
      <c r="BE100" s="48" t="s">
        <v>64</v>
      </c>
      <c r="BF100" s="668" t="s">
        <v>1008</v>
      </c>
      <c r="BG100" s="48" t="s">
        <v>64</v>
      </c>
      <c r="BH100" s="48" t="s">
        <v>64</v>
      </c>
      <c r="BI100" s="850" t="str">
        <f t="shared" si="84"/>
        <v>-</v>
      </c>
      <c r="BJ100" s="789" t="str">
        <f t="shared" si="85"/>
        <v>-</v>
      </c>
      <c r="BK100" s="67">
        <v>417</v>
      </c>
      <c r="BL100" s="48">
        <v>41.700000000000045</v>
      </c>
      <c r="BM100" s="48">
        <v>4</v>
      </c>
      <c r="BN100" s="850">
        <f t="shared" si="86"/>
        <v>1.7818661899691999</v>
      </c>
      <c r="BO100" s="789">
        <f t="shared" si="71"/>
        <v>0.16975313583500529</v>
      </c>
      <c r="BP100" s="789">
        <f t="shared" si="72"/>
        <v>1.6358707374400261E-2</v>
      </c>
      <c r="BQ100" s="861" t="s">
        <v>912</v>
      </c>
      <c r="BR100" s="45" t="s">
        <v>64</v>
      </c>
      <c r="BS100" s="854" t="s">
        <v>64</v>
      </c>
      <c r="BT100" s="605"/>
      <c r="BU100" s="599" t="s">
        <v>64</v>
      </c>
      <c r="BV100" s="851" t="s">
        <v>64</v>
      </c>
      <c r="BW100" s="851" t="s">
        <v>64</v>
      </c>
      <c r="BX100" s="851" t="s">
        <v>64</v>
      </c>
      <c r="BY100" s="851" t="s">
        <v>64</v>
      </c>
      <c r="BZ100" s="851" t="s">
        <v>64</v>
      </c>
      <c r="CA100" s="851" t="s">
        <v>64</v>
      </c>
      <c r="CB100" s="851" t="s">
        <v>64</v>
      </c>
      <c r="CC100" s="851" t="s">
        <v>64</v>
      </c>
      <c r="CD100" s="851" t="s">
        <v>64</v>
      </c>
      <c r="CE100" s="852" t="s">
        <v>64</v>
      </c>
      <c r="CF100" s="852" t="s">
        <v>64</v>
      </c>
      <c r="CG100" s="605"/>
      <c r="CH100" s="584" t="s">
        <v>64</v>
      </c>
      <c r="CI100" s="576" t="s">
        <v>64</v>
      </c>
      <c r="CJ100" s="576" t="s">
        <v>64</v>
      </c>
      <c r="CK100" s="576" t="s">
        <v>64</v>
      </c>
      <c r="CL100" s="576" t="s">
        <v>64</v>
      </c>
      <c r="CM100" s="576" t="s">
        <v>64</v>
      </c>
      <c r="CN100" s="576" t="s">
        <v>64</v>
      </c>
      <c r="CO100" s="576" t="s">
        <v>64</v>
      </c>
      <c r="CP100" s="576" t="s">
        <v>64</v>
      </c>
      <c r="CQ100" s="576" t="s">
        <v>64</v>
      </c>
      <c r="CR100" s="857" t="s">
        <v>64</v>
      </c>
      <c r="CS100" s="793" t="s">
        <v>64</v>
      </c>
      <c r="CT100" s="855" t="s">
        <v>64</v>
      </c>
      <c r="CU100" s="576" t="s">
        <v>64</v>
      </c>
      <c r="CV100" s="591" t="s">
        <v>64</v>
      </c>
      <c r="CW100" s="605"/>
      <c r="CX100" s="936" t="s">
        <v>64</v>
      </c>
      <c r="CY100" s="934" t="s">
        <v>64</v>
      </c>
      <c r="CZ100" s="934" t="s">
        <v>64</v>
      </c>
      <c r="DA100" s="938" t="str">
        <f t="shared" si="87"/>
        <v>-</v>
      </c>
      <c r="DB100" s="936" t="s">
        <v>64</v>
      </c>
      <c r="DC100" s="934" t="s">
        <v>64</v>
      </c>
      <c r="DD100" s="934" t="s">
        <v>64</v>
      </c>
      <c r="DE100" s="939" t="str">
        <f t="shared" si="88"/>
        <v>-</v>
      </c>
      <c r="DF100" s="19"/>
    </row>
    <row r="101" spans="1:110">
      <c r="A101" s="846" t="s">
        <v>600</v>
      </c>
      <c r="B101" s="41" t="s">
        <v>678</v>
      </c>
      <c r="C101" s="41" t="s">
        <v>1486</v>
      </c>
      <c r="D101" s="34" t="s">
        <v>736</v>
      </c>
      <c r="E101" s="535">
        <v>19.389810000000001</v>
      </c>
      <c r="F101" s="537">
        <v>-155.29229000000001</v>
      </c>
      <c r="G101" s="37" t="s">
        <v>998</v>
      </c>
      <c r="H101" s="860" t="s">
        <v>999</v>
      </c>
      <c r="I101" s="202" t="s">
        <v>64</v>
      </c>
      <c r="J101" t="s">
        <v>880</v>
      </c>
      <c r="K101" s="34">
        <v>2021</v>
      </c>
      <c r="L101" s="51" t="s">
        <v>998</v>
      </c>
      <c r="M101" s="52" t="s">
        <v>998</v>
      </c>
      <c r="N101" s="54" t="str">
        <f t="shared" si="91"/>
        <v>fluid inclusion</v>
      </c>
      <c r="O101" s="54" t="s">
        <v>998</v>
      </c>
      <c r="P101" s="53">
        <v>5.6</v>
      </c>
      <c r="Q101" s="54">
        <v>91.952322575470816</v>
      </c>
      <c r="R101" s="772">
        <f t="shared" si="80"/>
        <v>1</v>
      </c>
      <c r="S101" s="8" t="s">
        <v>235</v>
      </c>
      <c r="T101" s="37" t="s">
        <v>132</v>
      </c>
      <c r="U101" s="21">
        <v>88.892319232465653</v>
      </c>
      <c r="V101" s="552" t="s">
        <v>423</v>
      </c>
      <c r="W101" s="552" t="s">
        <v>423</v>
      </c>
      <c r="X101" s="556">
        <v>102.89960839379049</v>
      </c>
      <c r="Y101" s="784">
        <v>3.61062586170893E-3</v>
      </c>
      <c r="Z101" s="784">
        <v>0.10936097979561765</v>
      </c>
      <c r="AA101" s="785">
        <v>1.2817721809055527E-3</v>
      </c>
      <c r="AB101" s="32" t="str">
        <f t="shared" si="61"/>
        <v>-</v>
      </c>
      <c r="AC101" s="6" t="str">
        <f t="shared" si="81"/>
        <v>-</v>
      </c>
      <c r="AD101" s="6" t="str">
        <f t="shared" si="82"/>
        <v>-</v>
      </c>
      <c r="AE101" s="6">
        <f t="shared" si="64"/>
        <v>1276.2086168314927</v>
      </c>
      <c r="AF101" s="839" t="s">
        <v>998</v>
      </c>
      <c r="AG101" s="553" t="str">
        <f t="shared" si="83"/>
        <v>-</v>
      </c>
      <c r="AH101" s="69" t="s">
        <v>64</v>
      </c>
      <c r="AI101" s="9" t="s">
        <v>64</v>
      </c>
      <c r="AJ101" s="9" t="s">
        <v>64</v>
      </c>
      <c r="AK101" s="9" t="s">
        <v>64</v>
      </c>
      <c r="AL101" s="9" t="s">
        <v>64</v>
      </c>
      <c r="AM101" s="9" t="s">
        <v>64</v>
      </c>
      <c r="AN101" s="9" t="s">
        <v>64</v>
      </c>
      <c r="AO101" s="9" t="s">
        <v>64</v>
      </c>
      <c r="AP101" s="9" t="s">
        <v>64</v>
      </c>
      <c r="AQ101" s="9" t="s">
        <v>64</v>
      </c>
      <c r="AR101" s="9" t="s">
        <v>64</v>
      </c>
      <c r="AS101" s="6" t="s">
        <v>64</v>
      </c>
      <c r="AT101" s="6" t="s">
        <v>64</v>
      </c>
      <c r="AU101" s="9" t="s">
        <v>64</v>
      </c>
      <c r="AV101" s="8" t="str">
        <f t="shared" si="66"/>
        <v>-</v>
      </c>
      <c r="AW101" s="9" t="str">
        <f t="shared" si="67"/>
        <v>-</v>
      </c>
      <c r="AX101" s="8" t="s">
        <v>64</v>
      </c>
      <c r="AY101" s="789" t="s">
        <v>64</v>
      </c>
      <c r="AZ101" s="6" t="s">
        <v>64</v>
      </c>
      <c r="BA101" s="48" t="s">
        <v>64</v>
      </c>
      <c r="BB101" s="6" t="s">
        <v>64</v>
      </c>
      <c r="BC101" s="48" t="s">
        <v>64</v>
      </c>
      <c r="BD101" s="849" t="s">
        <v>64</v>
      </c>
      <c r="BE101" s="48" t="s">
        <v>64</v>
      </c>
      <c r="BF101" s="668" t="s">
        <v>1008</v>
      </c>
      <c r="BG101" s="48" t="s">
        <v>64</v>
      </c>
      <c r="BH101" s="48" t="s">
        <v>64</v>
      </c>
      <c r="BI101" s="850" t="str">
        <f t="shared" si="84"/>
        <v>-</v>
      </c>
      <c r="BJ101" s="789" t="str">
        <f t="shared" si="85"/>
        <v>-</v>
      </c>
      <c r="BK101" s="67">
        <v>339</v>
      </c>
      <c r="BL101" s="48">
        <v>33.900000000000034</v>
      </c>
      <c r="BM101" s="48">
        <v>4</v>
      </c>
      <c r="BN101" s="850">
        <f t="shared" si="86"/>
        <v>1.4604423053796001</v>
      </c>
      <c r="BO101" s="789">
        <f t="shared" si="71"/>
        <v>0.14032901793344754</v>
      </c>
      <c r="BP101" s="789">
        <f t="shared" si="72"/>
        <v>1.6623061729600153E-2</v>
      </c>
      <c r="BQ101" s="861" t="s">
        <v>912</v>
      </c>
      <c r="BR101" s="45" t="s">
        <v>64</v>
      </c>
      <c r="BS101" s="854" t="s">
        <v>64</v>
      </c>
      <c r="BT101" s="605"/>
      <c r="BU101" s="599" t="s">
        <v>64</v>
      </c>
      <c r="BV101" s="851" t="s">
        <v>64</v>
      </c>
      <c r="BW101" s="851" t="s">
        <v>64</v>
      </c>
      <c r="BX101" s="851" t="s">
        <v>64</v>
      </c>
      <c r="BY101" s="851" t="s">
        <v>64</v>
      </c>
      <c r="BZ101" s="851" t="s">
        <v>64</v>
      </c>
      <c r="CA101" s="851" t="s">
        <v>64</v>
      </c>
      <c r="CB101" s="851" t="s">
        <v>64</v>
      </c>
      <c r="CC101" s="851" t="s">
        <v>64</v>
      </c>
      <c r="CD101" s="851" t="s">
        <v>64</v>
      </c>
      <c r="CE101" s="852" t="s">
        <v>64</v>
      </c>
      <c r="CF101" s="852" t="s">
        <v>64</v>
      </c>
      <c r="CG101" s="605"/>
      <c r="CH101" s="584" t="s">
        <v>64</v>
      </c>
      <c r="CI101" s="576" t="s">
        <v>64</v>
      </c>
      <c r="CJ101" s="576" t="s">
        <v>64</v>
      </c>
      <c r="CK101" s="576" t="s">
        <v>64</v>
      </c>
      <c r="CL101" s="576" t="s">
        <v>64</v>
      </c>
      <c r="CM101" s="576" t="s">
        <v>64</v>
      </c>
      <c r="CN101" s="576" t="s">
        <v>64</v>
      </c>
      <c r="CO101" s="576" t="s">
        <v>64</v>
      </c>
      <c r="CP101" s="576" t="s">
        <v>64</v>
      </c>
      <c r="CQ101" s="576" t="s">
        <v>64</v>
      </c>
      <c r="CR101" s="857" t="s">
        <v>64</v>
      </c>
      <c r="CS101" s="793" t="s">
        <v>64</v>
      </c>
      <c r="CT101" s="855" t="s">
        <v>64</v>
      </c>
      <c r="CU101" s="576" t="s">
        <v>64</v>
      </c>
      <c r="CV101" s="591" t="s">
        <v>64</v>
      </c>
      <c r="CW101" s="605"/>
      <c r="CX101" s="936" t="s">
        <v>64</v>
      </c>
      <c r="CY101" s="934" t="s">
        <v>64</v>
      </c>
      <c r="CZ101" s="934" t="s">
        <v>64</v>
      </c>
      <c r="DA101" s="938" t="str">
        <f t="shared" si="87"/>
        <v>-</v>
      </c>
      <c r="DB101" s="936" t="s">
        <v>64</v>
      </c>
      <c r="DC101" s="934" t="s">
        <v>64</v>
      </c>
      <c r="DD101" s="934" t="s">
        <v>64</v>
      </c>
      <c r="DE101" s="939" t="str">
        <f t="shared" si="88"/>
        <v>-</v>
      </c>
      <c r="DF101" s="19"/>
    </row>
    <row r="102" spans="1:110">
      <c r="A102" s="846" t="s">
        <v>601</v>
      </c>
      <c r="B102" s="41" t="s">
        <v>678</v>
      </c>
      <c r="C102" s="41" t="s">
        <v>1486</v>
      </c>
      <c r="D102" s="34" t="s">
        <v>736</v>
      </c>
      <c r="E102" s="535">
        <v>19.389810000000001</v>
      </c>
      <c r="F102" s="537">
        <v>-155.29229000000001</v>
      </c>
      <c r="G102" s="37" t="s">
        <v>998</v>
      </c>
      <c r="H102" s="860" t="s">
        <v>999</v>
      </c>
      <c r="I102" s="202" t="s">
        <v>64</v>
      </c>
      <c r="J102" t="s">
        <v>880</v>
      </c>
      <c r="K102" s="34">
        <v>2021</v>
      </c>
      <c r="L102" s="51" t="s">
        <v>998</v>
      </c>
      <c r="M102" s="52" t="s">
        <v>998</v>
      </c>
      <c r="N102" s="54" t="str">
        <f t="shared" si="91"/>
        <v>fluid inclusion</v>
      </c>
      <c r="O102" s="54" t="s">
        <v>998</v>
      </c>
      <c r="P102" s="53">
        <v>6.4483079510864574</v>
      </c>
      <c r="Q102" s="54">
        <v>140.38992170729387</v>
      </c>
      <c r="R102" s="772">
        <f t="shared" si="80"/>
        <v>1</v>
      </c>
      <c r="S102" s="8" t="s">
        <v>235</v>
      </c>
      <c r="T102" s="37" t="s">
        <v>132</v>
      </c>
      <c r="U102" s="21">
        <v>88.892319232465653</v>
      </c>
      <c r="V102" s="552" t="s">
        <v>423</v>
      </c>
      <c r="W102" s="552" t="s">
        <v>423</v>
      </c>
      <c r="X102" s="556">
        <v>102.99210771427012</v>
      </c>
      <c r="Y102" s="784">
        <v>4.1356099271657358E-3</v>
      </c>
      <c r="Z102" s="784">
        <v>0.14219823856588931</v>
      </c>
      <c r="AA102" s="785">
        <v>1.4681415241438365E-3</v>
      </c>
      <c r="AB102" s="32" t="str">
        <f t="shared" si="61"/>
        <v>-</v>
      </c>
      <c r="AC102" s="6" t="str">
        <f t="shared" si="81"/>
        <v>-</v>
      </c>
      <c r="AD102" s="6" t="str">
        <f t="shared" si="82"/>
        <v>-</v>
      </c>
      <c r="AE102" s="6">
        <f t="shared" si="64"/>
        <v>1276.2086168314927</v>
      </c>
      <c r="AF102" s="839" t="s">
        <v>998</v>
      </c>
      <c r="AG102" s="553" t="str">
        <f t="shared" si="83"/>
        <v>-</v>
      </c>
      <c r="AH102" s="69" t="s">
        <v>64</v>
      </c>
      <c r="AI102" s="9" t="s">
        <v>64</v>
      </c>
      <c r="AJ102" s="9" t="s">
        <v>64</v>
      </c>
      <c r="AK102" s="9" t="s">
        <v>64</v>
      </c>
      <c r="AL102" s="9" t="s">
        <v>64</v>
      </c>
      <c r="AM102" s="9" t="s">
        <v>64</v>
      </c>
      <c r="AN102" s="9" t="s">
        <v>64</v>
      </c>
      <c r="AO102" s="9" t="s">
        <v>64</v>
      </c>
      <c r="AP102" s="9" t="s">
        <v>64</v>
      </c>
      <c r="AQ102" s="9" t="s">
        <v>64</v>
      </c>
      <c r="AR102" s="9" t="s">
        <v>64</v>
      </c>
      <c r="AS102" s="6" t="s">
        <v>64</v>
      </c>
      <c r="AT102" s="6" t="s">
        <v>64</v>
      </c>
      <c r="AU102" s="9" t="s">
        <v>64</v>
      </c>
      <c r="AV102" s="8" t="str">
        <f t="shared" si="66"/>
        <v>-</v>
      </c>
      <c r="AW102" s="9" t="str">
        <f t="shared" si="67"/>
        <v>-</v>
      </c>
      <c r="AX102" s="8" t="s">
        <v>64</v>
      </c>
      <c r="AY102" s="789" t="s">
        <v>64</v>
      </c>
      <c r="AZ102" s="6" t="s">
        <v>64</v>
      </c>
      <c r="BA102" s="48" t="s">
        <v>64</v>
      </c>
      <c r="BB102" s="6" t="s">
        <v>64</v>
      </c>
      <c r="BC102" s="48" t="s">
        <v>64</v>
      </c>
      <c r="BD102" s="849" t="s">
        <v>64</v>
      </c>
      <c r="BE102" s="48" t="s">
        <v>64</v>
      </c>
      <c r="BF102" s="668" t="s">
        <v>1008</v>
      </c>
      <c r="BG102" s="48" t="s">
        <v>64</v>
      </c>
      <c r="BH102" s="48" t="s">
        <v>64</v>
      </c>
      <c r="BI102" s="850" t="str">
        <f t="shared" si="84"/>
        <v>-</v>
      </c>
      <c r="BJ102" s="789" t="str">
        <f t="shared" si="85"/>
        <v>-</v>
      </c>
      <c r="BK102" s="67">
        <v>453</v>
      </c>
      <c r="BL102" s="48">
        <v>45.300000000000068</v>
      </c>
      <c r="BM102" s="48">
        <v>5</v>
      </c>
      <c r="BN102" s="850">
        <f t="shared" si="86"/>
        <v>1.9284997747067998</v>
      </c>
      <c r="BO102" s="789">
        <f t="shared" si="71"/>
        <v>0.18301422415915147</v>
      </c>
      <c r="BP102" s="789">
        <f t="shared" si="72"/>
        <v>2.0302125093999868E-2</v>
      </c>
      <c r="BQ102" s="861" t="s">
        <v>912</v>
      </c>
      <c r="BR102" s="45" t="s">
        <v>64</v>
      </c>
      <c r="BS102" s="854" t="s">
        <v>64</v>
      </c>
      <c r="BT102" s="605"/>
      <c r="BU102" s="599" t="s">
        <v>64</v>
      </c>
      <c r="BV102" s="851" t="s">
        <v>64</v>
      </c>
      <c r="BW102" s="851" t="s">
        <v>64</v>
      </c>
      <c r="BX102" s="851" t="s">
        <v>64</v>
      </c>
      <c r="BY102" s="851" t="s">
        <v>64</v>
      </c>
      <c r="BZ102" s="851" t="s">
        <v>64</v>
      </c>
      <c r="CA102" s="851" t="s">
        <v>64</v>
      </c>
      <c r="CB102" s="851" t="s">
        <v>64</v>
      </c>
      <c r="CC102" s="851" t="s">
        <v>64</v>
      </c>
      <c r="CD102" s="851" t="s">
        <v>64</v>
      </c>
      <c r="CE102" s="852" t="s">
        <v>64</v>
      </c>
      <c r="CF102" s="852" t="s">
        <v>64</v>
      </c>
      <c r="CG102" s="605"/>
      <c r="CH102" s="584" t="s">
        <v>64</v>
      </c>
      <c r="CI102" s="576" t="s">
        <v>64</v>
      </c>
      <c r="CJ102" s="576" t="s">
        <v>64</v>
      </c>
      <c r="CK102" s="576" t="s">
        <v>64</v>
      </c>
      <c r="CL102" s="576" t="s">
        <v>64</v>
      </c>
      <c r="CM102" s="576" t="s">
        <v>64</v>
      </c>
      <c r="CN102" s="576" t="s">
        <v>64</v>
      </c>
      <c r="CO102" s="576" t="s">
        <v>64</v>
      </c>
      <c r="CP102" s="576" t="s">
        <v>64</v>
      </c>
      <c r="CQ102" s="576" t="s">
        <v>64</v>
      </c>
      <c r="CR102" s="857" t="s">
        <v>64</v>
      </c>
      <c r="CS102" s="793" t="s">
        <v>64</v>
      </c>
      <c r="CT102" s="855" t="s">
        <v>64</v>
      </c>
      <c r="CU102" s="576" t="s">
        <v>64</v>
      </c>
      <c r="CV102" s="591" t="s">
        <v>64</v>
      </c>
      <c r="CW102" s="605"/>
      <c r="CX102" s="936" t="s">
        <v>64</v>
      </c>
      <c r="CY102" s="934" t="s">
        <v>64</v>
      </c>
      <c r="CZ102" s="934" t="s">
        <v>64</v>
      </c>
      <c r="DA102" s="938" t="str">
        <f t="shared" si="87"/>
        <v>-</v>
      </c>
      <c r="DB102" s="936" t="s">
        <v>64</v>
      </c>
      <c r="DC102" s="934" t="s">
        <v>64</v>
      </c>
      <c r="DD102" s="934" t="s">
        <v>64</v>
      </c>
      <c r="DE102" s="939" t="str">
        <f t="shared" si="88"/>
        <v>-</v>
      </c>
      <c r="DF102" s="19"/>
    </row>
    <row r="103" spans="1:110">
      <c r="A103" s="846" t="s">
        <v>602</v>
      </c>
      <c r="B103" s="41" t="s">
        <v>678</v>
      </c>
      <c r="C103" s="41" t="s">
        <v>1486</v>
      </c>
      <c r="D103" s="34" t="s">
        <v>736</v>
      </c>
      <c r="E103" s="535">
        <v>19.389810000000001</v>
      </c>
      <c r="F103" s="537">
        <v>-155.29229000000001</v>
      </c>
      <c r="G103" s="37" t="s">
        <v>405</v>
      </c>
      <c r="H103" s="37" t="s">
        <v>64</v>
      </c>
      <c r="I103" s="202" t="s">
        <v>780</v>
      </c>
      <c r="J103" t="s">
        <v>879</v>
      </c>
      <c r="K103" s="34">
        <v>2021</v>
      </c>
      <c r="L103" s="51">
        <v>122.5</v>
      </c>
      <c r="M103" s="52">
        <v>110</v>
      </c>
      <c r="N103" s="54">
        <f t="shared" si="79"/>
        <v>820176.9296875</v>
      </c>
      <c r="O103" s="54">
        <v>797704.9470092206</v>
      </c>
      <c r="P103" s="53">
        <v>35</v>
      </c>
      <c r="Q103" s="54">
        <v>22449.297503777063</v>
      </c>
      <c r="R103" s="772">
        <f t="shared" si="80"/>
        <v>2.7372043312544597E-2</v>
      </c>
      <c r="S103" s="8" t="s">
        <v>236</v>
      </c>
      <c r="T103" s="37" t="s">
        <v>132</v>
      </c>
      <c r="U103" s="21">
        <v>88.949695033339694</v>
      </c>
      <c r="V103" s="552" t="s">
        <v>423</v>
      </c>
      <c r="W103" s="552" t="s">
        <v>423</v>
      </c>
      <c r="X103" s="556" t="s">
        <v>292</v>
      </c>
      <c r="Y103" s="784" t="s">
        <v>64</v>
      </c>
      <c r="Z103" s="784" t="s">
        <v>292</v>
      </c>
      <c r="AA103" s="785" t="s">
        <v>64</v>
      </c>
      <c r="AB103" s="32" t="str">
        <f t="shared" si="61"/>
        <v>-</v>
      </c>
      <c r="AC103" s="6" t="str">
        <f t="shared" si="81"/>
        <v>-</v>
      </c>
      <c r="AD103" s="6" t="str">
        <f t="shared" si="82"/>
        <v>-</v>
      </c>
      <c r="AE103" s="6">
        <f t="shared" si="64"/>
        <v>1277.4993939389169</v>
      </c>
      <c r="AF103" s="839">
        <v>0.88749999999999996</v>
      </c>
      <c r="AG103" s="553">
        <f t="shared" si="83"/>
        <v>0.12676056338028174</v>
      </c>
      <c r="AH103" s="69" t="s">
        <v>64</v>
      </c>
      <c r="AI103" s="9" t="s">
        <v>64</v>
      </c>
      <c r="AJ103" s="9" t="s">
        <v>64</v>
      </c>
      <c r="AK103" s="9" t="s">
        <v>64</v>
      </c>
      <c r="AL103" s="9" t="s">
        <v>64</v>
      </c>
      <c r="AM103" s="9" t="s">
        <v>64</v>
      </c>
      <c r="AN103" s="9" t="s">
        <v>64</v>
      </c>
      <c r="AO103" s="9" t="s">
        <v>64</v>
      </c>
      <c r="AP103" s="9" t="s">
        <v>64</v>
      </c>
      <c r="AQ103" s="9" t="s">
        <v>64</v>
      </c>
      <c r="AR103" s="9" t="s">
        <v>64</v>
      </c>
      <c r="AS103" s="6" t="s">
        <v>64</v>
      </c>
      <c r="AT103" s="6" t="s">
        <v>64</v>
      </c>
      <c r="AU103" s="9" t="s">
        <v>64</v>
      </c>
      <c r="AV103" s="8" t="str">
        <f t="shared" si="66"/>
        <v>-</v>
      </c>
      <c r="AW103" s="9" t="str">
        <f t="shared" si="67"/>
        <v>-</v>
      </c>
      <c r="AX103" s="8" t="s">
        <v>64</v>
      </c>
      <c r="AY103" s="789" t="s">
        <v>64</v>
      </c>
      <c r="AZ103" s="6" t="s">
        <v>64</v>
      </c>
      <c r="BA103" s="48" t="s">
        <v>64</v>
      </c>
      <c r="BB103" s="6" t="s">
        <v>292</v>
      </c>
      <c r="BC103" s="48" t="s">
        <v>292</v>
      </c>
      <c r="BD103" s="849" t="s">
        <v>64</v>
      </c>
      <c r="BE103" s="48" t="s">
        <v>64</v>
      </c>
      <c r="BF103" s="668" t="s">
        <v>64</v>
      </c>
      <c r="BG103" s="48" t="s">
        <v>64</v>
      </c>
      <c r="BH103" s="48" t="s">
        <v>64</v>
      </c>
      <c r="BI103" s="850" t="str">
        <f t="shared" si="84"/>
        <v>-</v>
      </c>
      <c r="BJ103" s="789" t="str">
        <f t="shared" si="85"/>
        <v>-</v>
      </c>
      <c r="BK103" s="67" t="s">
        <v>64</v>
      </c>
      <c r="BL103" s="48" t="s">
        <v>64</v>
      </c>
      <c r="BM103" s="48" t="s">
        <v>64</v>
      </c>
      <c r="BN103" s="850" t="str">
        <f t="shared" si="86"/>
        <v>-</v>
      </c>
      <c r="BO103" s="789" t="str">
        <f t="shared" si="71"/>
        <v>-</v>
      </c>
      <c r="BP103" s="789" t="str">
        <f t="shared" si="72"/>
        <v>-</v>
      </c>
      <c r="BQ103" s="34" t="s">
        <v>64</v>
      </c>
      <c r="BR103" s="45" t="s">
        <v>64</v>
      </c>
      <c r="BS103" s="854" t="s">
        <v>64</v>
      </c>
      <c r="BT103" s="605"/>
      <c r="BU103" s="599" t="s">
        <v>64</v>
      </c>
      <c r="BV103" s="851" t="s">
        <v>64</v>
      </c>
      <c r="BW103" s="851" t="s">
        <v>64</v>
      </c>
      <c r="BX103" s="851" t="s">
        <v>64</v>
      </c>
      <c r="BY103" s="851" t="s">
        <v>64</v>
      </c>
      <c r="BZ103" s="851" t="s">
        <v>64</v>
      </c>
      <c r="CA103" s="851" t="s">
        <v>64</v>
      </c>
      <c r="CB103" s="851" t="s">
        <v>64</v>
      </c>
      <c r="CC103" s="851" t="s">
        <v>64</v>
      </c>
      <c r="CD103" s="851" t="s">
        <v>64</v>
      </c>
      <c r="CE103" s="852" t="s">
        <v>64</v>
      </c>
      <c r="CF103" s="852" t="s">
        <v>64</v>
      </c>
      <c r="CG103" s="605"/>
      <c r="CH103" s="584" t="s">
        <v>64</v>
      </c>
      <c r="CI103" s="576" t="s">
        <v>64</v>
      </c>
      <c r="CJ103" s="576" t="s">
        <v>64</v>
      </c>
      <c r="CK103" s="576" t="s">
        <v>64</v>
      </c>
      <c r="CL103" s="576" t="s">
        <v>64</v>
      </c>
      <c r="CM103" s="576" t="s">
        <v>64</v>
      </c>
      <c r="CN103" s="576" t="s">
        <v>64</v>
      </c>
      <c r="CO103" s="576" t="s">
        <v>64</v>
      </c>
      <c r="CP103" s="576" t="s">
        <v>64</v>
      </c>
      <c r="CQ103" s="576" t="s">
        <v>64</v>
      </c>
      <c r="CR103" s="857" t="s">
        <v>64</v>
      </c>
      <c r="CS103" s="793" t="s">
        <v>64</v>
      </c>
      <c r="CT103" s="855" t="s">
        <v>64</v>
      </c>
      <c r="CU103" s="576" t="s">
        <v>64</v>
      </c>
      <c r="CV103" s="591" t="s">
        <v>64</v>
      </c>
      <c r="CW103" s="605"/>
      <c r="CX103" s="936" t="s">
        <v>64</v>
      </c>
      <c r="CY103" s="934" t="s">
        <v>64</v>
      </c>
      <c r="CZ103" s="934" t="s">
        <v>64</v>
      </c>
      <c r="DA103" s="938" t="str">
        <f t="shared" si="87"/>
        <v>-</v>
      </c>
      <c r="DB103" s="936" t="s">
        <v>64</v>
      </c>
      <c r="DC103" s="934" t="s">
        <v>64</v>
      </c>
      <c r="DD103" s="934" t="s">
        <v>64</v>
      </c>
      <c r="DE103" s="939" t="str">
        <f t="shared" si="88"/>
        <v>-</v>
      </c>
      <c r="DF103" s="19"/>
    </row>
    <row r="104" spans="1:110">
      <c r="A104" s="846" t="s">
        <v>603</v>
      </c>
      <c r="B104" s="41" t="s">
        <v>678</v>
      </c>
      <c r="C104" s="41" t="s">
        <v>1486</v>
      </c>
      <c r="D104" s="34" t="s">
        <v>736</v>
      </c>
      <c r="E104" s="535">
        <v>19.389810000000001</v>
      </c>
      <c r="F104" s="537">
        <v>-155.29229000000001</v>
      </c>
      <c r="G104" s="37" t="s">
        <v>998</v>
      </c>
      <c r="H104" s="860" t="s">
        <v>999</v>
      </c>
      <c r="I104" s="202" t="s">
        <v>64</v>
      </c>
      <c r="J104" t="s">
        <v>880</v>
      </c>
      <c r="K104" s="34">
        <v>2021</v>
      </c>
      <c r="L104" s="51" t="s">
        <v>998</v>
      </c>
      <c r="M104" s="52" t="s">
        <v>998</v>
      </c>
      <c r="N104" s="54" t="str">
        <f t="shared" ref="N104:N106" si="92">L104</f>
        <v>fluid inclusion</v>
      </c>
      <c r="O104" s="54" t="s">
        <v>998</v>
      </c>
      <c r="P104" s="53">
        <v>12</v>
      </c>
      <c r="Q104" s="54">
        <v>904.7786842338603</v>
      </c>
      <c r="R104" s="772">
        <f t="shared" si="80"/>
        <v>1</v>
      </c>
      <c r="S104" s="8" t="s">
        <v>236</v>
      </c>
      <c r="T104" s="37" t="s">
        <v>132</v>
      </c>
      <c r="U104" s="21">
        <v>88.949695033339694</v>
      </c>
      <c r="V104" s="552" t="s">
        <v>423</v>
      </c>
      <c r="W104" s="552" t="s">
        <v>423</v>
      </c>
      <c r="X104" s="556" t="s">
        <v>292</v>
      </c>
      <c r="Y104" s="784" t="s">
        <v>64</v>
      </c>
      <c r="Z104" s="784" t="s">
        <v>292</v>
      </c>
      <c r="AA104" s="785" t="s">
        <v>64</v>
      </c>
      <c r="AB104" s="32" t="str">
        <f t="shared" si="61"/>
        <v>-</v>
      </c>
      <c r="AC104" s="6" t="str">
        <f t="shared" si="81"/>
        <v>-</v>
      </c>
      <c r="AD104" s="6" t="str">
        <f t="shared" si="82"/>
        <v>-</v>
      </c>
      <c r="AE104" s="6">
        <f t="shared" si="64"/>
        <v>1277.4993939389169</v>
      </c>
      <c r="AF104" s="839" t="s">
        <v>998</v>
      </c>
      <c r="AG104" s="553" t="str">
        <f t="shared" si="83"/>
        <v>-</v>
      </c>
      <c r="AH104" s="69" t="s">
        <v>64</v>
      </c>
      <c r="AI104" s="9" t="s">
        <v>64</v>
      </c>
      <c r="AJ104" s="9" t="s">
        <v>64</v>
      </c>
      <c r="AK104" s="9" t="s">
        <v>64</v>
      </c>
      <c r="AL104" s="9" t="s">
        <v>64</v>
      </c>
      <c r="AM104" s="9" t="s">
        <v>64</v>
      </c>
      <c r="AN104" s="9" t="s">
        <v>64</v>
      </c>
      <c r="AO104" s="9" t="s">
        <v>64</v>
      </c>
      <c r="AP104" s="9" t="s">
        <v>64</v>
      </c>
      <c r="AQ104" s="9" t="s">
        <v>64</v>
      </c>
      <c r="AR104" s="9" t="s">
        <v>64</v>
      </c>
      <c r="AS104" s="6" t="s">
        <v>64</v>
      </c>
      <c r="AT104" s="6" t="s">
        <v>64</v>
      </c>
      <c r="AU104" s="9" t="s">
        <v>64</v>
      </c>
      <c r="AV104" s="8" t="str">
        <f t="shared" si="66"/>
        <v>-</v>
      </c>
      <c r="AW104" s="9" t="str">
        <f t="shared" si="67"/>
        <v>-</v>
      </c>
      <c r="AX104" s="8" t="s">
        <v>64</v>
      </c>
      <c r="AY104" s="789" t="s">
        <v>64</v>
      </c>
      <c r="AZ104" s="6" t="s">
        <v>64</v>
      </c>
      <c r="BA104" s="48" t="s">
        <v>64</v>
      </c>
      <c r="BB104" s="6" t="s">
        <v>292</v>
      </c>
      <c r="BC104" s="48" t="s">
        <v>292</v>
      </c>
      <c r="BD104" s="849" t="s">
        <v>64</v>
      </c>
      <c r="BE104" s="48" t="s">
        <v>64</v>
      </c>
      <c r="BF104" s="668" t="s">
        <v>1008</v>
      </c>
      <c r="BG104" s="48" t="s">
        <v>64</v>
      </c>
      <c r="BH104" s="48" t="s">
        <v>64</v>
      </c>
      <c r="BI104" s="850" t="str">
        <f t="shared" si="84"/>
        <v>-</v>
      </c>
      <c r="BJ104" s="789" t="str">
        <f t="shared" si="85"/>
        <v>-</v>
      </c>
      <c r="BK104" s="57" t="s">
        <v>1010</v>
      </c>
      <c r="BL104" s="48" t="s">
        <v>64</v>
      </c>
      <c r="BM104" s="48" t="s">
        <v>64</v>
      </c>
      <c r="BN104" s="850" t="str">
        <f t="shared" si="86"/>
        <v>-</v>
      </c>
      <c r="BO104" s="789" t="str">
        <f t="shared" si="71"/>
        <v>-</v>
      </c>
      <c r="BP104" s="789" t="str">
        <f t="shared" si="72"/>
        <v>-</v>
      </c>
      <c r="BQ104" s="861" t="s">
        <v>912</v>
      </c>
      <c r="BR104" s="45" t="s">
        <v>64</v>
      </c>
      <c r="BS104" s="854" t="s">
        <v>64</v>
      </c>
      <c r="BT104" s="605"/>
      <c r="BU104" s="599" t="s">
        <v>64</v>
      </c>
      <c r="BV104" s="851" t="s">
        <v>64</v>
      </c>
      <c r="BW104" s="851" t="s">
        <v>64</v>
      </c>
      <c r="BX104" s="851" t="s">
        <v>64</v>
      </c>
      <c r="BY104" s="851" t="s">
        <v>64</v>
      </c>
      <c r="BZ104" s="851" t="s">
        <v>64</v>
      </c>
      <c r="CA104" s="851" t="s">
        <v>64</v>
      </c>
      <c r="CB104" s="851" t="s">
        <v>64</v>
      </c>
      <c r="CC104" s="851" t="s">
        <v>64</v>
      </c>
      <c r="CD104" s="851" t="s">
        <v>64</v>
      </c>
      <c r="CE104" s="852" t="s">
        <v>64</v>
      </c>
      <c r="CF104" s="852" t="s">
        <v>64</v>
      </c>
      <c r="CG104" s="605"/>
      <c r="CH104" s="584" t="s">
        <v>64</v>
      </c>
      <c r="CI104" s="576" t="s">
        <v>64</v>
      </c>
      <c r="CJ104" s="576" t="s">
        <v>64</v>
      </c>
      <c r="CK104" s="576" t="s">
        <v>64</v>
      </c>
      <c r="CL104" s="576" t="s">
        <v>64</v>
      </c>
      <c r="CM104" s="576" t="s">
        <v>64</v>
      </c>
      <c r="CN104" s="576" t="s">
        <v>64</v>
      </c>
      <c r="CO104" s="576" t="s">
        <v>64</v>
      </c>
      <c r="CP104" s="576" t="s">
        <v>64</v>
      </c>
      <c r="CQ104" s="576" t="s">
        <v>64</v>
      </c>
      <c r="CR104" s="857" t="s">
        <v>64</v>
      </c>
      <c r="CS104" s="793" t="s">
        <v>64</v>
      </c>
      <c r="CT104" s="855" t="s">
        <v>64</v>
      </c>
      <c r="CU104" s="576" t="s">
        <v>64</v>
      </c>
      <c r="CV104" s="591" t="s">
        <v>64</v>
      </c>
      <c r="CW104" s="605"/>
      <c r="CX104" s="936" t="s">
        <v>64</v>
      </c>
      <c r="CY104" s="934" t="s">
        <v>64</v>
      </c>
      <c r="CZ104" s="934" t="s">
        <v>64</v>
      </c>
      <c r="DA104" s="938" t="str">
        <f t="shared" si="87"/>
        <v>-</v>
      </c>
      <c r="DB104" s="936" t="s">
        <v>64</v>
      </c>
      <c r="DC104" s="934" t="s">
        <v>64</v>
      </c>
      <c r="DD104" s="934" t="s">
        <v>64</v>
      </c>
      <c r="DE104" s="939" t="str">
        <f t="shared" si="88"/>
        <v>-</v>
      </c>
      <c r="DF104" s="19"/>
    </row>
    <row r="105" spans="1:110">
      <c r="A105" s="846" t="s">
        <v>604</v>
      </c>
      <c r="B105" s="41" t="s">
        <v>678</v>
      </c>
      <c r="C105" s="41" t="s">
        <v>1486</v>
      </c>
      <c r="D105" s="34" t="s">
        <v>736</v>
      </c>
      <c r="E105" s="535">
        <v>19.389810000000001</v>
      </c>
      <c r="F105" s="537">
        <v>-155.29229000000001</v>
      </c>
      <c r="G105" s="37" t="s">
        <v>998</v>
      </c>
      <c r="H105" s="860" t="s">
        <v>999</v>
      </c>
      <c r="I105" s="202" t="s">
        <v>64</v>
      </c>
      <c r="J105" t="s">
        <v>880</v>
      </c>
      <c r="K105" s="34">
        <v>2021</v>
      </c>
      <c r="L105" s="51" t="s">
        <v>998</v>
      </c>
      <c r="M105" s="52" t="s">
        <v>998</v>
      </c>
      <c r="N105" s="54" t="str">
        <f t="shared" si="92"/>
        <v>fluid inclusion</v>
      </c>
      <c r="O105" s="54" t="s">
        <v>998</v>
      </c>
      <c r="P105" s="53">
        <v>21.225461871938858</v>
      </c>
      <c r="Q105" s="54">
        <v>5006.9132916587259</v>
      </c>
      <c r="R105" s="772">
        <f t="shared" si="80"/>
        <v>1</v>
      </c>
      <c r="S105" s="8" t="s">
        <v>190</v>
      </c>
      <c r="T105" s="37" t="s">
        <v>132</v>
      </c>
      <c r="U105" s="21">
        <v>88.688592004288807</v>
      </c>
      <c r="V105" s="552" t="s">
        <v>423</v>
      </c>
      <c r="W105" s="552" t="s">
        <v>423</v>
      </c>
      <c r="X105" s="556">
        <v>103.10632229277513</v>
      </c>
      <c r="Y105" s="784">
        <v>3.7986978530042495E-3</v>
      </c>
      <c r="Z105" s="784">
        <v>0.18274441393516838</v>
      </c>
      <c r="AA105" s="785">
        <v>1.348537737818322E-3</v>
      </c>
      <c r="AB105" s="32" t="str">
        <f t="shared" si="61"/>
        <v>-</v>
      </c>
      <c r="AC105" s="6" t="str">
        <f t="shared" si="81"/>
        <v>-</v>
      </c>
      <c r="AD105" s="6" t="str">
        <f t="shared" si="82"/>
        <v>-</v>
      </c>
      <c r="AE105" s="6">
        <f t="shared" si="64"/>
        <v>1271.6869800247259</v>
      </c>
      <c r="AF105" s="839" t="s">
        <v>998</v>
      </c>
      <c r="AG105" s="553" t="str">
        <f t="shared" si="83"/>
        <v>-</v>
      </c>
      <c r="AH105" s="69" t="s">
        <v>64</v>
      </c>
      <c r="AI105" s="9" t="s">
        <v>64</v>
      </c>
      <c r="AJ105" s="9" t="s">
        <v>64</v>
      </c>
      <c r="AK105" s="9" t="s">
        <v>64</v>
      </c>
      <c r="AL105" s="9" t="s">
        <v>64</v>
      </c>
      <c r="AM105" s="9" t="s">
        <v>64</v>
      </c>
      <c r="AN105" s="9" t="s">
        <v>64</v>
      </c>
      <c r="AO105" s="9" t="s">
        <v>64</v>
      </c>
      <c r="AP105" s="9" t="s">
        <v>64</v>
      </c>
      <c r="AQ105" s="9" t="s">
        <v>64</v>
      </c>
      <c r="AR105" s="9" t="s">
        <v>64</v>
      </c>
      <c r="AS105" s="6" t="s">
        <v>64</v>
      </c>
      <c r="AT105" s="6" t="s">
        <v>64</v>
      </c>
      <c r="AU105" s="9" t="s">
        <v>64</v>
      </c>
      <c r="AV105" s="8" t="str">
        <f t="shared" si="66"/>
        <v>-</v>
      </c>
      <c r="AW105" s="9" t="str">
        <f t="shared" si="67"/>
        <v>-</v>
      </c>
      <c r="AX105" s="8" t="s">
        <v>64</v>
      </c>
      <c r="AY105" s="789" t="s">
        <v>64</v>
      </c>
      <c r="AZ105" s="6" t="s">
        <v>64</v>
      </c>
      <c r="BA105" s="48" t="s">
        <v>64</v>
      </c>
      <c r="BB105" s="6" t="s">
        <v>64</v>
      </c>
      <c r="BC105" s="48" t="s">
        <v>64</v>
      </c>
      <c r="BD105" s="849" t="s">
        <v>64</v>
      </c>
      <c r="BE105" s="48" t="s">
        <v>64</v>
      </c>
      <c r="BF105" s="668" t="s">
        <v>1008</v>
      </c>
      <c r="BG105" s="48" t="s">
        <v>64</v>
      </c>
      <c r="BH105" s="48" t="s">
        <v>64</v>
      </c>
      <c r="BI105" s="850" t="str">
        <f t="shared" si="84"/>
        <v>-</v>
      </c>
      <c r="BJ105" s="789" t="str">
        <f t="shared" si="85"/>
        <v>-</v>
      </c>
      <c r="BK105" s="67">
        <v>605</v>
      </c>
      <c r="BL105" s="48">
        <v>60.5</v>
      </c>
      <c r="BM105" s="48">
        <v>6</v>
      </c>
      <c r="BN105" s="850">
        <f t="shared" si="86"/>
        <v>2.5361915265499997</v>
      </c>
      <c r="BO105" s="789">
        <f t="shared" si="71"/>
        <v>0.23695448900804994</v>
      </c>
      <c r="BP105" s="789">
        <f t="shared" si="72"/>
        <v>2.3648416298399866E-2</v>
      </c>
      <c r="BQ105" s="861" t="s">
        <v>912</v>
      </c>
      <c r="BR105" s="45" t="s">
        <v>64</v>
      </c>
      <c r="BS105" s="854" t="s">
        <v>64</v>
      </c>
      <c r="BT105" s="605"/>
      <c r="BU105" s="599" t="s">
        <v>64</v>
      </c>
      <c r="BV105" s="851" t="s">
        <v>64</v>
      </c>
      <c r="BW105" s="851" t="s">
        <v>64</v>
      </c>
      <c r="BX105" s="851" t="s">
        <v>64</v>
      </c>
      <c r="BY105" s="851" t="s">
        <v>64</v>
      </c>
      <c r="BZ105" s="851" t="s">
        <v>64</v>
      </c>
      <c r="CA105" s="851" t="s">
        <v>64</v>
      </c>
      <c r="CB105" s="851" t="s">
        <v>64</v>
      </c>
      <c r="CC105" s="851" t="s">
        <v>64</v>
      </c>
      <c r="CD105" s="851" t="s">
        <v>64</v>
      </c>
      <c r="CE105" s="852" t="s">
        <v>64</v>
      </c>
      <c r="CF105" s="852" t="s">
        <v>64</v>
      </c>
      <c r="CG105" s="605"/>
      <c r="CH105" s="584" t="s">
        <v>64</v>
      </c>
      <c r="CI105" s="576" t="s">
        <v>64</v>
      </c>
      <c r="CJ105" s="576" t="s">
        <v>64</v>
      </c>
      <c r="CK105" s="576" t="s">
        <v>64</v>
      </c>
      <c r="CL105" s="576" t="s">
        <v>64</v>
      </c>
      <c r="CM105" s="576" t="s">
        <v>64</v>
      </c>
      <c r="CN105" s="576" t="s">
        <v>64</v>
      </c>
      <c r="CO105" s="576" t="s">
        <v>64</v>
      </c>
      <c r="CP105" s="576" t="s">
        <v>64</v>
      </c>
      <c r="CQ105" s="576" t="s">
        <v>64</v>
      </c>
      <c r="CR105" s="857" t="s">
        <v>64</v>
      </c>
      <c r="CS105" s="793" t="s">
        <v>64</v>
      </c>
      <c r="CT105" s="855" t="s">
        <v>64</v>
      </c>
      <c r="CU105" s="576" t="s">
        <v>64</v>
      </c>
      <c r="CV105" s="591" t="s">
        <v>64</v>
      </c>
      <c r="CW105" s="605"/>
      <c r="CX105" s="936" t="s">
        <v>64</v>
      </c>
      <c r="CY105" s="934" t="s">
        <v>64</v>
      </c>
      <c r="CZ105" s="934" t="s">
        <v>64</v>
      </c>
      <c r="DA105" s="938" t="str">
        <f t="shared" si="87"/>
        <v>-</v>
      </c>
      <c r="DB105" s="936" t="s">
        <v>64</v>
      </c>
      <c r="DC105" s="934" t="s">
        <v>64</v>
      </c>
      <c r="DD105" s="934" t="s">
        <v>64</v>
      </c>
      <c r="DE105" s="939" t="str">
        <f t="shared" si="88"/>
        <v>-</v>
      </c>
      <c r="DF105" s="19"/>
    </row>
    <row r="106" spans="1:110">
      <c r="A106" s="846" t="s">
        <v>605</v>
      </c>
      <c r="B106" s="41" t="s">
        <v>678</v>
      </c>
      <c r="C106" s="41" t="s">
        <v>1486</v>
      </c>
      <c r="D106" s="34" t="s">
        <v>736</v>
      </c>
      <c r="E106" s="535">
        <v>19.389810000000001</v>
      </c>
      <c r="F106" s="537">
        <v>-155.29229000000001</v>
      </c>
      <c r="G106" s="37" t="s">
        <v>998</v>
      </c>
      <c r="H106" s="860" t="s">
        <v>999</v>
      </c>
      <c r="I106" s="202" t="s">
        <v>64</v>
      </c>
      <c r="J106" t="s">
        <v>880</v>
      </c>
      <c r="K106" s="34">
        <v>2021</v>
      </c>
      <c r="L106" s="51" t="s">
        <v>998</v>
      </c>
      <c r="M106" s="52" t="s">
        <v>998</v>
      </c>
      <c r="N106" s="54" t="str">
        <f t="shared" si="92"/>
        <v>fluid inclusion</v>
      </c>
      <c r="O106" s="54" t="s">
        <v>998</v>
      </c>
      <c r="P106" s="53">
        <v>19.895286039481956</v>
      </c>
      <c r="Q106" s="54">
        <v>4123.3403578366015</v>
      </c>
      <c r="R106" s="772">
        <f t="shared" si="80"/>
        <v>1</v>
      </c>
      <c r="S106" s="8" t="s">
        <v>190</v>
      </c>
      <c r="T106" s="37" t="s">
        <v>132</v>
      </c>
      <c r="U106" s="21">
        <v>88.688592004288807</v>
      </c>
      <c r="V106" s="552" t="s">
        <v>423</v>
      </c>
      <c r="W106" s="552" t="s">
        <v>423</v>
      </c>
      <c r="X106" s="556">
        <v>103.0971301085084</v>
      </c>
      <c r="Y106" s="784">
        <v>2.2369709468172999E-3</v>
      </c>
      <c r="Z106" s="784">
        <v>0.17948118852047656</v>
      </c>
      <c r="AA106" s="785">
        <v>7.9412468611890724E-4</v>
      </c>
      <c r="AB106" s="32" t="str">
        <f t="shared" si="61"/>
        <v>-</v>
      </c>
      <c r="AC106" s="6" t="str">
        <f t="shared" si="81"/>
        <v>-</v>
      </c>
      <c r="AD106" s="6" t="str">
        <f t="shared" si="82"/>
        <v>-</v>
      </c>
      <c r="AE106" s="6">
        <f t="shared" si="64"/>
        <v>1271.6869800247259</v>
      </c>
      <c r="AF106" s="839" t="s">
        <v>998</v>
      </c>
      <c r="AG106" s="553" t="str">
        <f t="shared" si="83"/>
        <v>-</v>
      </c>
      <c r="AH106" s="69" t="s">
        <v>64</v>
      </c>
      <c r="AI106" s="9" t="s">
        <v>64</v>
      </c>
      <c r="AJ106" s="9" t="s">
        <v>64</v>
      </c>
      <c r="AK106" s="9" t="s">
        <v>64</v>
      </c>
      <c r="AL106" s="9" t="s">
        <v>64</v>
      </c>
      <c r="AM106" s="9" t="s">
        <v>64</v>
      </c>
      <c r="AN106" s="9" t="s">
        <v>64</v>
      </c>
      <c r="AO106" s="9" t="s">
        <v>64</v>
      </c>
      <c r="AP106" s="9" t="s">
        <v>64</v>
      </c>
      <c r="AQ106" s="9" t="s">
        <v>64</v>
      </c>
      <c r="AR106" s="9" t="s">
        <v>64</v>
      </c>
      <c r="AS106" s="6" t="s">
        <v>64</v>
      </c>
      <c r="AT106" s="6" t="s">
        <v>64</v>
      </c>
      <c r="AU106" s="9" t="s">
        <v>64</v>
      </c>
      <c r="AV106" s="8" t="str">
        <f t="shared" si="66"/>
        <v>-</v>
      </c>
      <c r="AW106" s="9" t="str">
        <f t="shared" si="67"/>
        <v>-</v>
      </c>
      <c r="AX106" s="8" t="s">
        <v>64</v>
      </c>
      <c r="AY106" s="789" t="s">
        <v>64</v>
      </c>
      <c r="AZ106" s="6" t="s">
        <v>64</v>
      </c>
      <c r="BA106" s="48" t="s">
        <v>64</v>
      </c>
      <c r="BB106" s="6" t="s">
        <v>64</v>
      </c>
      <c r="BC106" s="48" t="s">
        <v>64</v>
      </c>
      <c r="BD106" s="849" t="s">
        <v>64</v>
      </c>
      <c r="BE106" s="48" t="s">
        <v>64</v>
      </c>
      <c r="BF106" s="668" t="s">
        <v>1008</v>
      </c>
      <c r="BG106" s="48" t="s">
        <v>64</v>
      </c>
      <c r="BH106" s="48" t="s">
        <v>64</v>
      </c>
      <c r="BI106" s="850" t="str">
        <f t="shared" si="84"/>
        <v>-</v>
      </c>
      <c r="BJ106" s="789" t="str">
        <f t="shared" si="85"/>
        <v>-</v>
      </c>
      <c r="BK106" s="67">
        <v>590</v>
      </c>
      <c r="BL106" s="48">
        <v>59</v>
      </c>
      <c r="BM106" s="48">
        <v>2</v>
      </c>
      <c r="BN106" s="850">
        <f t="shared" si="86"/>
        <v>2.4770194435999997</v>
      </c>
      <c r="BO106" s="789">
        <f t="shared" si="71"/>
        <v>0.23177088191160022</v>
      </c>
      <c r="BP106" s="789">
        <f t="shared" si="72"/>
        <v>7.9024917151997442E-3</v>
      </c>
      <c r="BQ106" s="861" t="s">
        <v>912</v>
      </c>
      <c r="BR106" s="45" t="s">
        <v>64</v>
      </c>
      <c r="BS106" s="854" t="s">
        <v>64</v>
      </c>
      <c r="BT106" s="605"/>
      <c r="BU106" s="599" t="s">
        <v>64</v>
      </c>
      <c r="BV106" s="851" t="s">
        <v>64</v>
      </c>
      <c r="BW106" s="851" t="s">
        <v>64</v>
      </c>
      <c r="BX106" s="851" t="s">
        <v>64</v>
      </c>
      <c r="BY106" s="851" t="s">
        <v>64</v>
      </c>
      <c r="BZ106" s="851" t="s">
        <v>64</v>
      </c>
      <c r="CA106" s="851" t="s">
        <v>64</v>
      </c>
      <c r="CB106" s="851" t="s">
        <v>64</v>
      </c>
      <c r="CC106" s="851" t="s">
        <v>64</v>
      </c>
      <c r="CD106" s="851" t="s">
        <v>64</v>
      </c>
      <c r="CE106" s="852" t="s">
        <v>64</v>
      </c>
      <c r="CF106" s="852" t="s">
        <v>64</v>
      </c>
      <c r="CG106" s="605"/>
      <c r="CH106" s="584" t="s">
        <v>64</v>
      </c>
      <c r="CI106" s="576" t="s">
        <v>64</v>
      </c>
      <c r="CJ106" s="576" t="s">
        <v>64</v>
      </c>
      <c r="CK106" s="576" t="s">
        <v>64</v>
      </c>
      <c r="CL106" s="576" t="s">
        <v>64</v>
      </c>
      <c r="CM106" s="576" t="s">
        <v>64</v>
      </c>
      <c r="CN106" s="576" t="s">
        <v>64</v>
      </c>
      <c r="CO106" s="576" t="s">
        <v>64</v>
      </c>
      <c r="CP106" s="576" t="s">
        <v>64</v>
      </c>
      <c r="CQ106" s="576" t="s">
        <v>64</v>
      </c>
      <c r="CR106" s="857" t="s">
        <v>64</v>
      </c>
      <c r="CS106" s="793" t="s">
        <v>64</v>
      </c>
      <c r="CT106" s="855" t="s">
        <v>64</v>
      </c>
      <c r="CU106" s="576" t="s">
        <v>64</v>
      </c>
      <c r="CV106" s="591" t="s">
        <v>64</v>
      </c>
      <c r="CW106" s="605"/>
      <c r="CX106" s="936" t="s">
        <v>64</v>
      </c>
      <c r="CY106" s="934" t="s">
        <v>64</v>
      </c>
      <c r="CZ106" s="934" t="s">
        <v>64</v>
      </c>
      <c r="DA106" s="938" t="str">
        <f t="shared" si="87"/>
        <v>-</v>
      </c>
      <c r="DB106" s="936" t="s">
        <v>64</v>
      </c>
      <c r="DC106" s="934" t="s">
        <v>64</v>
      </c>
      <c r="DD106" s="934" t="s">
        <v>64</v>
      </c>
      <c r="DE106" s="939" t="str">
        <f t="shared" si="88"/>
        <v>-</v>
      </c>
      <c r="DF106" s="19"/>
    </row>
    <row r="107" spans="1:110">
      <c r="A107" s="846" t="s">
        <v>606</v>
      </c>
      <c r="B107" s="41" t="s">
        <v>678</v>
      </c>
      <c r="C107" s="41" t="s">
        <v>1486</v>
      </c>
      <c r="D107" s="34" t="s">
        <v>736</v>
      </c>
      <c r="E107" s="535">
        <v>19.389810000000001</v>
      </c>
      <c r="F107" s="537">
        <v>-155.29229000000001</v>
      </c>
      <c r="G107" s="37" t="s">
        <v>405</v>
      </c>
      <c r="H107" s="37" t="s">
        <v>64</v>
      </c>
      <c r="I107" s="202" t="s">
        <v>780</v>
      </c>
      <c r="J107" t="s">
        <v>898</v>
      </c>
      <c r="K107" s="34">
        <v>2021</v>
      </c>
      <c r="L107" s="51">
        <v>65</v>
      </c>
      <c r="M107" s="52">
        <v>55</v>
      </c>
      <c r="N107" s="54">
        <f t="shared" si="79"/>
        <v>112308.62500000001</v>
      </c>
      <c r="O107" s="54">
        <v>109912.99121600058</v>
      </c>
      <c r="P107" s="53">
        <v>16.5</v>
      </c>
      <c r="Q107" s="54">
        <v>2352.0711498345081</v>
      </c>
      <c r="R107" s="772">
        <f t="shared" si="80"/>
        <v>2.0951051914707697E-2</v>
      </c>
      <c r="S107" s="8" t="s">
        <v>238</v>
      </c>
      <c r="T107" s="37" t="s">
        <v>132</v>
      </c>
      <c r="U107" s="21">
        <v>88.53271504461533</v>
      </c>
      <c r="V107" s="552" t="s">
        <v>423</v>
      </c>
      <c r="W107" s="552" t="s">
        <v>423</v>
      </c>
      <c r="X107" s="556" t="s">
        <v>292</v>
      </c>
      <c r="Y107" s="784" t="s">
        <v>64</v>
      </c>
      <c r="Z107" s="784" t="s">
        <v>292</v>
      </c>
      <c r="AA107" s="785" t="s">
        <v>64</v>
      </c>
      <c r="AB107" s="32" t="str">
        <f t="shared" si="61"/>
        <v>-</v>
      </c>
      <c r="AC107" s="6" t="str">
        <f t="shared" si="81"/>
        <v>-</v>
      </c>
      <c r="AD107" s="6" t="str">
        <f t="shared" si="82"/>
        <v>-</v>
      </c>
      <c r="AE107" s="6">
        <f t="shared" si="64"/>
        <v>1268.2917281280024</v>
      </c>
      <c r="AF107" s="839">
        <v>0.91600000000000004</v>
      </c>
      <c r="AG107" s="553">
        <f t="shared" si="83"/>
        <v>9.1703056768558833E-2</v>
      </c>
      <c r="AH107" s="69" t="s">
        <v>64</v>
      </c>
      <c r="AI107" s="9" t="s">
        <v>64</v>
      </c>
      <c r="AJ107" s="9" t="s">
        <v>64</v>
      </c>
      <c r="AK107" s="9" t="s">
        <v>64</v>
      </c>
      <c r="AL107" s="9" t="s">
        <v>64</v>
      </c>
      <c r="AM107" s="9" t="s">
        <v>64</v>
      </c>
      <c r="AN107" s="9" t="s">
        <v>64</v>
      </c>
      <c r="AO107" s="9" t="s">
        <v>64</v>
      </c>
      <c r="AP107" s="9" t="s">
        <v>64</v>
      </c>
      <c r="AQ107" s="9" t="s">
        <v>64</v>
      </c>
      <c r="AR107" s="9" t="s">
        <v>64</v>
      </c>
      <c r="AS107" s="6" t="s">
        <v>64</v>
      </c>
      <c r="AT107" s="6" t="s">
        <v>64</v>
      </c>
      <c r="AU107" s="9" t="s">
        <v>64</v>
      </c>
      <c r="AV107" s="8" t="str">
        <f t="shared" si="66"/>
        <v>-</v>
      </c>
      <c r="AW107" s="9" t="str">
        <f t="shared" si="67"/>
        <v>-</v>
      </c>
      <c r="AX107" s="8" t="s">
        <v>64</v>
      </c>
      <c r="AY107" s="789" t="s">
        <v>64</v>
      </c>
      <c r="AZ107" s="6" t="s">
        <v>64</v>
      </c>
      <c r="BA107" s="48" t="s">
        <v>64</v>
      </c>
      <c r="BB107" s="6" t="s">
        <v>292</v>
      </c>
      <c r="BC107" s="48" t="s">
        <v>292</v>
      </c>
      <c r="BD107" s="849" t="s">
        <v>64</v>
      </c>
      <c r="BE107" s="48" t="s">
        <v>64</v>
      </c>
      <c r="BF107" s="668" t="s">
        <v>64</v>
      </c>
      <c r="BG107" s="48" t="s">
        <v>64</v>
      </c>
      <c r="BH107" s="48" t="s">
        <v>64</v>
      </c>
      <c r="BI107" s="850" t="str">
        <f t="shared" si="84"/>
        <v>-</v>
      </c>
      <c r="BJ107" s="789" t="str">
        <f t="shared" si="85"/>
        <v>-</v>
      </c>
      <c r="BK107" s="67" t="s">
        <v>64</v>
      </c>
      <c r="BL107" s="48" t="s">
        <v>64</v>
      </c>
      <c r="BM107" s="48" t="s">
        <v>64</v>
      </c>
      <c r="BN107" s="850" t="str">
        <f t="shared" si="86"/>
        <v>-</v>
      </c>
      <c r="BO107" s="789" t="str">
        <f t="shared" si="71"/>
        <v>-</v>
      </c>
      <c r="BP107" s="789" t="str">
        <f t="shared" si="72"/>
        <v>-</v>
      </c>
      <c r="BQ107" s="34" t="s">
        <v>64</v>
      </c>
      <c r="BR107" s="45" t="s">
        <v>64</v>
      </c>
      <c r="BS107" s="854" t="s">
        <v>64</v>
      </c>
      <c r="BT107" s="605"/>
      <c r="BU107" s="599" t="s">
        <v>64</v>
      </c>
      <c r="BV107" s="851" t="s">
        <v>64</v>
      </c>
      <c r="BW107" s="851" t="s">
        <v>64</v>
      </c>
      <c r="BX107" s="851" t="s">
        <v>64</v>
      </c>
      <c r="BY107" s="851" t="s">
        <v>64</v>
      </c>
      <c r="BZ107" s="851" t="s">
        <v>64</v>
      </c>
      <c r="CA107" s="851" t="s">
        <v>64</v>
      </c>
      <c r="CB107" s="851" t="s">
        <v>64</v>
      </c>
      <c r="CC107" s="851" t="s">
        <v>64</v>
      </c>
      <c r="CD107" s="851" t="s">
        <v>64</v>
      </c>
      <c r="CE107" s="852" t="s">
        <v>64</v>
      </c>
      <c r="CF107" s="852" t="s">
        <v>64</v>
      </c>
      <c r="CG107" s="605"/>
      <c r="CH107" s="584" t="s">
        <v>64</v>
      </c>
      <c r="CI107" s="576" t="s">
        <v>64</v>
      </c>
      <c r="CJ107" s="576" t="s">
        <v>64</v>
      </c>
      <c r="CK107" s="576" t="s">
        <v>64</v>
      </c>
      <c r="CL107" s="576" t="s">
        <v>64</v>
      </c>
      <c r="CM107" s="576" t="s">
        <v>64</v>
      </c>
      <c r="CN107" s="576" t="s">
        <v>64</v>
      </c>
      <c r="CO107" s="576" t="s">
        <v>64</v>
      </c>
      <c r="CP107" s="576" t="s">
        <v>64</v>
      </c>
      <c r="CQ107" s="576" t="s">
        <v>64</v>
      </c>
      <c r="CR107" s="857" t="s">
        <v>64</v>
      </c>
      <c r="CS107" s="793" t="s">
        <v>64</v>
      </c>
      <c r="CT107" s="855" t="s">
        <v>64</v>
      </c>
      <c r="CU107" s="576" t="s">
        <v>64</v>
      </c>
      <c r="CV107" s="591" t="s">
        <v>64</v>
      </c>
      <c r="CW107" s="605"/>
      <c r="CX107" s="936" t="s">
        <v>64</v>
      </c>
      <c r="CY107" s="934" t="s">
        <v>64</v>
      </c>
      <c r="CZ107" s="934" t="s">
        <v>64</v>
      </c>
      <c r="DA107" s="938" t="str">
        <f t="shared" si="87"/>
        <v>-</v>
      </c>
      <c r="DB107" s="936" t="s">
        <v>64</v>
      </c>
      <c r="DC107" s="934" t="s">
        <v>64</v>
      </c>
      <c r="DD107" s="934" t="s">
        <v>64</v>
      </c>
      <c r="DE107" s="939" t="str">
        <f t="shared" si="88"/>
        <v>-</v>
      </c>
      <c r="DF107" s="19"/>
    </row>
    <row r="108" spans="1:110">
      <c r="A108" s="846" t="s">
        <v>607</v>
      </c>
      <c r="B108" s="41" t="s">
        <v>678</v>
      </c>
      <c r="C108" s="41" t="s">
        <v>1486</v>
      </c>
      <c r="D108" s="34" t="s">
        <v>736</v>
      </c>
      <c r="E108" s="535">
        <v>19.389810000000001</v>
      </c>
      <c r="F108" s="537">
        <v>-155.29229000000001</v>
      </c>
      <c r="G108" s="37" t="s">
        <v>405</v>
      </c>
      <c r="H108" s="37" t="s">
        <v>64</v>
      </c>
      <c r="I108" s="202" t="s">
        <v>780</v>
      </c>
      <c r="J108" t="s">
        <v>898</v>
      </c>
      <c r="K108" s="34">
        <v>2021</v>
      </c>
      <c r="L108" s="51">
        <v>45</v>
      </c>
      <c r="M108" s="52">
        <v>37.5</v>
      </c>
      <c r="N108" s="54">
        <f t="shared" si="79"/>
        <v>36446.308593750007</v>
      </c>
      <c r="O108" s="54">
        <v>35703.598549841496</v>
      </c>
      <c r="P108" s="53">
        <v>11</v>
      </c>
      <c r="Q108" s="54">
        <v>696.90997032133578</v>
      </c>
      <c r="R108" s="772">
        <f t="shared" si="80"/>
        <v>1.9145610834950453E-2</v>
      </c>
      <c r="S108" s="8" t="s">
        <v>238</v>
      </c>
      <c r="T108" s="37" t="s">
        <v>132</v>
      </c>
      <c r="U108" s="21">
        <v>88.53271504461533</v>
      </c>
      <c r="V108" s="552" t="s">
        <v>423</v>
      </c>
      <c r="W108" s="552" t="s">
        <v>423</v>
      </c>
      <c r="X108" s="556" t="s">
        <v>292</v>
      </c>
      <c r="Y108" s="784" t="s">
        <v>64</v>
      </c>
      <c r="Z108" s="784" t="s">
        <v>292</v>
      </c>
      <c r="AA108" s="785" t="s">
        <v>64</v>
      </c>
      <c r="AB108" s="32" t="str">
        <f t="shared" si="61"/>
        <v>-</v>
      </c>
      <c r="AC108" s="6" t="str">
        <f t="shared" si="81"/>
        <v>-</v>
      </c>
      <c r="AD108" s="6" t="str">
        <f t="shared" si="82"/>
        <v>-</v>
      </c>
      <c r="AE108" s="6">
        <f t="shared" si="64"/>
        <v>1268.2917281280024</v>
      </c>
      <c r="AF108" s="839">
        <v>0.91600000000000004</v>
      </c>
      <c r="AG108" s="553">
        <f t="shared" si="83"/>
        <v>9.1703056768558833E-2</v>
      </c>
      <c r="AH108" s="69" t="s">
        <v>64</v>
      </c>
      <c r="AI108" s="9" t="s">
        <v>64</v>
      </c>
      <c r="AJ108" s="9" t="s">
        <v>64</v>
      </c>
      <c r="AK108" s="9" t="s">
        <v>64</v>
      </c>
      <c r="AL108" s="9" t="s">
        <v>64</v>
      </c>
      <c r="AM108" s="9" t="s">
        <v>64</v>
      </c>
      <c r="AN108" s="9" t="s">
        <v>64</v>
      </c>
      <c r="AO108" s="9" t="s">
        <v>64</v>
      </c>
      <c r="AP108" s="9" t="s">
        <v>64</v>
      </c>
      <c r="AQ108" s="9" t="s">
        <v>64</v>
      </c>
      <c r="AR108" s="9" t="s">
        <v>64</v>
      </c>
      <c r="AS108" s="6" t="s">
        <v>64</v>
      </c>
      <c r="AT108" s="6" t="s">
        <v>64</v>
      </c>
      <c r="AU108" s="9" t="s">
        <v>64</v>
      </c>
      <c r="AV108" s="8" t="str">
        <f t="shared" si="66"/>
        <v>-</v>
      </c>
      <c r="AW108" s="9" t="str">
        <f t="shared" si="67"/>
        <v>-</v>
      </c>
      <c r="AX108" s="8" t="s">
        <v>64</v>
      </c>
      <c r="AY108" s="789" t="s">
        <v>64</v>
      </c>
      <c r="AZ108" s="6" t="s">
        <v>64</v>
      </c>
      <c r="BA108" s="48" t="s">
        <v>64</v>
      </c>
      <c r="BB108" s="6" t="s">
        <v>292</v>
      </c>
      <c r="BC108" s="48" t="s">
        <v>292</v>
      </c>
      <c r="BD108" s="849" t="s">
        <v>64</v>
      </c>
      <c r="BE108" s="48" t="s">
        <v>64</v>
      </c>
      <c r="BF108" s="668" t="s">
        <v>64</v>
      </c>
      <c r="BG108" s="48" t="s">
        <v>64</v>
      </c>
      <c r="BH108" s="48" t="s">
        <v>64</v>
      </c>
      <c r="BI108" s="850" t="str">
        <f t="shared" si="84"/>
        <v>-</v>
      </c>
      <c r="BJ108" s="789" t="str">
        <f t="shared" si="85"/>
        <v>-</v>
      </c>
      <c r="BK108" s="67" t="s">
        <v>64</v>
      </c>
      <c r="BL108" s="48" t="s">
        <v>64</v>
      </c>
      <c r="BM108" s="48" t="s">
        <v>64</v>
      </c>
      <c r="BN108" s="850" t="str">
        <f t="shared" si="86"/>
        <v>-</v>
      </c>
      <c r="BO108" s="789" t="str">
        <f t="shared" si="71"/>
        <v>-</v>
      </c>
      <c r="BP108" s="789" t="str">
        <f t="shared" si="72"/>
        <v>-</v>
      </c>
      <c r="BQ108" s="34" t="s">
        <v>64</v>
      </c>
      <c r="BR108" s="45" t="s">
        <v>64</v>
      </c>
      <c r="BS108" s="854" t="s">
        <v>64</v>
      </c>
      <c r="BT108" s="605"/>
      <c r="BU108" s="599" t="s">
        <v>64</v>
      </c>
      <c r="BV108" s="851" t="s">
        <v>64</v>
      </c>
      <c r="BW108" s="851" t="s">
        <v>64</v>
      </c>
      <c r="BX108" s="851" t="s">
        <v>64</v>
      </c>
      <c r="BY108" s="851" t="s">
        <v>64</v>
      </c>
      <c r="BZ108" s="851" t="s">
        <v>64</v>
      </c>
      <c r="CA108" s="851" t="s">
        <v>64</v>
      </c>
      <c r="CB108" s="851" t="s">
        <v>64</v>
      </c>
      <c r="CC108" s="851" t="s">
        <v>64</v>
      </c>
      <c r="CD108" s="851" t="s">
        <v>64</v>
      </c>
      <c r="CE108" s="852" t="s">
        <v>64</v>
      </c>
      <c r="CF108" s="852" t="s">
        <v>64</v>
      </c>
      <c r="CG108" s="605"/>
      <c r="CH108" s="584" t="s">
        <v>64</v>
      </c>
      <c r="CI108" s="576" t="s">
        <v>64</v>
      </c>
      <c r="CJ108" s="576" t="s">
        <v>64</v>
      </c>
      <c r="CK108" s="576" t="s">
        <v>64</v>
      </c>
      <c r="CL108" s="576" t="s">
        <v>64</v>
      </c>
      <c r="CM108" s="576" t="s">
        <v>64</v>
      </c>
      <c r="CN108" s="576" t="s">
        <v>64</v>
      </c>
      <c r="CO108" s="576" t="s">
        <v>64</v>
      </c>
      <c r="CP108" s="576" t="s">
        <v>64</v>
      </c>
      <c r="CQ108" s="576" t="s">
        <v>64</v>
      </c>
      <c r="CR108" s="857" t="s">
        <v>64</v>
      </c>
      <c r="CS108" s="793" t="s">
        <v>64</v>
      </c>
      <c r="CT108" s="855" t="s">
        <v>64</v>
      </c>
      <c r="CU108" s="576" t="s">
        <v>64</v>
      </c>
      <c r="CV108" s="591" t="s">
        <v>64</v>
      </c>
      <c r="CW108" s="605"/>
      <c r="CX108" s="936" t="s">
        <v>64</v>
      </c>
      <c r="CY108" s="934" t="s">
        <v>64</v>
      </c>
      <c r="CZ108" s="934" t="s">
        <v>64</v>
      </c>
      <c r="DA108" s="938" t="str">
        <f t="shared" si="87"/>
        <v>-</v>
      </c>
      <c r="DB108" s="936" t="s">
        <v>64</v>
      </c>
      <c r="DC108" s="934" t="s">
        <v>64</v>
      </c>
      <c r="DD108" s="934" t="s">
        <v>64</v>
      </c>
      <c r="DE108" s="939" t="str">
        <f t="shared" si="88"/>
        <v>-</v>
      </c>
      <c r="DF108" s="19"/>
    </row>
    <row r="109" spans="1:110">
      <c r="A109" s="846" t="s">
        <v>608</v>
      </c>
      <c r="B109" s="41" t="s">
        <v>678</v>
      </c>
      <c r="C109" s="41" t="s">
        <v>1486</v>
      </c>
      <c r="D109" s="34" t="s">
        <v>736</v>
      </c>
      <c r="E109" s="535">
        <v>19.389810000000001</v>
      </c>
      <c r="F109" s="537">
        <v>-155.29229000000001</v>
      </c>
      <c r="G109" s="37" t="s">
        <v>405</v>
      </c>
      <c r="H109" s="37" t="s">
        <v>64</v>
      </c>
      <c r="I109" s="202" t="s">
        <v>780</v>
      </c>
      <c r="J109" t="s">
        <v>898</v>
      </c>
      <c r="K109" s="34">
        <v>2021</v>
      </c>
      <c r="L109" s="51">
        <v>70</v>
      </c>
      <c r="M109" s="52">
        <v>45</v>
      </c>
      <c r="N109" s="838">
        <f t="shared" si="79"/>
        <v>94834.031250000015</v>
      </c>
      <c r="O109" s="54">
        <v>61236.925136902493</v>
      </c>
      <c r="P109" s="53">
        <v>13.712016381081545</v>
      </c>
      <c r="Q109" s="54">
        <v>1349.903093339364</v>
      </c>
      <c r="R109" s="772">
        <f t="shared" si="80"/>
        <v>2.1568485438715569E-2</v>
      </c>
      <c r="S109" s="8" t="s">
        <v>239</v>
      </c>
      <c r="T109" s="37" t="s">
        <v>132</v>
      </c>
      <c r="U109" s="21">
        <v>88.426821431725955</v>
      </c>
      <c r="V109" s="552" t="s">
        <v>423</v>
      </c>
      <c r="W109" s="552" t="s">
        <v>423</v>
      </c>
      <c r="X109" s="556" t="s">
        <v>292</v>
      </c>
      <c r="Y109" s="784" t="s">
        <v>64</v>
      </c>
      <c r="Z109" s="784" t="s">
        <v>292</v>
      </c>
      <c r="AA109" s="785" t="s">
        <v>64</v>
      </c>
      <c r="AB109" s="32" t="str">
        <f t="shared" si="61"/>
        <v>-</v>
      </c>
      <c r="AC109" s="6" t="str">
        <f t="shared" si="81"/>
        <v>-</v>
      </c>
      <c r="AD109" s="6" t="str">
        <f t="shared" si="82"/>
        <v>-</v>
      </c>
      <c r="AE109" s="6">
        <f t="shared" si="64"/>
        <v>1266.0167306939438</v>
      </c>
      <c r="AF109" s="839">
        <v>0.91600000000000004</v>
      </c>
      <c r="AG109" s="553">
        <f t="shared" si="83"/>
        <v>9.1703056768558833E-2</v>
      </c>
      <c r="AH109" s="69" t="s">
        <v>64</v>
      </c>
      <c r="AI109" s="9" t="s">
        <v>64</v>
      </c>
      <c r="AJ109" s="9" t="s">
        <v>64</v>
      </c>
      <c r="AK109" s="9" t="s">
        <v>64</v>
      </c>
      <c r="AL109" s="9" t="s">
        <v>64</v>
      </c>
      <c r="AM109" s="9" t="s">
        <v>64</v>
      </c>
      <c r="AN109" s="9" t="s">
        <v>64</v>
      </c>
      <c r="AO109" s="9" t="s">
        <v>64</v>
      </c>
      <c r="AP109" s="9" t="s">
        <v>64</v>
      </c>
      <c r="AQ109" s="9" t="s">
        <v>64</v>
      </c>
      <c r="AR109" s="9" t="s">
        <v>64</v>
      </c>
      <c r="AS109" s="6" t="s">
        <v>64</v>
      </c>
      <c r="AT109" s="6" t="s">
        <v>64</v>
      </c>
      <c r="AU109" s="9" t="s">
        <v>64</v>
      </c>
      <c r="AV109" s="8" t="str">
        <f t="shared" si="66"/>
        <v>-</v>
      </c>
      <c r="AW109" s="9" t="str">
        <f t="shared" si="67"/>
        <v>-</v>
      </c>
      <c r="AX109" s="8" t="s">
        <v>64</v>
      </c>
      <c r="AY109" s="789" t="s">
        <v>64</v>
      </c>
      <c r="AZ109" s="6" t="s">
        <v>64</v>
      </c>
      <c r="BA109" s="48" t="s">
        <v>64</v>
      </c>
      <c r="BB109" s="6" t="s">
        <v>292</v>
      </c>
      <c r="BC109" s="48" t="s">
        <v>292</v>
      </c>
      <c r="BD109" s="849" t="s">
        <v>64</v>
      </c>
      <c r="BE109" s="48" t="s">
        <v>64</v>
      </c>
      <c r="BF109" s="668" t="s">
        <v>64</v>
      </c>
      <c r="BG109" s="48" t="s">
        <v>64</v>
      </c>
      <c r="BH109" s="48" t="s">
        <v>64</v>
      </c>
      <c r="BI109" s="850" t="str">
        <f t="shared" si="84"/>
        <v>-</v>
      </c>
      <c r="BJ109" s="789" t="str">
        <f t="shared" si="85"/>
        <v>-</v>
      </c>
      <c r="BK109" s="67" t="s">
        <v>64</v>
      </c>
      <c r="BL109" s="48" t="s">
        <v>64</v>
      </c>
      <c r="BM109" s="48" t="s">
        <v>64</v>
      </c>
      <c r="BN109" s="850" t="str">
        <f t="shared" si="86"/>
        <v>-</v>
      </c>
      <c r="BO109" s="789" t="str">
        <f t="shared" si="71"/>
        <v>-</v>
      </c>
      <c r="BP109" s="789" t="str">
        <f t="shared" si="72"/>
        <v>-</v>
      </c>
      <c r="BQ109" s="34" t="s">
        <v>64</v>
      </c>
      <c r="BR109" s="45" t="s">
        <v>64</v>
      </c>
      <c r="BS109" s="854" t="s">
        <v>64</v>
      </c>
      <c r="BT109" s="605"/>
      <c r="BU109" s="599" t="s">
        <v>64</v>
      </c>
      <c r="BV109" s="851" t="s">
        <v>64</v>
      </c>
      <c r="BW109" s="851" t="s">
        <v>64</v>
      </c>
      <c r="BX109" s="851" t="s">
        <v>64</v>
      </c>
      <c r="BY109" s="851" t="s">
        <v>64</v>
      </c>
      <c r="BZ109" s="851" t="s">
        <v>64</v>
      </c>
      <c r="CA109" s="851" t="s">
        <v>64</v>
      </c>
      <c r="CB109" s="851" t="s">
        <v>64</v>
      </c>
      <c r="CC109" s="851" t="s">
        <v>64</v>
      </c>
      <c r="CD109" s="851" t="s">
        <v>64</v>
      </c>
      <c r="CE109" s="852" t="s">
        <v>64</v>
      </c>
      <c r="CF109" s="852" t="s">
        <v>64</v>
      </c>
      <c r="CG109" s="605"/>
      <c r="CH109" s="584" t="s">
        <v>64</v>
      </c>
      <c r="CI109" s="576" t="s">
        <v>64</v>
      </c>
      <c r="CJ109" s="576" t="s">
        <v>64</v>
      </c>
      <c r="CK109" s="576" t="s">
        <v>64</v>
      </c>
      <c r="CL109" s="576" t="s">
        <v>64</v>
      </c>
      <c r="CM109" s="576" t="s">
        <v>64</v>
      </c>
      <c r="CN109" s="576" t="s">
        <v>64</v>
      </c>
      <c r="CO109" s="576" t="s">
        <v>64</v>
      </c>
      <c r="CP109" s="576" t="s">
        <v>64</v>
      </c>
      <c r="CQ109" s="576" t="s">
        <v>64</v>
      </c>
      <c r="CR109" s="857" t="s">
        <v>64</v>
      </c>
      <c r="CS109" s="793" t="s">
        <v>64</v>
      </c>
      <c r="CT109" s="855" t="s">
        <v>64</v>
      </c>
      <c r="CU109" s="576" t="s">
        <v>64</v>
      </c>
      <c r="CV109" s="591" t="s">
        <v>64</v>
      </c>
      <c r="CW109" s="605"/>
      <c r="CX109" s="936" t="s">
        <v>64</v>
      </c>
      <c r="CY109" s="934" t="s">
        <v>64</v>
      </c>
      <c r="CZ109" s="934" t="s">
        <v>64</v>
      </c>
      <c r="DA109" s="938" t="str">
        <f t="shared" si="87"/>
        <v>-</v>
      </c>
      <c r="DB109" s="936" t="s">
        <v>64</v>
      </c>
      <c r="DC109" s="934" t="s">
        <v>64</v>
      </c>
      <c r="DD109" s="934" t="s">
        <v>64</v>
      </c>
      <c r="DE109" s="939" t="str">
        <f t="shared" si="88"/>
        <v>-</v>
      </c>
      <c r="DF109" s="19"/>
    </row>
    <row r="110" spans="1:110">
      <c r="A110" s="846" t="s">
        <v>609</v>
      </c>
      <c r="B110" s="41" t="s">
        <v>678</v>
      </c>
      <c r="C110" s="41" t="s">
        <v>1486</v>
      </c>
      <c r="D110" s="34" t="s">
        <v>736</v>
      </c>
      <c r="E110" s="535">
        <v>19.389810000000001</v>
      </c>
      <c r="F110" s="537">
        <v>-155.29229000000001</v>
      </c>
      <c r="G110" s="37" t="s">
        <v>405</v>
      </c>
      <c r="H110" s="37" t="s">
        <v>64</v>
      </c>
      <c r="I110" s="202" t="s">
        <v>780</v>
      </c>
      <c r="J110" t="s">
        <v>898</v>
      </c>
      <c r="K110" s="34">
        <v>2021</v>
      </c>
      <c r="L110" s="51">
        <v>112</v>
      </c>
      <c r="M110" s="52">
        <v>80</v>
      </c>
      <c r="N110" s="54">
        <f t="shared" si="79"/>
        <v>450365.44000000006</v>
      </c>
      <c r="O110" s="54">
        <v>436241.55587747868</v>
      </c>
      <c r="P110" s="53">
        <v>30</v>
      </c>
      <c r="Q110" s="54">
        <v>14137.166941154068</v>
      </c>
      <c r="R110" s="772">
        <f t="shared" si="80"/>
        <v>3.1389508928571425E-2</v>
      </c>
      <c r="S110" s="8" t="s">
        <v>240</v>
      </c>
      <c r="T110" s="37" t="s">
        <v>132</v>
      </c>
      <c r="U110" s="21">
        <v>89.039670038900226</v>
      </c>
      <c r="V110" s="552" t="s">
        <v>423</v>
      </c>
      <c r="W110" s="552" t="s">
        <v>423</v>
      </c>
      <c r="X110" s="556" t="s">
        <v>292</v>
      </c>
      <c r="Y110" s="784" t="s">
        <v>64</v>
      </c>
      <c r="Z110" s="784" t="s">
        <v>292</v>
      </c>
      <c r="AA110" s="785" t="s">
        <v>64</v>
      </c>
      <c r="AB110" s="32" t="str">
        <f t="shared" si="61"/>
        <v>-</v>
      </c>
      <c r="AC110" s="6" t="str">
        <f t="shared" si="81"/>
        <v>-</v>
      </c>
      <c r="AD110" s="6" t="str">
        <f t="shared" si="82"/>
        <v>-</v>
      </c>
      <c r="AE110" s="6">
        <f t="shared" si="64"/>
        <v>1279.5390094452523</v>
      </c>
      <c r="AF110" s="839">
        <v>0.90100000000000013</v>
      </c>
      <c r="AG110" s="553">
        <f t="shared" si="83"/>
        <v>0.10987791342952269</v>
      </c>
      <c r="AH110" s="69" t="s">
        <v>64</v>
      </c>
      <c r="AI110" s="9" t="s">
        <v>64</v>
      </c>
      <c r="AJ110" s="9" t="s">
        <v>64</v>
      </c>
      <c r="AK110" s="9" t="s">
        <v>64</v>
      </c>
      <c r="AL110" s="9" t="s">
        <v>64</v>
      </c>
      <c r="AM110" s="9" t="s">
        <v>64</v>
      </c>
      <c r="AN110" s="9" t="s">
        <v>64</v>
      </c>
      <c r="AO110" s="9" t="s">
        <v>64</v>
      </c>
      <c r="AP110" s="9" t="s">
        <v>64</v>
      </c>
      <c r="AQ110" s="9" t="s">
        <v>64</v>
      </c>
      <c r="AR110" s="9" t="s">
        <v>64</v>
      </c>
      <c r="AS110" s="6" t="s">
        <v>64</v>
      </c>
      <c r="AT110" s="6" t="s">
        <v>64</v>
      </c>
      <c r="AU110" s="9" t="s">
        <v>64</v>
      </c>
      <c r="AV110" s="8" t="str">
        <f t="shared" si="66"/>
        <v>-</v>
      </c>
      <c r="AW110" s="9" t="str">
        <f t="shared" si="67"/>
        <v>-</v>
      </c>
      <c r="AX110" s="8" t="s">
        <v>64</v>
      </c>
      <c r="AY110" s="789" t="s">
        <v>64</v>
      </c>
      <c r="AZ110" s="6" t="s">
        <v>64</v>
      </c>
      <c r="BA110" s="48" t="s">
        <v>64</v>
      </c>
      <c r="BB110" s="6" t="s">
        <v>292</v>
      </c>
      <c r="BC110" s="48" t="s">
        <v>292</v>
      </c>
      <c r="BD110" s="849" t="s">
        <v>64</v>
      </c>
      <c r="BE110" s="48" t="s">
        <v>64</v>
      </c>
      <c r="BF110" s="668" t="s">
        <v>64</v>
      </c>
      <c r="BG110" s="48" t="s">
        <v>64</v>
      </c>
      <c r="BH110" s="48" t="s">
        <v>64</v>
      </c>
      <c r="BI110" s="850" t="str">
        <f t="shared" si="84"/>
        <v>-</v>
      </c>
      <c r="BJ110" s="789" t="str">
        <f t="shared" si="85"/>
        <v>-</v>
      </c>
      <c r="BK110" s="67" t="s">
        <v>64</v>
      </c>
      <c r="BL110" s="48" t="s">
        <v>64</v>
      </c>
      <c r="BM110" s="48" t="s">
        <v>64</v>
      </c>
      <c r="BN110" s="850" t="str">
        <f t="shared" si="86"/>
        <v>-</v>
      </c>
      <c r="BO110" s="789" t="str">
        <f t="shared" si="71"/>
        <v>-</v>
      </c>
      <c r="BP110" s="789" t="str">
        <f t="shared" si="72"/>
        <v>-</v>
      </c>
      <c r="BQ110" s="34" t="s">
        <v>64</v>
      </c>
      <c r="BR110" s="45" t="s">
        <v>64</v>
      </c>
      <c r="BS110" s="854" t="s">
        <v>64</v>
      </c>
      <c r="BT110" s="605"/>
      <c r="BU110" s="599" t="s">
        <v>64</v>
      </c>
      <c r="BV110" s="851" t="s">
        <v>64</v>
      </c>
      <c r="BW110" s="851" t="s">
        <v>64</v>
      </c>
      <c r="BX110" s="851" t="s">
        <v>64</v>
      </c>
      <c r="BY110" s="851" t="s">
        <v>64</v>
      </c>
      <c r="BZ110" s="851" t="s">
        <v>64</v>
      </c>
      <c r="CA110" s="851" t="s">
        <v>64</v>
      </c>
      <c r="CB110" s="851" t="s">
        <v>64</v>
      </c>
      <c r="CC110" s="851" t="s">
        <v>64</v>
      </c>
      <c r="CD110" s="851" t="s">
        <v>64</v>
      </c>
      <c r="CE110" s="852" t="s">
        <v>64</v>
      </c>
      <c r="CF110" s="852" t="s">
        <v>64</v>
      </c>
      <c r="CG110" s="605"/>
      <c r="CH110" s="584" t="s">
        <v>64</v>
      </c>
      <c r="CI110" s="576" t="s">
        <v>64</v>
      </c>
      <c r="CJ110" s="576" t="s">
        <v>64</v>
      </c>
      <c r="CK110" s="576" t="s">
        <v>64</v>
      </c>
      <c r="CL110" s="576" t="s">
        <v>64</v>
      </c>
      <c r="CM110" s="576" t="s">
        <v>64</v>
      </c>
      <c r="CN110" s="576" t="s">
        <v>64</v>
      </c>
      <c r="CO110" s="576" t="s">
        <v>64</v>
      </c>
      <c r="CP110" s="576" t="s">
        <v>64</v>
      </c>
      <c r="CQ110" s="576" t="s">
        <v>64</v>
      </c>
      <c r="CR110" s="857" t="s">
        <v>64</v>
      </c>
      <c r="CS110" s="793" t="s">
        <v>64</v>
      </c>
      <c r="CT110" s="855" t="s">
        <v>64</v>
      </c>
      <c r="CU110" s="576" t="s">
        <v>64</v>
      </c>
      <c r="CV110" s="591" t="s">
        <v>64</v>
      </c>
      <c r="CW110" s="605"/>
      <c r="CX110" s="936" t="s">
        <v>64</v>
      </c>
      <c r="CY110" s="934" t="s">
        <v>64</v>
      </c>
      <c r="CZ110" s="934" t="s">
        <v>64</v>
      </c>
      <c r="DA110" s="938" t="str">
        <f t="shared" si="87"/>
        <v>-</v>
      </c>
      <c r="DB110" s="936" t="s">
        <v>64</v>
      </c>
      <c r="DC110" s="934" t="s">
        <v>64</v>
      </c>
      <c r="DD110" s="934" t="s">
        <v>64</v>
      </c>
      <c r="DE110" s="939" t="str">
        <f t="shared" si="88"/>
        <v>-</v>
      </c>
      <c r="DF110" s="19"/>
    </row>
    <row r="111" spans="1:110">
      <c r="A111" s="846"/>
      <c r="B111" s="41"/>
      <c r="C111" s="41"/>
      <c r="D111" s="34"/>
      <c r="E111" s="535"/>
      <c r="F111" s="537"/>
      <c r="H111" s="34"/>
      <c r="I111" s="28"/>
      <c r="K111" s="34"/>
      <c r="L111" s="49"/>
      <c r="M111" s="50"/>
      <c r="N111" s="838"/>
      <c r="O111" s="54"/>
      <c r="P111" s="53"/>
      <c r="Q111" s="54"/>
      <c r="R111" s="853"/>
      <c r="S111" s="624"/>
      <c r="T111" s="34"/>
      <c r="U111" s="21"/>
      <c r="V111" s="19"/>
      <c r="W111" s="19"/>
      <c r="X111" s="556"/>
      <c r="Y111" s="784"/>
      <c r="Z111" s="784"/>
      <c r="AA111" s="784"/>
      <c r="AB111" s="32"/>
      <c r="AC111" s="6"/>
      <c r="AD111" s="6"/>
      <c r="AE111" s="6"/>
      <c r="AF111" s="839"/>
      <c r="AG111" s="839"/>
      <c r="AH111" s="32"/>
      <c r="AI111" s="9"/>
      <c r="AJ111" s="9"/>
      <c r="AK111" s="9"/>
      <c r="AL111" s="9"/>
      <c r="AM111" s="9"/>
      <c r="AN111" s="9"/>
      <c r="AO111" s="9"/>
      <c r="AP111" s="9"/>
      <c r="AQ111" s="9"/>
      <c r="AR111" s="9"/>
      <c r="AS111" s="6"/>
      <c r="AT111" s="6"/>
      <c r="AU111" s="9"/>
      <c r="AV111" s="8"/>
      <c r="AW111" s="9"/>
      <c r="AX111" s="8"/>
      <c r="AY111" s="787"/>
      <c r="AZ111" s="6"/>
      <c r="BB111" s="6"/>
      <c r="BD111" s="849"/>
      <c r="BF111" s="668"/>
      <c r="BG111" s="68"/>
      <c r="BH111" s="68"/>
      <c r="BI111" s="781"/>
      <c r="BK111" s="67"/>
      <c r="BL111" s="48"/>
      <c r="BM111" s="48"/>
      <c r="BN111" s="850"/>
      <c r="BO111" s="789"/>
      <c r="BP111" s="789"/>
      <c r="BQ111" s="861"/>
      <c r="BR111" s="25"/>
      <c r="BS111" s="26"/>
      <c r="BT111" s="605"/>
      <c r="BU111" s="598"/>
      <c r="BV111" s="790"/>
      <c r="BW111" s="790"/>
      <c r="BX111" s="790"/>
      <c r="BY111" s="790"/>
      <c r="BZ111" s="790"/>
      <c r="CA111" s="790"/>
      <c r="CB111" s="790"/>
      <c r="CC111" s="790"/>
      <c r="CD111" s="790"/>
      <c r="CE111" s="791"/>
      <c r="CF111" s="791"/>
      <c r="CG111" s="605"/>
      <c r="CH111" s="584"/>
      <c r="CI111" s="576"/>
      <c r="CJ111" s="576"/>
      <c r="CK111" s="576"/>
      <c r="CL111" s="576"/>
      <c r="CM111" s="576"/>
      <c r="CN111" s="576"/>
      <c r="CO111" s="576"/>
      <c r="CP111" s="576"/>
      <c r="CQ111" s="576"/>
      <c r="CR111" s="792"/>
      <c r="CS111" s="793"/>
      <c r="CT111" s="576"/>
      <c r="CU111" s="576"/>
      <c r="CV111" s="591"/>
      <c r="CW111" s="605"/>
      <c r="CX111" s="936"/>
      <c r="CY111" s="934"/>
      <c r="CZ111" s="934"/>
      <c r="DA111" s="941"/>
      <c r="DB111" s="936"/>
      <c r="DC111" s="934"/>
      <c r="DD111" s="934"/>
      <c r="DE111" s="942"/>
      <c r="DF111" s="9"/>
    </row>
    <row r="112" spans="1:110">
      <c r="A112" s="837" t="s">
        <v>1487</v>
      </c>
      <c r="B112" s="41"/>
      <c r="C112" s="41"/>
      <c r="D112" s="34"/>
      <c r="E112" s="535"/>
      <c r="F112" s="537"/>
      <c r="H112" s="34"/>
      <c r="I112" s="28"/>
      <c r="K112" s="34"/>
      <c r="L112" s="49"/>
      <c r="M112" s="50"/>
      <c r="N112" s="838"/>
      <c r="O112" s="54"/>
      <c r="P112" s="53"/>
      <c r="Q112" s="54"/>
      <c r="R112" s="853"/>
      <c r="S112" s="624"/>
      <c r="T112" s="34"/>
      <c r="U112" s="21"/>
      <c r="V112" s="19"/>
      <c r="W112" s="19"/>
      <c r="X112" s="556"/>
      <c r="Y112" s="784"/>
      <c r="Z112" s="784"/>
      <c r="AA112" s="784"/>
      <c r="AB112" s="32"/>
      <c r="AC112" s="6"/>
      <c r="AD112" s="6"/>
      <c r="AE112" s="6"/>
      <c r="AF112" s="839"/>
      <c r="AG112" s="839"/>
      <c r="AH112" s="32"/>
      <c r="AI112" s="9"/>
      <c r="AJ112" s="9"/>
      <c r="AK112" s="9"/>
      <c r="AL112" s="9"/>
      <c r="AM112" s="9"/>
      <c r="AN112" s="9"/>
      <c r="AO112" s="9"/>
      <c r="AP112" s="9"/>
      <c r="AQ112" s="9"/>
      <c r="AR112" s="9"/>
      <c r="AS112" s="6"/>
      <c r="AT112" s="6"/>
      <c r="AU112" s="9"/>
      <c r="AV112" s="8"/>
      <c r="AW112" s="9"/>
      <c r="AX112" s="8"/>
      <c r="AY112" s="787"/>
      <c r="AZ112" s="6"/>
      <c r="BB112" s="6"/>
      <c r="BD112" s="849"/>
      <c r="BF112" s="668"/>
      <c r="BG112" s="68"/>
      <c r="BH112" s="68"/>
      <c r="BI112" s="781"/>
      <c r="BK112" s="67"/>
      <c r="BL112" s="48"/>
      <c r="BM112" s="48"/>
      <c r="BN112" s="850"/>
      <c r="BO112" s="789"/>
      <c r="BP112" s="789"/>
      <c r="BQ112" s="861"/>
      <c r="BR112" s="25"/>
      <c r="BS112" s="26"/>
      <c r="BT112" s="605"/>
      <c r="BU112" s="598"/>
      <c r="BV112" s="790"/>
      <c r="BW112" s="790"/>
      <c r="BX112" s="790"/>
      <c r="BY112" s="790"/>
      <c r="BZ112" s="790"/>
      <c r="CA112" s="790"/>
      <c r="CB112" s="790"/>
      <c r="CC112" s="790"/>
      <c r="CD112" s="790"/>
      <c r="CE112" s="791"/>
      <c r="CF112" s="791"/>
      <c r="CG112" s="605"/>
      <c r="CH112" s="584"/>
      <c r="CI112" s="576"/>
      <c r="CJ112" s="576"/>
      <c r="CK112" s="576"/>
      <c r="CL112" s="576"/>
      <c r="CM112" s="576"/>
      <c r="CN112" s="576"/>
      <c r="CO112" s="576"/>
      <c r="CP112" s="576"/>
      <c r="CQ112" s="576"/>
      <c r="CR112" s="792"/>
      <c r="CS112" s="793"/>
      <c r="CT112" s="576"/>
      <c r="CU112" s="576"/>
      <c r="CV112" s="591"/>
      <c r="CW112" s="605"/>
      <c r="CX112" s="936"/>
      <c r="CY112" s="934"/>
      <c r="CZ112" s="934"/>
      <c r="DA112" s="941"/>
      <c r="DB112" s="936"/>
      <c r="DC112" s="934"/>
      <c r="DD112" s="934"/>
      <c r="DE112" s="942"/>
      <c r="DF112" s="9"/>
    </row>
    <row r="113" spans="1:110">
      <c r="A113" s="846" t="s">
        <v>0</v>
      </c>
      <c r="B113" s="41" t="s">
        <v>679</v>
      </c>
      <c r="C113" s="41" t="s">
        <v>1488</v>
      </c>
      <c r="D113" s="34" t="s">
        <v>736</v>
      </c>
      <c r="E113" s="535">
        <v>19.389810000000001</v>
      </c>
      <c r="F113" s="537">
        <v>-155.29229000000001</v>
      </c>
      <c r="G113" s="37" t="s">
        <v>405</v>
      </c>
      <c r="H113" s="37" t="s">
        <v>64</v>
      </c>
      <c r="I113" s="202" t="s">
        <v>779</v>
      </c>
      <c r="J113" t="s">
        <v>885</v>
      </c>
      <c r="K113" s="34">
        <v>2001</v>
      </c>
      <c r="L113" s="51">
        <v>290</v>
      </c>
      <c r="M113" s="52">
        <v>200</v>
      </c>
      <c r="N113" s="838">
        <f t="shared" ref="N113:N153" si="93">(4*3.1415/3)*(L113/2)*(M113/2)*(AVERAGE(L113,M113)/2)</f>
        <v>7440119.1666666679</v>
      </c>
      <c r="O113" s="54">
        <v>7118564.0686023626</v>
      </c>
      <c r="P113" s="53">
        <v>85</v>
      </c>
      <c r="Q113" s="54">
        <v>321555.09806430526</v>
      </c>
      <c r="R113" s="772">
        <f t="shared" ref="R113:R153" si="94">IF(Q113="no bubble",0,IF(H113="Isolated fluid inclusion",1,Q113/(Q113+O113)))</f>
        <v>4.3219079004129551E-2</v>
      </c>
      <c r="S113" s="624" t="s">
        <v>66</v>
      </c>
      <c r="T113" s="37" t="s">
        <v>132</v>
      </c>
      <c r="U113" s="21">
        <v>89.7</v>
      </c>
      <c r="V113" s="552">
        <v>1.21</v>
      </c>
      <c r="W113" s="847">
        <v>1.41</v>
      </c>
      <c r="X113" s="556" t="s">
        <v>423</v>
      </c>
      <c r="Y113" s="784" t="s">
        <v>64</v>
      </c>
      <c r="Z113" s="784" t="s">
        <v>64</v>
      </c>
      <c r="AA113" s="785" t="s">
        <v>64</v>
      </c>
      <c r="AB113" s="32">
        <f t="shared" ref="AB113:AB153" si="95">IF(ISNUMBER(AN113), 20.1*AN113+1014,"-")</f>
        <v>1299.2363105620175</v>
      </c>
      <c r="AC113" s="6">
        <f t="shared" ref="AC113:AC153" si="96">IF(ISNUMBER(CM113), 20.1*CM113+1014,"-")</f>
        <v>1181.3459</v>
      </c>
      <c r="AD113" s="6">
        <f t="shared" ref="AD113:AD153" si="97">IF(AND(ISNUMBER(AB113),ISNUMBER(AC113)),AB113-AC113,"-")</f>
        <v>117.89041056201745</v>
      </c>
      <c r="AE113" s="6">
        <f t="shared" ref="AE113:AE153" si="98">IF(ISNUMBER(U113),0.02289*U113^3- 4.943*U113^2+ 358.6*U113-7620,"-")</f>
        <v>1295.0946389700075</v>
      </c>
      <c r="AF113" s="839">
        <v>0.85199999999999998</v>
      </c>
      <c r="AG113" s="553">
        <f t="shared" ref="AG113:AG153" si="99">IF(ISNUMBER(AF113),(1/AF113)-1,"-")</f>
        <v>0.17370892018779349</v>
      </c>
      <c r="AH113" s="32">
        <f>100*(AN113/40.3)/((AN113/40.3)+(AL113/71.85))</f>
        <v>68.657559717750544</v>
      </c>
      <c r="AI113" s="9">
        <v>48.367604386108226</v>
      </c>
      <c r="AJ113" s="9">
        <v>2.1291320486856677</v>
      </c>
      <c r="AK113" s="9">
        <v>11.518634555312682</v>
      </c>
      <c r="AL113" s="9">
        <v>11.549812209308552</v>
      </c>
      <c r="AM113" s="9">
        <v>0.14683669301280464</v>
      </c>
      <c r="AN113" s="9">
        <v>14.190861221990914</v>
      </c>
      <c r="AO113" s="9">
        <v>9.5443850458323034</v>
      </c>
      <c r="AP113" s="9">
        <v>1.8897681244593147</v>
      </c>
      <c r="AQ113" s="9">
        <v>0.35100004014704672</v>
      </c>
      <c r="AR113" s="9">
        <v>0.18002580855679473</v>
      </c>
      <c r="AS113" s="6">
        <v>104.15668964461844</v>
      </c>
      <c r="AT113" s="6">
        <v>1154.4033102278543</v>
      </c>
      <c r="AU113" s="9">
        <v>98.72233333333331</v>
      </c>
      <c r="AV113" s="8">
        <f t="shared" ref="AV113:AV153" si="100">IF(ISNUMBER(AL113),(AL113/71.84)*(0.18/2)*159.69,"-")</f>
        <v>2.3106216043068404</v>
      </c>
      <c r="AW113" s="9">
        <f t="shared" ref="AW113:AW153" si="101">IF(ISNUMBER(AL113),(AL113/71.84)*(1-0.18)*71.84,"-")</f>
        <v>9.4708460116330127</v>
      </c>
      <c r="AX113" s="8">
        <v>0.56999999999999995</v>
      </c>
      <c r="AY113" s="789">
        <v>2.8499999999999998E-2</v>
      </c>
      <c r="AZ113" s="6">
        <v>60.491999999999997</v>
      </c>
      <c r="BA113" s="48">
        <v>6.0491999999999999</v>
      </c>
      <c r="BB113" s="6" t="s">
        <v>64</v>
      </c>
      <c r="BC113" s="48" t="s">
        <v>64</v>
      </c>
      <c r="BD113" s="849" t="s">
        <v>1007</v>
      </c>
      <c r="BE113" s="48" t="s">
        <v>1007</v>
      </c>
      <c r="BF113" s="668" t="s">
        <v>1007</v>
      </c>
      <c r="BG113" s="48" t="s">
        <v>64</v>
      </c>
      <c r="BH113" s="48" t="s">
        <v>64</v>
      </c>
      <c r="BI113" s="850" t="str">
        <f t="shared" ref="BI113:BI153" si="102">IF(NOT(ISNUMBER(BF113)),"-",(0.0684*((BF113/1000))^3 - 0.5008*((BF113/1000))^2 + 4.47*((BF113/1000))))</f>
        <v>-</v>
      </c>
      <c r="BJ113" s="789" t="str">
        <f t="shared" ref="BJ113:BJ153" si="103">IF(NOT(ISNUMBER(BF113)),"-",AVERAGE(ABS(BI113-(0.0684*(((BF113+BG113)/1000))^3-0.5008*(((BF113+BG113)/1000))^2+4.47*(((BF113+BG113)/1000)))),ABS(BI113-(0.0684*(((BF113-BG113)/1000))^3-0.5008*(((BF113-BG113)/1000))^2+4.47*(((BF113-BG113)/1000))))))</f>
        <v>-</v>
      </c>
      <c r="BK113" s="67" t="s">
        <v>64</v>
      </c>
      <c r="BL113" s="48" t="s">
        <v>64</v>
      </c>
      <c r="BM113" s="48" t="s">
        <v>64</v>
      </c>
      <c r="BN113" s="850" t="str">
        <f t="shared" ref="BN113:BN153" si="104">IF(ISNUMBER(BK113),(0.0684*((BK113/1000))^3 - 0.5008*((BK113/1000))^2 + 4.47*((BK113/1000))),"-")</f>
        <v>-</v>
      </c>
      <c r="BO113" s="789" t="str">
        <f t="shared" ref="BO113:BO153" si="105">IF(ISNUMBER(BL113),ABS(BN113-(0.0684*(((BK113+BL113)/1000))^3 - 0.5008*(((BK113+BL113)/1000))^2 + 4.47*(((BK113+BL113)/1000)))),"-")</f>
        <v>-</v>
      </c>
      <c r="BP113" s="789" t="str">
        <f t="shared" ref="BP113:BP153" si="106">IF(ISNUMBER(BM113),ABS(BN113-(0.0684*(((BK113-BM113)/1000))^3 - 0.5008*(((BK113-BM113)/1000))^2 + 4.47*(((BK113-BM113)/1000)))),"-")</f>
        <v>-</v>
      </c>
      <c r="BQ113" s="34" t="s">
        <v>64</v>
      </c>
      <c r="BR113" s="25">
        <v>2.7000833894717511</v>
      </c>
      <c r="BS113" s="26">
        <v>2.9671262953818931</v>
      </c>
      <c r="BT113" s="605"/>
      <c r="BU113" s="599">
        <v>0.13197386499394403</v>
      </c>
      <c r="BV113" s="851">
        <v>2.5776662944788781E-2</v>
      </c>
      <c r="BW113" s="851">
        <v>5.3698794153212256E-2</v>
      </c>
      <c r="BX113" s="851">
        <v>0.12567091774818359</v>
      </c>
      <c r="BY113" s="851">
        <v>5.188116321486573E-3</v>
      </c>
      <c r="BZ113" s="851">
        <v>3.7268120066822091E-2</v>
      </c>
      <c r="CA113" s="851">
        <v>1.9638683342285489E-2</v>
      </c>
      <c r="CB113" s="851">
        <v>2.6904307883906121E-2</v>
      </c>
      <c r="CC113" s="851">
        <v>9.6270767803810602E-3</v>
      </c>
      <c r="CD113" s="851">
        <v>5.0586107512053972E-3</v>
      </c>
      <c r="CE113" s="852">
        <v>15.987004004846698</v>
      </c>
      <c r="CF113" s="852">
        <v>21.681427949163897</v>
      </c>
      <c r="CG113" s="605"/>
      <c r="CH113" s="584">
        <v>49.131</v>
      </c>
      <c r="CI113" s="576">
        <v>2.434333333333333</v>
      </c>
      <c r="CJ113" s="576">
        <v>13.352333333333334</v>
      </c>
      <c r="CK113" s="576">
        <v>11.381</v>
      </c>
      <c r="CL113" s="576">
        <v>0.151</v>
      </c>
      <c r="CM113" s="576">
        <v>8.3256666666666685</v>
      </c>
      <c r="CN113" s="576">
        <v>11.01</v>
      </c>
      <c r="CO113" s="576">
        <v>2.1856666666666666</v>
      </c>
      <c r="CP113" s="576">
        <v>0.40266666666666673</v>
      </c>
      <c r="CQ113" s="576">
        <v>0.20366666666666666</v>
      </c>
      <c r="CR113" s="792">
        <v>1.2E-2</v>
      </c>
      <c r="CS113" s="793">
        <v>1330</v>
      </c>
      <c r="CT113" s="576">
        <f t="shared" ref="CT113:CT141" si="107">SUM(CH113:CR113)+(CS113/10000)</f>
        <v>98.72233333333331</v>
      </c>
      <c r="CU113" s="576">
        <v>0.56999999999999995</v>
      </c>
      <c r="CV113" s="591">
        <v>71</v>
      </c>
      <c r="CW113" s="605"/>
      <c r="CX113" s="936" t="s">
        <v>1007</v>
      </c>
      <c r="CY113" s="934" t="s">
        <v>64</v>
      </c>
      <c r="CZ113" s="934" t="s">
        <v>64</v>
      </c>
      <c r="DA113" s="938" t="str">
        <f t="shared" ref="DA113:DA153" si="108">IF(NOT(ISNUMBER(CX113)),"-",(0.0684*((CX113/1000))^3 - 0.5008*((CX113/1000))^2 + 4.47*((CX113/1000))))</f>
        <v>-</v>
      </c>
      <c r="DB113" s="936" t="s">
        <v>1007</v>
      </c>
      <c r="DC113" s="934" t="s">
        <v>64</v>
      </c>
      <c r="DD113" s="934" t="s">
        <v>64</v>
      </c>
      <c r="DE113" s="939" t="str">
        <f t="shared" ref="DE113:DE153" si="109">IF(NOT(ISNUMBER(DB113)),"-",(0.0684*((DB113/1000))^3 - 0.5008*((DB113/1000))^2 + 4.47*((DB113/1000))))</f>
        <v>-</v>
      </c>
      <c r="DF113" s="9"/>
    </row>
    <row r="114" spans="1:110">
      <c r="A114" s="846" t="s">
        <v>1</v>
      </c>
      <c r="B114" s="41" t="s">
        <v>679</v>
      </c>
      <c r="C114" s="41" t="s">
        <v>1488</v>
      </c>
      <c r="D114" s="34" t="s">
        <v>736</v>
      </c>
      <c r="E114" s="535">
        <v>19.389810000000001</v>
      </c>
      <c r="F114" s="537">
        <v>-155.29229000000001</v>
      </c>
      <c r="G114" s="37" t="s">
        <v>405</v>
      </c>
      <c r="H114" s="37" t="s">
        <v>64</v>
      </c>
      <c r="I114" s="202" t="s">
        <v>779</v>
      </c>
      <c r="J114" t="s">
        <v>885</v>
      </c>
      <c r="K114" s="34">
        <v>2001</v>
      </c>
      <c r="L114" s="51">
        <v>215</v>
      </c>
      <c r="M114" s="52">
        <v>190</v>
      </c>
      <c r="N114" s="838">
        <f t="shared" si="93"/>
        <v>4331146.7812500009</v>
      </c>
      <c r="O114" s="54">
        <v>4151552.4012197843</v>
      </c>
      <c r="P114" s="53">
        <v>70</v>
      </c>
      <c r="Q114" s="54">
        <v>179594.38003021647</v>
      </c>
      <c r="R114" s="772">
        <f t="shared" si="94"/>
        <v>4.1465780104174677E-2</v>
      </c>
      <c r="S114" s="624" t="s">
        <v>66</v>
      </c>
      <c r="T114" s="37" t="s">
        <v>132</v>
      </c>
      <c r="U114" s="21">
        <v>89.7</v>
      </c>
      <c r="V114" s="552">
        <v>1.21</v>
      </c>
      <c r="W114" s="847">
        <v>1.41</v>
      </c>
      <c r="X114" s="556" t="s">
        <v>423</v>
      </c>
      <c r="Y114" s="784" t="s">
        <v>64</v>
      </c>
      <c r="Z114" s="784" t="s">
        <v>64</v>
      </c>
      <c r="AA114" s="785" t="s">
        <v>64</v>
      </c>
      <c r="AB114" s="32">
        <f t="shared" si="95"/>
        <v>1294.3281549482244</v>
      </c>
      <c r="AC114" s="6">
        <f t="shared" si="96"/>
        <v>1176.51855</v>
      </c>
      <c r="AD114" s="6">
        <f t="shared" si="97"/>
        <v>117.80960494822443</v>
      </c>
      <c r="AE114" s="6">
        <f t="shared" si="98"/>
        <v>1295.0946389700075</v>
      </c>
      <c r="AF114" s="839">
        <v>0.85399999999999998</v>
      </c>
      <c r="AG114" s="553">
        <f t="shared" si="99"/>
        <v>0.17096018735362994</v>
      </c>
      <c r="AH114" s="32">
        <f t="shared" ref="AH114:AH127" si="110">100*(AN114/40.3)/((AN114/40.3)+(AL114/71.85))</f>
        <v>68.633350963883345</v>
      </c>
      <c r="AI114" s="9">
        <v>48.74700502970876</v>
      </c>
      <c r="AJ114" s="9">
        <v>2.185702861332897</v>
      </c>
      <c r="AK114" s="9">
        <v>11.439248921916146</v>
      </c>
      <c r="AL114" s="9">
        <v>11.363845189349465</v>
      </c>
      <c r="AM114" s="9">
        <v>0.15583438063781005</v>
      </c>
      <c r="AN114" s="9">
        <v>13.946674375533554</v>
      </c>
      <c r="AO114" s="9">
        <v>9.5038864527046343</v>
      </c>
      <c r="AP114" s="9">
        <v>1.9363678523124008</v>
      </c>
      <c r="AQ114" s="9">
        <v>0.3770186628334114</v>
      </c>
      <c r="AR114" s="9">
        <v>0.17996357505914837</v>
      </c>
      <c r="AS114" s="6">
        <v>113.25415439166716</v>
      </c>
      <c r="AT114" s="6">
        <v>1393.8972848205187</v>
      </c>
      <c r="AU114" s="9">
        <v>98.554999999999993</v>
      </c>
      <c r="AV114" s="8">
        <f t="shared" si="100"/>
        <v>2.2734175869411111</v>
      </c>
      <c r="AW114" s="9">
        <f t="shared" si="101"/>
        <v>9.3183530552665612</v>
      </c>
      <c r="AX114" s="8">
        <v>0.62</v>
      </c>
      <c r="AY114" s="789">
        <v>3.1E-2</v>
      </c>
      <c r="AZ114" s="6">
        <v>136.63999999999999</v>
      </c>
      <c r="BA114" s="48">
        <v>13.664</v>
      </c>
      <c r="BB114" s="6" t="s">
        <v>64</v>
      </c>
      <c r="BC114" s="48" t="s">
        <v>64</v>
      </c>
      <c r="BD114" s="849" t="s">
        <v>1007</v>
      </c>
      <c r="BE114" s="48" t="s">
        <v>1007</v>
      </c>
      <c r="BF114" s="668" t="s">
        <v>1007</v>
      </c>
      <c r="BG114" s="48" t="s">
        <v>64</v>
      </c>
      <c r="BH114" s="48" t="s">
        <v>64</v>
      </c>
      <c r="BI114" s="850" t="str">
        <f t="shared" si="102"/>
        <v>-</v>
      </c>
      <c r="BJ114" s="789" t="str">
        <f t="shared" si="103"/>
        <v>-</v>
      </c>
      <c r="BK114" s="67" t="s">
        <v>64</v>
      </c>
      <c r="BL114" s="48" t="s">
        <v>64</v>
      </c>
      <c r="BM114" s="48" t="s">
        <v>64</v>
      </c>
      <c r="BN114" s="850" t="str">
        <f t="shared" si="104"/>
        <v>-</v>
      </c>
      <c r="BO114" s="789" t="str">
        <f t="shared" si="105"/>
        <v>-</v>
      </c>
      <c r="BP114" s="789" t="str">
        <f t="shared" si="106"/>
        <v>-</v>
      </c>
      <c r="BQ114" s="34" t="s">
        <v>64</v>
      </c>
      <c r="BR114" s="25">
        <v>2.690809133583612</v>
      </c>
      <c r="BS114" s="26">
        <v>2.9548404440919711</v>
      </c>
      <c r="BT114" s="605"/>
      <c r="BU114" s="599">
        <v>0.13300908205612155</v>
      </c>
      <c r="BV114" s="851">
        <v>2.6461546144504172E-2</v>
      </c>
      <c r="BW114" s="851">
        <v>5.332870577459304E-2</v>
      </c>
      <c r="BX114" s="851">
        <v>0.12364745228869174</v>
      </c>
      <c r="BY114" s="851">
        <v>5.5060276627536889E-3</v>
      </c>
      <c r="BZ114" s="851">
        <v>3.6626835188466079E-2</v>
      </c>
      <c r="CA114" s="851">
        <v>1.9555352772277768E-2</v>
      </c>
      <c r="CB114" s="851">
        <v>2.7567740296189174E-2</v>
      </c>
      <c r="CC114" s="851">
        <v>1.0340704272322259E-2</v>
      </c>
      <c r="CD114" s="851">
        <v>5.0568620294926449E-3</v>
      </c>
      <c r="CE114" s="852">
        <v>17.383373319590316</v>
      </c>
      <c r="CF114" s="852">
        <v>26.179484484851447</v>
      </c>
      <c r="CG114" s="605"/>
      <c r="CH114" s="584">
        <v>49.456000000000003</v>
      </c>
      <c r="CI114" s="576">
        <v>2.4950000000000001</v>
      </c>
      <c r="CJ114" s="576">
        <v>13.205500000000001</v>
      </c>
      <c r="CK114" s="576">
        <v>11.183499999999999</v>
      </c>
      <c r="CL114" s="576">
        <v>0.16299999999999998</v>
      </c>
      <c r="CM114" s="576">
        <v>8.0854999999999997</v>
      </c>
      <c r="CN114" s="576">
        <v>10.92</v>
      </c>
      <c r="CO114" s="576">
        <v>2.2334999999999998</v>
      </c>
      <c r="CP114" s="576">
        <v>0.43049999999999999</v>
      </c>
      <c r="CQ114" s="576">
        <v>0.20949999999999999</v>
      </c>
      <c r="CR114" s="792">
        <v>1.2999999999999999E-2</v>
      </c>
      <c r="CS114" s="793">
        <v>1600</v>
      </c>
      <c r="CT114" s="576">
        <f t="shared" si="107"/>
        <v>98.554999999999993</v>
      </c>
      <c r="CU114" s="576">
        <v>0.62</v>
      </c>
      <c r="CV114" s="591">
        <v>160</v>
      </c>
      <c r="CW114" s="605"/>
      <c r="CX114" s="936" t="s">
        <v>1007</v>
      </c>
      <c r="CY114" s="934" t="s">
        <v>64</v>
      </c>
      <c r="CZ114" s="934" t="s">
        <v>64</v>
      </c>
      <c r="DA114" s="938" t="str">
        <f t="shared" si="108"/>
        <v>-</v>
      </c>
      <c r="DB114" s="936" t="s">
        <v>1007</v>
      </c>
      <c r="DC114" s="934" t="s">
        <v>64</v>
      </c>
      <c r="DD114" s="934" t="s">
        <v>64</v>
      </c>
      <c r="DE114" s="939" t="str">
        <f t="shared" si="109"/>
        <v>-</v>
      </c>
      <c r="DF114" s="9"/>
    </row>
    <row r="115" spans="1:110">
      <c r="A115" s="846" t="s">
        <v>7</v>
      </c>
      <c r="B115" s="41" t="s">
        <v>679</v>
      </c>
      <c r="C115" s="41" t="s">
        <v>1488</v>
      </c>
      <c r="D115" s="34" t="s">
        <v>736</v>
      </c>
      <c r="E115" s="535">
        <v>19.389810000000001</v>
      </c>
      <c r="F115" s="537">
        <v>-155.29229000000001</v>
      </c>
      <c r="G115" s="37" t="s">
        <v>405</v>
      </c>
      <c r="H115" s="37" t="s">
        <v>64</v>
      </c>
      <c r="I115" s="202" t="s">
        <v>779</v>
      </c>
      <c r="J115" t="s">
        <v>885</v>
      </c>
      <c r="K115" s="34">
        <v>2001</v>
      </c>
      <c r="L115" s="51">
        <v>285</v>
      </c>
      <c r="M115" s="52">
        <v>210</v>
      </c>
      <c r="N115" s="838">
        <f t="shared" si="93"/>
        <v>7755774.4687500009</v>
      </c>
      <c r="O115" s="54">
        <v>7755774.4687500009</v>
      </c>
      <c r="P115" s="53" t="s">
        <v>151</v>
      </c>
      <c r="Q115" s="54" t="s">
        <v>151</v>
      </c>
      <c r="R115" s="772">
        <f t="shared" si="94"/>
        <v>0</v>
      </c>
      <c r="S115" s="624" t="s">
        <v>72</v>
      </c>
      <c r="T115" s="37" t="s">
        <v>132</v>
      </c>
      <c r="U115" s="21">
        <v>82.1</v>
      </c>
      <c r="V115" s="552">
        <v>1.57</v>
      </c>
      <c r="W115" s="847">
        <v>1.1499999999999999</v>
      </c>
      <c r="X115" s="556" t="s">
        <v>64</v>
      </c>
      <c r="Y115" s="784" t="s">
        <v>64</v>
      </c>
      <c r="Z115" s="784" t="s">
        <v>64</v>
      </c>
      <c r="AA115" s="785" t="s">
        <v>64</v>
      </c>
      <c r="AB115" s="32">
        <f t="shared" si="95"/>
        <v>1198.3516661899571</v>
      </c>
      <c r="AC115" s="6">
        <f t="shared" si="96"/>
        <v>1197.4828499999999</v>
      </c>
      <c r="AD115" s="6">
        <f t="shared" si="97"/>
        <v>0.8688161899572151</v>
      </c>
      <c r="AE115" s="6">
        <f t="shared" si="98"/>
        <v>1170.2569302900047</v>
      </c>
      <c r="AF115" s="848">
        <v>1.0369999999999999</v>
      </c>
      <c r="AG115" s="553">
        <f t="shared" si="99"/>
        <v>-3.5679845708775249E-2</v>
      </c>
      <c r="AH115" s="32">
        <f>100*(AN115/40.3)/((AN115/40.3)+(AL115/71.85))</f>
        <v>57.591260877699796</v>
      </c>
      <c r="AI115" s="9">
        <v>51.624296006445206</v>
      </c>
      <c r="AJ115" s="9">
        <v>2.6926901636261098</v>
      </c>
      <c r="AK115" s="9">
        <v>12.529047141946863</v>
      </c>
      <c r="AL115" s="9">
        <v>12.041248233573549</v>
      </c>
      <c r="AM115" s="9">
        <v>0.19341151361866649</v>
      </c>
      <c r="AN115" s="9">
        <v>9.171724686067515</v>
      </c>
      <c r="AO115" s="9">
        <v>8.3614057991404795</v>
      </c>
      <c r="AP115" s="9">
        <v>2.6349178933244302</v>
      </c>
      <c r="AQ115" s="9">
        <v>0.34060521099598928</v>
      </c>
      <c r="AR115" s="9">
        <v>0.24616010824193915</v>
      </c>
      <c r="AS115" s="6">
        <v>125.84481912771854</v>
      </c>
      <c r="AT115" s="6">
        <v>1356.3924331698688</v>
      </c>
      <c r="AU115" s="9">
        <v>99.512000000000015</v>
      </c>
      <c r="AV115" s="8">
        <f t="shared" si="100"/>
        <v>2.4089368560376165</v>
      </c>
      <c r="AW115" s="9">
        <f t="shared" si="101"/>
        <v>9.873823551530311</v>
      </c>
      <c r="AX115" s="8">
        <v>0.51</v>
      </c>
      <c r="AY115" s="789">
        <v>2.5500000000000002E-2</v>
      </c>
      <c r="AZ115" s="6">
        <v>168</v>
      </c>
      <c r="BA115" s="48">
        <v>16.8</v>
      </c>
      <c r="BB115" s="6" t="s">
        <v>151</v>
      </c>
      <c r="BC115" s="48" t="s">
        <v>151</v>
      </c>
      <c r="BD115" s="849">
        <v>168</v>
      </c>
      <c r="BE115" s="48">
        <v>16.8</v>
      </c>
      <c r="BF115" s="668">
        <v>410.36242166582122</v>
      </c>
      <c r="BG115" s="48">
        <v>36.505253647916163</v>
      </c>
      <c r="BH115" s="48">
        <v>36.727162010540837</v>
      </c>
      <c r="BI115" s="850">
        <f t="shared" si="102"/>
        <v>1.7547133573051905</v>
      </c>
      <c r="BJ115" s="789">
        <f t="shared" si="103"/>
        <v>0.1494389021988386</v>
      </c>
      <c r="BK115" s="67" t="s">
        <v>64</v>
      </c>
      <c r="BL115" s="48" t="s">
        <v>64</v>
      </c>
      <c r="BM115" s="48" t="s">
        <v>64</v>
      </c>
      <c r="BN115" s="850" t="str">
        <f t="shared" si="104"/>
        <v>-</v>
      </c>
      <c r="BO115" s="789" t="str">
        <f t="shared" si="105"/>
        <v>-</v>
      </c>
      <c r="BP115" s="789" t="str">
        <f t="shared" si="106"/>
        <v>-</v>
      </c>
      <c r="BQ115" s="34" t="s">
        <v>64</v>
      </c>
      <c r="BR115" s="25">
        <v>2.6751282094273359</v>
      </c>
      <c r="BS115" s="26">
        <v>2.9413540386189099</v>
      </c>
      <c r="BT115" s="605"/>
      <c r="BU115" s="599">
        <v>0.1408599404091801</v>
      </c>
      <c r="BV115" s="851">
        <v>3.2599465498340002E-2</v>
      </c>
      <c r="BW115" s="851">
        <v>5.8409242882090325E-2</v>
      </c>
      <c r="BX115" s="851">
        <v>0.13101812297236259</v>
      </c>
      <c r="BY115" s="851">
        <v>6.8337239826078275E-3</v>
      </c>
      <c r="BZ115" s="851">
        <v>2.4086835285973256E-2</v>
      </c>
      <c r="CA115" s="851">
        <v>1.7204565825576456E-2</v>
      </c>
      <c r="CB115" s="851">
        <v>3.7512878608372359E-2</v>
      </c>
      <c r="CC115" s="851">
        <v>9.3419719173894501E-3</v>
      </c>
      <c r="CD115" s="851">
        <v>6.9169425209258915E-3</v>
      </c>
      <c r="CE115" s="852">
        <v>19.315913689735762</v>
      </c>
      <c r="CF115" s="852">
        <v>25.475087042810895</v>
      </c>
      <c r="CG115" s="605"/>
      <c r="CH115" s="584">
        <v>51.381</v>
      </c>
      <c r="CI115" s="576">
        <v>2.68</v>
      </c>
      <c r="CJ115" s="576">
        <v>12.47</v>
      </c>
      <c r="CK115" s="576">
        <v>11.984500000000001</v>
      </c>
      <c r="CL115" s="576">
        <v>0.1925</v>
      </c>
      <c r="CM115" s="576">
        <v>9.1284999999999989</v>
      </c>
      <c r="CN115" s="576">
        <v>8.3219999999999992</v>
      </c>
      <c r="CO115" s="576">
        <v>2.6225000000000001</v>
      </c>
      <c r="CP115" s="576">
        <v>0.33900000000000002</v>
      </c>
      <c r="CQ115" s="576">
        <v>0.245</v>
      </c>
      <c r="CR115" s="792">
        <v>1.2E-2</v>
      </c>
      <c r="CS115" s="793">
        <v>1350</v>
      </c>
      <c r="CT115" s="576">
        <f t="shared" si="107"/>
        <v>99.512000000000015</v>
      </c>
      <c r="CU115" s="576">
        <v>0.51</v>
      </c>
      <c r="CV115" s="591">
        <v>168</v>
      </c>
      <c r="CW115" s="605"/>
      <c r="CX115" s="936">
        <v>386.21671533185389</v>
      </c>
      <c r="CY115" s="934">
        <v>35.879722526046692</v>
      </c>
      <c r="CZ115" s="934">
        <v>35.965154220972181</v>
      </c>
      <c r="DA115" s="938">
        <f t="shared" si="108"/>
        <v>1.6556281928127154</v>
      </c>
      <c r="DB115" s="936">
        <v>387.94535032446117</v>
      </c>
      <c r="DC115" s="934">
        <v>33.522245918141039</v>
      </c>
      <c r="DD115" s="934">
        <v>33.963146452726846</v>
      </c>
      <c r="DE115" s="939">
        <f t="shared" si="109"/>
        <v>1.6627381466003692</v>
      </c>
      <c r="DF115" s="9"/>
    </row>
    <row r="116" spans="1:110">
      <c r="A116" s="846" t="s">
        <v>8</v>
      </c>
      <c r="B116" s="41" t="s">
        <v>679</v>
      </c>
      <c r="C116" s="41" t="s">
        <v>1488</v>
      </c>
      <c r="D116" s="34" t="s">
        <v>736</v>
      </c>
      <c r="E116" s="535">
        <v>19.389810000000001</v>
      </c>
      <c r="F116" s="537">
        <v>-155.29229000000001</v>
      </c>
      <c r="G116" s="37" t="s">
        <v>405</v>
      </c>
      <c r="H116" s="37" t="s">
        <v>64</v>
      </c>
      <c r="I116" s="202" t="s">
        <v>779</v>
      </c>
      <c r="J116" t="s">
        <v>885</v>
      </c>
      <c r="K116" s="34">
        <v>2001</v>
      </c>
      <c r="L116" s="51">
        <v>298</v>
      </c>
      <c r="M116" s="52">
        <v>250</v>
      </c>
      <c r="N116" s="838">
        <f t="shared" si="93"/>
        <v>10687906.583333334</v>
      </c>
      <c r="O116" s="54">
        <v>10687906.583333334</v>
      </c>
      <c r="P116" s="53" t="s">
        <v>151</v>
      </c>
      <c r="Q116" s="54" t="s">
        <v>151</v>
      </c>
      <c r="R116" s="772">
        <f t="shared" si="94"/>
        <v>0</v>
      </c>
      <c r="S116" s="624" t="s">
        <v>72</v>
      </c>
      <c r="T116" s="37" t="s">
        <v>132</v>
      </c>
      <c r="U116" s="21">
        <v>82.1</v>
      </c>
      <c r="V116" s="552">
        <v>1.57</v>
      </c>
      <c r="W116" s="847">
        <v>1.1499999999999999</v>
      </c>
      <c r="X116" s="556" t="s">
        <v>64</v>
      </c>
      <c r="Y116" s="784" t="s">
        <v>64</v>
      </c>
      <c r="Z116" s="784" t="s">
        <v>64</v>
      </c>
      <c r="AA116" s="785" t="s">
        <v>64</v>
      </c>
      <c r="AB116" s="32">
        <f t="shared" si="95"/>
        <v>1195.6395827960948</v>
      </c>
      <c r="AC116" s="6">
        <f t="shared" si="96"/>
        <v>1193.3623500000001</v>
      </c>
      <c r="AD116" s="6">
        <f t="shared" si="97"/>
        <v>2.2772327960947223</v>
      </c>
      <c r="AE116" s="6">
        <f t="shared" si="98"/>
        <v>1170.2569302900047</v>
      </c>
      <c r="AF116" s="848">
        <v>1.032</v>
      </c>
      <c r="AG116" s="553">
        <f t="shared" si="99"/>
        <v>-3.1007751937984551E-2</v>
      </c>
      <c r="AH116" s="32">
        <f>100*(AN116/40.3)/((AN116/40.3)+(AL116/71.85))</f>
        <v>57.120569607883425</v>
      </c>
      <c r="AI116" s="9">
        <v>51.468768870598105</v>
      </c>
      <c r="AJ116" s="9">
        <v>2.588958013865319</v>
      </c>
      <c r="AK116" s="9">
        <v>12.64705736599141</v>
      </c>
      <c r="AL116" s="9">
        <v>12.094631550789559</v>
      </c>
      <c r="AM116" s="9">
        <v>0.14582826285805048</v>
      </c>
      <c r="AN116" s="9">
        <v>9.036795163984813</v>
      </c>
      <c r="AO116" s="9">
        <v>8.4215821800524111</v>
      </c>
      <c r="AP116" s="9">
        <v>2.7621290760092543</v>
      </c>
      <c r="AQ116" s="9">
        <v>0.40406581166918148</v>
      </c>
      <c r="AR116" s="9">
        <v>0.27089625218422564</v>
      </c>
      <c r="AS116" s="6">
        <v>136.76182918799594</v>
      </c>
      <c r="AT116" s="6">
        <v>1296.2512254048927</v>
      </c>
      <c r="AU116" s="9">
        <v>98.730000000000018</v>
      </c>
      <c r="AV116" s="8">
        <f t="shared" si="100"/>
        <v>2.4196165661345019</v>
      </c>
      <c r="AW116" s="9">
        <f t="shared" si="101"/>
        <v>9.9175978716474393</v>
      </c>
      <c r="AX116" s="8">
        <v>0.51</v>
      </c>
      <c r="AY116" s="789">
        <v>2.5500000000000002E-2</v>
      </c>
      <c r="AZ116" s="6">
        <v>165</v>
      </c>
      <c r="BA116" s="48">
        <v>16.5</v>
      </c>
      <c r="BB116" s="6" t="s">
        <v>151</v>
      </c>
      <c r="BC116" s="48" t="s">
        <v>151</v>
      </c>
      <c r="BD116" s="849">
        <v>165</v>
      </c>
      <c r="BE116" s="48">
        <v>16.5</v>
      </c>
      <c r="BF116" s="668">
        <v>389.25670543906273</v>
      </c>
      <c r="BG116" s="48">
        <v>34.533221307908093</v>
      </c>
      <c r="BH116" s="48">
        <v>34.73238472338835</v>
      </c>
      <c r="BI116" s="850">
        <f t="shared" si="102"/>
        <v>1.6681301302010372</v>
      </c>
      <c r="BJ116" s="789">
        <f t="shared" si="103"/>
        <v>0.14197622965312795</v>
      </c>
      <c r="BK116" s="67" t="s">
        <v>64</v>
      </c>
      <c r="BL116" s="48" t="s">
        <v>64</v>
      </c>
      <c r="BM116" s="48" t="s">
        <v>64</v>
      </c>
      <c r="BN116" s="850" t="str">
        <f t="shared" si="104"/>
        <v>-</v>
      </c>
      <c r="BO116" s="789" t="str">
        <f t="shared" si="105"/>
        <v>-</v>
      </c>
      <c r="BP116" s="789" t="str">
        <f t="shared" si="106"/>
        <v>-</v>
      </c>
      <c r="BQ116" s="34" t="s">
        <v>64</v>
      </c>
      <c r="BR116" s="25">
        <v>2.6754923251879168</v>
      </c>
      <c r="BS116" s="26">
        <v>2.9422721436745598</v>
      </c>
      <c r="BT116" s="605"/>
      <c r="BU116" s="599">
        <v>0.14043557543411686</v>
      </c>
      <c r="BV116" s="851">
        <v>3.1343616354284863E-2</v>
      </c>
      <c r="BW116" s="851">
        <v>5.8959395480344241E-2</v>
      </c>
      <c r="BX116" s="851">
        <v>0.13159897488106906</v>
      </c>
      <c r="BY116" s="851">
        <v>5.1524859021573732E-3</v>
      </c>
      <c r="BZ116" s="851">
        <v>2.3732482611327654E-2</v>
      </c>
      <c r="CA116" s="851">
        <v>1.7328385734741814E-2</v>
      </c>
      <c r="CB116" s="851">
        <v>3.932396261435725E-2</v>
      </c>
      <c r="CC116" s="851">
        <v>1.1082541733147813E-2</v>
      </c>
      <c r="CD116" s="851">
        <v>7.6120124372503518E-3</v>
      </c>
      <c r="CE116" s="852">
        <v>20.991564904747513</v>
      </c>
      <c r="CF116" s="852">
        <v>24.34554483569902</v>
      </c>
      <c r="CG116" s="605"/>
      <c r="CH116" s="584">
        <v>50.823499999999996</v>
      </c>
      <c r="CI116" s="576">
        <v>2.5564999999999998</v>
      </c>
      <c r="CJ116" s="576">
        <v>12.4885</v>
      </c>
      <c r="CK116" s="576">
        <v>11.943000000000001</v>
      </c>
      <c r="CL116" s="576">
        <v>0.14400000000000002</v>
      </c>
      <c r="CM116" s="576">
        <v>8.9235000000000007</v>
      </c>
      <c r="CN116" s="576">
        <v>8.3159999999999989</v>
      </c>
      <c r="CO116" s="576">
        <v>2.7275</v>
      </c>
      <c r="CP116" s="576">
        <v>0.39900000000000002</v>
      </c>
      <c r="CQ116" s="576">
        <v>0.26750000000000002</v>
      </c>
      <c r="CR116" s="792">
        <v>1.2999999999999999E-2</v>
      </c>
      <c r="CS116" s="793">
        <v>1280</v>
      </c>
      <c r="CT116" s="576">
        <f t="shared" si="107"/>
        <v>98.730000000000018</v>
      </c>
      <c r="CU116" s="576">
        <v>0.51</v>
      </c>
      <c r="CV116" s="591">
        <v>165</v>
      </c>
      <c r="CW116" s="605"/>
      <c r="CX116" s="936">
        <v>379.77474279501081</v>
      </c>
      <c r="CY116" s="934">
        <v>35.248613926515873</v>
      </c>
      <c r="CZ116" s="934">
        <v>35.331457414792226</v>
      </c>
      <c r="DA116" s="938">
        <f t="shared" si="108"/>
        <v>1.6291098637635513</v>
      </c>
      <c r="DB116" s="936">
        <v>373.78259399696611</v>
      </c>
      <c r="DC116" s="934">
        <v>32.298446225499106</v>
      </c>
      <c r="DD116" s="934">
        <v>32.723250764010402</v>
      </c>
      <c r="DE116" s="939">
        <f t="shared" si="109"/>
        <v>1.6044117260372937</v>
      </c>
      <c r="DF116" s="9"/>
    </row>
    <row r="117" spans="1:110">
      <c r="A117" s="846" t="s">
        <v>2</v>
      </c>
      <c r="B117" s="41" t="s">
        <v>679</v>
      </c>
      <c r="C117" s="41" t="s">
        <v>1488</v>
      </c>
      <c r="D117" s="34" t="s">
        <v>736</v>
      </c>
      <c r="E117" s="535">
        <v>19.389810000000001</v>
      </c>
      <c r="F117" s="537">
        <v>-155.29229000000001</v>
      </c>
      <c r="G117" s="37" t="s">
        <v>405</v>
      </c>
      <c r="H117" s="37" t="s">
        <v>64</v>
      </c>
      <c r="I117" s="202" t="s">
        <v>779</v>
      </c>
      <c r="J117" t="s">
        <v>885</v>
      </c>
      <c r="K117" s="34">
        <v>2001</v>
      </c>
      <c r="L117" s="51">
        <v>215</v>
      </c>
      <c r="M117" s="52">
        <v>180</v>
      </c>
      <c r="N117" s="838">
        <f t="shared" si="93"/>
        <v>4001878.3125000005</v>
      </c>
      <c r="O117" s="54">
        <v>3936428.4655502131</v>
      </c>
      <c r="P117" s="53">
        <v>50</v>
      </c>
      <c r="Q117" s="54">
        <v>65449.846949787352</v>
      </c>
      <c r="R117" s="772">
        <f t="shared" si="94"/>
        <v>1.6354781889632318E-2</v>
      </c>
      <c r="S117" s="624" t="s">
        <v>67</v>
      </c>
      <c r="T117" s="37" t="s">
        <v>132</v>
      </c>
      <c r="U117" s="21">
        <v>88.5</v>
      </c>
      <c r="V117" s="552">
        <v>1.1499999999999999</v>
      </c>
      <c r="W117" s="847">
        <v>1.57</v>
      </c>
      <c r="X117" s="556" t="s">
        <v>423</v>
      </c>
      <c r="Y117" s="784" t="s">
        <v>64</v>
      </c>
      <c r="Z117" s="784" t="s">
        <v>64</v>
      </c>
      <c r="AA117" s="785" t="s">
        <v>64</v>
      </c>
      <c r="AB117" s="32">
        <f t="shared" si="95"/>
        <v>1274.1129416556673</v>
      </c>
      <c r="AC117" s="6">
        <f t="shared" si="96"/>
        <v>1188.1464000000001</v>
      </c>
      <c r="AD117" s="6">
        <f t="shared" si="97"/>
        <v>85.966541655667243</v>
      </c>
      <c r="AE117" s="6">
        <f t="shared" si="98"/>
        <v>1267.5861712500082</v>
      </c>
      <c r="AF117" s="839">
        <v>0.89</v>
      </c>
      <c r="AG117" s="553">
        <f t="shared" si="99"/>
        <v>0.12359550561797761</v>
      </c>
      <c r="AH117" s="32">
        <f t="shared" si="110"/>
        <v>65.871194360946845</v>
      </c>
      <c r="AI117" s="9">
        <v>48.791869945215041</v>
      </c>
      <c r="AJ117" s="9">
        <v>2.5956333139233538</v>
      </c>
      <c r="AK117" s="9">
        <v>11.303077628654606</v>
      </c>
      <c r="AL117" s="9">
        <v>11.953998075983446</v>
      </c>
      <c r="AM117" s="9">
        <v>0.16801192380821711</v>
      </c>
      <c r="AN117" s="9">
        <v>12.94094237092872</v>
      </c>
      <c r="AO117" s="9">
        <v>9.3734556534201126</v>
      </c>
      <c r="AP117" s="9">
        <v>1.9125189650264713</v>
      </c>
      <c r="AQ117" s="9">
        <v>0.57144175283273835</v>
      </c>
      <c r="AR117" s="9">
        <v>0.25956333139233539</v>
      </c>
      <c r="AS117" s="6">
        <v>117.44753287486543</v>
      </c>
      <c r="AT117" s="6">
        <v>1002.8212422392357</v>
      </c>
      <c r="AU117" s="9">
        <v>99.109000000000009</v>
      </c>
      <c r="AV117" s="8">
        <f t="shared" si="100"/>
        <v>2.3914818450423394</v>
      </c>
      <c r="AW117" s="9">
        <f t="shared" si="101"/>
        <v>9.8022784223064274</v>
      </c>
      <c r="AX117" s="8">
        <v>0.61</v>
      </c>
      <c r="AY117" s="789">
        <v>3.0499999999999999E-2</v>
      </c>
      <c r="AZ117" s="6">
        <v>173.55</v>
      </c>
      <c r="BA117" s="48">
        <v>17.355</v>
      </c>
      <c r="BB117" s="6" t="s">
        <v>64</v>
      </c>
      <c r="BC117" s="48" t="s">
        <v>64</v>
      </c>
      <c r="BD117" s="849" t="s">
        <v>1007</v>
      </c>
      <c r="BE117" s="48" t="s">
        <v>1007</v>
      </c>
      <c r="BF117" s="668" t="s">
        <v>1007</v>
      </c>
      <c r="BG117" s="48" t="s">
        <v>64</v>
      </c>
      <c r="BH117" s="48" t="s">
        <v>64</v>
      </c>
      <c r="BI117" s="850" t="str">
        <f t="shared" si="102"/>
        <v>-</v>
      </c>
      <c r="BJ117" s="789" t="str">
        <f t="shared" si="103"/>
        <v>-</v>
      </c>
      <c r="BK117" s="67" t="s">
        <v>64</v>
      </c>
      <c r="BL117" s="48" t="s">
        <v>64</v>
      </c>
      <c r="BM117" s="48" t="s">
        <v>64</v>
      </c>
      <c r="BN117" s="850" t="str">
        <f t="shared" si="104"/>
        <v>-</v>
      </c>
      <c r="BO117" s="789" t="str">
        <f t="shared" si="105"/>
        <v>-</v>
      </c>
      <c r="BP117" s="789" t="str">
        <f t="shared" si="106"/>
        <v>-</v>
      </c>
      <c r="BQ117" s="34" t="s">
        <v>64</v>
      </c>
      <c r="BR117" s="25">
        <v>2.6966345057058949</v>
      </c>
      <c r="BS117" s="26">
        <v>2.9726731013779308</v>
      </c>
      <c r="BT117" s="605"/>
      <c r="BU117" s="599">
        <v>0.13313149862764997</v>
      </c>
      <c r="BV117" s="851">
        <v>3.1424431895884321E-2</v>
      </c>
      <c r="BW117" s="851">
        <v>5.2693887974678069E-2</v>
      </c>
      <c r="BX117" s="851">
        <v>0.13006877356482979</v>
      </c>
      <c r="BY117" s="851">
        <v>5.9362914420699854E-3</v>
      </c>
      <c r="BZ117" s="851">
        <v>3.3985576105150198E-2</v>
      </c>
      <c r="CA117" s="851">
        <v>1.9286976218636061E-2</v>
      </c>
      <c r="CB117" s="851">
        <v>2.7228207737710446E-2</v>
      </c>
      <c r="CC117" s="851">
        <v>1.5673256412539461E-2</v>
      </c>
      <c r="CD117" s="851">
        <v>7.2935645690252304E-3</v>
      </c>
      <c r="CE117" s="852">
        <v>18.027014729791304</v>
      </c>
      <c r="CF117" s="852">
        <v>18.834489053231756</v>
      </c>
      <c r="CG117" s="605"/>
      <c r="CH117" s="584">
        <v>49.411999999999999</v>
      </c>
      <c r="CI117" s="576">
        <v>2.8626666666666671</v>
      </c>
      <c r="CJ117" s="576">
        <v>12.590666666666666</v>
      </c>
      <c r="CK117" s="576">
        <v>11.824</v>
      </c>
      <c r="CL117" s="576">
        <v>0.16766666666666666</v>
      </c>
      <c r="CM117" s="576">
        <v>8.6639999999999997</v>
      </c>
      <c r="CN117" s="576">
        <v>10.401666666666666</v>
      </c>
      <c r="CO117" s="576">
        <v>2.1283333333333334</v>
      </c>
      <c r="CP117" s="576">
        <v>0.64166666666666661</v>
      </c>
      <c r="CQ117" s="576">
        <v>0.29233333333333333</v>
      </c>
      <c r="CR117" s="792">
        <v>1.2999999999999999E-2</v>
      </c>
      <c r="CS117" s="793">
        <v>1110</v>
      </c>
      <c r="CT117" s="576">
        <f t="shared" si="107"/>
        <v>99.109000000000009</v>
      </c>
      <c r="CU117" s="576">
        <v>0.61</v>
      </c>
      <c r="CV117" s="591">
        <v>195</v>
      </c>
      <c r="CW117" s="605"/>
      <c r="CX117" s="936" t="s">
        <v>1007</v>
      </c>
      <c r="CY117" s="934" t="s">
        <v>64</v>
      </c>
      <c r="CZ117" s="934" t="s">
        <v>64</v>
      </c>
      <c r="DA117" s="938" t="str">
        <f t="shared" si="108"/>
        <v>-</v>
      </c>
      <c r="DB117" s="936" t="s">
        <v>1007</v>
      </c>
      <c r="DC117" s="934" t="s">
        <v>64</v>
      </c>
      <c r="DD117" s="934" t="s">
        <v>64</v>
      </c>
      <c r="DE117" s="939" t="str">
        <f t="shared" si="109"/>
        <v>-</v>
      </c>
      <c r="DF117" s="9"/>
    </row>
    <row r="118" spans="1:110">
      <c r="A118" s="846" t="s">
        <v>9</v>
      </c>
      <c r="B118" s="41" t="s">
        <v>679</v>
      </c>
      <c r="C118" s="41" t="s">
        <v>1488</v>
      </c>
      <c r="D118" s="34" t="s">
        <v>736</v>
      </c>
      <c r="E118" s="535">
        <v>19.389810000000001</v>
      </c>
      <c r="F118" s="537">
        <v>-155.29229000000001</v>
      </c>
      <c r="G118" s="37" t="s">
        <v>405</v>
      </c>
      <c r="H118" s="37" t="s">
        <v>64</v>
      </c>
      <c r="I118" s="202" t="s">
        <v>779</v>
      </c>
      <c r="J118" t="s">
        <v>885</v>
      </c>
      <c r="K118" s="34">
        <v>2001</v>
      </c>
      <c r="L118" s="51">
        <v>243</v>
      </c>
      <c r="M118" s="52">
        <v>170</v>
      </c>
      <c r="N118" s="838">
        <f t="shared" si="93"/>
        <v>4466435.4787499998</v>
      </c>
      <c r="O118" s="54">
        <v>4466435.4787499998</v>
      </c>
      <c r="P118" s="53" t="s">
        <v>151</v>
      </c>
      <c r="Q118" s="54" t="s">
        <v>151</v>
      </c>
      <c r="R118" s="772">
        <f t="shared" si="94"/>
        <v>0</v>
      </c>
      <c r="S118" s="624" t="s">
        <v>73</v>
      </c>
      <c r="T118" s="37" t="s">
        <v>132</v>
      </c>
      <c r="U118" s="21">
        <v>88.5</v>
      </c>
      <c r="V118" s="552">
        <v>0.96499999999999997</v>
      </c>
      <c r="W118" s="847">
        <v>1.1950000000000001</v>
      </c>
      <c r="X118" s="556" t="s">
        <v>64</v>
      </c>
      <c r="Y118" s="784" t="s">
        <v>64</v>
      </c>
      <c r="Z118" s="784" t="s">
        <v>64</v>
      </c>
      <c r="AA118" s="785" t="s">
        <v>64</v>
      </c>
      <c r="AB118" s="32">
        <f t="shared" si="95"/>
        <v>1263.9905758257553</v>
      </c>
      <c r="AC118" s="6">
        <f t="shared" si="96"/>
        <v>1171.4835</v>
      </c>
      <c r="AD118" s="6">
        <f t="shared" si="97"/>
        <v>92.507075825755237</v>
      </c>
      <c r="AE118" s="6">
        <f t="shared" si="98"/>
        <v>1267.5861712500082</v>
      </c>
      <c r="AF118" s="839">
        <v>0.88700000000000001</v>
      </c>
      <c r="AG118" s="553">
        <f t="shared" si="99"/>
        <v>0.12739571589627952</v>
      </c>
      <c r="AH118" s="32">
        <f t="shared" si="110"/>
        <v>65.843611563229587</v>
      </c>
      <c r="AI118" s="9">
        <v>49.254489851734377</v>
      </c>
      <c r="AJ118" s="9">
        <v>2.1283797689566644</v>
      </c>
      <c r="AK118" s="9">
        <v>11.756381256883504</v>
      </c>
      <c r="AL118" s="9">
        <v>11.502906917669382</v>
      </c>
      <c r="AM118" s="9">
        <v>0.15892438728504393</v>
      </c>
      <c r="AN118" s="9">
        <v>12.437342080883344</v>
      </c>
      <c r="AO118" s="9">
        <v>10.102762948677098</v>
      </c>
      <c r="AP118" s="9">
        <v>1.8779229813998548</v>
      </c>
      <c r="AQ118" s="9">
        <v>0.39127586489798794</v>
      </c>
      <c r="AR118" s="9">
        <v>0.24945093700437276</v>
      </c>
      <c r="AS118" s="6">
        <v>136.1954936819331</v>
      </c>
      <c r="AT118" s="6">
        <v>1198.520344401011</v>
      </c>
      <c r="AU118" s="9">
        <v>98.262000000000015</v>
      </c>
      <c r="AV118" s="8">
        <f t="shared" si="100"/>
        <v>2.301237869034467</v>
      </c>
      <c r="AW118" s="9">
        <f t="shared" si="101"/>
        <v>9.4323836724888928</v>
      </c>
      <c r="AX118" s="8">
        <v>0.61</v>
      </c>
      <c r="AY118" s="789">
        <v>3.0499999999999999E-2</v>
      </c>
      <c r="AZ118" s="6">
        <v>66.525000000000006</v>
      </c>
      <c r="BA118" s="48">
        <v>6.6525000000000007</v>
      </c>
      <c r="BB118" s="6" t="s">
        <v>151</v>
      </c>
      <c r="BC118" s="48" t="s">
        <v>151</v>
      </c>
      <c r="BD118" s="849">
        <v>66.525000000000006</v>
      </c>
      <c r="BE118" s="48">
        <v>6.6525000000000007</v>
      </c>
      <c r="BF118" s="668">
        <v>171.82214772096219</v>
      </c>
      <c r="BG118" s="48">
        <v>13.67889467324062</v>
      </c>
      <c r="BH118" s="48">
        <v>13.709169724058484</v>
      </c>
      <c r="BI118" s="850">
        <f t="shared" si="102"/>
        <v>0.75360692809125851</v>
      </c>
      <c r="BJ118" s="789">
        <f t="shared" si="103"/>
        <v>5.8873604617974973E-2</v>
      </c>
      <c r="BK118" s="67" t="s">
        <v>64</v>
      </c>
      <c r="BL118" s="48" t="s">
        <v>64</v>
      </c>
      <c r="BM118" s="48" t="s">
        <v>64</v>
      </c>
      <c r="BN118" s="850" t="str">
        <f t="shared" si="104"/>
        <v>-</v>
      </c>
      <c r="BO118" s="789" t="str">
        <f t="shared" si="105"/>
        <v>-</v>
      </c>
      <c r="BP118" s="789" t="str">
        <f t="shared" si="106"/>
        <v>-</v>
      </c>
      <c r="BQ118" s="34" t="s">
        <v>64</v>
      </c>
      <c r="BR118" s="25">
        <v>2.6920363498880291</v>
      </c>
      <c r="BS118" s="26">
        <v>2.953588195224977</v>
      </c>
      <c r="BT118" s="605"/>
      <c r="BU118" s="599">
        <v>0.13439378436334851</v>
      </c>
      <c r="BV118" s="851">
        <v>2.5767555355136609E-2</v>
      </c>
      <c r="BW118" s="851">
        <v>5.480714698157492E-2</v>
      </c>
      <c r="BX118" s="851">
        <v>0.12516055178372315</v>
      </c>
      <c r="BY118" s="851">
        <v>5.615205509183519E-3</v>
      </c>
      <c r="BZ118" s="851">
        <v>3.2663018172865349E-2</v>
      </c>
      <c r="CA118" s="851">
        <v>2.0787610881004889E-2</v>
      </c>
      <c r="CB118" s="851">
        <v>2.6735670593607978E-2</v>
      </c>
      <c r="CC118" s="851">
        <v>1.0731744623461777E-2</v>
      </c>
      <c r="CD118" s="851">
        <v>7.0094127166799121E-3</v>
      </c>
      <c r="CE118" s="852">
        <v>20.904638102115769</v>
      </c>
      <c r="CF118" s="852">
        <v>22.510012109726727</v>
      </c>
      <c r="CG118" s="605"/>
      <c r="CH118" s="584">
        <v>49.514000000000003</v>
      </c>
      <c r="CI118" s="576">
        <v>2.3420000000000001</v>
      </c>
      <c r="CJ118" s="576">
        <v>13.035</v>
      </c>
      <c r="CK118" s="576">
        <v>11.281000000000001</v>
      </c>
      <c r="CL118" s="576">
        <v>0.156</v>
      </c>
      <c r="CM118" s="576">
        <v>7.835</v>
      </c>
      <c r="CN118" s="576">
        <v>11.163</v>
      </c>
      <c r="CO118" s="576">
        <v>2.0859999999999999</v>
      </c>
      <c r="CP118" s="576">
        <v>0.43</v>
      </c>
      <c r="CQ118" s="576">
        <v>0.27300000000000002</v>
      </c>
      <c r="CR118" s="792">
        <v>1.4999999999999999E-2</v>
      </c>
      <c r="CS118" s="793">
        <v>1320</v>
      </c>
      <c r="CT118" s="576">
        <f t="shared" si="107"/>
        <v>98.262000000000015</v>
      </c>
      <c r="CU118" s="576">
        <v>0.61</v>
      </c>
      <c r="CV118" s="591">
        <v>75</v>
      </c>
      <c r="CW118" s="605"/>
      <c r="CX118" s="936">
        <v>178.5824534200174</v>
      </c>
      <c r="CY118" s="934">
        <v>14.443936538024985</v>
      </c>
      <c r="CZ118" s="934">
        <v>14.453195292986692</v>
      </c>
      <c r="DA118" s="938">
        <f t="shared" si="108"/>
        <v>0.78268176539427747</v>
      </c>
      <c r="DB118" s="936">
        <v>122.5046784998182</v>
      </c>
      <c r="DC118" s="934">
        <v>10.585593964096006</v>
      </c>
      <c r="DD118" s="934">
        <v>10.724820734553902</v>
      </c>
      <c r="DE118" s="939">
        <f t="shared" si="109"/>
        <v>0.54020596062573478</v>
      </c>
      <c r="DF118" s="9"/>
    </row>
    <row r="119" spans="1:110">
      <c r="A119" s="846" t="s">
        <v>3</v>
      </c>
      <c r="B119" s="41" t="s">
        <v>679</v>
      </c>
      <c r="C119" s="41" t="s">
        <v>1488</v>
      </c>
      <c r="D119" s="34" t="s">
        <v>736</v>
      </c>
      <c r="E119" s="535">
        <v>19.389810000000001</v>
      </c>
      <c r="F119" s="537">
        <v>-155.29229000000001</v>
      </c>
      <c r="G119" s="37" t="s">
        <v>405</v>
      </c>
      <c r="H119" s="37" t="s">
        <v>64</v>
      </c>
      <c r="I119" s="202" t="s">
        <v>779</v>
      </c>
      <c r="J119" t="s">
        <v>885</v>
      </c>
      <c r="K119" s="34">
        <v>2001</v>
      </c>
      <c r="L119" s="51">
        <v>198</v>
      </c>
      <c r="M119" s="52">
        <v>175</v>
      </c>
      <c r="N119" s="838">
        <f t="shared" si="93"/>
        <v>3383513.3062500004</v>
      </c>
      <c r="O119" s="54">
        <v>3383513.3062500004</v>
      </c>
      <c r="P119" s="53" t="s">
        <v>151</v>
      </c>
      <c r="Q119" s="54" t="s">
        <v>151</v>
      </c>
      <c r="R119" s="772">
        <f t="shared" si="94"/>
        <v>0</v>
      </c>
      <c r="S119" s="624" t="s">
        <v>68</v>
      </c>
      <c r="T119" s="37" t="s">
        <v>132</v>
      </c>
      <c r="U119" s="21">
        <v>82.2</v>
      </c>
      <c r="V119" s="552">
        <v>1.52</v>
      </c>
      <c r="W119" s="847">
        <v>0.92500000000000004</v>
      </c>
      <c r="X119" s="556" t="s">
        <v>64</v>
      </c>
      <c r="Y119" s="784" t="s">
        <v>64</v>
      </c>
      <c r="Z119" s="784" t="s">
        <v>64</v>
      </c>
      <c r="AA119" s="785" t="s">
        <v>64</v>
      </c>
      <c r="AB119" s="32">
        <f t="shared" si="95"/>
        <v>1184.181667726677</v>
      </c>
      <c r="AC119" s="6">
        <f t="shared" si="96"/>
        <v>1184.0761500000001</v>
      </c>
      <c r="AD119" s="6">
        <f t="shared" si="97"/>
        <v>0.10551772667690784</v>
      </c>
      <c r="AE119" s="6">
        <f t="shared" si="98"/>
        <v>1171.2462367200096</v>
      </c>
      <c r="AF119" s="848">
        <v>1.0089999999999999</v>
      </c>
      <c r="AG119" s="553">
        <f t="shared" si="99"/>
        <v>-8.9197224975221534E-3</v>
      </c>
      <c r="AH119" s="32">
        <f>100*(AN119/40.3)/((AN119/40.3)+(AL119/71.85))</f>
        <v>54.827989304841047</v>
      </c>
      <c r="AI119" s="9">
        <v>50.99912098115702</v>
      </c>
      <c r="AJ119" s="9">
        <v>2.321939672080735</v>
      </c>
      <c r="AK119" s="9">
        <v>13.168664966351438</v>
      </c>
      <c r="AL119" s="9">
        <v>12.436711133071086</v>
      </c>
      <c r="AM119" s="9">
        <v>0.19362005022521966</v>
      </c>
      <c r="AN119" s="9">
        <v>8.4667496381431331</v>
      </c>
      <c r="AO119" s="9">
        <v>9.4563632281831449</v>
      </c>
      <c r="AP119" s="9">
        <v>2.247893761400289</v>
      </c>
      <c r="AQ119" s="9">
        <v>0.30268767541668706</v>
      </c>
      <c r="AR119" s="9">
        <v>0.25565851593045802</v>
      </c>
      <c r="AS119" s="6">
        <v>91.455789301684547</v>
      </c>
      <c r="AT119" s="6">
        <v>1370.8499680028472</v>
      </c>
      <c r="AU119" s="9">
        <v>99.933500000000009</v>
      </c>
      <c r="AV119" s="8">
        <f t="shared" si="100"/>
        <v>2.4880520055068338</v>
      </c>
      <c r="AW119" s="9">
        <f t="shared" si="101"/>
        <v>10.198103129118291</v>
      </c>
      <c r="AX119" s="8">
        <v>0.49</v>
      </c>
      <c r="AY119" s="789">
        <v>2.4500000000000001E-2</v>
      </c>
      <c r="AZ119" s="6">
        <v>45</v>
      </c>
      <c r="BA119" s="48">
        <v>4.5</v>
      </c>
      <c r="BB119" s="6" t="s">
        <v>151</v>
      </c>
      <c r="BC119" s="48" t="s">
        <v>151</v>
      </c>
      <c r="BD119" s="849">
        <v>45</v>
      </c>
      <c r="BE119" s="48">
        <v>4.5</v>
      </c>
      <c r="BF119" s="668">
        <v>141.80128646091779</v>
      </c>
      <c r="BG119" s="48">
        <v>11.008677184505899</v>
      </c>
      <c r="BH119" s="48">
        <v>11.029105732586487</v>
      </c>
      <c r="BI119" s="850">
        <f t="shared" si="102"/>
        <v>0.62397688981706523</v>
      </c>
      <c r="BJ119" s="789">
        <f t="shared" si="103"/>
        <v>4.7690758700835001E-2</v>
      </c>
      <c r="BK119" s="67" t="s">
        <v>64</v>
      </c>
      <c r="BL119" s="48" t="s">
        <v>64</v>
      </c>
      <c r="BM119" s="48" t="s">
        <v>64</v>
      </c>
      <c r="BN119" s="850" t="str">
        <f t="shared" si="104"/>
        <v>-</v>
      </c>
      <c r="BO119" s="789" t="str">
        <f t="shared" si="105"/>
        <v>-</v>
      </c>
      <c r="BP119" s="789" t="str">
        <f t="shared" si="106"/>
        <v>-</v>
      </c>
      <c r="BQ119" s="34" t="s">
        <v>64</v>
      </c>
      <c r="BR119" s="25">
        <v>2.6919971331898802</v>
      </c>
      <c r="BS119" s="26">
        <v>2.9534230538271609</v>
      </c>
      <c r="BT119" s="605"/>
      <c r="BU119" s="599">
        <v>0.13915411343196754</v>
      </c>
      <c r="BV119" s="851">
        <v>2.811091794062542E-2</v>
      </c>
      <c r="BW119" s="851">
        <v>6.1391081200208086E-2</v>
      </c>
      <c r="BX119" s="851">
        <v>0.13532106613841327</v>
      </c>
      <c r="BY119" s="851">
        <v>6.8410921148497573E-3</v>
      </c>
      <c r="BZ119" s="851">
        <v>2.2235425824689445E-2</v>
      </c>
      <c r="CA119" s="851">
        <v>1.945756820540414E-2</v>
      </c>
      <c r="CB119" s="851">
        <v>3.2002881763247365E-2</v>
      </c>
      <c r="CC119" s="851">
        <v>8.3019862062999397E-3</v>
      </c>
      <c r="CD119" s="851">
        <v>7.1838417374197041E-3</v>
      </c>
      <c r="CE119" s="852">
        <v>14.037543578056587</v>
      </c>
      <c r="CF119" s="852">
        <v>25.746621260554846</v>
      </c>
      <c r="CG119" s="605"/>
      <c r="CH119" s="584">
        <v>50.967500000000001</v>
      </c>
      <c r="CI119" s="576">
        <v>2.3205</v>
      </c>
      <c r="CJ119" s="576">
        <v>13.160500000000001</v>
      </c>
      <c r="CK119" s="576">
        <v>12.429</v>
      </c>
      <c r="CL119" s="576">
        <v>0.19350000000000001</v>
      </c>
      <c r="CM119" s="576">
        <v>8.4615000000000009</v>
      </c>
      <c r="CN119" s="576">
        <v>9.4504999999999999</v>
      </c>
      <c r="CO119" s="576">
        <v>2.2465000000000002</v>
      </c>
      <c r="CP119" s="576">
        <v>0.30249999999999999</v>
      </c>
      <c r="CQ119" s="576">
        <v>0.2555</v>
      </c>
      <c r="CR119" s="792">
        <v>8.9999999999999993E-3</v>
      </c>
      <c r="CS119" s="793">
        <v>1370</v>
      </c>
      <c r="CT119" s="576">
        <f t="shared" si="107"/>
        <v>99.933500000000009</v>
      </c>
      <c r="CU119" s="576">
        <v>0.49</v>
      </c>
      <c r="CV119" s="591">
        <v>45</v>
      </c>
      <c r="CW119" s="605"/>
      <c r="CX119" s="936">
        <v>119.1406201309362</v>
      </c>
      <c r="CY119" s="934">
        <v>9.7708273182924898</v>
      </c>
      <c r="CZ119" s="934">
        <v>9.7761400215738945</v>
      </c>
      <c r="DA119" s="938">
        <f t="shared" si="108"/>
        <v>0.5255656466906562</v>
      </c>
      <c r="DB119" s="936">
        <v>120.42929247818179</v>
      </c>
      <c r="DC119" s="934">
        <v>10.406260456079593</v>
      </c>
      <c r="DD119" s="934">
        <v>10.54312854687889</v>
      </c>
      <c r="DE119" s="939">
        <f t="shared" si="109"/>
        <v>0.53117519581366179</v>
      </c>
      <c r="DF119" s="9"/>
    </row>
    <row r="120" spans="1:110">
      <c r="A120" s="846" t="s">
        <v>10</v>
      </c>
      <c r="B120" s="41" t="s">
        <v>679</v>
      </c>
      <c r="C120" s="41" t="s">
        <v>1488</v>
      </c>
      <c r="D120" s="34" t="s">
        <v>736</v>
      </c>
      <c r="E120" s="535">
        <v>19.389810000000001</v>
      </c>
      <c r="F120" s="537">
        <v>-155.29229000000001</v>
      </c>
      <c r="G120" s="37" t="s">
        <v>405</v>
      </c>
      <c r="H120" s="37" t="s">
        <v>64</v>
      </c>
      <c r="I120" s="202" t="s">
        <v>779</v>
      </c>
      <c r="J120" t="s">
        <v>885</v>
      </c>
      <c r="K120" s="34">
        <v>2001</v>
      </c>
      <c r="L120" s="51">
        <v>580</v>
      </c>
      <c r="M120" s="52">
        <v>290</v>
      </c>
      <c r="N120" s="838">
        <f t="shared" si="93"/>
        <v>38309021.750000007</v>
      </c>
      <c r="O120" s="54">
        <v>38129427.369969793</v>
      </c>
      <c r="P120" s="53">
        <v>70</v>
      </c>
      <c r="Q120" s="54">
        <v>179594.38003021647</v>
      </c>
      <c r="R120" s="772">
        <f t="shared" si="94"/>
        <v>4.6880440122493193E-3</v>
      </c>
      <c r="S120" s="624" t="s">
        <v>74</v>
      </c>
      <c r="T120" s="37" t="s">
        <v>132</v>
      </c>
      <c r="U120" s="21">
        <v>84</v>
      </c>
      <c r="V120" s="552">
        <v>0.82</v>
      </c>
      <c r="W120" s="847">
        <v>1.02</v>
      </c>
      <c r="X120" s="556" t="s">
        <v>423</v>
      </c>
      <c r="Y120" s="784" t="s">
        <v>64</v>
      </c>
      <c r="Z120" s="784" t="s">
        <v>64</v>
      </c>
      <c r="AA120" s="785" t="s">
        <v>64</v>
      </c>
      <c r="AB120" s="32">
        <f t="shared" si="95"/>
        <v>1172.4438952017529</v>
      </c>
      <c r="AC120" s="6">
        <f t="shared" si="96"/>
        <v>1171.4131500000001</v>
      </c>
      <c r="AD120" s="6">
        <f t="shared" si="97"/>
        <v>1.0307452017527794</v>
      </c>
      <c r="AE120" s="6">
        <f t="shared" si="98"/>
        <v>1191.5865600000034</v>
      </c>
      <c r="AF120" s="848">
        <v>1.0109999999999999</v>
      </c>
      <c r="AG120" s="553">
        <f t="shared" si="99"/>
        <v>-1.0880316518298572E-2</v>
      </c>
      <c r="AH120" s="32">
        <f>100*(AN120/40.3)/((AN120/40.3)+(AL120/71.85))</f>
        <v>58.263459963648323</v>
      </c>
      <c r="AI120" s="9">
        <v>51.941904269060458</v>
      </c>
      <c r="AJ120" s="9">
        <v>2.7760594522530955</v>
      </c>
      <c r="AK120" s="9">
        <v>13.816381461694025</v>
      </c>
      <c r="AL120" s="9">
        <v>10.067493343522646</v>
      </c>
      <c r="AM120" s="9">
        <v>0.15802803988532851</v>
      </c>
      <c r="AN120" s="9">
        <v>7.8827808558086003</v>
      </c>
      <c r="AO120" s="9">
        <v>10.015152846235786</v>
      </c>
      <c r="AP120" s="9">
        <v>2.4977489234104633</v>
      </c>
      <c r="AQ120" s="9">
        <v>0.39205045563907936</v>
      </c>
      <c r="AR120" s="9">
        <v>0.2924022011890951</v>
      </c>
      <c r="AS120" s="6">
        <v>122.8486636169597</v>
      </c>
      <c r="AT120" s="6">
        <v>1414.1999747699781</v>
      </c>
      <c r="AU120" s="9">
        <v>99.342999999999989</v>
      </c>
      <c r="AV120" s="8">
        <f t="shared" si="100"/>
        <v>2.0140732333302034</v>
      </c>
      <c r="AW120" s="9">
        <f t="shared" si="101"/>
        <v>8.2553445416885705</v>
      </c>
      <c r="AX120" s="8">
        <v>0.55000000000000004</v>
      </c>
      <c r="AY120" s="789">
        <v>2.7500000000000004E-2</v>
      </c>
      <c r="AZ120" s="6">
        <v>65</v>
      </c>
      <c r="BA120" s="48">
        <v>6.5</v>
      </c>
      <c r="BB120" s="6" t="s">
        <v>64</v>
      </c>
      <c r="BC120" s="48" t="s">
        <v>64</v>
      </c>
      <c r="BD120" s="849" t="s">
        <v>1007</v>
      </c>
      <c r="BE120" s="48" t="s">
        <v>1007</v>
      </c>
      <c r="BF120" s="668" t="s">
        <v>1007</v>
      </c>
      <c r="BG120" s="48" t="s">
        <v>64</v>
      </c>
      <c r="BH120" s="48" t="s">
        <v>64</v>
      </c>
      <c r="BI120" s="850" t="str">
        <f t="shared" si="102"/>
        <v>-</v>
      </c>
      <c r="BJ120" s="789" t="str">
        <f t="shared" si="103"/>
        <v>-</v>
      </c>
      <c r="BK120" s="67" t="s">
        <v>64</v>
      </c>
      <c r="BL120" s="48" t="s">
        <v>64</v>
      </c>
      <c r="BM120" s="48" t="s">
        <v>64</v>
      </c>
      <c r="BN120" s="850" t="str">
        <f t="shared" si="104"/>
        <v>-</v>
      </c>
      <c r="BO120" s="789" t="str">
        <f t="shared" si="105"/>
        <v>-</v>
      </c>
      <c r="BP120" s="789" t="str">
        <f t="shared" si="106"/>
        <v>-</v>
      </c>
      <c r="BQ120" s="34" t="s">
        <v>64</v>
      </c>
      <c r="BR120" s="25">
        <v>2.6525867509241601</v>
      </c>
      <c r="BS120" s="26">
        <v>2.904867951094841</v>
      </c>
      <c r="BT120" s="605"/>
      <c r="BU120" s="599">
        <v>0.14172655331059114</v>
      </c>
      <c r="BV120" s="851">
        <v>3.3608788548176768E-2</v>
      </c>
      <c r="BW120" s="851">
        <v>6.4410674762797465E-2</v>
      </c>
      <c r="BX120" s="851">
        <v>0.10954213843273934</v>
      </c>
      <c r="BY120" s="851">
        <v>5.583535260563985E-3</v>
      </c>
      <c r="BZ120" s="851">
        <v>2.0701803703038823E-2</v>
      </c>
      <c r="CA120" s="851">
        <v>2.0607342896093547E-2</v>
      </c>
      <c r="CB120" s="851">
        <v>3.5560027276551158E-2</v>
      </c>
      <c r="CC120" s="851">
        <v>1.075298976216528E-2</v>
      </c>
      <c r="CD120" s="851">
        <v>8.2163159297497981E-3</v>
      </c>
      <c r="CE120" s="852">
        <v>18.856033961289345</v>
      </c>
      <c r="CF120" s="852">
        <v>26.560799494444179</v>
      </c>
      <c r="CG120" s="605"/>
      <c r="CH120" s="584">
        <v>51.603999999999999</v>
      </c>
      <c r="CI120" s="576">
        <v>2.758</v>
      </c>
      <c r="CJ120" s="576">
        <v>13.7265</v>
      </c>
      <c r="CK120" s="576">
        <v>10.001999999999999</v>
      </c>
      <c r="CL120" s="576">
        <v>0.157</v>
      </c>
      <c r="CM120" s="576">
        <v>7.8315000000000001</v>
      </c>
      <c r="CN120" s="576">
        <v>9.9499999999999993</v>
      </c>
      <c r="CO120" s="576">
        <v>2.4815</v>
      </c>
      <c r="CP120" s="576">
        <v>0.38950000000000001</v>
      </c>
      <c r="CQ120" s="576">
        <v>0.29049999999999998</v>
      </c>
      <c r="CR120" s="792">
        <v>1.2E-2</v>
      </c>
      <c r="CS120" s="793">
        <v>1405.0000000000002</v>
      </c>
      <c r="CT120" s="576">
        <f t="shared" si="107"/>
        <v>99.342999999999989</v>
      </c>
      <c r="CU120" s="576">
        <v>0.55000000000000004</v>
      </c>
      <c r="CV120" s="591">
        <v>65</v>
      </c>
      <c r="CW120" s="605"/>
      <c r="CX120" s="936" t="s">
        <v>1007</v>
      </c>
      <c r="CY120" s="934" t="s">
        <v>64</v>
      </c>
      <c r="CZ120" s="934" t="s">
        <v>64</v>
      </c>
      <c r="DA120" s="938" t="str">
        <f t="shared" si="108"/>
        <v>-</v>
      </c>
      <c r="DB120" s="936" t="s">
        <v>1007</v>
      </c>
      <c r="DC120" s="934" t="s">
        <v>64</v>
      </c>
      <c r="DD120" s="934" t="s">
        <v>64</v>
      </c>
      <c r="DE120" s="939" t="str">
        <f t="shared" si="109"/>
        <v>-</v>
      </c>
      <c r="DF120" s="9"/>
    </row>
    <row r="121" spans="1:110">
      <c r="A121" s="846" t="s">
        <v>4</v>
      </c>
      <c r="B121" s="41" t="s">
        <v>679</v>
      </c>
      <c r="C121" s="41" t="s">
        <v>1488</v>
      </c>
      <c r="D121" s="34" t="s">
        <v>736</v>
      </c>
      <c r="E121" s="535">
        <v>19.389810000000001</v>
      </c>
      <c r="F121" s="537">
        <v>-155.29229000000001</v>
      </c>
      <c r="G121" s="37" t="s">
        <v>405</v>
      </c>
      <c r="H121" s="37" t="s">
        <v>64</v>
      </c>
      <c r="I121" s="202" t="s">
        <v>779</v>
      </c>
      <c r="J121" t="s">
        <v>885</v>
      </c>
      <c r="K121" s="34">
        <v>2001</v>
      </c>
      <c r="L121" s="51">
        <v>199</v>
      </c>
      <c r="M121" s="52">
        <v>185</v>
      </c>
      <c r="N121" s="838">
        <f t="shared" si="93"/>
        <v>3700938.3200000008</v>
      </c>
      <c r="O121" s="54">
        <v>3635488.4730502134</v>
      </c>
      <c r="P121" s="53">
        <v>50</v>
      </c>
      <c r="Q121" s="54">
        <v>65449.846949787352</v>
      </c>
      <c r="R121" s="772">
        <f t="shared" si="94"/>
        <v>1.7684662993731639E-2</v>
      </c>
      <c r="S121" s="624" t="s">
        <v>69</v>
      </c>
      <c r="T121" s="37" t="s">
        <v>132</v>
      </c>
      <c r="U121" s="21">
        <v>86.4</v>
      </c>
      <c r="V121" s="552">
        <v>1.02</v>
      </c>
      <c r="W121" s="847">
        <v>0.7</v>
      </c>
      <c r="X121" s="556" t="s">
        <v>423</v>
      </c>
      <c r="Y121" s="784" t="s">
        <v>64</v>
      </c>
      <c r="Z121" s="784" t="s">
        <v>64</v>
      </c>
      <c r="AA121" s="785" t="s">
        <v>64</v>
      </c>
      <c r="AB121" s="32">
        <f t="shared" si="95"/>
        <v>1230.7254034287366</v>
      </c>
      <c r="AC121" s="6">
        <f t="shared" si="96"/>
        <v>1201.1712</v>
      </c>
      <c r="AD121" s="6">
        <f t="shared" si="97"/>
        <v>29.554203428736628</v>
      </c>
      <c r="AE121" s="6">
        <f t="shared" si="98"/>
        <v>1227.1642521600079</v>
      </c>
      <c r="AF121" s="839">
        <v>0.95899999999999996</v>
      </c>
      <c r="AG121" s="553">
        <f t="shared" si="99"/>
        <v>4.2752867570385877E-2</v>
      </c>
      <c r="AH121" s="32">
        <f t="shared" si="110"/>
        <v>61.382169378883511</v>
      </c>
      <c r="AI121" s="9">
        <v>49.520171637670643</v>
      </c>
      <c r="AJ121" s="9">
        <v>2.3079901206179696</v>
      </c>
      <c r="AK121" s="9">
        <v>12.217054941004362</v>
      </c>
      <c r="AL121" s="9">
        <v>12.09431091540916</v>
      </c>
      <c r="AM121" s="9">
        <v>0.18109774268144488</v>
      </c>
      <c r="AN121" s="9">
        <v>10.782358379539138</v>
      </c>
      <c r="AO121" s="9">
        <v>10.123363815892768</v>
      </c>
      <c r="AP121" s="9">
        <v>2.03131301374354</v>
      </c>
      <c r="AQ121" s="9">
        <v>0.3662198796446996</v>
      </c>
      <c r="AR121" s="9">
        <v>0.21228679836547146</v>
      </c>
      <c r="AS121" s="6">
        <v>134.47968706308274</v>
      </c>
      <c r="AT121" s="6">
        <v>1354.4025625639047</v>
      </c>
      <c r="AU121" s="9">
        <v>100.44550000000002</v>
      </c>
      <c r="AV121" s="8">
        <f t="shared" si="100"/>
        <v>2.419552420759354</v>
      </c>
      <c r="AW121" s="9">
        <f t="shared" si="101"/>
        <v>9.917334950635512</v>
      </c>
      <c r="AX121" s="8">
        <v>0.56942725477287692</v>
      </c>
      <c r="AY121" s="789">
        <v>2.8471362738643848E-2</v>
      </c>
      <c r="AZ121" s="6">
        <v>148.53942652329749</v>
      </c>
      <c r="BA121" s="48">
        <v>14.853942652329749</v>
      </c>
      <c r="BB121" s="6" t="s">
        <v>64</v>
      </c>
      <c r="BC121" s="48" t="s">
        <v>64</v>
      </c>
      <c r="BD121" s="849" t="s">
        <v>1007</v>
      </c>
      <c r="BE121" s="48" t="s">
        <v>1007</v>
      </c>
      <c r="BF121" s="668" t="s">
        <v>1007</v>
      </c>
      <c r="BG121" s="48" t="s">
        <v>64</v>
      </c>
      <c r="BH121" s="48" t="s">
        <v>64</v>
      </c>
      <c r="BI121" s="850" t="str">
        <f t="shared" si="102"/>
        <v>-</v>
      </c>
      <c r="BJ121" s="789" t="str">
        <f t="shared" si="103"/>
        <v>-</v>
      </c>
      <c r="BK121" s="67" t="s">
        <v>64</v>
      </c>
      <c r="BL121" s="48" t="s">
        <v>64</v>
      </c>
      <c r="BM121" s="48" t="s">
        <v>64</v>
      </c>
      <c r="BN121" s="850" t="str">
        <f t="shared" si="104"/>
        <v>-</v>
      </c>
      <c r="BO121" s="789" t="str">
        <f t="shared" si="105"/>
        <v>-</v>
      </c>
      <c r="BP121" s="789" t="str">
        <f t="shared" si="106"/>
        <v>-</v>
      </c>
      <c r="BQ121" s="34" t="s">
        <v>64</v>
      </c>
      <c r="BR121" s="25">
        <v>2.698859157346035</v>
      </c>
      <c r="BS121" s="26">
        <v>2.97842016739135</v>
      </c>
      <c r="BT121" s="605"/>
      <c r="BU121" s="599">
        <v>0.13511871280653956</v>
      </c>
      <c r="BV121" s="851">
        <v>2.7942035561296881E-2</v>
      </c>
      <c r="BW121" s="851">
        <v>5.6954764497923527E-2</v>
      </c>
      <c r="BX121" s="851">
        <v>0.13159548611936567</v>
      </c>
      <c r="BY121" s="851">
        <v>6.3986469274954832E-3</v>
      </c>
      <c r="BZ121" s="851">
        <v>2.8316690608562924E-2</v>
      </c>
      <c r="CA121" s="851">
        <v>2.0829999563553029E-2</v>
      </c>
      <c r="CB121" s="851">
        <v>2.891945843672104E-2</v>
      </c>
      <c r="CC121" s="851">
        <v>1.0044519933286674E-2</v>
      </c>
      <c r="CD121" s="851">
        <v>5.965124051709278E-3</v>
      </c>
      <c r="CE121" s="852">
        <v>20.641279047784298</v>
      </c>
      <c r="CF121" s="852">
        <v>25.437714284270506</v>
      </c>
      <c r="CG121" s="605"/>
      <c r="CH121" s="584">
        <v>50.146999999999998</v>
      </c>
      <c r="CI121" s="576">
        <v>2.4125000000000001</v>
      </c>
      <c r="CJ121" s="576">
        <v>12.7995</v>
      </c>
      <c r="CK121" s="576">
        <v>12.1265</v>
      </c>
      <c r="CL121" s="576">
        <v>0.17649999999999999</v>
      </c>
      <c r="CM121" s="576">
        <v>9.3120000000000012</v>
      </c>
      <c r="CN121" s="576">
        <v>10.590499999999999</v>
      </c>
      <c r="CO121" s="576">
        <v>2.1230000000000002</v>
      </c>
      <c r="CP121" s="576">
        <v>0.3785</v>
      </c>
      <c r="CQ121" s="576">
        <v>0.22450000000000001</v>
      </c>
      <c r="CR121" s="792">
        <v>1.4E-2</v>
      </c>
      <c r="CS121" s="793">
        <v>1409.9999999999998</v>
      </c>
      <c r="CT121" s="576">
        <f t="shared" si="107"/>
        <v>100.44550000000002</v>
      </c>
      <c r="CU121" s="576">
        <v>0.56942725477287692</v>
      </c>
      <c r="CV121" s="591">
        <v>154.88991295442909</v>
      </c>
      <c r="CW121" s="605"/>
      <c r="CX121" s="936" t="s">
        <v>1007</v>
      </c>
      <c r="CY121" s="934" t="s">
        <v>64</v>
      </c>
      <c r="CZ121" s="934" t="s">
        <v>64</v>
      </c>
      <c r="DA121" s="938" t="str">
        <f t="shared" si="108"/>
        <v>-</v>
      </c>
      <c r="DB121" s="936" t="s">
        <v>1007</v>
      </c>
      <c r="DC121" s="934" t="s">
        <v>64</v>
      </c>
      <c r="DD121" s="934" t="s">
        <v>64</v>
      </c>
      <c r="DE121" s="939" t="str">
        <f t="shared" si="109"/>
        <v>-</v>
      </c>
      <c r="DF121" s="9"/>
    </row>
    <row r="122" spans="1:110">
      <c r="A122" s="846" t="s">
        <v>11</v>
      </c>
      <c r="B122" s="41" t="s">
        <v>679</v>
      </c>
      <c r="C122" s="41" t="s">
        <v>1488</v>
      </c>
      <c r="D122" s="34" t="s">
        <v>736</v>
      </c>
      <c r="E122" s="535">
        <v>19.389810000000001</v>
      </c>
      <c r="F122" s="537">
        <v>-155.29229000000001</v>
      </c>
      <c r="G122" s="37" t="s">
        <v>405</v>
      </c>
      <c r="H122" s="37" t="s">
        <v>64</v>
      </c>
      <c r="I122" s="202" t="s">
        <v>779</v>
      </c>
      <c r="J122" t="s">
        <v>885</v>
      </c>
      <c r="K122" s="34">
        <v>2001</v>
      </c>
      <c r="L122" s="51">
        <v>290</v>
      </c>
      <c r="M122" s="52">
        <v>175</v>
      </c>
      <c r="N122" s="838">
        <f t="shared" si="93"/>
        <v>6177956.0937500009</v>
      </c>
      <c r="O122" s="54">
        <v>6090842.3474598341</v>
      </c>
      <c r="P122" s="53">
        <v>55</v>
      </c>
      <c r="Q122" s="54">
        <v>87113.746290166964</v>
      </c>
      <c r="R122" s="772">
        <f t="shared" si="94"/>
        <v>1.4100738977134618E-2</v>
      </c>
      <c r="S122" s="624" t="s">
        <v>75</v>
      </c>
      <c r="T122" s="37" t="s">
        <v>132</v>
      </c>
      <c r="U122" s="21">
        <v>88.6</v>
      </c>
      <c r="V122" s="552">
        <v>1.6</v>
      </c>
      <c r="W122" s="847">
        <v>1.07</v>
      </c>
      <c r="X122" s="556" t="s">
        <v>423</v>
      </c>
      <c r="Y122" s="784" t="s">
        <v>64</v>
      </c>
      <c r="Z122" s="784" t="s">
        <v>64</v>
      </c>
      <c r="AA122" s="785" t="s">
        <v>64</v>
      </c>
      <c r="AB122" s="32">
        <f t="shared" si="95"/>
        <v>1252.76377158849</v>
      </c>
      <c r="AC122" s="6">
        <f t="shared" si="96"/>
        <v>1216.1557499999999</v>
      </c>
      <c r="AD122" s="6">
        <f t="shared" si="97"/>
        <v>36.608021588490146</v>
      </c>
      <c r="AE122" s="6">
        <f t="shared" si="98"/>
        <v>1269.7504978400029</v>
      </c>
      <c r="AF122" s="839">
        <v>0.95399999999999996</v>
      </c>
      <c r="AG122" s="553">
        <f t="shared" si="99"/>
        <v>4.8218029350104885E-2</v>
      </c>
      <c r="AH122" s="32">
        <f t="shared" si="110"/>
        <v>66.041589619230038</v>
      </c>
      <c r="AI122" s="9">
        <v>49.303838385780701</v>
      </c>
      <c r="AJ122" s="9">
        <v>2.4113711612062096</v>
      </c>
      <c r="AK122" s="9">
        <v>12.389840309309838</v>
      </c>
      <c r="AL122" s="9">
        <v>10.889901051338015</v>
      </c>
      <c r="AM122" s="9">
        <v>0.1700132358130369</v>
      </c>
      <c r="AN122" s="9">
        <v>11.878794606392542</v>
      </c>
      <c r="AO122" s="9">
        <v>10.106230573832951</v>
      </c>
      <c r="AP122" s="9">
        <v>2.0964945765347274</v>
      </c>
      <c r="AQ122" s="9">
        <v>0.38328427718797081</v>
      </c>
      <c r="AR122" s="9">
        <v>0.22031300972221945</v>
      </c>
      <c r="AS122" s="6">
        <v>164.64236000991417</v>
      </c>
      <c r="AT122" s="6">
        <v>1268.7146565469857</v>
      </c>
      <c r="AU122" s="9">
        <v>99.094999999999999</v>
      </c>
      <c r="AV122" s="8">
        <f t="shared" si="100"/>
        <v>2.1786017107451983</v>
      </c>
      <c r="AW122" s="9">
        <f t="shared" si="101"/>
        <v>8.9297188620971717</v>
      </c>
      <c r="AX122" s="8">
        <v>0.55747003563330089</v>
      </c>
      <c r="AY122" s="789">
        <v>2.7873501781665047E-2</v>
      </c>
      <c r="AZ122" s="6">
        <v>65.438775510204081</v>
      </c>
      <c r="BA122" s="48">
        <v>6.5438775510204081</v>
      </c>
      <c r="BB122" s="6" t="s">
        <v>64</v>
      </c>
      <c r="BC122" s="48" t="s">
        <v>64</v>
      </c>
      <c r="BD122" s="849" t="s">
        <v>1007</v>
      </c>
      <c r="BE122" s="48" t="s">
        <v>1007</v>
      </c>
      <c r="BF122" s="668" t="s">
        <v>1007</v>
      </c>
      <c r="BG122" s="48" t="s">
        <v>64</v>
      </c>
      <c r="BH122" s="48" t="s">
        <v>64</v>
      </c>
      <c r="BI122" s="850" t="str">
        <f t="shared" si="102"/>
        <v>-</v>
      </c>
      <c r="BJ122" s="789" t="str">
        <f t="shared" si="103"/>
        <v>-</v>
      </c>
      <c r="BK122" s="67" t="s">
        <v>64</v>
      </c>
      <c r="BL122" s="48" t="s">
        <v>64</v>
      </c>
      <c r="BM122" s="48" t="s">
        <v>64</v>
      </c>
      <c r="BN122" s="850" t="str">
        <f t="shared" si="104"/>
        <v>-</v>
      </c>
      <c r="BO122" s="789" t="str">
        <f t="shared" si="105"/>
        <v>-</v>
      </c>
      <c r="BP122" s="789" t="str">
        <f t="shared" si="106"/>
        <v>-</v>
      </c>
      <c r="BQ122" s="34" t="s">
        <v>64</v>
      </c>
      <c r="BR122" s="25">
        <v>2.686315620553215</v>
      </c>
      <c r="BS122" s="26">
        <v>2.9729934197283829</v>
      </c>
      <c r="BT122" s="605"/>
      <c r="BU122" s="599">
        <v>0.13452843475285073</v>
      </c>
      <c r="BV122" s="851">
        <v>2.9193633948428204E-2</v>
      </c>
      <c r="BW122" s="851">
        <v>5.7760273682260256E-2</v>
      </c>
      <c r="BX122" s="851">
        <v>0.1184905723580148</v>
      </c>
      <c r="BY122" s="851">
        <v>6.0070029193142133E-3</v>
      </c>
      <c r="BZ122" s="851">
        <v>3.1196157633768127E-2</v>
      </c>
      <c r="CA122" s="851">
        <v>2.0794745923446965E-2</v>
      </c>
      <c r="CB122" s="851">
        <v>2.984743727761191E-2</v>
      </c>
      <c r="CC122" s="851">
        <v>1.0512554823798924E-2</v>
      </c>
      <c r="CD122" s="851">
        <v>6.1906554873749778E-3</v>
      </c>
      <c r="CE122" s="852">
        <v>25.27094589725094</v>
      </c>
      <c r="CF122" s="852">
        <v>23.828366715738447</v>
      </c>
      <c r="CG122" s="605"/>
      <c r="CH122" s="584">
        <v>49.288499999999999</v>
      </c>
      <c r="CI122" s="576">
        <v>2.5</v>
      </c>
      <c r="CJ122" s="576">
        <v>12.871500000000001</v>
      </c>
      <c r="CK122" s="576">
        <v>10.762</v>
      </c>
      <c r="CL122" s="576">
        <v>0.17299999999999999</v>
      </c>
      <c r="CM122" s="576">
        <v>10.057499999999999</v>
      </c>
      <c r="CN122" s="576">
        <v>10.481999999999999</v>
      </c>
      <c r="CO122" s="576">
        <v>2.1814999999999998</v>
      </c>
      <c r="CP122" s="576">
        <v>0.40149999999999997</v>
      </c>
      <c r="CQ122" s="576">
        <v>0.22950000000000001</v>
      </c>
      <c r="CR122" s="792">
        <v>1.7000000000000001E-2</v>
      </c>
      <c r="CS122" s="793">
        <v>1310</v>
      </c>
      <c r="CT122" s="576">
        <f t="shared" si="107"/>
        <v>99.094999999999999</v>
      </c>
      <c r="CU122" s="576">
        <v>0.55747003563330089</v>
      </c>
      <c r="CV122" s="591">
        <v>68.59410430839003</v>
      </c>
      <c r="CW122" s="605"/>
      <c r="CX122" s="936" t="s">
        <v>1007</v>
      </c>
      <c r="CY122" s="934" t="s">
        <v>64</v>
      </c>
      <c r="CZ122" s="934" t="s">
        <v>64</v>
      </c>
      <c r="DA122" s="938" t="str">
        <f t="shared" si="108"/>
        <v>-</v>
      </c>
      <c r="DB122" s="936" t="s">
        <v>1007</v>
      </c>
      <c r="DC122" s="934" t="s">
        <v>64</v>
      </c>
      <c r="DD122" s="934" t="s">
        <v>64</v>
      </c>
      <c r="DE122" s="939" t="str">
        <f t="shared" si="109"/>
        <v>-</v>
      </c>
      <c r="DF122" s="9"/>
    </row>
    <row r="123" spans="1:110">
      <c r="A123" s="846" t="s">
        <v>12</v>
      </c>
      <c r="B123" s="41" t="s">
        <v>679</v>
      </c>
      <c r="C123" s="41" t="s">
        <v>1488</v>
      </c>
      <c r="D123" s="34" t="s">
        <v>736</v>
      </c>
      <c r="E123" s="535">
        <v>19.389810000000001</v>
      </c>
      <c r="F123" s="537">
        <v>-155.29229000000001</v>
      </c>
      <c r="G123" s="37" t="s">
        <v>405</v>
      </c>
      <c r="H123" s="37" t="s">
        <v>64</v>
      </c>
      <c r="I123" s="202" t="s">
        <v>779</v>
      </c>
      <c r="J123" t="s">
        <v>885</v>
      </c>
      <c r="K123" s="34">
        <v>2001</v>
      </c>
      <c r="L123" s="51">
        <v>178</v>
      </c>
      <c r="M123" s="52">
        <v>140</v>
      </c>
      <c r="N123" s="838">
        <f t="shared" si="93"/>
        <v>2074583.7700000003</v>
      </c>
      <c r="O123" s="54">
        <v>2074583.7700000003</v>
      </c>
      <c r="P123" s="53" t="s">
        <v>151</v>
      </c>
      <c r="Q123" s="54" t="s">
        <v>151</v>
      </c>
      <c r="R123" s="772">
        <f t="shared" si="94"/>
        <v>0</v>
      </c>
      <c r="S123" s="624" t="s">
        <v>75</v>
      </c>
      <c r="T123" s="37" t="s">
        <v>132</v>
      </c>
      <c r="U123" s="21">
        <v>88.6</v>
      </c>
      <c r="V123" s="552">
        <v>1.6</v>
      </c>
      <c r="W123" s="847">
        <v>1.07</v>
      </c>
      <c r="X123" s="556" t="s">
        <v>64</v>
      </c>
      <c r="Y123" s="784" t="s">
        <v>64</v>
      </c>
      <c r="Z123" s="784" t="s">
        <v>64</v>
      </c>
      <c r="AA123" s="785" t="s">
        <v>64</v>
      </c>
      <c r="AB123" s="32">
        <f t="shared" si="95"/>
        <v>1251.4489444185519</v>
      </c>
      <c r="AC123" s="6">
        <f t="shared" si="96"/>
        <v>1215.6432</v>
      </c>
      <c r="AD123" s="6">
        <f t="shared" si="97"/>
        <v>35.805744418551967</v>
      </c>
      <c r="AE123" s="6">
        <f t="shared" si="98"/>
        <v>1269.7504978400029</v>
      </c>
      <c r="AF123" s="839">
        <v>0.95299999999999996</v>
      </c>
      <c r="AG123" s="553">
        <f t="shared" si="99"/>
        <v>4.9317943336831149E-2</v>
      </c>
      <c r="AH123" s="32">
        <f t="shared" si="110"/>
        <v>66.021448436059359</v>
      </c>
      <c r="AI123" s="9">
        <v>49.557049966975327</v>
      </c>
      <c r="AJ123" s="9">
        <v>2.4463675865644459</v>
      </c>
      <c r="AK123" s="9">
        <v>12.256985625940697</v>
      </c>
      <c r="AL123" s="9">
        <v>10.839661641783909</v>
      </c>
      <c r="AM123" s="9">
        <v>0.15088615871080052</v>
      </c>
      <c r="AN123" s="9">
        <v>11.813380319330943</v>
      </c>
      <c r="AO123" s="9">
        <v>9.9484273976654496</v>
      </c>
      <c r="AP123" s="9">
        <v>2.1415775459686293</v>
      </c>
      <c r="AQ123" s="9">
        <v>0.44964075295818556</v>
      </c>
      <c r="AR123" s="9">
        <v>0.23940603848780351</v>
      </c>
      <c r="AS123" s="6">
        <v>163.04455664932044</v>
      </c>
      <c r="AT123" s="6">
        <v>1313.9473094680529</v>
      </c>
      <c r="AU123" s="9">
        <v>99.952499999999972</v>
      </c>
      <c r="AV123" s="8">
        <f t="shared" si="100"/>
        <v>2.1685509616074961</v>
      </c>
      <c r="AW123" s="9">
        <f t="shared" si="101"/>
        <v>8.8885225462628075</v>
      </c>
      <c r="AX123" s="8">
        <v>0.51746961079513765</v>
      </c>
      <c r="AY123" s="789">
        <v>2.5873480539756882E-2</v>
      </c>
      <c r="AZ123" s="6">
        <v>88.654046317980743</v>
      </c>
      <c r="BA123" s="48">
        <v>8.865404631798075</v>
      </c>
      <c r="BB123" s="6" t="s">
        <v>151</v>
      </c>
      <c r="BC123" s="48" t="s">
        <v>151</v>
      </c>
      <c r="BD123" s="849">
        <v>88.654046317980743</v>
      </c>
      <c r="BE123" s="48">
        <v>8.865404631798075</v>
      </c>
      <c r="BF123" s="668">
        <v>212.59493179093931</v>
      </c>
      <c r="BG123" s="48">
        <v>18.270084058413573</v>
      </c>
      <c r="BH123" s="48">
        <v>18.324325893196715</v>
      </c>
      <c r="BI123" s="850">
        <f t="shared" si="102"/>
        <v>0.92832211144056986</v>
      </c>
      <c r="BJ123" s="789">
        <f t="shared" si="103"/>
        <v>7.7946794031924949E-2</v>
      </c>
      <c r="BK123" s="67" t="s">
        <v>64</v>
      </c>
      <c r="BL123" s="48" t="s">
        <v>64</v>
      </c>
      <c r="BM123" s="48" t="s">
        <v>64</v>
      </c>
      <c r="BN123" s="850" t="str">
        <f t="shared" si="104"/>
        <v>-</v>
      </c>
      <c r="BO123" s="789" t="str">
        <f t="shared" si="105"/>
        <v>-</v>
      </c>
      <c r="BP123" s="789" t="str">
        <f t="shared" si="106"/>
        <v>-</v>
      </c>
      <c r="BQ123" s="34" t="s">
        <v>64</v>
      </c>
      <c r="BR123" s="25">
        <v>2.685450695264965</v>
      </c>
      <c r="BS123" s="26">
        <v>2.9680320793555528</v>
      </c>
      <c r="BT123" s="605"/>
      <c r="BU123" s="599">
        <v>0.1352193375059563</v>
      </c>
      <c r="BV123" s="851">
        <v>2.9617323527141078E-2</v>
      </c>
      <c r="BW123" s="851">
        <v>5.7140917606653248E-2</v>
      </c>
      <c r="BX123" s="851">
        <v>0.11794392860386763</v>
      </c>
      <c r="BY123" s="851">
        <v>5.3311943127570555E-3</v>
      </c>
      <c r="BZ123" s="851">
        <v>3.1024366262817404E-2</v>
      </c>
      <c r="CA123" s="851">
        <v>2.0470047517810692E-2</v>
      </c>
      <c r="CB123" s="851">
        <v>3.0489275857843785E-2</v>
      </c>
      <c r="CC123" s="851">
        <v>1.2332551445017907E-2</v>
      </c>
      <c r="CD123" s="851">
        <v>6.7271574554035613E-3</v>
      </c>
      <c r="CE123" s="852">
        <v>25.025699155904555</v>
      </c>
      <c r="CF123" s="852">
        <v>24.677903871920101</v>
      </c>
      <c r="CG123" s="605"/>
      <c r="CH123" s="584">
        <v>50.006999999999998</v>
      </c>
      <c r="CI123" s="576">
        <v>2.5564999999999998</v>
      </c>
      <c r="CJ123" s="576">
        <v>12.86</v>
      </c>
      <c r="CK123" s="576">
        <v>10.808</v>
      </c>
      <c r="CL123" s="576">
        <v>0.14700000000000002</v>
      </c>
      <c r="CM123" s="576">
        <v>10.032</v>
      </c>
      <c r="CN123" s="576">
        <v>10.4245</v>
      </c>
      <c r="CO123" s="576">
        <v>2.2435</v>
      </c>
      <c r="CP123" s="576">
        <v>0.47099999999999997</v>
      </c>
      <c r="CQ123" s="576">
        <v>0.249</v>
      </c>
      <c r="CR123" s="792">
        <v>1.7000000000000001E-2</v>
      </c>
      <c r="CS123" s="793">
        <v>1370</v>
      </c>
      <c r="CT123" s="576">
        <f t="shared" si="107"/>
        <v>99.952499999999972</v>
      </c>
      <c r="CU123" s="576">
        <v>0.51746961079513765</v>
      </c>
      <c r="CV123" s="591">
        <v>93.026281550871715</v>
      </c>
      <c r="CW123" s="605"/>
      <c r="CX123" s="936">
        <v>216.4841699453014</v>
      </c>
      <c r="CY123" s="934">
        <v>19.182101373312889</v>
      </c>
      <c r="CZ123" s="934">
        <v>19.199906268231302</v>
      </c>
      <c r="DA123" s="938">
        <f t="shared" si="108"/>
        <v>0.94490800957645127</v>
      </c>
      <c r="DB123" s="936">
        <v>167.5738984816945</v>
      </c>
      <c r="DC123" s="934">
        <v>14.480012274065899</v>
      </c>
      <c r="DD123" s="934">
        <v>14.670460287842701</v>
      </c>
      <c r="DE123" s="939">
        <f t="shared" si="109"/>
        <v>0.73531422176590255</v>
      </c>
      <c r="DF123" s="9"/>
    </row>
    <row r="124" spans="1:110">
      <c r="A124" s="846" t="s">
        <v>6</v>
      </c>
      <c r="B124" s="41" t="s">
        <v>679</v>
      </c>
      <c r="C124" s="41" t="s">
        <v>1488</v>
      </c>
      <c r="D124" s="34" t="s">
        <v>736</v>
      </c>
      <c r="E124" s="535">
        <v>19.389810000000001</v>
      </c>
      <c r="F124" s="537">
        <v>-155.29229000000001</v>
      </c>
      <c r="G124" s="37" t="s">
        <v>405</v>
      </c>
      <c r="H124" s="37" t="s">
        <v>64</v>
      </c>
      <c r="I124" s="202" t="s">
        <v>779</v>
      </c>
      <c r="J124" t="s">
        <v>885</v>
      </c>
      <c r="K124" s="34">
        <v>2001</v>
      </c>
      <c r="L124" s="51">
        <v>265</v>
      </c>
      <c r="M124" s="52">
        <v>255</v>
      </c>
      <c r="N124" s="838">
        <f t="shared" si="93"/>
        <v>9199097.3750000019</v>
      </c>
      <c r="O124" s="54">
        <v>9198074.721141411</v>
      </c>
      <c r="P124" s="53">
        <v>12.5</v>
      </c>
      <c r="Q124" s="54">
        <v>1022.6538585904274</v>
      </c>
      <c r="R124" s="772">
        <f t="shared" si="94"/>
        <v>1.1116893504895933E-4</v>
      </c>
      <c r="S124" s="624" t="s">
        <v>71</v>
      </c>
      <c r="T124" s="37" t="s">
        <v>132</v>
      </c>
      <c r="U124" s="21">
        <v>87.4</v>
      </c>
      <c r="V124" s="552">
        <v>0.94499999999999995</v>
      </c>
      <c r="W124" s="847">
        <v>0.64500000000000002</v>
      </c>
      <c r="X124" s="556" t="s">
        <v>423</v>
      </c>
      <c r="Y124" s="784" t="s">
        <v>64</v>
      </c>
      <c r="Z124" s="784" t="s">
        <v>64</v>
      </c>
      <c r="AA124" s="785" t="s">
        <v>64</v>
      </c>
      <c r="AB124" s="32">
        <f t="shared" si="95"/>
        <v>1235.0707598782917</v>
      </c>
      <c r="AC124" s="6">
        <f t="shared" si="96"/>
        <v>1210.8895500000001</v>
      </c>
      <c r="AD124" s="6">
        <f t="shared" si="97"/>
        <v>24.181209878291611</v>
      </c>
      <c r="AE124" s="6">
        <f t="shared" si="98"/>
        <v>1245.2456333600021</v>
      </c>
      <c r="AF124" s="839">
        <v>0.97</v>
      </c>
      <c r="AG124" s="553">
        <f t="shared" si="99"/>
        <v>3.0927835051546504E-2</v>
      </c>
      <c r="AH124" s="32">
        <f t="shared" si="110"/>
        <v>63.446639685380489</v>
      </c>
      <c r="AI124" s="9">
        <v>49.661957896203376</v>
      </c>
      <c r="AJ124" s="9">
        <v>2.4013104869391375</v>
      </c>
      <c r="AK124" s="9">
        <v>12.437118370351302</v>
      </c>
      <c r="AL124" s="9">
        <v>11.297325835076043</v>
      </c>
      <c r="AM124" s="9">
        <v>0.15190527169158347</v>
      </c>
      <c r="AN124" s="9">
        <v>10.998545267576702</v>
      </c>
      <c r="AO124" s="9">
        <v>10.129365434851351</v>
      </c>
      <c r="AP124" s="9">
        <v>2.0552481461318219</v>
      </c>
      <c r="AQ124" s="9">
        <v>0.39938008517588508</v>
      </c>
      <c r="AR124" s="9">
        <v>0.30179855302963604</v>
      </c>
      <c r="AS124" s="6">
        <v>128.22543948381079</v>
      </c>
      <c r="AT124" s="6">
        <v>1272.390899493199</v>
      </c>
      <c r="AU124" s="9">
        <v>98.932000000000016</v>
      </c>
      <c r="AV124" s="8">
        <f t="shared" si="100"/>
        <v>2.2601099197424328</v>
      </c>
      <c r="AW124" s="9">
        <f t="shared" si="101"/>
        <v>9.2638071847623547</v>
      </c>
      <c r="AX124" s="8">
        <v>0.57614965986394551</v>
      </c>
      <c r="AY124" s="789">
        <v>2.8807482993197277E-2</v>
      </c>
      <c r="AZ124" s="6">
        <v>258.28174603174602</v>
      </c>
      <c r="BA124" s="48">
        <v>25.828174603174602</v>
      </c>
      <c r="BB124" s="6" t="s">
        <v>64</v>
      </c>
      <c r="BC124" s="48" t="s">
        <v>64</v>
      </c>
      <c r="BD124" s="849" t="s">
        <v>1007</v>
      </c>
      <c r="BE124" s="48" t="s">
        <v>1007</v>
      </c>
      <c r="BF124" s="668" t="s">
        <v>1007</v>
      </c>
      <c r="BG124" s="48" t="s">
        <v>64</v>
      </c>
      <c r="BH124" s="48" t="s">
        <v>64</v>
      </c>
      <c r="BI124" s="850" t="str">
        <f t="shared" si="102"/>
        <v>-</v>
      </c>
      <c r="BJ124" s="789" t="str">
        <f t="shared" si="103"/>
        <v>-</v>
      </c>
      <c r="BK124" s="67" t="s">
        <v>64</v>
      </c>
      <c r="BL124" s="48" t="s">
        <v>64</v>
      </c>
      <c r="BM124" s="48" t="s">
        <v>64</v>
      </c>
      <c r="BN124" s="850" t="str">
        <f t="shared" si="104"/>
        <v>-</v>
      </c>
      <c r="BO124" s="789" t="str">
        <f t="shared" si="105"/>
        <v>-</v>
      </c>
      <c r="BP124" s="789" t="str">
        <f t="shared" si="106"/>
        <v>-</v>
      </c>
      <c r="BQ124" s="34" t="s">
        <v>64</v>
      </c>
      <c r="BR124" s="25">
        <v>2.6871917268412719</v>
      </c>
      <c r="BS124" s="26">
        <v>2.971644951233217</v>
      </c>
      <c r="BT124" s="605"/>
      <c r="BU124" s="599">
        <v>0.13550558498636103</v>
      </c>
      <c r="BV124" s="851">
        <v>2.9071832855940907E-2</v>
      </c>
      <c r="BW124" s="851">
        <v>5.7980679569402289E-2</v>
      </c>
      <c r="BX124" s="851">
        <v>0.12292367010521865</v>
      </c>
      <c r="BY124" s="851">
        <v>5.3672021836819184E-3</v>
      </c>
      <c r="BZ124" s="851">
        <v>2.8884441837626541E-2</v>
      </c>
      <c r="CA124" s="851">
        <v>2.0842348593239354E-2</v>
      </c>
      <c r="CB124" s="851">
        <v>2.9260218852076567E-2</v>
      </c>
      <c r="CC124" s="851">
        <v>1.0954023660318158E-2</v>
      </c>
      <c r="CD124" s="851">
        <v>8.4803474418075446E-3</v>
      </c>
      <c r="CE124" s="852">
        <v>19.681314964456796</v>
      </c>
      <c r="CF124" s="852">
        <v>23.897412079569062</v>
      </c>
      <c r="CG124" s="605"/>
      <c r="CH124" s="584">
        <v>49.427500000000002</v>
      </c>
      <c r="CI124" s="576">
        <v>2.4459999999999997</v>
      </c>
      <c r="CJ124" s="576">
        <v>12.684000000000001</v>
      </c>
      <c r="CK124" s="576">
        <v>11.154</v>
      </c>
      <c r="CL124" s="576">
        <v>0.1515</v>
      </c>
      <c r="CM124" s="576">
        <v>9.7955000000000005</v>
      </c>
      <c r="CN124" s="576">
        <v>10.3245</v>
      </c>
      <c r="CO124" s="576">
        <v>2.0960000000000001</v>
      </c>
      <c r="CP124" s="576">
        <v>0.40800000000000003</v>
      </c>
      <c r="CQ124" s="576">
        <v>0.30300000000000005</v>
      </c>
      <c r="CR124" s="792">
        <v>1.2999999999999999E-2</v>
      </c>
      <c r="CS124" s="793">
        <v>1290</v>
      </c>
      <c r="CT124" s="576">
        <f t="shared" si="107"/>
        <v>98.932000000000016</v>
      </c>
      <c r="CU124" s="576">
        <v>0.57614965986394551</v>
      </c>
      <c r="CV124" s="591">
        <v>266.26984126984127</v>
      </c>
      <c r="CW124" s="605"/>
      <c r="CX124" s="936" t="s">
        <v>1007</v>
      </c>
      <c r="CY124" s="934" t="s">
        <v>64</v>
      </c>
      <c r="CZ124" s="934" t="s">
        <v>64</v>
      </c>
      <c r="DA124" s="938" t="str">
        <f t="shared" si="108"/>
        <v>-</v>
      </c>
      <c r="DB124" s="936" t="s">
        <v>1007</v>
      </c>
      <c r="DC124" s="934" t="s">
        <v>64</v>
      </c>
      <c r="DD124" s="934" t="s">
        <v>64</v>
      </c>
      <c r="DE124" s="939" t="str">
        <f t="shared" si="109"/>
        <v>-</v>
      </c>
      <c r="DF124" s="9"/>
    </row>
    <row r="125" spans="1:110">
      <c r="A125" s="846" t="s">
        <v>5</v>
      </c>
      <c r="B125" s="41" t="s">
        <v>679</v>
      </c>
      <c r="C125" s="41" t="s">
        <v>1488</v>
      </c>
      <c r="D125" s="34" t="s">
        <v>736</v>
      </c>
      <c r="E125" s="535">
        <v>19.389810000000001</v>
      </c>
      <c r="F125" s="537">
        <v>-155.29229000000001</v>
      </c>
      <c r="G125" s="37" t="s">
        <v>405</v>
      </c>
      <c r="H125" s="37" t="s">
        <v>64</v>
      </c>
      <c r="I125" s="202" t="s">
        <v>779</v>
      </c>
      <c r="J125" t="s">
        <v>885</v>
      </c>
      <c r="K125" s="34">
        <v>2001</v>
      </c>
      <c r="L125" s="51">
        <v>320</v>
      </c>
      <c r="M125" s="52">
        <v>270</v>
      </c>
      <c r="N125" s="838">
        <f t="shared" si="93"/>
        <v>13345092.000000002</v>
      </c>
      <c r="O125" s="54">
        <v>13345092.000000002</v>
      </c>
      <c r="P125" s="53" t="s">
        <v>151</v>
      </c>
      <c r="Q125" s="54" t="s">
        <v>151</v>
      </c>
      <c r="R125" s="772">
        <f t="shared" si="94"/>
        <v>0</v>
      </c>
      <c r="S125" s="624" t="s">
        <v>70</v>
      </c>
      <c r="T125" s="37" t="s">
        <v>132</v>
      </c>
      <c r="U125" s="21">
        <v>88.5</v>
      </c>
      <c r="V125" s="552">
        <v>1.68</v>
      </c>
      <c r="W125" s="847">
        <v>1.37</v>
      </c>
      <c r="X125" s="556" t="s">
        <v>64</v>
      </c>
      <c r="Y125" s="784" t="s">
        <v>64</v>
      </c>
      <c r="Z125" s="784" t="s">
        <v>64</v>
      </c>
      <c r="AA125" s="785" t="s">
        <v>64</v>
      </c>
      <c r="AB125" s="32">
        <f t="shared" si="95"/>
        <v>1253.9373975366823</v>
      </c>
      <c r="AC125" s="6">
        <f t="shared" si="96"/>
        <v>1199.7642000000001</v>
      </c>
      <c r="AD125" s="6">
        <f t="shared" si="97"/>
        <v>54.17319753668221</v>
      </c>
      <c r="AE125" s="6">
        <f t="shared" si="98"/>
        <v>1267.5861712500082</v>
      </c>
      <c r="AF125" s="839">
        <v>0.93</v>
      </c>
      <c r="AG125" s="553">
        <f t="shared" si="99"/>
        <v>7.5268817204301008E-2</v>
      </c>
      <c r="AH125" s="32">
        <f t="shared" si="110"/>
        <v>65.842413773065815</v>
      </c>
      <c r="AI125" s="9">
        <v>49.702221228430481</v>
      </c>
      <c r="AJ125" s="9">
        <v>2.2804075192238797</v>
      </c>
      <c r="AK125" s="9">
        <v>11.994521067148453</v>
      </c>
      <c r="AL125" s="9">
        <v>11.040914393913237</v>
      </c>
      <c r="AM125" s="9">
        <v>0.15994035975147636</v>
      </c>
      <c r="AN125" s="9">
        <v>11.93718395704887</v>
      </c>
      <c r="AO125" s="9">
        <v>10.346833587444564</v>
      </c>
      <c r="AP125" s="9">
        <v>1.8579235500690368</v>
      </c>
      <c r="AQ125" s="9">
        <v>0.33597534689932768</v>
      </c>
      <c r="AR125" s="9">
        <v>0.19615327139332006</v>
      </c>
      <c r="AS125" s="6">
        <v>112.28360564690136</v>
      </c>
      <c r="AT125" s="6">
        <v>1319.3323663510905</v>
      </c>
      <c r="AU125" s="9">
        <v>99.978999999999999</v>
      </c>
      <c r="AV125" s="8">
        <f t="shared" si="100"/>
        <v>2.2088129977834137</v>
      </c>
      <c r="AW125" s="9">
        <f t="shared" si="101"/>
        <v>9.0535498030088561</v>
      </c>
      <c r="AX125" s="8">
        <v>0.54198475686570924</v>
      </c>
      <c r="AY125" s="789">
        <v>2.7099237843285464E-2</v>
      </c>
      <c r="AZ125" s="6">
        <v>47.361111111111114</v>
      </c>
      <c r="BA125" s="48">
        <v>4.7361111111111116</v>
      </c>
      <c r="BB125" s="6" t="s">
        <v>151</v>
      </c>
      <c r="BC125" s="48" t="s">
        <v>151</v>
      </c>
      <c r="BD125" s="849">
        <v>47.361111111111114</v>
      </c>
      <c r="BE125" s="48">
        <v>4.7361111111111116</v>
      </c>
      <c r="BF125" s="668">
        <v>135.45784702223449</v>
      </c>
      <c r="BG125" s="48">
        <v>10.60121159278782</v>
      </c>
      <c r="BH125" s="48">
        <v>10.619442207579695</v>
      </c>
      <c r="BI125" s="850">
        <f t="shared" si="102"/>
        <v>0.5964774906729069</v>
      </c>
      <c r="BJ125" s="789">
        <f t="shared" si="103"/>
        <v>4.5989097852650263E-2</v>
      </c>
      <c r="BK125" s="67" t="s">
        <v>64</v>
      </c>
      <c r="BL125" s="48" t="s">
        <v>64</v>
      </c>
      <c r="BM125" s="48" t="s">
        <v>64</v>
      </c>
      <c r="BN125" s="850" t="str">
        <f t="shared" si="104"/>
        <v>-</v>
      </c>
      <c r="BO125" s="789" t="str">
        <f t="shared" si="105"/>
        <v>-</v>
      </c>
      <c r="BP125" s="789" t="str">
        <f t="shared" si="106"/>
        <v>-</v>
      </c>
      <c r="BQ125" s="34" t="s">
        <v>64</v>
      </c>
      <c r="BR125" s="25">
        <v>2.6898824616236099</v>
      </c>
      <c r="BS125" s="26">
        <v>2.9617499954464761</v>
      </c>
      <c r="BT125" s="605"/>
      <c r="BU125" s="599">
        <v>0.13561544586615834</v>
      </c>
      <c r="BV125" s="851">
        <v>2.7608102576860891E-2</v>
      </c>
      <c r="BW125" s="851">
        <v>5.5917332445806399E-2</v>
      </c>
      <c r="BX125" s="851">
        <v>0.12013371468879259</v>
      </c>
      <c r="BY125" s="851">
        <v>5.6511024176954762E-3</v>
      </c>
      <c r="BZ125" s="851">
        <v>3.1349500076967532E-2</v>
      </c>
      <c r="CA125" s="851">
        <v>2.1289814633775387E-2</v>
      </c>
      <c r="CB125" s="851">
        <v>2.6450942085880971E-2</v>
      </c>
      <c r="CC125" s="851">
        <v>9.2149860141325212E-3</v>
      </c>
      <c r="CD125" s="851">
        <v>5.5117822022797292E-3</v>
      </c>
      <c r="CE125" s="852">
        <v>17.234403851355385</v>
      </c>
      <c r="CF125" s="852">
        <v>24.779043327929354</v>
      </c>
      <c r="CG125" s="605"/>
      <c r="CH125" s="584">
        <v>50.391500000000001</v>
      </c>
      <c r="CI125" s="576">
        <v>2.444</v>
      </c>
      <c r="CJ125" s="576">
        <v>12.903499999999999</v>
      </c>
      <c r="CK125" s="576">
        <v>11.0085</v>
      </c>
      <c r="CL125" s="576">
        <v>0.16549999999999998</v>
      </c>
      <c r="CM125" s="576">
        <v>9.2420000000000009</v>
      </c>
      <c r="CN125" s="576">
        <v>11.097999999999999</v>
      </c>
      <c r="CO125" s="576">
        <v>1.9964999999999999</v>
      </c>
      <c r="CP125" s="576">
        <v>0.36249999999999999</v>
      </c>
      <c r="CQ125" s="576">
        <v>0.21400000000000002</v>
      </c>
      <c r="CR125" s="792">
        <v>1.2E-2</v>
      </c>
      <c r="CS125" s="793">
        <v>1409.9999999999998</v>
      </c>
      <c r="CT125" s="576">
        <f t="shared" si="107"/>
        <v>99.978999999999999</v>
      </c>
      <c r="CU125" s="576">
        <v>0.54198475686570924</v>
      </c>
      <c r="CV125" s="591">
        <v>50.925925925925924</v>
      </c>
      <c r="CW125" s="605"/>
      <c r="CX125" s="936">
        <v>129.38003404530829</v>
      </c>
      <c r="CY125" s="934">
        <v>10.2950443347695</v>
      </c>
      <c r="CZ125" s="934">
        <v>10.299700961603193</v>
      </c>
      <c r="DA125" s="938">
        <f t="shared" si="108"/>
        <v>0.57009389929247212</v>
      </c>
      <c r="DB125" s="936">
        <v>96.010120879404312</v>
      </c>
      <c r="DC125" s="934">
        <v>8.2962068756799852</v>
      </c>
      <c r="DD125" s="934">
        <v>8.4053225374244533</v>
      </c>
      <c r="DE125" s="939">
        <f t="shared" si="109"/>
        <v>0.4246094294048971</v>
      </c>
      <c r="DF125" s="9"/>
    </row>
    <row r="126" spans="1:110">
      <c r="A126" s="846" t="s">
        <v>13</v>
      </c>
      <c r="B126" s="41" t="s">
        <v>679</v>
      </c>
      <c r="C126" s="41" t="s">
        <v>1488</v>
      </c>
      <c r="D126" s="34" t="s">
        <v>736</v>
      </c>
      <c r="E126" s="535">
        <v>19.389810000000001</v>
      </c>
      <c r="F126" s="537">
        <v>-155.29229000000001</v>
      </c>
      <c r="G126" s="37" t="s">
        <v>405</v>
      </c>
      <c r="H126" s="37" t="s">
        <v>64</v>
      </c>
      <c r="I126" s="202" t="s">
        <v>779</v>
      </c>
      <c r="J126" t="s">
        <v>885</v>
      </c>
      <c r="K126" s="34">
        <v>2001</v>
      </c>
      <c r="L126" s="51">
        <v>145</v>
      </c>
      <c r="M126" s="52">
        <v>130</v>
      </c>
      <c r="N126" s="838">
        <f t="shared" si="93"/>
        <v>1357062.5520833337</v>
      </c>
      <c r="O126" s="54">
        <v>1269948.8057931669</v>
      </c>
      <c r="P126" s="53">
        <v>55</v>
      </c>
      <c r="Q126" s="54">
        <v>87113.746290166964</v>
      </c>
      <c r="R126" s="772">
        <f t="shared" si="94"/>
        <v>6.4192874644158279E-2</v>
      </c>
      <c r="S126" s="624" t="s">
        <v>76</v>
      </c>
      <c r="T126" s="37" t="s">
        <v>132</v>
      </c>
      <c r="U126" s="21">
        <v>87.7</v>
      </c>
      <c r="V126" s="552">
        <v>1.03</v>
      </c>
      <c r="W126" s="847">
        <v>0.78</v>
      </c>
      <c r="X126" s="556" t="s">
        <v>423</v>
      </c>
      <c r="Y126" s="784" t="s">
        <v>64</v>
      </c>
      <c r="Z126" s="784" t="s">
        <v>64</v>
      </c>
      <c r="AA126" s="785" t="s">
        <v>64</v>
      </c>
      <c r="AB126" s="32">
        <f t="shared" si="95"/>
        <v>1240.8334505489327</v>
      </c>
      <c r="AC126" s="6">
        <f t="shared" si="96"/>
        <v>1204.0053</v>
      </c>
      <c r="AD126" s="6">
        <f t="shared" si="97"/>
        <v>36.828150548932626</v>
      </c>
      <c r="AE126" s="6">
        <f t="shared" si="98"/>
        <v>1251.0767143700068</v>
      </c>
      <c r="AF126" s="839">
        <v>0.95199999999999996</v>
      </c>
      <c r="AG126" s="553">
        <f t="shared" si="99"/>
        <v>5.0420168067226934E-2</v>
      </c>
      <c r="AH126" s="32">
        <f t="shared" si="110"/>
        <v>64.016763920040745</v>
      </c>
      <c r="AI126" s="9">
        <v>48.928892137982835</v>
      </c>
      <c r="AJ126" s="9">
        <v>2.5604842491963544</v>
      </c>
      <c r="AK126" s="9">
        <v>12.316482584935864</v>
      </c>
      <c r="AL126" s="9">
        <v>11.309392316391442</v>
      </c>
      <c r="AM126" s="9">
        <v>0.14185786999476854</v>
      </c>
      <c r="AN126" s="9">
        <v>11.285246295966802</v>
      </c>
      <c r="AO126" s="9">
        <v>10.708760058328485</v>
      </c>
      <c r="AP126" s="9">
        <v>1.9296694656025963</v>
      </c>
      <c r="AQ126" s="9">
        <v>0.42959794672174595</v>
      </c>
      <c r="AR126" s="9">
        <v>0.23844195169333438</v>
      </c>
      <c r="AS126" s="6">
        <v>134.25737924176869</v>
      </c>
      <c r="AT126" s="6">
        <v>1270.6501963953108</v>
      </c>
      <c r="AU126" s="9">
        <v>99.875999999999991</v>
      </c>
      <c r="AV126" s="8">
        <f t="shared" si="100"/>
        <v>2.2625239046549197</v>
      </c>
      <c r="AW126" s="9">
        <f t="shared" si="101"/>
        <v>9.2737016994409824</v>
      </c>
      <c r="AX126" s="8">
        <v>0.56979339884101787</v>
      </c>
      <c r="AY126" s="789">
        <v>2.8489669942050894E-2</v>
      </c>
      <c r="AZ126" s="6">
        <v>106.19753086419753</v>
      </c>
      <c r="BA126" s="48">
        <v>10.619753086419754</v>
      </c>
      <c r="BB126" s="6" t="s">
        <v>64</v>
      </c>
      <c r="BC126" s="48" t="s">
        <v>64</v>
      </c>
      <c r="BD126" s="849" t="s">
        <v>1007</v>
      </c>
      <c r="BE126" s="48" t="s">
        <v>1007</v>
      </c>
      <c r="BF126" s="668" t="s">
        <v>1007</v>
      </c>
      <c r="BG126" s="48" t="s">
        <v>64</v>
      </c>
      <c r="BH126" s="48" t="s">
        <v>64</v>
      </c>
      <c r="BI126" s="850" t="str">
        <f t="shared" si="102"/>
        <v>-</v>
      </c>
      <c r="BJ126" s="789" t="str">
        <f t="shared" si="103"/>
        <v>-</v>
      </c>
      <c r="BK126" s="67" t="s">
        <v>64</v>
      </c>
      <c r="BL126" s="48" t="s">
        <v>64</v>
      </c>
      <c r="BM126" s="48" t="s">
        <v>64</v>
      </c>
      <c r="BN126" s="850" t="str">
        <f t="shared" si="104"/>
        <v>-</v>
      </c>
      <c r="BO126" s="789" t="str">
        <f t="shared" si="105"/>
        <v>-</v>
      </c>
      <c r="BP126" s="789" t="str">
        <f t="shared" si="106"/>
        <v>-</v>
      </c>
      <c r="BQ126" s="34" t="s">
        <v>64</v>
      </c>
      <c r="BR126" s="25">
        <v>2.6968452991484662</v>
      </c>
      <c r="BS126" s="26">
        <v>2.9832064839891541</v>
      </c>
      <c r="BT126" s="605"/>
      <c r="BU126" s="599">
        <v>0.13350537177268226</v>
      </c>
      <c r="BV126" s="851">
        <v>3.0998894365296806E-2</v>
      </c>
      <c r="BW126" s="851">
        <v>5.7418286850245581E-2</v>
      </c>
      <c r="BX126" s="851">
        <v>0.12305496278369833</v>
      </c>
      <c r="BY126" s="851">
        <v>5.0122017565936306E-3</v>
      </c>
      <c r="BZ126" s="851">
        <v>2.963737770122063E-2</v>
      </c>
      <c r="CA126" s="851">
        <v>2.2034520481323306E-2</v>
      </c>
      <c r="CB126" s="851">
        <v>2.7472376502063581E-2</v>
      </c>
      <c r="CC126" s="851">
        <v>1.1782826053386415E-2</v>
      </c>
      <c r="CD126" s="851">
        <v>6.7000672294926572E-3</v>
      </c>
      <c r="CE126" s="852">
        <v>20.607157033713165</v>
      </c>
      <c r="CF126" s="852">
        <v>23.864719061051726</v>
      </c>
      <c r="CG126" s="605"/>
      <c r="CH126" s="584">
        <v>49.311</v>
      </c>
      <c r="CI126" s="576">
        <v>2.6779999999999999</v>
      </c>
      <c r="CJ126" s="576">
        <v>12.926</v>
      </c>
      <c r="CK126" s="576">
        <v>11.275</v>
      </c>
      <c r="CL126" s="576">
        <v>0.13850000000000001</v>
      </c>
      <c r="CM126" s="576">
        <v>9.4529999999999994</v>
      </c>
      <c r="CN126" s="576">
        <v>11.221</v>
      </c>
      <c r="CO126" s="576">
        <v>2.0265</v>
      </c>
      <c r="CP126" s="576">
        <v>0.44750000000000001</v>
      </c>
      <c r="CQ126" s="576">
        <v>0.253</v>
      </c>
      <c r="CR126" s="792">
        <v>1.4E-2</v>
      </c>
      <c r="CS126" s="793">
        <v>1325</v>
      </c>
      <c r="CT126" s="576">
        <f t="shared" si="107"/>
        <v>99.875999999999991</v>
      </c>
      <c r="CU126" s="576">
        <v>0.56979339884101787</v>
      </c>
      <c r="CV126" s="591">
        <v>111.55202821869489</v>
      </c>
      <c r="CW126" s="605"/>
      <c r="CX126" s="936" t="s">
        <v>1007</v>
      </c>
      <c r="CY126" s="934" t="s">
        <v>64</v>
      </c>
      <c r="CZ126" s="934" t="s">
        <v>64</v>
      </c>
      <c r="DA126" s="938" t="str">
        <f t="shared" si="108"/>
        <v>-</v>
      </c>
      <c r="DB126" s="936" t="s">
        <v>1007</v>
      </c>
      <c r="DC126" s="934" t="s">
        <v>64</v>
      </c>
      <c r="DD126" s="934" t="s">
        <v>64</v>
      </c>
      <c r="DE126" s="939" t="str">
        <f t="shared" si="109"/>
        <v>-</v>
      </c>
      <c r="DF126" s="9"/>
    </row>
    <row r="127" spans="1:110">
      <c r="A127" s="846" t="s">
        <v>14</v>
      </c>
      <c r="B127" s="41" t="s">
        <v>679</v>
      </c>
      <c r="C127" s="41" t="s">
        <v>1488</v>
      </c>
      <c r="D127" s="34" t="s">
        <v>736</v>
      </c>
      <c r="E127" s="535">
        <v>19.389810000000001</v>
      </c>
      <c r="F127" s="537">
        <v>-155.29229000000001</v>
      </c>
      <c r="G127" s="37" t="s">
        <v>405</v>
      </c>
      <c r="H127" s="37" t="s">
        <v>64</v>
      </c>
      <c r="I127" s="202" t="s">
        <v>779</v>
      </c>
      <c r="J127" t="s">
        <v>885</v>
      </c>
      <c r="K127" s="34">
        <v>2001</v>
      </c>
      <c r="L127" s="51">
        <v>235</v>
      </c>
      <c r="M127" s="52">
        <v>140</v>
      </c>
      <c r="N127" s="838">
        <f t="shared" si="93"/>
        <v>3229854.6875000005</v>
      </c>
      <c r="O127" s="54">
        <v>3229854.6875000005</v>
      </c>
      <c r="P127" s="53" t="s">
        <v>151</v>
      </c>
      <c r="Q127" s="54" t="s">
        <v>151</v>
      </c>
      <c r="R127" s="772">
        <f t="shared" si="94"/>
        <v>0</v>
      </c>
      <c r="S127" s="624" t="s">
        <v>76</v>
      </c>
      <c r="T127" s="37" t="s">
        <v>132</v>
      </c>
      <c r="U127" s="21">
        <v>87.7</v>
      </c>
      <c r="V127" s="552">
        <v>1.03</v>
      </c>
      <c r="W127" s="847">
        <v>0.78</v>
      </c>
      <c r="X127" s="556" t="s">
        <v>64</v>
      </c>
      <c r="Y127" s="784" t="s">
        <v>64</v>
      </c>
      <c r="Z127" s="784" t="s">
        <v>64</v>
      </c>
      <c r="AA127" s="785" t="s">
        <v>64</v>
      </c>
      <c r="AB127" s="32">
        <f t="shared" si="95"/>
        <v>1257.0410059198548</v>
      </c>
      <c r="AC127" s="6">
        <f t="shared" si="96"/>
        <v>1183.0209</v>
      </c>
      <c r="AD127" s="6">
        <f t="shared" si="97"/>
        <v>74.020105919854814</v>
      </c>
      <c r="AE127" s="6">
        <f t="shared" si="98"/>
        <v>1251.0767143700068</v>
      </c>
      <c r="AF127" s="839">
        <v>0.90800000000000003</v>
      </c>
      <c r="AG127" s="553">
        <f t="shared" si="99"/>
        <v>0.1013215859030836</v>
      </c>
      <c r="AH127" s="32">
        <f t="shared" si="110"/>
        <v>64.158055543162845</v>
      </c>
      <c r="AI127" s="9">
        <v>48.948866380430559</v>
      </c>
      <c r="AJ127" s="9">
        <v>2.4497069085674323</v>
      </c>
      <c r="AK127" s="9">
        <v>11.7424965243528</v>
      </c>
      <c r="AL127" s="9">
        <v>12.043302424008512</v>
      </c>
      <c r="AM127" s="9">
        <v>0.17907508407597655</v>
      </c>
      <c r="AN127" s="9">
        <v>12.091592334321136</v>
      </c>
      <c r="AO127" s="9">
        <v>10.025186588860148</v>
      </c>
      <c r="AP127" s="9">
        <v>1.7766662835852507</v>
      </c>
      <c r="AQ127" s="9">
        <v>0.36418640694103099</v>
      </c>
      <c r="AR127" s="9">
        <v>0.23641935257221625</v>
      </c>
      <c r="AS127" s="6">
        <v>130.08094385804293</v>
      </c>
      <c r="AT127" s="6">
        <v>1133.5625107629453</v>
      </c>
      <c r="AU127" s="9">
        <v>98.314000000000007</v>
      </c>
      <c r="AV127" s="8">
        <f t="shared" si="100"/>
        <v>2.4093478113598654</v>
      </c>
      <c r="AW127" s="9">
        <f t="shared" si="101"/>
        <v>9.87550798768698</v>
      </c>
      <c r="AX127" s="8">
        <v>0.47591836734693876</v>
      </c>
      <c r="AY127" s="789">
        <v>2.379591836734694E-2</v>
      </c>
      <c r="AZ127" s="6">
        <v>160.40485527544351</v>
      </c>
      <c r="BA127" s="48">
        <v>16.040485527544352</v>
      </c>
      <c r="BB127" s="6" t="s">
        <v>151</v>
      </c>
      <c r="BC127" s="48" t="s">
        <v>151</v>
      </c>
      <c r="BD127" s="849">
        <v>160.40485527544351</v>
      </c>
      <c r="BE127" s="48">
        <v>16.040485527544352</v>
      </c>
      <c r="BF127" s="668">
        <v>367.72955481072938</v>
      </c>
      <c r="BG127" s="48">
        <v>33.608099092038231</v>
      </c>
      <c r="BH127" s="48">
        <v>33.790734972763403</v>
      </c>
      <c r="BI127" s="850">
        <f t="shared" si="102"/>
        <v>1.5794316919508209</v>
      </c>
      <c r="BJ127" s="789">
        <f t="shared" si="103"/>
        <v>0.13878489763860413</v>
      </c>
      <c r="BK127" s="67" t="s">
        <v>64</v>
      </c>
      <c r="BL127" s="48" t="s">
        <v>64</v>
      </c>
      <c r="BM127" s="48" t="s">
        <v>64</v>
      </c>
      <c r="BN127" s="850" t="str">
        <f t="shared" si="104"/>
        <v>-</v>
      </c>
      <c r="BO127" s="789" t="str">
        <f t="shared" si="105"/>
        <v>-</v>
      </c>
      <c r="BP127" s="789" t="str">
        <f t="shared" si="106"/>
        <v>-</v>
      </c>
      <c r="BQ127" s="34" t="s">
        <v>64</v>
      </c>
      <c r="BR127" s="25">
        <v>2.7117198715762472</v>
      </c>
      <c r="BS127" s="26">
        <v>2.9798759708448759</v>
      </c>
      <c r="BT127" s="605"/>
      <c r="BU127" s="599">
        <v>0.1335598726728118</v>
      </c>
      <c r="BV127" s="851">
        <v>2.9657751539949508E-2</v>
      </c>
      <c r="BW127" s="851">
        <v>5.4742417660537925E-2</v>
      </c>
      <c r="BX127" s="851">
        <v>0.13104047415803668</v>
      </c>
      <c r="BY127" s="851">
        <v>6.3271812201949893E-3</v>
      </c>
      <c r="BZ127" s="851">
        <v>3.175500823136964E-2</v>
      </c>
      <c r="CA127" s="851">
        <v>2.0627988489622266E-2</v>
      </c>
      <c r="CB127" s="851">
        <v>2.5294096181355051E-2</v>
      </c>
      <c r="CC127" s="851">
        <v>9.9887467264208711E-3</v>
      </c>
      <c r="CD127" s="851">
        <v>6.643233480256981E-3</v>
      </c>
      <c r="CE127" s="852">
        <v>19.966116218827231</v>
      </c>
      <c r="CF127" s="852">
        <v>21.290006434691445</v>
      </c>
      <c r="CG127" s="605"/>
      <c r="CH127" s="584">
        <v>49.002000000000002</v>
      </c>
      <c r="CI127" s="576">
        <v>2.6389999999999998</v>
      </c>
      <c r="CJ127" s="576">
        <v>12.723000000000001</v>
      </c>
      <c r="CK127" s="576">
        <v>11.819000000000001</v>
      </c>
      <c r="CL127" s="576">
        <v>0.17499999999999999</v>
      </c>
      <c r="CM127" s="576">
        <v>8.4090000000000007</v>
      </c>
      <c r="CN127" s="576">
        <v>10.834</v>
      </c>
      <c r="CO127" s="576">
        <v>1.921</v>
      </c>
      <c r="CP127" s="576">
        <v>0.39500000000000002</v>
      </c>
      <c r="CQ127" s="576">
        <v>0.26100000000000001</v>
      </c>
      <c r="CR127" s="792">
        <v>1.4E-2</v>
      </c>
      <c r="CS127" s="793">
        <v>1220</v>
      </c>
      <c r="CT127" s="576">
        <f t="shared" si="107"/>
        <v>98.314000000000007</v>
      </c>
      <c r="CU127" s="576">
        <v>0.47591836734693876</v>
      </c>
      <c r="CV127" s="591">
        <v>176.65732959850607</v>
      </c>
      <c r="CW127" s="605"/>
      <c r="CX127" s="936">
        <v>367.28937060223637</v>
      </c>
      <c r="CY127" s="934">
        <v>34.41842723787795</v>
      </c>
      <c r="CZ127" s="934">
        <v>34.481414016229053</v>
      </c>
      <c r="DA127" s="938">
        <f t="shared" si="108"/>
        <v>1.5776138995423308</v>
      </c>
      <c r="DB127" s="936">
        <v>266.93542201981541</v>
      </c>
      <c r="DC127" s="934">
        <v>23.065812887632774</v>
      </c>
      <c r="DD127" s="934">
        <v>23.369185437838212</v>
      </c>
      <c r="DE127" s="939">
        <f t="shared" si="109"/>
        <v>1.1588180653470057</v>
      </c>
      <c r="DF127" s="9"/>
    </row>
    <row r="128" spans="1:110">
      <c r="A128" s="846" t="s">
        <v>258</v>
      </c>
      <c r="B128" s="41" t="s">
        <v>679</v>
      </c>
      <c r="C128" s="41" t="s">
        <v>1488</v>
      </c>
      <c r="D128" s="34" t="s">
        <v>736</v>
      </c>
      <c r="E128" s="535">
        <v>19.389810000000001</v>
      </c>
      <c r="F128" s="537">
        <v>-155.29229000000001</v>
      </c>
      <c r="G128" s="37" t="s">
        <v>405</v>
      </c>
      <c r="H128" s="37" t="s">
        <v>64</v>
      </c>
      <c r="I128" s="202" t="s">
        <v>780</v>
      </c>
      <c r="J128" t="s">
        <v>877</v>
      </c>
      <c r="K128" s="34">
        <v>2021</v>
      </c>
      <c r="L128" s="51">
        <v>155</v>
      </c>
      <c r="M128" s="52">
        <v>95</v>
      </c>
      <c r="N128" s="838">
        <f t="shared" si="93"/>
        <v>963720.57291666686</v>
      </c>
      <c r="O128" s="54">
        <v>929574.84215367737</v>
      </c>
      <c r="P128" s="53">
        <v>37.5</v>
      </c>
      <c r="Q128" s="54">
        <v>27611.65418194154</v>
      </c>
      <c r="R128" s="772">
        <f t="shared" si="94"/>
        <v>2.8846681694368628E-2</v>
      </c>
      <c r="S128" s="624" t="s">
        <v>215</v>
      </c>
      <c r="T128" s="37" t="s">
        <v>132</v>
      </c>
      <c r="U128" s="21">
        <v>83.030159717188369</v>
      </c>
      <c r="V128" s="552" t="s">
        <v>423</v>
      </c>
      <c r="W128" s="552" t="s">
        <v>423</v>
      </c>
      <c r="X128" s="556" t="s">
        <v>292</v>
      </c>
      <c r="Y128" s="784" t="s">
        <v>64</v>
      </c>
      <c r="Z128" s="784" t="s">
        <v>292</v>
      </c>
      <c r="AA128" s="785" t="s">
        <v>64</v>
      </c>
      <c r="AB128" s="32">
        <f t="shared" si="95"/>
        <v>1210.3995708414795</v>
      </c>
      <c r="AC128" s="6">
        <f t="shared" si="96"/>
        <v>1152.9647669999999</v>
      </c>
      <c r="AD128" s="6">
        <f t="shared" si="97"/>
        <v>57.434803841479606</v>
      </c>
      <c r="AE128" s="6">
        <f t="shared" si="98"/>
        <v>1180.013785340092</v>
      </c>
      <c r="AF128" s="839">
        <v>0.92500000000000004</v>
      </c>
      <c r="AG128" s="553">
        <f t="shared" si="99"/>
        <v>8.1081081081080919E-2</v>
      </c>
      <c r="AH128" s="32">
        <f t="shared" ref="AH128:AH141" si="111">100*(AN128/40.3)/((AN128/40.3)+(AL128/71.85))</f>
        <v>55.159138477287748</v>
      </c>
      <c r="AI128" s="9">
        <v>49.016671572219515</v>
      </c>
      <c r="AJ128" s="9">
        <v>1.9518087314618264</v>
      </c>
      <c r="AK128" s="9">
        <v>12.334948012033637</v>
      </c>
      <c r="AL128" s="9">
        <v>14.161937618842929</v>
      </c>
      <c r="AM128" s="9">
        <v>0.21340043892207694</v>
      </c>
      <c r="AN128" s="9">
        <v>9.7711229274367977</v>
      </c>
      <c r="AO128" s="9">
        <v>10.142560483862489</v>
      </c>
      <c r="AP128" s="9">
        <v>1.7555205918872745</v>
      </c>
      <c r="AQ128" s="9">
        <v>0.3160742350072272</v>
      </c>
      <c r="AR128" s="9">
        <v>0.20434098632632841</v>
      </c>
      <c r="AS128" s="6">
        <v>97.837457370052988</v>
      </c>
      <c r="AT128" s="6">
        <v>1113.0271567819943</v>
      </c>
      <c r="AU128" s="9">
        <v>99.699163000000013</v>
      </c>
      <c r="AV128" s="8">
        <f t="shared" si="100"/>
        <v>2.8331957635268994</v>
      </c>
      <c r="AW128" s="9">
        <f t="shared" si="101"/>
        <v>11.612788847451203</v>
      </c>
      <c r="AX128" s="8">
        <v>0.43677131298459565</v>
      </c>
      <c r="AY128" s="789">
        <v>2.1838565649229785E-2</v>
      </c>
      <c r="AZ128" s="6">
        <v>104.58851046537634</v>
      </c>
      <c r="BA128" s="48">
        <v>10.458851046537635</v>
      </c>
      <c r="BB128" s="6" t="s">
        <v>292</v>
      </c>
      <c r="BC128" s="48" t="s">
        <v>292</v>
      </c>
      <c r="BD128" s="849">
        <v>104.58851046537634</v>
      </c>
      <c r="BE128" s="48">
        <v>10.458851046537635</v>
      </c>
      <c r="BF128" s="668">
        <v>261.47504100747273</v>
      </c>
      <c r="BG128" s="48">
        <v>23.651114190298074</v>
      </c>
      <c r="BH128" s="48">
        <v>23.744150287762238</v>
      </c>
      <c r="BI128" s="850">
        <f t="shared" si="102"/>
        <v>1.1357769151715695</v>
      </c>
      <c r="BJ128" s="789">
        <f t="shared" si="103"/>
        <v>9.9859124595059634E-2</v>
      </c>
      <c r="BK128" s="67" t="s">
        <v>64</v>
      </c>
      <c r="BL128" s="48" t="s">
        <v>64</v>
      </c>
      <c r="BM128" s="48" t="s">
        <v>64</v>
      </c>
      <c r="BN128" s="850" t="str">
        <f t="shared" si="104"/>
        <v>-</v>
      </c>
      <c r="BO128" s="789" t="str">
        <f t="shared" si="105"/>
        <v>-</v>
      </c>
      <c r="BP128" s="789" t="str">
        <f t="shared" si="106"/>
        <v>-</v>
      </c>
      <c r="BQ128" s="34" t="s">
        <v>64</v>
      </c>
      <c r="BR128" s="25">
        <v>2.7383611595392532</v>
      </c>
      <c r="BS128" s="26">
        <v>2.990518372359098</v>
      </c>
      <c r="BT128" s="605"/>
      <c r="BU128" s="599">
        <v>0.1359183286026075</v>
      </c>
      <c r="BV128" s="851">
        <v>2.4608990028890144E-2</v>
      </c>
      <c r="BW128" s="851">
        <v>5.9060101130057406E-2</v>
      </c>
      <c r="BX128" s="851">
        <v>0.1333023534636352</v>
      </c>
      <c r="BY128" s="851">
        <v>5.8831940205549549E-3</v>
      </c>
      <c r="BZ128" s="851">
        <v>2.6057630622888447E-2</v>
      </c>
      <c r="CA128" s="851">
        <v>2.0221425687886322E-2</v>
      </c>
      <c r="CB128" s="851">
        <v>2.8074285305461293E-2</v>
      </c>
      <c r="CC128" s="851">
        <v>9.7589816503891435E-3</v>
      </c>
      <c r="CD128" s="851">
        <v>6.0695811850481982E-3</v>
      </c>
      <c r="CE128" s="852">
        <v>20.743204199226522</v>
      </c>
      <c r="CF128" s="852">
        <v>19.732413251725266</v>
      </c>
      <c r="CG128" s="605"/>
      <c r="CH128" s="584">
        <v>49.615400000000001</v>
      </c>
      <c r="CI128" s="576">
        <v>2.08907</v>
      </c>
      <c r="CJ128" s="576">
        <v>13.300700000000001</v>
      </c>
      <c r="CK128" s="576">
        <v>14.080399999999999</v>
      </c>
      <c r="CL128" s="576">
        <v>0.213614</v>
      </c>
      <c r="CM128" s="576">
        <v>6.9136699999999998</v>
      </c>
      <c r="CN128" s="576">
        <v>10.8995</v>
      </c>
      <c r="CO128" s="576">
        <v>1.89076</v>
      </c>
      <c r="CP128" s="576">
        <v>0.34117599999999998</v>
      </c>
      <c r="CQ128" s="576">
        <v>0.225219</v>
      </c>
      <c r="CR128" s="857">
        <v>1.0475999999999999E-2</v>
      </c>
      <c r="CS128" s="793">
        <v>1191.78</v>
      </c>
      <c r="CT128" s="576">
        <f t="shared" si="107"/>
        <v>99.699163000000013</v>
      </c>
      <c r="CU128" s="576">
        <v>0.43677131298459565</v>
      </c>
      <c r="CV128" s="591">
        <v>113.06865996256901</v>
      </c>
      <c r="CW128" s="605"/>
      <c r="CX128" s="936">
        <v>243.50495225063611</v>
      </c>
      <c r="CY128" s="934">
        <v>22.540440856198302</v>
      </c>
      <c r="CZ128" s="934">
        <v>22.569675953383495</v>
      </c>
      <c r="DA128" s="938">
        <f t="shared" si="108"/>
        <v>1.0597599663404029</v>
      </c>
      <c r="DB128" s="936">
        <v>200.5273162225472</v>
      </c>
      <c r="DC128" s="934">
        <v>17.327507604086605</v>
      </c>
      <c r="DD128" s="934">
        <v>17.55540723182429</v>
      </c>
      <c r="DE128" s="939">
        <f t="shared" si="109"/>
        <v>0.87677087190870084</v>
      </c>
      <c r="DF128" s="9"/>
    </row>
    <row r="129" spans="1:110">
      <c r="A129" s="846" t="s">
        <v>259</v>
      </c>
      <c r="B129" s="41" t="s">
        <v>679</v>
      </c>
      <c r="C129" s="41" t="s">
        <v>1488</v>
      </c>
      <c r="D129" s="34" t="s">
        <v>736</v>
      </c>
      <c r="E129" s="535">
        <v>19.389810000000001</v>
      </c>
      <c r="F129" s="537">
        <v>-155.29229000000001</v>
      </c>
      <c r="G129" s="37" t="s">
        <v>405</v>
      </c>
      <c r="H129" s="37" t="s">
        <v>64</v>
      </c>
      <c r="I129" s="202" t="s">
        <v>780</v>
      </c>
      <c r="J129" t="s">
        <v>882</v>
      </c>
      <c r="K129" s="34">
        <v>2021</v>
      </c>
      <c r="L129" s="51">
        <v>165</v>
      </c>
      <c r="M129" s="52">
        <v>35</v>
      </c>
      <c r="N129" s="838">
        <f t="shared" si="93"/>
        <v>302369.37500000006</v>
      </c>
      <c r="O129" s="54">
        <v>293650.18703929416</v>
      </c>
      <c r="P129" s="53">
        <v>25</v>
      </c>
      <c r="Q129" s="54">
        <v>8181.230868723419</v>
      </c>
      <c r="R129" s="772">
        <f t="shared" si="94"/>
        <v>2.7105299128325436E-2</v>
      </c>
      <c r="S129" s="624" t="s">
        <v>216</v>
      </c>
      <c r="T129" s="37" t="s">
        <v>132</v>
      </c>
      <c r="U129" s="21">
        <v>87.539266669886345</v>
      </c>
      <c r="V129" s="552" t="s">
        <v>423</v>
      </c>
      <c r="W129" s="552" t="s">
        <v>423</v>
      </c>
      <c r="X129" s="556" t="s">
        <v>292</v>
      </c>
      <c r="Y129" s="784" t="s">
        <v>64</v>
      </c>
      <c r="Z129" s="784" t="s">
        <v>292</v>
      </c>
      <c r="AA129" s="785" t="s">
        <v>64</v>
      </c>
      <c r="AB129" s="32">
        <f t="shared" si="95"/>
        <v>1222.002321682809</v>
      </c>
      <c r="AC129" s="6">
        <f t="shared" si="96"/>
        <v>1200.918543</v>
      </c>
      <c r="AD129" s="6">
        <f t="shared" si="97"/>
        <v>21.083778682808997</v>
      </c>
      <c r="AE129" s="6">
        <f t="shared" si="98"/>
        <v>1247.9286256505984</v>
      </c>
      <c r="AF129" s="839">
        <v>0.97699999999999998</v>
      </c>
      <c r="AG129" s="553">
        <f t="shared" si="99"/>
        <v>2.3541453428863823E-2</v>
      </c>
      <c r="AH129" s="32">
        <f t="shared" si="111"/>
        <v>63.72748490864452</v>
      </c>
      <c r="AI129" s="9">
        <v>50.473860610403598</v>
      </c>
      <c r="AJ129" s="9">
        <v>2.1626622759796095</v>
      </c>
      <c r="AK129" s="9">
        <v>13.212467669304932</v>
      </c>
      <c r="AL129" s="9">
        <v>10.501340553674838</v>
      </c>
      <c r="AM129" s="9">
        <v>0.16101720063133437</v>
      </c>
      <c r="AN129" s="9">
        <v>10.34837421307507</v>
      </c>
      <c r="AO129" s="9">
        <v>10.059549609442616</v>
      </c>
      <c r="AP129" s="9">
        <v>2.3065713990438645</v>
      </c>
      <c r="AQ129" s="9">
        <v>0.41260657661779432</v>
      </c>
      <c r="AR129" s="9">
        <v>0.24555123096278489</v>
      </c>
      <c r="AS129" s="6">
        <v>187.87639892474056</v>
      </c>
      <c r="AT129" s="6">
        <v>972.11020971098208</v>
      </c>
      <c r="AU129" s="9">
        <v>98.056114999999991</v>
      </c>
      <c r="AV129" s="8">
        <f t="shared" si="100"/>
        <v>2.100867435571689</v>
      </c>
      <c r="AW129" s="9">
        <f t="shared" si="101"/>
        <v>8.611099254013368</v>
      </c>
      <c r="AX129" s="8" t="s">
        <v>64</v>
      </c>
      <c r="AY129" s="789" t="s">
        <v>64</v>
      </c>
      <c r="AZ129" s="6" t="s">
        <v>64</v>
      </c>
      <c r="BA129" s="48" t="s">
        <v>64</v>
      </c>
      <c r="BB129" s="6" t="s">
        <v>292</v>
      </c>
      <c r="BC129" s="48" t="s">
        <v>292</v>
      </c>
      <c r="BD129" s="849" t="s">
        <v>64</v>
      </c>
      <c r="BE129" s="48" t="s">
        <v>64</v>
      </c>
      <c r="BF129" s="668" t="s">
        <v>64</v>
      </c>
      <c r="BG129" s="48" t="s">
        <v>64</v>
      </c>
      <c r="BH129" s="48" t="s">
        <v>64</v>
      </c>
      <c r="BI129" s="850" t="str">
        <f t="shared" si="102"/>
        <v>-</v>
      </c>
      <c r="BJ129" s="789" t="str">
        <f t="shared" si="103"/>
        <v>-</v>
      </c>
      <c r="BK129" s="67" t="s">
        <v>64</v>
      </c>
      <c r="BL129" s="48" t="s">
        <v>64</v>
      </c>
      <c r="BM129" s="48" t="s">
        <v>64</v>
      </c>
      <c r="BN129" s="850" t="str">
        <f t="shared" si="104"/>
        <v>-</v>
      </c>
      <c r="BO129" s="789" t="str">
        <f t="shared" si="105"/>
        <v>-</v>
      </c>
      <c r="BP129" s="789" t="str">
        <f t="shared" si="106"/>
        <v>-</v>
      </c>
      <c r="BQ129" s="34" t="s">
        <v>64</v>
      </c>
      <c r="BR129" s="25">
        <v>2.673443742827311</v>
      </c>
      <c r="BS129" s="26">
        <v>2.9438364056658011</v>
      </c>
      <c r="BT129" s="605"/>
      <c r="BU129" s="599">
        <v>0.14019619523145702</v>
      </c>
      <c r="BV129" s="851">
        <v>2.743401976948414E-2</v>
      </c>
      <c r="BW129" s="851">
        <v>6.3749363756336136E-2</v>
      </c>
      <c r="BX129" s="851">
        <v>0.11628239408489686</v>
      </c>
      <c r="BY129" s="851">
        <v>5.9981161475980895E-3</v>
      </c>
      <c r="BZ129" s="851">
        <v>2.3940756774464916E-2</v>
      </c>
      <c r="CA129" s="851">
        <v>2.155389277968003E-2</v>
      </c>
      <c r="CB129" s="851">
        <v>3.1888349591781426E-2</v>
      </c>
      <c r="CC129" s="851">
        <v>1.0743697605920101E-2</v>
      </c>
      <c r="CD129" s="851">
        <v>6.900382472023796E-3</v>
      </c>
      <c r="CE129" s="852">
        <v>24.806072455629195</v>
      </c>
      <c r="CF129" s="852">
        <v>21.087306302113536</v>
      </c>
      <c r="CG129" s="605"/>
      <c r="CH129" s="584">
        <v>49.713099999999997</v>
      </c>
      <c r="CI129" s="576">
        <v>2.1673</v>
      </c>
      <c r="CJ129" s="576">
        <v>13.258800000000001</v>
      </c>
      <c r="CK129" s="576">
        <v>10.275499999999999</v>
      </c>
      <c r="CL129" s="576">
        <v>0.15509999999999999</v>
      </c>
      <c r="CM129" s="576">
        <v>9.2994299999999992</v>
      </c>
      <c r="CN129" s="576">
        <v>10.088699999999999</v>
      </c>
      <c r="CO129" s="576">
        <v>2.3152900000000001</v>
      </c>
      <c r="CP129" s="576">
        <v>0.41657</v>
      </c>
      <c r="CQ129" s="576">
        <v>0.250639</v>
      </c>
      <c r="CR129" s="857">
        <v>1.8737E-2</v>
      </c>
      <c r="CS129" s="793">
        <v>969.4899999999999</v>
      </c>
      <c r="CT129" s="576">
        <f t="shared" si="107"/>
        <v>98.056114999999991</v>
      </c>
      <c r="CU129" s="576" t="s">
        <v>64</v>
      </c>
      <c r="CV129" s="591" t="s">
        <v>64</v>
      </c>
      <c r="CW129" s="605"/>
      <c r="CX129" s="936" t="s">
        <v>64</v>
      </c>
      <c r="CY129" s="934" t="s">
        <v>64</v>
      </c>
      <c r="CZ129" s="934" t="s">
        <v>64</v>
      </c>
      <c r="DA129" s="938" t="str">
        <f t="shared" si="108"/>
        <v>-</v>
      </c>
      <c r="DB129" s="936" t="s">
        <v>64</v>
      </c>
      <c r="DC129" s="934" t="s">
        <v>64</v>
      </c>
      <c r="DD129" s="934" t="s">
        <v>64</v>
      </c>
      <c r="DE129" s="939" t="str">
        <f t="shared" si="109"/>
        <v>-</v>
      </c>
      <c r="DF129" s="9"/>
    </row>
    <row r="130" spans="1:110">
      <c r="A130" s="846" t="s">
        <v>260</v>
      </c>
      <c r="B130" s="41" t="s">
        <v>679</v>
      </c>
      <c r="C130" s="41" t="s">
        <v>1488</v>
      </c>
      <c r="D130" s="34" t="s">
        <v>736</v>
      </c>
      <c r="E130" s="535">
        <v>19.389810000000001</v>
      </c>
      <c r="F130" s="537">
        <v>-155.29229000000001</v>
      </c>
      <c r="G130" s="37" t="s">
        <v>405</v>
      </c>
      <c r="H130" s="37" t="s">
        <v>64</v>
      </c>
      <c r="I130" s="202" t="s">
        <v>780</v>
      </c>
      <c r="J130" t="s">
        <v>882</v>
      </c>
      <c r="K130" s="34">
        <v>2021</v>
      </c>
      <c r="L130" s="51">
        <v>32.5</v>
      </c>
      <c r="M130" s="52">
        <v>20</v>
      </c>
      <c r="N130" s="838">
        <f t="shared" si="93"/>
        <v>8933.6406250000018</v>
      </c>
      <c r="O130" s="54">
        <v>8588.0108751904409</v>
      </c>
      <c r="P130" s="53">
        <v>7.5</v>
      </c>
      <c r="Q130" s="54">
        <v>220.89323345553231</v>
      </c>
      <c r="R130" s="772">
        <f t="shared" si="94"/>
        <v>2.5076131006889355E-2</v>
      </c>
      <c r="S130" s="624" t="s">
        <v>217</v>
      </c>
      <c r="T130" s="37" t="s">
        <v>132</v>
      </c>
      <c r="U130" s="21">
        <v>87.349154070519049</v>
      </c>
      <c r="V130" s="552" t="s">
        <v>423</v>
      </c>
      <c r="W130" s="552" t="s">
        <v>423</v>
      </c>
      <c r="X130" s="556">
        <v>102.63941095260017</v>
      </c>
      <c r="Y130" s="784">
        <v>7.464232649553538E-3</v>
      </c>
      <c r="Z130" s="784">
        <v>1.6990888173054941E-2</v>
      </c>
      <c r="AA130" s="785">
        <v>2.6498025905918126E-3</v>
      </c>
      <c r="AB130" s="32">
        <f t="shared" si="95"/>
        <v>1231.287330610154</v>
      </c>
      <c r="AC130" s="6">
        <f t="shared" si="96"/>
        <v>1182.0422309999999</v>
      </c>
      <c r="AD130" s="6">
        <f t="shared" si="97"/>
        <v>49.245099610154057</v>
      </c>
      <c r="AE130" s="6">
        <f t="shared" si="98"/>
        <v>1244.2763332624709</v>
      </c>
      <c r="AF130" s="839">
        <v>0.94299999999999995</v>
      </c>
      <c r="AG130" s="553">
        <f t="shared" si="99"/>
        <v>6.0445387062566303E-2</v>
      </c>
      <c r="AH130" s="32">
        <f t="shared" si="111"/>
        <v>63.39602371203722</v>
      </c>
      <c r="AI130" s="9">
        <v>49.682175257683781</v>
      </c>
      <c r="AJ130" s="9">
        <v>1.9859992296518525</v>
      </c>
      <c r="AK130" s="9">
        <v>13.132344450175093</v>
      </c>
      <c r="AL130" s="9">
        <v>11.12823580505529</v>
      </c>
      <c r="AM130" s="9">
        <v>0.18008807604239191</v>
      </c>
      <c r="AN130" s="9">
        <v>10.810314955729055</v>
      </c>
      <c r="AO130" s="9">
        <v>10.106059909753222</v>
      </c>
      <c r="AP130" s="9">
        <v>2.0151755101279942</v>
      </c>
      <c r="AQ130" s="9">
        <v>0.49197245354597569</v>
      </c>
      <c r="AR130" s="9">
        <v>0.33099987160864214</v>
      </c>
      <c r="AS130" s="6">
        <v>175.90372510325705</v>
      </c>
      <c r="AT130" s="6">
        <v>1190.441081163877</v>
      </c>
      <c r="AU130" s="9">
        <v>97.530188999999993</v>
      </c>
      <c r="AV130" s="8">
        <f t="shared" si="100"/>
        <v>2.2262822635556114</v>
      </c>
      <c r="AW130" s="9">
        <f t="shared" si="101"/>
        <v>9.1251533601453403</v>
      </c>
      <c r="AX130" s="8" t="s">
        <v>64</v>
      </c>
      <c r="AY130" s="789" t="s">
        <v>64</v>
      </c>
      <c r="AZ130" s="863" t="s">
        <v>896</v>
      </c>
      <c r="BA130" s="48" t="s">
        <v>64</v>
      </c>
      <c r="BB130" s="6">
        <v>139.67026336785028</v>
      </c>
      <c r="BC130" s="48">
        <v>34.760582628052831</v>
      </c>
      <c r="BD130" s="849">
        <v>280.67026336785028</v>
      </c>
      <c r="BE130" s="48">
        <v>37.511439650347839</v>
      </c>
      <c r="BF130" s="668">
        <v>616.53724590343279</v>
      </c>
      <c r="BG130" s="48">
        <v>74.537531598400506</v>
      </c>
      <c r="BH130" s="48">
        <v>75.446888633392405</v>
      </c>
      <c r="BI130" s="850">
        <f t="shared" si="102"/>
        <v>2.5815883265503929</v>
      </c>
      <c r="BJ130" s="789">
        <f t="shared" si="103"/>
        <v>0.29299634533576557</v>
      </c>
      <c r="BK130" s="67" t="s">
        <v>64</v>
      </c>
      <c r="BL130" s="48" t="s">
        <v>64</v>
      </c>
      <c r="BM130" s="48" t="s">
        <v>64</v>
      </c>
      <c r="BN130" s="850" t="str">
        <f t="shared" si="104"/>
        <v>-</v>
      </c>
      <c r="BO130" s="789" t="str">
        <f t="shared" si="105"/>
        <v>-</v>
      </c>
      <c r="BP130" s="789" t="str">
        <f t="shared" si="106"/>
        <v>-</v>
      </c>
      <c r="BQ130" s="34" t="s">
        <v>64</v>
      </c>
      <c r="BR130" s="25">
        <v>2.687966568628537</v>
      </c>
      <c r="BS130" s="26">
        <v>2.9501854697760028</v>
      </c>
      <c r="BT130" s="605"/>
      <c r="BU130" s="599">
        <v>0.13841454026790703</v>
      </c>
      <c r="BV130" s="851">
        <v>2.6080539083634058E-2</v>
      </c>
      <c r="BW130" s="851">
        <v>6.2256374011500568E-2</v>
      </c>
      <c r="BX130" s="851">
        <v>0.11944269336639994</v>
      </c>
      <c r="BY130" s="851">
        <v>5.9730532533284293E-3</v>
      </c>
      <c r="BZ130" s="851">
        <v>2.6490568695864494E-2</v>
      </c>
      <c r="CA130" s="851">
        <v>2.1297914896210329E-2</v>
      </c>
      <c r="CB130" s="851">
        <v>2.948725716949889E-2</v>
      </c>
      <c r="CC130" s="851">
        <v>1.130656012463897E-2</v>
      </c>
      <c r="CD130" s="851">
        <v>7.0987556464675817E-3</v>
      </c>
      <c r="CE130" s="852">
        <v>24.460116590508306</v>
      </c>
      <c r="CF130" s="852">
        <v>20.788077379824205</v>
      </c>
      <c r="CG130" s="605"/>
      <c r="CH130" s="584">
        <v>49.010899999999999</v>
      </c>
      <c r="CI130" s="576">
        <v>2.04393</v>
      </c>
      <c r="CJ130" s="576">
        <v>13.5876</v>
      </c>
      <c r="CK130" s="576">
        <v>10.8329</v>
      </c>
      <c r="CL130" s="576">
        <v>0.17627899999999999</v>
      </c>
      <c r="CM130" s="576">
        <v>8.3603100000000001</v>
      </c>
      <c r="CN130" s="576">
        <v>10.4391</v>
      </c>
      <c r="CO130" s="576">
        <v>2.0867900000000001</v>
      </c>
      <c r="CP130" s="576">
        <v>0.51151999999999997</v>
      </c>
      <c r="CQ130" s="576">
        <v>0.34039900000000001</v>
      </c>
      <c r="CR130" s="857">
        <v>1.8082999999999998E-2</v>
      </c>
      <c r="CS130" s="793">
        <v>1223.78</v>
      </c>
      <c r="CT130" s="576">
        <f t="shared" si="107"/>
        <v>97.530188999999993</v>
      </c>
      <c r="CU130" s="576" t="s">
        <v>64</v>
      </c>
      <c r="CV130" s="591" t="s">
        <v>64</v>
      </c>
      <c r="CW130" s="605"/>
      <c r="CX130" s="936">
        <v>625.9920105623687</v>
      </c>
      <c r="CY130" s="934">
        <v>78.957444709342894</v>
      </c>
      <c r="CZ130" s="934">
        <v>79.375943784305036</v>
      </c>
      <c r="DA130" s="938">
        <f t="shared" si="108"/>
        <v>2.6187166566443087</v>
      </c>
      <c r="DB130" s="936">
        <v>495.02990064578069</v>
      </c>
      <c r="DC130" s="934">
        <v>57.053006465330213</v>
      </c>
      <c r="DD130" s="934">
        <v>58.059538999908114</v>
      </c>
      <c r="DE130" s="939">
        <f t="shared" si="109"/>
        <v>2.0983578708571975</v>
      </c>
      <c r="DF130" s="9"/>
    </row>
    <row r="131" spans="1:110">
      <c r="A131" s="846" t="s">
        <v>261</v>
      </c>
      <c r="B131" s="41" t="s">
        <v>679</v>
      </c>
      <c r="C131" s="41" t="s">
        <v>1488</v>
      </c>
      <c r="D131" s="34" t="s">
        <v>736</v>
      </c>
      <c r="E131" s="535">
        <v>19.389810000000001</v>
      </c>
      <c r="F131" s="537">
        <v>-155.29229000000001</v>
      </c>
      <c r="G131" s="37" t="s">
        <v>405</v>
      </c>
      <c r="H131" s="37" t="s">
        <v>64</v>
      </c>
      <c r="I131" s="202" t="s">
        <v>780</v>
      </c>
      <c r="J131" t="s">
        <v>882</v>
      </c>
      <c r="K131" s="34">
        <v>2021</v>
      </c>
      <c r="L131" s="51">
        <v>47.5</v>
      </c>
      <c r="M131" s="52">
        <v>35</v>
      </c>
      <c r="N131" s="838">
        <f t="shared" si="93"/>
        <v>35906.363281250007</v>
      </c>
      <c r="O131" s="54">
        <v>34835.512312505751</v>
      </c>
      <c r="P131" s="53">
        <v>11</v>
      </c>
      <c r="Q131" s="54">
        <v>696.90997032133578</v>
      </c>
      <c r="R131" s="772">
        <f t="shared" si="94"/>
        <v>1.9613353820185635E-2</v>
      </c>
      <c r="S131" s="624" t="s">
        <v>217</v>
      </c>
      <c r="T131" s="37" t="s">
        <v>132</v>
      </c>
      <c r="U131" s="21">
        <v>87.349154070519049</v>
      </c>
      <c r="V131" s="552" t="s">
        <v>423</v>
      </c>
      <c r="W131" s="552" t="s">
        <v>423</v>
      </c>
      <c r="X131" s="556">
        <v>102.6711272999556</v>
      </c>
      <c r="Y131" s="784">
        <v>6.4766365355919987E-3</v>
      </c>
      <c r="Z131" s="784">
        <v>2.8250191484232801E-2</v>
      </c>
      <c r="AA131" s="785">
        <v>2.2992059701339093E-3</v>
      </c>
      <c r="AB131" s="32">
        <f t="shared" si="95"/>
        <v>1231.8981342557877</v>
      </c>
      <c r="AC131" s="6">
        <f t="shared" si="96"/>
        <v>1188.733119</v>
      </c>
      <c r="AD131" s="6">
        <f t="shared" si="97"/>
        <v>43.165015255787694</v>
      </c>
      <c r="AE131" s="6">
        <f t="shared" si="98"/>
        <v>1244.2763332624709</v>
      </c>
      <c r="AF131" s="839">
        <v>0.95</v>
      </c>
      <c r="AG131" s="553">
        <f t="shared" si="99"/>
        <v>5.2631578947368363E-2</v>
      </c>
      <c r="AH131" s="32">
        <f t="shared" si="111"/>
        <v>63.381198992522506</v>
      </c>
      <c r="AI131" s="9">
        <v>50.297200977234368</v>
      </c>
      <c r="AJ131" s="9">
        <v>1.9989307026774545</v>
      </c>
      <c r="AK131" s="9">
        <v>12.665595141776119</v>
      </c>
      <c r="AL131" s="9">
        <v>11.166648615862981</v>
      </c>
      <c r="AM131" s="9">
        <v>0.16196670514900363</v>
      </c>
      <c r="AN131" s="9">
        <v>10.840703196805359</v>
      </c>
      <c r="AO131" s="9">
        <v>9.9292632286997868</v>
      </c>
      <c r="AP131" s="9">
        <v>2.0391708778697537</v>
      </c>
      <c r="AQ131" s="9">
        <v>0.47684607602874352</v>
      </c>
      <c r="AR131" s="9">
        <v>0.27665120444705588</v>
      </c>
      <c r="AS131" s="6">
        <v>246.29698625666953</v>
      </c>
      <c r="AT131" s="6">
        <v>1223.9357482369287</v>
      </c>
      <c r="AU131" s="9">
        <v>97.732908000000009</v>
      </c>
      <c r="AV131" s="8">
        <f t="shared" si="100"/>
        <v>2.2339670179850266</v>
      </c>
      <c r="AW131" s="9">
        <f t="shared" si="101"/>
        <v>9.1566518650076443</v>
      </c>
      <c r="AX131" s="8" t="s">
        <v>64</v>
      </c>
      <c r="AY131" s="789" t="s">
        <v>64</v>
      </c>
      <c r="AZ131" s="863" t="s">
        <v>896</v>
      </c>
      <c r="BA131" s="48" t="s">
        <v>64</v>
      </c>
      <c r="BB131" s="6">
        <v>182.19502213119586</v>
      </c>
      <c r="BC131" s="48">
        <v>28.540383956791974</v>
      </c>
      <c r="BD131" s="849">
        <v>323.19502213119586</v>
      </c>
      <c r="BE131" s="48">
        <v>31.833371112734962</v>
      </c>
      <c r="BF131" s="668">
        <v>724.35443077737159</v>
      </c>
      <c r="BG131" s="48">
        <v>64.522002465811511</v>
      </c>
      <c r="BH131" s="48">
        <v>65.198870670020597</v>
      </c>
      <c r="BI131" s="850">
        <f t="shared" si="102"/>
        <v>3.0010960591746558</v>
      </c>
      <c r="BJ131" s="789">
        <f t="shared" si="103"/>
        <v>0.24856698898858243</v>
      </c>
      <c r="BK131" s="67" t="s">
        <v>64</v>
      </c>
      <c r="BL131" s="48" t="s">
        <v>64</v>
      </c>
      <c r="BM131" s="48" t="s">
        <v>64</v>
      </c>
      <c r="BN131" s="850" t="str">
        <f t="shared" si="104"/>
        <v>-</v>
      </c>
      <c r="BO131" s="789" t="str">
        <f t="shared" si="105"/>
        <v>-</v>
      </c>
      <c r="BP131" s="789" t="str">
        <f t="shared" si="106"/>
        <v>-</v>
      </c>
      <c r="BQ131" s="34" t="s">
        <v>64</v>
      </c>
      <c r="BR131" s="25">
        <v>2.683760140864468</v>
      </c>
      <c r="BS131" s="26">
        <v>2.946318353061971</v>
      </c>
      <c r="BT131" s="605"/>
      <c r="BU131" s="599">
        <v>0.13909992713460029</v>
      </c>
      <c r="BV131" s="851">
        <v>2.5736832476183032E-2</v>
      </c>
      <c r="BW131" s="851">
        <v>6.1369494732107753E-2</v>
      </c>
      <c r="BX131" s="851">
        <v>0.11952334012475101</v>
      </c>
      <c r="BY131" s="851">
        <v>6.0540238984004872E-3</v>
      </c>
      <c r="BZ131" s="851">
        <v>2.5997523964386805E-2</v>
      </c>
      <c r="CA131" s="851">
        <v>2.1143968874987051E-2</v>
      </c>
      <c r="CB131" s="851">
        <v>2.9695221991890501E-2</v>
      </c>
      <c r="CC131" s="851">
        <v>1.1449741869956571E-2</v>
      </c>
      <c r="CD131" s="851">
        <v>7.1140580572355968E-3</v>
      </c>
      <c r="CE131" s="852">
        <v>24.400667058146873</v>
      </c>
      <c r="CF131" s="852">
        <v>21.68961018165626</v>
      </c>
      <c r="CG131" s="605"/>
      <c r="CH131" s="584">
        <v>49.677300000000002</v>
      </c>
      <c r="CI131" s="576">
        <v>2.0512100000000002</v>
      </c>
      <c r="CJ131" s="576">
        <v>13.0387</v>
      </c>
      <c r="CK131" s="576">
        <v>10.8912</v>
      </c>
      <c r="CL131" s="576">
        <v>0.15656999999999999</v>
      </c>
      <c r="CM131" s="576">
        <v>8.6931899999999995</v>
      </c>
      <c r="CN131" s="576">
        <v>10.202500000000001</v>
      </c>
      <c r="CO131" s="576">
        <v>2.1032000000000002</v>
      </c>
      <c r="CP131" s="576">
        <v>0.48651800000000001</v>
      </c>
      <c r="CQ131" s="576">
        <v>0.28216999999999998</v>
      </c>
      <c r="CR131" s="857">
        <v>2.5187000000000001E-2</v>
      </c>
      <c r="CS131" s="793">
        <v>1251.6299999999999</v>
      </c>
      <c r="CT131" s="576">
        <f t="shared" si="107"/>
        <v>97.732908000000009</v>
      </c>
      <c r="CU131" s="576" t="s">
        <v>64</v>
      </c>
      <c r="CV131" s="591" t="s">
        <v>64</v>
      </c>
      <c r="CW131" s="605"/>
      <c r="CX131" s="936">
        <v>715.49613933944772</v>
      </c>
      <c r="CY131" s="934">
        <v>66.628370656516609</v>
      </c>
      <c r="CZ131" s="934">
        <v>66.935809379782881</v>
      </c>
      <c r="DA131" s="938">
        <f t="shared" si="108"/>
        <v>2.9669448850244855</v>
      </c>
      <c r="DB131" s="936">
        <v>568.01566809107055</v>
      </c>
      <c r="DC131" s="934">
        <v>48.348247856354533</v>
      </c>
      <c r="DD131" s="934">
        <v>48.974486890676758</v>
      </c>
      <c r="DE131" s="939">
        <f t="shared" si="109"/>
        <v>2.3899863901726022</v>
      </c>
      <c r="DF131" s="9"/>
    </row>
    <row r="132" spans="1:110">
      <c r="A132" s="846" t="s">
        <v>262</v>
      </c>
      <c r="B132" s="41" t="s">
        <v>679</v>
      </c>
      <c r="C132" s="41" t="s">
        <v>1488</v>
      </c>
      <c r="D132" s="34" t="s">
        <v>736</v>
      </c>
      <c r="E132" s="535">
        <v>19.389810000000001</v>
      </c>
      <c r="F132" s="537">
        <v>-155.29229000000001</v>
      </c>
      <c r="G132" s="37" t="s">
        <v>405</v>
      </c>
      <c r="H132" s="37" t="s">
        <v>64</v>
      </c>
      <c r="I132" s="202" t="s">
        <v>780</v>
      </c>
      <c r="J132" t="s">
        <v>881</v>
      </c>
      <c r="K132" s="34">
        <v>2021</v>
      </c>
      <c r="L132" s="51">
        <v>90</v>
      </c>
      <c r="M132" s="52">
        <v>87.5</v>
      </c>
      <c r="N132" s="838">
        <f t="shared" si="93"/>
        <v>365935.66406250006</v>
      </c>
      <c r="O132" s="54">
        <v>354390.22588927514</v>
      </c>
      <c r="P132" s="53">
        <v>25</v>
      </c>
      <c r="Q132" s="54">
        <v>8181.230868723419</v>
      </c>
      <c r="R132" s="772">
        <f t="shared" si="94"/>
        <v>2.256446478682422E-2</v>
      </c>
      <c r="S132" s="624" t="s">
        <v>218</v>
      </c>
      <c r="T132" s="37" t="s">
        <v>132</v>
      </c>
      <c r="U132" s="21">
        <v>87.659909955862531</v>
      </c>
      <c r="V132" s="552" t="s">
        <v>423</v>
      </c>
      <c r="W132" s="552" t="s">
        <v>423</v>
      </c>
      <c r="X132" s="556" t="s">
        <v>292</v>
      </c>
      <c r="Y132" s="784" t="s">
        <v>64</v>
      </c>
      <c r="Z132" s="784" t="s">
        <v>292</v>
      </c>
      <c r="AA132" s="785" t="s">
        <v>64</v>
      </c>
      <c r="AB132" s="32">
        <f t="shared" si="95"/>
        <v>1232.5103294014941</v>
      </c>
      <c r="AC132" s="6">
        <f t="shared" si="96"/>
        <v>1210.686741</v>
      </c>
      <c r="AD132" s="6">
        <f t="shared" si="97"/>
        <v>21.823588401494135</v>
      </c>
      <c r="AE132" s="6">
        <f t="shared" si="98"/>
        <v>1250.2863211277981</v>
      </c>
      <c r="AF132" s="839">
        <v>0.96799999999999997</v>
      </c>
      <c r="AG132" s="553">
        <f t="shared" si="99"/>
        <v>3.3057851239669533E-2</v>
      </c>
      <c r="AH132" s="32">
        <f t="shared" si="111"/>
        <v>64.048944110835748</v>
      </c>
      <c r="AI132" s="9">
        <v>51.455418713844345</v>
      </c>
      <c r="AJ132" s="9">
        <v>2.1237294250870127</v>
      </c>
      <c r="AK132" s="9">
        <v>12.081414810928438</v>
      </c>
      <c r="AL132" s="9">
        <v>10.879208907101352</v>
      </c>
      <c r="AM132" s="9">
        <v>0.15191053680158165</v>
      </c>
      <c r="AN132" s="9">
        <v>10.871160666741002</v>
      </c>
      <c r="AO132" s="9">
        <v>9.6236834108869562</v>
      </c>
      <c r="AP132" s="9">
        <v>2.0603495322492669</v>
      </c>
      <c r="AQ132" s="9">
        <v>0.38832759738682465</v>
      </c>
      <c r="AR132" s="9">
        <v>0.21428439959428405</v>
      </c>
      <c r="AS132" s="6">
        <v>119.42867207545768</v>
      </c>
      <c r="AT132" s="6">
        <v>1263.1367822315776</v>
      </c>
      <c r="AU132" s="9">
        <v>101.16015400000001</v>
      </c>
      <c r="AV132" s="8">
        <f t="shared" si="100"/>
        <v>2.1764626716836211</v>
      </c>
      <c r="AW132" s="9">
        <f t="shared" si="101"/>
        <v>8.9209513038231094</v>
      </c>
      <c r="AX132" s="8">
        <v>0.33948684731368528</v>
      </c>
      <c r="AY132" s="789">
        <v>1.6974342365684264E-2</v>
      </c>
      <c r="AZ132" s="6">
        <v>121.81995963875883</v>
      </c>
      <c r="BA132" s="48">
        <v>12.181995963875885</v>
      </c>
      <c r="BB132" s="6" t="s">
        <v>292</v>
      </c>
      <c r="BC132" s="48" t="s">
        <v>292</v>
      </c>
      <c r="BD132" s="849">
        <v>121.81995963875883</v>
      </c>
      <c r="BE132" s="48">
        <v>12.181995963875885</v>
      </c>
      <c r="BF132" s="668">
        <v>317.31376210279808</v>
      </c>
      <c r="BG132" s="48">
        <v>29.57538924439973</v>
      </c>
      <c r="BH132" s="48">
        <v>29.717880788944171</v>
      </c>
      <c r="BI132" s="850">
        <f t="shared" si="102"/>
        <v>1.3701533135479238</v>
      </c>
      <c r="BJ132" s="789">
        <f t="shared" si="103"/>
        <v>0.12341512841148317</v>
      </c>
      <c r="BK132" s="67" t="s">
        <v>64</v>
      </c>
      <c r="BL132" s="48" t="s">
        <v>64</v>
      </c>
      <c r="BM132" s="48" t="s">
        <v>64</v>
      </c>
      <c r="BN132" s="850" t="str">
        <f t="shared" si="104"/>
        <v>-</v>
      </c>
      <c r="BO132" s="789" t="str">
        <f t="shared" si="105"/>
        <v>-</v>
      </c>
      <c r="BP132" s="789" t="str">
        <f t="shared" si="106"/>
        <v>-</v>
      </c>
      <c r="BQ132" s="34" t="s">
        <v>64</v>
      </c>
      <c r="BR132" s="25">
        <v>2.6841027445890902</v>
      </c>
      <c r="BS132" s="26">
        <v>2.9425215285878399</v>
      </c>
      <c r="BT132" s="605"/>
      <c r="BU132" s="599">
        <v>0.13878246802985814</v>
      </c>
      <c r="BV132" s="851">
        <v>2.5644245180868188E-2</v>
      </c>
      <c r="BW132" s="851">
        <v>5.9467139982351952E-2</v>
      </c>
      <c r="BX132" s="851">
        <v>0.11653155828752541</v>
      </c>
      <c r="BY132" s="851">
        <v>5.5600927485283695E-3</v>
      </c>
      <c r="BZ132" s="851">
        <v>2.3986563741524015E-2</v>
      </c>
      <c r="CA132" s="851">
        <v>2.0055371280951983E-2</v>
      </c>
      <c r="CB132" s="851">
        <v>3.0161456802597016E-2</v>
      </c>
      <c r="CC132" s="851">
        <v>1.039331631474019E-2</v>
      </c>
      <c r="CD132" s="851">
        <v>6.327068324620628E-3</v>
      </c>
      <c r="CE132" s="852">
        <v>21.096000064080922</v>
      </c>
      <c r="CF132" s="852">
        <v>20.393848603841715</v>
      </c>
      <c r="CG132" s="605"/>
      <c r="CH132" s="584">
        <v>52.426299999999998</v>
      </c>
      <c r="CI132" s="576">
        <v>2.2181299999999999</v>
      </c>
      <c r="CJ132" s="576">
        <v>12.621600000000001</v>
      </c>
      <c r="CK132" s="576">
        <v>10.984500000000001</v>
      </c>
      <c r="CL132" s="576">
        <v>0.15526699999999999</v>
      </c>
      <c r="CM132" s="576">
        <v>9.7854100000000006</v>
      </c>
      <c r="CN132" s="576">
        <v>10.0464</v>
      </c>
      <c r="CO132" s="576">
        <v>2.15082</v>
      </c>
      <c r="CP132" s="576">
        <v>0.40440199999999998</v>
      </c>
      <c r="CQ132" s="576">
        <v>0.22370699999999999</v>
      </c>
      <c r="CR132" s="857">
        <v>1.2406E-2</v>
      </c>
      <c r="CS132" s="793">
        <v>1312.12</v>
      </c>
      <c r="CT132" s="576">
        <f t="shared" si="107"/>
        <v>101.16015400000001</v>
      </c>
      <c r="CU132" s="576">
        <v>0.33948684731368528</v>
      </c>
      <c r="CV132" s="591">
        <v>125.84706574251946</v>
      </c>
      <c r="CW132" s="605"/>
      <c r="CX132" s="936">
        <v>273.76405717022908</v>
      </c>
      <c r="CY132" s="934">
        <v>26.207539671711743</v>
      </c>
      <c r="CZ132" s="934">
        <v>26.244983990613889</v>
      </c>
      <c r="DA132" s="938">
        <f t="shared" si="108"/>
        <v>1.1875954112955283</v>
      </c>
      <c r="DB132" s="936">
        <v>257.37255295938132</v>
      </c>
      <c r="DC132" s="934">
        <v>22.23948812807879</v>
      </c>
      <c r="DD132" s="934">
        <v>22.531992461724428</v>
      </c>
      <c r="DE132" s="939">
        <f t="shared" si="109"/>
        <v>1.118448122504714</v>
      </c>
      <c r="DF132" s="9"/>
    </row>
    <row r="133" spans="1:110">
      <c r="A133" s="846" t="s">
        <v>263</v>
      </c>
      <c r="B133" s="41" t="s">
        <v>679</v>
      </c>
      <c r="C133" s="41" t="s">
        <v>1488</v>
      </c>
      <c r="D133" s="34" t="s">
        <v>736</v>
      </c>
      <c r="E133" s="535">
        <v>19.389810000000001</v>
      </c>
      <c r="F133" s="537">
        <v>-155.29229000000001</v>
      </c>
      <c r="G133" s="37" t="s">
        <v>405</v>
      </c>
      <c r="H133" s="37" t="s">
        <v>64</v>
      </c>
      <c r="I133" s="202" t="s">
        <v>780</v>
      </c>
      <c r="J133" t="s">
        <v>881</v>
      </c>
      <c r="K133" s="34">
        <v>2021</v>
      </c>
      <c r="L133" s="51">
        <v>88</v>
      </c>
      <c r="M133" s="52">
        <v>58</v>
      </c>
      <c r="N133" s="838">
        <f t="shared" si="93"/>
        <v>195082.96133333334</v>
      </c>
      <c r="O133" s="54">
        <v>187882.83800256127</v>
      </c>
      <c r="P133" s="53">
        <v>22.8</v>
      </c>
      <c r="Q133" s="54">
        <v>6205.8769951600489</v>
      </c>
      <c r="R133" s="772">
        <f t="shared" si="94"/>
        <v>3.1974434965128751E-2</v>
      </c>
      <c r="S133" s="624" t="s">
        <v>219</v>
      </c>
      <c r="T133" s="37" t="s">
        <v>132</v>
      </c>
      <c r="U133" s="21">
        <v>87.448579702346734</v>
      </c>
      <c r="V133" s="552" t="s">
        <v>423</v>
      </c>
      <c r="W133" s="552" t="s">
        <v>423</v>
      </c>
      <c r="X133" s="556">
        <v>102.68272434422457</v>
      </c>
      <c r="Y133" s="784">
        <v>5.0930166345564054E-3</v>
      </c>
      <c r="Z133" s="784">
        <v>3.2367142199717591E-2</v>
      </c>
      <c r="AA133" s="785">
        <v>1.8080209052690201E-3</v>
      </c>
      <c r="AB133" s="32">
        <f t="shared" si="95"/>
        <v>1205.9759709565556</v>
      </c>
      <c r="AC133" s="6">
        <f t="shared" si="96"/>
        <v>1172.616336</v>
      </c>
      <c r="AD133" s="6">
        <f t="shared" si="97"/>
        <v>33.35963495655551</v>
      </c>
      <c r="AE133" s="6">
        <f t="shared" si="98"/>
        <v>1246.1768449157353</v>
      </c>
      <c r="AF133" s="839">
        <v>0.95899999999999996</v>
      </c>
      <c r="AG133" s="553">
        <f t="shared" si="99"/>
        <v>4.2752867570385877E-2</v>
      </c>
      <c r="AH133" s="32">
        <f t="shared" si="111"/>
        <v>63.51325496805044</v>
      </c>
      <c r="AI133" s="9">
        <v>52.25065349805589</v>
      </c>
      <c r="AJ133" s="9">
        <v>2.1441322925195871</v>
      </c>
      <c r="AK133" s="9">
        <v>12.838645800330697</v>
      </c>
      <c r="AL133" s="9">
        <v>9.7823521619784355</v>
      </c>
      <c r="AM133" s="9">
        <v>0.15185927587732534</v>
      </c>
      <c r="AN133" s="9">
        <v>9.551043331171913</v>
      </c>
      <c r="AO133" s="9">
        <v>10.310339710558541</v>
      </c>
      <c r="AP133" s="9">
        <v>2.1089331226142467</v>
      </c>
      <c r="AQ133" s="9">
        <v>0.47166887673156016</v>
      </c>
      <c r="AR133" s="9">
        <v>0.23130883080652204</v>
      </c>
      <c r="AS133" s="6">
        <v>147.8454812663262</v>
      </c>
      <c r="AT133" s="6">
        <v>1226.1346926643223</v>
      </c>
      <c r="AU133" s="9">
        <v>99.801708000000019</v>
      </c>
      <c r="AV133" s="8">
        <f t="shared" si="100"/>
        <v>1.9570287236521473</v>
      </c>
      <c r="AW133" s="9">
        <f t="shared" si="101"/>
        <v>8.0215287728223181</v>
      </c>
      <c r="AX133" s="8">
        <v>0.36723898238988989</v>
      </c>
      <c r="AY133" s="789">
        <v>1.8361949119494497E-2</v>
      </c>
      <c r="AZ133" s="6">
        <v>215.4249292576408</v>
      </c>
      <c r="BA133" s="48">
        <v>21.54249292576408</v>
      </c>
      <c r="BB133" s="6">
        <v>353.44085753120328</v>
      </c>
      <c r="BC133" s="48">
        <v>30.533838457307066</v>
      </c>
      <c r="BD133" s="849">
        <v>568.86578678884405</v>
      </c>
      <c r="BE133" s="48">
        <v>37.368359508995297</v>
      </c>
      <c r="BF133" s="668">
        <v>1393.583690965808</v>
      </c>
      <c r="BG133" s="48">
        <v>80.556444529825058</v>
      </c>
      <c r="BH133" s="48">
        <v>81.599540020740051</v>
      </c>
      <c r="BI133" s="850">
        <f t="shared" si="102"/>
        <v>5.4418485071566138</v>
      </c>
      <c r="BJ133" s="789">
        <f t="shared" si="103"/>
        <v>0.27978415932102152</v>
      </c>
      <c r="BK133" s="67" t="s">
        <v>64</v>
      </c>
      <c r="BL133" s="48" t="s">
        <v>64</v>
      </c>
      <c r="BM133" s="48" t="s">
        <v>64</v>
      </c>
      <c r="BN133" s="850" t="str">
        <f t="shared" si="104"/>
        <v>-</v>
      </c>
      <c r="BO133" s="789" t="str">
        <f t="shared" si="105"/>
        <v>-</v>
      </c>
      <c r="BP133" s="789" t="str">
        <f t="shared" si="106"/>
        <v>-</v>
      </c>
      <c r="BQ133" s="34" t="s">
        <v>64</v>
      </c>
      <c r="BR133" s="25">
        <v>2.6625843639176821</v>
      </c>
      <c r="BS133" s="26">
        <v>2.8997607895570789</v>
      </c>
      <c r="BT133" s="605"/>
      <c r="BU133" s="599">
        <v>0.14035831795915263</v>
      </c>
      <c r="BV133" s="851">
        <v>2.5595579241952573E-2</v>
      </c>
      <c r="BW133" s="851">
        <v>6.1012839663995566E-2</v>
      </c>
      <c r="BX133" s="851">
        <v>0.11153153170436475</v>
      </c>
      <c r="BY133" s="851">
        <v>5.7693920513485816E-3</v>
      </c>
      <c r="BZ133" s="851">
        <v>2.3484296363552124E-2</v>
      </c>
      <c r="CA133" s="851">
        <v>2.0800697952463434E-2</v>
      </c>
      <c r="CB133" s="851">
        <v>3.0447721957743187E-2</v>
      </c>
      <c r="CC133" s="851">
        <v>1.1259490757785113E-2</v>
      </c>
      <c r="CD133" s="851">
        <v>6.4851131657901358E-3</v>
      </c>
      <c r="CE133" s="852">
        <v>21.283244101175256</v>
      </c>
      <c r="CF133" s="852">
        <v>20.497416270738739</v>
      </c>
      <c r="CG133" s="605"/>
      <c r="CH133" s="584">
        <v>52.639600000000002</v>
      </c>
      <c r="CI133" s="576">
        <v>2.2270099999999999</v>
      </c>
      <c r="CJ133" s="576">
        <v>13.361000000000001</v>
      </c>
      <c r="CK133" s="576">
        <v>9.7436799999999995</v>
      </c>
      <c r="CL133" s="576">
        <v>0.147812</v>
      </c>
      <c r="CM133" s="576">
        <v>7.8913599999999997</v>
      </c>
      <c r="CN133" s="576">
        <v>10.7171</v>
      </c>
      <c r="CO133" s="576">
        <v>2.19597</v>
      </c>
      <c r="CP133" s="576">
        <v>0.49413299999999999</v>
      </c>
      <c r="CQ133" s="576">
        <v>0.241864</v>
      </c>
      <c r="CR133" s="857">
        <v>1.5299E-2</v>
      </c>
      <c r="CS133" s="793">
        <v>1268.8</v>
      </c>
      <c r="CT133" s="576">
        <f t="shared" si="107"/>
        <v>99.801708000000019</v>
      </c>
      <c r="CU133" s="576">
        <v>0.36723898238988989</v>
      </c>
      <c r="CV133" s="591">
        <v>224.63496272955246</v>
      </c>
      <c r="CW133" s="605"/>
      <c r="CX133" s="936">
        <v>1205.609571267195</v>
      </c>
      <c r="CY133" s="934">
        <v>74.742164988947025</v>
      </c>
      <c r="CZ133" s="934">
        <v>75.217469989232995</v>
      </c>
      <c r="DA133" s="938">
        <f t="shared" si="108"/>
        <v>4.7810252904220354</v>
      </c>
      <c r="DB133" s="936">
        <v>1060.2594042908181</v>
      </c>
      <c r="DC133" s="934">
        <v>60.30990658374094</v>
      </c>
      <c r="DD133" s="934">
        <v>60.829271711968318</v>
      </c>
      <c r="DE133" s="939">
        <f t="shared" si="109"/>
        <v>4.2579105329794613</v>
      </c>
      <c r="DF133" s="9"/>
    </row>
    <row r="134" spans="1:110">
      <c r="A134" s="846" t="s">
        <v>264</v>
      </c>
      <c r="B134" s="41" t="s">
        <v>679</v>
      </c>
      <c r="C134" s="41" t="s">
        <v>1488</v>
      </c>
      <c r="D134" s="34" t="s">
        <v>736</v>
      </c>
      <c r="E134" s="535">
        <v>19.389810000000001</v>
      </c>
      <c r="F134" s="537">
        <v>-155.29229000000001</v>
      </c>
      <c r="G134" s="37" t="s">
        <v>405</v>
      </c>
      <c r="H134" s="37" t="s">
        <v>64</v>
      </c>
      <c r="I134" s="202" t="s">
        <v>780</v>
      </c>
      <c r="J134" t="s">
        <v>881</v>
      </c>
      <c r="K134" s="34">
        <v>2021</v>
      </c>
      <c r="L134" s="51">
        <v>100</v>
      </c>
      <c r="M134" s="52">
        <v>95</v>
      </c>
      <c r="N134" s="838">
        <f t="shared" si="93"/>
        <v>484969.06250000012</v>
      </c>
      <c r="O134" s="54">
        <v>470846.19895677024</v>
      </c>
      <c r="P134" s="53">
        <v>30</v>
      </c>
      <c r="Q134" s="54">
        <v>14137.166941154068</v>
      </c>
      <c r="R134" s="772">
        <f t="shared" si="94"/>
        <v>2.9149797570850202E-2</v>
      </c>
      <c r="S134" s="624" t="s">
        <v>189</v>
      </c>
      <c r="T134" s="37" t="s">
        <v>132</v>
      </c>
      <c r="U134" s="21">
        <v>83.329701216796323</v>
      </c>
      <c r="V134" s="552" t="s">
        <v>423</v>
      </c>
      <c r="W134" s="552" t="s">
        <v>423</v>
      </c>
      <c r="X134" s="556" t="s">
        <v>292</v>
      </c>
      <c r="Y134" s="784" t="s">
        <v>64</v>
      </c>
      <c r="Z134" s="784" t="s">
        <v>292</v>
      </c>
      <c r="AA134" s="785" t="s">
        <v>64</v>
      </c>
      <c r="AB134" s="32">
        <f t="shared" si="95"/>
        <v>1192.1269421425347</v>
      </c>
      <c r="AC134" s="6">
        <f t="shared" si="96"/>
        <v>1188.884472</v>
      </c>
      <c r="AD134" s="6">
        <f t="shared" si="97"/>
        <v>3.2424701425347848</v>
      </c>
      <c r="AE134" s="6">
        <f t="shared" si="98"/>
        <v>1183.4299486144846</v>
      </c>
      <c r="AF134" s="848">
        <v>1.0189999999999999</v>
      </c>
      <c r="AG134" s="553">
        <f t="shared" si="99"/>
        <v>-1.8645731108930197E-2</v>
      </c>
      <c r="AH134" s="32">
        <f>100*(AN134/40.3)/((AN134/40.3)+(AL134/71.85))</f>
        <v>57.846142857325809</v>
      </c>
      <c r="AI134" s="9">
        <v>50.567385329992085</v>
      </c>
      <c r="AJ134" s="9">
        <v>2.1961162168314461</v>
      </c>
      <c r="AK134" s="9">
        <v>13.555146261411419</v>
      </c>
      <c r="AL134" s="9">
        <v>11.513787109513313</v>
      </c>
      <c r="AM134" s="9">
        <v>0.17132159137147854</v>
      </c>
      <c r="AN134" s="9">
        <v>8.862036922514168</v>
      </c>
      <c r="AO134" s="9">
        <v>10.370169678243382</v>
      </c>
      <c r="AP134" s="9">
        <v>2.0471648335495485</v>
      </c>
      <c r="AQ134" s="9">
        <v>0.31910267145732241</v>
      </c>
      <c r="AR134" s="9">
        <v>0.22863589175889415</v>
      </c>
      <c r="AS134" s="6">
        <v>165.57149215853951</v>
      </c>
      <c r="AT134" s="6">
        <v>1282.0778459536091</v>
      </c>
      <c r="AU134" s="9">
        <v>98.155355999999998</v>
      </c>
      <c r="AV134" s="8">
        <f t="shared" si="100"/>
        <v>2.3034145283496139</v>
      </c>
      <c r="AW134" s="9">
        <f t="shared" si="101"/>
        <v>9.4413054298009182</v>
      </c>
      <c r="AX134" s="8">
        <v>0.43756570133276768</v>
      </c>
      <c r="AY134" s="789">
        <v>2.1878285066638387E-2</v>
      </c>
      <c r="AZ134" s="6">
        <v>247.86963480427562</v>
      </c>
      <c r="BA134" s="48">
        <v>24.786963480427563</v>
      </c>
      <c r="BB134" s="6" t="s">
        <v>292</v>
      </c>
      <c r="BC134" s="48" t="s">
        <v>292</v>
      </c>
      <c r="BD134" s="849">
        <v>247.86963480427562</v>
      </c>
      <c r="BE134" s="48">
        <v>24.786963480427563</v>
      </c>
      <c r="BF134" s="668">
        <v>625.17357195066495</v>
      </c>
      <c r="BG134" s="48">
        <v>56.92187964543632</v>
      </c>
      <c r="BH134" s="48">
        <v>57.459914794114184</v>
      </c>
      <c r="BI134" s="850">
        <f t="shared" si="102"/>
        <v>2.6155053309814873</v>
      </c>
      <c r="BJ134" s="789">
        <f t="shared" si="103"/>
        <v>0.22337560369533782</v>
      </c>
      <c r="BK134" s="67" t="s">
        <v>64</v>
      </c>
      <c r="BL134" s="48" t="s">
        <v>64</v>
      </c>
      <c r="BM134" s="48" t="s">
        <v>64</v>
      </c>
      <c r="BN134" s="850" t="str">
        <f t="shared" si="104"/>
        <v>-</v>
      </c>
      <c r="BO134" s="789" t="str">
        <f t="shared" si="105"/>
        <v>-</v>
      </c>
      <c r="BP134" s="789" t="str">
        <f t="shared" si="106"/>
        <v>-</v>
      </c>
      <c r="BQ134" s="34" t="s">
        <v>64</v>
      </c>
      <c r="BR134" s="25">
        <v>2.6878052309397198</v>
      </c>
      <c r="BS134" s="26">
        <v>2.9546170114061461</v>
      </c>
      <c r="BT134" s="605"/>
      <c r="BU134" s="599">
        <v>0.14029567088108993</v>
      </c>
      <c r="BV134" s="851">
        <v>2.743586028525357E-2</v>
      </c>
      <c r="BW134" s="851">
        <v>6.5176803114356682E-2</v>
      </c>
      <c r="BX134" s="851">
        <v>0.12116188451083049</v>
      </c>
      <c r="BY134" s="851">
        <v>6.0082482093977534E-3</v>
      </c>
      <c r="BZ134" s="851">
        <v>2.1255506938281009E-2</v>
      </c>
      <c r="CA134" s="851">
        <v>2.2095098323252481E-2</v>
      </c>
      <c r="CB134" s="851">
        <v>3.0672670701072883E-2</v>
      </c>
      <c r="CC134" s="851">
        <v>1.0340171055635929E-2</v>
      </c>
      <c r="CD134" s="851">
        <v>7.096012127396566E-3</v>
      </c>
      <c r="CE134" s="852">
        <v>25.891573229275934</v>
      </c>
      <c r="CF134" s="852">
        <v>22.206101123054889</v>
      </c>
      <c r="CG134" s="605"/>
      <c r="CH134" s="584">
        <v>49.646900000000002</v>
      </c>
      <c r="CI134" s="576">
        <v>2.1561400000000002</v>
      </c>
      <c r="CJ134" s="576">
        <v>13.308400000000001</v>
      </c>
      <c r="CK134" s="576">
        <v>11.3042</v>
      </c>
      <c r="CL134" s="576">
        <v>0.16820299999999999</v>
      </c>
      <c r="CM134" s="576">
        <v>8.7007200000000005</v>
      </c>
      <c r="CN134" s="576">
        <v>10.1814</v>
      </c>
      <c r="CO134" s="576">
        <v>2.0099</v>
      </c>
      <c r="CP134" s="576">
        <v>0.31329400000000002</v>
      </c>
      <c r="CQ134" s="576">
        <v>0.22447400000000001</v>
      </c>
      <c r="CR134" s="857">
        <v>1.5851000000000001E-2</v>
      </c>
      <c r="CS134" s="793">
        <v>1258.7400000000002</v>
      </c>
      <c r="CT134" s="576">
        <f t="shared" si="107"/>
        <v>98.155355999999998</v>
      </c>
      <c r="CU134" s="576">
        <v>0.43756570133276768</v>
      </c>
      <c r="CV134" s="591">
        <v>247.86963480427562</v>
      </c>
      <c r="CW134" s="605"/>
      <c r="CX134" s="936">
        <v>549.20666820044494</v>
      </c>
      <c r="CY134" s="934">
        <v>52.22351840075919</v>
      </c>
      <c r="CZ134" s="934">
        <v>52.424878209138114</v>
      </c>
      <c r="DA134" s="938">
        <f t="shared" si="108"/>
        <v>2.3152293987989108</v>
      </c>
      <c r="DB134" s="936">
        <v>501.88190020886589</v>
      </c>
      <c r="DC134" s="934">
        <v>43.367470357860157</v>
      </c>
      <c r="DD134" s="934">
        <v>43.937859970509976</v>
      </c>
      <c r="DE134" s="939">
        <f t="shared" si="109"/>
        <v>2.125914770001049</v>
      </c>
      <c r="DF134" s="9"/>
    </row>
    <row r="135" spans="1:110">
      <c r="A135" s="846" t="s">
        <v>265</v>
      </c>
      <c r="B135" s="41" t="s">
        <v>679</v>
      </c>
      <c r="C135" s="41" t="s">
        <v>1488</v>
      </c>
      <c r="D135" s="34" t="s">
        <v>736</v>
      </c>
      <c r="E135" s="535">
        <v>19.389810000000001</v>
      </c>
      <c r="F135" s="537">
        <v>-155.29229000000001</v>
      </c>
      <c r="G135" s="37" t="s">
        <v>405</v>
      </c>
      <c r="H135" s="37" t="s">
        <v>64</v>
      </c>
      <c r="I135" s="202" t="s">
        <v>780</v>
      </c>
      <c r="J135" t="s">
        <v>882</v>
      </c>
      <c r="K135" s="34">
        <v>2021</v>
      </c>
      <c r="L135" s="51">
        <v>30</v>
      </c>
      <c r="M135" s="52">
        <v>28</v>
      </c>
      <c r="N135" s="838">
        <f t="shared" si="93"/>
        <v>12754.490000000002</v>
      </c>
      <c r="O135" s="54">
        <v>12641.768838045326</v>
      </c>
      <c r="P135" s="53">
        <v>6</v>
      </c>
      <c r="Q135" s="54">
        <v>113.09733552923254</v>
      </c>
      <c r="R135" s="772">
        <f t="shared" si="94"/>
        <v>8.8669950738916262E-3</v>
      </c>
      <c r="S135" s="624" t="s">
        <v>189</v>
      </c>
      <c r="T135" s="37" t="s">
        <v>132</v>
      </c>
      <c r="U135" s="21">
        <v>83.329701216796323</v>
      </c>
      <c r="V135" s="552" t="s">
        <v>423</v>
      </c>
      <c r="W135" s="552" t="s">
        <v>423</v>
      </c>
      <c r="X135" s="556">
        <v>102.69858230375637</v>
      </c>
      <c r="Y135" s="784">
        <v>1.4522863415084818E-2</v>
      </c>
      <c r="Z135" s="784">
        <v>3.7996717833507887E-2</v>
      </c>
      <c r="AA135" s="785">
        <v>5.1556165123560838E-3</v>
      </c>
      <c r="AB135" s="32">
        <f t="shared" si="95"/>
        <v>1192.4920639495901</v>
      </c>
      <c r="AC135" s="6">
        <f t="shared" si="96"/>
        <v>1145.673894</v>
      </c>
      <c r="AD135" s="6">
        <f t="shared" si="97"/>
        <v>46.818169949590128</v>
      </c>
      <c r="AE135" s="6">
        <f t="shared" si="98"/>
        <v>1183.4299486144846</v>
      </c>
      <c r="AF135" s="839">
        <v>0.94199999999999995</v>
      </c>
      <c r="AG135" s="553">
        <f t="shared" si="99"/>
        <v>6.1571125265392768E-2</v>
      </c>
      <c r="AH135" s="32">
        <f t="shared" si="111"/>
        <v>55.738984303465969</v>
      </c>
      <c r="AI135" s="9">
        <v>50.035866295273138</v>
      </c>
      <c r="AJ135" s="9">
        <v>2.2497182662859729</v>
      </c>
      <c r="AK135" s="9">
        <v>13.318291908996486</v>
      </c>
      <c r="AL135" s="9">
        <v>12.572073333411241</v>
      </c>
      <c r="AM135" s="9">
        <v>0.17498926166015163</v>
      </c>
      <c r="AN135" s="9">
        <v>8.8802021865467768</v>
      </c>
      <c r="AO135" s="9">
        <v>10.05987117463504</v>
      </c>
      <c r="AP135" s="9">
        <v>1.8524725286091921</v>
      </c>
      <c r="AQ135" s="9">
        <v>0.39724573767678112</v>
      </c>
      <c r="AR135" s="9">
        <v>0.26449526331390738</v>
      </c>
      <c r="AS135" s="6">
        <v>203.29028398568866</v>
      </c>
      <c r="AT135" s="6">
        <v>1744.4501519273342</v>
      </c>
      <c r="AU135" s="9">
        <v>99.260402999999997</v>
      </c>
      <c r="AV135" s="8">
        <f t="shared" si="100"/>
        <v>2.5151321708674792</v>
      </c>
      <c r="AW135" s="9">
        <f t="shared" si="101"/>
        <v>10.309100133397218</v>
      </c>
      <c r="AX135" s="8" t="s">
        <v>64</v>
      </c>
      <c r="AY135" s="789" t="s">
        <v>64</v>
      </c>
      <c r="AZ135" s="863" t="s">
        <v>896</v>
      </c>
      <c r="BA135" s="48" t="s">
        <v>64</v>
      </c>
      <c r="BB135" s="6">
        <v>108.66644501158224</v>
      </c>
      <c r="BC135" s="48">
        <v>29.765650763744762</v>
      </c>
      <c r="BD135" s="849">
        <v>249.66644501158225</v>
      </c>
      <c r="BE135" s="48">
        <v>32.936362358178222</v>
      </c>
      <c r="BF135" s="668">
        <v>628.649677025919</v>
      </c>
      <c r="BG135" s="48">
        <v>74.596477559340315</v>
      </c>
      <c r="BH135" s="48">
        <v>75.525044197323496</v>
      </c>
      <c r="BI135" s="850">
        <f t="shared" si="102"/>
        <v>2.6291411625679051</v>
      </c>
      <c r="BJ135" s="789">
        <f t="shared" si="103"/>
        <v>0.29255397477437861</v>
      </c>
      <c r="BK135" s="67" t="s">
        <v>64</v>
      </c>
      <c r="BL135" s="48" t="s">
        <v>64</v>
      </c>
      <c r="BM135" s="48" t="s">
        <v>64</v>
      </c>
      <c r="BN135" s="850" t="str">
        <f t="shared" si="104"/>
        <v>-</v>
      </c>
      <c r="BO135" s="789" t="str">
        <f t="shared" si="105"/>
        <v>-</v>
      </c>
      <c r="BP135" s="789" t="str">
        <f t="shared" si="106"/>
        <v>-</v>
      </c>
      <c r="BQ135" s="34" t="s">
        <v>64</v>
      </c>
      <c r="BR135" s="25">
        <v>2.7033244162138592</v>
      </c>
      <c r="BS135" s="26">
        <v>2.946428820522077</v>
      </c>
      <c r="BT135" s="605"/>
      <c r="BU135" s="599">
        <v>0.13728340635434091</v>
      </c>
      <c r="BV135" s="851">
        <v>2.6331602475917537E-2</v>
      </c>
      <c r="BW135" s="851">
        <v>6.2020089030138469E-2</v>
      </c>
      <c r="BX135" s="851">
        <v>0.12574084865144586</v>
      </c>
      <c r="BY135" s="851">
        <v>5.9512797955047604E-3</v>
      </c>
      <c r="BZ135" s="851">
        <v>2.4731629495598369E-2</v>
      </c>
      <c r="CA135" s="851">
        <v>2.101829004258848E-2</v>
      </c>
      <c r="CB135" s="851">
        <v>2.8255948726128865E-2</v>
      </c>
      <c r="CC135" s="851">
        <v>1.049980071540384E-2</v>
      </c>
      <c r="CD135" s="851">
        <v>6.7739088401534879E-3</v>
      </c>
      <c r="CE135" s="852">
        <v>24.163896315674897</v>
      </c>
      <c r="CF135" s="852">
        <v>23.37842315606936</v>
      </c>
      <c r="CG135" s="605"/>
      <c r="CH135" s="584">
        <v>50.275799999999997</v>
      </c>
      <c r="CI135" s="576">
        <v>2.3579500000000002</v>
      </c>
      <c r="CJ135" s="576">
        <v>14.031700000000001</v>
      </c>
      <c r="CK135" s="576">
        <v>12.437099999999999</v>
      </c>
      <c r="CL135" s="576">
        <v>0.17303299999999999</v>
      </c>
      <c r="CM135" s="576">
        <v>6.5509399999999998</v>
      </c>
      <c r="CN135" s="576">
        <v>10.579599999999999</v>
      </c>
      <c r="CO135" s="576">
        <v>1.94808</v>
      </c>
      <c r="CP135" s="576">
        <v>0.42319099999999998</v>
      </c>
      <c r="CQ135" s="576">
        <v>0.27893200000000001</v>
      </c>
      <c r="CR135" s="857">
        <v>2.1299999999999999E-2</v>
      </c>
      <c r="CS135" s="793">
        <v>1827.77</v>
      </c>
      <c r="CT135" s="576">
        <f t="shared" si="107"/>
        <v>99.260402999999997</v>
      </c>
      <c r="CU135" s="576" t="s">
        <v>64</v>
      </c>
      <c r="CV135" s="591" t="s">
        <v>64</v>
      </c>
      <c r="CW135" s="605"/>
      <c r="CX135" s="936">
        <v>559.47000381352393</v>
      </c>
      <c r="CY135" s="934">
        <v>69.360285861690045</v>
      </c>
      <c r="CZ135" s="934">
        <v>69.717406114766845</v>
      </c>
      <c r="DA135" s="938">
        <f t="shared" si="108"/>
        <v>2.3560552301467022</v>
      </c>
      <c r="DB135" s="936">
        <v>499.81310573003981</v>
      </c>
      <c r="DC135" s="934">
        <v>56.865354642580257</v>
      </c>
      <c r="DD135" s="934">
        <v>57.855410738945409</v>
      </c>
      <c r="DE135" s="939">
        <f t="shared" si="109"/>
        <v>2.1175985776782644</v>
      </c>
      <c r="DF135" s="9"/>
    </row>
    <row r="136" spans="1:110">
      <c r="A136" s="846" t="s">
        <v>266</v>
      </c>
      <c r="B136" s="41" t="s">
        <v>679</v>
      </c>
      <c r="C136" s="41" t="s">
        <v>1488</v>
      </c>
      <c r="D136" s="34" t="s">
        <v>736</v>
      </c>
      <c r="E136" s="535">
        <v>19.389810000000001</v>
      </c>
      <c r="F136" s="537">
        <v>-155.29229000000001</v>
      </c>
      <c r="G136" s="37" t="s">
        <v>405</v>
      </c>
      <c r="H136" s="37" t="s">
        <v>64</v>
      </c>
      <c r="I136" s="28">
        <v>0.4</v>
      </c>
      <c r="J136" t="s">
        <v>882</v>
      </c>
      <c r="K136" s="34">
        <v>2021</v>
      </c>
      <c r="L136" s="51">
        <v>28</v>
      </c>
      <c r="M136" s="52">
        <v>24</v>
      </c>
      <c r="N136" s="838">
        <f t="shared" si="93"/>
        <v>9148.0480000000025</v>
      </c>
      <c r="O136" s="54">
        <v>8880.2352341471487</v>
      </c>
      <c r="P136" s="53">
        <v>8</v>
      </c>
      <c r="Q136" s="54">
        <v>268.08257310632899</v>
      </c>
      <c r="R136" s="772">
        <f t="shared" si="94"/>
        <v>2.9304029304029304E-2</v>
      </c>
      <c r="S136" s="624" t="s">
        <v>220</v>
      </c>
      <c r="T136" s="37" t="s">
        <v>132</v>
      </c>
      <c r="U136" s="21">
        <v>88.957986360992024</v>
      </c>
      <c r="V136" s="552" t="s">
        <v>423</v>
      </c>
      <c r="W136" s="552" t="s">
        <v>423</v>
      </c>
      <c r="X136" s="556">
        <v>102.6993833410032</v>
      </c>
      <c r="Y136" s="784">
        <v>3.7962400991299839E-3</v>
      </c>
      <c r="Z136" s="784">
        <v>3.8281086056130675E-2</v>
      </c>
      <c r="AA136" s="785">
        <v>1.3476652351896914E-3</v>
      </c>
      <c r="AB136" s="32">
        <f t="shared" si="95"/>
        <v>1228.1276889304404</v>
      </c>
      <c r="AC136" s="6">
        <f t="shared" si="96"/>
        <v>1125.5761050000001</v>
      </c>
      <c r="AD136" s="6">
        <f t="shared" si="97"/>
        <v>102.5515839304403</v>
      </c>
      <c r="AE136" s="6">
        <f t="shared" si="98"/>
        <v>1277.6865568175926</v>
      </c>
      <c r="AF136" s="839">
        <v>0.88400000000000001</v>
      </c>
      <c r="AG136" s="553">
        <f t="shared" si="99"/>
        <v>0.13122171945701355</v>
      </c>
      <c r="AH136" s="32">
        <f t="shared" si="111"/>
        <v>66.744189227652228</v>
      </c>
      <c r="AI136" s="9">
        <v>51.37108077086944</v>
      </c>
      <c r="AJ136" s="9">
        <v>2.1318304669428652</v>
      </c>
      <c r="AK136" s="9">
        <v>12.502381224292755</v>
      </c>
      <c r="AL136" s="9">
        <v>9.463517228490236</v>
      </c>
      <c r="AM136" s="9">
        <v>0.14882590052242642</v>
      </c>
      <c r="AN136" s="9">
        <v>10.653118852260715</v>
      </c>
      <c r="AO136" s="9">
        <v>10.933675786353666</v>
      </c>
      <c r="AP136" s="9">
        <v>2.0403226497297515</v>
      </c>
      <c r="AQ136" s="9">
        <v>0.33686943699333011</v>
      </c>
      <c r="AR136" s="9">
        <v>0.29262389900017627</v>
      </c>
      <c r="AS136" s="6">
        <v>169.4142663042434</v>
      </c>
      <c r="AT136" s="6">
        <v>1088.1235791423073</v>
      </c>
      <c r="AU136" s="9">
        <v>99.03370799999999</v>
      </c>
      <c r="AV136" s="8">
        <f t="shared" si="100"/>
        <v>1.8932435406400963</v>
      </c>
      <c r="AW136" s="9">
        <f t="shared" si="101"/>
        <v>7.7600841273619938</v>
      </c>
      <c r="AX136" s="8" t="s">
        <v>64</v>
      </c>
      <c r="AY136" s="789" t="s">
        <v>64</v>
      </c>
      <c r="AZ136" s="863" t="s">
        <v>896</v>
      </c>
      <c r="BA136" s="48" t="s">
        <v>64</v>
      </c>
      <c r="BB136" s="6">
        <v>354.64970171247967</v>
      </c>
      <c r="BC136" s="48">
        <v>63.627889765461227</v>
      </c>
      <c r="BD136" s="849">
        <v>495.64970171247967</v>
      </c>
      <c r="BE136" s="48">
        <v>65.171453536081927</v>
      </c>
      <c r="BF136" s="668">
        <v>1167.059568476051</v>
      </c>
      <c r="BG136" s="48">
        <v>135.31861900748709</v>
      </c>
      <c r="BH136" s="48">
        <v>138.27997998791511</v>
      </c>
      <c r="BI136" s="850">
        <f t="shared" si="102"/>
        <v>4.6433790715758905</v>
      </c>
      <c r="BJ136" s="789">
        <f t="shared" si="103"/>
        <v>0.48468609296301368</v>
      </c>
      <c r="BK136" s="67" t="s">
        <v>64</v>
      </c>
      <c r="BL136" s="48" t="s">
        <v>64</v>
      </c>
      <c r="BM136" s="48" t="s">
        <v>64</v>
      </c>
      <c r="BN136" s="850" t="str">
        <f t="shared" si="104"/>
        <v>-</v>
      </c>
      <c r="BO136" s="789" t="str">
        <f t="shared" si="105"/>
        <v>-</v>
      </c>
      <c r="BP136" s="789" t="str">
        <f t="shared" si="106"/>
        <v>-</v>
      </c>
      <c r="BQ136" s="34" t="s">
        <v>64</v>
      </c>
      <c r="BR136" s="25">
        <v>2.661933753142899</v>
      </c>
      <c r="BS136" s="26">
        <v>2.8794315649077431</v>
      </c>
      <c r="BT136" s="605"/>
      <c r="BU136" s="599">
        <v>0.13770788766843117</v>
      </c>
      <c r="BV136" s="851">
        <v>2.4603242235940914E-2</v>
      </c>
      <c r="BW136" s="851">
        <v>5.776300163722841E-2</v>
      </c>
      <c r="BX136" s="851">
        <v>0.10964809601617925</v>
      </c>
      <c r="BY136" s="851">
        <v>5.6444157509837004E-3</v>
      </c>
      <c r="BZ136" s="851">
        <v>3.218179367841735E-2</v>
      </c>
      <c r="CA136" s="851">
        <v>2.1282618591653136E-2</v>
      </c>
      <c r="CB136" s="851">
        <v>2.8335184830386898E-2</v>
      </c>
      <c r="CC136" s="851">
        <v>9.5544594067233264E-3</v>
      </c>
      <c r="CD136" s="851">
        <v>6.4498696698123848E-3</v>
      </c>
      <c r="CE136" s="852">
        <v>21.729412624714865</v>
      </c>
      <c r="CF136" s="852">
        <v>19.630402241874709</v>
      </c>
      <c r="CG136" s="605"/>
      <c r="CH136" s="584">
        <v>52.257599999999996</v>
      </c>
      <c r="CI136" s="576">
        <v>2.3624299999999998</v>
      </c>
      <c r="CJ136" s="576">
        <v>14.0158</v>
      </c>
      <c r="CK136" s="576">
        <v>9.3586200000000002</v>
      </c>
      <c r="CL136" s="576">
        <v>0.15407499999999999</v>
      </c>
      <c r="CM136" s="576">
        <v>5.55105</v>
      </c>
      <c r="CN136" s="576">
        <v>12.2079</v>
      </c>
      <c r="CO136" s="576">
        <v>2.2823099999999998</v>
      </c>
      <c r="CP136" s="576">
        <v>0.37962800000000002</v>
      </c>
      <c r="CQ136" s="576">
        <v>0.32419599999999998</v>
      </c>
      <c r="CR136" s="857">
        <v>1.8873999999999998E-2</v>
      </c>
      <c r="CS136" s="793">
        <v>1212.25</v>
      </c>
      <c r="CT136" s="576">
        <f t="shared" si="107"/>
        <v>99.03370799999999</v>
      </c>
      <c r="CU136" s="576" t="s">
        <v>64</v>
      </c>
      <c r="CV136" s="591" t="s">
        <v>64</v>
      </c>
      <c r="CW136" s="605"/>
      <c r="CX136" s="936">
        <v>1072.2806828266789</v>
      </c>
      <c r="CY136" s="934">
        <v>132.42378421454919</v>
      </c>
      <c r="CZ136" s="934">
        <v>133.78614190442011</v>
      </c>
      <c r="DA136" s="938">
        <f t="shared" si="108"/>
        <v>4.3016117849933506</v>
      </c>
      <c r="DB136" s="936">
        <v>828.89243014958583</v>
      </c>
      <c r="DC136" s="934">
        <v>93.997582394046503</v>
      </c>
      <c r="DD136" s="934">
        <v>95.628659345176516</v>
      </c>
      <c r="DE136" s="939">
        <f t="shared" si="109"/>
        <v>3.4000220532966572</v>
      </c>
      <c r="DF136" s="9"/>
    </row>
    <row r="137" spans="1:110">
      <c r="A137" s="846" t="s">
        <v>303</v>
      </c>
      <c r="B137" s="41" t="s">
        <v>679</v>
      </c>
      <c r="C137" s="41" t="s">
        <v>1488</v>
      </c>
      <c r="D137" s="34" t="s">
        <v>736</v>
      </c>
      <c r="E137" s="535">
        <v>19.389810000000001</v>
      </c>
      <c r="F137" s="537">
        <v>-155.29229000000001</v>
      </c>
      <c r="G137" s="37" t="s">
        <v>997</v>
      </c>
      <c r="H137" s="860" t="s">
        <v>760</v>
      </c>
      <c r="I137" s="202" t="s">
        <v>780</v>
      </c>
      <c r="J137" t="s">
        <v>881</v>
      </c>
      <c r="K137" s="34">
        <v>2021</v>
      </c>
      <c r="L137" s="51">
        <v>170</v>
      </c>
      <c r="M137" s="52">
        <v>155</v>
      </c>
      <c r="N137" s="838">
        <f t="shared" si="93"/>
        <v>2241918.3854166665</v>
      </c>
      <c r="O137" s="54">
        <v>1973901.9341586365</v>
      </c>
      <c r="P137" s="53">
        <v>80</v>
      </c>
      <c r="Q137" s="54">
        <v>268082.57310632901</v>
      </c>
      <c r="R137" s="772">
        <f t="shared" si="94"/>
        <v>0.11957378484892718</v>
      </c>
      <c r="S137" s="624" t="s">
        <v>221</v>
      </c>
      <c r="T137" s="37" t="s">
        <v>132</v>
      </c>
      <c r="U137" s="21">
        <v>89.131301862899505</v>
      </c>
      <c r="V137" s="552" t="s">
        <v>423</v>
      </c>
      <c r="W137" s="552" t="s">
        <v>423</v>
      </c>
      <c r="X137" s="556">
        <v>103.19823624847902</v>
      </c>
      <c r="Y137" s="784">
        <v>8.6991167406943095E-3</v>
      </c>
      <c r="Z137" s="784">
        <v>0.215373868210051</v>
      </c>
      <c r="AA137" s="785">
        <v>3.0881864429463269E-3</v>
      </c>
      <c r="AB137" s="32">
        <f t="shared" si="95"/>
        <v>1236.3213973103079</v>
      </c>
      <c r="AC137" s="6">
        <f t="shared" si="96"/>
        <v>1155.326517</v>
      </c>
      <c r="AD137" s="6">
        <f t="shared" si="97"/>
        <v>80.994880310307963</v>
      </c>
      <c r="AE137" s="6">
        <f t="shared" si="98"/>
        <v>1281.6356759495357</v>
      </c>
      <c r="AF137" s="839">
        <v>0.90900000000000003</v>
      </c>
      <c r="AG137" s="553">
        <f t="shared" si="99"/>
        <v>0.10011001100110017</v>
      </c>
      <c r="AH137" s="32">
        <f t="shared" si="111"/>
        <v>67.191319400332347</v>
      </c>
      <c r="AI137" s="9">
        <v>50.983485512222082</v>
      </c>
      <c r="AJ137" s="9">
        <v>2.3054573692420375</v>
      </c>
      <c r="AK137" s="9">
        <v>12.585002132927423</v>
      </c>
      <c r="AL137" s="9">
        <v>9.6290297536986458</v>
      </c>
      <c r="AM137" s="9">
        <v>0.14980948452554016</v>
      </c>
      <c r="AN137" s="9">
        <v>11.060766035338707</v>
      </c>
      <c r="AO137" s="9">
        <v>10.424327084300675</v>
      </c>
      <c r="AP137" s="9">
        <v>2.1526315863703456</v>
      </c>
      <c r="AQ137" s="9">
        <v>0.30062440183313088</v>
      </c>
      <c r="AR137" s="9">
        <v>0.25537992664085368</v>
      </c>
      <c r="AS137" s="6">
        <v>151.5751575673311</v>
      </c>
      <c r="AT137" s="6">
        <v>1002.3953933960117</v>
      </c>
      <c r="AU137" s="9">
        <v>96.817375000000013</v>
      </c>
      <c r="AV137" s="8">
        <f t="shared" si="100"/>
        <v>1.9263554916917076</v>
      </c>
      <c r="AW137" s="9">
        <f t="shared" si="101"/>
        <v>7.8958043980328894</v>
      </c>
      <c r="AX137" s="8">
        <v>0.53374884200212713</v>
      </c>
      <c r="AY137" s="789">
        <v>2.6687442100106359E-2</v>
      </c>
      <c r="AZ137" s="6">
        <v>378.83843141186014</v>
      </c>
      <c r="BA137" s="48">
        <v>37.883843141186013</v>
      </c>
      <c r="BB137" s="6">
        <v>9073.6655573818498</v>
      </c>
      <c r="BC137" s="48">
        <v>219.43920967656751</v>
      </c>
      <c r="BD137" s="6" t="s">
        <v>998</v>
      </c>
      <c r="BE137" s="48" t="s">
        <v>998</v>
      </c>
      <c r="BF137" s="668" t="s">
        <v>1008</v>
      </c>
      <c r="BG137" s="48" t="s">
        <v>64</v>
      </c>
      <c r="BH137" s="48" t="s">
        <v>64</v>
      </c>
      <c r="BI137" s="850" t="str">
        <f t="shared" si="102"/>
        <v>-</v>
      </c>
      <c r="BJ137" s="789" t="str">
        <f t="shared" si="103"/>
        <v>-</v>
      </c>
      <c r="BK137" s="67">
        <v>722</v>
      </c>
      <c r="BL137" s="48">
        <v>72.200000000000045</v>
      </c>
      <c r="BM137" s="48">
        <v>12</v>
      </c>
      <c r="BN137" s="850">
        <f t="shared" si="104"/>
        <v>2.9920244788832</v>
      </c>
      <c r="BO137" s="789">
        <f t="shared" si="105"/>
        <v>0.27643270480153914</v>
      </c>
      <c r="BP137" s="789">
        <f t="shared" si="106"/>
        <v>4.6296646483200199E-2</v>
      </c>
      <c r="BQ137" s="861" t="s">
        <v>760</v>
      </c>
      <c r="BR137" s="25">
        <v>2.6617435305597081</v>
      </c>
      <c r="BS137" s="26">
        <v>2.9010833858599381</v>
      </c>
      <c r="BT137" s="605"/>
      <c r="BU137" s="599">
        <v>0.1399379415293818</v>
      </c>
      <c r="BV137" s="851">
        <v>2.6487630260958694E-2</v>
      </c>
      <c r="BW137" s="851">
        <v>5.9894793851070847E-2</v>
      </c>
      <c r="BX137" s="851">
        <v>0.11220034339902273</v>
      </c>
      <c r="BY137" s="851">
        <v>6.0579210305015301E-3</v>
      </c>
      <c r="BZ137" s="851">
        <v>2.950979195930261E-2</v>
      </c>
      <c r="CA137" s="851">
        <v>2.1279387363724655E-2</v>
      </c>
      <c r="CB137" s="851">
        <v>2.9852264313466676E-2</v>
      </c>
      <c r="CC137" s="851">
        <v>9.2479280989515057E-3</v>
      </c>
      <c r="CD137" s="851">
        <v>6.5445447660471652E-3</v>
      </c>
      <c r="CE137" s="852">
        <v>23.453830431023412</v>
      </c>
      <c r="CF137" s="852">
        <v>19.832493097879432</v>
      </c>
      <c r="CG137" s="605"/>
      <c r="CH137" s="584">
        <v>50.384500000000003</v>
      </c>
      <c r="CI137" s="576">
        <v>2.4380500000000001</v>
      </c>
      <c r="CJ137" s="576">
        <v>13.4146</v>
      </c>
      <c r="CK137" s="576">
        <v>9.3020899999999997</v>
      </c>
      <c r="CL137" s="576">
        <v>0.14244499999999999</v>
      </c>
      <c r="CM137" s="576">
        <v>7.0311700000000004</v>
      </c>
      <c r="CN137" s="576">
        <v>11.0868</v>
      </c>
      <c r="CO137" s="576">
        <v>2.2941600000000002</v>
      </c>
      <c r="CP137" s="576">
        <v>0.32548199999999999</v>
      </c>
      <c r="CQ137" s="576">
        <v>0.27583299999999999</v>
      </c>
      <c r="CR137" s="857">
        <v>1.6056999999999998E-2</v>
      </c>
      <c r="CS137" s="793">
        <v>1061.8800000000001</v>
      </c>
      <c r="CT137" s="576">
        <f t="shared" si="107"/>
        <v>96.817375000000013</v>
      </c>
      <c r="CU137" s="576">
        <v>0.53374884200212713</v>
      </c>
      <c r="CV137" s="591">
        <v>416.76395094814097</v>
      </c>
      <c r="CW137" s="605"/>
      <c r="CX137" s="936" t="s">
        <v>998</v>
      </c>
      <c r="CY137" s="934" t="s">
        <v>64</v>
      </c>
      <c r="CZ137" s="934" t="s">
        <v>64</v>
      </c>
      <c r="DA137" s="938" t="str">
        <f t="shared" si="108"/>
        <v>-</v>
      </c>
      <c r="DB137" s="936" t="s">
        <v>998</v>
      </c>
      <c r="DC137" s="934" t="s">
        <v>64</v>
      </c>
      <c r="DD137" s="934" t="s">
        <v>64</v>
      </c>
      <c r="DE137" s="939" t="str">
        <f t="shared" si="109"/>
        <v>-</v>
      </c>
      <c r="DF137" s="9"/>
    </row>
    <row r="138" spans="1:110">
      <c r="A138" s="846" t="s">
        <v>267</v>
      </c>
      <c r="B138" s="41" t="s">
        <v>679</v>
      </c>
      <c r="C138" s="41" t="s">
        <v>1488</v>
      </c>
      <c r="D138" s="34" t="s">
        <v>736</v>
      </c>
      <c r="E138" s="535">
        <v>19.389810000000001</v>
      </c>
      <c r="F138" s="537">
        <v>-155.29229000000001</v>
      </c>
      <c r="G138" s="37" t="s">
        <v>405</v>
      </c>
      <c r="H138" s="37" t="s">
        <v>64</v>
      </c>
      <c r="I138" s="202" t="s">
        <v>780</v>
      </c>
      <c r="J138" t="s">
        <v>881</v>
      </c>
      <c r="K138" s="34">
        <v>2021</v>
      </c>
      <c r="L138" s="51">
        <v>72</v>
      </c>
      <c r="M138" s="52">
        <v>40</v>
      </c>
      <c r="N138" s="838">
        <f t="shared" si="93"/>
        <v>84443.520000000019</v>
      </c>
      <c r="O138" s="54">
        <v>80257.220323707239</v>
      </c>
      <c r="P138" s="53">
        <v>20</v>
      </c>
      <c r="Q138" s="54">
        <v>4188.7902047863909</v>
      </c>
      <c r="R138" s="772">
        <f t="shared" si="94"/>
        <v>4.9603174603174607E-2</v>
      </c>
      <c r="S138" s="624" t="s">
        <v>223</v>
      </c>
      <c r="T138" s="37" t="s">
        <v>132</v>
      </c>
      <c r="U138" s="21">
        <v>88.338346223606436</v>
      </c>
      <c r="V138" s="552" t="s">
        <v>423</v>
      </c>
      <c r="W138" s="552" t="s">
        <v>423</v>
      </c>
      <c r="X138" s="556">
        <v>102.66180399987526</v>
      </c>
      <c r="Y138" s="784">
        <v>1.51738478794953E-2</v>
      </c>
      <c r="Z138" s="784">
        <v>2.4940419955711945E-2</v>
      </c>
      <c r="AA138" s="785">
        <v>5.3867159972212806E-3</v>
      </c>
      <c r="AB138" s="32">
        <f t="shared" si="95"/>
        <v>1221.2639386498784</v>
      </c>
      <c r="AC138" s="6">
        <f t="shared" si="96"/>
        <v>1187.8173630000001</v>
      </c>
      <c r="AD138" s="6">
        <f t="shared" si="97"/>
        <v>33.446575649878241</v>
      </c>
      <c r="AE138" s="6">
        <f t="shared" si="98"/>
        <v>1264.1353735312659</v>
      </c>
      <c r="AF138" s="839">
        <v>0.95899999999999996</v>
      </c>
      <c r="AG138" s="553">
        <f t="shared" si="99"/>
        <v>4.2752867570385877E-2</v>
      </c>
      <c r="AH138" s="32">
        <f t="shared" si="111"/>
        <v>65.477287161478586</v>
      </c>
      <c r="AI138" s="9">
        <v>51.286649515761404</v>
      </c>
      <c r="AJ138" s="9">
        <v>2.13514181629496</v>
      </c>
      <c r="AK138" s="9">
        <v>13.051217781469473</v>
      </c>
      <c r="AL138" s="9">
        <v>9.6931214439240794</v>
      </c>
      <c r="AM138" s="9">
        <v>0.15085787679898444</v>
      </c>
      <c r="AN138" s="9">
        <v>10.311638738799916</v>
      </c>
      <c r="AO138" s="9">
        <v>10.464508053956219</v>
      </c>
      <c r="AP138" s="9">
        <v>2.0707757888607268</v>
      </c>
      <c r="AQ138" s="9">
        <v>0.31780726045652724</v>
      </c>
      <c r="AR138" s="9">
        <v>0.36608178103220224</v>
      </c>
      <c r="AS138" s="6">
        <v>110.32311777613386</v>
      </c>
      <c r="AT138" s="6">
        <v>1411.6763086785995</v>
      </c>
      <c r="AU138" s="9">
        <v>99.470600999999974</v>
      </c>
      <c r="AV138" s="8">
        <f t="shared" si="100"/>
        <v>1.9391774875309193</v>
      </c>
      <c r="AW138" s="9">
        <f t="shared" si="101"/>
        <v>7.9483595840177461</v>
      </c>
      <c r="AX138" s="8">
        <v>0.45256966185660996</v>
      </c>
      <c r="AY138" s="789">
        <v>2.2628483092830498E-2</v>
      </c>
      <c r="AZ138" s="862" t="s">
        <v>292</v>
      </c>
      <c r="BA138" s="48" t="s">
        <v>64</v>
      </c>
      <c r="BB138" s="6">
        <v>427.3402452129518</v>
      </c>
      <c r="BC138" s="48">
        <v>94.832709016802767</v>
      </c>
      <c r="BD138" s="849">
        <v>456.11024521295178</v>
      </c>
      <c r="BE138" s="48">
        <v>94.876339666249692</v>
      </c>
      <c r="BF138" s="668">
        <v>1091.519293878561</v>
      </c>
      <c r="BG138" s="48">
        <v>200.64100966734395</v>
      </c>
      <c r="BH138" s="48">
        <v>207.260520931884</v>
      </c>
      <c r="BI138" s="850">
        <f t="shared" si="102"/>
        <v>4.3713818288011881</v>
      </c>
      <c r="BJ138" s="789">
        <f t="shared" si="103"/>
        <v>0.72711621126112003</v>
      </c>
      <c r="BK138" s="67" t="s">
        <v>64</v>
      </c>
      <c r="BL138" s="48" t="s">
        <v>64</v>
      </c>
      <c r="BM138" s="48" t="s">
        <v>64</v>
      </c>
      <c r="BN138" s="850" t="str">
        <f t="shared" si="104"/>
        <v>-</v>
      </c>
      <c r="BO138" s="789" t="str">
        <f t="shared" si="105"/>
        <v>-</v>
      </c>
      <c r="BP138" s="789" t="str">
        <f t="shared" si="106"/>
        <v>-</v>
      </c>
      <c r="BQ138" s="34" t="s">
        <v>64</v>
      </c>
      <c r="BR138" s="25">
        <v>2.6715276624360271</v>
      </c>
      <c r="BS138" s="26">
        <v>2.919843001967374</v>
      </c>
      <c r="BT138" s="605"/>
      <c r="BU138" s="599">
        <v>0.13945968309624873</v>
      </c>
      <c r="BV138" s="851">
        <v>2.5746180563429515E-2</v>
      </c>
      <c r="BW138" s="851">
        <v>6.1696108233095938E-2</v>
      </c>
      <c r="BX138" s="851">
        <v>0.11112097492100126</v>
      </c>
      <c r="BY138" s="851">
        <v>5.6801611203860817E-3</v>
      </c>
      <c r="BZ138" s="851">
        <v>2.4169656272647895E-2</v>
      </c>
      <c r="CA138" s="851">
        <v>2.0987408062853513E-2</v>
      </c>
      <c r="CB138" s="851">
        <v>3.0214068302530209E-2</v>
      </c>
      <c r="CC138" s="851">
        <v>9.8452239987785739E-3</v>
      </c>
      <c r="CD138" s="851">
        <v>6.7408468750364556E-3</v>
      </c>
      <c r="CE138" s="852">
        <v>21.577326344009585</v>
      </c>
      <c r="CF138" s="852">
        <v>20.90692613153006</v>
      </c>
      <c r="CG138" s="605"/>
      <c r="CH138" s="584">
        <v>51.460799999999999</v>
      </c>
      <c r="CI138" s="576">
        <v>2.2082700000000002</v>
      </c>
      <c r="CJ138" s="576">
        <v>13.529400000000001</v>
      </c>
      <c r="CK138" s="576">
        <v>9.6217299999999994</v>
      </c>
      <c r="CL138" s="576">
        <v>0.15083299999999999</v>
      </c>
      <c r="CM138" s="576">
        <v>8.6476299999999995</v>
      </c>
      <c r="CN138" s="576">
        <v>10.8398</v>
      </c>
      <c r="CO138" s="576">
        <v>2.14567</v>
      </c>
      <c r="CP138" s="576">
        <v>0.33166000000000001</v>
      </c>
      <c r="CQ138" s="576">
        <v>0.37783899999999998</v>
      </c>
      <c r="CR138" s="857">
        <v>1.1377999999999999E-2</v>
      </c>
      <c r="CS138" s="793">
        <v>1455.91</v>
      </c>
      <c r="CT138" s="576">
        <f t="shared" si="107"/>
        <v>99.470600999999974</v>
      </c>
      <c r="CU138" s="576">
        <v>0.45256966185660996</v>
      </c>
      <c r="CV138" s="591" t="s">
        <v>292</v>
      </c>
      <c r="CW138" s="605"/>
      <c r="CX138" s="936">
        <v>985.37476609156249</v>
      </c>
      <c r="CY138" s="934">
        <v>193.19486331558744</v>
      </c>
      <c r="CZ138" s="934">
        <v>196.11514470957661</v>
      </c>
      <c r="DA138" s="938">
        <f t="shared" si="108"/>
        <v>3.9838092986470022</v>
      </c>
      <c r="DB138" s="936">
        <v>828.23388779877985</v>
      </c>
      <c r="DC138" s="934">
        <v>147.92217209289151</v>
      </c>
      <c r="DD138" s="934">
        <v>152.02280847994109</v>
      </c>
      <c r="DE138" s="939">
        <f t="shared" si="109"/>
        <v>3.3975321149303301</v>
      </c>
      <c r="DF138" s="9"/>
    </row>
    <row r="139" spans="1:110">
      <c r="A139" s="846" t="s">
        <v>268</v>
      </c>
      <c r="B139" s="41" t="s">
        <v>679</v>
      </c>
      <c r="C139" s="41" t="s">
        <v>1488</v>
      </c>
      <c r="D139" s="34" t="s">
        <v>736</v>
      </c>
      <c r="E139" s="535">
        <v>19.389810000000001</v>
      </c>
      <c r="F139" s="537">
        <v>-155.29229000000001</v>
      </c>
      <c r="G139" s="37" t="s">
        <v>405</v>
      </c>
      <c r="H139" s="37" t="s">
        <v>64</v>
      </c>
      <c r="I139" s="202" t="s">
        <v>780</v>
      </c>
      <c r="J139" t="s">
        <v>881</v>
      </c>
      <c r="K139" s="34">
        <v>2021</v>
      </c>
      <c r="L139" s="51">
        <v>190</v>
      </c>
      <c r="M139" s="52">
        <v>140</v>
      </c>
      <c r="N139" s="838">
        <f t="shared" si="93"/>
        <v>2298007.2500000005</v>
      </c>
      <c r="O139" s="54">
        <v>2250362.0876745386</v>
      </c>
      <c r="P139" s="53">
        <v>45</v>
      </c>
      <c r="Q139" s="54">
        <v>47712.938426394976</v>
      </c>
      <c r="R139" s="772">
        <f t="shared" si="94"/>
        <v>2.0762132604237864E-2</v>
      </c>
      <c r="S139" s="624" t="s">
        <v>224</v>
      </c>
      <c r="T139" s="37" t="s">
        <v>132</v>
      </c>
      <c r="U139" s="21">
        <v>87.146171949955715</v>
      </c>
      <c r="V139" s="552" t="s">
        <v>423</v>
      </c>
      <c r="W139" s="552" t="s">
        <v>423</v>
      </c>
      <c r="X139" s="556" t="s">
        <v>292</v>
      </c>
      <c r="Y139" s="784" t="s">
        <v>64</v>
      </c>
      <c r="Z139" s="784" t="s">
        <v>292</v>
      </c>
      <c r="AA139" s="785" t="s">
        <v>64</v>
      </c>
      <c r="AB139" s="32">
        <f t="shared" si="95"/>
        <v>1241.3671961165624</v>
      </c>
      <c r="AC139" s="6">
        <f t="shared" si="96"/>
        <v>1198.3457430000001</v>
      </c>
      <c r="AD139" s="6">
        <f t="shared" si="97"/>
        <v>43.02145311656227</v>
      </c>
      <c r="AE139" s="6">
        <f t="shared" si="98"/>
        <v>1240.460979314048</v>
      </c>
      <c r="AF139" s="839">
        <v>0.94299999999999995</v>
      </c>
      <c r="AG139" s="553">
        <f t="shared" si="99"/>
        <v>6.0445387062566303E-2</v>
      </c>
      <c r="AH139" s="32">
        <f t="shared" si="111"/>
        <v>63.076131436204591</v>
      </c>
      <c r="AI139" s="9">
        <v>49.983007385356856</v>
      </c>
      <c r="AJ139" s="9">
        <v>2.014251107821905</v>
      </c>
      <c r="AK139" s="9">
        <v>12.526186959232128</v>
      </c>
      <c r="AL139" s="9">
        <v>11.805805444146971</v>
      </c>
      <c r="AM139" s="9">
        <v>0.18110149820576571</v>
      </c>
      <c r="AN139" s="9">
        <v>11.311800801819022</v>
      </c>
      <c r="AO139" s="9">
        <v>9.4716083561615463</v>
      </c>
      <c r="AP139" s="9">
        <v>1.9488533445809344</v>
      </c>
      <c r="AQ139" s="9">
        <v>0.41653344587326113</v>
      </c>
      <c r="AR139" s="9">
        <v>0.1982055285918658</v>
      </c>
      <c r="AS139" s="6">
        <v>164.31923685459685</v>
      </c>
      <c r="AT139" s="6">
        <v>1092.2418592074259</v>
      </c>
      <c r="AU139" s="9">
        <v>100.28769200000001</v>
      </c>
      <c r="AV139" s="8">
        <f t="shared" si="100"/>
        <v>2.3618348611334166</v>
      </c>
      <c r="AW139" s="9">
        <f t="shared" si="101"/>
        <v>9.6807604642005174</v>
      </c>
      <c r="AX139" s="8">
        <v>0.42555057756666309</v>
      </c>
      <c r="AY139" s="789">
        <v>2.1277528878333157E-2</v>
      </c>
      <c r="AZ139" s="6">
        <v>168.86681661586923</v>
      </c>
      <c r="BA139" s="48">
        <v>16.886681661586923</v>
      </c>
      <c r="BB139" s="6" t="s">
        <v>292</v>
      </c>
      <c r="BC139" s="48" t="s">
        <v>292</v>
      </c>
      <c r="BD139" s="849">
        <v>168.86681661586923</v>
      </c>
      <c r="BE139" s="48">
        <v>16.886681661586923</v>
      </c>
      <c r="BF139" s="668">
        <v>391.22893790450797</v>
      </c>
      <c r="BG139" s="48">
        <v>35.973892315694002</v>
      </c>
      <c r="BH139" s="48">
        <v>36.184559885036947</v>
      </c>
      <c r="BI139" s="850">
        <f t="shared" si="102"/>
        <v>1.6762367603156569</v>
      </c>
      <c r="BJ139" s="789">
        <f t="shared" si="103"/>
        <v>0.14783980230465799</v>
      </c>
      <c r="BK139" s="67" t="s">
        <v>64</v>
      </c>
      <c r="BL139" s="48" t="s">
        <v>64</v>
      </c>
      <c r="BM139" s="48" t="s">
        <v>64</v>
      </c>
      <c r="BN139" s="850" t="str">
        <f t="shared" si="104"/>
        <v>-</v>
      </c>
      <c r="BO139" s="789" t="str">
        <f t="shared" si="105"/>
        <v>-</v>
      </c>
      <c r="BP139" s="789" t="str">
        <f t="shared" si="106"/>
        <v>-</v>
      </c>
      <c r="BQ139" s="34" t="s">
        <v>64</v>
      </c>
      <c r="BR139" s="25">
        <v>2.698795088909189</v>
      </c>
      <c r="BS139" s="26">
        <v>2.961441142454027</v>
      </c>
      <c r="BT139" s="605"/>
      <c r="BU139" s="599">
        <v>0.13730382111764913</v>
      </c>
      <c r="BV139" s="851">
        <v>2.5058693757079975E-2</v>
      </c>
      <c r="BW139" s="851">
        <v>5.998427675354448E-2</v>
      </c>
      <c r="BX139" s="851">
        <v>0.12165882510193454</v>
      </c>
      <c r="BY139" s="851">
        <v>5.8095549609427574E-3</v>
      </c>
      <c r="BZ139" s="851">
        <v>2.5853007614549353E-2</v>
      </c>
      <c r="CA139" s="851">
        <v>1.9710795853506425E-2</v>
      </c>
      <c r="CB139" s="851">
        <v>2.9196746381839271E-2</v>
      </c>
      <c r="CC139" s="851">
        <v>1.0662922987598786E-2</v>
      </c>
      <c r="CD139" s="851">
        <v>6.266862403017613E-3</v>
      </c>
      <c r="CE139" s="852">
        <v>21.227909251534804</v>
      </c>
      <c r="CF139" s="852">
        <v>19.555498247249755</v>
      </c>
      <c r="CG139" s="605"/>
      <c r="CH139" s="584">
        <v>50.733600000000003</v>
      </c>
      <c r="CI139" s="576">
        <v>2.1384599999999998</v>
      </c>
      <c r="CJ139" s="576">
        <v>13.334199999999999</v>
      </c>
      <c r="CK139" s="576">
        <v>11.809100000000001</v>
      </c>
      <c r="CL139" s="576">
        <v>0.17982699999999999</v>
      </c>
      <c r="CM139" s="576">
        <v>9.1714300000000009</v>
      </c>
      <c r="CN139" s="576">
        <v>10.0616</v>
      </c>
      <c r="CO139" s="576">
        <v>2.0737800000000002</v>
      </c>
      <c r="CP139" s="576">
        <v>0.44158900000000001</v>
      </c>
      <c r="CQ139" s="576">
        <v>0.211284</v>
      </c>
      <c r="CR139" s="857">
        <v>1.7368999999999999E-2</v>
      </c>
      <c r="CS139" s="793">
        <v>1154.53</v>
      </c>
      <c r="CT139" s="576">
        <f t="shared" si="107"/>
        <v>100.28769200000001</v>
      </c>
      <c r="CU139" s="576">
        <v>0.42555057756666309</v>
      </c>
      <c r="CV139" s="591">
        <v>179.07403670823885</v>
      </c>
      <c r="CW139" s="605"/>
      <c r="CX139" s="936">
        <v>380.97656593685588</v>
      </c>
      <c r="CY139" s="934">
        <v>36.14716331168222</v>
      </c>
      <c r="CZ139" s="934">
        <v>36.221557122080867</v>
      </c>
      <c r="DA139" s="938">
        <f t="shared" si="108"/>
        <v>1.6340598190622135</v>
      </c>
      <c r="DB139" s="936">
        <v>323.17203058375532</v>
      </c>
      <c r="DC139" s="934">
        <v>27.925202026607678</v>
      </c>
      <c r="DD139" s="934">
        <v>28.29248757579262</v>
      </c>
      <c r="DE139" s="939">
        <f t="shared" si="109"/>
        <v>1.3945839902133566</v>
      </c>
      <c r="DF139" s="9"/>
    </row>
    <row r="140" spans="1:110">
      <c r="A140" s="846" t="s">
        <v>269</v>
      </c>
      <c r="B140" s="41" t="s">
        <v>679</v>
      </c>
      <c r="C140" s="41" t="s">
        <v>1488</v>
      </c>
      <c r="D140" s="34" t="s">
        <v>736</v>
      </c>
      <c r="E140" s="535">
        <v>19.389810000000001</v>
      </c>
      <c r="F140" s="537">
        <v>-155.29229000000001</v>
      </c>
      <c r="G140" s="37" t="s">
        <v>405</v>
      </c>
      <c r="H140" s="37" t="s">
        <v>64</v>
      </c>
      <c r="I140" s="202" t="s">
        <v>780</v>
      </c>
      <c r="J140" t="s">
        <v>881</v>
      </c>
      <c r="K140" s="34">
        <v>2021</v>
      </c>
      <c r="L140" s="51">
        <v>130</v>
      </c>
      <c r="M140" s="52">
        <v>120</v>
      </c>
      <c r="N140" s="838">
        <f t="shared" si="93"/>
        <v>1020987.5000000002</v>
      </c>
      <c r="O140" s="54">
        <v>1005415.7062928337</v>
      </c>
      <c r="P140" s="53">
        <v>31</v>
      </c>
      <c r="Q140" s="54">
        <v>15598.531123848919</v>
      </c>
      <c r="R140" s="772">
        <f t="shared" si="94"/>
        <v>1.5277486397560446E-2</v>
      </c>
      <c r="S140" s="624" t="s">
        <v>224</v>
      </c>
      <c r="T140" s="37" t="s">
        <v>132</v>
      </c>
      <c r="U140" s="21">
        <v>87.146171949955715</v>
      </c>
      <c r="V140" s="552" t="s">
        <v>423</v>
      </c>
      <c r="W140" s="552" t="s">
        <v>423</v>
      </c>
      <c r="X140" s="556">
        <v>102.6484764905932</v>
      </c>
      <c r="Y140" s="784">
        <v>8.6995422100487416E-3</v>
      </c>
      <c r="Z140" s="784">
        <v>2.0209154160582443E-2</v>
      </c>
      <c r="AA140" s="785">
        <v>3.0883374845670952E-3</v>
      </c>
      <c r="AB140" s="32">
        <f t="shared" si="95"/>
        <v>1240.9499767778252</v>
      </c>
      <c r="AC140" s="6">
        <f t="shared" si="96"/>
        <v>1199.864298</v>
      </c>
      <c r="AD140" s="6">
        <f t="shared" si="97"/>
        <v>41.085678777825251</v>
      </c>
      <c r="AE140" s="6">
        <f t="shared" si="98"/>
        <v>1240.460979314048</v>
      </c>
      <c r="AF140" s="839">
        <v>0.94599999999999995</v>
      </c>
      <c r="AG140" s="553">
        <f t="shared" si="99"/>
        <v>5.7082452431289621E-2</v>
      </c>
      <c r="AH140" s="32">
        <f t="shared" si="111"/>
        <v>62.969096125213341</v>
      </c>
      <c r="AI140" s="9">
        <v>50.468610588013895</v>
      </c>
      <c r="AJ140" s="9">
        <v>2.0394711655084565</v>
      </c>
      <c r="AK140" s="9">
        <v>11.828329068434838</v>
      </c>
      <c r="AL140" s="9">
        <v>11.838390593671683</v>
      </c>
      <c r="AM140" s="9">
        <v>0.17104592902636293</v>
      </c>
      <c r="AN140" s="9">
        <v>11.29104362078732</v>
      </c>
      <c r="AO140" s="9">
        <v>9.5886335507131673</v>
      </c>
      <c r="AP140" s="9">
        <v>2.0414834705558254</v>
      </c>
      <c r="AQ140" s="9">
        <v>0.38938102666589675</v>
      </c>
      <c r="AR140" s="9">
        <v>0.19921819968952859</v>
      </c>
      <c r="AS140" s="6">
        <v>155.27805329063531</v>
      </c>
      <c r="AT140" s="6">
        <v>1105.1549984801202</v>
      </c>
      <c r="AU140" s="9">
        <v>99.946061</v>
      </c>
      <c r="AV140" s="8">
        <f t="shared" si="100"/>
        <v>2.3683537507142089</v>
      </c>
      <c r="AW140" s="9">
        <f t="shared" si="101"/>
        <v>9.7074802868107817</v>
      </c>
      <c r="AX140" s="8">
        <v>0.42311885998056786</v>
      </c>
      <c r="AY140" s="789">
        <v>2.1155942999028395E-2</v>
      </c>
      <c r="AZ140" s="6">
        <v>182.37276480462128</v>
      </c>
      <c r="BA140" s="48">
        <v>18.237276480462128</v>
      </c>
      <c r="BB140" s="6">
        <v>100.15106514976792</v>
      </c>
      <c r="BC140" s="48">
        <v>15.245673742637457</v>
      </c>
      <c r="BD140" s="849">
        <v>282.52382995438921</v>
      </c>
      <c r="BE140" s="48">
        <v>23.770334900706857</v>
      </c>
      <c r="BF140" s="668">
        <v>645.98493425692038</v>
      </c>
      <c r="BG140" s="48">
        <v>49.995175882760122</v>
      </c>
      <c r="BH140" s="48">
        <v>50.399364382994236</v>
      </c>
      <c r="BI140" s="850">
        <f t="shared" si="102"/>
        <v>2.6970089528607923</v>
      </c>
      <c r="BJ140" s="789">
        <f t="shared" si="103"/>
        <v>0.19542022887347454</v>
      </c>
      <c r="BK140" s="67" t="s">
        <v>64</v>
      </c>
      <c r="BL140" s="48" t="s">
        <v>64</v>
      </c>
      <c r="BM140" s="48" t="s">
        <v>64</v>
      </c>
      <c r="BN140" s="850" t="str">
        <f t="shared" si="104"/>
        <v>-</v>
      </c>
      <c r="BO140" s="789" t="str">
        <f t="shared" si="105"/>
        <v>-</v>
      </c>
      <c r="BP140" s="789" t="str">
        <f t="shared" si="106"/>
        <v>-</v>
      </c>
      <c r="BQ140" s="34" t="s">
        <v>64</v>
      </c>
      <c r="BR140" s="25">
        <v>2.6991760163171179</v>
      </c>
      <c r="BS140" s="26">
        <v>2.9612546712792871</v>
      </c>
      <c r="BT140" s="605"/>
      <c r="BU140" s="599">
        <v>0.13810533412967652</v>
      </c>
      <c r="BV140" s="851">
        <v>2.4827094339084095E-2</v>
      </c>
      <c r="BW140" s="851">
        <v>5.8594466839468395E-2</v>
      </c>
      <c r="BX140" s="851">
        <v>0.12200882113649912</v>
      </c>
      <c r="BY140" s="851">
        <v>5.7698923238463E-3</v>
      </c>
      <c r="BZ140" s="851">
        <v>2.5716480950705198E-2</v>
      </c>
      <c r="CA140" s="851">
        <v>1.9900154184814597E-2</v>
      </c>
      <c r="CB140" s="851">
        <v>2.9952645479995071E-2</v>
      </c>
      <c r="CC140" s="851">
        <v>1.0235269666939762E-2</v>
      </c>
      <c r="CD140" s="851">
        <v>6.2529213991151409E-3</v>
      </c>
      <c r="CE140" s="852">
        <v>20.810054145904363</v>
      </c>
      <c r="CF140" s="852">
        <v>19.629431536504352</v>
      </c>
      <c r="CG140" s="605"/>
      <c r="CH140" s="584">
        <v>51.039400000000001</v>
      </c>
      <c r="CI140" s="576">
        <v>2.14873</v>
      </c>
      <c r="CJ140" s="576">
        <v>12.5008</v>
      </c>
      <c r="CK140" s="576">
        <v>11.8065</v>
      </c>
      <c r="CL140" s="576">
        <v>0.17016800000000001</v>
      </c>
      <c r="CM140" s="576">
        <v>9.2469800000000006</v>
      </c>
      <c r="CN140" s="576">
        <v>10.1187</v>
      </c>
      <c r="CO140" s="576">
        <v>2.1557300000000001</v>
      </c>
      <c r="CP140" s="576">
        <v>0.41365000000000002</v>
      </c>
      <c r="CQ140" s="576">
        <v>0.21305099999999999</v>
      </c>
      <c r="CR140" s="857">
        <v>1.6305E-2</v>
      </c>
      <c r="CS140" s="793">
        <v>1160.47</v>
      </c>
      <c r="CT140" s="576">
        <f t="shared" si="107"/>
        <v>99.946061</v>
      </c>
      <c r="CU140" s="576">
        <v>0.42311885998056786</v>
      </c>
      <c r="CV140" s="591">
        <v>192.78304947634385</v>
      </c>
      <c r="CW140" s="605"/>
      <c r="CX140" s="936">
        <v>622.5606376287991</v>
      </c>
      <c r="CY140" s="934">
        <v>50.107633832138845</v>
      </c>
      <c r="CZ140" s="934">
        <v>50.269780228406148</v>
      </c>
      <c r="DA140" s="938">
        <f t="shared" si="108"/>
        <v>2.6052495618075895</v>
      </c>
      <c r="DB140" s="936">
        <v>489.89284178875471</v>
      </c>
      <c r="DC140" s="934">
        <v>35.650580938992107</v>
      </c>
      <c r="DD140" s="934">
        <v>36.044471470577832</v>
      </c>
      <c r="DE140" s="939">
        <f t="shared" si="109"/>
        <v>2.0776734218086763</v>
      </c>
      <c r="DF140" s="9"/>
    </row>
    <row r="141" spans="1:110">
      <c r="A141" s="846" t="s">
        <v>270</v>
      </c>
      <c r="B141" s="41" t="s">
        <v>679</v>
      </c>
      <c r="C141" s="41" t="s">
        <v>1488</v>
      </c>
      <c r="D141" s="34" t="s">
        <v>736</v>
      </c>
      <c r="E141" s="535">
        <v>19.389810000000001</v>
      </c>
      <c r="F141" s="537">
        <v>-155.29229000000001</v>
      </c>
      <c r="G141" s="37" t="s">
        <v>405</v>
      </c>
      <c r="H141" s="37" t="s">
        <v>64</v>
      </c>
      <c r="I141" s="202" t="s">
        <v>780</v>
      </c>
      <c r="J141" t="s">
        <v>885</v>
      </c>
      <c r="K141" s="34">
        <v>2021</v>
      </c>
      <c r="L141" s="51">
        <v>116</v>
      </c>
      <c r="M141" s="52">
        <v>84</v>
      </c>
      <c r="N141" s="838">
        <f t="shared" si="93"/>
        <v>510179.60000000003</v>
      </c>
      <c r="O141" s="54">
        <v>497421.22140491544</v>
      </c>
      <c r="P141" s="53">
        <v>29</v>
      </c>
      <c r="Q141" s="54">
        <v>12770.050538066909</v>
      </c>
      <c r="R141" s="772">
        <f t="shared" si="94"/>
        <v>2.502992748079402E-2</v>
      </c>
      <c r="S141" s="624" t="s">
        <v>224</v>
      </c>
      <c r="T141" s="37" t="s">
        <v>132</v>
      </c>
      <c r="U141" s="21">
        <v>87.146171949955715</v>
      </c>
      <c r="V141" s="552" t="s">
        <v>423</v>
      </c>
      <c r="W141" s="552" t="s">
        <v>423</v>
      </c>
      <c r="X141" s="556" t="s">
        <v>423</v>
      </c>
      <c r="Y141" s="784" t="s">
        <v>64</v>
      </c>
      <c r="Z141" s="784" t="s">
        <v>423</v>
      </c>
      <c r="AA141" s="785" t="s">
        <v>64</v>
      </c>
      <c r="AB141" s="32">
        <f t="shared" si="95"/>
        <v>1245.0054233205608</v>
      </c>
      <c r="AC141" s="6">
        <f t="shared" si="96"/>
        <v>1198.4094600000001</v>
      </c>
      <c r="AD141" s="6">
        <f t="shared" si="97"/>
        <v>46.595963320560713</v>
      </c>
      <c r="AE141" s="6">
        <f t="shared" si="98"/>
        <v>1240.460979314048</v>
      </c>
      <c r="AF141" s="839">
        <v>0.93799999999999994</v>
      </c>
      <c r="AG141" s="553">
        <f t="shared" si="99"/>
        <v>6.6098081023454158E-2</v>
      </c>
      <c r="AH141" s="32">
        <f t="shared" si="111"/>
        <v>63.060061796027</v>
      </c>
      <c r="AI141" s="9">
        <v>50.044679468336142</v>
      </c>
      <c r="AJ141" s="9">
        <v>1.9672916504584002</v>
      </c>
      <c r="AK141" s="9">
        <v>12.14286871922328</v>
      </c>
      <c r="AL141" s="9">
        <v>12.002994786019334</v>
      </c>
      <c r="AM141" s="9">
        <v>0.18113171206266598</v>
      </c>
      <c r="AN141" s="9">
        <v>11.492807130376157</v>
      </c>
      <c r="AO141" s="9">
        <v>9.623125346973751</v>
      </c>
      <c r="AP141" s="9">
        <v>1.8636440596669857</v>
      </c>
      <c r="AQ141" s="9">
        <v>0.37635144617465044</v>
      </c>
      <c r="AR141" s="9">
        <v>0.17911913748419192</v>
      </c>
      <c r="AS141" s="6">
        <v>162.16052431292044</v>
      </c>
      <c r="AT141" s="6">
        <v>1097.7049079317303</v>
      </c>
      <c r="AU141" s="9">
        <v>100.245127</v>
      </c>
      <c r="AV141" s="8">
        <f t="shared" si="100"/>
        <v>2.4012839833539594</v>
      </c>
      <c r="AW141" s="9">
        <f t="shared" si="101"/>
        <v>9.8424557245358546</v>
      </c>
      <c r="AX141" s="8">
        <v>0.49898844866673864</v>
      </c>
      <c r="AY141" s="789">
        <v>2.4949422433336935E-2</v>
      </c>
      <c r="AZ141" s="862" t="s">
        <v>292</v>
      </c>
      <c r="BA141" s="48" t="s">
        <v>64</v>
      </c>
      <c r="BB141" s="6" t="s">
        <v>64</v>
      </c>
      <c r="BC141" s="48" t="s">
        <v>64</v>
      </c>
      <c r="BD141" s="849" t="s">
        <v>64</v>
      </c>
      <c r="BE141" s="48" t="s">
        <v>64</v>
      </c>
      <c r="BF141" s="668" t="s">
        <v>64</v>
      </c>
      <c r="BG141" s="48" t="s">
        <v>64</v>
      </c>
      <c r="BH141" s="48" t="s">
        <v>64</v>
      </c>
      <c r="BI141" s="850" t="str">
        <f t="shared" si="102"/>
        <v>-</v>
      </c>
      <c r="BJ141" s="789" t="str">
        <f t="shared" si="103"/>
        <v>-</v>
      </c>
      <c r="BK141" s="67" t="s">
        <v>64</v>
      </c>
      <c r="BL141" s="48" t="s">
        <v>64</v>
      </c>
      <c r="BM141" s="48" t="s">
        <v>64</v>
      </c>
      <c r="BN141" s="850" t="str">
        <f t="shared" si="104"/>
        <v>-</v>
      </c>
      <c r="BO141" s="789" t="str">
        <f t="shared" si="105"/>
        <v>-</v>
      </c>
      <c r="BP141" s="789" t="str">
        <f t="shared" si="106"/>
        <v>-</v>
      </c>
      <c r="BQ141" s="34" t="s">
        <v>64</v>
      </c>
      <c r="BR141" s="25">
        <v>2.699402494267773</v>
      </c>
      <c r="BS141" s="26">
        <v>2.9637028182187479</v>
      </c>
      <c r="BT141" s="605"/>
      <c r="BU141" s="599">
        <v>0.13660445931074375</v>
      </c>
      <c r="BV141" s="851">
        <v>2.4482551131624699E-2</v>
      </c>
      <c r="BW141" s="851">
        <v>5.8670091647235162E-2</v>
      </c>
      <c r="BX141" s="851">
        <v>0.12202004439571536</v>
      </c>
      <c r="BY141" s="851">
        <v>5.7520548746044335E-3</v>
      </c>
      <c r="BZ141" s="851">
        <v>2.6277384079034651E-2</v>
      </c>
      <c r="CA141" s="851">
        <v>1.9819788964627136E-2</v>
      </c>
      <c r="CB141" s="851">
        <v>2.838739904565946E-2</v>
      </c>
      <c r="CC141" s="851">
        <v>1.0292572255418193E-2</v>
      </c>
      <c r="CD141" s="851">
        <v>6.3910603850047092E-3</v>
      </c>
      <c r="CE141" s="852">
        <v>20.563738248645755</v>
      </c>
      <c r="CF141" s="852">
        <v>19.494470771431978</v>
      </c>
      <c r="CG141" s="605"/>
      <c r="CH141" s="584">
        <v>50.824399999999997</v>
      </c>
      <c r="CI141" s="576">
        <v>2.0895100000000002</v>
      </c>
      <c r="CJ141" s="576">
        <v>12.9846</v>
      </c>
      <c r="CK141" s="576">
        <v>11.9993</v>
      </c>
      <c r="CL141" s="576">
        <v>0.180755</v>
      </c>
      <c r="CM141" s="576">
        <v>9.1745999999999999</v>
      </c>
      <c r="CN141" s="576">
        <v>10.269500000000001</v>
      </c>
      <c r="CO141" s="576">
        <v>1.9966600000000001</v>
      </c>
      <c r="CP141" s="576">
        <v>0.40180399999999999</v>
      </c>
      <c r="CQ141" s="576">
        <v>0.190196</v>
      </c>
      <c r="CR141" s="857">
        <v>1.7222000000000001E-2</v>
      </c>
      <c r="CS141" s="793">
        <v>1165.8</v>
      </c>
      <c r="CT141" s="576">
        <f t="shared" si="107"/>
        <v>100.245127</v>
      </c>
      <c r="CU141" s="576">
        <v>0.49898844866673864</v>
      </c>
      <c r="CV141" s="591" t="s">
        <v>292</v>
      </c>
      <c r="CW141" s="605"/>
      <c r="CX141" s="936" t="s">
        <v>64</v>
      </c>
      <c r="CY141" s="934" t="s">
        <v>64</v>
      </c>
      <c r="CZ141" s="934" t="s">
        <v>64</v>
      </c>
      <c r="DA141" s="938" t="str">
        <f t="shared" si="108"/>
        <v>-</v>
      </c>
      <c r="DB141" s="936" t="s">
        <v>64</v>
      </c>
      <c r="DC141" s="934" t="s">
        <v>64</v>
      </c>
      <c r="DD141" s="934" t="s">
        <v>64</v>
      </c>
      <c r="DE141" s="939" t="str">
        <f t="shared" si="109"/>
        <v>-</v>
      </c>
      <c r="DF141" s="9"/>
    </row>
    <row r="142" spans="1:110">
      <c r="A142" s="846" t="s">
        <v>610</v>
      </c>
      <c r="B142" s="41" t="s">
        <v>679</v>
      </c>
      <c r="C142" s="41" t="s">
        <v>1488</v>
      </c>
      <c r="D142" s="34" t="s">
        <v>736</v>
      </c>
      <c r="E142" s="535">
        <v>19.389810000000001</v>
      </c>
      <c r="F142" s="537">
        <v>-155.29229000000001</v>
      </c>
      <c r="G142" s="37" t="s">
        <v>405</v>
      </c>
      <c r="H142" s="37" t="s">
        <v>64</v>
      </c>
      <c r="I142" s="202" t="s">
        <v>780</v>
      </c>
      <c r="J142" t="s">
        <v>879</v>
      </c>
      <c r="K142" s="34">
        <v>2021</v>
      </c>
      <c r="L142" s="51">
        <v>35</v>
      </c>
      <c r="M142" s="52">
        <v>25</v>
      </c>
      <c r="N142" s="838">
        <f t="shared" si="93"/>
        <v>13744.062500000002</v>
      </c>
      <c r="O142" s="54">
        <v>12845.869083857046</v>
      </c>
      <c r="P142" s="53">
        <v>10</v>
      </c>
      <c r="Q142" s="54">
        <v>523.59877559829886</v>
      </c>
      <c r="R142" s="772">
        <f t="shared" si="94"/>
        <v>3.9163770847318501E-2</v>
      </c>
      <c r="S142" s="624" t="s">
        <v>217</v>
      </c>
      <c r="T142" s="37" t="s">
        <v>132</v>
      </c>
      <c r="U142" s="21">
        <v>87.349154070519049</v>
      </c>
      <c r="V142" s="552" t="s">
        <v>423</v>
      </c>
      <c r="W142" s="552" t="s">
        <v>423</v>
      </c>
      <c r="X142" s="556" t="s">
        <v>292</v>
      </c>
      <c r="Y142" s="784" t="s">
        <v>64</v>
      </c>
      <c r="Z142" s="784" t="s">
        <v>292</v>
      </c>
      <c r="AA142" s="785" t="s">
        <v>64</v>
      </c>
      <c r="AB142" s="32" t="str">
        <f t="shared" si="95"/>
        <v>-</v>
      </c>
      <c r="AC142" s="6" t="str">
        <f t="shared" si="96"/>
        <v>-</v>
      </c>
      <c r="AD142" s="6" t="str">
        <f t="shared" si="97"/>
        <v>-</v>
      </c>
      <c r="AE142" s="6">
        <f t="shared" si="98"/>
        <v>1244.2763332624709</v>
      </c>
      <c r="AF142" s="839">
        <v>0.9464999999999999</v>
      </c>
      <c r="AG142" s="553">
        <f t="shared" si="99"/>
        <v>5.6524035921817317E-2</v>
      </c>
      <c r="AH142" s="69" t="s">
        <v>64</v>
      </c>
      <c r="AI142" s="9" t="s">
        <v>64</v>
      </c>
      <c r="AJ142" s="9" t="s">
        <v>64</v>
      </c>
      <c r="AK142" s="9" t="s">
        <v>64</v>
      </c>
      <c r="AL142" s="9" t="s">
        <v>64</v>
      </c>
      <c r="AM142" s="9" t="s">
        <v>64</v>
      </c>
      <c r="AN142" s="9" t="s">
        <v>64</v>
      </c>
      <c r="AO142" s="9" t="s">
        <v>64</v>
      </c>
      <c r="AP142" s="9" t="s">
        <v>64</v>
      </c>
      <c r="AQ142" s="9" t="s">
        <v>64</v>
      </c>
      <c r="AR142" s="9" t="s">
        <v>64</v>
      </c>
      <c r="AS142" s="6" t="s">
        <v>64</v>
      </c>
      <c r="AT142" s="6" t="s">
        <v>64</v>
      </c>
      <c r="AU142" s="9" t="s">
        <v>64</v>
      </c>
      <c r="AV142" s="8" t="str">
        <f t="shared" si="100"/>
        <v>-</v>
      </c>
      <c r="AW142" s="9" t="str">
        <f t="shared" si="101"/>
        <v>-</v>
      </c>
      <c r="AX142" s="8" t="s">
        <v>64</v>
      </c>
      <c r="AY142" s="789" t="s">
        <v>64</v>
      </c>
      <c r="AZ142" s="6" t="s">
        <v>64</v>
      </c>
      <c r="BA142" s="48" t="s">
        <v>64</v>
      </c>
      <c r="BB142" s="6" t="s">
        <v>292</v>
      </c>
      <c r="BC142" s="48" t="s">
        <v>292</v>
      </c>
      <c r="BD142" s="849" t="s">
        <v>64</v>
      </c>
      <c r="BE142" s="48" t="s">
        <v>64</v>
      </c>
      <c r="BF142" s="668" t="s">
        <v>64</v>
      </c>
      <c r="BG142" s="48" t="s">
        <v>64</v>
      </c>
      <c r="BH142" s="48" t="s">
        <v>64</v>
      </c>
      <c r="BI142" s="850" t="str">
        <f t="shared" si="102"/>
        <v>-</v>
      </c>
      <c r="BJ142" s="789" t="str">
        <f t="shared" si="103"/>
        <v>-</v>
      </c>
      <c r="BK142" s="67" t="s">
        <v>64</v>
      </c>
      <c r="BL142" s="48" t="s">
        <v>64</v>
      </c>
      <c r="BM142" s="48" t="s">
        <v>64</v>
      </c>
      <c r="BN142" s="850" t="str">
        <f t="shared" si="104"/>
        <v>-</v>
      </c>
      <c r="BO142" s="789" t="str">
        <f t="shared" si="105"/>
        <v>-</v>
      </c>
      <c r="BP142" s="789" t="str">
        <f t="shared" si="106"/>
        <v>-</v>
      </c>
      <c r="BQ142" s="34" t="s">
        <v>64</v>
      </c>
      <c r="BR142" s="45" t="s">
        <v>64</v>
      </c>
      <c r="BS142" s="854" t="s">
        <v>64</v>
      </c>
      <c r="BT142" s="605"/>
      <c r="BU142" s="599" t="s">
        <v>64</v>
      </c>
      <c r="BV142" s="851" t="s">
        <v>64</v>
      </c>
      <c r="BW142" s="851" t="s">
        <v>64</v>
      </c>
      <c r="BX142" s="851" t="s">
        <v>64</v>
      </c>
      <c r="BY142" s="851" t="s">
        <v>64</v>
      </c>
      <c r="BZ142" s="851" t="s">
        <v>64</v>
      </c>
      <c r="CA142" s="851" t="s">
        <v>64</v>
      </c>
      <c r="CB142" s="851" t="s">
        <v>64</v>
      </c>
      <c r="CC142" s="851" t="s">
        <v>64</v>
      </c>
      <c r="CD142" s="851" t="s">
        <v>64</v>
      </c>
      <c r="CE142" s="852" t="s">
        <v>64</v>
      </c>
      <c r="CF142" s="852" t="s">
        <v>64</v>
      </c>
      <c r="CG142" s="605"/>
      <c r="CH142" s="584" t="s">
        <v>64</v>
      </c>
      <c r="CI142" s="576" t="s">
        <v>64</v>
      </c>
      <c r="CJ142" s="576" t="s">
        <v>64</v>
      </c>
      <c r="CK142" s="576" t="s">
        <v>64</v>
      </c>
      <c r="CL142" s="576" t="s">
        <v>64</v>
      </c>
      <c r="CM142" s="576" t="s">
        <v>64</v>
      </c>
      <c r="CN142" s="576" t="s">
        <v>64</v>
      </c>
      <c r="CO142" s="576" t="s">
        <v>64</v>
      </c>
      <c r="CP142" s="576" t="s">
        <v>64</v>
      </c>
      <c r="CQ142" s="576" t="s">
        <v>64</v>
      </c>
      <c r="CR142" s="857" t="s">
        <v>64</v>
      </c>
      <c r="CS142" s="793" t="s">
        <v>64</v>
      </c>
      <c r="CT142" s="855" t="s">
        <v>64</v>
      </c>
      <c r="CU142" s="576" t="s">
        <v>64</v>
      </c>
      <c r="CV142" s="591" t="s">
        <v>64</v>
      </c>
      <c r="CW142" s="605"/>
      <c r="CX142" s="936" t="s">
        <v>64</v>
      </c>
      <c r="CY142" s="934" t="s">
        <v>64</v>
      </c>
      <c r="CZ142" s="934" t="s">
        <v>64</v>
      </c>
      <c r="DA142" s="938" t="str">
        <f t="shared" si="108"/>
        <v>-</v>
      </c>
      <c r="DB142" s="936" t="s">
        <v>64</v>
      </c>
      <c r="DC142" s="934" t="s">
        <v>64</v>
      </c>
      <c r="DD142" s="934" t="s">
        <v>64</v>
      </c>
      <c r="DE142" s="939" t="str">
        <f t="shared" si="109"/>
        <v>-</v>
      </c>
      <c r="DF142" s="19"/>
    </row>
    <row r="143" spans="1:110">
      <c r="A143" s="846" t="s">
        <v>611</v>
      </c>
      <c r="B143" s="41" t="s">
        <v>679</v>
      </c>
      <c r="C143" s="41" t="s">
        <v>1488</v>
      </c>
      <c r="D143" s="34" t="s">
        <v>736</v>
      </c>
      <c r="E143" s="535">
        <v>19.389810000000001</v>
      </c>
      <c r="F143" s="537">
        <v>-155.29229000000001</v>
      </c>
      <c r="G143" s="37" t="s">
        <v>997</v>
      </c>
      <c r="H143" s="860" t="s">
        <v>760</v>
      </c>
      <c r="I143" s="202" t="s">
        <v>780</v>
      </c>
      <c r="J143" t="s">
        <v>879</v>
      </c>
      <c r="K143" s="34">
        <v>2021</v>
      </c>
      <c r="L143" s="51">
        <v>12.5</v>
      </c>
      <c r="M143" s="52">
        <v>10</v>
      </c>
      <c r="N143" s="54">
        <f t="shared" si="93"/>
        <v>736.2890625</v>
      </c>
      <c r="O143" s="54">
        <v>212.71200258680884</v>
      </c>
      <c r="P143" s="53">
        <v>10</v>
      </c>
      <c r="Q143" s="54">
        <v>523.59877559829886</v>
      </c>
      <c r="R143" s="772">
        <f t="shared" si="94"/>
        <v>0.71111111111111125</v>
      </c>
      <c r="S143" s="624" t="s">
        <v>217</v>
      </c>
      <c r="T143" s="37" t="s">
        <v>132</v>
      </c>
      <c r="U143" s="21">
        <v>87.349154070519049</v>
      </c>
      <c r="V143" s="552" t="s">
        <v>423</v>
      </c>
      <c r="W143" s="552" t="s">
        <v>423</v>
      </c>
      <c r="X143" s="556">
        <v>103.03681584899768</v>
      </c>
      <c r="Y143" s="784">
        <v>3.7978621170259804E-3</v>
      </c>
      <c r="Z143" s="784">
        <v>0.15806962639417321</v>
      </c>
      <c r="AA143" s="785">
        <v>1.3482410515431842E-3</v>
      </c>
      <c r="AB143" s="32" t="str">
        <f t="shared" si="95"/>
        <v>-</v>
      </c>
      <c r="AC143" s="6" t="str">
        <f t="shared" si="96"/>
        <v>-</v>
      </c>
      <c r="AD143" s="6" t="str">
        <f t="shared" si="97"/>
        <v>-</v>
      </c>
      <c r="AE143" s="6">
        <f t="shared" si="98"/>
        <v>1244.2763332624709</v>
      </c>
      <c r="AF143" s="839">
        <v>0.95666666666666655</v>
      </c>
      <c r="AG143" s="553">
        <f t="shared" si="99"/>
        <v>4.5296167247386832E-2</v>
      </c>
      <c r="AH143" s="69" t="s">
        <v>64</v>
      </c>
      <c r="AI143" s="9" t="s">
        <v>64</v>
      </c>
      <c r="AJ143" s="9" t="s">
        <v>64</v>
      </c>
      <c r="AK143" s="9" t="s">
        <v>64</v>
      </c>
      <c r="AL143" s="9" t="s">
        <v>64</v>
      </c>
      <c r="AM143" s="9" t="s">
        <v>64</v>
      </c>
      <c r="AN143" s="9" t="s">
        <v>64</v>
      </c>
      <c r="AO143" s="9" t="s">
        <v>64</v>
      </c>
      <c r="AP143" s="9" t="s">
        <v>64</v>
      </c>
      <c r="AQ143" s="9" t="s">
        <v>64</v>
      </c>
      <c r="AR143" s="9" t="s">
        <v>64</v>
      </c>
      <c r="AS143" s="6" t="s">
        <v>64</v>
      </c>
      <c r="AT143" s="6" t="s">
        <v>64</v>
      </c>
      <c r="AU143" s="9" t="s">
        <v>64</v>
      </c>
      <c r="AV143" s="8" t="str">
        <f t="shared" si="100"/>
        <v>-</v>
      </c>
      <c r="AW143" s="9" t="str">
        <f t="shared" si="101"/>
        <v>-</v>
      </c>
      <c r="AX143" s="8" t="s">
        <v>64</v>
      </c>
      <c r="AY143" s="789" t="s">
        <v>64</v>
      </c>
      <c r="AZ143" s="863" t="s">
        <v>896</v>
      </c>
      <c r="BA143" s="48" t="s">
        <v>64</v>
      </c>
      <c r="BB143" s="6">
        <v>111477.44058354295</v>
      </c>
      <c r="BC143" s="48">
        <v>63682.050694404257</v>
      </c>
      <c r="BD143" s="6" t="s">
        <v>998</v>
      </c>
      <c r="BE143" s="48" t="s">
        <v>998</v>
      </c>
      <c r="BF143" s="668" t="s">
        <v>1008</v>
      </c>
      <c r="BG143" s="48" t="s">
        <v>64</v>
      </c>
      <c r="BH143" s="48" t="s">
        <v>64</v>
      </c>
      <c r="BI143" s="850" t="str">
        <f t="shared" si="102"/>
        <v>-</v>
      </c>
      <c r="BJ143" s="789" t="str">
        <f t="shared" si="103"/>
        <v>-</v>
      </c>
      <c r="BK143" s="67">
        <v>503</v>
      </c>
      <c r="BL143" s="48">
        <v>50.300000000000068</v>
      </c>
      <c r="BM143" s="48">
        <v>5</v>
      </c>
      <c r="BN143" s="850">
        <f t="shared" si="104"/>
        <v>2.1304079180467999</v>
      </c>
      <c r="BO143" s="789">
        <f t="shared" si="105"/>
        <v>0.20111384664469067</v>
      </c>
      <c r="BP143" s="789">
        <f t="shared" si="106"/>
        <v>2.010051139399982E-2</v>
      </c>
      <c r="BQ143" s="861" t="s">
        <v>760</v>
      </c>
      <c r="BR143" s="45" t="s">
        <v>64</v>
      </c>
      <c r="BS143" s="854" t="s">
        <v>64</v>
      </c>
      <c r="BT143" s="605"/>
      <c r="BU143" s="599" t="s">
        <v>64</v>
      </c>
      <c r="BV143" s="851" t="s">
        <v>64</v>
      </c>
      <c r="BW143" s="851" t="s">
        <v>64</v>
      </c>
      <c r="BX143" s="851" t="s">
        <v>64</v>
      </c>
      <c r="BY143" s="851" t="s">
        <v>64</v>
      </c>
      <c r="BZ143" s="851" t="s">
        <v>64</v>
      </c>
      <c r="CA143" s="851" t="s">
        <v>64</v>
      </c>
      <c r="CB143" s="851" t="s">
        <v>64</v>
      </c>
      <c r="CC143" s="851" t="s">
        <v>64</v>
      </c>
      <c r="CD143" s="851" t="s">
        <v>64</v>
      </c>
      <c r="CE143" s="852" t="s">
        <v>64</v>
      </c>
      <c r="CF143" s="852" t="s">
        <v>64</v>
      </c>
      <c r="CG143" s="605"/>
      <c r="CH143" s="584" t="s">
        <v>64</v>
      </c>
      <c r="CI143" s="576" t="s">
        <v>64</v>
      </c>
      <c r="CJ143" s="576" t="s">
        <v>64</v>
      </c>
      <c r="CK143" s="576" t="s">
        <v>64</v>
      </c>
      <c r="CL143" s="576" t="s">
        <v>64</v>
      </c>
      <c r="CM143" s="576" t="s">
        <v>64</v>
      </c>
      <c r="CN143" s="576" t="s">
        <v>64</v>
      </c>
      <c r="CO143" s="576" t="s">
        <v>64</v>
      </c>
      <c r="CP143" s="576" t="s">
        <v>64</v>
      </c>
      <c r="CQ143" s="576" t="s">
        <v>64</v>
      </c>
      <c r="CR143" s="857" t="s">
        <v>64</v>
      </c>
      <c r="CS143" s="793" t="s">
        <v>64</v>
      </c>
      <c r="CT143" s="855" t="s">
        <v>64</v>
      </c>
      <c r="CU143" s="576" t="s">
        <v>64</v>
      </c>
      <c r="CV143" s="591" t="s">
        <v>64</v>
      </c>
      <c r="CW143" s="605"/>
      <c r="CX143" s="936" t="s">
        <v>998</v>
      </c>
      <c r="CY143" s="934" t="s">
        <v>64</v>
      </c>
      <c r="CZ143" s="934" t="s">
        <v>64</v>
      </c>
      <c r="DA143" s="938" t="str">
        <f t="shared" si="108"/>
        <v>-</v>
      </c>
      <c r="DB143" s="936" t="s">
        <v>998</v>
      </c>
      <c r="DC143" s="934" t="s">
        <v>64</v>
      </c>
      <c r="DD143" s="934" t="s">
        <v>64</v>
      </c>
      <c r="DE143" s="939" t="str">
        <f t="shared" si="109"/>
        <v>-</v>
      </c>
      <c r="DF143" s="19"/>
    </row>
    <row r="144" spans="1:110">
      <c r="A144" s="846" t="s">
        <v>612</v>
      </c>
      <c r="B144" s="41" t="s">
        <v>679</v>
      </c>
      <c r="C144" s="41" t="s">
        <v>1488</v>
      </c>
      <c r="D144" s="34" t="s">
        <v>736</v>
      </c>
      <c r="E144" s="535">
        <v>19.389810000000001</v>
      </c>
      <c r="F144" s="537">
        <v>-155.29229000000001</v>
      </c>
      <c r="G144" s="37" t="s">
        <v>998</v>
      </c>
      <c r="H144" s="860" t="s">
        <v>999</v>
      </c>
      <c r="I144" s="202" t="s">
        <v>64</v>
      </c>
      <c r="J144" t="s">
        <v>880</v>
      </c>
      <c r="K144" s="34">
        <v>2021</v>
      </c>
      <c r="L144" s="51" t="s">
        <v>998</v>
      </c>
      <c r="M144" s="52" t="s">
        <v>998</v>
      </c>
      <c r="N144" s="54" t="str">
        <f>L144</f>
        <v>fluid inclusion</v>
      </c>
      <c r="O144" s="54" t="s">
        <v>998</v>
      </c>
      <c r="P144" s="53">
        <v>12.5</v>
      </c>
      <c r="Q144" s="54">
        <v>1022.6538585904274</v>
      </c>
      <c r="R144" s="772">
        <f t="shared" si="94"/>
        <v>1</v>
      </c>
      <c r="S144" s="624" t="s">
        <v>217</v>
      </c>
      <c r="T144" s="37" t="s">
        <v>132</v>
      </c>
      <c r="U144" s="21">
        <v>87.349154070519049</v>
      </c>
      <c r="V144" s="552" t="s">
        <v>423</v>
      </c>
      <c r="W144" s="552" t="s">
        <v>423</v>
      </c>
      <c r="X144" s="556">
        <v>102.98924988495162</v>
      </c>
      <c r="Y144" s="784">
        <v>2.528514657304489E-3</v>
      </c>
      <c r="Z144" s="784">
        <v>0.14118370915782208</v>
      </c>
      <c r="AA144" s="785">
        <v>8.9762270334385152E-4</v>
      </c>
      <c r="AB144" s="32" t="str">
        <f t="shared" si="95"/>
        <v>-</v>
      </c>
      <c r="AC144" s="6" t="str">
        <f t="shared" si="96"/>
        <v>-</v>
      </c>
      <c r="AD144" s="6" t="str">
        <f t="shared" si="97"/>
        <v>-</v>
      </c>
      <c r="AE144" s="6">
        <f t="shared" si="98"/>
        <v>1244.2763332624709</v>
      </c>
      <c r="AF144" s="839" t="s">
        <v>998</v>
      </c>
      <c r="AG144" s="553" t="str">
        <f t="shared" si="99"/>
        <v>-</v>
      </c>
      <c r="AH144" s="69" t="s">
        <v>64</v>
      </c>
      <c r="AI144" s="9" t="s">
        <v>64</v>
      </c>
      <c r="AJ144" s="9" t="s">
        <v>64</v>
      </c>
      <c r="AK144" s="9" t="s">
        <v>64</v>
      </c>
      <c r="AL144" s="9" t="s">
        <v>64</v>
      </c>
      <c r="AM144" s="9" t="s">
        <v>64</v>
      </c>
      <c r="AN144" s="9" t="s">
        <v>64</v>
      </c>
      <c r="AO144" s="9" t="s">
        <v>64</v>
      </c>
      <c r="AP144" s="9" t="s">
        <v>64</v>
      </c>
      <c r="AQ144" s="9" t="s">
        <v>64</v>
      </c>
      <c r="AR144" s="9" t="s">
        <v>64</v>
      </c>
      <c r="AS144" s="6" t="s">
        <v>64</v>
      </c>
      <c r="AT144" s="6" t="s">
        <v>64</v>
      </c>
      <c r="AU144" s="9" t="s">
        <v>64</v>
      </c>
      <c r="AV144" s="8" t="str">
        <f t="shared" si="100"/>
        <v>-</v>
      </c>
      <c r="AW144" s="9" t="str">
        <f t="shared" si="101"/>
        <v>-</v>
      </c>
      <c r="AX144" s="8" t="s">
        <v>64</v>
      </c>
      <c r="AY144" s="789" t="s">
        <v>64</v>
      </c>
      <c r="AZ144" s="6" t="s">
        <v>64</v>
      </c>
      <c r="BA144" s="48" t="s">
        <v>64</v>
      </c>
      <c r="BB144" s="6" t="s">
        <v>64</v>
      </c>
      <c r="BC144" s="48" t="s">
        <v>64</v>
      </c>
      <c r="BD144" s="849" t="s">
        <v>64</v>
      </c>
      <c r="BE144" s="48" t="s">
        <v>64</v>
      </c>
      <c r="BF144" s="668" t="s">
        <v>1008</v>
      </c>
      <c r="BG144" s="48" t="s">
        <v>64</v>
      </c>
      <c r="BH144" s="48" t="s">
        <v>64</v>
      </c>
      <c r="BI144" s="850" t="str">
        <f t="shared" si="102"/>
        <v>-</v>
      </c>
      <c r="BJ144" s="789" t="str">
        <f t="shared" si="103"/>
        <v>-</v>
      </c>
      <c r="BK144" s="67">
        <v>442</v>
      </c>
      <c r="BL144" s="48">
        <v>44.200000000000045</v>
      </c>
      <c r="BM144" s="48">
        <v>2</v>
      </c>
      <c r="BN144" s="850">
        <f t="shared" si="104"/>
        <v>1.8838081095391999</v>
      </c>
      <c r="BO144" s="789">
        <f t="shared" si="105"/>
        <v>0.17898297749267544</v>
      </c>
      <c r="BP144" s="789">
        <f t="shared" si="106"/>
        <v>8.1364039392000098E-3</v>
      </c>
      <c r="BQ144" s="861" t="s">
        <v>912</v>
      </c>
      <c r="BR144" s="45" t="s">
        <v>64</v>
      </c>
      <c r="BS144" s="854" t="s">
        <v>64</v>
      </c>
      <c r="BT144" s="605"/>
      <c r="BU144" s="599" t="s">
        <v>64</v>
      </c>
      <c r="BV144" s="851" t="s">
        <v>64</v>
      </c>
      <c r="BW144" s="851" t="s">
        <v>64</v>
      </c>
      <c r="BX144" s="851" t="s">
        <v>64</v>
      </c>
      <c r="BY144" s="851" t="s">
        <v>64</v>
      </c>
      <c r="BZ144" s="851" t="s">
        <v>64</v>
      </c>
      <c r="CA144" s="851" t="s">
        <v>64</v>
      </c>
      <c r="CB144" s="851" t="s">
        <v>64</v>
      </c>
      <c r="CC144" s="851" t="s">
        <v>64</v>
      </c>
      <c r="CD144" s="851" t="s">
        <v>64</v>
      </c>
      <c r="CE144" s="852" t="s">
        <v>64</v>
      </c>
      <c r="CF144" s="852" t="s">
        <v>64</v>
      </c>
      <c r="CG144" s="605"/>
      <c r="CH144" s="584" t="s">
        <v>64</v>
      </c>
      <c r="CI144" s="576" t="s">
        <v>64</v>
      </c>
      <c r="CJ144" s="576" t="s">
        <v>64</v>
      </c>
      <c r="CK144" s="576" t="s">
        <v>64</v>
      </c>
      <c r="CL144" s="576" t="s">
        <v>64</v>
      </c>
      <c r="CM144" s="576" t="s">
        <v>64</v>
      </c>
      <c r="CN144" s="576" t="s">
        <v>64</v>
      </c>
      <c r="CO144" s="576" t="s">
        <v>64</v>
      </c>
      <c r="CP144" s="576" t="s">
        <v>64</v>
      </c>
      <c r="CQ144" s="576" t="s">
        <v>64</v>
      </c>
      <c r="CR144" s="857" t="s">
        <v>64</v>
      </c>
      <c r="CS144" s="793" t="s">
        <v>64</v>
      </c>
      <c r="CT144" s="855" t="s">
        <v>64</v>
      </c>
      <c r="CU144" s="576" t="s">
        <v>64</v>
      </c>
      <c r="CV144" s="591" t="s">
        <v>64</v>
      </c>
      <c r="CW144" s="605"/>
      <c r="CX144" s="936" t="s">
        <v>64</v>
      </c>
      <c r="CY144" s="934" t="s">
        <v>64</v>
      </c>
      <c r="CZ144" s="934" t="s">
        <v>64</v>
      </c>
      <c r="DA144" s="938" t="str">
        <f t="shared" si="108"/>
        <v>-</v>
      </c>
      <c r="DB144" s="936" t="s">
        <v>64</v>
      </c>
      <c r="DC144" s="934" t="s">
        <v>64</v>
      </c>
      <c r="DD144" s="934" t="s">
        <v>64</v>
      </c>
      <c r="DE144" s="939" t="str">
        <f t="shared" si="109"/>
        <v>-</v>
      </c>
      <c r="DF144" s="19"/>
    </row>
    <row r="145" spans="1:110">
      <c r="A145" s="846" t="s">
        <v>1002</v>
      </c>
      <c r="B145" s="41" t="s">
        <v>679</v>
      </c>
      <c r="C145" s="41" t="s">
        <v>1488</v>
      </c>
      <c r="D145" s="34" t="s">
        <v>736</v>
      </c>
      <c r="E145" s="535">
        <v>19.389810000000001</v>
      </c>
      <c r="F145" s="537">
        <v>-155.29229000000001</v>
      </c>
      <c r="G145" s="37" t="s">
        <v>405</v>
      </c>
      <c r="H145" s="37" t="s">
        <v>64</v>
      </c>
      <c r="I145" s="202" t="s">
        <v>780</v>
      </c>
      <c r="J145" t="s">
        <v>876</v>
      </c>
      <c r="K145" s="34">
        <v>2021</v>
      </c>
      <c r="L145" s="51">
        <v>112</v>
      </c>
      <c r="M145" s="52">
        <v>72</v>
      </c>
      <c r="N145" s="838">
        <f t="shared" si="93"/>
        <v>388440.19200000004</v>
      </c>
      <c r="O145" s="54">
        <v>388451.64843107073</v>
      </c>
      <c r="P145" s="53" t="s">
        <v>151</v>
      </c>
      <c r="Q145" s="54" t="s">
        <v>151</v>
      </c>
      <c r="R145" s="772">
        <f t="shared" si="94"/>
        <v>0</v>
      </c>
      <c r="S145" s="624" t="s">
        <v>189</v>
      </c>
      <c r="T145" s="37" t="s">
        <v>132</v>
      </c>
      <c r="U145" s="21">
        <v>83.329701216796323</v>
      </c>
      <c r="V145" s="552" t="s">
        <v>423</v>
      </c>
      <c r="W145" s="552" t="s">
        <v>423</v>
      </c>
      <c r="X145" s="556" t="s">
        <v>64</v>
      </c>
      <c r="Y145" s="784" t="s">
        <v>64</v>
      </c>
      <c r="Z145" s="784" t="s">
        <v>64</v>
      </c>
      <c r="AA145" s="785" t="s">
        <v>64</v>
      </c>
      <c r="AB145" s="32" t="str">
        <f t="shared" si="95"/>
        <v>-</v>
      </c>
      <c r="AC145" s="6" t="str">
        <f t="shared" si="96"/>
        <v>-</v>
      </c>
      <c r="AD145" s="6" t="str">
        <f t="shared" si="97"/>
        <v>-</v>
      </c>
      <c r="AE145" s="6">
        <f t="shared" si="98"/>
        <v>1183.4299486144846</v>
      </c>
      <c r="AF145" s="839">
        <v>0.97099999999999997</v>
      </c>
      <c r="AG145" s="553">
        <f t="shared" si="99"/>
        <v>2.9866117404737436E-2</v>
      </c>
      <c r="AH145" s="69" t="s">
        <v>64</v>
      </c>
      <c r="AI145" s="9" t="s">
        <v>64</v>
      </c>
      <c r="AJ145" s="9" t="s">
        <v>64</v>
      </c>
      <c r="AK145" s="9" t="s">
        <v>64</v>
      </c>
      <c r="AL145" s="9" t="s">
        <v>64</v>
      </c>
      <c r="AM145" s="9" t="s">
        <v>64</v>
      </c>
      <c r="AN145" s="9" t="s">
        <v>64</v>
      </c>
      <c r="AO145" s="9" t="s">
        <v>64</v>
      </c>
      <c r="AP145" s="9" t="s">
        <v>64</v>
      </c>
      <c r="AQ145" s="9" t="s">
        <v>64</v>
      </c>
      <c r="AR145" s="9" t="s">
        <v>64</v>
      </c>
      <c r="AS145" s="6" t="s">
        <v>64</v>
      </c>
      <c r="AT145" s="6" t="s">
        <v>64</v>
      </c>
      <c r="AU145" s="9" t="s">
        <v>64</v>
      </c>
      <c r="AV145" s="8" t="str">
        <f t="shared" si="100"/>
        <v>-</v>
      </c>
      <c r="AW145" s="9" t="str">
        <f t="shared" si="101"/>
        <v>-</v>
      </c>
      <c r="AX145" s="8">
        <v>0.5958156742314481</v>
      </c>
      <c r="AY145" s="789">
        <v>2.9790783711572406E-2</v>
      </c>
      <c r="AZ145" s="6">
        <v>298.96186553949445</v>
      </c>
      <c r="BA145" s="48">
        <v>29.896186553949448</v>
      </c>
      <c r="BB145" s="6" t="s">
        <v>151</v>
      </c>
      <c r="BC145" s="48" t="s">
        <v>151</v>
      </c>
      <c r="BD145" s="849">
        <v>298.96186553949445</v>
      </c>
      <c r="BE145" s="48">
        <v>29.896186553949448</v>
      </c>
      <c r="BF145" s="668">
        <v>681.44358813376425</v>
      </c>
      <c r="BG145" s="48">
        <v>61.718318946795762</v>
      </c>
      <c r="BH145" s="48">
        <v>62.338065527213757</v>
      </c>
      <c r="BI145" s="850">
        <f t="shared" si="102"/>
        <v>2.8351430786633345</v>
      </c>
      <c r="BJ145" s="789">
        <f t="shared" si="103"/>
        <v>0.23965312249176196</v>
      </c>
      <c r="BK145" s="67" t="s">
        <v>64</v>
      </c>
      <c r="BL145" s="48" t="s">
        <v>64</v>
      </c>
      <c r="BM145" s="48" t="s">
        <v>64</v>
      </c>
      <c r="BN145" s="850" t="str">
        <f t="shared" si="104"/>
        <v>-</v>
      </c>
      <c r="BO145" s="789" t="str">
        <f t="shared" si="105"/>
        <v>-</v>
      </c>
      <c r="BP145" s="789" t="str">
        <f t="shared" si="106"/>
        <v>-</v>
      </c>
      <c r="BQ145" s="34" t="s">
        <v>64</v>
      </c>
      <c r="BR145" s="45" t="s">
        <v>64</v>
      </c>
      <c r="BS145" s="854" t="s">
        <v>64</v>
      </c>
      <c r="BT145" s="605"/>
      <c r="BU145" s="599" t="s">
        <v>64</v>
      </c>
      <c r="BV145" s="851" t="s">
        <v>64</v>
      </c>
      <c r="BW145" s="851" t="s">
        <v>64</v>
      </c>
      <c r="BX145" s="851" t="s">
        <v>64</v>
      </c>
      <c r="BY145" s="851" t="s">
        <v>64</v>
      </c>
      <c r="BZ145" s="851" t="s">
        <v>64</v>
      </c>
      <c r="CA145" s="851" t="s">
        <v>64</v>
      </c>
      <c r="CB145" s="851" t="s">
        <v>64</v>
      </c>
      <c r="CC145" s="851" t="s">
        <v>64</v>
      </c>
      <c r="CD145" s="851" t="s">
        <v>64</v>
      </c>
      <c r="CE145" s="852" t="s">
        <v>64</v>
      </c>
      <c r="CF145" s="852" t="s">
        <v>64</v>
      </c>
      <c r="CG145" s="605"/>
      <c r="CH145" s="584" t="s">
        <v>64</v>
      </c>
      <c r="CI145" s="576" t="s">
        <v>64</v>
      </c>
      <c r="CJ145" s="576" t="s">
        <v>64</v>
      </c>
      <c r="CK145" s="576" t="s">
        <v>64</v>
      </c>
      <c r="CL145" s="576" t="s">
        <v>64</v>
      </c>
      <c r="CM145" s="576" t="s">
        <v>64</v>
      </c>
      <c r="CN145" s="576" t="s">
        <v>64</v>
      </c>
      <c r="CO145" s="576" t="s">
        <v>64</v>
      </c>
      <c r="CP145" s="576" t="s">
        <v>64</v>
      </c>
      <c r="CQ145" s="576" t="s">
        <v>64</v>
      </c>
      <c r="CR145" s="857" t="s">
        <v>64</v>
      </c>
      <c r="CS145" s="793" t="s">
        <v>64</v>
      </c>
      <c r="CT145" s="855" t="s">
        <v>64</v>
      </c>
      <c r="CU145" s="576">
        <v>0.5958156742314481</v>
      </c>
      <c r="CV145" s="591">
        <v>307.89069571523629</v>
      </c>
      <c r="CW145" s="605"/>
      <c r="CX145" s="936">
        <v>664.56591955404087</v>
      </c>
      <c r="CY145" s="934">
        <v>62.802036524623645</v>
      </c>
      <c r="CZ145" s="934">
        <v>63.070114756495741</v>
      </c>
      <c r="DA145" s="938">
        <f t="shared" si="108"/>
        <v>2.7695080930142661</v>
      </c>
      <c r="DB145" s="936">
        <v>524.92360372762664</v>
      </c>
      <c r="DC145" s="934">
        <v>45.358497318442801</v>
      </c>
      <c r="DD145" s="934">
        <v>45.955073865388329</v>
      </c>
      <c r="DE145" s="939">
        <f t="shared" si="109"/>
        <v>2.2183090514947432</v>
      </c>
      <c r="DF145" s="19"/>
    </row>
    <row r="146" spans="1:110">
      <c r="A146" s="846" t="s">
        <v>613</v>
      </c>
      <c r="B146" s="41" t="s">
        <v>679</v>
      </c>
      <c r="C146" s="41" t="s">
        <v>1488</v>
      </c>
      <c r="D146" s="34" t="s">
        <v>736</v>
      </c>
      <c r="E146" s="535">
        <v>19.389810000000001</v>
      </c>
      <c r="F146" s="537">
        <v>-155.29229000000001</v>
      </c>
      <c r="G146" s="37" t="s">
        <v>997</v>
      </c>
      <c r="H146" s="860" t="s">
        <v>760</v>
      </c>
      <c r="I146" s="202" t="s">
        <v>780</v>
      </c>
      <c r="J146" t="s">
        <v>879</v>
      </c>
      <c r="K146" s="34">
        <v>2021</v>
      </c>
      <c r="L146" s="51">
        <v>37.5</v>
      </c>
      <c r="M146" s="52">
        <v>55</v>
      </c>
      <c r="N146" s="838">
        <f t="shared" si="93"/>
        <v>49944.941406250007</v>
      </c>
      <c r="O146" s="54">
        <v>28371.747512402402</v>
      </c>
      <c r="P146" s="53">
        <v>30</v>
      </c>
      <c r="Q146" s="54">
        <v>14137.166941154068</v>
      </c>
      <c r="R146" s="772">
        <f t="shared" si="94"/>
        <v>0.3325694650847828</v>
      </c>
      <c r="S146" s="624" t="s">
        <v>220</v>
      </c>
      <c r="T146" s="37" t="s">
        <v>132</v>
      </c>
      <c r="U146" s="21">
        <v>88.957986360992024</v>
      </c>
      <c r="V146" s="552" t="s">
        <v>423</v>
      </c>
      <c r="W146" s="552" t="s">
        <v>423</v>
      </c>
      <c r="X146" s="556">
        <v>103.06921306948911</v>
      </c>
      <c r="Y146" s="784">
        <v>3.7981153048454609E-3</v>
      </c>
      <c r="Z146" s="784">
        <v>0.16957063966862762</v>
      </c>
      <c r="AA146" s="785">
        <v>1.3483309332200408E-3</v>
      </c>
      <c r="AB146" s="32" t="str">
        <f t="shared" si="95"/>
        <v>-</v>
      </c>
      <c r="AC146" s="6" t="str">
        <f t="shared" si="96"/>
        <v>-</v>
      </c>
      <c r="AD146" s="6" t="str">
        <f t="shared" si="97"/>
        <v>-</v>
      </c>
      <c r="AE146" s="6">
        <f t="shared" si="98"/>
        <v>1277.6865568175926</v>
      </c>
      <c r="AF146" s="839">
        <v>0.88400000000000001</v>
      </c>
      <c r="AG146" s="553">
        <f t="shared" si="99"/>
        <v>0.13122171945701355</v>
      </c>
      <c r="AH146" s="69" t="s">
        <v>64</v>
      </c>
      <c r="AI146" s="9" t="s">
        <v>64</v>
      </c>
      <c r="AJ146" s="9" t="s">
        <v>64</v>
      </c>
      <c r="AK146" s="9" t="s">
        <v>64</v>
      </c>
      <c r="AL146" s="9" t="s">
        <v>64</v>
      </c>
      <c r="AM146" s="9" t="s">
        <v>64</v>
      </c>
      <c r="AN146" s="9" t="s">
        <v>64</v>
      </c>
      <c r="AO146" s="9" t="s">
        <v>64</v>
      </c>
      <c r="AP146" s="9" t="s">
        <v>64</v>
      </c>
      <c r="AQ146" s="9" t="s">
        <v>64</v>
      </c>
      <c r="AR146" s="9" t="s">
        <v>64</v>
      </c>
      <c r="AS146" s="6" t="s">
        <v>64</v>
      </c>
      <c r="AT146" s="6" t="s">
        <v>64</v>
      </c>
      <c r="AU146" s="9" t="s">
        <v>64</v>
      </c>
      <c r="AV146" s="8" t="str">
        <f t="shared" si="100"/>
        <v>-</v>
      </c>
      <c r="AW146" s="9" t="str">
        <f t="shared" si="101"/>
        <v>-</v>
      </c>
      <c r="AX146" s="8" t="s">
        <v>64</v>
      </c>
      <c r="AY146" s="789" t="s">
        <v>64</v>
      </c>
      <c r="AZ146" s="863" t="s">
        <v>896</v>
      </c>
      <c r="BA146" s="48" t="s">
        <v>64</v>
      </c>
      <c r="BB146" s="6">
        <v>24614.607230446036</v>
      </c>
      <c r="BC146" s="48">
        <v>1911.9205709076684</v>
      </c>
      <c r="BD146" s="6" t="s">
        <v>998</v>
      </c>
      <c r="BE146" s="48" t="s">
        <v>998</v>
      </c>
      <c r="BF146" s="668" t="s">
        <v>1008</v>
      </c>
      <c r="BG146" s="48" t="s">
        <v>64</v>
      </c>
      <c r="BH146" s="48" t="s">
        <v>64</v>
      </c>
      <c r="BI146" s="850" t="str">
        <f t="shared" si="102"/>
        <v>-</v>
      </c>
      <c r="BJ146" s="789" t="str">
        <f t="shared" si="103"/>
        <v>-</v>
      </c>
      <c r="BK146" s="67">
        <v>545</v>
      </c>
      <c r="BL146" s="48">
        <v>54.5</v>
      </c>
      <c r="BM146" s="48">
        <v>5</v>
      </c>
      <c r="BN146" s="850">
        <f t="shared" si="104"/>
        <v>2.29847237795</v>
      </c>
      <c r="BO146" s="789">
        <f t="shared" si="105"/>
        <v>0.21604247162145018</v>
      </c>
      <c r="BP146" s="789">
        <f t="shared" si="106"/>
        <v>1.9935120350000002E-2</v>
      </c>
      <c r="BQ146" s="861" t="s">
        <v>760</v>
      </c>
      <c r="BR146" s="45" t="s">
        <v>64</v>
      </c>
      <c r="BS146" s="854" t="s">
        <v>64</v>
      </c>
      <c r="BT146" s="605"/>
      <c r="BU146" s="599" t="s">
        <v>64</v>
      </c>
      <c r="BV146" s="851" t="s">
        <v>64</v>
      </c>
      <c r="BW146" s="851" t="s">
        <v>64</v>
      </c>
      <c r="BX146" s="851" t="s">
        <v>64</v>
      </c>
      <c r="BY146" s="851" t="s">
        <v>64</v>
      </c>
      <c r="BZ146" s="851" t="s">
        <v>64</v>
      </c>
      <c r="CA146" s="851" t="s">
        <v>64</v>
      </c>
      <c r="CB146" s="851" t="s">
        <v>64</v>
      </c>
      <c r="CC146" s="851" t="s">
        <v>64</v>
      </c>
      <c r="CD146" s="851" t="s">
        <v>64</v>
      </c>
      <c r="CE146" s="852" t="s">
        <v>64</v>
      </c>
      <c r="CF146" s="852" t="s">
        <v>64</v>
      </c>
      <c r="CG146" s="605"/>
      <c r="CH146" s="584" t="s">
        <v>64</v>
      </c>
      <c r="CI146" s="576" t="s">
        <v>64</v>
      </c>
      <c r="CJ146" s="576" t="s">
        <v>64</v>
      </c>
      <c r="CK146" s="576" t="s">
        <v>64</v>
      </c>
      <c r="CL146" s="576" t="s">
        <v>64</v>
      </c>
      <c r="CM146" s="576" t="s">
        <v>64</v>
      </c>
      <c r="CN146" s="576" t="s">
        <v>64</v>
      </c>
      <c r="CO146" s="576" t="s">
        <v>64</v>
      </c>
      <c r="CP146" s="576" t="s">
        <v>64</v>
      </c>
      <c r="CQ146" s="576" t="s">
        <v>64</v>
      </c>
      <c r="CR146" s="857" t="s">
        <v>64</v>
      </c>
      <c r="CS146" s="793" t="s">
        <v>64</v>
      </c>
      <c r="CT146" s="855" t="s">
        <v>64</v>
      </c>
      <c r="CU146" s="576" t="s">
        <v>64</v>
      </c>
      <c r="CV146" s="591" t="s">
        <v>64</v>
      </c>
      <c r="CW146" s="605"/>
      <c r="CX146" s="936" t="s">
        <v>998</v>
      </c>
      <c r="CY146" s="934" t="s">
        <v>64</v>
      </c>
      <c r="CZ146" s="934" t="s">
        <v>64</v>
      </c>
      <c r="DA146" s="938" t="str">
        <f t="shared" si="108"/>
        <v>-</v>
      </c>
      <c r="DB146" s="936" t="s">
        <v>998</v>
      </c>
      <c r="DC146" s="934" t="s">
        <v>64</v>
      </c>
      <c r="DD146" s="934" t="s">
        <v>64</v>
      </c>
      <c r="DE146" s="939" t="str">
        <f t="shared" si="109"/>
        <v>-</v>
      </c>
      <c r="DF146" s="19"/>
    </row>
    <row r="147" spans="1:110">
      <c r="A147" s="846" t="s">
        <v>614</v>
      </c>
      <c r="B147" s="41" t="s">
        <v>679</v>
      </c>
      <c r="C147" s="41" t="s">
        <v>1488</v>
      </c>
      <c r="D147" s="34" t="s">
        <v>736</v>
      </c>
      <c r="E147" s="535">
        <v>19.389810000000001</v>
      </c>
      <c r="F147" s="537">
        <v>-155.29229000000001</v>
      </c>
      <c r="G147" s="37" t="s">
        <v>997</v>
      </c>
      <c r="H147" s="860" t="s">
        <v>760</v>
      </c>
      <c r="I147" s="202" t="s">
        <v>780</v>
      </c>
      <c r="J147" t="s">
        <v>879</v>
      </c>
      <c r="K147" s="34">
        <v>2021</v>
      </c>
      <c r="L147" s="51">
        <v>47.5</v>
      </c>
      <c r="M147" s="52">
        <v>35</v>
      </c>
      <c r="N147" s="838">
        <f t="shared" si="93"/>
        <v>35906.363281250007</v>
      </c>
      <c r="O147" s="54">
        <v>16058.258064241734</v>
      </c>
      <c r="P147" s="53">
        <v>32.5</v>
      </c>
      <c r="Q147" s="54">
        <v>17974.164218585353</v>
      </c>
      <c r="R147" s="772">
        <f t="shared" si="94"/>
        <v>0.52814824843235431</v>
      </c>
      <c r="S147" s="624" t="s">
        <v>220</v>
      </c>
      <c r="T147" s="37" t="s">
        <v>132</v>
      </c>
      <c r="U147" s="21">
        <v>88.957986360992024</v>
      </c>
      <c r="V147" s="552" t="s">
        <v>423</v>
      </c>
      <c r="W147" s="552" t="s">
        <v>423</v>
      </c>
      <c r="X147" s="556">
        <v>103.03026970533635</v>
      </c>
      <c r="Y147" s="784">
        <v>1.0718676766304284E-2</v>
      </c>
      <c r="Z147" s="784">
        <v>0.15574574539439823</v>
      </c>
      <c r="AA147" s="785">
        <v>3.8051302520379468E-3</v>
      </c>
      <c r="AB147" s="32" t="str">
        <f t="shared" si="95"/>
        <v>-</v>
      </c>
      <c r="AC147" s="6" t="str">
        <f t="shared" si="96"/>
        <v>-</v>
      </c>
      <c r="AD147" s="6" t="str">
        <f t="shared" si="97"/>
        <v>-</v>
      </c>
      <c r="AE147" s="6">
        <f t="shared" si="98"/>
        <v>1277.6865568175926</v>
      </c>
      <c r="AF147" s="839">
        <v>0.88400000000000001</v>
      </c>
      <c r="AG147" s="553">
        <f t="shared" si="99"/>
        <v>0.13122171945701355</v>
      </c>
      <c r="AH147" s="69" t="s">
        <v>64</v>
      </c>
      <c r="AI147" s="9" t="s">
        <v>64</v>
      </c>
      <c r="AJ147" s="9" t="s">
        <v>64</v>
      </c>
      <c r="AK147" s="9" t="s">
        <v>64</v>
      </c>
      <c r="AL147" s="9" t="s">
        <v>64</v>
      </c>
      <c r="AM147" s="9" t="s">
        <v>64</v>
      </c>
      <c r="AN147" s="9" t="s">
        <v>64</v>
      </c>
      <c r="AO147" s="9" t="s">
        <v>64</v>
      </c>
      <c r="AP147" s="9" t="s">
        <v>64</v>
      </c>
      <c r="AQ147" s="9" t="s">
        <v>64</v>
      </c>
      <c r="AR147" s="9" t="s">
        <v>64</v>
      </c>
      <c r="AS147" s="6" t="s">
        <v>64</v>
      </c>
      <c r="AT147" s="6" t="s">
        <v>64</v>
      </c>
      <c r="AU147" s="9" t="s">
        <v>64</v>
      </c>
      <c r="AV147" s="8" t="str">
        <f t="shared" si="100"/>
        <v>-</v>
      </c>
      <c r="AW147" s="9" t="str">
        <f t="shared" si="101"/>
        <v>-</v>
      </c>
      <c r="AX147" s="8" t="s">
        <v>64</v>
      </c>
      <c r="AY147" s="789" t="s">
        <v>64</v>
      </c>
      <c r="AZ147" s="863" t="s">
        <v>896</v>
      </c>
      <c r="BA147" s="48" t="s">
        <v>64</v>
      </c>
      <c r="BB147" s="6">
        <v>49324.438053143087</v>
      </c>
      <c r="BC147" s="48">
        <v>5046.0914354035522</v>
      </c>
      <c r="BD147" s="6" t="s">
        <v>998</v>
      </c>
      <c r="BE147" s="48" t="s">
        <v>998</v>
      </c>
      <c r="BF147" s="668" t="s">
        <v>1008</v>
      </c>
      <c r="BG147" s="48" t="s">
        <v>64</v>
      </c>
      <c r="BH147" s="48" t="s">
        <v>64</v>
      </c>
      <c r="BI147" s="850" t="str">
        <f t="shared" si="102"/>
        <v>-</v>
      </c>
      <c r="BJ147" s="789" t="str">
        <f t="shared" si="103"/>
        <v>-</v>
      </c>
      <c r="BK147" s="67">
        <v>495</v>
      </c>
      <c r="BL147" s="48">
        <v>49.5</v>
      </c>
      <c r="BM147" s="48">
        <v>14</v>
      </c>
      <c r="BN147" s="850">
        <f t="shared" si="104"/>
        <v>2.0982375364500001</v>
      </c>
      <c r="BO147" s="789">
        <f t="shared" si="105"/>
        <v>0.19824220548494953</v>
      </c>
      <c r="BP147" s="789">
        <f t="shared" si="106"/>
        <v>5.642125580560009E-2</v>
      </c>
      <c r="BQ147" s="861" t="s">
        <v>760</v>
      </c>
      <c r="BR147" s="45" t="s">
        <v>64</v>
      </c>
      <c r="BS147" s="854" t="s">
        <v>64</v>
      </c>
      <c r="BT147" s="605"/>
      <c r="BU147" s="599" t="s">
        <v>64</v>
      </c>
      <c r="BV147" s="851" t="s">
        <v>64</v>
      </c>
      <c r="BW147" s="851" t="s">
        <v>64</v>
      </c>
      <c r="BX147" s="851" t="s">
        <v>64</v>
      </c>
      <c r="BY147" s="851" t="s">
        <v>64</v>
      </c>
      <c r="BZ147" s="851" t="s">
        <v>64</v>
      </c>
      <c r="CA147" s="851" t="s">
        <v>64</v>
      </c>
      <c r="CB147" s="851" t="s">
        <v>64</v>
      </c>
      <c r="CC147" s="851" t="s">
        <v>64</v>
      </c>
      <c r="CD147" s="851" t="s">
        <v>64</v>
      </c>
      <c r="CE147" s="852" t="s">
        <v>64</v>
      </c>
      <c r="CF147" s="852" t="s">
        <v>64</v>
      </c>
      <c r="CG147" s="605"/>
      <c r="CH147" s="584" t="s">
        <v>64</v>
      </c>
      <c r="CI147" s="576" t="s">
        <v>64</v>
      </c>
      <c r="CJ147" s="576" t="s">
        <v>64</v>
      </c>
      <c r="CK147" s="576" t="s">
        <v>64</v>
      </c>
      <c r="CL147" s="576" t="s">
        <v>64</v>
      </c>
      <c r="CM147" s="576" t="s">
        <v>64</v>
      </c>
      <c r="CN147" s="576" t="s">
        <v>64</v>
      </c>
      <c r="CO147" s="576" t="s">
        <v>64</v>
      </c>
      <c r="CP147" s="576" t="s">
        <v>64</v>
      </c>
      <c r="CQ147" s="576" t="s">
        <v>64</v>
      </c>
      <c r="CR147" s="857" t="s">
        <v>64</v>
      </c>
      <c r="CS147" s="793" t="s">
        <v>64</v>
      </c>
      <c r="CT147" s="855" t="s">
        <v>64</v>
      </c>
      <c r="CU147" s="576" t="s">
        <v>64</v>
      </c>
      <c r="CV147" s="591" t="s">
        <v>64</v>
      </c>
      <c r="CW147" s="605"/>
      <c r="CX147" s="936" t="s">
        <v>998</v>
      </c>
      <c r="CY147" s="934" t="s">
        <v>64</v>
      </c>
      <c r="CZ147" s="934" t="s">
        <v>64</v>
      </c>
      <c r="DA147" s="938" t="str">
        <f t="shared" si="108"/>
        <v>-</v>
      </c>
      <c r="DB147" s="936" t="s">
        <v>998</v>
      </c>
      <c r="DC147" s="934" t="s">
        <v>64</v>
      </c>
      <c r="DD147" s="934" t="s">
        <v>64</v>
      </c>
      <c r="DE147" s="939" t="str">
        <f t="shared" si="109"/>
        <v>-</v>
      </c>
      <c r="DF147" s="19"/>
    </row>
    <row r="148" spans="1:110">
      <c r="A148" s="846" t="s">
        <v>1003</v>
      </c>
      <c r="B148" s="41" t="s">
        <v>679</v>
      </c>
      <c r="C148" s="41" t="s">
        <v>1488</v>
      </c>
      <c r="D148" s="34" t="s">
        <v>736</v>
      </c>
      <c r="E148" s="535">
        <v>19.389810000000001</v>
      </c>
      <c r="F148" s="537">
        <v>-155.29229000000001</v>
      </c>
      <c r="G148" s="37" t="s">
        <v>998</v>
      </c>
      <c r="H148" s="860" t="s">
        <v>999</v>
      </c>
      <c r="I148" s="202" t="s">
        <v>64</v>
      </c>
      <c r="J148" t="s">
        <v>880</v>
      </c>
      <c r="K148" s="34">
        <v>2021</v>
      </c>
      <c r="L148" s="51">
        <v>45</v>
      </c>
      <c r="M148" s="52">
        <v>59</v>
      </c>
      <c r="N148" s="54">
        <f t="shared" si="93"/>
        <v>72285.915000000008</v>
      </c>
      <c r="O148" s="54">
        <v>24575.108532706163</v>
      </c>
      <c r="P148" s="53">
        <v>45</v>
      </c>
      <c r="Q148" s="54">
        <v>47712.938426394976</v>
      </c>
      <c r="R148" s="772">
        <f t="shared" si="94"/>
        <v>1</v>
      </c>
      <c r="S148" s="624" t="s">
        <v>221</v>
      </c>
      <c r="T148" s="37" t="s">
        <v>132</v>
      </c>
      <c r="U148" s="21">
        <v>89.131301862899505</v>
      </c>
      <c r="V148" s="552" t="s">
        <v>423</v>
      </c>
      <c r="W148" s="552" t="s">
        <v>423</v>
      </c>
      <c r="X148" s="556" t="s">
        <v>423</v>
      </c>
      <c r="Y148" s="784" t="s">
        <v>64</v>
      </c>
      <c r="Z148" s="864">
        <v>0.39554</v>
      </c>
      <c r="AA148" s="865">
        <v>3.2085377035456046E-2</v>
      </c>
      <c r="AB148" s="32" t="str">
        <f t="shared" si="95"/>
        <v>-</v>
      </c>
      <c r="AC148" s="6" t="str">
        <f t="shared" si="96"/>
        <v>-</v>
      </c>
      <c r="AD148" s="6" t="str">
        <f t="shared" si="97"/>
        <v>-</v>
      </c>
      <c r="AE148" s="6">
        <f t="shared" si="98"/>
        <v>1281.6356759495357</v>
      </c>
      <c r="AF148" s="839" t="s">
        <v>998</v>
      </c>
      <c r="AG148" s="553" t="str">
        <f t="shared" si="99"/>
        <v>-</v>
      </c>
      <c r="AH148" s="69" t="s">
        <v>64</v>
      </c>
      <c r="AI148" s="9" t="s">
        <v>64</v>
      </c>
      <c r="AJ148" s="9" t="s">
        <v>64</v>
      </c>
      <c r="AK148" s="9" t="s">
        <v>64</v>
      </c>
      <c r="AL148" s="9" t="s">
        <v>64</v>
      </c>
      <c r="AM148" s="9" t="s">
        <v>64</v>
      </c>
      <c r="AN148" s="9" t="s">
        <v>64</v>
      </c>
      <c r="AO148" s="9" t="s">
        <v>64</v>
      </c>
      <c r="AP148" s="9" t="s">
        <v>64</v>
      </c>
      <c r="AQ148" s="9" t="s">
        <v>64</v>
      </c>
      <c r="AR148" s="9" t="s">
        <v>64</v>
      </c>
      <c r="AS148" s="6" t="s">
        <v>64</v>
      </c>
      <c r="AT148" s="6" t="s">
        <v>64</v>
      </c>
      <c r="AU148" s="9" t="s">
        <v>64</v>
      </c>
      <c r="AV148" s="8" t="str">
        <f t="shared" si="100"/>
        <v>-</v>
      </c>
      <c r="AW148" s="9" t="str">
        <f t="shared" si="101"/>
        <v>-</v>
      </c>
      <c r="AX148" s="8" t="s">
        <v>64</v>
      </c>
      <c r="AY148" s="789" t="s">
        <v>64</v>
      </c>
      <c r="AZ148" s="6" t="s">
        <v>64</v>
      </c>
      <c r="BA148" s="48" t="s">
        <v>64</v>
      </c>
      <c r="BB148" s="6" t="s">
        <v>64</v>
      </c>
      <c r="BC148" s="48" t="s">
        <v>64</v>
      </c>
      <c r="BD148" s="849" t="s">
        <v>64</v>
      </c>
      <c r="BE148" s="48" t="s">
        <v>64</v>
      </c>
      <c r="BF148" s="668" t="s">
        <v>1008</v>
      </c>
      <c r="BG148" s="48" t="s">
        <v>64</v>
      </c>
      <c r="BH148" s="48" t="s">
        <v>64</v>
      </c>
      <c r="BI148" s="850" t="str">
        <f t="shared" si="102"/>
        <v>-</v>
      </c>
      <c r="BJ148" s="789" t="str">
        <f t="shared" si="103"/>
        <v>-</v>
      </c>
      <c r="BK148" s="673">
        <v>1613</v>
      </c>
      <c r="BL148" s="866">
        <v>198</v>
      </c>
      <c r="BM148" s="866">
        <v>185</v>
      </c>
      <c r="BN148" s="867">
        <f t="shared" si="104"/>
        <v>6.1941951771547989</v>
      </c>
      <c r="BO148" s="868">
        <f t="shared" si="105"/>
        <v>0.66475745764560035</v>
      </c>
      <c r="BP148" s="868">
        <f t="shared" si="106"/>
        <v>0.63308081931799975</v>
      </c>
      <c r="BQ148" s="869" t="s">
        <v>916</v>
      </c>
      <c r="BR148" s="45" t="s">
        <v>64</v>
      </c>
      <c r="BS148" s="854" t="s">
        <v>64</v>
      </c>
      <c r="BT148" s="605"/>
      <c r="BU148" s="599" t="s">
        <v>64</v>
      </c>
      <c r="BV148" s="851" t="s">
        <v>64</v>
      </c>
      <c r="BW148" s="851" t="s">
        <v>64</v>
      </c>
      <c r="BX148" s="851" t="s">
        <v>64</v>
      </c>
      <c r="BY148" s="851" t="s">
        <v>64</v>
      </c>
      <c r="BZ148" s="851" t="s">
        <v>64</v>
      </c>
      <c r="CA148" s="851" t="s">
        <v>64</v>
      </c>
      <c r="CB148" s="851" t="s">
        <v>64</v>
      </c>
      <c r="CC148" s="851" t="s">
        <v>64</v>
      </c>
      <c r="CD148" s="851" t="s">
        <v>64</v>
      </c>
      <c r="CE148" s="852" t="s">
        <v>64</v>
      </c>
      <c r="CF148" s="852" t="s">
        <v>64</v>
      </c>
      <c r="CG148" s="605"/>
      <c r="CH148" s="584" t="s">
        <v>64</v>
      </c>
      <c r="CI148" s="576" t="s">
        <v>64</v>
      </c>
      <c r="CJ148" s="576" t="s">
        <v>64</v>
      </c>
      <c r="CK148" s="576" t="s">
        <v>64</v>
      </c>
      <c r="CL148" s="576" t="s">
        <v>64</v>
      </c>
      <c r="CM148" s="576" t="s">
        <v>64</v>
      </c>
      <c r="CN148" s="576" t="s">
        <v>64</v>
      </c>
      <c r="CO148" s="576" t="s">
        <v>64</v>
      </c>
      <c r="CP148" s="576" t="s">
        <v>64</v>
      </c>
      <c r="CQ148" s="576" t="s">
        <v>64</v>
      </c>
      <c r="CR148" s="857" t="s">
        <v>64</v>
      </c>
      <c r="CS148" s="793" t="s">
        <v>64</v>
      </c>
      <c r="CT148" s="855" t="s">
        <v>64</v>
      </c>
      <c r="CU148" s="576" t="s">
        <v>64</v>
      </c>
      <c r="CV148" s="591" t="s">
        <v>64</v>
      </c>
      <c r="CW148" s="605"/>
      <c r="CX148" s="936" t="s">
        <v>64</v>
      </c>
      <c r="CY148" s="934" t="s">
        <v>64</v>
      </c>
      <c r="CZ148" s="934" t="s">
        <v>64</v>
      </c>
      <c r="DA148" s="938" t="str">
        <f t="shared" si="108"/>
        <v>-</v>
      </c>
      <c r="DB148" s="936" t="s">
        <v>64</v>
      </c>
      <c r="DC148" s="934" t="s">
        <v>64</v>
      </c>
      <c r="DD148" s="934" t="s">
        <v>64</v>
      </c>
      <c r="DE148" s="939" t="str">
        <f t="shared" si="109"/>
        <v>-</v>
      </c>
      <c r="DF148" s="19"/>
    </row>
    <row r="149" spans="1:110">
      <c r="A149" s="846" t="s">
        <v>1004</v>
      </c>
      <c r="B149" s="41" t="s">
        <v>679</v>
      </c>
      <c r="C149" s="41" t="s">
        <v>1488</v>
      </c>
      <c r="D149" s="34" t="s">
        <v>736</v>
      </c>
      <c r="E149" s="535">
        <v>19.389810000000001</v>
      </c>
      <c r="F149" s="537">
        <v>-155.29229000000001</v>
      </c>
      <c r="G149" s="37" t="s">
        <v>998</v>
      </c>
      <c r="H149" s="860" t="s">
        <v>999</v>
      </c>
      <c r="I149" s="202" t="s">
        <v>64</v>
      </c>
      <c r="J149" t="s">
        <v>880</v>
      </c>
      <c r="K149" s="34">
        <v>2021</v>
      </c>
      <c r="L149" s="51">
        <v>44</v>
      </c>
      <c r="M149" s="52">
        <v>53.5</v>
      </c>
      <c r="N149" s="54">
        <f t="shared" si="93"/>
        <v>60085.114375000005</v>
      </c>
      <c r="O149" s="54">
        <v>19892.499232683629</v>
      </c>
      <c r="P149" s="53">
        <v>42.5</v>
      </c>
      <c r="Q149" s="54">
        <v>40194.387258038158</v>
      </c>
      <c r="R149" s="772">
        <f t="shared" si="94"/>
        <v>1</v>
      </c>
      <c r="S149" s="624" t="s">
        <v>221</v>
      </c>
      <c r="T149" s="37" t="s">
        <v>132</v>
      </c>
      <c r="U149" s="21">
        <v>89.131301862899505</v>
      </c>
      <c r="V149" s="552" t="s">
        <v>423</v>
      </c>
      <c r="W149" s="552" t="s">
        <v>423</v>
      </c>
      <c r="X149" s="556" t="s">
        <v>423</v>
      </c>
      <c r="Y149" s="784" t="s">
        <v>64</v>
      </c>
      <c r="Z149" s="864">
        <v>0.39023000000000002</v>
      </c>
      <c r="AA149" s="865">
        <v>3.4016600481678934E-2</v>
      </c>
      <c r="AB149" s="32" t="str">
        <f t="shared" si="95"/>
        <v>-</v>
      </c>
      <c r="AC149" s="6" t="str">
        <f t="shared" si="96"/>
        <v>-</v>
      </c>
      <c r="AD149" s="6" t="str">
        <f t="shared" si="97"/>
        <v>-</v>
      </c>
      <c r="AE149" s="6">
        <f t="shared" si="98"/>
        <v>1281.6356759495357</v>
      </c>
      <c r="AF149" s="839" t="s">
        <v>998</v>
      </c>
      <c r="AG149" s="553" t="str">
        <f t="shared" si="99"/>
        <v>-</v>
      </c>
      <c r="AH149" s="69" t="s">
        <v>64</v>
      </c>
      <c r="AI149" s="9" t="s">
        <v>64</v>
      </c>
      <c r="AJ149" s="9" t="s">
        <v>64</v>
      </c>
      <c r="AK149" s="9" t="s">
        <v>64</v>
      </c>
      <c r="AL149" s="9" t="s">
        <v>64</v>
      </c>
      <c r="AM149" s="9" t="s">
        <v>64</v>
      </c>
      <c r="AN149" s="9" t="s">
        <v>64</v>
      </c>
      <c r="AO149" s="9" t="s">
        <v>64</v>
      </c>
      <c r="AP149" s="9" t="s">
        <v>64</v>
      </c>
      <c r="AQ149" s="9" t="s">
        <v>64</v>
      </c>
      <c r="AR149" s="9" t="s">
        <v>64</v>
      </c>
      <c r="AS149" s="6" t="s">
        <v>64</v>
      </c>
      <c r="AT149" s="6" t="s">
        <v>64</v>
      </c>
      <c r="AU149" s="9" t="s">
        <v>64</v>
      </c>
      <c r="AV149" s="8" t="str">
        <f t="shared" si="100"/>
        <v>-</v>
      </c>
      <c r="AW149" s="9" t="str">
        <f t="shared" si="101"/>
        <v>-</v>
      </c>
      <c r="AX149" s="8" t="s">
        <v>64</v>
      </c>
      <c r="AY149" s="789" t="s">
        <v>64</v>
      </c>
      <c r="AZ149" s="6" t="s">
        <v>64</v>
      </c>
      <c r="BA149" s="48" t="s">
        <v>64</v>
      </c>
      <c r="BB149" s="6" t="s">
        <v>64</v>
      </c>
      <c r="BC149" s="48" t="s">
        <v>64</v>
      </c>
      <c r="BD149" s="849" t="s">
        <v>64</v>
      </c>
      <c r="BE149" s="48" t="s">
        <v>64</v>
      </c>
      <c r="BF149" s="668" t="s">
        <v>1008</v>
      </c>
      <c r="BG149" s="48" t="s">
        <v>64</v>
      </c>
      <c r="BH149" s="48" t="s">
        <v>64</v>
      </c>
      <c r="BI149" s="850" t="str">
        <f t="shared" si="102"/>
        <v>-</v>
      </c>
      <c r="BJ149" s="789" t="str">
        <f t="shared" si="103"/>
        <v>-</v>
      </c>
      <c r="BK149" s="673">
        <v>1582</v>
      </c>
      <c r="BL149" s="866">
        <v>208</v>
      </c>
      <c r="BM149" s="866">
        <v>194</v>
      </c>
      <c r="BN149" s="867">
        <f t="shared" si="104"/>
        <v>6.0889925815711994</v>
      </c>
      <c r="BO149" s="868">
        <f t="shared" si="105"/>
        <v>0.6999913260288011</v>
      </c>
      <c r="BP149" s="868">
        <f t="shared" si="106"/>
        <v>0.66654127064640001</v>
      </c>
      <c r="BQ149" s="869" t="s">
        <v>916</v>
      </c>
      <c r="BR149" s="45" t="s">
        <v>64</v>
      </c>
      <c r="BS149" s="854" t="s">
        <v>64</v>
      </c>
      <c r="BT149" s="605"/>
      <c r="BU149" s="599" t="s">
        <v>64</v>
      </c>
      <c r="BV149" s="851" t="s">
        <v>64</v>
      </c>
      <c r="BW149" s="851" t="s">
        <v>64</v>
      </c>
      <c r="BX149" s="851" t="s">
        <v>64</v>
      </c>
      <c r="BY149" s="851" t="s">
        <v>64</v>
      </c>
      <c r="BZ149" s="851" t="s">
        <v>64</v>
      </c>
      <c r="CA149" s="851" t="s">
        <v>64</v>
      </c>
      <c r="CB149" s="851" t="s">
        <v>64</v>
      </c>
      <c r="CC149" s="851" t="s">
        <v>64</v>
      </c>
      <c r="CD149" s="851" t="s">
        <v>64</v>
      </c>
      <c r="CE149" s="852" t="s">
        <v>64</v>
      </c>
      <c r="CF149" s="852" t="s">
        <v>64</v>
      </c>
      <c r="CG149" s="605"/>
      <c r="CH149" s="584" t="s">
        <v>64</v>
      </c>
      <c r="CI149" s="576" t="s">
        <v>64</v>
      </c>
      <c r="CJ149" s="576" t="s">
        <v>64</v>
      </c>
      <c r="CK149" s="576" t="s">
        <v>64</v>
      </c>
      <c r="CL149" s="576" t="s">
        <v>64</v>
      </c>
      <c r="CM149" s="576" t="s">
        <v>64</v>
      </c>
      <c r="CN149" s="576" t="s">
        <v>64</v>
      </c>
      <c r="CO149" s="576" t="s">
        <v>64</v>
      </c>
      <c r="CP149" s="576" t="s">
        <v>64</v>
      </c>
      <c r="CQ149" s="576" t="s">
        <v>64</v>
      </c>
      <c r="CR149" s="857" t="s">
        <v>64</v>
      </c>
      <c r="CS149" s="793" t="s">
        <v>64</v>
      </c>
      <c r="CT149" s="855" t="s">
        <v>64</v>
      </c>
      <c r="CU149" s="576" t="s">
        <v>64</v>
      </c>
      <c r="CV149" s="591" t="s">
        <v>64</v>
      </c>
      <c r="CW149" s="605"/>
      <c r="CX149" s="936" t="s">
        <v>64</v>
      </c>
      <c r="CY149" s="934" t="s">
        <v>64</v>
      </c>
      <c r="CZ149" s="934" t="s">
        <v>64</v>
      </c>
      <c r="DA149" s="938" t="str">
        <f t="shared" si="108"/>
        <v>-</v>
      </c>
      <c r="DB149" s="936" t="s">
        <v>64</v>
      </c>
      <c r="DC149" s="934" t="s">
        <v>64</v>
      </c>
      <c r="DD149" s="934" t="s">
        <v>64</v>
      </c>
      <c r="DE149" s="939" t="str">
        <f t="shared" si="109"/>
        <v>-</v>
      </c>
      <c r="DF149" s="19"/>
    </row>
    <row r="150" spans="1:110">
      <c r="A150" s="846" t="s">
        <v>1005</v>
      </c>
      <c r="B150" s="41" t="s">
        <v>679</v>
      </c>
      <c r="C150" s="41" t="s">
        <v>1488</v>
      </c>
      <c r="D150" s="34" t="s">
        <v>736</v>
      </c>
      <c r="E150" s="535">
        <v>19.389810000000001</v>
      </c>
      <c r="F150" s="537">
        <v>-155.29229000000001</v>
      </c>
      <c r="G150" s="37" t="s">
        <v>998</v>
      </c>
      <c r="H150" s="860" t="s">
        <v>999</v>
      </c>
      <c r="I150" s="202" t="s">
        <v>64</v>
      </c>
      <c r="J150" t="s">
        <v>880</v>
      </c>
      <c r="K150" s="34">
        <v>2021</v>
      </c>
      <c r="L150" s="51">
        <v>61</v>
      </c>
      <c r="M150" s="52">
        <v>80</v>
      </c>
      <c r="N150" s="54">
        <f t="shared" si="93"/>
        <v>180133.61000000002</v>
      </c>
      <c r="O150" s="54">
        <v>61291.949072761287</v>
      </c>
      <c r="P150" s="53">
        <v>61</v>
      </c>
      <c r="Q150" s="54">
        <v>118846.97368407746</v>
      </c>
      <c r="R150" s="772">
        <f t="shared" si="94"/>
        <v>1</v>
      </c>
      <c r="S150" s="624" t="s">
        <v>221</v>
      </c>
      <c r="T150" s="37" t="s">
        <v>132</v>
      </c>
      <c r="U150" s="21">
        <v>89.131301862899505</v>
      </c>
      <c r="V150" s="552" t="s">
        <v>423</v>
      </c>
      <c r="W150" s="552" t="s">
        <v>423</v>
      </c>
      <c r="X150" s="556" t="s">
        <v>423</v>
      </c>
      <c r="Y150" s="784" t="s">
        <v>64</v>
      </c>
      <c r="Z150" s="864">
        <v>0.39554</v>
      </c>
      <c r="AA150" s="865">
        <v>2.3665792650158033E-2</v>
      </c>
      <c r="AB150" s="32" t="str">
        <f t="shared" si="95"/>
        <v>-</v>
      </c>
      <c r="AC150" s="6" t="str">
        <f t="shared" si="96"/>
        <v>-</v>
      </c>
      <c r="AD150" s="6" t="str">
        <f t="shared" si="97"/>
        <v>-</v>
      </c>
      <c r="AE150" s="6">
        <f t="shared" si="98"/>
        <v>1281.6356759495357</v>
      </c>
      <c r="AF150" s="839" t="s">
        <v>998</v>
      </c>
      <c r="AG150" s="553" t="str">
        <f t="shared" si="99"/>
        <v>-</v>
      </c>
      <c r="AH150" s="69" t="s">
        <v>64</v>
      </c>
      <c r="AI150" s="9" t="s">
        <v>64</v>
      </c>
      <c r="AJ150" s="9" t="s">
        <v>64</v>
      </c>
      <c r="AK150" s="9" t="s">
        <v>64</v>
      </c>
      <c r="AL150" s="9" t="s">
        <v>64</v>
      </c>
      <c r="AM150" s="9" t="s">
        <v>64</v>
      </c>
      <c r="AN150" s="9" t="s">
        <v>64</v>
      </c>
      <c r="AO150" s="9" t="s">
        <v>64</v>
      </c>
      <c r="AP150" s="9" t="s">
        <v>64</v>
      </c>
      <c r="AQ150" s="9" t="s">
        <v>64</v>
      </c>
      <c r="AR150" s="9" t="s">
        <v>64</v>
      </c>
      <c r="AS150" s="6" t="s">
        <v>64</v>
      </c>
      <c r="AT150" s="6" t="s">
        <v>64</v>
      </c>
      <c r="AU150" s="9" t="s">
        <v>64</v>
      </c>
      <c r="AV150" s="8" t="str">
        <f t="shared" si="100"/>
        <v>-</v>
      </c>
      <c r="AW150" s="9" t="str">
        <f t="shared" si="101"/>
        <v>-</v>
      </c>
      <c r="AX150" s="8" t="s">
        <v>64</v>
      </c>
      <c r="AY150" s="789" t="s">
        <v>64</v>
      </c>
      <c r="AZ150" s="6" t="s">
        <v>64</v>
      </c>
      <c r="BA150" s="48" t="s">
        <v>64</v>
      </c>
      <c r="BB150" s="6" t="s">
        <v>64</v>
      </c>
      <c r="BC150" s="48" t="s">
        <v>64</v>
      </c>
      <c r="BD150" s="849" t="s">
        <v>64</v>
      </c>
      <c r="BE150" s="48" t="s">
        <v>64</v>
      </c>
      <c r="BF150" s="668" t="s">
        <v>1008</v>
      </c>
      <c r="BG150" s="48" t="s">
        <v>64</v>
      </c>
      <c r="BH150" s="48" t="s">
        <v>64</v>
      </c>
      <c r="BI150" s="850" t="str">
        <f t="shared" si="102"/>
        <v>-</v>
      </c>
      <c r="BJ150" s="789" t="str">
        <f t="shared" si="103"/>
        <v>-</v>
      </c>
      <c r="BK150" s="673">
        <v>1613</v>
      </c>
      <c r="BL150" s="866">
        <v>145</v>
      </c>
      <c r="BM150" s="866">
        <v>137</v>
      </c>
      <c r="BN150" s="867">
        <f t="shared" si="104"/>
        <v>6.1941951771547989</v>
      </c>
      <c r="BO150" s="868">
        <f t="shared" si="105"/>
        <v>0.48794203906600053</v>
      </c>
      <c r="BP150" s="868">
        <f t="shared" si="106"/>
        <v>0.46756049071639882</v>
      </c>
      <c r="BQ150" s="869" t="s">
        <v>916</v>
      </c>
      <c r="BR150" s="45" t="s">
        <v>64</v>
      </c>
      <c r="BS150" s="854" t="s">
        <v>64</v>
      </c>
      <c r="BT150" s="605"/>
      <c r="BU150" s="599" t="s">
        <v>64</v>
      </c>
      <c r="BV150" s="851" t="s">
        <v>64</v>
      </c>
      <c r="BW150" s="851" t="s">
        <v>64</v>
      </c>
      <c r="BX150" s="851" t="s">
        <v>64</v>
      </c>
      <c r="BY150" s="851" t="s">
        <v>64</v>
      </c>
      <c r="BZ150" s="851" t="s">
        <v>64</v>
      </c>
      <c r="CA150" s="851" t="s">
        <v>64</v>
      </c>
      <c r="CB150" s="851" t="s">
        <v>64</v>
      </c>
      <c r="CC150" s="851" t="s">
        <v>64</v>
      </c>
      <c r="CD150" s="851" t="s">
        <v>64</v>
      </c>
      <c r="CE150" s="852" t="s">
        <v>64</v>
      </c>
      <c r="CF150" s="852" t="s">
        <v>64</v>
      </c>
      <c r="CG150" s="605"/>
      <c r="CH150" s="584" t="s">
        <v>64</v>
      </c>
      <c r="CI150" s="576" t="s">
        <v>64</v>
      </c>
      <c r="CJ150" s="576" t="s">
        <v>64</v>
      </c>
      <c r="CK150" s="576" t="s">
        <v>64</v>
      </c>
      <c r="CL150" s="576" t="s">
        <v>64</v>
      </c>
      <c r="CM150" s="576" t="s">
        <v>64</v>
      </c>
      <c r="CN150" s="576" t="s">
        <v>64</v>
      </c>
      <c r="CO150" s="576" t="s">
        <v>64</v>
      </c>
      <c r="CP150" s="576" t="s">
        <v>64</v>
      </c>
      <c r="CQ150" s="576" t="s">
        <v>64</v>
      </c>
      <c r="CR150" s="857" t="s">
        <v>64</v>
      </c>
      <c r="CS150" s="793" t="s">
        <v>64</v>
      </c>
      <c r="CT150" s="855" t="s">
        <v>64</v>
      </c>
      <c r="CU150" s="576" t="s">
        <v>64</v>
      </c>
      <c r="CV150" s="591" t="s">
        <v>64</v>
      </c>
      <c r="CW150" s="605"/>
      <c r="CX150" s="936" t="s">
        <v>64</v>
      </c>
      <c r="CY150" s="934" t="s">
        <v>64</v>
      </c>
      <c r="CZ150" s="934" t="s">
        <v>64</v>
      </c>
      <c r="DA150" s="938" t="str">
        <f t="shared" si="108"/>
        <v>-</v>
      </c>
      <c r="DB150" s="936" t="s">
        <v>64</v>
      </c>
      <c r="DC150" s="934" t="s">
        <v>64</v>
      </c>
      <c r="DD150" s="934" t="s">
        <v>64</v>
      </c>
      <c r="DE150" s="939" t="str">
        <f t="shared" si="109"/>
        <v>-</v>
      </c>
      <c r="DF150" s="19"/>
    </row>
    <row r="151" spans="1:110">
      <c r="A151" s="846" t="s">
        <v>1006</v>
      </c>
      <c r="B151" s="41" t="s">
        <v>679</v>
      </c>
      <c r="C151" s="41" t="s">
        <v>1488</v>
      </c>
      <c r="D151" s="34" t="s">
        <v>736</v>
      </c>
      <c r="E151" s="535">
        <v>19.389810000000001</v>
      </c>
      <c r="F151" s="537">
        <v>-155.29229000000001</v>
      </c>
      <c r="G151" s="37" t="s">
        <v>998</v>
      </c>
      <c r="H151" s="860" t="s">
        <v>999</v>
      </c>
      <c r="I151" s="202" t="s">
        <v>64</v>
      </c>
      <c r="J151" t="s">
        <v>880</v>
      </c>
      <c r="K151" s="34">
        <v>2021</v>
      </c>
      <c r="L151" s="51">
        <v>30</v>
      </c>
      <c r="M151" s="52">
        <v>40.1</v>
      </c>
      <c r="N151" s="54">
        <f t="shared" si="93"/>
        <v>22076.969787499998</v>
      </c>
      <c r="O151" s="54">
        <v>7940.4539717645384</v>
      </c>
      <c r="P151" s="53">
        <v>30</v>
      </c>
      <c r="Q151" s="54">
        <v>14137.166941154068</v>
      </c>
      <c r="R151" s="772">
        <f t="shared" si="94"/>
        <v>1</v>
      </c>
      <c r="S151" s="624" t="s">
        <v>221</v>
      </c>
      <c r="T151" s="37" t="s">
        <v>132</v>
      </c>
      <c r="U151" s="21">
        <v>89.131301862899505</v>
      </c>
      <c r="V151" s="552" t="s">
        <v>423</v>
      </c>
      <c r="W151" s="552" t="s">
        <v>423</v>
      </c>
      <c r="X151" s="556" t="s">
        <v>423</v>
      </c>
      <c r="Y151" s="784" t="s">
        <v>64</v>
      </c>
      <c r="Z151" s="864">
        <v>0.40615999999999997</v>
      </c>
      <c r="AA151" s="865">
        <v>4.7612350850883389E-2</v>
      </c>
      <c r="AB151" s="32" t="str">
        <f t="shared" si="95"/>
        <v>-</v>
      </c>
      <c r="AC151" s="6" t="str">
        <f t="shared" si="96"/>
        <v>-</v>
      </c>
      <c r="AD151" s="6" t="str">
        <f t="shared" si="97"/>
        <v>-</v>
      </c>
      <c r="AE151" s="6">
        <f t="shared" si="98"/>
        <v>1281.6356759495357</v>
      </c>
      <c r="AF151" s="839" t="s">
        <v>998</v>
      </c>
      <c r="AG151" s="553" t="str">
        <f t="shared" si="99"/>
        <v>-</v>
      </c>
      <c r="AH151" s="69" t="s">
        <v>64</v>
      </c>
      <c r="AI151" s="9" t="s">
        <v>64</v>
      </c>
      <c r="AJ151" s="9" t="s">
        <v>64</v>
      </c>
      <c r="AK151" s="9" t="s">
        <v>64</v>
      </c>
      <c r="AL151" s="9" t="s">
        <v>64</v>
      </c>
      <c r="AM151" s="9" t="s">
        <v>64</v>
      </c>
      <c r="AN151" s="9" t="s">
        <v>64</v>
      </c>
      <c r="AO151" s="9" t="s">
        <v>64</v>
      </c>
      <c r="AP151" s="9" t="s">
        <v>64</v>
      </c>
      <c r="AQ151" s="9" t="s">
        <v>64</v>
      </c>
      <c r="AR151" s="9" t="s">
        <v>64</v>
      </c>
      <c r="AS151" s="6" t="s">
        <v>64</v>
      </c>
      <c r="AT151" s="6" t="s">
        <v>64</v>
      </c>
      <c r="AU151" s="9" t="s">
        <v>64</v>
      </c>
      <c r="AV151" s="8" t="str">
        <f t="shared" si="100"/>
        <v>-</v>
      </c>
      <c r="AW151" s="9" t="str">
        <f t="shared" si="101"/>
        <v>-</v>
      </c>
      <c r="AX151" s="8" t="s">
        <v>64</v>
      </c>
      <c r="AY151" s="789" t="s">
        <v>64</v>
      </c>
      <c r="AZ151" s="6" t="s">
        <v>64</v>
      </c>
      <c r="BA151" s="48" t="s">
        <v>64</v>
      </c>
      <c r="BB151" s="6" t="s">
        <v>64</v>
      </c>
      <c r="BC151" s="48" t="s">
        <v>64</v>
      </c>
      <c r="BD151" s="849" t="s">
        <v>64</v>
      </c>
      <c r="BE151" s="48" t="s">
        <v>64</v>
      </c>
      <c r="BF151" s="668" t="s">
        <v>1008</v>
      </c>
      <c r="BG151" s="48" t="s">
        <v>64</v>
      </c>
      <c r="BH151" s="48" t="s">
        <v>64</v>
      </c>
      <c r="BI151" s="850" t="str">
        <f t="shared" si="102"/>
        <v>-</v>
      </c>
      <c r="BJ151" s="789" t="str">
        <f t="shared" si="103"/>
        <v>-</v>
      </c>
      <c r="BK151" s="673">
        <v>1678</v>
      </c>
      <c r="BL151" s="866">
        <v>305</v>
      </c>
      <c r="BM151" s="866">
        <v>277</v>
      </c>
      <c r="BN151" s="867">
        <f t="shared" si="104"/>
        <v>6.4137361470367988</v>
      </c>
      <c r="BO151" s="868">
        <f t="shared" si="105"/>
        <v>1.0143481913140011</v>
      </c>
      <c r="BP151" s="868">
        <f t="shared" si="106"/>
        <v>0.94614480848839921</v>
      </c>
      <c r="BQ151" s="869" t="s">
        <v>916</v>
      </c>
      <c r="BR151" s="45" t="s">
        <v>64</v>
      </c>
      <c r="BS151" s="854" t="s">
        <v>64</v>
      </c>
      <c r="BT151" s="605"/>
      <c r="BU151" s="599" t="s">
        <v>64</v>
      </c>
      <c r="BV151" s="851" t="s">
        <v>64</v>
      </c>
      <c r="BW151" s="851" t="s">
        <v>64</v>
      </c>
      <c r="BX151" s="851" t="s">
        <v>64</v>
      </c>
      <c r="BY151" s="851" t="s">
        <v>64</v>
      </c>
      <c r="BZ151" s="851" t="s">
        <v>64</v>
      </c>
      <c r="CA151" s="851" t="s">
        <v>64</v>
      </c>
      <c r="CB151" s="851" t="s">
        <v>64</v>
      </c>
      <c r="CC151" s="851" t="s">
        <v>64</v>
      </c>
      <c r="CD151" s="851" t="s">
        <v>64</v>
      </c>
      <c r="CE151" s="852" t="s">
        <v>64</v>
      </c>
      <c r="CF151" s="852" t="s">
        <v>64</v>
      </c>
      <c r="CG151" s="605"/>
      <c r="CH151" s="584" t="s">
        <v>64</v>
      </c>
      <c r="CI151" s="576" t="s">
        <v>64</v>
      </c>
      <c r="CJ151" s="576" t="s">
        <v>64</v>
      </c>
      <c r="CK151" s="576" t="s">
        <v>64</v>
      </c>
      <c r="CL151" s="576" t="s">
        <v>64</v>
      </c>
      <c r="CM151" s="576" t="s">
        <v>64</v>
      </c>
      <c r="CN151" s="576" t="s">
        <v>64</v>
      </c>
      <c r="CO151" s="576" t="s">
        <v>64</v>
      </c>
      <c r="CP151" s="576" t="s">
        <v>64</v>
      </c>
      <c r="CQ151" s="576" t="s">
        <v>64</v>
      </c>
      <c r="CR151" s="857" t="s">
        <v>64</v>
      </c>
      <c r="CS151" s="793" t="s">
        <v>64</v>
      </c>
      <c r="CT151" s="855" t="s">
        <v>64</v>
      </c>
      <c r="CU151" s="576" t="s">
        <v>64</v>
      </c>
      <c r="CV151" s="591" t="s">
        <v>64</v>
      </c>
      <c r="CW151" s="605"/>
      <c r="CX151" s="936" t="s">
        <v>64</v>
      </c>
      <c r="CY151" s="934" t="s">
        <v>64</v>
      </c>
      <c r="CZ151" s="934" t="s">
        <v>64</v>
      </c>
      <c r="DA151" s="938" t="str">
        <f t="shared" si="108"/>
        <v>-</v>
      </c>
      <c r="DB151" s="936" t="s">
        <v>64</v>
      </c>
      <c r="DC151" s="934" t="s">
        <v>64</v>
      </c>
      <c r="DD151" s="934" t="s">
        <v>64</v>
      </c>
      <c r="DE151" s="939" t="str">
        <f t="shared" si="109"/>
        <v>-</v>
      </c>
      <c r="DF151" s="19"/>
    </row>
    <row r="152" spans="1:110">
      <c r="A152" s="846" t="s">
        <v>617</v>
      </c>
      <c r="B152" s="41" t="s">
        <v>679</v>
      </c>
      <c r="C152" s="41" t="s">
        <v>1488</v>
      </c>
      <c r="D152" s="34" t="s">
        <v>736</v>
      </c>
      <c r="E152" s="535">
        <v>19.389810000000001</v>
      </c>
      <c r="F152" s="537">
        <v>-155.29229000000001</v>
      </c>
      <c r="G152" s="37" t="s">
        <v>998</v>
      </c>
      <c r="H152" s="860" t="s">
        <v>999</v>
      </c>
      <c r="I152" s="202" t="s">
        <v>64</v>
      </c>
      <c r="J152" t="s">
        <v>880</v>
      </c>
      <c r="K152" s="34">
        <v>2021</v>
      </c>
      <c r="L152" s="51">
        <v>27.4</v>
      </c>
      <c r="M152" s="52">
        <v>33.15</v>
      </c>
      <c r="N152" s="54">
        <f t="shared" si="93"/>
        <v>14398.0627188125</v>
      </c>
      <c r="O152" s="54">
        <v>3599.2626202583206</v>
      </c>
      <c r="P152" s="53">
        <v>27.424032762163094</v>
      </c>
      <c r="Q152" s="54">
        <v>10799.224746714915</v>
      </c>
      <c r="R152" s="772">
        <f t="shared" si="94"/>
        <v>1</v>
      </c>
      <c r="S152" s="624" t="s">
        <v>225</v>
      </c>
      <c r="T152" s="37" t="s">
        <v>132</v>
      </c>
      <c r="U152" s="21">
        <v>88.801176206524786</v>
      </c>
      <c r="V152" s="552" t="s">
        <v>423</v>
      </c>
      <c r="W152" s="552" t="s">
        <v>423</v>
      </c>
      <c r="X152" s="556">
        <v>103.20984196814405</v>
      </c>
      <c r="Y152" s="784">
        <v>6.6638585981451115E-3</v>
      </c>
      <c r="Z152" s="864">
        <v>0.34987042401835045</v>
      </c>
      <c r="AA152" s="865">
        <v>5.5128488969739833E-2</v>
      </c>
      <c r="AB152" s="32" t="str">
        <f t="shared" si="95"/>
        <v>-</v>
      </c>
      <c r="AC152" s="6" t="str">
        <f t="shared" si="96"/>
        <v>-</v>
      </c>
      <c r="AD152" s="6" t="str">
        <f t="shared" si="97"/>
        <v>-</v>
      </c>
      <c r="AE152" s="6">
        <f t="shared" si="98"/>
        <v>1274.1738907110339</v>
      </c>
      <c r="AF152" s="839" t="s">
        <v>998</v>
      </c>
      <c r="AG152" s="553" t="str">
        <f t="shared" si="99"/>
        <v>-</v>
      </c>
      <c r="AH152" s="69" t="s">
        <v>64</v>
      </c>
      <c r="AI152" s="9" t="s">
        <v>64</v>
      </c>
      <c r="AJ152" s="9" t="s">
        <v>64</v>
      </c>
      <c r="AK152" s="9" t="s">
        <v>64</v>
      </c>
      <c r="AL152" s="9" t="s">
        <v>64</v>
      </c>
      <c r="AM152" s="9" t="s">
        <v>64</v>
      </c>
      <c r="AN152" s="9" t="s">
        <v>64</v>
      </c>
      <c r="AO152" s="9" t="s">
        <v>64</v>
      </c>
      <c r="AP152" s="9" t="s">
        <v>64</v>
      </c>
      <c r="AQ152" s="9" t="s">
        <v>64</v>
      </c>
      <c r="AR152" s="9" t="s">
        <v>64</v>
      </c>
      <c r="AS152" s="6" t="s">
        <v>64</v>
      </c>
      <c r="AT152" s="6" t="s">
        <v>64</v>
      </c>
      <c r="AU152" s="9" t="s">
        <v>64</v>
      </c>
      <c r="AV152" s="8" t="str">
        <f t="shared" si="100"/>
        <v>-</v>
      </c>
      <c r="AW152" s="9" t="str">
        <f t="shared" si="101"/>
        <v>-</v>
      </c>
      <c r="AX152" s="8" t="s">
        <v>64</v>
      </c>
      <c r="AY152" s="789" t="s">
        <v>64</v>
      </c>
      <c r="AZ152" s="6" t="s">
        <v>64</v>
      </c>
      <c r="BA152" s="48" t="s">
        <v>64</v>
      </c>
      <c r="BB152" s="6" t="s">
        <v>64</v>
      </c>
      <c r="BC152" s="48" t="s">
        <v>64</v>
      </c>
      <c r="BD152" s="849" t="s">
        <v>64</v>
      </c>
      <c r="BE152" s="48" t="s">
        <v>64</v>
      </c>
      <c r="BF152" s="668" t="s">
        <v>1008</v>
      </c>
      <c r="BG152" s="48" t="s">
        <v>64</v>
      </c>
      <c r="BH152" s="48" t="s">
        <v>64</v>
      </c>
      <c r="BI152" s="850" t="str">
        <f t="shared" si="102"/>
        <v>-</v>
      </c>
      <c r="BJ152" s="789" t="str">
        <f t="shared" si="103"/>
        <v>-</v>
      </c>
      <c r="BK152" s="673">
        <v>1355</v>
      </c>
      <c r="BL152" s="866">
        <v>315</v>
      </c>
      <c r="BM152" s="866">
        <v>282</v>
      </c>
      <c r="BN152" s="867">
        <f t="shared" si="104"/>
        <v>5.3075351490499996</v>
      </c>
      <c r="BO152" s="868">
        <f t="shared" si="105"/>
        <v>1.0792542001499994</v>
      </c>
      <c r="BP152" s="868">
        <f t="shared" si="106"/>
        <v>1.0033109926871999</v>
      </c>
      <c r="BQ152" s="869" t="s">
        <v>916</v>
      </c>
      <c r="BR152" s="45" t="s">
        <v>64</v>
      </c>
      <c r="BS152" s="854" t="s">
        <v>64</v>
      </c>
      <c r="BT152" s="605"/>
      <c r="BU152" s="599" t="s">
        <v>64</v>
      </c>
      <c r="BV152" s="851" t="s">
        <v>64</v>
      </c>
      <c r="BW152" s="851" t="s">
        <v>64</v>
      </c>
      <c r="BX152" s="851" t="s">
        <v>64</v>
      </c>
      <c r="BY152" s="851" t="s">
        <v>64</v>
      </c>
      <c r="BZ152" s="851" t="s">
        <v>64</v>
      </c>
      <c r="CA152" s="851" t="s">
        <v>64</v>
      </c>
      <c r="CB152" s="851" t="s">
        <v>64</v>
      </c>
      <c r="CC152" s="851" t="s">
        <v>64</v>
      </c>
      <c r="CD152" s="851" t="s">
        <v>64</v>
      </c>
      <c r="CE152" s="852" t="s">
        <v>64</v>
      </c>
      <c r="CF152" s="852" t="s">
        <v>64</v>
      </c>
      <c r="CG152" s="605"/>
      <c r="CH152" s="584" t="s">
        <v>64</v>
      </c>
      <c r="CI152" s="576" t="s">
        <v>64</v>
      </c>
      <c r="CJ152" s="576" t="s">
        <v>64</v>
      </c>
      <c r="CK152" s="576" t="s">
        <v>64</v>
      </c>
      <c r="CL152" s="576" t="s">
        <v>64</v>
      </c>
      <c r="CM152" s="576" t="s">
        <v>64</v>
      </c>
      <c r="CN152" s="576" t="s">
        <v>64</v>
      </c>
      <c r="CO152" s="576" t="s">
        <v>64</v>
      </c>
      <c r="CP152" s="576" t="s">
        <v>64</v>
      </c>
      <c r="CQ152" s="576" t="s">
        <v>64</v>
      </c>
      <c r="CR152" s="857" t="s">
        <v>64</v>
      </c>
      <c r="CS152" s="793" t="s">
        <v>64</v>
      </c>
      <c r="CT152" s="855" t="s">
        <v>64</v>
      </c>
      <c r="CU152" s="576" t="s">
        <v>64</v>
      </c>
      <c r="CV152" s="591" t="s">
        <v>64</v>
      </c>
      <c r="CW152" s="605"/>
      <c r="CX152" s="936" t="s">
        <v>64</v>
      </c>
      <c r="CY152" s="934" t="s">
        <v>64</v>
      </c>
      <c r="CZ152" s="934" t="s">
        <v>64</v>
      </c>
      <c r="DA152" s="938" t="str">
        <f t="shared" si="108"/>
        <v>-</v>
      </c>
      <c r="DB152" s="936" t="s">
        <v>64</v>
      </c>
      <c r="DC152" s="934" t="s">
        <v>64</v>
      </c>
      <c r="DD152" s="934" t="s">
        <v>64</v>
      </c>
      <c r="DE152" s="939" t="str">
        <f t="shared" si="109"/>
        <v>-</v>
      </c>
      <c r="DF152" s="19"/>
    </row>
    <row r="153" spans="1:110">
      <c r="A153" s="846" t="s">
        <v>618</v>
      </c>
      <c r="B153" s="41" t="s">
        <v>679</v>
      </c>
      <c r="C153" s="41" t="s">
        <v>1488</v>
      </c>
      <c r="D153" s="34" t="s">
        <v>736</v>
      </c>
      <c r="E153" s="535">
        <v>19.389810000000001</v>
      </c>
      <c r="F153" s="537">
        <v>-155.29229000000001</v>
      </c>
      <c r="G153" s="37" t="s">
        <v>998</v>
      </c>
      <c r="H153" s="860" t="s">
        <v>999</v>
      </c>
      <c r="I153" s="202" t="s">
        <v>64</v>
      </c>
      <c r="J153" t="s">
        <v>880</v>
      </c>
      <c r="K153" s="34">
        <v>2021</v>
      </c>
      <c r="L153" s="51">
        <v>23.5</v>
      </c>
      <c r="M153" s="52">
        <v>27.7</v>
      </c>
      <c r="N153" s="54">
        <f t="shared" si="93"/>
        <v>8725.1602133333345</v>
      </c>
      <c r="O153" s="54">
        <v>1930.2180883104704</v>
      </c>
      <c r="P153" s="53">
        <v>23.5</v>
      </c>
      <c r="Q153" s="54">
        <v>6795.199459867772</v>
      </c>
      <c r="R153" s="772">
        <f t="shared" si="94"/>
        <v>1</v>
      </c>
      <c r="S153" s="624" t="s">
        <v>225</v>
      </c>
      <c r="T153" s="37" t="s">
        <v>132</v>
      </c>
      <c r="U153" s="21">
        <v>88.801176206524786</v>
      </c>
      <c r="V153" s="552" t="s">
        <v>423</v>
      </c>
      <c r="W153" s="552" t="s">
        <v>423</v>
      </c>
      <c r="X153" s="556">
        <v>103.2073150755454</v>
      </c>
      <c r="Y153" s="784">
        <v>5.9915868732394748E-3</v>
      </c>
      <c r="Z153" s="864">
        <v>0.3335255444185159</v>
      </c>
      <c r="AA153" s="865">
        <v>6.5442044798695018E-2</v>
      </c>
      <c r="AB153" s="32" t="str">
        <f t="shared" si="95"/>
        <v>-</v>
      </c>
      <c r="AC153" s="6" t="str">
        <f t="shared" si="96"/>
        <v>-</v>
      </c>
      <c r="AD153" s="6" t="str">
        <f t="shared" si="97"/>
        <v>-</v>
      </c>
      <c r="AE153" s="6">
        <f t="shared" si="98"/>
        <v>1274.1738907110339</v>
      </c>
      <c r="AF153" s="839" t="s">
        <v>998</v>
      </c>
      <c r="AG153" s="553" t="str">
        <f t="shared" si="99"/>
        <v>-</v>
      </c>
      <c r="AH153" s="69" t="s">
        <v>64</v>
      </c>
      <c r="AI153" s="9" t="s">
        <v>64</v>
      </c>
      <c r="AJ153" s="9" t="s">
        <v>64</v>
      </c>
      <c r="AK153" s="9" t="s">
        <v>64</v>
      </c>
      <c r="AL153" s="9" t="s">
        <v>64</v>
      </c>
      <c r="AM153" s="9" t="s">
        <v>64</v>
      </c>
      <c r="AN153" s="9" t="s">
        <v>64</v>
      </c>
      <c r="AO153" s="9" t="s">
        <v>64</v>
      </c>
      <c r="AP153" s="9" t="s">
        <v>64</v>
      </c>
      <c r="AQ153" s="9" t="s">
        <v>64</v>
      </c>
      <c r="AR153" s="9" t="s">
        <v>64</v>
      </c>
      <c r="AS153" s="6" t="s">
        <v>64</v>
      </c>
      <c r="AT153" s="6" t="s">
        <v>64</v>
      </c>
      <c r="AU153" s="9" t="s">
        <v>64</v>
      </c>
      <c r="AV153" s="8" t="str">
        <f t="shared" si="100"/>
        <v>-</v>
      </c>
      <c r="AW153" s="9" t="str">
        <f t="shared" si="101"/>
        <v>-</v>
      </c>
      <c r="AX153" s="8" t="s">
        <v>64</v>
      </c>
      <c r="AY153" s="789" t="s">
        <v>64</v>
      </c>
      <c r="AZ153" s="6" t="s">
        <v>64</v>
      </c>
      <c r="BA153" s="48" t="s">
        <v>64</v>
      </c>
      <c r="BB153" s="6" t="s">
        <v>64</v>
      </c>
      <c r="BC153" s="48" t="s">
        <v>64</v>
      </c>
      <c r="BD153" s="849" t="s">
        <v>64</v>
      </c>
      <c r="BE153" s="48" t="s">
        <v>64</v>
      </c>
      <c r="BF153" s="668" t="s">
        <v>1008</v>
      </c>
      <c r="BG153" s="48" t="s">
        <v>64</v>
      </c>
      <c r="BH153" s="48" t="s">
        <v>64</v>
      </c>
      <c r="BI153" s="850" t="str">
        <f t="shared" si="102"/>
        <v>-</v>
      </c>
      <c r="BJ153" s="789" t="str">
        <f t="shared" si="103"/>
        <v>-</v>
      </c>
      <c r="BK153" s="673">
        <v>1267</v>
      </c>
      <c r="BL153" s="866">
        <v>367</v>
      </c>
      <c r="BM153" s="866">
        <v>319</v>
      </c>
      <c r="BN153" s="867">
        <f t="shared" si="104"/>
        <v>4.9986801083492001</v>
      </c>
      <c r="BO153" s="868">
        <f t="shared" si="105"/>
        <v>1.2665951611643997</v>
      </c>
      <c r="BP153" s="868">
        <f t="shared" si="106"/>
        <v>1.1529162283364007</v>
      </c>
      <c r="BQ153" s="869" t="s">
        <v>915</v>
      </c>
      <c r="BR153" s="45" t="s">
        <v>64</v>
      </c>
      <c r="BS153" s="854" t="s">
        <v>64</v>
      </c>
      <c r="BT153" s="605"/>
      <c r="BU153" s="599" t="s">
        <v>64</v>
      </c>
      <c r="BV153" s="851" t="s">
        <v>64</v>
      </c>
      <c r="BW153" s="851" t="s">
        <v>64</v>
      </c>
      <c r="BX153" s="851" t="s">
        <v>64</v>
      </c>
      <c r="BY153" s="851" t="s">
        <v>64</v>
      </c>
      <c r="BZ153" s="851" t="s">
        <v>64</v>
      </c>
      <c r="CA153" s="851" t="s">
        <v>64</v>
      </c>
      <c r="CB153" s="851" t="s">
        <v>64</v>
      </c>
      <c r="CC153" s="851" t="s">
        <v>64</v>
      </c>
      <c r="CD153" s="851" t="s">
        <v>64</v>
      </c>
      <c r="CE153" s="852" t="s">
        <v>64</v>
      </c>
      <c r="CF153" s="852" t="s">
        <v>64</v>
      </c>
      <c r="CG153" s="605"/>
      <c r="CH153" s="584" t="s">
        <v>64</v>
      </c>
      <c r="CI153" s="576" t="s">
        <v>64</v>
      </c>
      <c r="CJ153" s="576" t="s">
        <v>64</v>
      </c>
      <c r="CK153" s="576" t="s">
        <v>64</v>
      </c>
      <c r="CL153" s="576" t="s">
        <v>64</v>
      </c>
      <c r="CM153" s="576" t="s">
        <v>64</v>
      </c>
      <c r="CN153" s="576" t="s">
        <v>64</v>
      </c>
      <c r="CO153" s="576" t="s">
        <v>64</v>
      </c>
      <c r="CP153" s="576" t="s">
        <v>64</v>
      </c>
      <c r="CQ153" s="576" t="s">
        <v>64</v>
      </c>
      <c r="CR153" s="857" t="s">
        <v>64</v>
      </c>
      <c r="CS153" s="793" t="s">
        <v>64</v>
      </c>
      <c r="CT153" s="855" t="s">
        <v>64</v>
      </c>
      <c r="CU153" s="576" t="s">
        <v>64</v>
      </c>
      <c r="CV153" s="591" t="s">
        <v>64</v>
      </c>
      <c r="CW153" s="605"/>
      <c r="CX153" s="936" t="s">
        <v>64</v>
      </c>
      <c r="CY153" s="934" t="s">
        <v>64</v>
      </c>
      <c r="CZ153" s="934" t="s">
        <v>64</v>
      </c>
      <c r="DA153" s="938" t="str">
        <f t="shared" si="108"/>
        <v>-</v>
      </c>
      <c r="DB153" s="936" t="s">
        <v>64</v>
      </c>
      <c r="DC153" s="934" t="s">
        <v>64</v>
      </c>
      <c r="DD153" s="934" t="s">
        <v>64</v>
      </c>
      <c r="DE153" s="939" t="str">
        <f t="shared" si="109"/>
        <v>-</v>
      </c>
      <c r="DF153" s="19"/>
    </row>
    <row r="154" spans="1:110">
      <c r="A154" s="846"/>
      <c r="B154" s="41"/>
      <c r="C154" s="41"/>
      <c r="D154" s="34"/>
      <c r="E154" s="535"/>
      <c r="F154" s="537"/>
      <c r="G154" s="37"/>
      <c r="H154" s="37"/>
      <c r="I154" s="202"/>
      <c r="K154" s="870"/>
      <c r="L154" s="627"/>
      <c r="M154" s="628"/>
      <c r="N154" s="838"/>
      <c r="O154" s="54"/>
      <c r="P154" s="53"/>
      <c r="Q154" s="54"/>
      <c r="R154" s="772"/>
      <c r="S154" s="624"/>
      <c r="T154" s="34"/>
      <c r="U154" s="21"/>
      <c r="V154" s="552"/>
      <c r="W154" s="552"/>
      <c r="X154" s="557"/>
      <c r="Y154" s="785"/>
      <c r="Z154" s="784"/>
      <c r="AA154" s="784"/>
      <c r="AB154" s="32"/>
      <c r="AC154" s="6"/>
      <c r="AD154" s="6"/>
      <c r="AE154" s="6"/>
      <c r="AF154" s="839"/>
      <c r="AG154" s="839"/>
      <c r="AH154" s="32"/>
      <c r="AI154" s="9"/>
      <c r="AJ154" s="9"/>
      <c r="AK154" s="9"/>
      <c r="AL154" s="9"/>
      <c r="AM154" s="9"/>
      <c r="AN154" s="9"/>
      <c r="AO154" s="9"/>
      <c r="AP154" s="9"/>
      <c r="AQ154" s="9"/>
      <c r="AR154" s="9"/>
      <c r="AS154" s="6"/>
      <c r="AT154" s="6"/>
      <c r="AU154" s="9"/>
      <c r="AV154" s="8"/>
      <c r="AW154" s="9"/>
      <c r="AX154" s="8"/>
      <c r="AY154" s="787"/>
      <c r="AZ154" s="6"/>
      <c r="BB154" s="6"/>
      <c r="BD154" s="849"/>
      <c r="BF154" s="668"/>
      <c r="BG154" s="68"/>
      <c r="BH154" s="68"/>
      <c r="BI154" s="781"/>
      <c r="BK154" s="560"/>
      <c r="BL154" s="48"/>
      <c r="BM154" s="48"/>
      <c r="BN154" s="850"/>
      <c r="BO154" s="789"/>
      <c r="BP154" s="789"/>
      <c r="BQ154" s="861"/>
      <c r="BR154" s="25"/>
      <c r="BS154" s="26"/>
      <c r="BT154" s="605"/>
      <c r="BU154" s="598"/>
      <c r="BV154" s="790"/>
      <c r="BW154" s="790"/>
      <c r="BX154" s="790"/>
      <c r="BY154" s="790"/>
      <c r="BZ154" s="790"/>
      <c r="CA154" s="790"/>
      <c r="CB154" s="790"/>
      <c r="CC154" s="790"/>
      <c r="CD154" s="790"/>
      <c r="CE154" s="791"/>
      <c r="CF154" s="791"/>
      <c r="CG154" s="605"/>
      <c r="CH154" s="584"/>
      <c r="CI154" s="576"/>
      <c r="CJ154" s="576"/>
      <c r="CK154" s="576"/>
      <c r="CL154" s="576"/>
      <c r="CM154" s="576"/>
      <c r="CN154" s="576"/>
      <c r="CO154" s="576"/>
      <c r="CP154" s="576"/>
      <c r="CQ154" s="576"/>
      <c r="CR154" s="857"/>
      <c r="CS154" s="793"/>
      <c r="CT154" s="576"/>
      <c r="CU154" s="576"/>
      <c r="CV154" s="592"/>
      <c r="CW154" s="605"/>
      <c r="CX154" s="936"/>
      <c r="CY154" s="934"/>
      <c r="CZ154" s="934"/>
      <c r="DA154" s="941"/>
      <c r="DB154" s="936"/>
      <c r="DC154" s="934"/>
      <c r="DD154" s="934"/>
      <c r="DE154" s="942"/>
      <c r="DF154" s="9"/>
    </row>
    <row r="155" spans="1:110">
      <c r="A155" s="837" t="s">
        <v>1489</v>
      </c>
      <c r="B155" s="41"/>
      <c r="C155" s="41"/>
      <c r="D155" s="41"/>
      <c r="E155" s="535"/>
      <c r="F155" s="537"/>
      <c r="H155" s="41"/>
      <c r="I155" s="47"/>
      <c r="J155" s="3"/>
      <c r="K155" s="41"/>
      <c r="L155" s="627"/>
      <c r="M155" s="628"/>
      <c r="N155" s="838"/>
      <c r="O155" s="54"/>
      <c r="P155" s="53"/>
      <c r="Q155" s="54"/>
      <c r="R155" s="21"/>
      <c r="S155" s="624"/>
      <c r="T155" s="41"/>
      <c r="U155" s="21"/>
      <c r="V155" s="9"/>
      <c r="W155" s="9"/>
      <c r="X155" s="557"/>
      <c r="Y155" s="785"/>
      <c r="Z155" s="784"/>
      <c r="AA155" s="785"/>
      <c r="AB155" s="13"/>
      <c r="AC155" s="12"/>
      <c r="AD155" s="12"/>
      <c r="AE155" s="12"/>
      <c r="AF155" s="871"/>
      <c r="AG155" s="839"/>
      <c r="AH155" s="66"/>
      <c r="AI155" s="12"/>
      <c r="AJ155" s="12"/>
      <c r="AK155" s="12"/>
      <c r="AL155" s="12"/>
      <c r="AM155" s="12"/>
      <c r="AN155" s="12"/>
      <c r="AO155" s="12"/>
      <c r="AP155" s="12"/>
      <c r="AQ155" s="12"/>
      <c r="AR155" s="12"/>
      <c r="AS155" s="12"/>
      <c r="AT155" s="12"/>
      <c r="AU155" s="12"/>
      <c r="AV155" s="13"/>
      <c r="AW155" s="12"/>
      <c r="AX155" s="46"/>
      <c r="AY155" s="787"/>
      <c r="AZ155" s="12"/>
      <c r="BB155" s="12"/>
      <c r="BD155" s="840"/>
      <c r="BF155" s="667"/>
      <c r="BG155" s="68"/>
      <c r="BH155" s="68"/>
      <c r="BI155" s="841"/>
      <c r="BK155" s="560"/>
      <c r="BL155" s="48"/>
      <c r="BM155" s="48"/>
      <c r="BN155" s="788"/>
      <c r="BO155" s="789"/>
      <c r="BP155" s="789"/>
      <c r="BQ155" s="859"/>
      <c r="BR155" s="25"/>
      <c r="BS155" s="26"/>
      <c r="BT155" s="872"/>
      <c r="BU155" s="598"/>
      <c r="BV155" s="790"/>
      <c r="BW155" s="790"/>
      <c r="BX155" s="790"/>
      <c r="BY155" s="790"/>
      <c r="BZ155" s="790"/>
      <c r="CA155" s="790"/>
      <c r="CB155" s="790"/>
      <c r="CC155" s="790"/>
      <c r="CD155" s="790"/>
      <c r="CE155" s="791"/>
      <c r="CF155" s="791"/>
      <c r="CG155" s="872"/>
      <c r="CH155" s="584"/>
      <c r="CI155" s="576"/>
      <c r="CJ155" s="576"/>
      <c r="CK155" s="576"/>
      <c r="CL155" s="576"/>
      <c r="CM155" s="576"/>
      <c r="CN155" s="576"/>
      <c r="CO155" s="576"/>
      <c r="CP155" s="576"/>
      <c r="CQ155" s="576"/>
      <c r="CR155" s="792"/>
      <c r="CS155" s="576"/>
      <c r="CT155" s="577"/>
      <c r="CU155" s="576"/>
      <c r="CV155" s="591"/>
      <c r="CW155" s="872"/>
      <c r="CX155" s="933"/>
      <c r="CY155" s="934"/>
      <c r="CZ155" s="934"/>
      <c r="DA155" s="935"/>
      <c r="DB155" s="936"/>
      <c r="DC155" s="934"/>
      <c r="DD155" s="934"/>
      <c r="DE155" s="937"/>
      <c r="DF155" s="7"/>
    </row>
    <row r="156" spans="1:110">
      <c r="A156" s="846" t="s">
        <v>26</v>
      </c>
      <c r="B156" s="41" t="s">
        <v>156</v>
      </c>
      <c r="C156" s="41" t="s">
        <v>1490</v>
      </c>
      <c r="D156" s="34">
        <v>1500</v>
      </c>
      <c r="E156" s="535">
        <v>19.42567</v>
      </c>
      <c r="F156" s="537">
        <v>-155.25163000000001</v>
      </c>
      <c r="G156" s="37" t="s">
        <v>405</v>
      </c>
      <c r="H156" s="37" t="s">
        <v>64</v>
      </c>
      <c r="I156" s="202" t="s">
        <v>779</v>
      </c>
      <c r="J156" t="s">
        <v>883</v>
      </c>
      <c r="K156" s="34">
        <v>2001</v>
      </c>
      <c r="L156" s="51">
        <v>143</v>
      </c>
      <c r="M156" s="52">
        <v>100</v>
      </c>
      <c r="N156" s="838">
        <f t="shared" ref="N156:N187" si="112">(4*3.1415/3)*(L156/2)*(M156/2)*(AVERAGE(L156,M156)/2)</f>
        <v>909699.86250000016</v>
      </c>
      <c r="O156" s="54">
        <v>909699.86250000016</v>
      </c>
      <c r="P156" s="53" t="s">
        <v>151</v>
      </c>
      <c r="Q156" s="54" t="s">
        <v>151</v>
      </c>
      <c r="R156" s="772">
        <f t="shared" ref="R156:R187" si="113">IF(Q156="no bubble",0,IF(H156="Isolated fluid inclusion",1,Q156/(Q156+O156)))</f>
        <v>0</v>
      </c>
      <c r="S156" s="624" t="s">
        <v>88</v>
      </c>
      <c r="T156" s="37" t="s">
        <v>132</v>
      </c>
      <c r="U156" s="21">
        <v>84.2</v>
      </c>
      <c r="V156" s="552">
        <v>0.85</v>
      </c>
      <c r="W156" s="847">
        <v>0.27</v>
      </c>
      <c r="X156" s="556" t="s">
        <v>64</v>
      </c>
      <c r="Y156" s="784" t="s">
        <v>64</v>
      </c>
      <c r="Z156" s="784" t="s">
        <v>64</v>
      </c>
      <c r="AA156" s="785" t="s">
        <v>64</v>
      </c>
      <c r="AB156" s="32">
        <f t="shared" ref="AB156:AB219" si="114">IF(ISNUMBER(AN156), 20.1*AN156+1014,"-")</f>
        <v>1180.8672519913771</v>
      </c>
      <c r="AC156" s="6">
        <f t="shared" ref="AC156:AC187" si="115">IF(ISNUMBER(CM156), 20.1*CM156+1014,"-")</f>
        <v>1173.4666999999999</v>
      </c>
      <c r="AD156" s="6">
        <f t="shared" ref="AD156:AD187" si="116">IF(AND(ISNUMBER(AB156),ISNUMBER(AC156)),AB156-AC156,"-")</f>
        <v>7.4005519913771423</v>
      </c>
      <c r="AE156" s="6">
        <f t="shared" ref="AE156:AE219" si="117">IF(ISNUMBER(U156),0.02289*U156^3- 4.943*U156^2+ 358.6*U156-7620,"-")</f>
        <v>1194.1620583200056</v>
      </c>
      <c r="AF156" s="839">
        <v>0.99099999999999999</v>
      </c>
      <c r="AG156" s="553">
        <f t="shared" ref="AG156:AG187" si="118">IF(ISNUMBER(AF156),(1/AF156)-1,"-")</f>
        <v>9.0817356205852295E-3</v>
      </c>
      <c r="AH156" s="32">
        <f t="shared" ref="AH156:AH158" si="119">100*(AN156/40.3)/((AN156/40.3)+(AL156/71.85))</f>
        <v>57.00457767639142</v>
      </c>
      <c r="AI156" s="9">
        <v>50.36155803052884</v>
      </c>
      <c r="AJ156" s="9">
        <v>2.4895497146188257</v>
      </c>
      <c r="AK156" s="9">
        <v>13.487241238898998</v>
      </c>
      <c r="AL156" s="9">
        <v>11.163728590938259</v>
      </c>
      <c r="AM156" s="9">
        <v>0.17106849292045287</v>
      </c>
      <c r="AN156" s="9">
        <v>8.3018533329043294</v>
      </c>
      <c r="AO156" s="9">
        <v>10.991653812765332</v>
      </c>
      <c r="AP156" s="9">
        <v>2.2399909720054589</v>
      </c>
      <c r="AQ156" s="9">
        <v>0.40855181250414041</v>
      </c>
      <c r="AR156" s="9">
        <v>0.23848960483616072</v>
      </c>
      <c r="AS156" s="6" t="s">
        <v>64</v>
      </c>
      <c r="AT156" s="6">
        <v>1350.8370260061395</v>
      </c>
      <c r="AU156" s="9">
        <v>99.415000000000006</v>
      </c>
      <c r="AV156" s="8">
        <f t="shared" ref="AV156:AV219" si="120">IF(ISNUMBER(AL156),(AL156/71.84)*(0.18/2)*159.69,"-")</f>
        <v>2.233382846350553</v>
      </c>
      <c r="AW156" s="9">
        <f t="shared" ref="AW156:AW219" si="121">IF(ISNUMBER(AL156),(AL156/71.84)*(1-0.18)*71.84,"-")</f>
        <v>9.1542574445693727</v>
      </c>
      <c r="AX156" s="8">
        <v>0.44334920634920633</v>
      </c>
      <c r="AY156" s="789">
        <v>2.2167460317460318E-2</v>
      </c>
      <c r="AZ156" s="6">
        <v>111.60547619047621</v>
      </c>
      <c r="BA156" s="48">
        <v>11.160547619047621</v>
      </c>
      <c r="BB156" s="6" t="s">
        <v>151</v>
      </c>
      <c r="BC156" s="48" t="s">
        <v>151</v>
      </c>
      <c r="BD156" s="849">
        <v>111.60547619047621</v>
      </c>
      <c r="BE156" s="48">
        <v>11.160547619047621</v>
      </c>
      <c r="BF156" s="668">
        <v>292.22008109684771</v>
      </c>
      <c r="BG156" s="48">
        <v>26.060204805276669</v>
      </c>
      <c r="BH156" s="48">
        <v>26.17443999900388</v>
      </c>
      <c r="BI156" s="850">
        <f t="shared" ref="BI156:BI187" si="122">IF(NOT(ISNUMBER(BF156)),"-",(0.0684*((BF156/1000))^3 - 0.5008*((BF156/1000))^2 + 4.47*((BF156/1000))))</f>
        <v>1.2651659748431667</v>
      </c>
      <c r="BJ156" s="789">
        <f t="shared" ref="BJ156:BJ219" si="123">IF(NOT(ISNUMBER(BF156)),"-",AVERAGE(ABS(BI156-(0.0684*(((BF156+BG156)/1000))^3-0.5008*(((BF156+BG156)/1000))^2+4.47*(((BF156+BG156)/1000)))),ABS(BI156-(0.0684*(((BF156-BG156)/1000))^3-0.5008*(((BF156-BG156)/1000))^2+4.47*(((BF156-BG156)/1000))))))</f>
        <v>0.10931946779529766</v>
      </c>
      <c r="BK156" s="67" t="s">
        <v>64</v>
      </c>
      <c r="BL156" s="48" t="s">
        <v>64</v>
      </c>
      <c r="BM156" s="48" t="s">
        <v>64</v>
      </c>
      <c r="BN156" s="850" t="str">
        <f t="shared" ref="BN156:BN187" si="124">IF(ISNUMBER(BK156),(0.0684*((BK156/1000))^3 - 0.5008*((BK156/1000))^2 + 4.47*((BK156/1000))),"-")</f>
        <v>-</v>
      </c>
      <c r="BO156" s="789" t="str">
        <f t="shared" ref="BO156:BO219" si="125">IF(ISNUMBER(BL156),ABS(BN156-(0.0684*(((BK156+BL156)/1000))^3 - 0.5008*(((BK156+BL156)/1000))^2 + 4.47*(((BK156+BL156)/1000)))),"-")</f>
        <v>-</v>
      </c>
      <c r="BP156" s="789" t="str">
        <f t="shared" ref="BP156:BP219" si="126">IF(ISNUMBER(BM156),ABS(BN156-(0.0684*(((BK156-BM156)/1000))^3 - 0.5008*(((BK156-BM156)/1000))^2 + 4.47*(((BK156-BM156)/1000)))),"-")</f>
        <v>-</v>
      </c>
      <c r="BQ156" s="34" t="s">
        <v>64</v>
      </c>
      <c r="BR156" s="25">
        <v>2.6903118588928421</v>
      </c>
      <c r="BS156" s="26">
        <v>2.95164509263057</v>
      </c>
      <c r="BT156" s="605"/>
      <c r="BU156" s="599">
        <v>0.13741448526887598</v>
      </c>
      <c r="BV156" s="851">
        <v>3.0140114568111779E-2</v>
      </c>
      <c r="BW156" s="851">
        <v>6.2876253908785665E-2</v>
      </c>
      <c r="BX156" s="851">
        <v>0.12147002843770373</v>
      </c>
      <c r="BY156" s="851">
        <v>6.0442878547756242E-3</v>
      </c>
      <c r="BZ156" s="851">
        <v>2.1802374214495986E-2</v>
      </c>
      <c r="CA156" s="851">
        <v>2.2616607314180231E-2</v>
      </c>
      <c r="CB156" s="851">
        <v>3.1890371092616276E-2</v>
      </c>
      <c r="CC156" s="851">
        <v>1.1205581817293987E-2</v>
      </c>
      <c r="CD156" s="851">
        <v>6.7014062525058721E-3</v>
      </c>
      <c r="CE156" s="852" t="s">
        <v>64</v>
      </c>
      <c r="CF156" s="852">
        <v>25.370748152683412</v>
      </c>
      <c r="CG156" s="605"/>
      <c r="CH156" s="584">
        <v>50.163000000000004</v>
      </c>
      <c r="CI156" s="576">
        <v>2.4986666666666664</v>
      </c>
      <c r="CJ156" s="576">
        <v>13.530666666666667</v>
      </c>
      <c r="CK156" s="576">
        <v>11.067333333333332</v>
      </c>
      <c r="CL156" s="576">
        <v>0.16700000000000001</v>
      </c>
      <c r="CM156" s="576">
        <v>7.9336666666666673</v>
      </c>
      <c r="CN156" s="576">
        <v>11.024000000000001</v>
      </c>
      <c r="CO156" s="576">
        <v>2.2479999999999998</v>
      </c>
      <c r="CP156" s="576">
        <v>0.40700000000000003</v>
      </c>
      <c r="CQ156" s="576">
        <v>0.24099999999999999</v>
      </c>
      <c r="CR156" s="792" t="s">
        <v>64</v>
      </c>
      <c r="CS156" s="793">
        <v>1346.6666666666667</v>
      </c>
      <c r="CT156" s="576">
        <f t="shared" ref="CT156:CT159" si="127">SUM(CH156:CR156)+(CS156/10000)</f>
        <v>99.415000000000006</v>
      </c>
      <c r="CU156" s="576">
        <v>0.44334920634920633</v>
      </c>
      <c r="CV156" s="591">
        <v>112.61904761904763</v>
      </c>
      <c r="CW156" s="605"/>
      <c r="CX156" s="936">
        <v>259.05354912547767</v>
      </c>
      <c r="CY156" s="934">
        <v>24.002000408935316</v>
      </c>
      <c r="CZ156" s="934">
        <v>24.038929777843265</v>
      </c>
      <c r="DA156" s="938">
        <f t="shared" ref="DA156:DA187" si="128">IF(NOT(ISNUMBER(CX156)),"-",(0.0684*((CX156/1000))^3 - 0.5008*((CX156/1000))^2 + 4.47*((CX156/1000))))</f>
        <v>1.1255504243614372</v>
      </c>
      <c r="DB156" s="936">
        <v>236.6743972645979</v>
      </c>
      <c r="DC156" s="934">
        <v>20.450966459570083</v>
      </c>
      <c r="DD156" s="934">
        <v>20.719947304911813</v>
      </c>
      <c r="DE156" s="939">
        <f t="shared" ref="DE156:DE187" si="129">IF(NOT(ISNUMBER(DB156)),"-",(0.0684*((DB156/1000))^3 - 0.5008*((DB156/1000))^2 + 4.47*((DB156/1000))))</f>
        <v>1.0307891555172575</v>
      </c>
      <c r="DF156" s="9"/>
    </row>
    <row r="157" spans="1:110">
      <c r="A157" s="846" t="s">
        <v>27</v>
      </c>
      <c r="B157" s="41" t="s">
        <v>156</v>
      </c>
      <c r="C157" s="41" t="s">
        <v>1490</v>
      </c>
      <c r="D157" s="34">
        <v>1500</v>
      </c>
      <c r="E157" s="535">
        <v>19.42567</v>
      </c>
      <c r="F157" s="537">
        <v>-155.25163000000001</v>
      </c>
      <c r="G157" s="37" t="s">
        <v>405</v>
      </c>
      <c r="H157" s="37" t="s">
        <v>64</v>
      </c>
      <c r="I157" s="202" t="s">
        <v>779</v>
      </c>
      <c r="J157" t="s">
        <v>883</v>
      </c>
      <c r="K157" s="34">
        <v>2001</v>
      </c>
      <c r="L157" s="51">
        <v>172</v>
      </c>
      <c r="M157" s="52">
        <v>83</v>
      </c>
      <c r="N157" s="838">
        <f t="shared" si="112"/>
        <v>953021.14750000008</v>
      </c>
      <c r="O157" s="54">
        <v>953021.14750000008</v>
      </c>
      <c r="P157" s="53" t="s">
        <v>151</v>
      </c>
      <c r="Q157" s="54" t="s">
        <v>151</v>
      </c>
      <c r="R157" s="772">
        <f t="shared" si="113"/>
        <v>0</v>
      </c>
      <c r="S157" s="624" t="s">
        <v>88</v>
      </c>
      <c r="T157" s="37" t="s">
        <v>132</v>
      </c>
      <c r="U157" s="21">
        <v>84.2</v>
      </c>
      <c r="V157" s="552">
        <v>0.85</v>
      </c>
      <c r="W157" s="847">
        <v>0.27</v>
      </c>
      <c r="X157" s="556" t="s">
        <v>64</v>
      </c>
      <c r="Y157" s="784" t="s">
        <v>64</v>
      </c>
      <c r="Z157" s="784" t="s">
        <v>64</v>
      </c>
      <c r="AA157" s="785" t="s">
        <v>64</v>
      </c>
      <c r="AB157" s="32">
        <f t="shared" si="114"/>
        <v>1182.069865006903</v>
      </c>
      <c r="AC157" s="6">
        <f t="shared" si="115"/>
        <v>1170.2306000000001</v>
      </c>
      <c r="AD157" s="6">
        <f t="shared" si="116"/>
        <v>11.839265006902906</v>
      </c>
      <c r="AE157" s="6">
        <f t="shared" si="117"/>
        <v>1194.1620583200056</v>
      </c>
      <c r="AF157" s="839">
        <v>0.98699999999999999</v>
      </c>
      <c r="AG157" s="553">
        <f t="shared" si="118"/>
        <v>1.3171225937183451E-2</v>
      </c>
      <c r="AH157" s="32">
        <f t="shared" si="119"/>
        <v>57.025824647596082</v>
      </c>
      <c r="AI157" s="9">
        <v>50.377390193650328</v>
      </c>
      <c r="AJ157" s="9">
        <v>2.409895927651351</v>
      </c>
      <c r="AK157" s="9">
        <v>13.476299022561397</v>
      </c>
      <c r="AL157" s="9">
        <v>11.234441767109532</v>
      </c>
      <c r="AM157" s="9">
        <v>0.17206355057552444</v>
      </c>
      <c r="AN157" s="9">
        <v>8.3616848262140824</v>
      </c>
      <c r="AO157" s="9">
        <v>10.973830892261224</v>
      </c>
      <c r="AP157" s="9">
        <v>2.2096582284435771</v>
      </c>
      <c r="AQ157" s="9">
        <v>0.38638832409942325</v>
      </c>
      <c r="AR157" s="9">
        <v>0.24753002012619305</v>
      </c>
      <c r="AS157" s="6" t="s">
        <v>64</v>
      </c>
      <c r="AT157" s="6">
        <v>1405.8634188199342</v>
      </c>
      <c r="AU157" s="9">
        <v>98.899666666666647</v>
      </c>
      <c r="AV157" s="8">
        <f t="shared" si="120"/>
        <v>2.2475295172755416</v>
      </c>
      <c r="AW157" s="9">
        <f t="shared" si="121"/>
        <v>9.212242249029817</v>
      </c>
      <c r="AX157" s="8">
        <v>0.46990929705215423</v>
      </c>
      <c r="AY157" s="789">
        <v>2.3495464852607714E-2</v>
      </c>
      <c r="AZ157" s="6">
        <v>101.67666666666668</v>
      </c>
      <c r="BA157" s="48">
        <v>10.167666666666669</v>
      </c>
      <c r="BB157" s="6" t="s">
        <v>151</v>
      </c>
      <c r="BC157" s="48" t="s">
        <v>151</v>
      </c>
      <c r="BD157" s="849">
        <v>101.67666666666668</v>
      </c>
      <c r="BE157" s="48">
        <v>10.167666666666669</v>
      </c>
      <c r="BF157" s="668">
        <v>272.28084621219551</v>
      </c>
      <c r="BG157" s="48">
        <v>23.896882347053975</v>
      </c>
      <c r="BH157" s="48">
        <v>23.992924887506803</v>
      </c>
      <c r="BI157" s="850">
        <f t="shared" si="122"/>
        <v>1.18134836907267</v>
      </c>
      <c r="BJ157" s="789">
        <f t="shared" si="123"/>
        <v>0.10066646399598156</v>
      </c>
      <c r="BK157" s="67" t="s">
        <v>64</v>
      </c>
      <c r="BL157" s="48" t="s">
        <v>64</v>
      </c>
      <c r="BM157" s="48" t="s">
        <v>64</v>
      </c>
      <c r="BN157" s="850" t="str">
        <f t="shared" si="124"/>
        <v>-</v>
      </c>
      <c r="BO157" s="789" t="str">
        <f t="shared" si="125"/>
        <v>-</v>
      </c>
      <c r="BP157" s="789" t="str">
        <f t="shared" si="126"/>
        <v>-</v>
      </c>
      <c r="BQ157" s="34" t="s">
        <v>64</v>
      </c>
      <c r="BR157" s="25">
        <v>2.6894205467431278</v>
      </c>
      <c r="BS157" s="26">
        <v>2.9493468779091518</v>
      </c>
      <c r="BT157" s="605"/>
      <c r="BU157" s="599">
        <v>0.13745768426094676</v>
      </c>
      <c r="BV157" s="851">
        <v>2.9175773807657738E-2</v>
      </c>
      <c r="BW157" s="851">
        <v>6.2825242322310626E-2</v>
      </c>
      <c r="BX157" s="851">
        <v>0.1222394426571982</v>
      </c>
      <c r="BY157" s="851">
        <v>6.0794457894523934E-3</v>
      </c>
      <c r="BZ157" s="851">
        <v>2.1959504020894891E-2</v>
      </c>
      <c r="CA157" s="851">
        <v>2.2579934580386058E-2</v>
      </c>
      <c r="CB157" s="851">
        <v>3.145852897336901E-2</v>
      </c>
      <c r="CC157" s="851">
        <v>1.0597691275447015E-2</v>
      </c>
      <c r="CD157" s="851">
        <v>6.9554361738162467E-3</v>
      </c>
      <c r="CE157" s="852" t="s">
        <v>64</v>
      </c>
      <c r="CF157" s="852">
        <v>26.404226453139078</v>
      </c>
      <c r="CG157" s="605"/>
      <c r="CH157" s="584">
        <v>49.960999999999991</v>
      </c>
      <c r="CI157" s="576">
        <v>2.4173333333333336</v>
      </c>
      <c r="CJ157" s="576">
        <v>13.505000000000001</v>
      </c>
      <c r="CK157" s="576">
        <v>11.083333333333334</v>
      </c>
      <c r="CL157" s="576">
        <v>0.17200000000000001</v>
      </c>
      <c r="CM157" s="576">
        <v>7.7726666666666659</v>
      </c>
      <c r="CN157" s="576">
        <v>10.996666666666668</v>
      </c>
      <c r="CO157" s="576">
        <v>2.2143333333333337</v>
      </c>
      <c r="CP157" s="576">
        <v>0.38700000000000001</v>
      </c>
      <c r="CQ157" s="576">
        <v>0.2503333333333333</v>
      </c>
      <c r="CR157" s="792" t="s">
        <v>64</v>
      </c>
      <c r="CS157" s="793">
        <v>1400.0000000000002</v>
      </c>
      <c r="CT157" s="576">
        <f t="shared" si="127"/>
        <v>98.899666666666647</v>
      </c>
      <c r="CU157" s="576">
        <v>0.46990929705215423</v>
      </c>
      <c r="CV157" s="591">
        <v>103.01587301587303</v>
      </c>
      <c r="CW157" s="605"/>
      <c r="CX157" s="936">
        <v>239.96075798499399</v>
      </c>
      <c r="CY157" s="934">
        <v>21.903290114783232</v>
      </c>
      <c r="CZ157" s="934">
        <v>21.9334575690267</v>
      </c>
      <c r="DA157" s="938">
        <f t="shared" si="128"/>
        <v>1.0447330384283118</v>
      </c>
      <c r="DB157" s="936">
        <v>218.70652290336099</v>
      </c>
      <c r="DC157" s="934">
        <v>18.898367614243199</v>
      </c>
      <c r="DD157" s="934">
        <v>19.146927940548977</v>
      </c>
      <c r="DE157" s="939">
        <f t="shared" si="129"/>
        <v>0.95437917194427968</v>
      </c>
      <c r="DF157" s="9"/>
    </row>
    <row r="158" spans="1:110">
      <c r="A158" s="846" t="s">
        <v>28</v>
      </c>
      <c r="B158" s="41" t="s">
        <v>156</v>
      </c>
      <c r="C158" s="41" t="s">
        <v>1490</v>
      </c>
      <c r="D158" s="34">
        <v>1500</v>
      </c>
      <c r="E158" s="535">
        <v>19.42567</v>
      </c>
      <c r="F158" s="537">
        <v>-155.25163000000001</v>
      </c>
      <c r="G158" s="37" t="s">
        <v>405</v>
      </c>
      <c r="H158" s="37" t="s">
        <v>64</v>
      </c>
      <c r="I158" s="202" t="s">
        <v>779</v>
      </c>
      <c r="J158" t="s">
        <v>883</v>
      </c>
      <c r="K158" s="34">
        <v>2001</v>
      </c>
      <c r="L158" s="51">
        <v>293</v>
      </c>
      <c r="M158" s="52">
        <v>138</v>
      </c>
      <c r="N158" s="838">
        <f t="shared" si="112"/>
        <v>4562257.5117500005</v>
      </c>
      <c r="O158" s="54">
        <v>4562257.5117500005</v>
      </c>
      <c r="P158" s="53" t="s">
        <v>151</v>
      </c>
      <c r="Q158" s="54" t="s">
        <v>151</v>
      </c>
      <c r="R158" s="772">
        <f t="shared" si="113"/>
        <v>0</v>
      </c>
      <c r="S158" s="624" t="s">
        <v>89</v>
      </c>
      <c r="T158" s="37" t="s">
        <v>132</v>
      </c>
      <c r="U158" s="21">
        <v>83.9</v>
      </c>
      <c r="V158" s="552">
        <v>0.91</v>
      </c>
      <c r="W158" s="847">
        <v>0.3</v>
      </c>
      <c r="X158" s="556" t="s">
        <v>64</v>
      </c>
      <c r="Y158" s="784" t="s">
        <v>64</v>
      </c>
      <c r="Z158" s="784" t="s">
        <v>64</v>
      </c>
      <c r="AA158" s="785" t="s">
        <v>64</v>
      </c>
      <c r="AB158" s="32">
        <f t="shared" si="114"/>
        <v>1173.5216025769332</v>
      </c>
      <c r="AC158" s="6">
        <f t="shared" si="115"/>
        <v>1166.2909999999999</v>
      </c>
      <c r="AD158" s="6">
        <f t="shared" si="116"/>
        <v>7.2306025769332791</v>
      </c>
      <c r="AE158" s="6">
        <f t="shared" si="117"/>
        <v>1190.3236379100017</v>
      </c>
      <c r="AF158" s="839">
        <v>0.99299999999999999</v>
      </c>
      <c r="AG158" s="553">
        <f t="shared" si="118"/>
        <v>7.0493454179254567E-3</v>
      </c>
      <c r="AH158" s="32">
        <f t="shared" si="119"/>
        <v>56.48901071378463</v>
      </c>
      <c r="AI158" s="9">
        <v>50.792143073609274</v>
      </c>
      <c r="AJ158" s="9">
        <v>2.4643386636672702</v>
      </c>
      <c r="AK158" s="9">
        <v>13.821025539187403</v>
      </c>
      <c r="AL158" s="9">
        <v>10.898837103381053</v>
      </c>
      <c r="AM158" s="9">
        <v>0.16100211767528103</v>
      </c>
      <c r="AN158" s="9">
        <v>7.9363981381558837</v>
      </c>
      <c r="AO158" s="9">
        <v>10.881730628378056</v>
      </c>
      <c r="AP158" s="9">
        <v>2.2832112812825791</v>
      </c>
      <c r="AQ158" s="9">
        <v>0.41860550595573065</v>
      </c>
      <c r="AR158" s="9">
        <v>0.19924012062316029</v>
      </c>
      <c r="AS158" s="6" t="s">
        <v>64</v>
      </c>
      <c r="AT158" s="6">
        <v>1289.289215750011</v>
      </c>
      <c r="AU158" s="9">
        <v>98.685333333333332</v>
      </c>
      <c r="AV158" s="8">
        <f t="shared" si="120"/>
        <v>2.1803894311456404</v>
      </c>
      <c r="AW158" s="9">
        <f t="shared" si="121"/>
        <v>8.9370464247724648</v>
      </c>
      <c r="AX158" s="8">
        <v>0.43028585171442318</v>
      </c>
      <c r="AY158" s="789">
        <v>2.151429258572116E-2</v>
      </c>
      <c r="AZ158" s="6">
        <v>144.48412698412696</v>
      </c>
      <c r="BA158" s="48">
        <v>14.448412698412696</v>
      </c>
      <c r="BB158" s="6" t="s">
        <v>151</v>
      </c>
      <c r="BC158" s="48" t="s">
        <v>151</v>
      </c>
      <c r="BD158" s="849">
        <v>144.48412698412696</v>
      </c>
      <c r="BE158" s="48">
        <v>14.448412698412696</v>
      </c>
      <c r="BF158" s="668">
        <v>377.35807036085941</v>
      </c>
      <c r="BG158" s="48">
        <v>34.101896089876277</v>
      </c>
      <c r="BH158" s="48">
        <v>34.297841928255309</v>
      </c>
      <c r="BI158" s="850">
        <f t="shared" si="122"/>
        <v>1.6191526036840604</v>
      </c>
      <c r="BJ158" s="789">
        <f t="shared" si="123"/>
        <v>0.14054544022105597</v>
      </c>
      <c r="BK158" s="67" t="s">
        <v>64</v>
      </c>
      <c r="BL158" s="48" t="s">
        <v>64</v>
      </c>
      <c r="BM158" s="48" t="s">
        <v>64</v>
      </c>
      <c r="BN158" s="850" t="str">
        <f t="shared" si="124"/>
        <v>-</v>
      </c>
      <c r="BO158" s="789" t="str">
        <f t="shared" si="125"/>
        <v>-</v>
      </c>
      <c r="BP158" s="789" t="str">
        <f t="shared" si="126"/>
        <v>-</v>
      </c>
      <c r="BQ158" s="34" t="s">
        <v>64</v>
      </c>
      <c r="BR158" s="25">
        <v>2.6836490956992138</v>
      </c>
      <c r="BS158" s="26">
        <v>2.9380186247069981</v>
      </c>
      <c r="BT158" s="605"/>
      <c r="BU158" s="599">
        <v>0.13858936198781124</v>
      </c>
      <c r="BV158" s="851">
        <v>2.9834893122000297E-2</v>
      </c>
      <c r="BW158" s="851">
        <v>6.4432325016579792E-2</v>
      </c>
      <c r="BX158" s="851">
        <v>0.11858780353727061</v>
      </c>
      <c r="BY158" s="851">
        <v>5.6886170436444431E-3</v>
      </c>
      <c r="BZ158" s="851">
        <v>2.0842613713433308E-2</v>
      </c>
      <c r="CA158" s="851">
        <v>2.2390427565585531E-2</v>
      </c>
      <c r="CB158" s="851">
        <v>3.250569129649683E-2</v>
      </c>
      <c r="CC158" s="851">
        <v>1.1481330158360632E-2</v>
      </c>
      <c r="CD158" s="851">
        <v>5.5985207028680685E-3</v>
      </c>
      <c r="CE158" s="852" t="s">
        <v>64</v>
      </c>
      <c r="CF158" s="852">
        <v>24.214787838229991</v>
      </c>
      <c r="CG158" s="605"/>
      <c r="CH158" s="584">
        <v>50.205333333333336</v>
      </c>
      <c r="CI158" s="576">
        <v>2.4486666666666665</v>
      </c>
      <c r="CJ158" s="576">
        <v>13.735333333333335</v>
      </c>
      <c r="CK158" s="576">
        <v>10.735666666666667</v>
      </c>
      <c r="CL158" s="576">
        <v>0.16166666666666665</v>
      </c>
      <c r="CM158" s="576">
        <v>7.5766666666666671</v>
      </c>
      <c r="CN158" s="576">
        <v>10.816000000000001</v>
      </c>
      <c r="CO158" s="576">
        <v>2.2723333333333335</v>
      </c>
      <c r="CP158" s="576">
        <v>0.41166666666666663</v>
      </c>
      <c r="CQ158" s="576">
        <v>0.19466666666666668</v>
      </c>
      <c r="CR158" s="792" t="s">
        <v>64</v>
      </c>
      <c r="CS158" s="793">
        <v>1273.3333333333333</v>
      </c>
      <c r="CT158" s="576">
        <f t="shared" si="127"/>
        <v>98.685333333333332</v>
      </c>
      <c r="CU158" s="576">
        <v>0.43028585171442318</v>
      </c>
      <c r="CV158" s="591">
        <v>145.50264550264549</v>
      </c>
      <c r="CW158" s="605"/>
      <c r="CX158" s="936">
        <v>328.52404291746018</v>
      </c>
      <c r="CY158" s="934">
        <v>30.905219073976411</v>
      </c>
      <c r="CZ158" s="934">
        <v>30.971149669945078</v>
      </c>
      <c r="DA158" s="938">
        <f t="shared" si="128"/>
        <v>1.416877361961923</v>
      </c>
      <c r="DB158" s="936">
        <v>313.45536251962659</v>
      </c>
      <c r="DC158" s="934">
        <v>27.085587539469486</v>
      </c>
      <c r="DD158" s="934">
        <v>27.441830079269778</v>
      </c>
      <c r="DE158" s="939">
        <f t="shared" si="129"/>
        <v>1.3540463404057881</v>
      </c>
      <c r="DF158" s="9"/>
    </row>
    <row r="159" spans="1:110">
      <c r="A159" s="846" t="s">
        <v>29</v>
      </c>
      <c r="B159" s="41" t="s">
        <v>156</v>
      </c>
      <c r="C159" s="41" t="s">
        <v>1490</v>
      </c>
      <c r="D159" s="34">
        <v>1500</v>
      </c>
      <c r="E159" s="535">
        <v>19.42567</v>
      </c>
      <c r="F159" s="537">
        <v>-155.25163000000001</v>
      </c>
      <c r="G159" s="37" t="s">
        <v>405</v>
      </c>
      <c r="H159" s="37" t="s">
        <v>64</v>
      </c>
      <c r="I159" s="202" t="s">
        <v>779</v>
      </c>
      <c r="J159" t="s">
        <v>886</v>
      </c>
      <c r="K159" s="34">
        <v>2001</v>
      </c>
      <c r="L159" s="51">
        <v>123</v>
      </c>
      <c r="M159" s="52">
        <v>60</v>
      </c>
      <c r="N159" s="838">
        <f t="shared" si="112"/>
        <v>353560.11749999999</v>
      </c>
      <c r="O159" s="54">
        <v>353560.11749999999</v>
      </c>
      <c r="P159" s="53" t="s">
        <v>151</v>
      </c>
      <c r="Q159" s="54" t="s">
        <v>151</v>
      </c>
      <c r="R159" s="772">
        <f t="shared" si="113"/>
        <v>0</v>
      </c>
      <c r="S159" s="624" t="s">
        <v>89</v>
      </c>
      <c r="T159" s="37" t="s">
        <v>132</v>
      </c>
      <c r="U159" s="21">
        <v>83.9</v>
      </c>
      <c r="V159" s="552">
        <v>0.91</v>
      </c>
      <c r="W159" s="847">
        <v>0.3</v>
      </c>
      <c r="X159" s="556" t="s">
        <v>64</v>
      </c>
      <c r="Y159" s="784" t="s">
        <v>64</v>
      </c>
      <c r="Z159" s="784" t="s">
        <v>64</v>
      </c>
      <c r="AA159" s="785" t="s">
        <v>64</v>
      </c>
      <c r="AB159" s="32">
        <f t="shared" si="114"/>
        <v>1177.774995329522</v>
      </c>
      <c r="AC159" s="6">
        <f t="shared" si="115"/>
        <v>1164.5758000000001</v>
      </c>
      <c r="AD159" s="6">
        <f t="shared" si="116"/>
        <v>13.199195329521899</v>
      </c>
      <c r="AE159" s="6">
        <f t="shared" si="117"/>
        <v>1190.3236379100017</v>
      </c>
      <c r="AF159" s="839">
        <v>0.98599999999999999</v>
      </c>
      <c r="AG159" s="553">
        <f t="shared" si="118"/>
        <v>1.4198782961460488E-2</v>
      </c>
      <c r="AH159" s="32">
        <f>100*(AN159/40.3)/((AN159/40.3)+(AL159/71.85))</f>
        <v>56.507556388503545</v>
      </c>
      <c r="AI159" s="9">
        <v>50.623925512871971</v>
      </c>
      <c r="AJ159" s="9">
        <v>2.4171321899918197</v>
      </c>
      <c r="AK159" s="9">
        <v>13.617249290162073</v>
      </c>
      <c r="AL159" s="9">
        <v>11.18099740341345</v>
      </c>
      <c r="AM159" s="9">
        <v>0.16201427251818606</v>
      </c>
      <c r="AN159" s="9">
        <v>8.1480097178866622</v>
      </c>
      <c r="AO159" s="9">
        <v>10.90124605086652</v>
      </c>
      <c r="AP159" s="9">
        <v>2.1967525273739139</v>
      </c>
      <c r="AQ159" s="9">
        <v>0.3954758329170629</v>
      </c>
      <c r="AR159" s="9">
        <v>0.21736076312998875</v>
      </c>
      <c r="AS159" s="6" t="s">
        <v>64</v>
      </c>
      <c r="AT159" s="6">
        <v>1398.3643886837347</v>
      </c>
      <c r="AU159" s="9">
        <v>98.62766666666667</v>
      </c>
      <c r="AV159" s="8">
        <f t="shared" si="120"/>
        <v>2.2368375943986418</v>
      </c>
      <c r="AW159" s="9">
        <f t="shared" si="121"/>
        <v>9.1684178707990309</v>
      </c>
      <c r="AX159" s="8" t="s">
        <v>64</v>
      </c>
      <c r="AY159" s="789" t="s">
        <v>64</v>
      </c>
      <c r="AZ159" s="6" t="s">
        <v>64</v>
      </c>
      <c r="BA159" s="48" t="s">
        <v>64</v>
      </c>
      <c r="BB159" s="6" t="s">
        <v>151</v>
      </c>
      <c r="BC159" s="48" t="s">
        <v>151</v>
      </c>
      <c r="BD159" s="849" t="s">
        <v>64</v>
      </c>
      <c r="BE159" s="48" t="s">
        <v>64</v>
      </c>
      <c r="BF159" s="668" t="s">
        <v>64</v>
      </c>
      <c r="BG159" s="48" t="s">
        <v>64</v>
      </c>
      <c r="BH159" s="48" t="s">
        <v>64</v>
      </c>
      <c r="BI159" s="850" t="str">
        <f t="shared" si="122"/>
        <v>-</v>
      </c>
      <c r="BJ159" s="789" t="str">
        <f t="shared" si="123"/>
        <v>-</v>
      </c>
      <c r="BK159" s="67" t="s">
        <v>64</v>
      </c>
      <c r="BL159" s="48" t="s">
        <v>64</v>
      </c>
      <c r="BM159" s="48" t="s">
        <v>64</v>
      </c>
      <c r="BN159" s="850" t="str">
        <f t="shared" si="124"/>
        <v>-</v>
      </c>
      <c r="BO159" s="789" t="str">
        <f t="shared" si="125"/>
        <v>-</v>
      </c>
      <c r="BP159" s="789" t="str">
        <f t="shared" si="126"/>
        <v>-</v>
      </c>
      <c r="BQ159" s="34" t="s">
        <v>64</v>
      </c>
      <c r="BR159" s="25">
        <v>2.689272146501255</v>
      </c>
      <c r="BS159" s="26">
        <v>2.9431637838257592</v>
      </c>
      <c r="BT159" s="605"/>
      <c r="BU159" s="599">
        <v>0.13813037043898166</v>
      </c>
      <c r="BV159" s="851">
        <v>2.9263380724967293E-2</v>
      </c>
      <c r="BW159" s="851">
        <v>6.3482339252453099E-2</v>
      </c>
      <c r="BX159" s="851">
        <v>0.12165792651542567</v>
      </c>
      <c r="BY159" s="851">
        <v>5.7243790657426213E-3</v>
      </c>
      <c r="BZ159" s="851">
        <v>2.1398349241923673E-2</v>
      </c>
      <c r="CA159" s="851">
        <v>2.2430582819245294E-2</v>
      </c>
      <c r="CB159" s="851">
        <v>3.127479269877436E-2</v>
      </c>
      <c r="CC159" s="851">
        <v>1.0846939523661333E-2</v>
      </c>
      <c r="CD159" s="851">
        <v>6.1076992353165053E-3</v>
      </c>
      <c r="CE159" s="852" t="s">
        <v>64</v>
      </c>
      <c r="CF159" s="852">
        <v>26.263383404486934</v>
      </c>
      <c r="CG159" s="605"/>
      <c r="CH159" s="584">
        <v>50.078666666666663</v>
      </c>
      <c r="CI159" s="576">
        <v>2.4170000000000003</v>
      </c>
      <c r="CJ159" s="576">
        <v>13.626333333333333</v>
      </c>
      <c r="CK159" s="576">
        <v>10.998333333333333</v>
      </c>
      <c r="CL159" s="576">
        <v>0.15766666666666665</v>
      </c>
      <c r="CM159" s="576">
        <v>7.4913333333333334</v>
      </c>
      <c r="CN159" s="576">
        <v>10.906666666666666</v>
      </c>
      <c r="CO159" s="576">
        <v>2.1956666666666664</v>
      </c>
      <c r="CP159" s="576">
        <v>0.39466666666666672</v>
      </c>
      <c r="CQ159" s="576">
        <v>0.2223333333333333</v>
      </c>
      <c r="CR159" s="792" t="s">
        <v>64</v>
      </c>
      <c r="CS159" s="793">
        <v>1390.0000000000002</v>
      </c>
      <c r="CT159" s="576">
        <f t="shared" si="127"/>
        <v>98.62766666666667</v>
      </c>
      <c r="CU159" s="576" t="s">
        <v>64</v>
      </c>
      <c r="CV159" s="591" t="s">
        <v>64</v>
      </c>
      <c r="CW159" s="605"/>
      <c r="CX159" s="936" t="s">
        <v>64</v>
      </c>
      <c r="CY159" s="934" t="s">
        <v>64</v>
      </c>
      <c r="CZ159" s="934" t="s">
        <v>64</v>
      </c>
      <c r="DA159" s="938" t="str">
        <f t="shared" si="128"/>
        <v>-</v>
      </c>
      <c r="DB159" s="936" t="s">
        <v>64</v>
      </c>
      <c r="DC159" s="934" t="s">
        <v>64</v>
      </c>
      <c r="DD159" s="934" t="s">
        <v>64</v>
      </c>
      <c r="DE159" s="939" t="str">
        <f t="shared" si="129"/>
        <v>-</v>
      </c>
      <c r="DF159" s="9"/>
    </row>
    <row r="160" spans="1:110">
      <c r="A160" s="846" t="s">
        <v>145</v>
      </c>
      <c r="B160" s="41" t="s">
        <v>156</v>
      </c>
      <c r="C160" s="41" t="s">
        <v>1490</v>
      </c>
      <c r="D160" s="34">
        <v>1500</v>
      </c>
      <c r="E160" s="535">
        <v>19.42567</v>
      </c>
      <c r="F160" s="537">
        <v>-155.25163000000001</v>
      </c>
      <c r="G160" s="37" t="s">
        <v>405</v>
      </c>
      <c r="H160" s="37" t="s">
        <v>64</v>
      </c>
      <c r="I160" s="202" t="s">
        <v>779</v>
      </c>
      <c r="J160" t="s">
        <v>876</v>
      </c>
      <c r="K160" s="34">
        <v>2001</v>
      </c>
      <c r="L160" s="51">
        <v>100</v>
      </c>
      <c r="M160" s="52">
        <v>93</v>
      </c>
      <c r="N160" s="838">
        <f t="shared" si="112"/>
        <v>469889.86250000005</v>
      </c>
      <c r="O160" s="54">
        <v>465701.07229521364</v>
      </c>
      <c r="P160" s="53">
        <v>20</v>
      </c>
      <c r="Q160" s="54">
        <v>4188.7902047863899</v>
      </c>
      <c r="R160" s="772">
        <f t="shared" si="113"/>
        <v>8.9144085435262817E-3</v>
      </c>
      <c r="S160" s="33" t="s">
        <v>64</v>
      </c>
      <c r="T160" s="37" t="s">
        <v>132</v>
      </c>
      <c r="U160" s="853" t="s">
        <v>64</v>
      </c>
      <c r="V160" s="552">
        <v>0.45</v>
      </c>
      <c r="W160" s="847">
        <v>0.34</v>
      </c>
      <c r="X160" s="556" t="s">
        <v>423</v>
      </c>
      <c r="Y160" s="784" t="s">
        <v>64</v>
      </c>
      <c r="Z160" s="784" t="s">
        <v>64</v>
      </c>
      <c r="AA160" s="785" t="s">
        <v>64</v>
      </c>
      <c r="AB160" s="32" t="str">
        <f t="shared" si="114"/>
        <v>-</v>
      </c>
      <c r="AC160" s="6" t="str">
        <f t="shared" si="115"/>
        <v>-</v>
      </c>
      <c r="AD160" s="6" t="str">
        <f t="shared" si="116"/>
        <v>-</v>
      </c>
      <c r="AE160" s="6" t="str">
        <f t="shared" si="117"/>
        <v>-</v>
      </c>
      <c r="AF160" s="839" t="s">
        <v>64</v>
      </c>
      <c r="AG160" s="553" t="str">
        <f t="shared" si="118"/>
        <v>-</v>
      </c>
      <c r="AH160" s="32" t="s">
        <v>64</v>
      </c>
      <c r="AI160" s="9" t="s">
        <v>64</v>
      </c>
      <c r="AJ160" s="9" t="s">
        <v>64</v>
      </c>
      <c r="AK160" s="9" t="s">
        <v>64</v>
      </c>
      <c r="AL160" s="9" t="s">
        <v>64</v>
      </c>
      <c r="AM160" s="9" t="s">
        <v>64</v>
      </c>
      <c r="AN160" s="9" t="s">
        <v>64</v>
      </c>
      <c r="AO160" s="9" t="s">
        <v>64</v>
      </c>
      <c r="AP160" s="9" t="s">
        <v>64</v>
      </c>
      <c r="AQ160" s="9" t="s">
        <v>64</v>
      </c>
      <c r="AR160" s="9" t="s">
        <v>64</v>
      </c>
      <c r="AS160" s="6" t="s">
        <v>64</v>
      </c>
      <c r="AT160" s="6" t="s">
        <v>64</v>
      </c>
      <c r="AU160" s="9" t="s">
        <v>64</v>
      </c>
      <c r="AV160" s="8" t="str">
        <f t="shared" si="120"/>
        <v>-</v>
      </c>
      <c r="AW160" s="9" t="str">
        <f t="shared" si="121"/>
        <v>-</v>
      </c>
      <c r="AX160" s="8">
        <v>0.63846371882086173</v>
      </c>
      <c r="AY160" s="789">
        <v>3.192318594104309E-2</v>
      </c>
      <c r="AZ160" s="6">
        <v>165.06167695473252</v>
      </c>
      <c r="BA160" s="48">
        <v>16.506167695473252</v>
      </c>
      <c r="BB160" s="6" t="s">
        <v>64</v>
      </c>
      <c r="BC160" s="48" t="s">
        <v>64</v>
      </c>
      <c r="BD160" s="849" t="s">
        <v>1007</v>
      </c>
      <c r="BE160" s="48" t="s">
        <v>1007</v>
      </c>
      <c r="BF160" s="668" t="s">
        <v>1007</v>
      </c>
      <c r="BG160" s="48" t="s">
        <v>64</v>
      </c>
      <c r="BH160" s="48" t="s">
        <v>64</v>
      </c>
      <c r="BI160" s="850" t="str">
        <f t="shared" si="122"/>
        <v>-</v>
      </c>
      <c r="BJ160" s="789" t="str">
        <f t="shared" si="123"/>
        <v>-</v>
      </c>
      <c r="BK160" s="67" t="s">
        <v>64</v>
      </c>
      <c r="BL160" s="48" t="s">
        <v>64</v>
      </c>
      <c r="BM160" s="48" t="s">
        <v>64</v>
      </c>
      <c r="BN160" s="850" t="str">
        <f t="shared" si="124"/>
        <v>-</v>
      </c>
      <c r="BO160" s="789" t="str">
        <f t="shared" si="125"/>
        <v>-</v>
      </c>
      <c r="BP160" s="789" t="str">
        <f t="shared" si="126"/>
        <v>-</v>
      </c>
      <c r="BQ160" s="34" t="s">
        <v>64</v>
      </c>
      <c r="BR160" s="45" t="s">
        <v>64</v>
      </c>
      <c r="BS160" s="854" t="s">
        <v>64</v>
      </c>
      <c r="BT160" s="605"/>
      <c r="BU160" s="599" t="s">
        <v>64</v>
      </c>
      <c r="BV160" s="851" t="s">
        <v>64</v>
      </c>
      <c r="BW160" s="851" t="s">
        <v>64</v>
      </c>
      <c r="BX160" s="851" t="s">
        <v>64</v>
      </c>
      <c r="BY160" s="851" t="s">
        <v>64</v>
      </c>
      <c r="BZ160" s="851" t="s">
        <v>64</v>
      </c>
      <c r="CA160" s="851" t="s">
        <v>64</v>
      </c>
      <c r="CB160" s="851" t="s">
        <v>64</v>
      </c>
      <c r="CC160" s="851" t="s">
        <v>64</v>
      </c>
      <c r="CD160" s="851" t="s">
        <v>64</v>
      </c>
      <c r="CE160" s="852" t="s">
        <v>64</v>
      </c>
      <c r="CF160" s="852" t="s">
        <v>64</v>
      </c>
      <c r="CG160" s="605"/>
      <c r="CH160" s="584" t="s">
        <v>64</v>
      </c>
      <c r="CI160" s="576" t="s">
        <v>64</v>
      </c>
      <c r="CJ160" s="576" t="s">
        <v>64</v>
      </c>
      <c r="CK160" s="576" t="s">
        <v>64</v>
      </c>
      <c r="CL160" s="576" t="s">
        <v>64</v>
      </c>
      <c r="CM160" s="576" t="s">
        <v>64</v>
      </c>
      <c r="CN160" s="576" t="s">
        <v>64</v>
      </c>
      <c r="CO160" s="576" t="s">
        <v>64</v>
      </c>
      <c r="CP160" s="576" t="s">
        <v>64</v>
      </c>
      <c r="CQ160" s="576" t="s">
        <v>64</v>
      </c>
      <c r="CR160" s="792" t="s">
        <v>64</v>
      </c>
      <c r="CS160" s="793" t="s">
        <v>64</v>
      </c>
      <c r="CT160" s="855" t="s">
        <v>64</v>
      </c>
      <c r="CU160" s="576">
        <v>0.63846371882086173</v>
      </c>
      <c r="CV160" s="591">
        <v>168.05555555555557</v>
      </c>
      <c r="CW160" s="605"/>
      <c r="CX160" s="936" t="s">
        <v>1007</v>
      </c>
      <c r="CY160" s="934" t="s">
        <v>64</v>
      </c>
      <c r="CZ160" s="934" t="s">
        <v>64</v>
      </c>
      <c r="DA160" s="938" t="str">
        <f t="shared" si="128"/>
        <v>-</v>
      </c>
      <c r="DB160" s="936" t="s">
        <v>1007</v>
      </c>
      <c r="DC160" s="934" t="s">
        <v>64</v>
      </c>
      <c r="DD160" s="934" t="s">
        <v>64</v>
      </c>
      <c r="DE160" s="939" t="str">
        <f t="shared" si="129"/>
        <v>-</v>
      </c>
      <c r="DF160" s="19"/>
    </row>
    <row r="161" spans="1:110">
      <c r="A161" s="846" t="s">
        <v>146</v>
      </c>
      <c r="B161" s="41" t="s">
        <v>156</v>
      </c>
      <c r="C161" s="41" t="s">
        <v>1490</v>
      </c>
      <c r="D161" s="34">
        <v>1500</v>
      </c>
      <c r="E161" s="535">
        <v>19.42567</v>
      </c>
      <c r="F161" s="537">
        <v>-155.25163000000001</v>
      </c>
      <c r="G161" s="37" t="s">
        <v>405</v>
      </c>
      <c r="H161" s="37" t="s">
        <v>64</v>
      </c>
      <c r="I161" s="202" t="s">
        <v>779</v>
      </c>
      <c r="J161" t="s">
        <v>876</v>
      </c>
      <c r="K161" s="34">
        <v>2001</v>
      </c>
      <c r="L161" s="51">
        <v>75</v>
      </c>
      <c r="M161" s="52">
        <v>60</v>
      </c>
      <c r="N161" s="838">
        <f t="shared" si="112"/>
        <v>159038.43750000003</v>
      </c>
      <c r="O161" s="54">
        <v>159038.43750000003</v>
      </c>
      <c r="P161" s="53" t="s">
        <v>151</v>
      </c>
      <c r="Q161" s="54" t="s">
        <v>151</v>
      </c>
      <c r="R161" s="772">
        <f t="shared" si="113"/>
        <v>0</v>
      </c>
      <c r="S161" s="33" t="s">
        <v>64</v>
      </c>
      <c r="T161" s="37" t="s">
        <v>132</v>
      </c>
      <c r="U161" s="853" t="s">
        <v>64</v>
      </c>
      <c r="V161" s="552">
        <v>0.44800000000000001</v>
      </c>
      <c r="W161" s="847">
        <v>0.25</v>
      </c>
      <c r="X161" s="556" t="s">
        <v>64</v>
      </c>
      <c r="Y161" s="784" t="s">
        <v>64</v>
      </c>
      <c r="Z161" s="784" t="s">
        <v>64</v>
      </c>
      <c r="AA161" s="785" t="s">
        <v>64</v>
      </c>
      <c r="AB161" s="32" t="str">
        <f t="shared" si="114"/>
        <v>-</v>
      </c>
      <c r="AC161" s="6" t="str">
        <f t="shared" si="115"/>
        <v>-</v>
      </c>
      <c r="AD161" s="6" t="str">
        <f t="shared" si="116"/>
        <v>-</v>
      </c>
      <c r="AE161" s="6" t="str">
        <f t="shared" si="117"/>
        <v>-</v>
      </c>
      <c r="AF161" s="839" t="s">
        <v>64</v>
      </c>
      <c r="AG161" s="553" t="str">
        <f t="shared" si="118"/>
        <v>-</v>
      </c>
      <c r="AH161" s="32" t="s">
        <v>64</v>
      </c>
      <c r="AI161" s="9" t="s">
        <v>64</v>
      </c>
      <c r="AJ161" s="9" t="s">
        <v>64</v>
      </c>
      <c r="AK161" s="9" t="s">
        <v>64</v>
      </c>
      <c r="AL161" s="9" t="s">
        <v>64</v>
      </c>
      <c r="AM161" s="9" t="s">
        <v>64</v>
      </c>
      <c r="AN161" s="9" t="s">
        <v>64</v>
      </c>
      <c r="AO161" s="9" t="s">
        <v>64</v>
      </c>
      <c r="AP161" s="9" t="s">
        <v>64</v>
      </c>
      <c r="AQ161" s="9" t="s">
        <v>64</v>
      </c>
      <c r="AR161" s="9" t="s">
        <v>64</v>
      </c>
      <c r="AS161" s="6" t="s">
        <v>64</v>
      </c>
      <c r="AT161" s="6" t="s">
        <v>64</v>
      </c>
      <c r="AU161" s="9" t="s">
        <v>64</v>
      </c>
      <c r="AV161" s="8" t="str">
        <f t="shared" si="120"/>
        <v>-</v>
      </c>
      <c r="AW161" s="9" t="str">
        <f t="shared" si="121"/>
        <v>-</v>
      </c>
      <c r="AX161" s="8">
        <v>0.5669557823129252</v>
      </c>
      <c r="AY161" s="789">
        <v>2.8347789115646262E-2</v>
      </c>
      <c r="AZ161" s="6">
        <v>167.20533509700175</v>
      </c>
      <c r="BA161" s="48">
        <v>16.720533509700175</v>
      </c>
      <c r="BB161" s="6" t="s">
        <v>151</v>
      </c>
      <c r="BC161" s="48" t="s">
        <v>151</v>
      </c>
      <c r="BD161" s="849">
        <v>167.20533509700175</v>
      </c>
      <c r="BE161" s="48">
        <v>16.720533509700175</v>
      </c>
      <c r="BF161" s="668">
        <v>447.73119162538359</v>
      </c>
      <c r="BG161" s="48">
        <v>38.971735931495232</v>
      </c>
      <c r="BH161" s="48">
        <v>39.228308493950578</v>
      </c>
      <c r="BI161" s="850">
        <f t="shared" si="122"/>
        <v>1.907105594738506</v>
      </c>
      <c r="BJ161" s="789">
        <f t="shared" si="123"/>
        <v>0.15833403268385382</v>
      </c>
      <c r="BK161" s="67" t="s">
        <v>64</v>
      </c>
      <c r="BL161" s="48" t="s">
        <v>64</v>
      </c>
      <c r="BM161" s="48" t="s">
        <v>64</v>
      </c>
      <c r="BN161" s="850" t="str">
        <f t="shared" si="124"/>
        <v>-</v>
      </c>
      <c r="BO161" s="789" t="str">
        <f t="shared" si="125"/>
        <v>-</v>
      </c>
      <c r="BP161" s="789" t="str">
        <f t="shared" si="126"/>
        <v>-</v>
      </c>
      <c r="BQ161" s="34" t="s">
        <v>64</v>
      </c>
      <c r="BR161" s="45" t="s">
        <v>64</v>
      </c>
      <c r="BS161" s="854" t="s">
        <v>64</v>
      </c>
      <c r="BT161" s="605"/>
      <c r="BU161" s="599" t="s">
        <v>64</v>
      </c>
      <c r="BV161" s="851" t="s">
        <v>64</v>
      </c>
      <c r="BW161" s="851" t="s">
        <v>64</v>
      </c>
      <c r="BX161" s="851" t="s">
        <v>64</v>
      </c>
      <c r="BY161" s="851" t="s">
        <v>64</v>
      </c>
      <c r="BZ161" s="851" t="s">
        <v>64</v>
      </c>
      <c r="CA161" s="851" t="s">
        <v>64</v>
      </c>
      <c r="CB161" s="851" t="s">
        <v>64</v>
      </c>
      <c r="CC161" s="851" t="s">
        <v>64</v>
      </c>
      <c r="CD161" s="851" t="s">
        <v>64</v>
      </c>
      <c r="CE161" s="852" t="s">
        <v>64</v>
      </c>
      <c r="CF161" s="852" t="s">
        <v>64</v>
      </c>
      <c r="CG161" s="605"/>
      <c r="CH161" s="584" t="s">
        <v>64</v>
      </c>
      <c r="CI161" s="576" t="s">
        <v>64</v>
      </c>
      <c r="CJ161" s="576" t="s">
        <v>64</v>
      </c>
      <c r="CK161" s="576" t="s">
        <v>64</v>
      </c>
      <c r="CL161" s="576" t="s">
        <v>64</v>
      </c>
      <c r="CM161" s="576" t="s">
        <v>64</v>
      </c>
      <c r="CN161" s="576" t="s">
        <v>64</v>
      </c>
      <c r="CO161" s="576" t="s">
        <v>64</v>
      </c>
      <c r="CP161" s="576" t="s">
        <v>64</v>
      </c>
      <c r="CQ161" s="576" t="s">
        <v>64</v>
      </c>
      <c r="CR161" s="792" t="s">
        <v>64</v>
      </c>
      <c r="CS161" s="793" t="s">
        <v>64</v>
      </c>
      <c r="CT161" s="855" t="s">
        <v>64</v>
      </c>
      <c r="CU161" s="576">
        <v>0.5669557823129252</v>
      </c>
      <c r="CV161" s="591">
        <v>170.23809523809524</v>
      </c>
      <c r="CW161" s="605"/>
      <c r="CX161" s="936">
        <v>390.21958091115789</v>
      </c>
      <c r="CY161" s="934">
        <v>35.6595754612257</v>
      </c>
      <c r="CZ161" s="934">
        <v>35.752513752787593</v>
      </c>
      <c r="DA161" s="938">
        <f t="shared" si="128"/>
        <v>1.6720883257341628</v>
      </c>
      <c r="DB161" s="936">
        <v>371.39993706298009</v>
      </c>
      <c r="DC161" s="934">
        <v>32.092561526499992</v>
      </c>
      <c r="DD161" s="934">
        <v>32.514658171450776</v>
      </c>
      <c r="DE161" s="939">
        <f t="shared" si="129"/>
        <v>1.5945825527650335</v>
      </c>
      <c r="DF161" s="19"/>
    </row>
    <row r="162" spans="1:110">
      <c r="A162" s="846" t="s">
        <v>147</v>
      </c>
      <c r="B162" s="41" t="s">
        <v>156</v>
      </c>
      <c r="C162" s="41" t="s">
        <v>1490</v>
      </c>
      <c r="D162" s="34">
        <v>1500</v>
      </c>
      <c r="E162" s="535">
        <v>19.42567</v>
      </c>
      <c r="F162" s="537">
        <v>-155.25163000000001</v>
      </c>
      <c r="G162" s="37" t="s">
        <v>405</v>
      </c>
      <c r="H162" s="37" t="s">
        <v>64</v>
      </c>
      <c r="I162" s="202" t="s">
        <v>779</v>
      </c>
      <c r="J162" t="s">
        <v>876</v>
      </c>
      <c r="K162" s="34">
        <v>2001</v>
      </c>
      <c r="L162" s="51">
        <v>68</v>
      </c>
      <c r="M162" s="52">
        <v>57</v>
      </c>
      <c r="N162" s="838">
        <f t="shared" si="112"/>
        <v>126838.0625</v>
      </c>
      <c r="O162" s="54">
        <v>126838.0625</v>
      </c>
      <c r="P162" s="53" t="s">
        <v>151</v>
      </c>
      <c r="Q162" s="54" t="s">
        <v>151</v>
      </c>
      <c r="R162" s="772">
        <f t="shared" si="113"/>
        <v>0</v>
      </c>
      <c r="S162" s="33" t="s">
        <v>64</v>
      </c>
      <c r="T162" s="37" t="s">
        <v>132</v>
      </c>
      <c r="U162" s="853" t="s">
        <v>64</v>
      </c>
      <c r="V162" s="552">
        <v>0.44800000000000001</v>
      </c>
      <c r="W162" s="847">
        <v>0.25</v>
      </c>
      <c r="X162" s="556" t="s">
        <v>64</v>
      </c>
      <c r="Y162" s="784" t="s">
        <v>64</v>
      </c>
      <c r="Z162" s="784" t="s">
        <v>64</v>
      </c>
      <c r="AA162" s="785" t="s">
        <v>64</v>
      </c>
      <c r="AB162" s="32" t="str">
        <f t="shared" si="114"/>
        <v>-</v>
      </c>
      <c r="AC162" s="6" t="str">
        <f t="shared" si="115"/>
        <v>-</v>
      </c>
      <c r="AD162" s="6" t="str">
        <f t="shared" si="116"/>
        <v>-</v>
      </c>
      <c r="AE162" s="6" t="str">
        <f t="shared" si="117"/>
        <v>-</v>
      </c>
      <c r="AF162" s="839" t="s">
        <v>64</v>
      </c>
      <c r="AG162" s="553" t="str">
        <f t="shared" si="118"/>
        <v>-</v>
      </c>
      <c r="AH162" s="32" t="s">
        <v>64</v>
      </c>
      <c r="AI162" s="9" t="s">
        <v>64</v>
      </c>
      <c r="AJ162" s="9" t="s">
        <v>64</v>
      </c>
      <c r="AK162" s="9" t="s">
        <v>64</v>
      </c>
      <c r="AL162" s="9" t="s">
        <v>64</v>
      </c>
      <c r="AM162" s="9" t="s">
        <v>64</v>
      </c>
      <c r="AN162" s="9" t="s">
        <v>64</v>
      </c>
      <c r="AO162" s="9" t="s">
        <v>64</v>
      </c>
      <c r="AP162" s="9" t="s">
        <v>64</v>
      </c>
      <c r="AQ162" s="9" t="s">
        <v>64</v>
      </c>
      <c r="AR162" s="9" t="s">
        <v>64</v>
      </c>
      <c r="AS162" s="6" t="s">
        <v>64</v>
      </c>
      <c r="AT162" s="6" t="s">
        <v>64</v>
      </c>
      <c r="AU162" s="9" t="s">
        <v>64</v>
      </c>
      <c r="AV162" s="8" t="str">
        <f t="shared" si="120"/>
        <v>-</v>
      </c>
      <c r="AW162" s="9" t="str">
        <f t="shared" si="121"/>
        <v>-</v>
      </c>
      <c r="AX162" s="8">
        <v>0.43313378684807258</v>
      </c>
      <c r="AY162" s="789">
        <v>2.165668934240363E-2</v>
      </c>
      <c r="AZ162" s="6">
        <v>100.75193268665491</v>
      </c>
      <c r="BA162" s="48">
        <v>10.075193268665492</v>
      </c>
      <c r="BB162" s="6" t="s">
        <v>151</v>
      </c>
      <c r="BC162" s="48" t="s">
        <v>151</v>
      </c>
      <c r="BD162" s="849">
        <v>100.75193268665491</v>
      </c>
      <c r="BE162" s="48">
        <v>10.075193268665492</v>
      </c>
      <c r="BF162" s="668">
        <v>277.61341917810648</v>
      </c>
      <c r="BG162" s="48">
        <v>24.558135172239929</v>
      </c>
      <c r="BH162" s="48">
        <v>24.660254244287273</v>
      </c>
      <c r="BI162" s="850">
        <f t="shared" si="122"/>
        <v>1.2037991716815515</v>
      </c>
      <c r="BJ162" s="789">
        <f t="shared" si="123"/>
        <v>0.10333567828756762</v>
      </c>
      <c r="BK162" s="67" t="s">
        <v>64</v>
      </c>
      <c r="BL162" s="48" t="s">
        <v>64</v>
      </c>
      <c r="BM162" s="48" t="s">
        <v>64</v>
      </c>
      <c r="BN162" s="850" t="str">
        <f t="shared" si="124"/>
        <v>-</v>
      </c>
      <c r="BO162" s="789" t="str">
        <f t="shared" si="125"/>
        <v>-</v>
      </c>
      <c r="BP162" s="789" t="str">
        <f t="shared" si="126"/>
        <v>-</v>
      </c>
      <c r="BQ162" s="34" t="s">
        <v>64</v>
      </c>
      <c r="BR162" s="45" t="s">
        <v>64</v>
      </c>
      <c r="BS162" s="854" t="s">
        <v>64</v>
      </c>
      <c r="BT162" s="605"/>
      <c r="BU162" s="599" t="s">
        <v>64</v>
      </c>
      <c r="BV162" s="851" t="s">
        <v>64</v>
      </c>
      <c r="BW162" s="851" t="s">
        <v>64</v>
      </c>
      <c r="BX162" s="851" t="s">
        <v>64</v>
      </c>
      <c r="BY162" s="851" t="s">
        <v>64</v>
      </c>
      <c r="BZ162" s="851" t="s">
        <v>64</v>
      </c>
      <c r="CA162" s="851" t="s">
        <v>64</v>
      </c>
      <c r="CB162" s="851" t="s">
        <v>64</v>
      </c>
      <c r="CC162" s="851" t="s">
        <v>64</v>
      </c>
      <c r="CD162" s="851" t="s">
        <v>64</v>
      </c>
      <c r="CE162" s="852" t="s">
        <v>64</v>
      </c>
      <c r="CF162" s="852" t="s">
        <v>64</v>
      </c>
      <c r="CG162" s="605"/>
      <c r="CH162" s="584" t="s">
        <v>64</v>
      </c>
      <c r="CI162" s="576" t="s">
        <v>64</v>
      </c>
      <c r="CJ162" s="576" t="s">
        <v>64</v>
      </c>
      <c r="CK162" s="576" t="s">
        <v>64</v>
      </c>
      <c r="CL162" s="576" t="s">
        <v>64</v>
      </c>
      <c r="CM162" s="576" t="s">
        <v>64</v>
      </c>
      <c r="CN162" s="576" t="s">
        <v>64</v>
      </c>
      <c r="CO162" s="576" t="s">
        <v>64</v>
      </c>
      <c r="CP162" s="576" t="s">
        <v>64</v>
      </c>
      <c r="CQ162" s="576" t="s">
        <v>64</v>
      </c>
      <c r="CR162" s="792" t="s">
        <v>64</v>
      </c>
      <c r="CS162" s="793" t="s">
        <v>64</v>
      </c>
      <c r="CT162" s="855" t="s">
        <v>64</v>
      </c>
      <c r="CU162" s="576">
        <v>0.43313378684807258</v>
      </c>
      <c r="CV162" s="591">
        <v>102.57936507936509</v>
      </c>
      <c r="CW162" s="605"/>
      <c r="CX162" s="936">
        <v>234.7972357930748</v>
      </c>
      <c r="CY162" s="934">
        <v>21.690397023768099</v>
      </c>
      <c r="CZ162" s="934">
        <v>21.721114005964694</v>
      </c>
      <c r="DA162" s="938">
        <f t="shared" si="128"/>
        <v>1.0228200601069948</v>
      </c>
      <c r="DB162" s="936">
        <v>239.0783823381561</v>
      </c>
      <c r="DC162" s="934">
        <v>20.658694116963119</v>
      </c>
      <c r="DD162" s="934">
        <v>20.930407095331191</v>
      </c>
      <c r="DE162" s="939">
        <f t="shared" si="129"/>
        <v>1.0409901161208142</v>
      </c>
      <c r="DF162" s="19"/>
    </row>
    <row r="163" spans="1:110">
      <c r="A163" s="846" t="s">
        <v>148</v>
      </c>
      <c r="B163" s="41" t="s">
        <v>156</v>
      </c>
      <c r="C163" s="41" t="s">
        <v>1490</v>
      </c>
      <c r="D163" s="34">
        <v>1500</v>
      </c>
      <c r="E163" s="535">
        <v>19.42567</v>
      </c>
      <c r="F163" s="537">
        <v>-155.25163000000001</v>
      </c>
      <c r="G163" s="37" t="s">
        <v>405</v>
      </c>
      <c r="H163" s="37" t="s">
        <v>64</v>
      </c>
      <c r="I163" s="202" t="s">
        <v>779</v>
      </c>
      <c r="J163" t="s">
        <v>876</v>
      </c>
      <c r="K163" s="34">
        <v>2001</v>
      </c>
      <c r="L163" s="51">
        <v>120</v>
      </c>
      <c r="M163" s="52">
        <v>110</v>
      </c>
      <c r="N163" s="838">
        <f t="shared" si="112"/>
        <v>794799.5</v>
      </c>
      <c r="O163" s="54">
        <v>789950.45173918421</v>
      </c>
      <c r="P163" s="53">
        <v>21</v>
      </c>
      <c r="Q163" s="54">
        <v>4849.0482608158454</v>
      </c>
      <c r="R163" s="772">
        <f t="shared" si="113"/>
        <v>6.1009704470320449E-3</v>
      </c>
      <c r="S163" s="33" t="s">
        <v>86</v>
      </c>
      <c r="T163" s="37" t="s">
        <v>132</v>
      </c>
      <c r="U163" s="853">
        <v>84.040474515707672</v>
      </c>
      <c r="V163" s="552">
        <v>0.54</v>
      </c>
      <c r="W163" s="847">
        <v>0.40200000000000002</v>
      </c>
      <c r="X163" s="556" t="s">
        <v>423</v>
      </c>
      <c r="Y163" s="784" t="s">
        <v>64</v>
      </c>
      <c r="Z163" s="784" t="s">
        <v>64</v>
      </c>
      <c r="AA163" s="785" t="s">
        <v>64</v>
      </c>
      <c r="AB163" s="32" t="str">
        <f t="shared" si="114"/>
        <v>-</v>
      </c>
      <c r="AC163" s="6" t="str">
        <f t="shared" si="115"/>
        <v>-</v>
      </c>
      <c r="AD163" s="6" t="str">
        <f t="shared" si="116"/>
        <v>-</v>
      </c>
      <c r="AE163" s="6">
        <f t="shared" si="117"/>
        <v>1192.1024060961208</v>
      </c>
      <c r="AF163" s="839" t="s">
        <v>64</v>
      </c>
      <c r="AG163" s="553" t="str">
        <f t="shared" si="118"/>
        <v>-</v>
      </c>
      <c r="AH163" s="32" t="s">
        <v>64</v>
      </c>
      <c r="AI163" s="9" t="s">
        <v>64</v>
      </c>
      <c r="AJ163" s="9" t="s">
        <v>64</v>
      </c>
      <c r="AK163" s="9" t="s">
        <v>64</v>
      </c>
      <c r="AL163" s="9" t="s">
        <v>64</v>
      </c>
      <c r="AM163" s="9" t="s">
        <v>64</v>
      </c>
      <c r="AN163" s="9" t="s">
        <v>64</v>
      </c>
      <c r="AO163" s="9" t="s">
        <v>64</v>
      </c>
      <c r="AP163" s="9" t="s">
        <v>64</v>
      </c>
      <c r="AQ163" s="9" t="s">
        <v>64</v>
      </c>
      <c r="AR163" s="9" t="s">
        <v>64</v>
      </c>
      <c r="AS163" s="6" t="s">
        <v>64</v>
      </c>
      <c r="AT163" s="6" t="s">
        <v>64</v>
      </c>
      <c r="AU163" s="9" t="s">
        <v>64</v>
      </c>
      <c r="AV163" s="8" t="str">
        <f t="shared" si="120"/>
        <v>-</v>
      </c>
      <c r="AW163" s="9" t="str">
        <f t="shared" si="121"/>
        <v>-</v>
      </c>
      <c r="AX163" s="8">
        <v>0.42904761904761907</v>
      </c>
      <c r="AY163" s="789">
        <v>2.1452380952380955E-2</v>
      </c>
      <c r="AZ163" s="6">
        <v>176.85179673721339</v>
      </c>
      <c r="BA163" s="48">
        <v>17.68517967372134</v>
      </c>
      <c r="BB163" s="6" t="s">
        <v>64</v>
      </c>
      <c r="BC163" s="48" t="s">
        <v>64</v>
      </c>
      <c r="BD163" s="849" t="s">
        <v>1007</v>
      </c>
      <c r="BE163" s="48" t="s">
        <v>1007</v>
      </c>
      <c r="BF163" s="668" t="s">
        <v>1007</v>
      </c>
      <c r="BG163" s="48" t="s">
        <v>64</v>
      </c>
      <c r="BH163" s="48" t="s">
        <v>64</v>
      </c>
      <c r="BI163" s="850" t="str">
        <f t="shared" si="122"/>
        <v>-</v>
      </c>
      <c r="BJ163" s="789" t="str">
        <f t="shared" si="123"/>
        <v>-</v>
      </c>
      <c r="BK163" s="67" t="s">
        <v>64</v>
      </c>
      <c r="BL163" s="48" t="s">
        <v>64</v>
      </c>
      <c r="BM163" s="48" t="s">
        <v>64</v>
      </c>
      <c r="BN163" s="850" t="str">
        <f t="shared" si="124"/>
        <v>-</v>
      </c>
      <c r="BO163" s="789" t="str">
        <f t="shared" si="125"/>
        <v>-</v>
      </c>
      <c r="BP163" s="789" t="str">
        <f t="shared" si="126"/>
        <v>-</v>
      </c>
      <c r="BQ163" s="34" t="s">
        <v>64</v>
      </c>
      <c r="BR163" s="45" t="s">
        <v>64</v>
      </c>
      <c r="BS163" s="854" t="s">
        <v>64</v>
      </c>
      <c r="BT163" s="605"/>
      <c r="BU163" s="599" t="s">
        <v>64</v>
      </c>
      <c r="BV163" s="851" t="s">
        <v>64</v>
      </c>
      <c r="BW163" s="851" t="s">
        <v>64</v>
      </c>
      <c r="BX163" s="851" t="s">
        <v>64</v>
      </c>
      <c r="BY163" s="851" t="s">
        <v>64</v>
      </c>
      <c r="BZ163" s="851" t="s">
        <v>64</v>
      </c>
      <c r="CA163" s="851" t="s">
        <v>64</v>
      </c>
      <c r="CB163" s="851" t="s">
        <v>64</v>
      </c>
      <c r="CC163" s="851" t="s">
        <v>64</v>
      </c>
      <c r="CD163" s="851" t="s">
        <v>64</v>
      </c>
      <c r="CE163" s="852" t="s">
        <v>64</v>
      </c>
      <c r="CF163" s="852" t="s">
        <v>64</v>
      </c>
      <c r="CG163" s="605"/>
      <c r="CH163" s="584" t="s">
        <v>64</v>
      </c>
      <c r="CI163" s="576" t="s">
        <v>64</v>
      </c>
      <c r="CJ163" s="576" t="s">
        <v>64</v>
      </c>
      <c r="CK163" s="576" t="s">
        <v>64</v>
      </c>
      <c r="CL163" s="576" t="s">
        <v>64</v>
      </c>
      <c r="CM163" s="576" t="s">
        <v>64</v>
      </c>
      <c r="CN163" s="576" t="s">
        <v>64</v>
      </c>
      <c r="CO163" s="576" t="s">
        <v>64</v>
      </c>
      <c r="CP163" s="576" t="s">
        <v>64</v>
      </c>
      <c r="CQ163" s="576" t="s">
        <v>64</v>
      </c>
      <c r="CR163" s="792" t="s">
        <v>64</v>
      </c>
      <c r="CS163" s="793" t="s">
        <v>64</v>
      </c>
      <c r="CT163" s="855" t="s">
        <v>64</v>
      </c>
      <c r="CU163" s="576">
        <v>0.42904761904761907</v>
      </c>
      <c r="CV163" s="591">
        <v>180.0595238095238</v>
      </c>
      <c r="CW163" s="605"/>
      <c r="CX163" s="936" t="s">
        <v>1007</v>
      </c>
      <c r="CY163" s="934" t="s">
        <v>64</v>
      </c>
      <c r="CZ163" s="934" t="s">
        <v>64</v>
      </c>
      <c r="DA163" s="938" t="str">
        <f t="shared" si="128"/>
        <v>-</v>
      </c>
      <c r="DB163" s="936" t="s">
        <v>1007</v>
      </c>
      <c r="DC163" s="934" t="s">
        <v>64</v>
      </c>
      <c r="DD163" s="934" t="s">
        <v>64</v>
      </c>
      <c r="DE163" s="939" t="str">
        <f t="shared" si="129"/>
        <v>-</v>
      </c>
      <c r="DF163" s="19"/>
    </row>
    <row r="164" spans="1:110">
      <c r="A164" s="846" t="s">
        <v>149</v>
      </c>
      <c r="B164" s="41" t="s">
        <v>156</v>
      </c>
      <c r="C164" s="41" t="s">
        <v>1490</v>
      </c>
      <c r="D164" s="34">
        <v>1500</v>
      </c>
      <c r="E164" s="535">
        <v>19.42567</v>
      </c>
      <c r="F164" s="537">
        <v>-155.25163000000001</v>
      </c>
      <c r="G164" s="37" t="s">
        <v>405</v>
      </c>
      <c r="H164" s="37" t="s">
        <v>64</v>
      </c>
      <c r="I164" s="202" t="s">
        <v>779</v>
      </c>
      <c r="J164" t="s">
        <v>876</v>
      </c>
      <c r="K164" s="34">
        <v>2001</v>
      </c>
      <c r="L164" s="51">
        <v>122</v>
      </c>
      <c r="M164" s="52">
        <v>102</v>
      </c>
      <c r="N164" s="838">
        <f t="shared" si="112"/>
        <v>729732.75200000009</v>
      </c>
      <c r="O164" s="54">
        <v>729732.75200000009</v>
      </c>
      <c r="P164" s="53" t="s">
        <v>151</v>
      </c>
      <c r="Q164" s="54" t="s">
        <v>151</v>
      </c>
      <c r="R164" s="772">
        <f t="shared" si="113"/>
        <v>0</v>
      </c>
      <c r="S164" s="33" t="s">
        <v>86</v>
      </c>
      <c r="T164" s="37" t="s">
        <v>132</v>
      </c>
      <c r="U164" s="853">
        <v>84.040474515707672</v>
      </c>
      <c r="V164" s="552">
        <v>0.54</v>
      </c>
      <c r="W164" s="847">
        <v>0.40200000000000002</v>
      </c>
      <c r="X164" s="556" t="s">
        <v>64</v>
      </c>
      <c r="Y164" s="784" t="s">
        <v>64</v>
      </c>
      <c r="Z164" s="784" t="s">
        <v>64</v>
      </c>
      <c r="AA164" s="785" t="s">
        <v>64</v>
      </c>
      <c r="AB164" s="32" t="str">
        <f t="shared" si="114"/>
        <v>-</v>
      </c>
      <c r="AC164" s="6" t="str">
        <f t="shared" si="115"/>
        <v>-</v>
      </c>
      <c r="AD164" s="6" t="str">
        <f t="shared" si="116"/>
        <v>-</v>
      </c>
      <c r="AE164" s="6">
        <f t="shared" si="117"/>
        <v>1192.1024060961208</v>
      </c>
      <c r="AF164" s="839" t="s">
        <v>64</v>
      </c>
      <c r="AG164" s="553" t="str">
        <f t="shared" si="118"/>
        <v>-</v>
      </c>
      <c r="AH164" s="32" t="s">
        <v>64</v>
      </c>
      <c r="AI164" s="9" t="s">
        <v>64</v>
      </c>
      <c r="AJ164" s="9" t="s">
        <v>64</v>
      </c>
      <c r="AK164" s="9" t="s">
        <v>64</v>
      </c>
      <c r="AL164" s="9" t="s">
        <v>64</v>
      </c>
      <c r="AM164" s="9" t="s">
        <v>64</v>
      </c>
      <c r="AN164" s="9" t="s">
        <v>64</v>
      </c>
      <c r="AO164" s="9" t="s">
        <v>64</v>
      </c>
      <c r="AP164" s="9" t="s">
        <v>64</v>
      </c>
      <c r="AQ164" s="9" t="s">
        <v>64</v>
      </c>
      <c r="AR164" s="9" t="s">
        <v>64</v>
      </c>
      <c r="AS164" s="6" t="s">
        <v>64</v>
      </c>
      <c r="AT164" s="6" t="s">
        <v>64</v>
      </c>
      <c r="AU164" s="9" t="s">
        <v>64</v>
      </c>
      <c r="AV164" s="8" t="str">
        <f t="shared" si="120"/>
        <v>-</v>
      </c>
      <c r="AW164" s="9" t="str">
        <f t="shared" si="121"/>
        <v>-</v>
      </c>
      <c r="AX164" s="8">
        <v>0.47582348728965262</v>
      </c>
      <c r="AY164" s="789">
        <v>2.3791174364482633E-2</v>
      </c>
      <c r="AZ164" s="6">
        <v>169.23616912651997</v>
      </c>
      <c r="BA164" s="48">
        <v>16.923616912651998</v>
      </c>
      <c r="BB164" s="6" t="s">
        <v>151</v>
      </c>
      <c r="BC164" s="48" t="s">
        <v>151</v>
      </c>
      <c r="BD164" s="849">
        <v>169.23616912651997</v>
      </c>
      <c r="BE164" s="48">
        <v>16.923616912651998</v>
      </c>
      <c r="BF164" s="668">
        <v>445.33056135445798</v>
      </c>
      <c r="BG164" s="48">
        <v>39.86112421461354</v>
      </c>
      <c r="BH164" s="48">
        <v>40.129370956306275</v>
      </c>
      <c r="BI164" s="850">
        <f t="shared" si="122"/>
        <v>1.8973502265709998</v>
      </c>
      <c r="BJ164" s="789">
        <f t="shared" si="123"/>
        <v>0.16202593169631718</v>
      </c>
      <c r="BK164" s="67" t="s">
        <v>64</v>
      </c>
      <c r="BL164" s="48" t="s">
        <v>64</v>
      </c>
      <c r="BM164" s="48" t="s">
        <v>64</v>
      </c>
      <c r="BN164" s="850" t="str">
        <f t="shared" si="124"/>
        <v>-</v>
      </c>
      <c r="BO164" s="789" t="str">
        <f t="shared" si="125"/>
        <v>-</v>
      </c>
      <c r="BP164" s="789" t="str">
        <f t="shared" si="126"/>
        <v>-</v>
      </c>
      <c r="BQ164" s="34" t="s">
        <v>64</v>
      </c>
      <c r="BR164" s="45" t="s">
        <v>64</v>
      </c>
      <c r="BS164" s="854" t="s">
        <v>64</v>
      </c>
      <c r="BT164" s="605"/>
      <c r="BU164" s="599" t="s">
        <v>64</v>
      </c>
      <c r="BV164" s="851" t="s">
        <v>64</v>
      </c>
      <c r="BW164" s="851" t="s">
        <v>64</v>
      </c>
      <c r="BX164" s="851" t="s">
        <v>64</v>
      </c>
      <c r="BY164" s="851" t="s">
        <v>64</v>
      </c>
      <c r="BZ164" s="851" t="s">
        <v>64</v>
      </c>
      <c r="CA164" s="851" t="s">
        <v>64</v>
      </c>
      <c r="CB164" s="851" t="s">
        <v>64</v>
      </c>
      <c r="CC164" s="851" t="s">
        <v>64</v>
      </c>
      <c r="CD164" s="851" t="s">
        <v>64</v>
      </c>
      <c r="CE164" s="852" t="s">
        <v>64</v>
      </c>
      <c r="CF164" s="852" t="s">
        <v>64</v>
      </c>
      <c r="CG164" s="605"/>
      <c r="CH164" s="584" t="s">
        <v>64</v>
      </c>
      <c r="CI164" s="576" t="s">
        <v>64</v>
      </c>
      <c r="CJ164" s="576" t="s">
        <v>64</v>
      </c>
      <c r="CK164" s="576" t="s">
        <v>64</v>
      </c>
      <c r="CL164" s="576" t="s">
        <v>64</v>
      </c>
      <c r="CM164" s="576" t="s">
        <v>64</v>
      </c>
      <c r="CN164" s="576" t="s">
        <v>64</v>
      </c>
      <c r="CO164" s="576" t="s">
        <v>64</v>
      </c>
      <c r="CP164" s="576" t="s">
        <v>64</v>
      </c>
      <c r="CQ164" s="576" t="s">
        <v>64</v>
      </c>
      <c r="CR164" s="792" t="s">
        <v>64</v>
      </c>
      <c r="CS164" s="793" t="s">
        <v>64</v>
      </c>
      <c r="CT164" s="855" t="s">
        <v>64</v>
      </c>
      <c r="CU164" s="576">
        <v>0.47582348728965262</v>
      </c>
      <c r="CV164" s="591">
        <v>172.30576441102752</v>
      </c>
      <c r="CW164" s="605"/>
      <c r="CX164" s="936">
        <v>385.30885969639672</v>
      </c>
      <c r="CY164" s="934">
        <v>36.055432105315958</v>
      </c>
      <c r="CZ164" s="934">
        <v>36.150102154448746</v>
      </c>
      <c r="DA164" s="938">
        <f t="shared" si="128"/>
        <v>1.6518931327225808</v>
      </c>
      <c r="DB164" s="936">
        <v>375.31939226858708</v>
      </c>
      <c r="DC164" s="934">
        <v>32.431240521254495</v>
      </c>
      <c r="DD164" s="934">
        <v>32.857791633552097</v>
      </c>
      <c r="DE164" s="939">
        <f t="shared" si="129"/>
        <v>1.6107489241823409</v>
      </c>
      <c r="DF164" s="19"/>
    </row>
    <row r="165" spans="1:110">
      <c r="A165" s="846" t="s">
        <v>25</v>
      </c>
      <c r="B165" s="41" t="s">
        <v>156</v>
      </c>
      <c r="C165" s="41" t="s">
        <v>1490</v>
      </c>
      <c r="D165" s="34">
        <v>1500</v>
      </c>
      <c r="E165" s="535">
        <v>19.42567</v>
      </c>
      <c r="F165" s="537">
        <v>-155.25163000000001</v>
      </c>
      <c r="G165" s="37" t="s">
        <v>405</v>
      </c>
      <c r="H165" s="37" t="s">
        <v>64</v>
      </c>
      <c r="I165" s="202" t="s">
        <v>779</v>
      </c>
      <c r="J165" t="s">
        <v>886</v>
      </c>
      <c r="K165" s="34">
        <v>2001</v>
      </c>
      <c r="L165" s="51">
        <v>160</v>
      </c>
      <c r="M165" s="52">
        <v>60</v>
      </c>
      <c r="N165" s="838">
        <f t="shared" si="112"/>
        <v>552904.00000000012</v>
      </c>
      <c r="O165" s="54">
        <v>538766.83305884607</v>
      </c>
      <c r="P165" s="53">
        <v>30</v>
      </c>
      <c r="Q165" s="54">
        <v>14137.166941154068</v>
      </c>
      <c r="R165" s="772">
        <f t="shared" si="113"/>
        <v>2.5568935911395224E-2</v>
      </c>
      <c r="S165" s="624" t="s">
        <v>87</v>
      </c>
      <c r="T165" s="37" t="s">
        <v>132</v>
      </c>
      <c r="U165" s="21">
        <v>84</v>
      </c>
      <c r="V165" s="552">
        <v>0.59</v>
      </c>
      <c r="W165" s="847">
        <v>0.51</v>
      </c>
      <c r="X165" s="556" t="s">
        <v>423</v>
      </c>
      <c r="Y165" s="784" t="s">
        <v>64</v>
      </c>
      <c r="Z165" s="784" t="s">
        <v>64</v>
      </c>
      <c r="AA165" s="785" t="s">
        <v>64</v>
      </c>
      <c r="AB165" s="32">
        <f t="shared" si="114"/>
        <v>1170.59410083791</v>
      </c>
      <c r="AC165" s="6">
        <f t="shared" si="115"/>
        <v>1169.7080000000001</v>
      </c>
      <c r="AD165" s="6">
        <f t="shared" si="116"/>
        <v>0.88610083790990757</v>
      </c>
      <c r="AE165" s="6">
        <f t="shared" si="117"/>
        <v>1191.5865600000034</v>
      </c>
      <c r="AF165" s="848">
        <v>1</v>
      </c>
      <c r="AG165" s="553">
        <f t="shared" si="118"/>
        <v>0</v>
      </c>
      <c r="AH165" s="32">
        <f t="shared" ref="AH165:AH187" si="130">100*(AN165/40.3)/((AN165/40.3)+(AL165/71.85))</f>
        <v>56.699154083476003</v>
      </c>
      <c r="AI165" s="9">
        <v>50.948630426709819</v>
      </c>
      <c r="AJ165" s="9">
        <v>2.3643790368505559</v>
      </c>
      <c r="AK165" s="9">
        <v>14.057545800551708</v>
      </c>
      <c r="AL165" s="9">
        <v>10.60769117582052</v>
      </c>
      <c r="AM165" s="9">
        <v>0.15822868359470613</v>
      </c>
      <c r="AN165" s="9">
        <v>7.790751285468156</v>
      </c>
      <c r="AO165" s="9">
        <v>10.880568608969019</v>
      </c>
      <c r="AP165" s="9">
        <v>2.3875099249184255</v>
      </c>
      <c r="AQ165" s="9">
        <v>0.42641289307725888</v>
      </c>
      <c r="AR165" s="9">
        <v>0.23432595303538051</v>
      </c>
      <c r="AS165" s="6" t="s">
        <v>64</v>
      </c>
      <c r="AT165" s="6">
        <v>1340.9210474127638</v>
      </c>
      <c r="AU165" s="9">
        <v>99.424333333333351</v>
      </c>
      <c r="AV165" s="8">
        <f t="shared" si="120"/>
        <v>2.122143629565842</v>
      </c>
      <c r="AW165" s="9">
        <f t="shared" si="121"/>
        <v>8.6983067641728269</v>
      </c>
      <c r="AX165" s="8">
        <v>0.46990929705215423</v>
      </c>
      <c r="AY165" s="789">
        <v>2.3495464852607714E-2</v>
      </c>
      <c r="AZ165" s="6">
        <v>98.650793650793645</v>
      </c>
      <c r="BA165" s="48">
        <v>9.8650793650793656</v>
      </c>
      <c r="BB165" s="6" t="s">
        <v>64</v>
      </c>
      <c r="BC165" s="48" t="s">
        <v>64</v>
      </c>
      <c r="BD165" s="849" t="s">
        <v>1007</v>
      </c>
      <c r="BE165" s="48" t="s">
        <v>1007</v>
      </c>
      <c r="BF165" s="668" t="s">
        <v>1007</v>
      </c>
      <c r="BG165" s="48" t="s">
        <v>64</v>
      </c>
      <c r="BH165" s="48" t="s">
        <v>64</v>
      </c>
      <c r="BI165" s="850" t="str">
        <f t="shared" si="122"/>
        <v>-</v>
      </c>
      <c r="BJ165" s="789" t="str">
        <f t="shared" si="123"/>
        <v>-</v>
      </c>
      <c r="BK165" s="67" t="s">
        <v>64</v>
      </c>
      <c r="BL165" s="48" t="s">
        <v>64</v>
      </c>
      <c r="BM165" s="48" t="s">
        <v>64</v>
      </c>
      <c r="BN165" s="850" t="str">
        <f t="shared" si="124"/>
        <v>-</v>
      </c>
      <c r="BO165" s="789" t="str">
        <f t="shared" si="125"/>
        <v>-</v>
      </c>
      <c r="BP165" s="789" t="str">
        <f t="shared" si="126"/>
        <v>-</v>
      </c>
      <c r="BQ165" s="34" t="s">
        <v>64</v>
      </c>
      <c r="BR165" s="25">
        <v>2.675237242069207</v>
      </c>
      <c r="BS165" s="26">
        <v>2.930930248427229</v>
      </c>
      <c r="BT165" s="605"/>
      <c r="BU165" s="599">
        <v>0.13901634697235768</v>
      </c>
      <c r="BV165" s="851">
        <v>2.8624716604234813E-2</v>
      </c>
      <c r="BW165" s="851">
        <v>6.5534960295707365E-2</v>
      </c>
      <c r="BX165" s="851">
        <v>0.11541990996011878</v>
      </c>
      <c r="BY165" s="851">
        <v>5.590624516539907E-3</v>
      </c>
      <c r="BZ165" s="851">
        <v>2.0460115124488649E-2</v>
      </c>
      <c r="CA165" s="851">
        <v>2.2388036575374838E-2</v>
      </c>
      <c r="CB165" s="851">
        <v>3.3990573374849946E-2</v>
      </c>
      <c r="CC165" s="851">
        <v>1.1695467784218516E-2</v>
      </c>
      <c r="CD165" s="851">
        <v>6.5844102843580178E-3</v>
      </c>
      <c r="CE165" s="852" t="s">
        <v>64</v>
      </c>
      <c r="CF165" s="852">
        <v>25.184511182022533</v>
      </c>
      <c r="CG165" s="605"/>
      <c r="CH165" s="584">
        <v>50.660333333333334</v>
      </c>
      <c r="CI165" s="576">
        <v>2.351</v>
      </c>
      <c r="CJ165" s="576">
        <v>13.978</v>
      </c>
      <c r="CK165" s="576">
        <v>10.547666666666666</v>
      </c>
      <c r="CL165" s="576">
        <v>0.15733333333333333</v>
      </c>
      <c r="CM165" s="576">
        <v>7.7466666666666661</v>
      </c>
      <c r="CN165" s="576">
        <v>10.819000000000001</v>
      </c>
      <c r="CO165" s="576">
        <v>2.3740000000000001</v>
      </c>
      <c r="CP165" s="576">
        <v>0.42399999999999999</v>
      </c>
      <c r="CQ165" s="576">
        <v>0.23300000000000001</v>
      </c>
      <c r="CR165" s="792" t="s">
        <v>64</v>
      </c>
      <c r="CS165" s="793">
        <v>1333.3333333333333</v>
      </c>
      <c r="CT165" s="576">
        <f t="shared" ref="CT165:CT187" si="131">SUM(CH165:CR165)+(CS165/10000)</f>
        <v>99.424333333333351</v>
      </c>
      <c r="CU165" s="576">
        <v>0.46990929705215423</v>
      </c>
      <c r="CV165" s="591">
        <v>98.650793650793645</v>
      </c>
      <c r="CW165" s="605"/>
      <c r="CX165" s="936" t="s">
        <v>1007</v>
      </c>
      <c r="CY165" s="934" t="s">
        <v>64</v>
      </c>
      <c r="CZ165" s="934" t="s">
        <v>64</v>
      </c>
      <c r="DA165" s="938" t="str">
        <f t="shared" si="128"/>
        <v>-</v>
      </c>
      <c r="DB165" s="936" t="s">
        <v>1007</v>
      </c>
      <c r="DC165" s="934" t="s">
        <v>64</v>
      </c>
      <c r="DD165" s="934" t="s">
        <v>64</v>
      </c>
      <c r="DE165" s="939" t="str">
        <f t="shared" si="129"/>
        <v>-</v>
      </c>
      <c r="DF165" s="9"/>
    </row>
    <row r="166" spans="1:110">
      <c r="A166" s="846" t="s">
        <v>271</v>
      </c>
      <c r="B166" s="41" t="s">
        <v>156</v>
      </c>
      <c r="C166" s="41" t="s">
        <v>1490</v>
      </c>
      <c r="D166" s="34">
        <v>1500</v>
      </c>
      <c r="E166" s="535">
        <v>19.42567</v>
      </c>
      <c r="F166" s="537">
        <v>-155.25163000000001</v>
      </c>
      <c r="G166" s="37" t="s">
        <v>997</v>
      </c>
      <c r="H166" s="860" t="s">
        <v>760</v>
      </c>
      <c r="I166" s="202" t="s">
        <v>780</v>
      </c>
      <c r="J166" t="s">
        <v>881</v>
      </c>
      <c r="K166" s="34">
        <v>2021</v>
      </c>
      <c r="L166" s="51">
        <v>145</v>
      </c>
      <c r="M166" s="52">
        <v>95</v>
      </c>
      <c r="N166" s="838">
        <f>(4*3.1415/3)*(L166/2)*(M166/2)*(AVERAGE(L166,M166)/2)</f>
        <v>865483.25000000023</v>
      </c>
      <c r="O166" s="54">
        <v>825435.95442569687</v>
      </c>
      <c r="P166" s="53">
        <v>40</v>
      </c>
      <c r="Q166" s="54">
        <v>33510.321638291127</v>
      </c>
      <c r="R166" s="772">
        <f t="shared" si="113"/>
        <v>3.9013291718136216E-2</v>
      </c>
      <c r="S166" s="624" t="s">
        <v>195</v>
      </c>
      <c r="T166" s="37" t="s">
        <v>132</v>
      </c>
      <c r="U166" s="21">
        <v>82.782002950574778</v>
      </c>
      <c r="V166" s="552" t="s">
        <v>423</v>
      </c>
      <c r="W166" s="552" t="s">
        <v>423</v>
      </c>
      <c r="X166" s="556">
        <v>102.7913729405892</v>
      </c>
      <c r="Y166" s="784">
        <v>9.4369191963915074E-3</v>
      </c>
      <c r="Z166" s="784">
        <v>7.0937393909161983E-2</v>
      </c>
      <c r="AA166" s="785">
        <v>3.35010631472066E-3</v>
      </c>
      <c r="AB166" s="32">
        <f t="shared" si="114"/>
        <v>1164.6186109698128</v>
      </c>
      <c r="AC166" s="6">
        <f t="shared" si="115"/>
        <v>1162.5679439999999</v>
      </c>
      <c r="AD166" s="6">
        <f t="shared" si="116"/>
        <v>2.0506669698129372</v>
      </c>
      <c r="AE166" s="6">
        <f t="shared" si="117"/>
        <v>1177.2869225230352</v>
      </c>
      <c r="AF166" s="839">
        <v>1.0029999999999999</v>
      </c>
      <c r="AG166" s="553">
        <f t="shared" si="118"/>
        <v>-2.9910269192421346E-3</v>
      </c>
      <c r="AH166" s="32">
        <f t="shared" si="130"/>
        <v>54.891710046719233</v>
      </c>
      <c r="AI166" s="9">
        <v>51.142604723441963</v>
      </c>
      <c r="AJ166" s="9">
        <v>2.2570699258416931</v>
      </c>
      <c r="AK166" s="9">
        <v>13.952665032466498</v>
      </c>
      <c r="AL166" s="9">
        <v>10.978775635310619</v>
      </c>
      <c r="AM166" s="9">
        <v>0.18385011266994866</v>
      </c>
      <c r="AN166" s="9">
        <v>7.49346323232899</v>
      </c>
      <c r="AO166" s="9">
        <v>10.851137851475505</v>
      </c>
      <c r="AP166" s="9">
        <v>2.3420975742154111</v>
      </c>
      <c r="AQ166" s="9">
        <v>0.3980129317471246</v>
      </c>
      <c r="AR166" s="9">
        <v>0.22881531224452242</v>
      </c>
      <c r="AS166" s="6">
        <v>128.01022397865967</v>
      </c>
      <c r="AT166" s="6">
        <v>1452.8809214781793</v>
      </c>
      <c r="AU166" s="9">
        <v>98.625153000000012</v>
      </c>
      <c r="AV166" s="8">
        <f t="shared" si="120"/>
        <v>2.1963816997250523</v>
      </c>
      <c r="AW166" s="9">
        <f t="shared" si="121"/>
        <v>9.0025960209547087</v>
      </c>
      <c r="AX166" s="8">
        <v>0.37450172178221564</v>
      </c>
      <c r="AY166" s="789">
        <v>1.8725086089110783E-2</v>
      </c>
      <c r="AZ166" s="6">
        <v>135.36706528031306</v>
      </c>
      <c r="BA166" s="48">
        <v>13.536706528031306</v>
      </c>
      <c r="BB166" s="6">
        <v>983.79063288715645</v>
      </c>
      <c r="BC166" s="48">
        <v>61.534886865521457</v>
      </c>
      <c r="BD166" s="6" t="s">
        <v>998</v>
      </c>
      <c r="BE166" s="48" t="s">
        <v>998</v>
      </c>
      <c r="BF166" s="668" t="s">
        <v>1008</v>
      </c>
      <c r="BG166" s="48" t="s">
        <v>64</v>
      </c>
      <c r="BH166" s="48" t="s">
        <v>64</v>
      </c>
      <c r="BI166" s="850" t="str">
        <f t="shared" si="122"/>
        <v>-</v>
      </c>
      <c r="BJ166" s="789" t="str">
        <f t="shared" si="123"/>
        <v>-</v>
      </c>
      <c r="BK166" s="57" t="s">
        <v>1009</v>
      </c>
      <c r="BL166" s="48" t="s">
        <v>64</v>
      </c>
      <c r="BM166" s="48" t="s">
        <v>64</v>
      </c>
      <c r="BN166" s="850" t="str">
        <f t="shared" si="124"/>
        <v>-</v>
      </c>
      <c r="BO166" s="789" t="str">
        <f t="shared" si="125"/>
        <v>-</v>
      </c>
      <c r="BP166" s="789" t="str">
        <f t="shared" si="126"/>
        <v>-</v>
      </c>
      <c r="BQ166" s="861" t="s">
        <v>760</v>
      </c>
      <c r="BR166" s="25">
        <v>2.684603192286048</v>
      </c>
      <c r="BS166" s="26">
        <v>2.9332056143338439</v>
      </c>
      <c r="BT166" s="605"/>
      <c r="BU166" s="599">
        <v>0.14077666803988803</v>
      </c>
      <c r="BV166" s="851">
        <v>2.782109531990988E-2</v>
      </c>
      <c r="BW166" s="851">
        <v>6.5597338436938657E-2</v>
      </c>
      <c r="BX166" s="851">
        <v>0.11800097840588207</v>
      </c>
      <c r="BY166" s="851">
        <v>5.9439844526870426E-3</v>
      </c>
      <c r="BZ166" s="851">
        <v>1.9609643932681733E-2</v>
      </c>
      <c r="CA166" s="851">
        <v>2.2538898431299772E-2</v>
      </c>
      <c r="CB166" s="851">
        <v>3.2748613541224408E-2</v>
      </c>
      <c r="CC166" s="851">
        <v>1.1028182114142504E-2</v>
      </c>
      <c r="CD166" s="851">
        <v>7.0455895685084362E-3</v>
      </c>
      <c r="CE166" s="852">
        <v>25.479539011384357</v>
      </c>
      <c r="CF166" s="852">
        <v>22.596075819381532</v>
      </c>
      <c r="CG166" s="605"/>
      <c r="CH166" s="584">
        <v>50.446300000000001</v>
      </c>
      <c r="CI166" s="576">
        <v>2.22634</v>
      </c>
      <c r="CJ166" s="576">
        <v>13.762700000000001</v>
      </c>
      <c r="CK166" s="576">
        <v>10.8293</v>
      </c>
      <c r="CL166" s="576">
        <v>0.18134700000000001</v>
      </c>
      <c r="CM166" s="576">
        <v>7.3914400000000002</v>
      </c>
      <c r="CN166" s="576">
        <v>10.7034</v>
      </c>
      <c r="CO166" s="576">
        <v>2.3102100000000001</v>
      </c>
      <c r="CP166" s="576">
        <v>0.392594</v>
      </c>
      <c r="CQ166" s="576">
        <v>0.22570000000000001</v>
      </c>
      <c r="CR166" s="857">
        <v>1.2512000000000001E-2</v>
      </c>
      <c r="CS166" s="793">
        <v>1433.1</v>
      </c>
      <c r="CT166" s="576">
        <f t="shared" si="131"/>
        <v>98.625153000000012</v>
      </c>
      <c r="CU166" s="576">
        <v>0.37450172178221564</v>
      </c>
      <c r="CV166" s="591">
        <v>135.36706528031306</v>
      </c>
      <c r="CW166" s="605"/>
      <c r="CX166" s="936" t="s">
        <v>998</v>
      </c>
      <c r="CY166" s="934" t="s">
        <v>64</v>
      </c>
      <c r="CZ166" s="934" t="s">
        <v>64</v>
      </c>
      <c r="DA166" s="938" t="str">
        <f t="shared" si="128"/>
        <v>-</v>
      </c>
      <c r="DB166" s="936" t="s">
        <v>998</v>
      </c>
      <c r="DC166" s="934" t="s">
        <v>64</v>
      </c>
      <c r="DD166" s="934" t="s">
        <v>64</v>
      </c>
      <c r="DE166" s="939" t="str">
        <f t="shared" si="129"/>
        <v>-</v>
      </c>
      <c r="DF166" s="9"/>
    </row>
    <row r="167" spans="1:110">
      <c r="A167" s="846" t="s">
        <v>272</v>
      </c>
      <c r="B167" s="41" t="s">
        <v>156</v>
      </c>
      <c r="C167" s="41" t="s">
        <v>1490</v>
      </c>
      <c r="D167" s="34">
        <v>1500</v>
      </c>
      <c r="E167" s="535">
        <v>19.42567</v>
      </c>
      <c r="F167" s="537">
        <v>-155.25163000000001</v>
      </c>
      <c r="G167" s="37" t="s">
        <v>997</v>
      </c>
      <c r="H167" s="860" t="s">
        <v>760</v>
      </c>
      <c r="I167" s="202" t="s">
        <v>780</v>
      </c>
      <c r="J167" t="s">
        <v>882</v>
      </c>
      <c r="K167" s="34">
        <v>2021</v>
      </c>
      <c r="L167" s="51">
        <v>170</v>
      </c>
      <c r="M167" s="52">
        <v>50</v>
      </c>
      <c r="N167" s="838">
        <f>(4*3.1415/3)*(L167/2)*(M167/2)*(AVERAGE(L167,M167)/2)</f>
        <v>489550.41666666674</v>
      </c>
      <c r="O167" s="54">
        <v>33510.321638291403</v>
      </c>
      <c r="P167" s="53">
        <v>71.2036735890199</v>
      </c>
      <c r="Q167" s="54">
        <v>189019.15799098558</v>
      </c>
      <c r="R167" s="772">
        <f>IF(Q167="no bubble",0,IF(H167="Isolated fluid inclusion",1,Q167/(Q167+O167)))</f>
        <v>0.84941176470588109</v>
      </c>
      <c r="S167" s="624" t="s">
        <v>195</v>
      </c>
      <c r="T167" s="37" t="s">
        <v>132</v>
      </c>
      <c r="U167" s="21">
        <v>82.782002950574778</v>
      </c>
      <c r="V167" s="552" t="s">
        <v>423</v>
      </c>
      <c r="W167" s="552" t="s">
        <v>423</v>
      </c>
      <c r="X167" s="556" t="s">
        <v>292</v>
      </c>
      <c r="Y167" s="784" t="s">
        <v>64</v>
      </c>
      <c r="Z167" s="784" t="s">
        <v>292</v>
      </c>
      <c r="AA167" s="785" t="s">
        <v>64</v>
      </c>
      <c r="AB167" s="32">
        <f t="shared" si="114"/>
        <v>1169.9283690377724</v>
      </c>
      <c r="AC167" s="6">
        <f t="shared" si="115"/>
        <v>1132.417743</v>
      </c>
      <c r="AD167" s="6">
        <f t="shared" si="116"/>
        <v>37.510626037772454</v>
      </c>
      <c r="AE167" s="6">
        <f t="shared" si="117"/>
        <v>1177.2869225230352</v>
      </c>
      <c r="AF167" s="839">
        <v>0.95499999999999996</v>
      </c>
      <c r="AG167" s="553">
        <f t="shared" si="118"/>
        <v>4.7120418848167533E-2</v>
      </c>
      <c r="AH167" s="32">
        <f t="shared" si="130"/>
        <v>54.582475406536759</v>
      </c>
      <c r="AI167" s="9">
        <v>50.441715295595827</v>
      </c>
      <c r="AJ167" s="9">
        <v>2.2435099051481742</v>
      </c>
      <c r="AK167" s="9">
        <v>13.975616684717911</v>
      </c>
      <c r="AL167" s="9">
        <v>11.508561358141151</v>
      </c>
      <c r="AM167" s="9">
        <v>0.18427392847491736</v>
      </c>
      <c r="AN167" s="9">
        <v>7.7576303003866851</v>
      </c>
      <c r="AO167" s="9">
        <v>11.294078588932638</v>
      </c>
      <c r="AP167" s="9">
        <v>1.996804372490498</v>
      </c>
      <c r="AQ167" s="9">
        <v>0.32625547992280446</v>
      </c>
      <c r="AR167" s="9">
        <v>0.21146188513515105</v>
      </c>
      <c r="AS167" s="6">
        <v>158.97017092925719</v>
      </c>
      <c r="AT167" s="6">
        <v>441.95183961323926</v>
      </c>
      <c r="AU167" s="9">
        <v>99.001798000000008</v>
      </c>
      <c r="AV167" s="8">
        <f t="shared" si="120"/>
        <v>2.3023690798349166</v>
      </c>
      <c r="AW167" s="9">
        <f t="shared" si="121"/>
        <v>9.4370203136757453</v>
      </c>
      <c r="AX167" s="8" t="s">
        <v>64</v>
      </c>
      <c r="AY167" s="789" t="s">
        <v>64</v>
      </c>
      <c r="AZ167" s="6" t="s">
        <v>64</v>
      </c>
      <c r="BA167" s="48" t="s">
        <v>64</v>
      </c>
      <c r="BB167" s="6" t="s">
        <v>292</v>
      </c>
      <c r="BC167" s="48" t="s">
        <v>292</v>
      </c>
      <c r="BD167" s="849" t="s">
        <v>64</v>
      </c>
      <c r="BE167" s="48" t="s">
        <v>64</v>
      </c>
      <c r="BF167" s="668" t="s">
        <v>1008</v>
      </c>
      <c r="BG167" s="48" t="s">
        <v>64</v>
      </c>
      <c r="BH167" s="48" t="s">
        <v>64</v>
      </c>
      <c r="BI167" s="850" t="str">
        <f t="shared" si="122"/>
        <v>-</v>
      </c>
      <c r="BJ167" s="789" t="str">
        <f t="shared" si="123"/>
        <v>-</v>
      </c>
      <c r="BK167" s="57" t="s">
        <v>1010</v>
      </c>
      <c r="BL167" s="48" t="s">
        <v>64</v>
      </c>
      <c r="BM167" s="48" t="s">
        <v>64</v>
      </c>
      <c r="BN167" s="850" t="str">
        <f t="shared" si="124"/>
        <v>-</v>
      </c>
      <c r="BO167" s="789" t="str">
        <f t="shared" si="125"/>
        <v>-</v>
      </c>
      <c r="BP167" s="789" t="str">
        <f t="shared" si="126"/>
        <v>-</v>
      </c>
      <c r="BQ167" s="861" t="s">
        <v>760</v>
      </c>
      <c r="BR167" s="25">
        <v>2.697076524578546</v>
      </c>
      <c r="BS167" s="26">
        <v>2.9321138398326041</v>
      </c>
      <c r="BT167" s="605"/>
      <c r="BU167" s="599">
        <v>0.13854018872796575</v>
      </c>
      <c r="BV167" s="851">
        <v>2.7007372238173722E-2</v>
      </c>
      <c r="BW167" s="851">
        <v>6.3720845980803381E-2</v>
      </c>
      <c r="BX167" s="851">
        <v>0.12060627046491183</v>
      </c>
      <c r="BY167" s="851">
        <v>6.1116843939776518E-3</v>
      </c>
      <c r="BZ167" s="851">
        <v>2.2876786298022308E-2</v>
      </c>
      <c r="CA167" s="851">
        <v>2.241953658453251E-2</v>
      </c>
      <c r="CB167" s="851">
        <v>2.9770156709023589E-2</v>
      </c>
      <c r="CC167" s="851">
        <v>1.0114637639662768E-2</v>
      </c>
      <c r="CD167" s="851">
        <v>6.6747098195369886E-3</v>
      </c>
      <c r="CE167" s="852">
        <v>23.884791271608105</v>
      </c>
      <c r="CF167" s="852">
        <v>17.479990770014915</v>
      </c>
      <c r="CG167" s="605"/>
      <c r="CH167" s="584">
        <v>50.416499999999999</v>
      </c>
      <c r="CI167" s="576">
        <v>2.31385</v>
      </c>
      <c r="CJ167" s="576">
        <v>14.4841</v>
      </c>
      <c r="CK167" s="576">
        <v>11.338699999999999</v>
      </c>
      <c r="CL167" s="576">
        <v>0.17801700000000001</v>
      </c>
      <c r="CM167" s="576">
        <v>5.8914299999999997</v>
      </c>
      <c r="CN167" s="576">
        <v>11.6861</v>
      </c>
      <c r="CO167" s="576">
        <v>2.0656300000000001</v>
      </c>
      <c r="CP167" s="576">
        <v>0.34254600000000002</v>
      </c>
      <c r="CQ167" s="576">
        <v>0.22306000000000001</v>
      </c>
      <c r="CR167" s="857">
        <v>1.6365999999999999E-2</v>
      </c>
      <c r="CS167" s="793">
        <v>454.98999999999995</v>
      </c>
      <c r="CT167" s="576">
        <f t="shared" si="131"/>
        <v>99.001798000000008</v>
      </c>
      <c r="CU167" s="576" t="s">
        <v>64</v>
      </c>
      <c r="CV167" s="591" t="s">
        <v>64</v>
      </c>
      <c r="CW167" s="605"/>
      <c r="CX167" s="936" t="s">
        <v>64</v>
      </c>
      <c r="CY167" s="934" t="s">
        <v>64</v>
      </c>
      <c r="CZ167" s="934" t="s">
        <v>64</v>
      </c>
      <c r="DA167" s="938" t="str">
        <f t="shared" si="128"/>
        <v>-</v>
      </c>
      <c r="DB167" s="936" t="s">
        <v>64</v>
      </c>
      <c r="DC167" s="934" t="s">
        <v>64</v>
      </c>
      <c r="DD167" s="934" t="s">
        <v>64</v>
      </c>
      <c r="DE167" s="939" t="str">
        <f t="shared" si="129"/>
        <v>-</v>
      </c>
      <c r="DF167" s="9"/>
    </row>
    <row r="168" spans="1:110">
      <c r="A168" s="846" t="s">
        <v>273</v>
      </c>
      <c r="B168" s="41" t="s">
        <v>156</v>
      </c>
      <c r="C168" s="41" t="s">
        <v>1490</v>
      </c>
      <c r="D168" s="34">
        <v>1500</v>
      </c>
      <c r="E168" s="535">
        <v>19.42567</v>
      </c>
      <c r="F168" s="537">
        <v>-155.25163000000001</v>
      </c>
      <c r="G168" s="37" t="s">
        <v>997</v>
      </c>
      <c r="H168" s="860" t="s">
        <v>760</v>
      </c>
      <c r="I168" s="202" t="s">
        <v>780</v>
      </c>
      <c r="J168" t="s">
        <v>877</v>
      </c>
      <c r="K168" s="34">
        <v>2021</v>
      </c>
      <c r="L168" s="51">
        <v>101</v>
      </c>
      <c r="M168" s="52">
        <v>87</v>
      </c>
      <c r="N168" s="838">
        <f t="shared" si="112"/>
        <v>432468.31450000009</v>
      </c>
      <c r="O168" s="54">
        <v>396381.36328698974</v>
      </c>
      <c r="P168" s="53">
        <v>41</v>
      </c>
      <c r="Q168" s="54">
        <v>36086.951213010354</v>
      </c>
      <c r="R168" s="772">
        <f t="shared" si="113"/>
        <v>8.3444150711324189E-2</v>
      </c>
      <c r="S168" s="624" t="s">
        <v>195</v>
      </c>
      <c r="T168" s="37" t="s">
        <v>132</v>
      </c>
      <c r="U168" s="21">
        <v>82.782002950574778</v>
      </c>
      <c r="V168" s="552" t="s">
        <v>423</v>
      </c>
      <c r="W168" s="552" t="s">
        <v>423</v>
      </c>
      <c r="X168" s="556" t="s">
        <v>423</v>
      </c>
      <c r="Y168" s="784" t="s">
        <v>64</v>
      </c>
      <c r="Z168" s="784" t="s">
        <v>64</v>
      </c>
      <c r="AA168" s="785" t="s">
        <v>64</v>
      </c>
      <c r="AB168" s="32">
        <f t="shared" si="114"/>
        <v>1174.2929027651921</v>
      </c>
      <c r="AC168" s="6">
        <f t="shared" si="115"/>
        <v>1156.8203490000001</v>
      </c>
      <c r="AD168" s="6">
        <f t="shared" si="116"/>
        <v>17.47255376519206</v>
      </c>
      <c r="AE168" s="6">
        <f t="shared" si="117"/>
        <v>1177.2869225230352</v>
      </c>
      <c r="AF168" s="839">
        <v>0.98099999999999998</v>
      </c>
      <c r="AG168" s="553">
        <f t="shared" si="118"/>
        <v>1.9367991845055998E-2</v>
      </c>
      <c r="AH168" s="32">
        <f t="shared" si="130"/>
        <v>54.562117628685861</v>
      </c>
      <c r="AI168" s="9">
        <v>50.527007851622621</v>
      </c>
      <c r="AJ168" s="9">
        <v>2.1883834895312275</v>
      </c>
      <c r="AK168" s="9">
        <v>13.603193001591816</v>
      </c>
      <c r="AL168" s="9">
        <v>11.840412370024593</v>
      </c>
      <c r="AM168" s="9">
        <v>0.16299683922025698</v>
      </c>
      <c r="AN168" s="9">
        <v>7.9747712818503498</v>
      </c>
      <c r="AO168" s="9">
        <v>10.774895995121801</v>
      </c>
      <c r="AP168" s="9">
        <v>2.1159404498777805</v>
      </c>
      <c r="AQ168" s="9">
        <v>0.41352901802176306</v>
      </c>
      <c r="AR168" s="9">
        <v>0.23644603220222463</v>
      </c>
      <c r="AS168" s="6">
        <v>198.12835496821475</v>
      </c>
      <c r="AT168" s="6">
        <v>1426.1083543874749</v>
      </c>
      <c r="AU168" s="9">
        <v>98.276026000000002</v>
      </c>
      <c r="AV168" s="8">
        <f t="shared" si="120"/>
        <v>2.3687582213701344</v>
      </c>
      <c r="AW168" s="9">
        <f t="shared" si="121"/>
        <v>9.7091381434201676</v>
      </c>
      <c r="AX168" s="8" t="s">
        <v>64</v>
      </c>
      <c r="AY168" s="789" t="s">
        <v>64</v>
      </c>
      <c r="AZ168" s="6" t="s">
        <v>64</v>
      </c>
      <c r="BA168" s="48" t="s">
        <v>64</v>
      </c>
      <c r="BB168" s="6" t="s">
        <v>64</v>
      </c>
      <c r="BC168" s="48" t="s">
        <v>64</v>
      </c>
      <c r="BD168" s="849" t="s">
        <v>64</v>
      </c>
      <c r="BE168" s="48" t="s">
        <v>64</v>
      </c>
      <c r="BF168" s="668" t="s">
        <v>1008</v>
      </c>
      <c r="BG168" s="48" t="s">
        <v>64</v>
      </c>
      <c r="BH168" s="48" t="s">
        <v>64</v>
      </c>
      <c r="BI168" s="850" t="str">
        <f t="shared" si="122"/>
        <v>-</v>
      </c>
      <c r="BJ168" s="789" t="str">
        <f t="shared" si="123"/>
        <v>-</v>
      </c>
      <c r="BK168" s="563" t="s">
        <v>911</v>
      </c>
      <c r="BL168" s="48" t="s">
        <v>64</v>
      </c>
      <c r="BM168" s="48" t="s">
        <v>64</v>
      </c>
      <c r="BN168" s="850" t="str">
        <f t="shared" si="124"/>
        <v>-</v>
      </c>
      <c r="BO168" s="789" t="str">
        <f t="shared" si="125"/>
        <v>-</v>
      </c>
      <c r="BP168" s="789" t="str">
        <f t="shared" si="126"/>
        <v>-</v>
      </c>
      <c r="BQ168" s="861" t="s">
        <v>760</v>
      </c>
      <c r="BR168" s="25">
        <v>2.6970984743104411</v>
      </c>
      <c r="BS168" s="26">
        <v>2.9469184194594908</v>
      </c>
      <c r="BT168" s="605"/>
      <c r="BU168" s="599">
        <v>0.13970515562942251</v>
      </c>
      <c r="BV168" s="851">
        <v>2.7039447558298894E-2</v>
      </c>
      <c r="BW168" s="851">
        <v>6.4212376212783986E-2</v>
      </c>
      <c r="BX168" s="851">
        <v>0.12262523071015968</v>
      </c>
      <c r="BY168" s="851">
        <v>5.9827500845277661E-3</v>
      </c>
      <c r="BZ168" s="851">
        <v>2.1339371482252078E-2</v>
      </c>
      <c r="CA168" s="851">
        <v>2.2269662791677691E-2</v>
      </c>
      <c r="CB168" s="851">
        <v>3.1102843454888458E-2</v>
      </c>
      <c r="CC168" s="851">
        <v>1.1028612146131409E-2</v>
      </c>
      <c r="CD168" s="851">
        <v>6.8350400312825882E-3</v>
      </c>
      <c r="CE168" s="852">
        <v>24.467464940089741</v>
      </c>
      <c r="CF168" s="852">
        <v>22.5534757921316</v>
      </c>
      <c r="CG168" s="605"/>
      <c r="CH168" s="584">
        <v>49.861899999999999</v>
      </c>
      <c r="CI168" s="576">
        <v>2.18608</v>
      </c>
      <c r="CJ168" s="576">
        <v>13.635300000000001</v>
      </c>
      <c r="CK168" s="576">
        <v>11.6005</v>
      </c>
      <c r="CL168" s="576">
        <v>0.16092600000000001</v>
      </c>
      <c r="CM168" s="576">
        <v>7.1054899999999996</v>
      </c>
      <c r="CN168" s="576">
        <v>10.7964</v>
      </c>
      <c r="CO168" s="576">
        <v>2.1169500000000001</v>
      </c>
      <c r="CP168" s="576">
        <v>0.41067599999999999</v>
      </c>
      <c r="CQ168" s="576">
        <v>0.24008399999999999</v>
      </c>
      <c r="CR168" s="857">
        <v>1.9727000000000001E-2</v>
      </c>
      <c r="CS168" s="793">
        <v>1419.93</v>
      </c>
      <c r="CT168" s="576">
        <f t="shared" si="131"/>
        <v>98.276026000000002</v>
      </c>
      <c r="CU168" s="576" t="s">
        <v>64</v>
      </c>
      <c r="CV168" s="591" t="s">
        <v>64</v>
      </c>
      <c r="CW168" s="605"/>
      <c r="CX168" s="936" t="s">
        <v>64</v>
      </c>
      <c r="CY168" s="934" t="s">
        <v>64</v>
      </c>
      <c r="CZ168" s="934" t="s">
        <v>64</v>
      </c>
      <c r="DA168" s="938" t="str">
        <f t="shared" si="128"/>
        <v>-</v>
      </c>
      <c r="DB168" s="936" t="s">
        <v>64</v>
      </c>
      <c r="DC168" s="934" t="s">
        <v>64</v>
      </c>
      <c r="DD168" s="934" t="s">
        <v>64</v>
      </c>
      <c r="DE168" s="939" t="str">
        <f t="shared" si="129"/>
        <v>-</v>
      </c>
      <c r="DF168" s="9"/>
    </row>
    <row r="169" spans="1:110">
      <c r="A169" s="846" t="s">
        <v>274</v>
      </c>
      <c r="B169" s="41" t="s">
        <v>156</v>
      </c>
      <c r="C169" s="41" t="s">
        <v>1490</v>
      </c>
      <c r="D169" s="34">
        <v>1500</v>
      </c>
      <c r="E169" s="535">
        <v>19.42567</v>
      </c>
      <c r="F169" s="537">
        <v>-155.25163000000001</v>
      </c>
      <c r="G169" s="37" t="s">
        <v>405</v>
      </c>
      <c r="H169" s="37" t="s">
        <v>64</v>
      </c>
      <c r="I169" s="202" t="s">
        <v>780</v>
      </c>
      <c r="J169" t="s">
        <v>885</v>
      </c>
      <c r="K169" s="34">
        <v>2021</v>
      </c>
      <c r="L169" s="51">
        <v>138</v>
      </c>
      <c r="M169" s="52">
        <v>115</v>
      </c>
      <c r="N169" s="838">
        <f t="shared" si="112"/>
        <v>1051122.3387500001</v>
      </c>
      <c r="O169" s="54">
        <v>1051153.3399462427</v>
      </c>
      <c r="P169" s="53" t="s">
        <v>151</v>
      </c>
      <c r="Q169" s="54" t="s">
        <v>151</v>
      </c>
      <c r="R169" s="772">
        <f t="shared" si="113"/>
        <v>0</v>
      </c>
      <c r="S169" s="624" t="s">
        <v>195</v>
      </c>
      <c r="T169" s="37" t="s">
        <v>132</v>
      </c>
      <c r="U169" s="21">
        <v>82.782002950574778</v>
      </c>
      <c r="V169" s="552" t="s">
        <v>423</v>
      </c>
      <c r="W169" s="552" t="s">
        <v>423</v>
      </c>
      <c r="X169" s="556" t="s">
        <v>64</v>
      </c>
      <c r="Y169" s="784" t="s">
        <v>64</v>
      </c>
      <c r="Z169" s="784" t="s">
        <v>64</v>
      </c>
      <c r="AA169" s="785" t="s">
        <v>64</v>
      </c>
      <c r="AB169" s="32">
        <f t="shared" si="114"/>
        <v>1168.1435907476175</v>
      </c>
      <c r="AC169" s="6">
        <f t="shared" si="115"/>
        <v>1160.504277</v>
      </c>
      <c r="AD169" s="6">
        <f t="shared" si="116"/>
        <v>7.639313747617507</v>
      </c>
      <c r="AE169" s="6">
        <f t="shared" si="117"/>
        <v>1177.2869225230352</v>
      </c>
      <c r="AF169" s="839">
        <v>0.99099999999999999</v>
      </c>
      <c r="AG169" s="553">
        <f t="shared" si="118"/>
        <v>9.0817356205852295E-3</v>
      </c>
      <c r="AH169" s="32">
        <f t="shared" si="130"/>
        <v>54.539432983427858</v>
      </c>
      <c r="AI169" s="9">
        <v>50.125125797511792</v>
      </c>
      <c r="AJ169" s="9">
        <v>2.2004385900792522</v>
      </c>
      <c r="AK169" s="9">
        <v>14.415035976253062</v>
      </c>
      <c r="AL169" s="9">
        <v>11.396601696308958</v>
      </c>
      <c r="AM169" s="9">
        <v>0.17205075395681399</v>
      </c>
      <c r="AN169" s="9">
        <v>7.6688353605779884</v>
      </c>
      <c r="AO169" s="9">
        <v>10.886486302998405</v>
      </c>
      <c r="AP169" s="9">
        <v>2.3382804221966995</v>
      </c>
      <c r="AQ169" s="9">
        <v>0.39843332495262185</v>
      </c>
      <c r="AR169" s="9">
        <v>0.23845630811558427</v>
      </c>
      <c r="AS169" s="6">
        <v>181.59754403704113</v>
      </c>
      <c r="AT169" s="6">
        <v>1260.7700131017555</v>
      </c>
      <c r="AU169" s="9">
        <v>99.490667999999985</v>
      </c>
      <c r="AV169" s="8">
        <f t="shared" si="120"/>
        <v>2.2799707577884463</v>
      </c>
      <c r="AW169" s="9">
        <f t="shared" si="121"/>
        <v>9.3452133909733455</v>
      </c>
      <c r="AX169" s="8">
        <v>0.3495182638458384</v>
      </c>
      <c r="AY169" s="789">
        <v>1.7475913192291921E-2</v>
      </c>
      <c r="AZ169" s="6">
        <v>159.2088134042765</v>
      </c>
      <c r="BA169" s="48">
        <v>15.92088134042765</v>
      </c>
      <c r="BB169" s="6" t="s">
        <v>151</v>
      </c>
      <c r="BC169" s="48" t="s">
        <v>151</v>
      </c>
      <c r="BD169" s="849">
        <v>159.2088134042765</v>
      </c>
      <c r="BE169" s="48">
        <v>15.92088134042765</v>
      </c>
      <c r="BF169" s="668">
        <v>388.7151139390574</v>
      </c>
      <c r="BG169" s="48">
        <v>35.90101754182831</v>
      </c>
      <c r="BH169" s="48">
        <v>36.119118683621593</v>
      </c>
      <c r="BI169" s="850">
        <f t="shared" si="122"/>
        <v>1.6659034089530653</v>
      </c>
      <c r="BJ169" s="789">
        <f t="shared" si="123"/>
        <v>0.14761624964878806</v>
      </c>
      <c r="BK169" s="67" t="s">
        <v>64</v>
      </c>
      <c r="BL169" s="48" t="s">
        <v>64</v>
      </c>
      <c r="BM169" s="48" t="s">
        <v>64</v>
      </c>
      <c r="BN169" s="850" t="str">
        <f t="shared" si="124"/>
        <v>-</v>
      </c>
      <c r="BO169" s="789" t="str">
        <f t="shared" si="125"/>
        <v>-</v>
      </c>
      <c r="BP169" s="789" t="str">
        <f t="shared" si="126"/>
        <v>-</v>
      </c>
      <c r="BQ169" s="34" t="s">
        <v>64</v>
      </c>
      <c r="BR169" s="25">
        <v>2.698330286952797</v>
      </c>
      <c r="BS169" s="26">
        <v>2.9492339375944998</v>
      </c>
      <c r="BT169" s="605"/>
      <c r="BU169" s="599">
        <v>0.13864108544333786</v>
      </c>
      <c r="BV169" s="851">
        <v>2.7652691717666957E-2</v>
      </c>
      <c r="BW169" s="851">
        <v>6.5998233164756295E-2</v>
      </c>
      <c r="BX169" s="851">
        <v>0.11962556936547661</v>
      </c>
      <c r="BY169" s="851">
        <v>5.9108552674125318E-3</v>
      </c>
      <c r="BZ169" s="851">
        <v>2.0233455215348969E-2</v>
      </c>
      <c r="CA169" s="851">
        <v>2.2361931514989025E-2</v>
      </c>
      <c r="CB169" s="851">
        <v>3.238214408287543E-2</v>
      </c>
      <c r="CC169" s="851">
        <v>1.0915280153739552E-2</v>
      </c>
      <c r="CD169" s="851">
        <v>6.9199066789910092E-3</v>
      </c>
      <c r="CE169" s="852">
        <v>24.62989330019985</v>
      </c>
      <c r="CF169" s="852">
        <v>21.324033616596537</v>
      </c>
      <c r="CG169" s="605"/>
      <c r="CH169" s="584">
        <v>49.970599999999997</v>
      </c>
      <c r="CI169" s="576">
        <v>2.2086299999999999</v>
      </c>
      <c r="CJ169" s="576">
        <v>14.477600000000001</v>
      </c>
      <c r="CK169" s="576">
        <v>11.310600000000001</v>
      </c>
      <c r="CL169" s="576">
        <v>0.16961499999999999</v>
      </c>
      <c r="CM169" s="576">
        <v>7.2887700000000004</v>
      </c>
      <c r="CN169" s="576">
        <v>10.9313</v>
      </c>
      <c r="CO169" s="576">
        <v>2.3523399999999999</v>
      </c>
      <c r="CP169" s="576">
        <v>0.40142499999999998</v>
      </c>
      <c r="CQ169" s="576">
        <v>0.23586699999999999</v>
      </c>
      <c r="CR169" s="857">
        <v>1.8120000000000001E-2</v>
      </c>
      <c r="CS169" s="793">
        <v>1258.01</v>
      </c>
      <c r="CT169" s="576">
        <f t="shared" si="131"/>
        <v>99.490667999999985</v>
      </c>
      <c r="CU169" s="576">
        <v>0.3495182638458384</v>
      </c>
      <c r="CV169" s="591">
        <v>160.65470575608123</v>
      </c>
      <c r="CW169" s="605"/>
      <c r="CX169" s="936">
        <v>354.09513514468023</v>
      </c>
      <c r="CY169" s="934">
        <v>33.94891111524646</v>
      </c>
      <c r="CZ169" s="934">
        <v>34.031143380388755</v>
      </c>
      <c r="DA169" s="938">
        <f t="shared" si="128"/>
        <v>1.5230500635788062</v>
      </c>
      <c r="DB169" s="936">
        <v>339.51881174890741</v>
      </c>
      <c r="DC169" s="934">
        <v>29.337722676049793</v>
      </c>
      <c r="DD169" s="934">
        <v>29.723586369162092</v>
      </c>
      <c r="DE169" s="939">
        <f t="shared" si="129"/>
        <v>1.46259735375546</v>
      </c>
      <c r="DF169" s="9"/>
    </row>
    <row r="170" spans="1:110">
      <c r="A170" s="846" t="s">
        <v>275</v>
      </c>
      <c r="B170" s="41" t="s">
        <v>156</v>
      </c>
      <c r="C170" s="41" t="s">
        <v>1490</v>
      </c>
      <c r="D170" s="34">
        <v>1500</v>
      </c>
      <c r="E170" s="535">
        <v>19.42567</v>
      </c>
      <c r="F170" s="537">
        <v>-155.25163000000001</v>
      </c>
      <c r="G170" s="37" t="s">
        <v>405</v>
      </c>
      <c r="H170" s="37" t="s">
        <v>64</v>
      </c>
      <c r="I170" s="202" t="s">
        <v>780</v>
      </c>
      <c r="J170" t="s">
        <v>881</v>
      </c>
      <c r="K170" s="34">
        <v>2021</v>
      </c>
      <c r="L170" s="51">
        <v>45</v>
      </c>
      <c r="M170" s="52">
        <v>37.5</v>
      </c>
      <c r="N170" s="838">
        <f t="shared" si="112"/>
        <v>36446.308593750007</v>
      </c>
      <c r="O170" s="54">
        <v>35923.784744564531</v>
      </c>
      <c r="P170" s="53">
        <v>10</v>
      </c>
      <c r="Q170" s="54">
        <v>523.59877559829886</v>
      </c>
      <c r="R170" s="772">
        <f t="shared" si="113"/>
        <v>1.4365881032547701E-2</v>
      </c>
      <c r="S170" s="624" t="s">
        <v>196</v>
      </c>
      <c r="T170" s="37" t="s">
        <v>132</v>
      </c>
      <c r="U170" s="21">
        <v>83.780760588423277</v>
      </c>
      <c r="V170" s="552" t="s">
        <v>423</v>
      </c>
      <c r="W170" s="552" t="s">
        <v>423</v>
      </c>
      <c r="X170" s="556">
        <v>102.68954924874795</v>
      </c>
      <c r="Y170" s="784">
        <v>1.4758685614666783E-2</v>
      </c>
      <c r="Z170" s="784">
        <v>3.4789983305522298E-2</v>
      </c>
      <c r="AA170" s="785">
        <v>5.2393333932070569E-3</v>
      </c>
      <c r="AB170" s="32">
        <f t="shared" si="114"/>
        <v>1173.0859908728305</v>
      </c>
      <c r="AC170" s="6">
        <f t="shared" si="115"/>
        <v>1156.9188389999999</v>
      </c>
      <c r="AD170" s="6">
        <f t="shared" si="116"/>
        <v>16.167151872830573</v>
      </c>
      <c r="AE170" s="6">
        <f t="shared" si="117"/>
        <v>1188.8391204635445</v>
      </c>
      <c r="AF170" s="839">
        <v>0.98199999999999998</v>
      </c>
      <c r="AG170" s="553">
        <f t="shared" si="118"/>
        <v>1.8329938900203624E-2</v>
      </c>
      <c r="AH170" s="32">
        <f t="shared" si="130"/>
        <v>56.306536564053197</v>
      </c>
      <c r="AI170" s="9">
        <v>51.027697770648238</v>
      </c>
      <c r="AJ170" s="9">
        <v>2.2495649096050765</v>
      </c>
      <c r="AK170" s="9">
        <v>13.826373234661254</v>
      </c>
      <c r="AL170" s="9">
        <v>10.950028835483742</v>
      </c>
      <c r="AM170" s="9">
        <v>0.18209805395282594</v>
      </c>
      <c r="AN170" s="9">
        <v>7.9147259140711688</v>
      </c>
      <c r="AO170" s="9">
        <v>10.876585973944758</v>
      </c>
      <c r="AP170" s="9">
        <v>2.246546709815803</v>
      </c>
      <c r="AQ170" s="9">
        <v>0.35514150853783177</v>
      </c>
      <c r="AR170" s="9">
        <v>0.21630431823125734</v>
      </c>
      <c r="AS170" s="6">
        <v>172.98631395353911</v>
      </c>
      <c r="AT170" s="6">
        <v>1376.3413965269642</v>
      </c>
      <c r="AU170" s="9">
        <v>98.283837999999974</v>
      </c>
      <c r="AV170" s="8">
        <f t="shared" si="120"/>
        <v>2.1906306991433171</v>
      </c>
      <c r="AW170" s="9">
        <f t="shared" si="121"/>
        <v>8.9790236450966709</v>
      </c>
      <c r="AX170" s="8">
        <v>0.36410858403858565</v>
      </c>
      <c r="AY170" s="789">
        <v>1.8205429201929284E-2</v>
      </c>
      <c r="AZ170" s="862" t="s">
        <v>292</v>
      </c>
      <c r="BA170" s="48" t="s">
        <v>64</v>
      </c>
      <c r="BB170" s="6">
        <v>169.92979474626213</v>
      </c>
      <c r="BC170" s="48">
        <v>36.188112517260627</v>
      </c>
      <c r="BD170" s="849">
        <v>199.38979474626214</v>
      </c>
      <c r="BE170" s="48">
        <v>36.307828406032705</v>
      </c>
      <c r="BF170" s="668">
        <v>514.25149971082794</v>
      </c>
      <c r="BG170" s="48">
        <v>86.003810856174368</v>
      </c>
      <c r="BH170" s="48">
        <v>87.254174049366327</v>
      </c>
      <c r="BI170" s="850">
        <f t="shared" si="122"/>
        <v>2.1755674760667358</v>
      </c>
      <c r="BJ170" s="789">
        <f t="shared" si="123"/>
        <v>0.34484928379056456</v>
      </c>
      <c r="BK170" s="67" t="s">
        <v>64</v>
      </c>
      <c r="BL170" s="48" t="s">
        <v>64</v>
      </c>
      <c r="BM170" s="48" t="s">
        <v>64</v>
      </c>
      <c r="BN170" s="850" t="str">
        <f t="shared" si="124"/>
        <v>-</v>
      </c>
      <c r="BO170" s="789" t="str">
        <f t="shared" si="125"/>
        <v>-</v>
      </c>
      <c r="BP170" s="789" t="str">
        <f t="shared" si="126"/>
        <v>-</v>
      </c>
      <c r="BQ170" s="34" t="s">
        <v>64</v>
      </c>
      <c r="BR170" s="25">
        <v>2.686324872364795</v>
      </c>
      <c r="BS170" s="26">
        <v>2.9297971577845821</v>
      </c>
      <c r="BT170" s="605"/>
      <c r="BU170" s="599">
        <v>0.14083746640094455</v>
      </c>
      <c r="BV170" s="851">
        <v>2.7461338677513013E-2</v>
      </c>
      <c r="BW170" s="851">
        <v>6.4900304644838189E-2</v>
      </c>
      <c r="BX170" s="851">
        <v>0.11883847294573797</v>
      </c>
      <c r="BY170" s="851">
        <v>6.1511630036940887E-3</v>
      </c>
      <c r="BZ170" s="851">
        <v>2.1121791605104308E-2</v>
      </c>
      <c r="CA170" s="851">
        <v>2.2405332042887242E-2</v>
      </c>
      <c r="CB170" s="851">
        <v>3.1922305473127653E-2</v>
      </c>
      <c r="CC170" s="851">
        <v>1.0378442360604473E-2</v>
      </c>
      <c r="CD170" s="851">
        <v>6.8489301498835939E-3</v>
      </c>
      <c r="CE170" s="852">
        <v>24.814021805065416</v>
      </c>
      <c r="CF170" s="852">
        <v>22.26190918640469</v>
      </c>
      <c r="CG170" s="605"/>
      <c r="CH170" s="584">
        <v>50.363</v>
      </c>
      <c r="CI170" s="576">
        <v>2.2515800000000001</v>
      </c>
      <c r="CJ170" s="576">
        <v>13.8476</v>
      </c>
      <c r="CK170" s="576">
        <v>10.679600000000001</v>
      </c>
      <c r="CL170" s="576">
        <v>0.17364499999999999</v>
      </c>
      <c r="CM170" s="576">
        <v>7.1103899999999998</v>
      </c>
      <c r="CN170" s="576">
        <v>10.8802</v>
      </c>
      <c r="CO170" s="576">
        <v>2.2501500000000001</v>
      </c>
      <c r="CP170" s="576">
        <v>0.35225899999999999</v>
      </c>
      <c r="CQ170" s="576">
        <v>0.22128400000000001</v>
      </c>
      <c r="CR170" s="857">
        <v>1.7208999999999999E-2</v>
      </c>
      <c r="CS170" s="793">
        <v>1369.2099999999998</v>
      </c>
      <c r="CT170" s="576">
        <f t="shared" si="131"/>
        <v>98.283837999999974</v>
      </c>
      <c r="CU170" s="576">
        <v>0.36410858403858565</v>
      </c>
      <c r="CV170" s="591" t="s">
        <v>292</v>
      </c>
      <c r="CW170" s="605"/>
      <c r="CX170" s="936">
        <v>440.65443096869262</v>
      </c>
      <c r="CY170" s="934">
        <v>76.845881703246505</v>
      </c>
      <c r="CZ170" s="934">
        <v>77.284366572702311</v>
      </c>
      <c r="DA170" s="938">
        <f t="shared" si="128"/>
        <v>1.8783344242854176</v>
      </c>
      <c r="DB170" s="936">
        <v>422.83725944020728</v>
      </c>
      <c r="DC170" s="934">
        <v>66.208099869197497</v>
      </c>
      <c r="DD170" s="934">
        <v>67.809079660135978</v>
      </c>
      <c r="DE170" s="939">
        <f t="shared" si="129"/>
        <v>1.8057148582552915</v>
      </c>
      <c r="DF170" s="9"/>
    </row>
    <row r="171" spans="1:110">
      <c r="A171" s="846" t="s">
        <v>276</v>
      </c>
      <c r="B171" s="41" t="s">
        <v>156</v>
      </c>
      <c r="C171" s="41" t="s">
        <v>1490</v>
      </c>
      <c r="D171" s="34">
        <v>1500</v>
      </c>
      <c r="E171" s="535">
        <v>19.42567</v>
      </c>
      <c r="F171" s="537">
        <v>-155.25163000000001</v>
      </c>
      <c r="G171" s="37" t="s">
        <v>405</v>
      </c>
      <c r="H171" s="37" t="s">
        <v>64</v>
      </c>
      <c r="I171" s="202" t="s">
        <v>780</v>
      </c>
      <c r="J171" t="s">
        <v>877</v>
      </c>
      <c r="K171" s="34">
        <v>2021</v>
      </c>
      <c r="L171" s="51">
        <v>65</v>
      </c>
      <c r="M171" s="52">
        <v>33</v>
      </c>
      <c r="N171" s="54">
        <f t="shared" si="112"/>
        <v>55031.226250000014</v>
      </c>
      <c r="O171" s="54">
        <v>55031.226250000014</v>
      </c>
      <c r="P171" s="53" t="s">
        <v>151</v>
      </c>
      <c r="Q171" s="54" t="s">
        <v>151</v>
      </c>
      <c r="R171" s="772">
        <f t="shared" si="113"/>
        <v>0</v>
      </c>
      <c r="S171" s="624" t="s">
        <v>200</v>
      </c>
      <c r="T171" s="37" t="s">
        <v>132</v>
      </c>
      <c r="U171" s="21">
        <v>83.451015610368103</v>
      </c>
      <c r="V171" s="552" t="s">
        <v>423</v>
      </c>
      <c r="W171" s="552" t="s">
        <v>423</v>
      </c>
      <c r="X171" s="556" t="s">
        <v>64</v>
      </c>
      <c r="Y171" s="784" t="s">
        <v>64</v>
      </c>
      <c r="Z171" s="784" t="s">
        <v>64</v>
      </c>
      <c r="AA171" s="785" t="s">
        <v>64</v>
      </c>
      <c r="AB171" s="32">
        <f t="shared" si="114"/>
        <v>1167.4796760514473</v>
      </c>
      <c r="AC171" s="6">
        <f t="shared" si="115"/>
        <v>1153.635102</v>
      </c>
      <c r="AD171" s="6">
        <f t="shared" si="116"/>
        <v>13.844574051447353</v>
      </c>
      <c r="AE171" s="6">
        <f t="shared" si="117"/>
        <v>1184.8530727578036</v>
      </c>
      <c r="AF171" s="839">
        <v>0.98599999999999999</v>
      </c>
      <c r="AG171" s="553">
        <f t="shared" si="118"/>
        <v>1.4198782961460488E-2</v>
      </c>
      <c r="AH171" s="32">
        <f t="shared" si="130"/>
        <v>55.724019414148366</v>
      </c>
      <c r="AI171" s="9">
        <v>50.740375470020084</v>
      </c>
      <c r="AJ171" s="9">
        <v>2.2283672707212006</v>
      </c>
      <c r="AK171" s="9">
        <v>14.290725544286525</v>
      </c>
      <c r="AL171" s="9">
        <v>10.816887085685936</v>
      </c>
      <c r="AM171" s="9">
        <v>0.17203196536944709</v>
      </c>
      <c r="AN171" s="9">
        <v>7.6358047786789669</v>
      </c>
      <c r="AO171" s="9">
        <v>11.118697551246369</v>
      </c>
      <c r="AP171" s="9">
        <v>2.1871198404279415</v>
      </c>
      <c r="AQ171" s="9">
        <v>0.41549240758819672</v>
      </c>
      <c r="AR171" s="9">
        <v>0.237424232907541</v>
      </c>
      <c r="AS171" s="6">
        <v>173.01574339924292</v>
      </c>
      <c r="AT171" s="6">
        <v>1397.7227872786461</v>
      </c>
      <c r="AU171" s="9">
        <v>98.050820999999999</v>
      </c>
      <c r="AV171" s="8">
        <f t="shared" si="120"/>
        <v>2.163994750615073</v>
      </c>
      <c r="AW171" s="9">
        <f t="shared" si="121"/>
        <v>8.8698474102624676</v>
      </c>
      <c r="AX171" s="8" t="s">
        <v>64</v>
      </c>
      <c r="AY171" s="789" t="s">
        <v>64</v>
      </c>
      <c r="AZ171" s="6" t="s">
        <v>64</v>
      </c>
      <c r="BA171" s="48" t="s">
        <v>64</v>
      </c>
      <c r="BB171" s="6" t="s">
        <v>151</v>
      </c>
      <c r="BC171" s="48" t="s">
        <v>151</v>
      </c>
      <c r="BD171" s="849" t="s">
        <v>64</v>
      </c>
      <c r="BE171" s="48" t="s">
        <v>64</v>
      </c>
      <c r="BF171" s="668" t="s">
        <v>64</v>
      </c>
      <c r="BG171" s="48" t="s">
        <v>64</v>
      </c>
      <c r="BH171" s="48" t="s">
        <v>64</v>
      </c>
      <c r="BI171" s="850" t="str">
        <f t="shared" si="122"/>
        <v>-</v>
      </c>
      <c r="BJ171" s="789" t="str">
        <f t="shared" si="123"/>
        <v>-</v>
      </c>
      <c r="BK171" s="561" t="s">
        <v>64</v>
      </c>
      <c r="BL171" s="48" t="s">
        <v>64</v>
      </c>
      <c r="BM171" s="48" t="s">
        <v>64</v>
      </c>
      <c r="BN171" s="850" t="str">
        <f t="shared" si="124"/>
        <v>-</v>
      </c>
      <c r="BO171" s="789" t="str">
        <f t="shared" si="125"/>
        <v>-</v>
      </c>
      <c r="BP171" s="789" t="str">
        <f t="shared" si="126"/>
        <v>-</v>
      </c>
      <c r="BQ171" s="34" t="s">
        <v>64</v>
      </c>
      <c r="BR171" s="25">
        <v>2.6833768894166758</v>
      </c>
      <c r="BS171" s="26">
        <v>2.9294226309975002</v>
      </c>
      <c r="BT171" s="605"/>
      <c r="BU171" s="599">
        <v>0.14012563570551687</v>
      </c>
      <c r="BV171" s="851">
        <v>2.7641336136206989E-2</v>
      </c>
      <c r="BW171" s="851">
        <v>6.5888533379976577E-2</v>
      </c>
      <c r="BX171" s="851">
        <v>0.11755684715852618</v>
      </c>
      <c r="BY171" s="851">
        <v>6.1780635499371949E-3</v>
      </c>
      <c r="BZ171" s="851">
        <v>2.0599645057776755E-2</v>
      </c>
      <c r="CA171" s="851">
        <v>2.2711496366077884E-2</v>
      </c>
      <c r="CB171" s="851">
        <v>3.1461500192571899E-2</v>
      </c>
      <c r="CC171" s="851">
        <v>1.1208073891654641E-2</v>
      </c>
      <c r="CD171" s="851">
        <v>6.9441602216564679E-3</v>
      </c>
      <c r="CE171" s="852">
        <v>24.730351314257582</v>
      </c>
      <c r="CF171" s="852">
        <v>21.907208106411861</v>
      </c>
      <c r="CG171" s="605"/>
      <c r="CH171" s="584">
        <v>49.9084</v>
      </c>
      <c r="CI171" s="576">
        <v>2.2121200000000001</v>
      </c>
      <c r="CJ171" s="576">
        <v>14.2151</v>
      </c>
      <c r="CK171" s="576">
        <v>10.570600000000001</v>
      </c>
      <c r="CL171" s="576">
        <v>0.16259299999999999</v>
      </c>
      <c r="CM171" s="576">
        <v>6.9470200000000002</v>
      </c>
      <c r="CN171" s="576">
        <v>11.054399999999999</v>
      </c>
      <c r="CO171" s="576">
        <v>2.1798700000000002</v>
      </c>
      <c r="CP171" s="576">
        <v>0.40938799999999997</v>
      </c>
      <c r="CQ171" s="576">
        <v>0.236068</v>
      </c>
      <c r="CR171" s="857">
        <v>1.7101999999999999E-2</v>
      </c>
      <c r="CS171" s="793">
        <v>1381.6000000000001</v>
      </c>
      <c r="CT171" s="576">
        <f t="shared" si="131"/>
        <v>98.050820999999999</v>
      </c>
      <c r="CU171" s="576" t="s">
        <v>64</v>
      </c>
      <c r="CV171" s="591" t="s">
        <v>64</v>
      </c>
      <c r="CW171" s="605"/>
      <c r="CX171" s="936" t="s">
        <v>64</v>
      </c>
      <c r="CY171" s="934" t="s">
        <v>64</v>
      </c>
      <c r="CZ171" s="934" t="s">
        <v>64</v>
      </c>
      <c r="DA171" s="938" t="str">
        <f t="shared" si="128"/>
        <v>-</v>
      </c>
      <c r="DB171" s="936" t="s">
        <v>64</v>
      </c>
      <c r="DC171" s="934" t="s">
        <v>64</v>
      </c>
      <c r="DD171" s="934" t="s">
        <v>64</v>
      </c>
      <c r="DE171" s="939" t="str">
        <f t="shared" si="129"/>
        <v>-</v>
      </c>
      <c r="DF171" s="9"/>
    </row>
    <row r="172" spans="1:110">
      <c r="A172" s="846" t="s">
        <v>277</v>
      </c>
      <c r="B172" s="41" t="s">
        <v>156</v>
      </c>
      <c r="C172" s="41" t="s">
        <v>1490</v>
      </c>
      <c r="D172" s="34">
        <v>1500</v>
      </c>
      <c r="E172" s="535">
        <v>19.42567</v>
      </c>
      <c r="F172" s="537">
        <v>-155.25163000000001</v>
      </c>
      <c r="G172" s="37" t="s">
        <v>997</v>
      </c>
      <c r="H172" s="860" t="s">
        <v>760</v>
      </c>
      <c r="I172" s="202" t="s">
        <v>780</v>
      </c>
      <c r="J172" t="s">
        <v>882</v>
      </c>
      <c r="K172" s="34">
        <v>2021</v>
      </c>
      <c r="L172" s="51">
        <v>44</v>
      </c>
      <c r="M172" s="52">
        <v>28</v>
      </c>
      <c r="N172" s="838">
        <f t="shared" si="112"/>
        <v>23221.968000000004</v>
      </c>
      <c r="O172" s="54">
        <v>17258.53559203638</v>
      </c>
      <c r="P172" s="53">
        <v>22.5</v>
      </c>
      <c r="Q172" s="54">
        <v>5964.117303299372</v>
      </c>
      <c r="R172" s="772">
        <f t="shared" si="113"/>
        <v>0.2568232548701298</v>
      </c>
      <c r="S172" s="624" t="s">
        <v>202</v>
      </c>
      <c r="T172" s="37" t="s">
        <v>132</v>
      </c>
      <c r="U172" s="21">
        <v>83.012859702744237</v>
      </c>
      <c r="V172" s="552" t="s">
        <v>423</v>
      </c>
      <c r="W172" s="552" t="s">
        <v>423</v>
      </c>
      <c r="X172" s="556">
        <v>102.91342121273581</v>
      </c>
      <c r="Y172" s="784">
        <v>1.0420081771745316E-2</v>
      </c>
      <c r="Z172" s="784">
        <v>0.11426453052121133</v>
      </c>
      <c r="AA172" s="785">
        <v>3.6991290289683561E-3</v>
      </c>
      <c r="AB172" s="32">
        <f t="shared" si="114"/>
        <v>1157.7146101168071</v>
      </c>
      <c r="AC172" s="6">
        <f t="shared" si="115"/>
        <v>1144.227699</v>
      </c>
      <c r="AD172" s="6">
        <f t="shared" si="116"/>
        <v>13.48691111680705</v>
      </c>
      <c r="AE172" s="6">
        <f t="shared" si="117"/>
        <v>1179.8206789042124</v>
      </c>
      <c r="AF172" s="839">
        <v>0.98699999999999999</v>
      </c>
      <c r="AG172" s="553">
        <f t="shared" si="118"/>
        <v>1.3171225937183451E-2</v>
      </c>
      <c r="AH172" s="32">
        <f t="shared" si="130"/>
        <v>54.909700632645858</v>
      </c>
      <c r="AI172" s="9">
        <v>51.046857434557815</v>
      </c>
      <c r="AJ172" s="9">
        <v>2.370248248242377</v>
      </c>
      <c r="AK172" s="9">
        <v>14.364348254840689</v>
      </c>
      <c r="AL172" s="9">
        <v>10.467925731308121</v>
      </c>
      <c r="AM172" s="9">
        <v>0.16197367061418622</v>
      </c>
      <c r="AN172" s="9">
        <v>7.1499806028262194</v>
      </c>
      <c r="AO172" s="9">
        <v>11.585644663310363</v>
      </c>
      <c r="AP172" s="9">
        <v>2.1298028614300137</v>
      </c>
      <c r="AQ172" s="9">
        <v>0.34708643703039899</v>
      </c>
      <c r="AR172" s="9">
        <v>0.22736676744600054</v>
      </c>
      <c r="AS172" s="6">
        <v>172.00066605882111</v>
      </c>
      <c r="AT172" s="6">
        <v>1315.6526178790393</v>
      </c>
      <c r="AU172" s="9">
        <v>98.009126999999992</v>
      </c>
      <c r="AV172" s="8">
        <f t="shared" si="120"/>
        <v>2.0941825640720131</v>
      </c>
      <c r="AW172" s="9">
        <f t="shared" si="121"/>
        <v>8.5836990996726605</v>
      </c>
      <c r="AX172" s="8" t="s">
        <v>64</v>
      </c>
      <c r="AY172" s="789" t="s">
        <v>64</v>
      </c>
      <c r="AZ172" s="863" t="s">
        <v>897</v>
      </c>
      <c r="BA172" s="48" t="s">
        <v>64</v>
      </c>
      <c r="BB172" s="6">
        <v>13166.151426779163</v>
      </c>
      <c r="BC172" s="48">
        <v>1333.4158510088764</v>
      </c>
      <c r="BD172" s="6" t="s">
        <v>998</v>
      </c>
      <c r="BE172" s="48" t="s">
        <v>998</v>
      </c>
      <c r="BF172" s="668" t="s">
        <v>1008</v>
      </c>
      <c r="BG172" s="48" t="s">
        <v>64</v>
      </c>
      <c r="BH172" s="48" t="s">
        <v>64</v>
      </c>
      <c r="BI172" s="850" t="str">
        <f t="shared" si="122"/>
        <v>-</v>
      </c>
      <c r="BJ172" s="789" t="str">
        <f t="shared" si="123"/>
        <v>-</v>
      </c>
      <c r="BK172" s="67">
        <v>335</v>
      </c>
      <c r="BL172" s="48">
        <v>33.500000000000057</v>
      </c>
      <c r="BM172" s="48">
        <v>12</v>
      </c>
      <c r="BN172" s="850">
        <f t="shared" si="124"/>
        <v>1.4438192436499999</v>
      </c>
      <c r="BO172" s="789">
        <f t="shared" si="125"/>
        <v>0.13879369552815035</v>
      </c>
      <c r="BP172" s="789">
        <f t="shared" si="126"/>
        <v>4.9952245387199889E-2</v>
      </c>
      <c r="BQ172" s="861" t="s">
        <v>760</v>
      </c>
      <c r="BR172" s="25">
        <v>2.679880380688092</v>
      </c>
      <c r="BS172" s="26">
        <v>2.9206511962633899</v>
      </c>
      <c r="BT172" s="605"/>
      <c r="BU172" s="599">
        <v>0.14042990480246856</v>
      </c>
      <c r="BV172" s="851">
        <v>2.7997372308238955E-2</v>
      </c>
      <c r="BW172" s="851">
        <v>6.5992976039354181E-2</v>
      </c>
      <c r="BX172" s="851">
        <v>0.11572082537446501</v>
      </c>
      <c r="BY172" s="851">
        <v>5.8476868380827806E-3</v>
      </c>
      <c r="BZ172" s="851">
        <v>1.9983838285869141E-2</v>
      </c>
      <c r="CA172" s="851">
        <v>2.3196198462646842E-2</v>
      </c>
      <c r="CB172" s="851">
        <v>3.1100446284031778E-2</v>
      </c>
      <c r="CC172" s="851">
        <v>1.0280977933990042E-2</v>
      </c>
      <c r="CD172" s="851">
        <v>6.946054745475317E-3</v>
      </c>
      <c r="CE172" s="852">
        <v>24.949900616494411</v>
      </c>
      <c r="CF172" s="852">
        <v>22.385829293211852</v>
      </c>
      <c r="CG172" s="605"/>
      <c r="CH172" s="584">
        <v>50.170400000000001</v>
      </c>
      <c r="CI172" s="576">
        <v>2.3561399999999999</v>
      </c>
      <c r="CJ172" s="576">
        <v>14.2684</v>
      </c>
      <c r="CK172" s="576">
        <v>10.2319</v>
      </c>
      <c r="CL172" s="576">
        <v>0.16107299999999999</v>
      </c>
      <c r="CM172" s="576">
        <v>6.4789899999999996</v>
      </c>
      <c r="CN172" s="576">
        <v>11.4985</v>
      </c>
      <c r="CO172" s="576">
        <v>2.1172900000000001</v>
      </c>
      <c r="CP172" s="576">
        <v>0.34887499999999999</v>
      </c>
      <c r="CQ172" s="576">
        <v>0.23072300000000001</v>
      </c>
      <c r="CR172" s="857">
        <v>1.6976999999999999E-2</v>
      </c>
      <c r="CS172" s="793">
        <v>1298.5899999999999</v>
      </c>
      <c r="CT172" s="576">
        <f t="shared" si="131"/>
        <v>98.009126999999992</v>
      </c>
      <c r="CU172" s="576" t="s">
        <v>64</v>
      </c>
      <c r="CV172" s="591" t="s">
        <v>64</v>
      </c>
      <c r="CW172" s="605"/>
      <c r="CX172" s="936" t="s">
        <v>998</v>
      </c>
      <c r="CY172" s="934" t="s">
        <v>64</v>
      </c>
      <c r="CZ172" s="934" t="s">
        <v>64</v>
      </c>
      <c r="DA172" s="938" t="str">
        <f t="shared" si="128"/>
        <v>-</v>
      </c>
      <c r="DB172" s="936" t="s">
        <v>998</v>
      </c>
      <c r="DC172" s="934" t="s">
        <v>64</v>
      </c>
      <c r="DD172" s="934" t="s">
        <v>64</v>
      </c>
      <c r="DE172" s="939" t="str">
        <f t="shared" si="129"/>
        <v>-</v>
      </c>
      <c r="DF172" s="9"/>
    </row>
    <row r="173" spans="1:110">
      <c r="A173" s="846" t="s">
        <v>278</v>
      </c>
      <c r="B173" s="41" t="s">
        <v>156</v>
      </c>
      <c r="C173" s="41" t="s">
        <v>1490</v>
      </c>
      <c r="D173" s="34">
        <v>1500</v>
      </c>
      <c r="E173" s="535">
        <v>19.42567</v>
      </c>
      <c r="F173" s="537">
        <v>-155.25163000000001</v>
      </c>
      <c r="G173" s="37" t="s">
        <v>997</v>
      </c>
      <c r="H173" s="860" t="s">
        <v>760</v>
      </c>
      <c r="I173" s="202" t="s">
        <v>780</v>
      </c>
      <c r="J173" t="s">
        <v>877</v>
      </c>
      <c r="K173" s="34">
        <v>2021</v>
      </c>
      <c r="L173" s="51">
        <v>76</v>
      </c>
      <c r="M173" s="52">
        <v>13</v>
      </c>
      <c r="N173" s="54">
        <f t="shared" ref="N173" si="132">(4*3.1415/3)*(L173/2)*(M173/2)*(AVERAGE(L173,M173)/2)</f>
        <v>23019.864833333333</v>
      </c>
      <c r="O173" s="54">
        <v>14824.49679766882</v>
      </c>
      <c r="P173" s="53">
        <v>25.014391713553401</v>
      </c>
      <c r="Q173" s="54">
        <v>8195.3680356645127</v>
      </c>
      <c r="R173" s="772">
        <f t="shared" si="113"/>
        <v>0.35601286519273639</v>
      </c>
      <c r="S173" s="624" t="s">
        <v>205</v>
      </c>
      <c r="T173" s="37" t="s">
        <v>132</v>
      </c>
      <c r="U173" s="21">
        <v>83.21935855142624</v>
      </c>
      <c r="V173" s="552" t="s">
        <v>423</v>
      </c>
      <c r="W173" s="552" t="s">
        <v>423</v>
      </c>
      <c r="X173" s="556" t="s">
        <v>423</v>
      </c>
      <c r="Y173" s="784" t="s">
        <v>64</v>
      </c>
      <c r="Z173" s="784" t="s">
        <v>64</v>
      </c>
      <c r="AA173" s="785" t="s">
        <v>64</v>
      </c>
      <c r="AB173" s="32">
        <f t="shared" si="114"/>
        <v>1177.2647927279038</v>
      </c>
      <c r="AC173" s="6">
        <f t="shared" si="115"/>
        <v>1147.460382</v>
      </c>
      <c r="AD173" s="6">
        <f t="shared" si="116"/>
        <v>29.804410727903814</v>
      </c>
      <c r="AE173" s="6">
        <f t="shared" si="117"/>
        <v>1182.1554578134019</v>
      </c>
      <c r="AF173" s="839">
        <v>0.96499999999999997</v>
      </c>
      <c r="AG173" s="553">
        <f t="shared" si="118"/>
        <v>3.62694300518136E-2</v>
      </c>
      <c r="AH173" s="32">
        <f t="shared" si="130"/>
        <v>55.311448560925648</v>
      </c>
      <c r="AI173" s="9">
        <v>50.170880494513284</v>
      </c>
      <c r="AJ173" s="9">
        <v>2.2533218612536157</v>
      </c>
      <c r="AK173" s="9">
        <v>13.69001218340015</v>
      </c>
      <c r="AL173" s="9">
        <v>11.700366216585321</v>
      </c>
      <c r="AM173" s="9">
        <v>0.1831641709460286</v>
      </c>
      <c r="AN173" s="9">
        <v>8.1226265038758072</v>
      </c>
      <c r="AO173" s="9">
        <v>11.086464324953029</v>
      </c>
      <c r="AP173" s="9">
        <v>2.1124263451412864</v>
      </c>
      <c r="AQ173" s="9">
        <v>0.32909166977665583</v>
      </c>
      <c r="AR173" s="9">
        <v>0.22241363614874904</v>
      </c>
      <c r="AS173" s="6">
        <v>167.79903824430332</v>
      </c>
      <c r="AT173" s="6">
        <v>1124.5268958162997</v>
      </c>
      <c r="AU173" s="9">
        <v>98.773108999999991</v>
      </c>
      <c r="AV173" s="8">
        <f t="shared" si="120"/>
        <v>2.3407409980705163</v>
      </c>
      <c r="AW173" s="9">
        <f t="shared" si="121"/>
        <v>9.5943002975999647</v>
      </c>
      <c r="AX173" s="8" t="s">
        <v>64</v>
      </c>
      <c r="AY173" s="789" t="s">
        <v>64</v>
      </c>
      <c r="AZ173" s="6" t="s">
        <v>64</v>
      </c>
      <c r="BA173" s="48" t="s">
        <v>64</v>
      </c>
      <c r="BB173" s="6" t="s">
        <v>64</v>
      </c>
      <c r="BC173" s="48" t="s">
        <v>64</v>
      </c>
      <c r="BD173" s="849" t="s">
        <v>64</v>
      </c>
      <c r="BE173" s="48" t="s">
        <v>64</v>
      </c>
      <c r="BF173" s="668" t="s">
        <v>1008</v>
      </c>
      <c r="BG173" s="48" t="s">
        <v>64</v>
      </c>
      <c r="BH173" s="48" t="s">
        <v>64</v>
      </c>
      <c r="BI173" s="850" t="str">
        <f t="shared" si="122"/>
        <v>-</v>
      </c>
      <c r="BJ173" s="789" t="str">
        <f t="shared" si="123"/>
        <v>-</v>
      </c>
      <c r="BK173" s="563" t="s">
        <v>911</v>
      </c>
      <c r="BL173" s="48" t="s">
        <v>64</v>
      </c>
      <c r="BM173" s="48" t="s">
        <v>64</v>
      </c>
      <c r="BN173" s="850" t="str">
        <f t="shared" si="124"/>
        <v>-</v>
      </c>
      <c r="BO173" s="789" t="str">
        <f t="shared" si="125"/>
        <v>-</v>
      </c>
      <c r="BP173" s="789" t="str">
        <f t="shared" si="126"/>
        <v>-</v>
      </c>
      <c r="BQ173" s="861" t="s">
        <v>760</v>
      </c>
      <c r="BR173" s="25">
        <v>2.700466535801942</v>
      </c>
      <c r="BS173" s="26">
        <v>2.9464630845427728</v>
      </c>
      <c r="BT173" s="605"/>
      <c r="BU173" s="599">
        <v>0.13848567801139514</v>
      </c>
      <c r="BV173" s="851">
        <v>2.7872915427148849E-2</v>
      </c>
      <c r="BW173" s="851">
        <v>6.3656366250861351E-2</v>
      </c>
      <c r="BX173" s="851">
        <v>0.12156914506356481</v>
      </c>
      <c r="BY173" s="851">
        <v>6.154426042289129E-3</v>
      </c>
      <c r="BZ173" s="851">
        <v>2.2520063208260714E-2</v>
      </c>
      <c r="CA173" s="851">
        <v>2.2368383015954979E-2</v>
      </c>
      <c r="CB173" s="851">
        <v>3.0625534666589342E-2</v>
      </c>
      <c r="CC173" s="851">
        <v>1.0164555676890636E-2</v>
      </c>
      <c r="CD173" s="851">
        <v>6.6607323685646614E-3</v>
      </c>
      <c r="CE173" s="852">
        <v>24.507049535580503</v>
      </c>
      <c r="CF173" s="852">
        <v>20.97321377580106</v>
      </c>
      <c r="CG173" s="605"/>
      <c r="CH173" s="584">
        <v>49.9146</v>
      </c>
      <c r="CI173" s="576">
        <v>2.3052899999999998</v>
      </c>
      <c r="CJ173" s="576">
        <v>14.0131</v>
      </c>
      <c r="CK173" s="576">
        <v>11.527900000000001</v>
      </c>
      <c r="CL173" s="576">
        <v>0.17497299999999999</v>
      </c>
      <c r="CM173" s="576">
        <v>6.6398200000000003</v>
      </c>
      <c r="CN173" s="576">
        <v>11.334899999999999</v>
      </c>
      <c r="CO173" s="576">
        <v>2.16309</v>
      </c>
      <c r="CP173" s="576">
        <v>0.33595900000000001</v>
      </c>
      <c r="CQ173" s="576">
        <v>0.232041</v>
      </c>
      <c r="CR173" s="857">
        <v>1.7066000000000001E-2</v>
      </c>
      <c r="CS173" s="793">
        <v>1143.7</v>
      </c>
      <c r="CT173" s="576">
        <f t="shared" si="131"/>
        <v>98.773108999999991</v>
      </c>
      <c r="CU173" s="576" t="s">
        <v>64</v>
      </c>
      <c r="CV173" s="591" t="s">
        <v>64</v>
      </c>
      <c r="CW173" s="605"/>
      <c r="CX173" s="936" t="s">
        <v>64</v>
      </c>
      <c r="CY173" s="934" t="s">
        <v>64</v>
      </c>
      <c r="CZ173" s="934" t="s">
        <v>64</v>
      </c>
      <c r="DA173" s="938" t="str">
        <f t="shared" si="128"/>
        <v>-</v>
      </c>
      <c r="DB173" s="936" t="s">
        <v>64</v>
      </c>
      <c r="DC173" s="934" t="s">
        <v>64</v>
      </c>
      <c r="DD173" s="934" t="s">
        <v>64</v>
      </c>
      <c r="DE173" s="939" t="str">
        <f t="shared" si="129"/>
        <v>-</v>
      </c>
      <c r="DF173" s="9"/>
    </row>
    <row r="174" spans="1:110">
      <c r="A174" s="846" t="s">
        <v>279</v>
      </c>
      <c r="B174" s="41" t="s">
        <v>156</v>
      </c>
      <c r="C174" s="41" t="s">
        <v>1490</v>
      </c>
      <c r="D174" s="34">
        <v>1500</v>
      </c>
      <c r="E174" s="535">
        <v>19.42567</v>
      </c>
      <c r="F174" s="537">
        <v>-155.25163000000001</v>
      </c>
      <c r="G174" s="37" t="s">
        <v>405</v>
      </c>
      <c r="H174" s="37" t="s">
        <v>64</v>
      </c>
      <c r="I174" s="202" t="s">
        <v>780</v>
      </c>
      <c r="J174" t="s">
        <v>877</v>
      </c>
      <c r="K174" s="34">
        <v>2021</v>
      </c>
      <c r="L174" s="51">
        <v>47</v>
      </c>
      <c r="M174" s="52">
        <v>17</v>
      </c>
      <c r="N174" s="54">
        <f>(4*3.1415/3)*(L174/2)*(M174/2)*(AVERAGE(L174,M174)/2)</f>
        <v>13386.97866666667</v>
      </c>
      <c r="O174" s="54">
        <v>13386.97866666667</v>
      </c>
      <c r="P174" s="53" t="s">
        <v>151</v>
      </c>
      <c r="Q174" s="54" t="s">
        <v>151</v>
      </c>
      <c r="R174" s="772">
        <f t="shared" ref="R174" si="133">IF(Q174="no bubble",0,IF(H174="Isolated fluid inclusion",1,Q174/(Q174+O174)))</f>
        <v>0</v>
      </c>
      <c r="S174" s="624" t="s">
        <v>205</v>
      </c>
      <c r="T174" s="37" t="s">
        <v>132</v>
      </c>
      <c r="U174" s="21">
        <v>83.21935855142624</v>
      </c>
      <c r="V174" s="552" t="s">
        <v>423</v>
      </c>
      <c r="W174" s="552" t="s">
        <v>423</v>
      </c>
      <c r="X174" s="556" t="s">
        <v>64</v>
      </c>
      <c r="Y174" s="784" t="s">
        <v>64</v>
      </c>
      <c r="Z174" s="784" t="s">
        <v>64</v>
      </c>
      <c r="AA174" s="785" t="s">
        <v>64</v>
      </c>
      <c r="AB174" s="32">
        <f t="shared" si="114"/>
        <v>1174.6102319307529</v>
      </c>
      <c r="AC174" s="6">
        <f t="shared" si="115"/>
        <v>1146.6915570000001</v>
      </c>
      <c r="AD174" s="6">
        <f t="shared" si="116"/>
        <v>27.918674930752786</v>
      </c>
      <c r="AE174" s="6">
        <f t="shared" si="117"/>
        <v>1182.1554578134019</v>
      </c>
      <c r="AF174" s="839">
        <v>0.96799999999999997</v>
      </c>
      <c r="AG174" s="553">
        <f t="shared" si="118"/>
        <v>3.3057851239669533E-2</v>
      </c>
      <c r="AH174" s="32">
        <f t="shared" si="130"/>
        <v>55.351704320865849</v>
      </c>
      <c r="AI174" s="9">
        <v>50.632357432945575</v>
      </c>
      <c r="AJ174" s="9">
        <v>2.1608611743451767</v>
      </c>
      <c r="AK174" s="9">
        <v>13.790076805364842</v>
      </c>
      <c r="AL174" s="9">
        <v>11.491395341966925</v>
      </c>
      <c r="AM174" s="9">
        <v>0.18308972706276636</v>
      </c>
      <c r="AN174" s="9">
        <v>7.990558802525018</v>
      </c>
      <c r="AO174" s="9">
        <v>10.868689072451252</v>
      </c>
      <c r="AP174" s="9">
        <v>2.0783701984157985</v>
      </c>
      <c r="AQ174" s="9">
        <v>0.40742494209022195</v>
      </c>
      <c r="AR174" s="9">
        <v>0.23338910262946044</v>
      </c>
      <c r="AS174" s="6">
        <v>184.44411329288937</v>
      </c>
      <c r="AT174" s="6">
        <v>1453.4298887364948</v>
      </c>
      <c r="AU174" s="9">
        <v>98.55477599999999</v>
      </c>
      <c r="AV174" s="8">
        <f t="shared" si="120"/>
        <v>2.2989348969137366</v>
      </c>
      <c r="AW174" s="9">
        <f t="shared" si="121"/>
        <v>9.4229441804128786</v>
      </c>
      <c r="AX174" s="8" t="s">
        <v>64</v>
      </c>
      <c r="AY174" s="789" t="s">
        <v>64</v>
      </c>
      <c r="AZ174" s="6" t="s">
        <v>64</v>
      </c>
      <c r="BA174" s="48" t="s">
        <v>64</v>
      </c>
      <c r="BB174" s="6" t="s">
        <v>151</v>
      </c>
      <c r="BC174" s="48" t="s">
        <v>151</v>
      </c>
      <c r="BD174" s="849" t="s">
        <v>64</v>
      </c>
      <c r="BE174" s="48" t="s">
        <v>64</v>
      </c>
      <c r="BF174" s="668" t="s">
        <v>64</v>
      </c>
      <c r="BG174" s="48" t="s">
        <v>64</v>
      </c>
      <c r="BH174" s="48" t="s">
        <v>64</v>
      </c>
      <c r="BI174" s="850" t="str">
        <f t="shared" si="122"/>
        <v>-</v>
      </c>
      <c r="BJ174" s="789" t="str">
        <f t="shared" si="123"/>
        <v>-</v>
      </c>
      <c r="BK174" s="561" t="s">
        <v>64</v>
      </c>
      <c r="BL174" s="48" t="s">
        <v>64</v>
      </c>
      <c r="BM174" s="48" t="s">
        <v>64</v>
      </c>
      <c r="BN174" s="850" t="str">
        <f t="shared" si="124"/>
        <v>-</v>
      </c>
      <c r="BO174" s="789" t="str">
        <f t="shared" si="125"/>
        <v>-</v>
      </c>
      <c r="BP174" s="789" t="str">
        <f t="shared" si="126"/>
        <v>-</v>
      </c>
      <c r="BQ174" s="34" t="s">
        <v>64</v>
      </c>
      <c r="BR174" s="25">
        <v>2.6925403893175268</v>
      </c>
      <c r="BS174" s="26">
        <v>2.9339911325926789</v>
      </c>
      <c r="BT174" s="605"/>
      <c r="BU174" s="599">
        <v>0.1393670828049057</v>
      </c>
      <c r="BV174" s="851">
        <v>2.6902721620597453E-2</v>
      </c>
      <c r="BW174" s="851">
        <v>6.404401260024345E-2</v>
      </c>
      <c r="BX174" s="851">
        <v>0.12083661857891899</v>
      </c>
      <c r="BY174" s="851">
        <v>6.0141313545577493E-3</v>
      </c>
      <c r="BZ174" s="851">
        <v>2.2190181322552099E-2</v>
      </c>
      <c r="CA174" s="851">
        <v>2.220842712930254E-2</v>
      </c>
      <c r="CB174" s="851">
        <v>3.0458515257783526E-2</v>
      </c>
      <c r="CC174" s="851">
        <v>1.0748562594741608E-2</v>
      </c>
      <c r="CD174" s="851">
        <v>7.1104324007091428E-3</v>
      </c>
      <c r="CE174" s="852">
        <v>24.332605202051134</v>
      </c>
      <c r="CF174" s="852">
        <v>22.433108960692302</v>
      </c>
      <c r="CG174" s="605"/>
      <c r="CH174" s="584">
        <v>50.2498</v>
      </c>
      <c r="CI174" s="576">
        <v>2.19455</v>
      </c>
      <c r="CJ174" s="576">
        <v>14.0486</v>
      </c>
      <c r="CK174" s="576">
        <v>11.2859</v>
      </c>
      <c r="CL174" s="576">
        <v>0.17846799999999999</v>
      </c>
      <c r="CM174" s="576">
        <v>6.6015699999999997</v>
      </c>
      <c r="CN174" s="576">
        <v>11.0623</v>
      </c>
      <c r="CO174" s="576">
        <v>2.1185200000000002</v>
      </c>
      <c r="CP174" s="576">
        <v>0.41659499999999999</v>
      </c>
      <c r="CQ174" s="576">
        <v>0.232709</v>
      </c>
      <c r="CR174" s="857">
        <v>1.8667E-2</v>
      </c>
      <c r="CS174" s="793">
        <v>1470.97</v>
      </c>
      <c r="CT174" s="576">
        <f t="shared" si="131"/>
        <v>98.55477599999999</v>
      </c>
      <c r="CU174" s="576" t="s">
        <v>64</v>
      </c>
      <c r="CV174" s="591" t="s">
        <v>64</v>
      </c>
      <c r="CW174" s="605"/>
      <c r="CX174" s="936" t="s">
        <v>64</v>
      </c>
      <c r="CY174" s="934" t="s">
        <v>64</v>
      </c>
      <c r="CZ174" s="934" t="s">
        <v>64</v>
      </c>
      <c r="DA174" s="938" t="str">
        <f t="shared" si="128"/>
        <v>-</v>
      </c>
      <c r="DB174" s="936" t="s">
        <v>64</v>
      </c>
      <c r="DC174" s="934" t="s">
        <v>64</v>
      </c>
      <c r="DD174" s="934" t="s">
        <v>64</v>
      </c>
      <c r="DE174" s="939" t="str">
        <f t="shared" si="129"/>
        <v>-</v>
      </c>
      <c r="DF174" s="9"/>
    </row>
    <row r="175" spans="1:110">
      <c r="A175" s="846" t="s">
        <v>280</v>
      </c>
      <c r="B175" s="41" t="s">
        <v>156</v>
      </c>
      <c r="C175" s="41" t="s">
        <v>1490</v>
      </c>
      <c r="D175" s="34">
        <v>1500</v>
      </c>
      <c r="E175" s="535">
        <v>19.42567</v>
      </c>
      <c r="F175" s="537">
        <v>-155.25163000000001</v>
      </c>
      <c r="G175" s="37" t="s">
        <v>405</v>
      </c>
      <c r="H175" s="37" t="s">
        <v>64</v>
      </c>
      <c r="I175" s="202" t="s">
        <v>780</v>
      </c>
      <c r="J175" t="s">
        <v>882</v>
      </c>
      <c r="K175" s="34">
        <v>2021</v>
      </c>
      <c r="L175" s="51">
        <v>30</v>
      </c>
      <c r="M175" s="52">
        <v>30</v>
      </c>
      <c r="N175" s="838">
        <f t="shared" si="112"/>
        <v>14136.75</v>
      </c>
      <c r="O175" s="54">
        <v>13993.373627405384</v>
      </c>
      <c r="P175" s="53">
        <v>6.5</v>
      </c>
      <c r="Q175" s="54">
        <v>143.79331374868281</v>
      </c>
      <c r="R175" s="772">
        <f t="shared" si="113"/>
        <v>1.0171296296296296E-2</v>
      </c>
      <c r="S175" s="624" t="s">
        <v>206</v>
      </c>
      <c r="T175" s="37" t="s">
        <v>132</v>
      </c>
      <c r="U175" s="21">
        <v>81.842871005809087</v>
      </c>
      <c r="V175" s="552" t="s">
        <v>423</v>
      </c>
      <c r="W175" s="552" t="s">
        <v>423</v>
      </c>
      <c r="X175" s="556" t="s">
        <v>292</v>
      </c>
      <c r="Y175" s="784" t="s">
        <v>64</v>
      </c>
      <c r="Z175" s="784" t="s">
        <v>292</v>
      </c>
      <c r="AA175" s="785" t="s">
        <v>64</v>
      </c>
      <c r="AB175" s="32">
        <f t="shared" si="114"/>
        <v>1124.0700593574197</v>
      </c>
      <c r="AC175" s="6">
        <f t="shared" si="115"/>
        <v>1122.0178020000001</v>
      </c>
      <c r="AD175" s="6">
        <f t="shared" si="116"/>
        <v>2.0522573574196485</v>
      </c>
      <c r="AE175" s="6">
        <f t="shared" si="117"/>
        <v>1167.7766092295242</v>
      </c>
      <c r="AF175" s="839">
        <v>0.997</v>
      </c>
      <c r="AG175" s="553">
        <f t="shared" si="118"/>
        <v>3.0090270812437314E-3</v>
      </c>
      <c r="AH175" s="32">
        <f t="shared" si="130"/>
        <v>52.589666908928614</v>
      </c>
      <c r="AI175" s="9">
        <v>57.669753123688707</v>
      </c>
      <c r="AJ175" s="9">
        <v>3.5184413746140937</v>
      </c>
      <c r="AK175" s="9">
        <v>13.724900914805559</v>
      </c>
      <c r="AL175" s="9">
        <v>8.8017181224095076</v>
      </c>
      <c r="AM175" s="9">
        <v>0.14578007087934611</v>
      </c>
      <c r="AN175" s="9">
        <v>5.4761223560905314</v>
      </c>
      <c r="AO175" s="9">
        <v>5.6219513389339362</v>
      </c>
      <c r="AP175" s="9">
        <v>3.694096465540976</v>
      </c>
      <c r="AQ175" s="9">
        <v>0.85052402902643831</v>
      </c>
      <c r="AR175" s="9">
        <v>0.43477641052194577</v>
      </c>
      <c r="AS175" s="6">
        <v>315.74562557981636</v>
      </c>
      <c r="AT175" s="6">
        <v>304.7215360875681</v>
      </c>
      <c r="AU175" s="9">
        <v>98.135498999999996</v>
      </c>
      <c r="AV175" s="8">
        <f t="shared" si="120"/>
        <v>1.7608459497088205</v>
      </c>
      <c r="AW175" s="9">
        <f t="shared" si="121"/>
        <v>7.2174088603757971</v>
      </c>
      <c r="AX175" s="8" t="s">
        <v>64</v>
      </c>
      <c r="AY175" s="789" t="s">
        <v>64</v>
      </c>
      <c r="AZ175" s="6" t="s">
        <v>64</v>
      </c>
      <c r="BA175" s="48" t="s">
        <v>64</v>
      </c>
      <c r="BB175" s="6" t="s">
        <v>292</v>
      </c>
      <c r="BC175" s="48" t="s">
        <v>292</v>
      </c>
      <c r="BD175" s="849" t="s">
        <v>64</v>
      </c>
      <c r="BE175" s="48" t="s">
        <v>64</v>
      </c>
      <c r="BF175" s="668" t="s">
        <v>64</v>
      </c>
      <c r="BG175" s="48" t="s">
        <v>64</v>
      </c>
      <c r="BH175" s="48" t="s">
        <v>64</v>
      </c>
      <c r="BI175" s="850" t="str">
        <f t="shared" si="122"/>
        <v>-</v>
      </c>
      <c r="BJ175" s="789" t="str">
        <f t="shared" si="123"/>
        <v>-</v>
      </c>
      <c r="BK175" s="67" t="s">
        <v>64</v>
      </c>
      <c r="BL175" s="48" t="s">
        <v>64</v>
      </c>
      <c r="BM175" s="48" t="s">
        <v>64</v>
      </c>
      <c r="BN175" s="850" t="str">
        <f t="shared" si="124"/>
        <v>-</v>
      </c>
      <c r="BO175" s="789" t="str">
        <f t="shared" si="125"/>
        <v>-</v>
      </c>
      <c r="BP175" s="789" t="str">
        <f t="shared" si="126"/>
        <v>-</v>
      </c>
      <c r="BQ175" s="34" t="s">
        <v>64</v>
      </c>
      <c r="BR175" s="25">
        <v>2.5744956914482788</v>
      </c>
      <c r="BS175" s="26">
        <v>2.7706430771647059</v>
      </c>
      <c r="BT175" s="605"/>
      <c r="BU175" s="599">
        <v>0.14877527571342963</v>
      </c>
      <c r="BV175" s="851">
        <v>3.3207612644227752E-2</v>
      </c>
      <c r="BW175" s="851">
        <v>6.4597618645623842E-2</v>
      </c>
      <c r="BX175" s="851">
        <v>0.10632915577776807</v>
      </c>
      <c r="BY175" s="851">
        <v>5.8235348034455904E-3</v>
      </c>
      <c r="BZ175" s="851">
        <v>1.6805124286370623E-2</v>
      </c>
      <c r="CA175" s="851">
        <v>1.6436618032074201E-2</v>
      </c>
      <c r="CB175" s="851">
        <v>3.9910648804058153E-2</v>
      </c>
      <c r="CC175" s="851">
        <v>1.4618211644086105E-2</v>
      </c>
      <c r="CD175" s="851">
        <v>7.4432417152125556E-3</v>
      </c>
      <c r="CE175" s="852">
        <v>25.401009362957392</v>
      </c>
      <c r="CF175" s="852">
        <v>17.486414876231485</v>
      </c>
      <c r="CG175" s="605"/>
      <c r="CH175" s="584">
        <v>56.594499999999996</v>
      </c>
      <c r="CI175" s="576">
        <v>3.4528400000000001</v>
      </c>
      <c r="CJ175" s="576">
        <v>13.468999999999999</v>
      </c>
      <c r="CK175" s="576">
        <v>8.6376100000000005</v>
      </c>
      <c r="CL175" s="576">
        <v>0.14306199999999999</v>
      </c>
      <c r="CM175" s="576">
        <v>5.3740199999999998</v>
      </c>
      <c r="CN175" s="576">
        <v>5.5171299999999999</v>
      </c>
      <c r="CO175" s="576">
        <v>3.6252200000000001</v>
      </c>
      <c r="CP175" s="576">
        <v>0.83466600000000002</v>
      </c>
      <c r="CQ175" s="576">
        <v>0.42666999999999999</v>
      </c>
      <c r="CR175" s="857">
        <v>3.0877000000000002E-2</v>
      </c>
      <c r="CS175" s="793">
        <v>299.04000000000002</v>
      </c>
      <c r="CT175" s="576">
        <f t="shared" si="131"/>
        <v>98.135498999999996</v>
      </c>
      <c r="CU175" s="576" t="s">
        <v>64</v>
      </c>
      <c r="CV175" s="591" t="s">
        <v>64</v>
      </c>
      <c r="CW175" s="605"/>
      <c r="CX175" s="936" t="s">
        <v>64</v>
      </c>
      <c r="CY175" s="934" t="s">
        <v>64</v>
      </c>
      <c r="CZ175" s="934" t="s">
        <v>64</v>
      </c>
      <c r="DA175" s="938" t="str">
        <f t="shared" si="128"/>
        <v>-</v>
      </c>
      <c r="DB175" s="936" t="s">
        <v>64</v>
      </c>
      <c r="DC175" s="934" t="s">
        <v>64</v>
      </c>
      <c r="DD175" s="934" t="s">
        <v>64</v>
      </c>
      <c r="DE175" s="939" t="str">
        <f t="shared" si="129"/>
        <v>-</v>
      </c>
      <c r="DF175" s="9"/>
    </row>
    <row r="176" spans="1:110">
      <c r="A176" s="846" t="s">
        <v>281</v>
      </c>
      <c r="B176" s="41" t="s">
        <v>156</v>
      </c>
      <c r="C176" s="41" t="s">
        <v>1490</v>
      </c>
      <c r="D176" s="34">
        <v>1500</v>
      </c>
      <c r="E176" s="535">
        <v>19.42567</v>
      </c>
      <c r="F176" s="537">
        <v>-155.25163000000001</v>
      </c>
      <c r="G176" s="37" t="s">
        <v>997</v>
      </c>
      <c r="H176" s="860" t="s">
        <v>760</v>
      </c>
      <c r="I176" s="202" t="s">
        <v>780</v>
      </c>
      <c r="J176" t="s">
        <v>881</v>
      </c>
      <c r="K176" s="34">
        <v>2021</v>
      </c>
      <c r="L176" s="51">
        <v>85</v>
      </c>
      <c r="M176" s="52">
        <v>47.5</v>
      </c>
      <c r="N176" s="838">
        <f t="shared" si="112"/>
        <v>140050.36067708334</v>
      </c>
      <c r="O176" s="54">
        <v>131873.26037295279</v>
      </c>
      <c r="P176" s="53">
        <v>25</v>
      </c>
      <c r="Q176" s="54">
        <v>8181.230868723419</v>
      </c>
      <c r="R176" s="772">
        <f t="shared" si="113"/>
        <v>5.8414627022606462E-2</v>
      </c>
      <c r="S176" s="624" t="s">
        <v>207</v>
      </c>
      <c r="T176" s="37" t="s">
        <v>132</v>
      </c>
      <c r="U176" s="21">
        <v>82.161312097683023</v>
      </c>
      <c r="V176" s="552" t="s">
        <v>423</v>
      </c>
      <c r="W176" s="552" t="s">
        <v>423</v>
      </c>
      <c r="X176" s="556">
        <v>102.80470169745392</v>
      </c>
      <c r="Y176" s="784">
        <v>1.085597007306399E-2</v>
      </c>
      <c r="Z176" s="784">
        <v>7.566910259613735E-2</v>
      </c>
      <c r="AA176" s="785">
        <v>3.8538693759359887E-3</v>
      </c>
      <c r="AB176" s="32">
        <f t="shared" si="114"/>
        <v>1169.4284763326143</v>
      </c>
      <c r="AC176" s="6">
        <f t="shared" si="115"/>
        <v>1161.771984</v>
      </c>
      <c r="AD176" s="6">
        <f t="shared" si="116"/>
        <v>7.6564923326143344</v>
      </c>
      <c r="AE176" s="6">
        <f t="shared" si="117"/>
        <v>1170.8618379486325</v>
      </c>
      <c r="AF176" s="839">
        <v>0.99099999999999999</v>
      </c>
      <c r="AG176" s="553">
        <f t="shared" si="118"/>
        <v>9.0817356205852295E-3</v>
      </c>
      <c r="AH176" s="32">
        <f t="shared" si="130"/>
        <v>53.531895267153914</v>
      </c>
      <c r="AI176" s="9">
        <v>50.617081601944491</v>
      </c>
      <c r="AJ176" s="9">
        <v>2.2204269264274505</v>
      </c>
      <c r="AK176" s="9">
        <v>13.741092415562358</v>
      </c>
      <c r="AL176" s="9">
        <v>11.967366692276633</v>
      </c>
      <c r="AM176" s="9">
        <v>0.18210116614561334</v>
      </c>
      <c r="AN176" s="9">
        <v>7.732760016547978</v>
      </c>
      <c r="AO176" s="9">
        <v>10.57897106089019</v>
      </c>
      <c r="AP176" s="9">
        <v>2.1590558151850066</v>
      </c>
      <c r="AQ176" s="9">
        <v>0.40746393529819558</v>
      </c>
      <c r="AR176" s="9">
        <v>0.21932626640742381</v>
      </c>
      <c r="AS176" s="6">
        <v>114.01844031877589</v>
      </c>
      <c r="AT176" s="6">
        <v>1427.0792344234235</v>
      </c>
      <c r="AU176" s="9">
        <v>99.232066999999986</v>
      </c>
      <c r="AV176" s="8">
        <f t="shared" si="120"/>
        <v>2.3941563312648801</v>
      </c>
      <c r="AW176" s="9">
        <f t="shared" si="121"/>
        <v>9.8132406876668394</v>
      </c>
      <c r="AX176" s="8">
        <v>0.3620207083920256</v>
      </c>
      <c r="AY176" s="789">
        <v>1.8101035419601282E-2</v>
      </c>
      <c r="AZ176" s="6">
        <v>201.21918297809529</v>
      </c>
      <c r="BA176" s="48">
        <v>20.121918297809529</v>
      </c>
      <c r="BB176" s="6">
        <v>1574.5978473194471</v>
      </c>
      <c r="BC176" s="48">
        <v>131.64915319231554</v>
      </c>
      <c r="BD176" s="6" t="s">
        <v>998</v>
      </c>
      <c r="BE176" s="48" t="s">
        <v>998</v>
      </c>
      <c r="BF176" s="668" t="s">
        <v>1008</v>
      </c>
      <c r="BG176" s="48" t="s">
        <v>64</v>
      </c>
      <c r="BH176" s="48" t="s">
        <v>64</v>
      </c>
      <c r="BI176" s="850" t="str">
        <f t="shared" si="122"/>
        <v>-</v>
      </c>
      <c r="BJ176" s="789" t="str">
        <f t="shared" si="123"/>
        <v>-</v>
      </c>
      <c r="BK176" s="57" t="s">
        <v>1009</v>
      </c>
      <c r="BL176" s="48" t="s">
        <v>64</v>
      </c>
      <c r="BM176" s="48" t="s">
        <v>64</v>
      </c>
      <c r="BN176" s="850" t="str">
        <f t="shared" si="124"/>
        <v>-</v>
      </c>
      <c r="BO176" s="789" t="str">
        <f t="shared" si="125"/>
        <v>-</v>
      </c>
      <c r="BP176" s="789" t="str">
        <f t="shared" si="126"/>
        <v>-</v>
      </c>
      <c r="BQ176" s="861" t="s">
        <v>760</v>
      </c>
      <c r="BR176" s="25">
        <v>2.6989569948797949</v>
      </c>
      <c r="BS176" s="26">
        <v>2.9498089629246289</v>
      </c>
      <c r="BT176" s="605"/>
      <c r="BU176" s="599">
        <v>0.13904411081890947</v>
      </c>
      <c r="BV176" s="851">
        <v>2.6816984161234892E-2</v>
      </c>
      <c r="BW176" s="851">
        <v>6.4376605734137185E-2</v>
      </c>
      <c r="BX176" s="851">
        <v>0.12325310630042627</v>
      </c>
      <c r="BY176" s="851">
        <v>5.8261993400125977E-3</v>
      </c>
      <c r="BZ176" s="851">
        <v>1.9878296864139226E-2</v>
      </c>
      <c r="CA176" s="851">
        <v>2.1430033257466476E-2</v>
      </c>
      <c r="CB176" s="851">
        <v>3.1740927255779337E-2</v>
      </c>
      <c r="CC176" s="851">
        <v>1.0890533077076051E-2</v>
      </c>
      <c r="CD176" s="851">
        <v>6.6611799696865096E-3</v>
      </c>
      <c r="CE176" s="852">
        <v>21.040620921105948</v>
      </c>
      <c r="CF176" s="852">
        <v>21.979588952742684</v>
      </c>
      <c r="CG176" s="605"/>
      <c r="CH176" s="584">
        <v>50.327599999999997</v>
      </c>
      <c r="CI176" s="576">
        <v>2.2205599999999999</v>
      </c>
      <c r="CJ176" s="576">
        <v>13.759499999999999</v>
      </c>
      <c r="CK176" s="576">
        <v>11.8492</v>
      </c>
      <c r="CL176" s="576">
        <v>0.17921100000000001</v>
      </c>
      <c r="CM176" s="576">
        <v>7.3518400000000002</v>
      </c>
      <c r="CN176" s="576">
        <v>10.592700000000001</v>
      </c>
      <c r="CO176" s="576">
        <v>2.1656</v>
      </c>
      <c r="CP176" s="576">
        <v>0.41085199999999999</v>
      </c>
      <c r="CQ176" s="576">
        <v>0.22162200000000001</v>
      </c>
      <c r="CR176" s="857">
        <v>1.1348E-2</v>
      </c>
      <c r="CS176" s="793">
        <v>1420.34</v>
      </c>
      <c r="CT176" s="576">
        <f t="shared" si="131"/>
        <v>99.232066999999986</v>
      </c>
      <c r="CU176" s="576">
        <v>0.3620207083920256</v>
      </c>
      <c r="CV176" s="591">
        <v>203.04660239969252</v>
      </c>
      <c r="CW176" s="605"/>
      <c r="CX176" s="936" t="s">
        <v>998</v>
      </c>
      <c r="CY176" s="934" t="s">
        <v>64</v>
      </c>
      <c r="CZ176" s="934" t="s">
        <v>64</v>
      </c>
      <c r="DA176" s="938" t="str">
        <f t="shared" si="128"/>
        <v>-</v>
      </c>
      <c r="DB176" s="936" t="s">
        <v>998</v>
      </c>
      <c r="DC176" s="934" t="s">
        <v>64</v>
      </c>
      <c r="DD176" s="934" t="s">
        <v>64</v>
      </c>
      <c r="DE176" s="939" t="str">
        <f t="shared" si="129"/>
        <v>-</v>
      </c>
      <c r="DF176" s="9"/>
    </row>
    <row r="177" spans="1:110">
      <c r="A177" s="846" t="s">
        <v>282</v>
      </c>
      <c r="B177" s="41" t="s">
        <v>156</v>
      </c>
      <c r="C177" s="41" t="s">
        <v>1490</v>
      </c>
      <c r="D177" s="34">
        <v>1500</v>
      </c>
      <c r="E177" s="535">
        <v>19.42567</v>
      </c>
      <c r="F177" s="537">
        <v>-155.25163000000001</v>
      </c>
      <c r="G177" s="37" t="s">
        <v>997</v>
      </c>
      <c r="H177" s="860" t="s">
        <v>760</v>
      </c>
      <c r="I177" s="202" t="s">
        <v>780</v>
      </c>
      <c r="J177" t="s">
        <v>881</v>
      </c>
      <c r="K177" s="34">
        <v>2021</v>
      </c>
      <c r="L177" s="51">
        <v>78</v>
      </c>
      <c r="M177" s="52">
        <v>24</v>
      </c>
      <c r="N177" s="838">
        <f t="shared" si="112"/>
        <v>49987.54800000001</v>
      </c>
      <c r="O177" s="54">
        <v>48291.623981976431</v>
      </c>
      <c r="P177" s="53">
        <v>14.8</v>
      </c>
      <c r="Q177" s="54">
        <v>1697.3983219443605</v>
      </c>
      <c r="R177" s="772">
        <f t="shared" si="113"/>
        <v>3.3955421484833249E-2</v>
      </c>
      <c r="S177" s="624" t="s">
        <v>207</v>
      </c>
      <c r="T177" s="37" t="s">
        <v>132</v>
      </c>
      <c r="U177" s="21">
        <v>82.161312097683023</v>
      </c>
      <c r="V177" s="552" t="s">
        <v>423</v>
      </c>
      <c r="W177" s="552" t="s">
        <v>423</v>
      </c>
      <c r="X177" s="556">
        <v>102.82697757147858</v>
      </c>
      <c r="Y177" s="784">
        <v>8.2270138397110316E-3</v>
      </c>
      <c r="Z177" s="784">
        <v>8.3577037874889015E-2</v>
      </c>
      <c r="AA177" s="785">
        <v>2.920589913097028E-3</v>
      </c>
      <c r="AB177" s="32">
        <f t="shared" si="114"/>
        <v>1169.1889196375973</v>
      </c>
      <c r="AC177" s="6">
        <f t="shared" si="115"/>
        <v>1154.9544660000001</v>
      </c>
      <c r="AD177" s="6">
        <f t="shared" si="116"/>
        <v>14.234453637597198</v>
      </c>
      <c r="AE177" s="6">
        <f t="shared" si="117"/>
        <v>1170.8618379486325</v>
      </c>
      <c r="AF177" s="839">
        <v>0.98199999999999998</v>
      </c>
      <c r="AG177" s="553">
        <f t="shared" si="118"/>
        <v>1.8329938900203624E-2</v>
      </c>
      <c r="AH177" s="32">
        <f t="shared" si="130"/>
        <v>53.560988604574156</v>
      </c>
      <c r="AI177" s="9">
        <v>50.517025983635456</v>
      </c>
      <c r="AJ177" s="9">
        <v>2.1714553038141444</v>
      </c>
      <c r="AK177" s="9">
        <v>13.961511742549238</v>
      </c>
      <c r="AL177" s="9">
        <v>11.934954290333442</v>
      </c>
      <c r="AM177" s="9">
        <v>0.17307243385358334</v>
      </c>
      <c r="AN177" s="9">
        <v>7.7208417730147971</v>
      </c>
      <c r="AO177" s="9">
        <v>10.634898566270481</v>
      </c>
      <c r="AP177" s="9">
        <v>2.1392557812367334</v>
      </c>
      <c r="AQ177" s="9">
        <v>0.38438180076784212</v>
      </c>
      <c r="AR177" s="9">
        <v>0.20728442659208238</v>
      </c>
      <c r="AS177" s="6">
        <v>153.57024148404597</v>
      </c>
      <c r="AT177" s="6">
        <v>1399.6087378377888</v>
      </c>
      <c r="AU177" s="9">
        <v>99.90596699999999</v>
      </c>
      <c r="AV177" s="8">
        <f t="shared" si="120"/>
        <v>2.387672001059316</v>
      </c>
      <c r="AW177" s="9">
        <f t="shared" si="121"/>
        <v>9.7866625180734221</v>
      </c>
      <c r="AX177" s="8">
        <v>0.3639642683096761</v>
      </c>
      <c r="AY177" s="789">
        <v>1.8198213415483805E-2</v>
      </c>
      <c r="AZ177" s="862" t="s">
        <v>292</v>
      </c>
      <c r="BA177" s="48" t="s">
        <v>64</v>
      </c>
      <c r="BB177" s="6">
        <v>977.98597944910045</v>
      </c>
      <c r="BC177" s="48">
        <v>113.42857189440132</v>
      </c>
      <c r="BD177" s="6" t="s">
        <v>998</v>
      </c>
      <c r="BE177" s="48" t="s">
        <v>998</v>
      </c>
      <c r="BF177" s="668" t="s">
        <v>1008</v>
      </c>
      <c r="BG177" s="48" t="s">
        <v>64</v>
      </c>
      <c r="BH177" s="48" t="s">
        <v>64</v>
      </c>
      <c r="BI177" s="850" t="str">
        <f t="shared" si="122"/>
        <v>-</v>
      </c>
      <c r="BJ177" s="789" t="str">
        <f t="shared" si="123"/>
        <v>-</v>
      </c>
      <c r="BK177" s="57" t="s">
        <v>1009</v>
      </c>
      <c r="BL177" s="48" t="s">
        <v>64</v>
      </c>
      <c r="BM177" s="48" t="s">
        <v>64</v>
      </c>
      <c r="BN177" s="850" t="str">
        <f t="shared" si="124"/>
        <v>-</v>
      </c>
      <c r="BO177" s="789" t="str">
        <f t="shared" si="125"/>
        <v>-</v>
      </c>
      <c r="BP177" s="789" t="str">
        <f t="shared" si="126"/>
        <v>-</v>
      </c>
      <c r="BQ177" s="861" t="s">
        <v>760</v>
      </c>
      <c r="BR177" s="25">
        <v>2.7017483869894892</v>
      </c>
      <c r="BS177" s="26">
        <v>2.946761976301727</v>
      </c>
      <c r="BT177" s="605"/>
      <c r="BU177" s="599">
        <v>0.13844544589997182</v>
      </c>
      <c r="BV177" s="851">
        <v>2.573587111527486E-2</v>
      </c>
      <c r="BW177" s="851">
        <v>6.4357542988924668E-2</v>
      </c>
      <c r="BX177" s="851">
        <v>0.12278322925266336</v>
      </c>
      <c r="BY177" s="851">
        <v>5.7137094877818878E-3</v>
      </c>
      <c r="BZ177" s="851">
        <v>2.0334149352335882E-2</v>
      </c>
      <c r="CA177" s="851">
        <v>2.1311592283906403E-2</v>
      </c>
      <c r="CB177" s="851">
        <v>3.135849479483678E-2</v>
      </c>
      <c r="CC177" s="851">
        <v>1.0666133713146697E-2</v>
      </c>
      <c r="CD177" s="851">
        <v>6.6042269303223586E-3</v>
      </c>
      <c r="CE177" s="852">
        <v>20.331164270072847</v>
      </c>
      <c r="CF177" s="852">
        <v>21.367686639695741</v>
      </c>
      <c r="CG177" s="605"/>
      <c r="CH177" s="584">
        <v>50.656100000000002</v>
      </c>
      <c r="CI177" s="576">
        <v>2.2107999999999999</v>
      </c>
      <c r="CJ177" s="576">
        <v>14.2003</v>
      </c>
      <c r="CK177" s="576">
        <v>11.895799999999999</v>
      </c>
      <c r="CL177" s="576">
        <v>0.174543</v>
      </c>
      <c r="CM177" s="576">
        <v>7.0126600000000003</v>
      </c>
      <c r="CN177" s="576">
        <v>10.8169</v>
      </c>
      <c r="CO177" s="576">
        <v>2.18127</v>
      </c>
      <c r="CP177" s="576">
        <v>0.38948199999999999</v>
      </c>
      <c r="CQ177" s="576">
        <v>0.21107500000000001</v>
      </c>
      <c r="CR177" s="857">
        <v>1.5526999999999999E-2</v>
      </c>
      <c r="CS177" s="793">
        <v>1415.1</v>
      </c>
      <c r="CT177" s="576">
        <f t="shared" si="131"/>
        <v>99.90596699999999</v>
      </c>
      <c r="CU177" s="576">
        <v>0.3639642683096761</v>
      </c>
      <c r="CV177" s="591" t="s">
        <v>292</v>
      </c>
      <c r="CW177" s="605"/>
      <c r="CX177" s="936" t="s">
        <v>998</v>
      </c>
      <c r="CY177" s="934" t="s">
        <v>64</v>
      </c>
      <c r="CZ177" s="934" t="s">
        <v>64</v>
      </c>
      <c r="DA177" s="938" t="str">
        <f t="shared" si="128"/>
        <v>-</v>
      </c>
      <c r="DB177" s="936" t="s">
        <v>998</v>
      </c>
      <c r="DC177" s="934" t="s">
        <v>64</v>
      </c>
      <c r="DD177" s="934" t="s">
        <v>64</v>
      </c>
      <c r="DE177" s="939" t="str">
        <f t="shared" si="129"/>
        <v>-</v>
      </c>
      <c r="DF177" s="9"/>
    </row>
    <row r="178" spans="1:110">
      <c r="A178" s="846" t="s">
        <v>192</v>
      </c>
      <c r="B178" s="41" t="s">
        <v>156</v>
      </c>
      <c r="C178" s="41" t="s">
        <v>1490</v>
      </c>
      <c r="D178" s="34">
        <v>1500</v>
      </c>
      <c r="E178" s="535">
        <v>19.42567</v>
      </c>
      <c r="F178" s="537">
        <v>-155.25163000000001</v>
      </c>
      <c r="G178" s="37" t="s">
        <v>405</v>
      </c>
      <c r="H178" s="37" t="s">
        <v>64</v>
      </c>
      <c r="I178" s="28">
        <v>5</v>
      </c>
      <c r="J178" t="s">
        <v>887</v>
      </c>
      <c r="K178" s="34">
        <v>2021</v>
      </c>
      <c r="L178" s="51">
        <v>35</v>
      </c>
      <c r="M178" s="52">
        <v>45</v>
      </c>
      <c r="N178" s="838">
        <f t="shared" si="112"/>
        <v>32985.75</v>
      </c>
      <c r="O178" s="54">
        <v>32338.124087094529</v>
      </c>
      <c r="P178" s="53">
        <v>10</v>
      </c>
      <c r="Q178" s="54">
        <v>523.59877559829886</v>
      </c>
      <c r="R178" s="772">
        <f t="shared" si="113"/>
        <v>1.5933393930259474E-2</v>
      </c>
      <c r="S178" s="624" t="s">
        <v>194</v>
      </c>
      <c r="T178" s="37" t="s">
        <v>132</v>
      </c>
      <c r="U178" s="21">
        <v>83.67802261326004</v>
      </c>
      <c r="V178" s="552" t="s">
        <v>423</v>
      </c>
      <c r="W178" s="552" t="s">
        <v>423</v>
      </c>
      <c r="X178" s="556" t="s">
        <v>292</v>
      </c>
      <c r="Y178" s="784" t="s">
        <v>64</v>
      </c>
      <c r="Z178" s="784" t="s">
        <v>292</v>
      </c>
      <c r="AA178" s="785" t="s">
        <v>64</v>
      </c>
      <c r="AB178" s="32">
        <f t="shared" si="114"/>
        <v>1172.6158021264316</v>
      </c>
      <c r="AC178" s="6">
        <f t="shared" si="115"/>
        <v>1141.257924</v>
      </c>
      <c r="AD178" s="6">
        <f t="shared" si="116"/>
        <v>31.357878126431615</v>
      </c>
      <c r="AE178" s="6">
        <f t="shared" si="117"/>
        <v>1187.578530272127</v>
      </c>
      <c r="AF178" s="839">
        <v>0.96399999999999997</v>
      </c>
      <c r="AG178" s="553">
        <f t="shared" si="118"/>
        <v>3.7344398340249052E-2</v>
      </c>
      <c r="AH178" s="32">
        <f t="shared" si="130"/>
        <v>56.153998786763594</v>
      </c>
      <c r="AI178" s="9">
        <v>50.581939446687926</v>
      </c>
      <c r="AJ178" s="9">
        <v>2.2487787137993305</v>
      </c>
      <c r="AK178" s="9">
        <v>14.240589745051995</v>
      </c>
      <c r="AL178" s="9">
        <v>10.985540359588326</v>
      </c>
      <c r="AM178" s="9">
        <v>0.18295830393897097</v>
      </c>
      <c r="AN178" s="9">
        <v>7.8913334391259458</v>
      </c>
      <c r="AO178" s="9">
        <v>10.696023922585997</v>
      </c>
      <c r="AP178" s="9">
        <v>2.3392526003625576</v>
      </c>
      <c r="AQ178" s="9">
        <v>0.37697452734678089</v>
      </c>
      <c r="AR178" s="9">
        <v>0.23221630884561703</v>
      </c>
      <c r="AS178" s="6">
        <v>169.09183168512834</v>
      </c>
      <c r="AT178" s="35" t="s">
        <v>64</v>
      </c>
      <c r="AU178" s="9">
        <v>98.56567800000002</v>
      </c>
      <c r="AV178" s="8">
        <f t="shared" si="120"/>
        <v>2.1977350306519954</v>
      </c>
      <c r="AW178" s="9">
        <f t="shared" si="121"/>
        <v>9.0081430948624295</v>
      </c>
      <c r="AX178" s="8" t="s">
        <v>64</v>
      </c>
      <c r="AY178" s="789" t="s">
        <v>64</v>
      </c>
      <c r="AZ178" s="6" t="s">
        <v>64</v>
      </c>
      <c r="BA178" s="48" t="s">
        <v>64</v>
      </c>
      <c r="BB178" s="6" t="s">
        <v>292</v>
      </c>
      <c r="BC178" s="48" t="s">
        <v>292</v>
      </c>
      <c r="BD178" s="849" t="s">
        <v>64</v>
      </c>
      <c r="BE178" s="48" t="s">
        <v>64</v>
      </c>
      <c r="BF178" s="668" t="s">
        <v>64</v>
      </c>
      <c r="BG178" s="48" t="s">
        <v>64</v>
      </c>
      <c r="BH178" s="48" t="s">
        <v>64</v>
      </c>
      <c r="BI178" s="850" t="str">
        <f t="shared" si="122"/>
        <v>-</v>
      </c>
      <c r="BJ178" s="789" t="str">
        <f t="shared" si="123"/>
        <v>-</v>
      </c>
      <c r="BK178" s="67" t="s">
        <v>64</v>
      </c>
      <c r="BL178" s="48" t="s">
        <v>64</v>
      </c>
      <c r="BM178" s="48" t="s">
        <v>64</v>
      </c>
      <c r="BN178" s="850" t="str">
        <f t="shared" si="124"/>
        <v>-</v>
      </c>
      <c r="BO178" s="789" t="str">
        <f t="shared" si="125"/>
        <v>-</v>
      </c>
      <c r="BP178" s="789" t="str">
        <f t="shared" si="126"/>
        <v>-</v>
      </c>
      <c r="BQ178" s="34" t="s">
        <v>64</v>
      </c>
      <c r="BR178" s="25">
        <v>2.6841792633029309</v>
      </c>
      <c r="BS178" s="26">
        <v>2.9223000898678189</v>
      </c>
      <c r="BT178" s="605"/>
      <c r="BU178" s="599">
        <v>0.13967797922687297</v>
      </c>
      <c r="BV178" s="851">
        <v>2.669660137874013E-2</v>
      </c>
      <c r="BW178" s="851">
        <v>6.4455472492259441E-2</v>
      </c>
      <c r="BX178" s="851">
        <v>0.11859110528982789</v>
      </c>
      <c r="BY178" s="851">
        <v>6.1941448590058313E-3</v>
      </c>
      <c r="BZ178" s="851">
        <v>2.2474438721296303E-2</v>
      </c>
      <c r="CA178" s="851">
        <v>2.1998940242539525E-2</v>
      </c>
      <c r="CB178" s="851">
        <v>3.2177823069547196E-2</v>
      </c>
      <c r="CC178" s="851">
        <v>1.0495046236239848E-2</v>
      </c>
      <c r="CD178" s="851">
        <v>6.8325236767954748E-3</v>
      </c>
      <c r="CE178" s="852">
        <v>27.321519980019673</v>
      </c>
      <c r="CF178" s="852" t="s">
        <v>64</v>
      </c>
      <c r="CG178" s="605"/>
      <c r="CH178" s="584">
        <v>50.236750000000001</v>
      </c>
      <c r="CI178" s="576">
        <v>2.2945599999999997</v>
      </c>
      <c r="CJ178" s="576">
        <v>14.56545</v>
      </c>
      <c r="CK178" s="576">
        <v>10.799300000000001</v>
      </c>
      <c r="CL178" s="576">
        <v>0.1745525</v>
      </c>
      <c r="CM178" s="576">
        <v>6.3312400000000002</v>
      </c>
      <c r="CN178" s="576">
        <v>10.927350000000001</v>
      </c>
      <c r="CO178" s="576">
        <v>2.3891900000000001</v>
      </c>
      <c r="CP178" s="576">
        <v>0.38297500000000001</v>
      </c>
      <c r="CQ178" s="576">
        <v>0.2360785</v>
      </c>
      <c r="CR178" s="857">
        <v>1.7198499999999999E-2</v>
      </c>
      <c r="CS178" s="793">
        <v>2110.335</v>
      </c>
      <c r="CT178" s="576">
        <f t="shared" si="131"/>
        <v>98.56567800000002</v>
      </c>
      <c r="CU178" s="576" t="s">
        <v>64</v>
      </c>
      <c r="CV178" s="591" t="s">
        <v>64</v>
      </c>
      <c r="CW178" s="605"/>
      <c r="CX178" s="936" t="s">
        <v>64</v>
      </c>
      <c r="CY178" s="934" t="s">
        <v>64</v>
      </c>
      <c r="CZ178" s="934" t="s">
        <v>64</v>
      </c>
      <c r="DA178" s="938" t="str">
        <f t="shared" si="128"/>
        <v>-</v>
      </c>
      <c r="DB178" s="936" t="s">
        <v>64</v>
      </c>
      <c r="DC178" s="934" t="s">
        <v>64</v>
      </c>
      <c r="DD178" s="934" t="s">
        <v>64</v>
      </c>
      <c r="DE178" s="939" t="str">
        <f t="shared" si="129"/>
        <v>-</v>
      </c>
      <c r="DF178" s="9"/>
    </row>
    <row r="179" spans="1:110">
      <c r="A179" s="846" t="s">
        <v>283</v>
      </c>
      <c r="B179" s="41" t="s">
        <v>156</v>
      </c>
      <c r="C179" s="41" t="s">
        <v>1490</v>
      </c>
      <c r="D179" s="34">
        <v>1500</v>
      </c>
      <c r="E179" s="535">
        <v>19.42567</v>
      </c>
      <c r="F179" s="537">
        <v>-155.25163000000001</v>
      </c>
      <c r="G179" s="37" t="s">
        <v>405</v>
      </c>
      <c r="H179" s="37" t="s">
        <v>64</v>
      </c>
      <c r="I179" s="202" t="s">
        <v>780</v>
      </c>
      <c r="J179" t="s">
        <v>882</v>
      </c>
      <c r="K179" s="34">
        <v>2021</v>
      </c>
      <c r="L179" s="51">
        <v>124</v>
      </c>
      <c r="M179" s="52">
        <v>84</v>
      </c>
      <c r="N179" s="838">
        <f t="shared" si="112"/>
        <v>567178.97600000002</v>
      </c>
      <c r="O179" s="54">
        <v>557992.93196979992</v>
      </c>
      <c r="P179" s="53">
        <v>26</v>
      </c>
      <c r="Q179" s="54">
        <v>9202.7720799156996</v>
      </c>
      <c r="R179" s="772">
        <f t="shared" si="113"/>
        <v>1.6225038402457755E-2</v>
      </c>
      <c r="S179" s="624" t="s">
        <v>210</v>
      </c>
      <c r="T179" s="37" t="s">
        <v>132</v>
      </c>
      <c r="U179" s="21">
        <v>83.532201377123727</v>
      </c>
      <c r="V179" s="552" t="s">
        <v>423</v>
      </c>
      <c r="W179" s="552" t="s">
        <v>423</v>
      </c>
      <c r="X179" s="556" t="s">
        <v>292</v>
      </c>
      <c r="Y179" s="784" t="s">
        <v>64</v>
      </c>
      <c r="Z179" s="784" t="s">
        <v>292</v>
      </c>
      <c r="AA179" s="785" t="s">
        <v>64</v>
      </c>
      <c r="AB179" s="32">
        <f t="shared" si="114"/>
        <v>1169.5789905643799</v>
      </c>
      <c r="AC179" s="6">
        <f t="shared" si="115"/>
        <v>1163.735553</v>
      </c>
      <c r="AD179" s="6">
        <f t="shared" si="116"/>
        <v>5.843437564379883</v>
      </c>
      <c r="AE179" s="6">
        <f t="shared" si="117"/>
        <v>1185.8183857818367</v>
      </c>
      <c r="AF179" s="839">
        <v>0.99299999999999999</v>
      </c>
      <c r="AG179" s="553">
        <f t="shared" si="118"/>
        <v>7.0493454179254567E-3</v>
      </c>
      <c r="AH179" s="32">
        <f t="shared" si="130"/>
        <v>55.885019884585546</v>
      </c>
      <c r="AI179" s="9">
        <v>51.356492045024069</v>
      </c>
      <c r="AJ179" s="9">
        <v>2.1551555739365154</v>
      </c>
      <c r="AK179" s="9">
        <v>14.004486663689242</v>
      </c>
      <c r="AL179" s="9">
        <v>10.893496451452219</v>
      </c>
      <c r="AM179" s="9">
        <v>0.17104409316956473</v>
      </c>
      <c r="AN179" s="9">
        <v>7.7402482867850662</v>
      </c>
      <c r="AO179" s="9">
        <v>10.575555666501732</v>
      </c>
      <c r="AP179" s="9">
        <v>2.3342488009022948</v>
      </c>
      <c r="AQ179" s="9">
        <v>0.38937684739189143</v>
      </c>
      <c r="AR179" s="9">
        <v>0.22940031319212206</v>
      </c>
      <c r="AS179" s="6">
        <v>143.85813032978456</v>
      </c>
      <c r="AT179" s="6">
        <v>1361.0944492232359</v>
      </c>
      <c r="AU179" s="9">
        <v>99.230558999999985</v>
      </c>
      <c r="AV179" s="8">
        <f t="shared" si="120"/>
        <v>2.1793209959620885</v>
      </c>
      <c r="AW179" s="9">
        <f t="shared" si="121"/>
        <v>8.9326670901908205</v>
      </c>
      <c r="AX179" s="8">
        <v>0.35008109518858538</v>
      </c>
      <c r="AY179" s="789">
        <v>1.7504054759429271E-2</v>
      </c>
      <c r="AZ179" s="6" t="s">
        <v>64</v>
      </c>
      <c r="BA179" s="48" t="s">
        <v>64</v>
      </c>
      <c r="BB179" s="6" t="s">
        <v>292</v>
      </c>
      <c r="BC179" s="48" t="s">
        <v>292</v>
      </c>
      <c r="BD179" s="849" t="s">
        <v>64</v>
      </c>
      <c r="BE179" s="48" t="s">
        <v>64</v>
      </c>
      <c r="BF179" s="668" t="s">
        <v>64</v>
      </c>
      <c r="BG179" s="48" t="s">
        <v>64</v>
      </c>
      <c r="BH179" s="48" t="s">
        <v>64</v>
      </c>
      <c r="BI179" s="850" t="str">
        <f t="shared" si="122"/>
        <v>-</v>
      </c>
      <c r="BJ179" s="789" t="str">
        <f t="shared" si="123"/>
        <v>-</v>
      </c>
      <c r="BK179" s="67" t="s">
        <v>64</v>
      </c>
      <c r="BL179" s="48" t="s">
        <v>64</v>
      </c>
      <c r="BM179" s="48" t="s">
        <v>64</v>
      </c>
      <c r="BN179" s="850" t="str">
        <f t="shared" si="124"/>
        <v>-</v>
      </c>
      <c r="BO179" s="789" t="str">
        <f t="shared" si="125"/>
        <v>-</v>
      </c>
      <c r="BP179" s="789" t="str">
        <f t="shared" si="126"/>
        <v>-</v>
      </c>
      <c r="BQ179" s="34" t="s">
        <v>64</v>
      </c>
      <c r="BR179" s="25">
        <v>2.680445081798887</v>
      </c>
      <c r="BS179" s="26">
        <v>2.9253650295353548</v>
      </c>
      <c r="BT179" s="605"/>
      <c r="BU179" s="599">
        <v>0.14006661501407594</v>
      </c>
      <c r="BV179" s="851">
        <v>2.7320476179678414E-2</v>
      </c>
      <c r="BW179" s="851">
        <v>6.4966393498254491E-2</v>
      </c>
      <c r="BX179" s="851">
        <v>0.11785673810826156</v>
      </c>
      <c r="BY179" s="851">
        <v>6.0444074776540299E-3</v>
      </c>
      <c r="BZ179" s="851">
        <v>2.0306463977897753E-2</v>
      </c>
      <c r="CA179" s="851">
        <v>2.213580132111144E-2</v>
      </c>
      <c r="CB179" s="851">
        <v>3.2807866896681755E-2</v>
      </c>
      <c r="CC179" s="851">
        <v>1.0904187109732006E-2</v>
      </c>
      <c r="CD179" s="851">
        <v>6.8200942512331077E-3</v>
      </c>
      <c r="CE179" s="852">
        <v>21.887007522764414</v>
      </c>
      <c r="CF179" s="852">
        <v>22.360467940174086</v>
      </c>
      <c r="CG179" s="605"/>
      <c r="CH179" s="584">
        <v>51.036099999999998</v>
      </c>
      <c r="CI179" s="576">
        <v>2.1532499999999999</v>
      </c>
      <c r="CJ179" s="576">
        <v>13.9869</v>
      </c>
      <c r="CK179" s="576">
        <v>10.7737</v>
      </c>
      <c r="CL179" s="576">
        <v>0.16683899999999999</v>
      </c>
      <c r="CM179" s="576">
        <v>7.4495300000000002</v>
      </c>
      <c r="CN179" s="576">
        <v>10.5631</v>
      </c>
      <c r="CO179" s="576">
        <v>2.3277899999999998</v>
      </c>
      <c r="CP179" s="576">
        <v>0.39096799999999998</v>
      </c>
      <c r="CQ179" s="576">
        <v>0.23291000000000001</v>
      </c>
      <c r="CR179" s="857">
        <v>1.4288E-2</v>
      </c>
      <c r="CS179" s="793">
        <v>1351.84</v>
      </c>
      <c r="CT179" s="576">
        <f t="shared" si="131"/>
        <v>99.230558999999985</v>
      </c>
      <c r="CU179" s="576">
        <v>0.35008109518858538</v>
      </c>
      <c r="CV179" s="591" t="s">
        <v>64</v>
      </c>
      <c r="CW179" s="605"/>
      <c r="CX179" s="936" t="s">
        <v>64</v>
      </c>
      <c r="CY179" s="934" t="s">
        <v>64</v>
      </c>
      <c r="CZ179" s="934" t="s">
        <v>64</v>
      </c>
      <c r="DA179" s="938" t="str">
        <f t="shared" si="128"/>
        <v>-</v>
      </c>
      <c r="DB179" s="936" t="s">
        <v>64</v>
      </c>
      <c r="DC179" s="934" t="s">
        <v>64</v>
      </c>
      <c r="DD179" s="934" t="s">
        <v>64</v>
      </c>
      <c r="DE179" s="939" t="str">
        <f t="shared" si="129"/>
        <v>-</v>
      </c>
      <c r="DF179" s="9"/>
    </row>
    <row r="180" spans="1:110">
      <c r="A180" s="846" t="s">
        <v>284</v>
      </c>
      <c r="B180" s="41" t="s">
        <v>156</v>
      </c>
      <c r="C180" s="41" t="s">
        <v>1490</v>
      </c>
      <c r="D180" s="34">
        <v>1500</v>
      </c>
      <c r="E180" s="535">
        <v>19.42567</v>
      </c>
      <c r="F180" s="537">
        <v>-155.25163000000001</v>
      </c>
      <c r="G180" s="37" t="s">
        <v>405</v>
      </c>
      <c r="H180" s="37" t="s">
        <v>64</v>
      </c>
      <c r="I180" s="202" t="s">
        <v>780</v>
      </c>
      <c r="J180" t="s">
        <v>877</v>
      </c>
      <c r="K180" s="34">
        <v>2021</v>
      </c>
      <c r="L180" s="51">
        <v>45</v>
      </c>
      <c r="M180" s="52">
        <v>29</v>
      </c>
      <c r="N180" s="54">
        <f>(4*3.1415/3)*(L180/2)*(M180/2)*(AVERAGE(L180,M180)/2)</f>
        <v>25281.221250000006</v>
      </c>
      <c r="O180" s="54">
        <v>25281.221250000006</v>
      </c>
      <c r="P180" s="53" t="s">
        <v>151</v>
      </c>
      <c r="Q180" s="54" t="s">
        <v>151</v>
      </c>
      <c r="R180" s="772">
        <f t="shared" si="113"/>
        <v>0</v>
      </c>
      <c r="S180" s="624" t="s">
        <v>210</v>
      </c>
      <c r="T180" s="37" t="s">
        <v>132</v>
      </c>
      <c r="U180" s="21">
        <v>83.532201377123727</v>
      </c>
      <c r="V180" s="552" t="s">
        <v>423</v>
      </c>
      <c r="W180" s="552" t="s">
        <v>423</v>
      </c>
      <c r="X180" s="556" t="s">
        <v>64</v>
      </c>
      <c r="Y180" s="784" t="s">
        <v>64</v>
      </c>
      <c r="Z180" s="784" t="s">
        <v>64</v>
      </c>
      <c r="AA180" s="785" t="s">
        <v>64</v>
      </c>
      <c r="AB180" s="32">
        <f t="shared" si="114"/>
        <v>1164.7947581372691</v>
      </c>
      <c r="AC180" s="6">
        <f t="shared" si="115"/>
        <v>1149.3534</v>
      </c>
      <c r="AD180" s="6">
        <f t="shared" si="116"/>
        <v>15.441358137269162</v>
      </c>
      <c r="AE180" s="6">
        <f t="shared" si="117"/>
        <v>1185.8183857818367</v>
      </c>
      <c r="AF180" s="839">
        <v>0.98199999999999998</v>
      </c>
      <c r="AG180" s="553">
        <f t="shared" si="118"/>
        <v>1.8329938900203624E-2</v>
      </c>
      <c r="AH180" s="32">
        <f t="shared" si="130"/>
        <v>55.917591846329934</v>
      </c>
      <c r="AI180" s="9">
        <v>51.282151709809632</v>
      </c>
      <c r="AJ180" s="9">
        <v>2.1519730545049889</v>
      </c>
      <c r="AK180" s="9">
        <v>14.502427106446664</v>
      </c>
      <c r="AL180" s="9">
        <v>10.544567360573534</v>
      </c>
      <c r="AM180" s="9">
        <v>0.18209776665049227</v>
      </c>
      <c r="AN180" s="9">
        <v>7.5022267729984575</v>
      </c>
      <c r="AO180" s="9">
        <v>10.732701517278738</v>
      </c>
      <c r="AP180" s="9">
        <v>2.287791830736019</v>
      </c>
      <c r="AQ180" s="9">
        <v>0.42355336883899031</v>
      </c>
      <c r="AR180" s="9">
        <v>0.24648592723409174</v>
      </c>
      <c r="AS180" s="6">
        <v>120.17959523151553</v>
      </c>
      <c r="AT180" s="6">
        <v>1320.0562540522826</v>
      </c>
      <c r="AU180" s="9">
        <v>99.346700999999982</v>
      </c>
      <c r="AV180" s="8">
        <f t="shared" si="120"/>
        <v>2.1095152639601733</v>
      </c>
      <c r="AW180" s="9">
        <f t="shared" si="121"/>
        <v>8.646545235670299</v>
      </c>
      <c r="AX180" s="8" t="s">
        <v>64</v>
      </c>
      <c r="AY180" s="789" t="s">
        <v>64</v>
      </c>
      <c r="AZ180" s="6" t="s">
        <v>64</v>
      </c>
      <c r="BA180" s="48" t="s">
        <v>64</v>
      </c>
      <c r="BB180" s="6" t="s">
        <v>151</v>
      </c>
      <c r="BC180" s="48" t="s">
        <v>151</v>
      </c>
      <c r="BD180" s="849" t="s">
        <v>64</v>
      </c>
      <c r="BE180" s="48" t="s">
        <v>64</v>
      </c>
      <c r="BF180" s="668" t="s">
        <v>64</v>
      </c>
      <c r="BG180" s="48" t="s">
        <v>64</v>
      </c>
      <c r="BH180" s="48" t="s">
        <v>64</v>
      </c>
      <c r="BI180" s="850" t="str">
        <f t="shared" si="122"/>
        <v>-</v>
      </c>
      <c r="BJ180" s="789" t="str">
        <f t="shared" si="123"/>
        <v>-</v>
      </c>
      <c r="BK180" s="561" t="s">
        <v>64</v>
      </c>
      <c r="BL180" s="48" t="s">
        <v>64</v>
      </c>
      <c r="BM180" s="48" t="s">
        <v>64</v>
      </c>
      <c r="BN180" s="850" t="str">
        <f t="shared" si="124"/>
        <v>-</v>
      </c>
      <c r="BO180" s="789" t="str">
        <f t="shared" si="125"/>
        <v>-</v>
      </c>
      <c r="BP180" s="789" t="str">
        <f t="shared" si="126"/>
        <v>-</v>
      </c>
      <c r="BQ180" s="34" t="s">
        <v>64</v>
      </c>
      <c r="BR180" s="25">
        <v>2.6715679495545999</v>
      </c>
      <c r="BS180" s="26">
        <v>2.910175884978015</v>
      </c>
      <c r="BT180" s="605"/>
      <c r="BU180" s="599">
        <v>0.13974488905226545</v>
      </c>
      <c r="BV180" s="851">
        <v>2.6993058811877878E-2</v>
      </c>
      <c r="BW180" s="851">
        <v>6.5516309720354507E-2</v>
      </c>
      <c r="BX180" s="851">
        <v>0.11593857258624207</v>
      </c>
      <c r="BY180" s="851">
        <v>5.9715684813229216E-3</v>
      </c>
      <c r="BZ180" s="851">
        <v>2.0101091304233414E-2</v>
      </c>
      <c r="CA180" s="851">
        <v>2.1501357584640359E-2</v>
      </c>
      <c r="CB180" s="851">
        <v>3.2225149390198347E-2</v>
      </c>
      <c r="CC180" s="851">
        <v>1.0894936240634697E-2</v>
      </c>
      <c r="CD180" s="851">
        <v>6.7684789132554353E-3</v>
      </c>
      <c r="CE180" s="852">
        <v>20.973863139399324</v>
      </c>
      <c r="CF180" s="852">
        <v>21.22861665516719</v>
      </c>
      <c r="CG180" s="605"/>
      <c r="CH180" s="584">
        <v>51.148600000000002</v>
      </c>
      <c r="CI180" s="576">
        <v>2.16981</v>
      </c>
      <c r="CJ180" s="576">
        <v>14.6776</v>
      </c>
      <c r="CK180" s="576">
        <v>10.4556</v>
      </c>
      <c r="CL180" s="576">
        <v>0.17477000000000001</v>
      </c>
      <c r="CM180" s="576">
        <v>6.734</v>
      </c>
      <c r="CN180" s="576">
        <v>10.849399999999999</v>
      </c>
      <c r="CO180" s="576">
        <v>2.3180299999999998</v>
      </c>
      <c r="CP180" s="576">
        <v>0.42860100000000001</v>
      </c>
      <c r="CQ180" s="576">
        <v>0.24546299999999999</v>
      </c>
      <c r="CR180" s="857">
        <v>1.2085E-2</v>
      </c>
      <c r="CS180" s="793">
        <v>1327.42</v>
      </c>
      <c r="CT180" s="576">
        <f t="shared" si="131"/>
        <v>99.346700999999982</v>
      </c>
      <c r="CU180" s="576" t="s">
        <v>292</v>
      </c>
      <c r="CV180" s="591" t="s">
        <v>64</v>
      </c>
      <c r="CW180" s="605"/>
      <c r="CX180" s="936" t="s">
        <v>64</v>
      </c>
      <c r="CY180" s="934" t="s">
        <v>64</v>
      </c>
      <c r="CZ180" s="934" t="s">
        <v>64</v>
      </c>
      <c r="DA180" s="938" t="str">
        <f t="shared" si="128"/>
        <v>-</v>
      </c>
      <c r="DB180" s="936" t="s">
        <v>64</v>
      </c>
      <c r="DC180" s="934" t="s">
        <v>64</v>
      </c>
      <c r="DD180" s="934" t="s">
        <v>64</v>
      </c>
      <c r="DE180" s="939" t="str">
        <f t="shared" si="129"/>
        <v>-</v>
      </c>
      <c r="DF180" s="9"/>
    </row>
    <row r="181" spans="1:110">
      <c r="A181" s="846" t="s">
        <v>191</v>
      </c>
      <c r="B181" s="41" t="s">
        <v>156</v>
      </c>
      <c r="C181" s="41" t="s">
        <v>1490</v>
      </c>
      <c r="D181" s="34">
        <v>1500</v>
      </c>
      <c r="E181" s="535">
        <v>19.42567</v>
      </c>
      <c r="F181" s="537">
        <v>-155.25163000000001</v>
      </c>
      <c r="G181" s="37" t="s">
        <v>405</v>
      </c>
      <c r="H181" s="37" t="s">
        <v>64</v>
      </c>
      <c r="I181" s="202" t="s">
        <v>780</v>
      </c>
      <c r="J181" t="s">
        <v>888</v>
      </c>
      <c r="K181" s="34">
        <v>2021</v>
      </c>
      <c r="L181" s="51">
        <v>70</v>
      </c>
      <c r="M181" s="52">
        <v>52</v>
      </c>
      <c r="N181" s="838">
        <f t="shared" si="112"/>
        <v>116256.44333333336</v>
      </c>
      <c r="O181" s="54">
        <v>114115.21154899563</v>
      </c>
      <c r="P181" s="53">
        <v>16</v>
      </c>
      <c r="Q181" s="54">
        <v>2144.6605848506319</v>
      </c>
      <c r="R181" s="772">
        <f t="shared" si="113"/>
        <v>1.8447126643847955E-2</v>
      </c>
      <c r="S181" s="624" t="s">
        <v>193</v>
      </c>
      <c r="T181" s="37" t="s">
        <v>132</v>
      </c>
      <c r="U181" s="21">
        <v>83.722435147302065</v>
      </c>
      <c r="V181" s="552" t="s">
        <v>423</v>
      </c>
      <c r="W181" s="552" t="s">
        <v>423</v>
      </c>
      <c r="X181" s="556">
        <v>102.6612887321747</v>
      </c>
      <c r="Y181" s="784">
        <v>1.7035499991557547E-2</v>
      </c>
      <c r="Z181" s="784">
        <v>2.4757499922010595E-2</v>
      </c>
      <c r="AA181" s="785">
        <v>6.0476024970031539E-3</v>
      </c>
      <c r="AB181" s="32">
        <f t="shared" si="114"/>
        <v>1170.0742312455914</v>
      </c>
      <c r="AC181" s="6">
        <f t="shared" si="115"/>
        <v>1159.013058</v>
      </c>
      <c r="AD181" s="6">
        <f t="shared" si="116"/>
        <v>11.061173245591363</v>
      </c>
      <c r="AE181" s="6">
        <f t="shared" si="117"/>
        <v>1188.1213807648201</v>
      </c>
      <c r="AF181" s="839">
        <v>0.98799999999999999</v>
      </c>
      <c r="AG181" s="553">
        <f t="shared" si="118"/>
        <v>1.2145748987854255E-2</v>
      </c>
      <c r="AH181" s="32">
        <f t="shared" si="130"/>
        <v>56.19583417486146</v>
      </c>
      <c r="AI181" s="9">
        <v>51.116660421177386</v>
      </c>
      <c r="AJ181" s="9">
        <v>2.2526020052553957</v>
      </c>
      <c r="AK181" s="9">
        <v>13.971364022769844</v>
      </c>
      <c r="AL181" s="9">
        <v>10.791160834466002</v>
      </c>
      <c r="AM181" s="9">
        <v>0.17203883112937593</v>
      </c>
      <c r="AN181" s="9">
        <v>7.764887126646336</v>
      </c>
      <c r="AO181" s="9">
        <v>10.941066014806802</v>
      </c>
      <c r="AP181" s="9">
        <v>2.2505898551837076</v>
      </c>
      <c r="AQ181" s="9">
        <v>0.36721738808317084</v>
      </c>
      <c r="AR181" s="9">
        <v>0.21831828277821388</v>
      </c>
      <c r="AS181" s="6">
        <v>162.8480487021568</v>
      </c>
      <c r="AT181" s="6">
        <v>1378.1041283355853</v>
      </c>
      <c r="AU181" s="9">
        <v>98.760498999999982</v>
      </c>
      <c r="AV181" s="8">
        <f t="shared" si="120"/>
        <v>2.15884803214127</v>
      </c>
      <c r="AW181" s="9">
        <f t="shared" si="121"/>
        <v>8.8487518842621231</v>
      </c>
      <c r="AX181" s="8">
        <v>0.38379012912175237</v>
      </c>
      <c r="AY181" s="789">
        <v>1.9189506456087621E-2</v>
      </c>
      <c r="AZ181" s="862" t="s">
        <v>292</v>
      </c>
      <c r="BA181" s="48" t="s">
        <v>64</v>
      </c>
      <c r="BB181" s="6">
        <v>157.00110942933975</v>
      </c>
      <c r="BC181" s="48">
        <v>40.845038001366845</v>
      </c>
      <c r="BD181" s="849">
        <v>186.64110942933974</v>
      </c>
      <c r="BE181" s="48">
        <v>40.952441018004066</v>
      </c>
      <c r="BF181" s="668">
        <v>487.29478406801542</v>
      </c>
      <c r="BG181" s="48">
        <v>97.649321068769325</v>
      </c>
      <c r="BH181" s="48">
        <v>99.268650715794195</v>
      </c>
      <c r="BI181" s="850">
        <f t="shared" si="122"/>
        <v>2.0672042606191274</v>
      </c>
      <c r="BJ181" s="789">
        <f t="shared" si="123"/>
        <v>0.39365407699612065</v>
      </c>
      <c r="BK181" s="67" t="s">
        <v>64</v>
      </c>
      <c r="BL181" s="48" t="s">
        <v>64</v>
      </c>
      <c r="BM181" s="48" t="s">
        <v>64</v>
      </c>
      <c r="BN181" s="850" t="str">
        <f t="shared" si="124"/>
        <v>-</v>
      </c>
      <c r="BO181" s="789" t="str">
        <f t="shared" si="125"/>
        <v>-</v>
      </c>
      <c r="BP181" s="789" t="str">
        <f t="shared" si="126"/>
        <v>-</v>
      </c>
      <c r="BQ181" s="34" t="s">
        <v>64</v>
      </c>
      <c r="BR181" s="25">
        <v>2.6827270046938501</v>
      </c>
      <c r="BS181" s="26">
        <v>2.9275682051564851</v>
      </c>
      <c r="BT181" s="605"/>
      <c r="BU181" s="599">
        <v>0.14058461765655156</v>
      </c>
      <c r="BV181" s="851">
        <v>2.6536102142309614E-2</v>
      </c>
      <c r="BW181" s="851">
        <v>6.4150076765108643E-2</v>
      </c>
      <c r="BX181" s="851">
        <v>0.11820313843249025</v>
      </c>
      <c r="BY181" s="851">
        <v>5.8163060067050543E-3</v>
      </c>
      <c r="BZ181" s="851">
        <v>2.0083725255328214E-2</v>
      </c>
      <c r="CA181" s="851">
        <v>2.178267773953901E-2</v>
      </c>
      <c r="CB181" s="851">
        <v>3.2514496696824539E-2</v>
      </c>
      <c r="CC181" s="851">
        <v>1.1141779493570295E-2</v>
      </c>
      <c r="CD181" s="851">
        <v>6.993760693315248E-3</v>
      </c>
      <c r="CE181" s="852">
        <v>22.342100889741101</v>
      </c>
      <c r="CF181" s="852">
        <v>21.731323999723841</v>
      </c>
      <c r="CG181" s="605"/>
      <c r="CH181" s="584">
        <v>50.626800000000003</v>
      </c>
      <c r="CI181" s="576">
        <v>2.2525849999999998</v>
      </c>
      <c r="CJ181" s="576">
        <v>13.9725</v>
      </c>
      <c r="CK181" s="576">
        <v>10.60585</v>
      </c>
      <c r="CL181" s="576">
        <v>0.1648355</v>
      </c>
      <c r="CM181" s="576">
        <v>7.2145799999999998</v>
      </c>
      <c r="CN181" s="576">
        <v>10.934200000000001</v>
      </c>
      <c r="CO181" s="576">
        <v>2.2545450000000002</v>
      </c>
      <c r="CP181" s="576">
        <v>0.36679600000000001</v>
      </c>
      <c r="CQ181" s="576">
        <v>0.21470400000000001</v>
      </c>
      <c r="CR181" s="857">
        <v>1.618E-2</v>
      </c>
      <c r="CS181" s="793">
        <v>1369.2350000000001</v>
      </c>
      <c r="CT181" s="576">
        <f t="shared" si="131"/>
        <v>98.760498999999982</v>
      </c>
      <c r="CU181" s="576">
        <v>0.38379012912175237</v>
      </c>
      <c r="CV181" s="591" t="s">
        <v>292</v>
      </c>
      <c r="CW181" s="605"/>
      <c r="CX181" s="936">
        <v>414.89895609647618</v>
      </c>
      <c r="CY181" s="934">
        <v>86.807056496354221</v>
      </c>
      <c r="CZ181" s="934">
        <v>87.363919826324093</v>
      </c>
      <c r="DA181" s="938">
        <f t="shared" si="128"/>
        <v>1.7732752577214959</v>
      </c>
      <c r="DB181" s="936">
        <v>403.92068668178581</v>
      </c>
      <c r="DC181" s="934">
        <v>76.0463791869484</v>
      </c>
      <c r="DD181" s="934">
        <v>78.273795499662299</v>
      </c>
      <c r="DE181" s="939">
        <f t="shared" si="129"/>
        <v>1.7283265771894358</v>
      </c>
      <c r="DF181" s="9"/>
    </row>
    <row r="182" spans="1:110">
      <c r="A182" s="846" t="s">
        <v>285</v>
      </c>
      <c r="B182" s="41" t="s">
        <v>156</v>
      </c>
      <c r="C182" s="41" t="s">
        <v>1490</v>
      </c>
      <c r="D182" s="34">
        <v>1500</v>
      </c>
      <c r="E182" s="535">
        <v>19.42567</v>
      </c>
      <c r="F182" s="537">
        <v>-155.25163000000001</v>
      </c>
      <c r="G182" s="37" t="s">
        <v>405</v>
      </c>
      <c r="H182" s="37" t="s">
        <v>64</v>
      </c>
      <c r="I182" s="202" t="s">
        <v>780</v>
      </c>
      <c r="J182" t="s">
        <v>882</v>
      </c>
      <c r="K182" s="34">
        <v>2021</v>
      </c>
      <c r="L182" s="51">
        <v>32.5</v>
      </c>
      <c r="M182" s="52">
        <v>30</v>
      </c>
      <c r="N182" s="838">
        <f t="shared" si="112"/>
        <v>15952.929687500004</v>
      </c>
      <c r="O182" s="54">
        <v>15429.801418412368</v>
      </c>
      <c r="P182" s="53">
        <v>10</v>
      </c>
      <c r="Q182" s="54">
        <v>523.59877559829886</v>
      </c>
      <c r="R182" s="772">
        <f t="shared" si="113"/>
        <v>3.2820512820512827E-2</v>
      </c>
      <c r="S182" s="624" t="s">
        <v>211</v>
      </c>
      <c r="T182" s="37" t="s">
        <v>132</v>
      </c>
      <c r="U182" s="21">
        <v>83.274445718431295</v>
      </c>
      <c r="V182" s="552" t="s">
        <v>423</v>
      </c>
      <c r="W182" s="552" t="s">
        <v>423</v>
      </c>
      <c r="X182" s="556" t="s">
        <v>292</v>
      </c>
      <c r="Y182" s="784" t="s">
        <v>64</v>
      </c>
      <c r="Z182" s="784" t="s">
        <v>292</v>
      </c>
      <c r="AA182" s="785" t="s">
        <v>64</v>
      </c>
      <c r="AB182" s="32">
        <f t="shared" si="114"/>
        <v>1159.7564001342676</v>
      </c>
      <c r="AC182" s="6">
        <f t="shared" si="115"/>
        <v>1118.870343</v>
      </c>
      <c r="AD182" s="6">
        <f t="shared" si="116"/>
        <v>40.886057134267503</v>
      </c>
      <c r="AE182" s="6">
        <f t="shared" si="117"/>
        <v>1182.7893706764808</v>
      </c>
      <c r="AF182" s="839">
        <v>0.95399999999999996</v>
      </c>
      <c r="AG182" s="553">
        <f t="shared" si="118"/>
        <v>4.8218029350104885E-2</v>
      </c>
      <c r="AH182" s="32">
        <f t="shared" si="130"/>
        <v>55.360898447017782</v>
      </c>
      <c r="AI182" s="9">
        <v>50.919846164446092</v>
      </c>
      <c r="AJ182" s="9">
        <v>2.3444370982326745</v>
      </c>
      <c r="AK182" s="9">
        <v>14.613758488769093</v>
      </c>
      <c r="AL182" s="9">
        <v>10.424749259194197</v>
      </c>
      <c r="AM182" s="9">
        <v>0.15488773621957611</v>
      </c>
      <c r="AN182" s="9">
        <v>7.2515621957346994</v>
      </c>
      <c r="AO182" s="9">
        <v>10.914556580875583</v>
      </c>
      <c r="AP182" s="9">
        <v>2.4419962567605893</v>
      </c>
      <c r="AQ182" s="9">
        <v>0.45058250536603955</v>
      </c>
      <c r="AR182" s="9">
        <v>0.32586770477365362</v>
      </c>
      <c r="AS182" s="6">
        <v>134.66073403571892</v>
      </c>
      <c r="AT182" s="6">
        <v>1442.8993622423648</v>
      </c>
      <c r="AU182" s="9">
        <v>98.478897000000018</v>
      </c>
      <c r="AV182" s="8">
        <f t="shared" si="120"/>
        <v>2.0855448055131527</v>
      </c>
      <c r="AW182" s="9">
        <f t="shared" si="121"/>
        <v>8.5482943925392423</v>
      </c>
      <c r="AX182" s="8" t="s">
        <v>64</v>
      </c>
      <c r="AY182" s="789" t="s">
        <v>64</v>
      </c>
      <c r="AZ182" s="6" t="s">
        <v>64</v>
      </c>
      <c r="BA182" s="48" t="s">
        <v>64</v>
      </c>
      <c r="BB182" s="6" t="s">
        <v>292</v>
      </c>
      <c r="BC182" s="48" t="s">
        <v>292</v>
      </c>
      <c r="BD182" s="849" t="s">
        <v>64</v>
      </c>
      <c r="BE182" s="48" t="s">
        <v>64</v>
      </c>
      <c r="BF182" s="668" t="s">
        <v>64</v>
      </c>
      <c r="BG182" s="48" t="s">
        <v>64</v>
      </c>
      <c r="BH182" s="48" t="s">
        <v>64</v>
      </c>
      <c r="BI182" s="850" t="str">
        <f t="shared" si="122"/>
        <v>-</v>
      </c>
      <c r="BJ182" s="789" t="str">
        <f t="shared" si="123"/>
        <v>-</v>
      </c>
      <c r="BK182" s="67" t="s">
        <v>64</v>
      </c>
      <c r="BL182" s="48" t="s">
        <v>64</v>
      </c>
      <c r="BM182" s="48" t="s">
        <v>64</v>
      </c>
      <c r="BN182" s="850" t="str">
        <f t="shared" si="124"/>
        <v>-</v>
      </c>
      <c r="BO182" s="789" t="str">
        <f t="shared" si="125"/>
        <v>-</v>
      </c>
      <c r="BP182" s="789" t="str">
        <f t="shared" si="126"/>
        <v>-</v>
      </c>
      <c r="BQ182" s="34" t="s">
        <v>64</v>
      </c>
      <c r="BR182" s="25">
        <v>2.673997000225766</v>
      </c>
      <c r="BS182" s="26">
        <v>2.89919005226422</v>
      </c>
      <c r="BT182" s="605"/>
      <c r="BU182" s="599">
        <v>0.1394002076536342</v>
      </c>
      <c r="BV182" s="851">
        <v>2.7402718578982795E-2</v>
      </c>
      <c r="BW182" s="851">
        <v>6.5117592587691092E-2</v>
      </c>
      <c r="BX182" s="851">
        <v>0.11528000473294719</v>
      </c>
      <c r="BY182" s="851">
        <v>6.1137597016063519E-3</v>
      </c>
      <c r="BZ182" s="851">
        <v>2.2719434421724645E-2</v>
      </c>
      <c r="CA182" s="851">
        <v>2.2120095240197309E-2</v>
      </c>
      <c r="CB182" s="851">
        <v>3.2420919103256285E-2</v>
      </c>
      <c r="CC182" s="851">
        <v>1.1097666874163407E-2</v>
      </c>
      <c r="CD182" s="851">
        <v>7.0285101771810259E-3</v>
      </c>
      <c r="CE182" s="852">
        <v>24.328481514563162</v>
      </c>
      <c r="CF182" s="852">
        <v>21.859636758099377</v>
      </c>
      <c r="CG182" s="605"/>
      <c r="CH182" s="584">
        <v>50.644199999999998</v>
      </c>
      <c r="CI182" s="576">
        <v>2.4159199999999998</v>
      </c>
      <c r="CJ182" s="576">
        <v>15.087</v>
      </c>
      <c r="CK182" s="576">
        <v>10.240600000000001</v>
      </c>
      <c r="CL182" s="576">
        <v>0.14832300000000001</v>
      </c>
      <c r="CM182" s="576">
        <v>5.2174300000000002</v>
      </c>
      <c r="CN182" s="576">
        <v>11.249700000000001</v>
      </c>
      <c r="CO182" s="576">
        <v>2.52115</v>
      </c>
      <c r="CP182" s="576">
        <v>0.46059099999999997</v>
      </c>
      <c r="CQ182" s="576">
        <v>0.332069</v>
      </c>
      <c r="CR182" s="857">
        <v>1.3821E-2</v>
      </c>
      <c r="CS182" s="793">
        <v>1480.93</v>
      </c>
      <c r="CT182" s="576">
        <f t="shared" si="131"/>
        <v>98.478897000000018</v>
      </c>
      <c r="CU182" s="576" t="s">
        <v>64</v>
      </c>
      <c r="CV182" s="591" t="s">
        <v>64</v>
      </c>
      <c r="CW182" s="605"/>
      <c r="CX182" s="936" t="s">
        <v>64</v>
      </c>
      <c r="CY182" s="934" t="s">
        <v>64</v>
      </c>
      <c r="CZ182" s="934" t="s">
        <v>64</v>
      </c>
      <c r="DA182" s="938" t="str">
        <f t="shared" si="128"/>
        <v>-</v>
      </c>
      <c r="DB182" s="936" t="s">
        <v>64</v>
      </c>
      <c r="DC182" s="934" t="s">
        <v>64</v>
      </c>
      <c r="DD182" s="934" t="s">
        <v>64</v>
      </c>
      <c r="DE182" s="939" t="str">
        <f t="shared" si="129"/>
        <v>-</v>
      </c>
      <c r="DF182" s="9"/>
    </row>
    <row r="183" spans="1:110">
      <c r="A183" s="846" t="s">
        <v>286</v>
      </c>
      <c r="B183" s="41" t="s">
        <v>156</v>
      </c>
      <c r="C183" s="41" t="s">
        <v>1490</v>
      </c>
      <c r="D183" s="34">
        <v>1500</v>
      </c>
      <c r="E183" s="535">
        <v>19.42567</v>
      </c>
      <c r="F183" s="537">
        <v>-155.25163000000001</v>
      </c>
      <c r="G183" s="37" t="s">
        <v>405</v>
      </c>
      <c r="H183" s="860" t="s">
        <v>291</v>
      </c>
      <c r="I183" s="202" t="s">
        <v>780</v>
      </c>
      <c r="J183" t="s">
        <v>877</v>
      </c>
      <c r="K183" s="34">
        <v>2021</v>
      </c>
      <c r="L183" s="51" t="s">
        <v>892</v>
      </c>
      <c r="M183" s="52" t="s">
        <v>892</v>
      </c>
      <c r="N183" s="54" t="s">
        <v>892</v>
      </c>
      <c r="O183" s="54" t="s">
        <v>892</v>
      </c>
      <c r="P183" s="53" t="s">
        <v>299</v>
      </c>
      <c r="Q183" s="54" t="s">
        <v>299</v>
      </c>
      <c r="R183" s="873" t="s">
        <v>299</v>
      </c>
      <c r="S183" s="624" t="s">
        <v>212</v>
      </c>
      <c r="T183" s="37" t="s">
        <v>132</v>
      </c>
      <c r="U183" s="21">
        <v>82.833954010163765</v>
      </c>
      <c r="V183" s="552" t="s">
        <v>423</v>
      </c>
      <c r="W183" s="552" t="s">
        <v>423</v>
      </c>
      <c r="X183" s="556" t="s">
        <v>64</v>
      </c>
      <c r="Y183" s="784" t="s">
        <v>64</v>
      </c>
      <c r="Z183" s="784" t="s">
        <v>64</v>
      </c>
      <c r="AA183" s="785" t="s">
        <v>64</v>
      </c>
      <c r="AB183" s="32">
        <f t="shared" si="114"/>
        <v>1151.7530456682789</v>
      </c>
      <c r="AC183" s="6">
        <f t="shared" si="115"/>
        <v>1103.1794789999999</v>
      </c>
      <c r="AD183" s="6">
        <f t="shared" si="116"/>
        <v>48.573566668279</v>
      </c>
      <c r="AE183" s="6">
        <f t="shared" si="117"/>
        <v>1177.8501554766153</v>
      </c>
      <c r="AF183" s="839">
        <v>0.94499999999999995</v>
      </c>
      <c r="AG183" s="553">
        <f t="shared" si="118"/>
        <v>5.8201058201058364E-2</v>
      </c>
      <c r="AH183" s="32">
        <f t="shared" si="130"/>
        <v>54.604932900225435</v>
      </c>
      <c r="AI183" s="9">
        <v>51.197755229850358</v>
      </c>
      <c r="AJ183" s="9">
        <v>2.4195517487973124</v>
      </c>
      <c r="AK183" s="9">
        <v>14.92459164750661</v>
      </c>
      <c r="AL183" s="9">
        <v>10.157893688529365</v>
      </c>
      <c r="AM183" s="9">
        <v>0.17498005165865846</v>
      </c>
      <c r="AN183" s="9">
        <v>6.853385356630791</v>
      </c>
      <c r="AO183" s="9">
        <v>10.979495425340421</v>
      </c>
      <c r="AP183" s="9">
        <v>2.4577657830675936</v>
      </c>
      <c r="AQ183" s="9">
        <v>0.44549518899302132</v>
      </c>
      <c r="AR183" s="9">
        <v>0.22727294066009668</v>
      </c>
      <c r="AS183" s="6">
        <v>173.64587376556059</v>
      </c>
      <c r="AT183" s="6">
        <v>1444.4835158922508</v>
      </c>
      <c r="AU183" s="9">
        <v>98.164947999999981</v>
      </c>
      <c r="AV183" s="8">
        <f t="shared" si="120"/>
        <v>2.0321584615939985</v>
      </c>
      <c r="AW183" s="9">
        <f t="shared" si="121"/>
        <v>8.3294728245940792</v>
      </c>
      <c r="AX183" s="8" t="s">
        <v>64</v>
      </c>
      <c r="AY183" s="789" t="s">
        <v>64</v>
      </c>
      <c r="AZ183" s="6" t="s">
        <v>64</v>
      </c>
      <c r="BA183" s="48" t="s">
        <v>64</v>
      </c>
      <c r="BB183" s="6" t="s">
        <v>64</v>
      </c>
      <c r="BC183" s="48" t="s">
        <v>64</v>
      </c>
      <c r="BD183" s="849" t="s">
        <v>64</v>
      </c>
      <c r="BE183" s="48" t="s">
        <v>64</v>
      </c>
      <c r="BF183" s="668" t="s">
        <v>64</v>
      </c>
      <c r="BG183" s="48" t="s">
        <v>64</v>
      </c>
      <c r="BH183" s="48" t="s">
        <v>64</v>
      </c>
      <c r="BI183" s="850" t="str">
        <f t="shared" si="122"/>
        <v>-</v>
      </c>
      <c r="BJ183" s="789" t="str">
        <f t="shared" si="123"/>
        <v>-</v>
      </c>
      <c r="BK183" s="561" t="s">
        <v>64</v>
      </c>
      <c r="BL183" s="48" t="s">
        <v>64</v>
      </c>
      <c r="BM183" s="48" t="s">
        <v>64</v>
      </c>
      <c r="BN183" s="850" t="str">
        <f t="shared" si="124"/>
        <v>-</v>
      </c>
      <c r="BO183" s="789" t="str">
        <f t="shared" si="125"/>
        <v>-</v>
      </c>
      <c r="BP183" s="789" t="str">
        <f t="shared" si="126"/>
        <v>-</v>
      </c>
      <c r="BQ183" s="34" t="s">
        <v>291</v>
      </c>
      <c r="BR183" s="25">
        <v>2.6677006128136931</v>
      </c>
      <c r="BS183" s="26">
        <v>2.8827361246189058</v>
      </c>
      <c r="BT183" s="605"/>
      <c r="BU183" s="599">
        <v>0.13965928462619503</v>
      </c>
      <c r="BV183" s="851">
        <v>2.7667574247497266E-2</v>
      </c>
      <c r="BW183" s="851">
        <v>6.5404187222784682E-2</v>
      </c>
      <c r="BX183" s="851">
        <v>0.11438804082652917</v>
      </c>
      <c r="BY183" s="851">
        <v>6.1292187475046542E-3</v>
      </c>
      <c r="BZ183" s="851">
        <v>2.3334337928402948E-2</v>
      </c>
      <c r="CA183" s="851">
        <v>2.2095685568726334E-2</v>
      </c>
      <c r="CB183" s="851">
        <v>3.2391141031626124E-2</v>
      </c>
      <c r="CC183" s="851">
        <v>1.106084365135653E-2</v>
      </c>
      <c r="CD183" s="851">
        <v>6.6873244605708164E-3</v>
      </c>
      <c r="CE183" s="852">
        <v>23.913815151497943</v>
      </c>
      <c r="CF183" s="852">
        <v>21.353222022028788</v>
      </c>
      <c r="CG183" s="605"/>
      <c r="CH183" s="584">
        <v>50.880200000000002</v>
      </c>
      <c r="CI183" s="576">
        <v>2.4991500000000002</v>
      </c>
      <c r="CJ183" s="576">
        <v>15.4977</v>
      </c>
      <c r="CK183" s="576">
        <v>9.8814399999999996</v>
      </c>
      <c r="CL183" s="576">
        <v>0.166848</v>
      </c>
      <c r="CM183" s="576">
        <v>4.4367900000000002</v>
      </c>
      <c r="CN183" s="576">
        <v>11.3835</v>
      </c>
      <c r="CO183" s="576">
        <v>2.5501800000000001</v>
      </c>
      <c r="CP183" s="576">
        <v>0.46272400000000002</v>
      </c>
      <c r="CQ183" s="576">
        <v>0.23926900000000001</v>
      </c>
      <c r="CR183" s="857">
        <v>1.7937000000000002E-2</v>
      </c>
      <c r="CS183" s="793">
        <v>1492.1000000000001</v>
      </c>
      <c r="CT183" s="576">
        <f t="shared" si="131"/>
        <v>98.164947999999981</v>
      </c>
      <c r="CU183" s="576" t="s">
        <v>64</v>
      </c>
      <c r="CV183" s="591" t="s">
        <v>64</v>
      </c>
      <c r="CW183" s="605"/>
      <c r="CX183" s="936" t="s">
        <v>64</v>
      </c>
      <c r="CY183" s="934" t="s">
        <v>64</v>
      </c>
      <c r="CZ183" s="934" t="s">
        <v>64</v>
      </c>
      <c r="DA183" s="938" t="str">
        <f t="shared" si="128"/>
        <v>-</v>
      </c>
      <c r="DB183" s="936" t="s">
        <v>64</v>
      </c>
      <c r="DC183" s="934" t="s">
        <v>64</v>
      </c>
      <c r="DD183" s="934" t="s">
        <v>64</v>
      </c>
      <c r="DE183" s="939" t="str">
        <f t="shared" si="129"/>
        <v>-</v>
      </c>
      <c r="DF183" s="9"/>
    </row>
    <row r="184" spans="1:110">
      <c r="A184" s="846" t="s">
        <v>287</v>
      </c>
      <c r="B184" s="41" t="s">
        <v>156</v>
      </c>
      <c r="C184" s="41" t="s">
        <v>1490</v>
      </c>
      <c r="D184" s="34">
        <v>1500</v>
      </c>
      <c r="E184" s="535">
        <v>19.42567</v>
      </c>
      <c r="F184" s="537">
        <v>-155.25163000000001</v>
      </c>
      <c r="G184" s="37" t="s">
        <v>405</v>
      </c>
      <c r="H184" s="37" t="s">
        <v>64</v>
      </c>
      <c r="I184" s="202" t="s">
        <v>780</v>
      </c>
      <c r="J184" t="s">
        <v>885</v>
      </c>
      <c r="K184" s="34">
        <v>2021</v>
      </c>
      <c r="L184" s="51">
        <v>91</v>
      </c>
      <c r="M184" s="52">
        <v>82</v>
      </c>
      <c r="N184" s="838">
        <f t="shared" si="112"/>
        <v>337953.66908333334</v>
      </c>
      <c r="O184" s="54">
        <v>337963.63649400475</v>
      </c>
      <c r="P184" s="53" t="s">
        <v>151</v>
      </c>
      <c r="Q184" s="54" t="s">
        <v>151</v>
      </c>
      <c r="R184" s="772">
        <f t="shared" si="113"/>
        <v>0</v>
      </c>
      <c r="S184" s="624" t="s">
        <v>213</v>
      </c>
      <c r="T184" s="37" t="s">
        <v>132</v>
      </c>
      <c r="U184" s="21">
        <v>83.27734518479339</v>
      </c>
      <c r="V184" s="552" t="s">
        <v>423</v>
      </c>
      <c r="W184" s="552" t="s">
        <v>423</v>
      </c>
      <c r="X184" s="556" t="s">
        <v>423</v>
      </c>
      <c r="Y184" s="784" t="s">
        <v>64</v>
      </c>
      <c r="Z184" s="784" t="s">
        <v>423</v>
      </c>
      <c r="AA184" s="785" t="s">
        <v>64</v>
      </c>
      <c r="AB184" s="32">
        <f t="shared" si="114"/>
        <v>1170.5834891562431</v>
      </c>
      <c r="AC184" s="6">
        <f t="shared" si="115"/>
        <v>1156.364883</v>
      </c>
      <c r="AD184" s="6">
        <f t="shared" si="116"/>
        <v>14.218606156243141</v>
      </c>
      <c r="AE184" s="6">
        <f t="shared" si="117"/>
        <v>1182.8228663197733</v>
      </c>
      <c r="AF184" s="839">
        <v>0.98199999999999998</v>
      </c>
      <c r="AG184" s="553">
        <f t="shared" si="118"/>
        <v>1.8329938900203624E-2</v>
      </c>
      <c r="AH184" s="32">
        <f t="shared" si="130"/>
        <v>55.49271714541166</v>
      </c>
      <c r="AI184" s="9">
        <v>50.754668331241874</v>
      </c>
      <c r="AJ184" s="9">
        <v>2.2214662452748835</v>
      </c>
      <c r="AK184" s="9">
        <v>14.227243738420345</v>
      </c>
      <c r="AL184" s="9">
        <v>11.139526389349413</v>
      </c>
      <c r="AM184" s="9">
        <v>0.17204290214764723</v>
      </c>
      <c r="AN184" s="9">
        <v>7.7902233411066222</v>
      </c>
      <c r="AO184" s="9">
        <v>10.772300311665841</v>
      </c>
      <c r="AP184" s="9">
        <v>2.1691491054405114</v>
      </c>
      <c r="AQ184" s="9">
        <v>0.38432975801404229</v>
      </c>
      <c r="AR184" s="9">
        <v>0.21731735008123859</v>
      </c>
      <c r="AS184" s="6">
        <v>124.55898771463329</v>
      </c>
      <c r="AT184" s="6">
        <v>1392.7662848612333</v>
      </c>
      <c r="AU184" s="9">
        <v>99.902242999999999</v>
      </c>
      <c r="AV184" s="8">
        <f t="shared" si="120"/>
        <v>2.2285410247824147</v>
      </c>
      <c r="AW184" s="9">
        <f t="shared" si="121"/>
        <v>9.1344116392665189</v>
      </c>
      <c r="AX184" s="8">
        <v>0.39091901797474737</v>
      </c>
      <c r="AY184" s="789">
        <v>1.9545950898737369E-2</v>
      </c>
      <c r="AZ184" s="6" t="s">
        <v>64</v>
      </c>
      <c r="BA184" s="48" t="s">
        <v>64</v>
      </c>
      <c r="BB184" s="6" t="s">
        <v>151</v>
      </c>
      <c r="BC184" s="48" t="s">
        <v>151</v>
      </c>
      <c r="BD184" s="849" t="s">
        <v>64</v>
      </c>
      <c r="BE184" s="48" t="s">
        <v>64</v>
      </c>
      <c r="BF184" s="668" t="s">
        <v>64</v>
      </c>
      <c r="BG184" s="48" t="s">
        <v>64</v>
      </c>
      <c r="BH184" s="48" t="s">
        <v>64</v>
      </c>
      <c r="BI184" s="850" t="str">
        <f t="shared" si="122"/>
        <v>-</v>
      </c>
      <c r="BJ184" s="789" t="str">
        <f t="shared" si="123"/>
        <v>-</v>
      </c>
      <c r="BK184" s="67" t="s">
        <v>64</v>
      </c>
      <c r="BL184" s="48" t="s">
        <v>64</v>
      </c>
      <c r="BM184" s="48" t="s">
        <v>64</v>
      </c>
      <c r="BN184" s="850" t="str">
        <f t="shared" si="124"/>
        <v>-</v>
      </c>
      <c r="BO184" s="789" t="str">
        <f t="shared" si="125"/>
        <v>-</v>
      </c>
      <c r="BP184" s="789" t="str">
        <f t="shared" si="126"/>
        <v>-</v>
      </c>
      <c r="BQ184" s="34" t="s">
        <v>64</v>
      </c>
      <c r="BR184" s="25">
        <v>2.6896363518886321</v>
      </c>
      <c r="BS184" s="26">
        <v>2.9329151071064752</v>
      </c>
      <c r="BT184" s="605"/>
      <c r="BU184" s="599">
        <v>0.13871606137606723</v>
      </c>
      <c r="BV184" s="851">
        <v>2.64005712987203E-2</v>
      </c>
      <c r="BW184" s="851">
        <v>6.4852614222591004E-2</v>
      </c>
      <c r="BX184" s="851">
        <v>0.11864598162032168</v>
      </c>
      <c r="BY184" s="851">
        <v>5.8616393104920584E-3</v>
      </c>
      <c r="BZ184" s="851">
        <v>2.0354061838943147E-2</v>
      </c>
      <c r="CA184" s="851">
        <v>2.1463485201984839E-2</v>
      </c>
      <c r="CB184" s="851">
        <v>3.1465676923520057E-2</v>
      </c>
      <c r="CC184" s="851">
        <v>1.0556616061226508E-2</v>
      </c>
      <c r="CD184" s="851">
        <v>6.7587217096715764E-3</v>
      </c>
      <c r="CE184" s="852">
        <v>21.641501320478962</v>
      </c>
      <c r="CF184" s="852">
        <v>21.224643968257308</v>
      </c>
      <c r="CG184" s="605"/>
      <c r="CH184" s="584">
        <v>50.901499999999999</v>
      </c>
      <c r="CI184" s="576">
        <v>2.2553200000000002</v>
      </c>
      <c r="CJ184" s="576">
        <v>14.472200000000001</v>
      </c>
      <c r="CK184" s="576">
        <v>11.101800000000001</v>
      </c>
      <c r="CL184" s="576">
        <v>0.16805500000000001</v>
      </c>
      <c r="CM184" s="576">
        <v>7.0828300000000004</v>
      </c>
      <c r="CN184" s="576">
        <v>10.9511</v>
      </c>
      <c r="CO184" s="576">
        <v>2.2039900000000001</v>
      </c>
      <c r="CP184" s="576">
        <v>0.39540999999999998</v>
      </c>
      <c r="CQ184" s="576">
        <v>0.216611</v>
      </c>
      <c r="CR184" s="857">
        <v>1.2595E-2</v>
      </c>
      <c r="CS184" s="793">
        <v>1408.3200000000002</v>
      </c>
      <c r="CT184" s="576">
        <f t="shared" si="131"/>
        <v>99.902242999999999</v>
      </c>
      <c r="CU184" s="576">
        <v>0.39091901797474737</v>
      </c>
      <c r="CV184" s="591" t="s">
        <v>64</v>
      </c>
      <c r="CW184" s="605"/>
      <c r="CX184" s="936" t="s">
        <v>64</v>
      </c>
      <c r="CY184" s="934" t="s">
        <v>64</v>
      </c>
      <c r="CZ184" s="934" t="s">
        <v>64</v>
      </c>
      <c r="DA184" s="938" t="str">
        <f t="shared" si="128"/>
        <v>-</v>
      </c>
      <c r="DB184" s="936" t="s">
        <v>64</v>
      </c>
      <c r="DC184" s="934" t="s">
        <v>64</v>
      </c>
      <c r="DD184" s="934" t="s">
        <v>64</v>
      </c>
      <c r="DE184" s="939" t="str">
        <f t="shared" si="129"/>
        <v>-</v>
      </c>
      <c r="DF184" s="9"/>
    </row>
    <row r="185" spans="1:110">
      <c r="A185" s="846" t="s">
        <v>288</v>
      </c>
      <c r="B185" s="41" t="s">
        <v>156</v>
      </c>
      <c r="C185" s="41" t="s">
        <v>1490</v>
      </c>
      <c r="D185" s="34">
        <v>1500</v>
      </c>
      <c r="E185" s="535">
        <v>19.42567</v>
      </c>
      <c r="F185" s="537">
        <v>-155.25163000000001</v>
      </c>
      <c r="G185" s="37" t="s">
        <v>405</v>
      </c>
      <c r="H185" s="37" t="s">
        <v>64</v>
      </c>
      <c r="I185" s="202" t="s">
        <v>780</v>
      </c>
      <c r="J185" t="s">
        <v>885</v>
      </c>
      <c r="K185" s="34">
        <v>2021</v>
      </c>
      <c r="L185" s="51">
        <v>300</v>
      </c>
      <c r="M185" s="52">
        <v>110</v>
      </c>
      <c r="N185" s="838">
        <f t="shared" si="112"/>
        <v>3542041.2500000009</v>
      </c>
      <c r="O185" s="54">
        <v>3542145.7169224913</v>
      </c>
      <c r="P185" s="53" t="s">
        <v>151</v>
      </c>
      <c r="Q185" s="54" t="s">
        <v>151</v>
      </c>
      <c r="R185" s="772">
        <f t="shared" si="113"/>
        <v>0</v>
      </c>
      <c r="S185" s="624" t="s">
        <v>214</v>
      </c>
      <c r="T185" s="37" t="s">
        <v>132</v>
      </c>
      <c r="U185" s="21">
        <v>83.369170454174863</v>
      </c>
      <c r="V185" s="552" t="s">
        <v>423</v>
      </c>
      <c r="W185" s="552" t="s">
        <v>423</v>
      </c>
      <c r="X185" s="556" t="s">
        <v>423</v>
      </c>
      <c r="Y185" s="784" t="s">
        <v>64</v>
      </c>
      <c r="Z185" s="784" t="s">
        <v>423</v>
      </c>
      <c r="AA185" s="785" t="s">
        <v>64</v>
      </c>
      <c r="AB185" s="32">
        <f t="shared" si="114"/>
        <v>1166.9444811388562</v>
      </c>
      <c r="AC185" s="6">
        <f t="shared" si="115"/>
        <v>1166.3385029999999</v>
      </c>
      <c r="AD185" s="6">
        <f t="shared" si="116"/>
        <v>0.60597813885624419</v>
      </c>
      <c r="AE185" s="6">
        <f t="shared" si="117"/>
        <v>1183.8904282021322</v>
      </c>
      <c r="AF185" s="839">
        <v>0.995</v>
      </c>
      <c r="AG185" s="553">
        <f t="shared" si="118"/>
        <v>5.0251256281406143E-3</v>
      </c>
      <c r="AH185" s="32">
        <f t="shared" si="130"/>
        <v>55.198551697727538</v>
      </c>
      <c r="AI185" s="9">
        <v>50.980990720054422</v>
      </c>
      <c r="AJ185" s="9">
        <v>2.1362841267836346</v>
      </c>
      <c r="AK185" s="9">
        <v>14.364513338707944</v>
      </c>
      <c r="AL185" s="9">
        <v>11.010926160894323</v>
      </c>
      <c r="AM185" s="9">
        <v>0.16506700855188775</v>
      </c>
      <c r="AN185" s="9">
        <v>7.6091781661122528</v>
      </c>
      <c r="AO185" s="9">
        <v>10.658630336957911</v>
      </c>
      <c r="AP185" s="9">
        <v>2.2834572382992766</v>
      </c>
      <c r="AQ185" s="9">
        <v>0.39543976364008732</v>
      </c>
      <c r="AR185" s="9">
        <v>0.23188775764824529</v>
      </c>
      <c r="AS185" s="6">
        <v>120.47438628333404</v>
      </c>
      <c r="AT185" s="6">
        <v>1306.877953884378</v>
      </c>
      <c r="AU185" s="9">
        <v>99.582970000000003</v>
      </c>
      <c r="AV185" s="8">
        <f t="shared" si="120"/>
        <v>2.2028136397131028</v>
      </c>
      <c r="AW185" s="9">
        <f t="shared" si="121"/>
        <v>9.0289594519333463</v>
      </c>
      <c r="AX185" s="8">
        <v>0.42238779308200297</v>
      </c>
      <c r="AY185" s="789">
        <v>2.1119389654100151E-2</v>
      </c>
      <c r="AZ185" s="6">
        <v>209.09283620724054</v>
      </c>
      <c r="BA185" s="48">
        <v>20.909283620724054</v>
      </c>
      <c r="BB185" s="6" t="s">
        <v>151</v>
      </c>
      <c r="BC185" s="48" t="s">
        <v>151</v>
      </c>
      <c r="BD185" s="849">
        <v>209.09283620724054</v>
      </c>
      <c r="BE185" s="48">
        <v>20.804737202620434</v>
      </c>
      <c r="BF185" s="668">
        <v>532.27270767074037</v>
      </c>
      <c r="BG185" s="48">
        <v>48.141601001207277</v>
      </c>
      <c r="BH185" s="48">
        <v>48.532464400304093</v>
      </c>
      <c r="BI185" s="850">
        <f t="shared" si="122"/>
        <v>2.2476899839994116</v>
      </c>
      <c r="BJ185" s="789">
        <f t="shared" si="123"/>
        <v>0.19233389267870082</v>
      </c>
      <c r="BK185" s="67" t="s">
        <v>64</v>
      </c>
      <c r="BL185" s="48" t="s">
        <v>64</v>
      </c>
      <c r="BM185" s="48" t="s">
        <v>64</v>
      </c>
      <c r="BN185" s="850" t="str">
        <f t="shared" si="124"/>
        <v>-</v>
      </c>
      <c r="BO185" s="789" t="str">
        <f t="shared" si="125"/>
        <v>-</v>
      </c>
      <c r="BP185" s="789" t="str">
        <f t="shared" si="126"/>
        <v>-</v>
      </c>
      <c r="BQ185" s="34" t="s">
        <v>64</v>
      </c>
      <c r="BR185" s="25">
        <v>2.6824526821964851</v>
      </c>
      <c r="BS185" s="26">
        <v>2.9320811443337318</v>
      </c>
      <c r="BT185" s="605"/>
      <c r="BU185" s="599">
        <v>0.13963489434260026</v>
      </c>
      <c r="BV185" s="851">
        <v>2.6503381762115804E-2</v>
      </c>
      <c r="BW185" s="851">
        <v>6.5956530381411554E-2</v>
      </c>
      <c r="BX185" s="851">
        <v>0.11803602735217104</v>
      </c>
      <c r="BY185" s="851">
        <v>5.7354843059473117E-3</v>
      </c>
      <c r="BZ185" s="851">
        <v>1.9187531939013642E-2</v>
      </c>
      <c r="CA185" s="851">
        <v>2.1585112054283574E-2</v>
      </c>
      <c r="CB185" s="851">
        <v>3.2514604307591059E-2</v>
      </c>
      <c r="CC185" s="851">
        <v>1.0976735591050635E-2</v>
      </c>
      <c r="CD185" s="851">
        <v>6.6749122926805047E-3</v>
      </c>
      <c r="CE185" s="852">
        <v>21.669607386397008</v>
      </c>
      <c r="CF185" s="852">
        <v>21.574986765086422</v>
      </c>
      <c r="CG185" s="605"/>
      <c r="CH185" s="584">
        <v>50.779000000000003</v>
      </c>
      <c r="CI185" s="576">
        <v>2.1278199999999998</v>
      </c>
      <c r="CJ185" s="576">
        <v>14.307600000000001</v>
      </c>
      <c r="CK185" s="576">
        <v>10.9673</v>
      </c>
      <c r="CL185" s="576">
        <v>0.164413</v>
      </c>
      <c r="CM185" s="576">
        <v>7.5790300000000004</v>
      </c>
      <c r="CN185" s="576">
        <v>10.616400000000001</v>
      </c>
      <c r="CO185" s="576">
        <v>2.27441</v>
      </c>
      <c r="CP185" s="576">
        <v>0.39387299999999997</v>
      </c>
      <c r="CQ185" s="576">
        <v>0.23096900000000001</v>
      </c>
      <c r="CR185" s="857">
        <v>1.1985000000000001E-2</v>
      </c>
      <c r="CS185" s="793">
        <v>1301.7</v>
      </c>
      <c r="CT185" s="576">
        <f t="shared" si="131"/>
        <v>99.582970000000003</v>
      </c>
      <c r="CU185" s="576">
        <v>0.42238779308200297</v>
      </c>
      <c r="CV185" s="591">
        <v>209.09283620724054</v>
      </c>
      <c r="CW185" s="605"/>
      <c r="CX185" s="936">
        <v>465.44761683542202</v>
      </c>
      <c r="CY185" s="934">
        <v>44.009941716547871</v>
      </c>
      <c r="CZ185" s="934">
        <v>44.158139564019507</v>
      </c>
      <c r="DA185" s="938">
        <f t="shared" si="128"/>
        <v>1.9789539240093883</v>
      </c>
      <c r="DB185" s="936">
        <v>459.21467498564482</v>
      </c>
      <c r="DC185" s="934">
        <v>39.483410064790291</v>
      </c>
      <c r="DD185" s="934">
        <v>40.000091957987308</v>
      </c>
      <c r="DE185" s="939">
        <f t="shared" si="129"/>
        <v>1.9537055773488987</v>
      </c>
      <c r="DF185" s="9"/>
    </row>
    <row r="186" spans="1:110">
      <c r="A186" s="846" t="s">
        <v>289</v>
      </c>
      <c r="B186" s="41" t="s">
        <v>156</v>
      </c>
      <c r="C186" s="41" t="s">
        <v>1490</v>
      </c>
      <c r="D186" s="34">
        <v>1500</v>
      </c>
      <c r="E186" s="535">
        <v>19.42567</v>
      </c>
      <c r="F186" s="537">
        <v>-155.25163000000001</v>
      </c>
      <c r="G186" s="37" t="s">
        <v>405</v>
      </c>
      <c r="H186" s="37" t="s">
        <v>64</v>
      </c>
      <c r="I186" s="202" t="s">
        <v>780</v>
      </c>
      <c r="J186" t="s">
        <v>885</v>
      </c>
      <c r="K186" s="34">
        <v>2021</v>
      </c>
      <c r="L186" s="51">
        <v>300</v>
      </c>
      <c r="M186" s="52">
        <v>100</v>
      </c>
      <c r="N186" s="838">
        <f t="shared" si="112"/>
        <v>3141500.0000000005</v>
      </c>
      <c r="O186" s="54">
        <v>3141592.653589793</v>
      </c>
      <c r="P186" s="53" t="s">
        <v>151</v>
      </c>
      <c r="Q186" s="54" t="s">
        <v>151</v>
      </c>
      <c r="R186" s="772">
        <f t="shared" si="113"/>
        <v>0</v>
      </c>
      <c r="S186" s="624" t="s">
        <v>214</v>
      </c>
      <c r="T186" s="37" t="s">
        <v>132</v>
      </c>
      <c r="U186" s="21">
        <v>83.369170454174863</v>
      </c>
      <c r="V186" s="552" t="s">
        <v>423</v>
      </c>
      <c r="W186" s="552" t="s">
        <v>423</v>
      </c>
      <c r="X186" s="556" t="s">
        <v>423</v>
      </c>
      <c r="Y186" s="784" t="s">
        <v>64</v>
      </c>
      <c r="Z186" s="784" t="s">
        <v>423</v>
      </c>
      <c r="AA186" s="785" t="s">
        <v>64</v>
      </c>
      <c r="AB186" s="32">
        <f t="shared" si="114"/>
        <v>1166.5602159007301</v>
      </c>
      <c r="AC186" s="6">
        <f t="shared" si="115"/>
        <v>1166.7200010000001</v>
      </c>
      <c r="AD186" s="6">
        <f t="shared" si="116"/>
        <v>-0.1597850992700387</v>
      </c>
      <c r="AE186" s="6">
        <f t="shared" si="117"/>
        <v>1183.8904282021322</v>
      </c>
      <c r="AF186" s="839">
        <v>1.0009999999999999</v>
      </c>
      <c r="AG186" s="553">
        <f t="shared" si="118"/>
        <v>-9.9900099900085415E-4</v>
      </c>
      <c r="AH186" s="32">
        <f t="shared" si="130"/>
        <v>55.819418791166314</v>
      </c>
      <c r="AI186" s="9">
        <v>51.763485121240024</v>
      </c>
      <c r="AJ186" s="9">
        <v>2.2437599809653537</v>
      </c>
      <c r="AK186" s="9">
        <v>13.854189709325995</v>
      </c>
      <c r="AL186" s="9">
        <v>10.710582190504621</v>
      </c>
      <c r="AM186" s="9">
        <v>0.16094343467296354</v>
      </c>
      <c r="AN186" s="9">
        <v>7.5900604925736364</v>
      </c>
      <c r="AO186" s="9">
        <v>10.643152813174408</v>
      </c>
      <c r="AP186" s="9">
        <v>2.2449187673016953</v>
      </c>
      <c r="AQ186" s="9">
        <v>0.40160537556378695</v>
      </c>
      <c r="AR186" s="9">
        <v>0.22283061666350082</v>
      </c>
      <c r="AS186" s="6">
        <v>127.27534534522485</v>
      </c>
      <c r="AT186" s="6">
        <v>1331.6752598160756</v>
      </c>
      <c r="AU186" s="9">
        <v>100.086049</v>
      </c>
      <c r="AV186" s="8">
        <f t="shared" si="120"/>
        <v>2.1427277046234892</v>
      </c>
      <c r="AW186" s="9">
        <f t="shared" si="121"/>
        <v>8.7826773962137903</v>
      </c>
      <c r="AX186" s="8">
        <v>0.42143858002933521</v>
      </c>
      <c r="AY186" s="789">
        <v>2.107192900146676E-2</v>
      </c>
      <c r="AZ186" s="6">
        <v>186.70692540735232</v>
      </c>
      <c r="BA186" s="48">
        <v>18.670692540735232</v>
      </c>
      <c r="BB186" s="6" t="s">
        <v>151</v>
      </c>
      <c r="BC186" s="48" t="s">
        <v>151</v>
      </c>
      <c r="BD186" s="849">
        <v>186.70692540735232</v>
      </c>
      <c r="BE186" s="48">
        <v>18.689363233275966</v>
      </c>
      <c r="BF186" s="668">
        <v>506.53816696041463</v>
      </c>
      <c r="BG186" s="48">
        <v>46.077706281917358</v>
      </c>
      <c r="BH186" s="48">
        <v>46.435419777332811</v>
      </c>
      <c r="BI186" s="850">
        <f t="shared" si="122"/>
        <v>2.1446196972763878</v>
      </c>
      <c r="BJ186" s="789">
        <f t="shared" si="123"/>
        <v>0.18502258743121436</v>
      </c>
      <c r="BK186" s="67" t="s">
        <v>64</v>
      </c>
      <c r="BL186" s="48" t="s">
        <v>64</v>
      </c>
      <c r="BM186" s="48" t="s">
        <v>64</v>
      </c>
      <c r="BN186" s="850" t="str">
        <f t="shared" si="124"/>
        <v>-</v>
      </c>
      <c r="BO186" s="789" t="str">
        <f t="shared" si="125"/>
        <v>-</v>
      </c>
      <c r="BP186" s="789" t="str">
        <f t="shared" si="126"/>
        <v>-</v>
      </c>
      <c r="BQ186" s="34" t="s">
        <v>64</v>
      </c>
      <c r="BR186" s="25">
        <v>2.6735562742800512</v>
      </c>
      <c r="BS186" s="26">
        <v>2.9193542612475998</v>
      </c>
      <c r="BT186" s="605"/>
      <c r="BU186" s="599">
        <v>0.14022417538433196</v>
      </c>
      <c r="BV186" s="851">
        <v>2.6510697303099941E-2</v>
      </c>
      <c r="BW186" s="851">
        <v>6.4618434558444127E-2</v>
      </c>
      <c r="BX186" s="851">
        <v>0.11622481158204184</v>
      </c>
      <c r="BY186" s="851">
        <v>5.7075370238073063E-3</v>
      </c>
      <c r="BZ186" s="851">
        <v>1.9097123503549751E-2</v>
      </c>
      <c r="CA186" s="851">
        <v>2.1516517021697778E-2</v>
      </c>
      <c r="CB186" s="851">
        <v>3.2156889898459676E-2</v>
      </c>
      <c r="CC186" s="851">
        <v>1.0854871214500928E-2</v>
      </c>
      <c r="CD186" s="851">
        <v>6.5885219751363943E-3</v>
      </c>
      <c r="CE186" s="852">
        <v>21.416367810550291</v>
      </c>
      <c r="CF186" s="852">
        <v>21.613622136918831</v>
      </c>
      <c r="CG186" s="605"/>
      <c r="CH186" s="584">
        <v>51.817700000000002</v>
      </c>
      <c r="CI186" s="576">
        <v>2.2461099999999998</v>
      </c>
      <c r="CJ186" s="576">
        <v>13.8687</v>
      </c>
      <c r="CK186" s="576">
        <v>10.7218</v>
      </c>
      <c r="CL186" s="576">
        <v>0.16111200000000001</v>
      </c>
      <c r="CM186" s="576">
        <v>7.5980100000000004</v>
      </c>
      <c r="CN186" s="576">
        <v>10.654299999999999</v>
      </c>
      <c r="CO186" s="576">
        <v>2.2472699999999999</v>
      </c>
      <c r="CP186" s="576">
        <v>0.40202599999999999</v>
      </c>
      <c r="CQ186" s="576">
        <v>0.22306400000000001</v>
      </c>
      <c r="CR186" s="857">
        <v>1.265E-2</v>
      </c>
      <c r="CS186" s="793">
        <v>1333.0700000000002</v>
      </c>
      <c r="CT186" s="576">
        <f t="shared" si="131"/>
        <v>100.086049</v>
      </c>
      <c r="CU186" s="576">
        <v>0.42143858002933521</v>
      </c>
      <c r="CV186" s="591">
        <v>186.70692540735232</v>
      </c>
      <c r="CW186" s="605"/>
      <c r="CX186" s="936">
        <v>417.84670230438923</v>
      </c>
      <c r="CY186" s="934">
        <v>39.683623371296846</v>
      </c>
      <c r="CZ186" s="934">
        <v>39.801094521525101</v>
      </c>
      <c r="DA186" s="938">
        <f t="shared" si="128"/>
        <v>1.7853272239000373</v>
      </c>
      <c r="DB186" s="936">
        <v>424.66304323379632</v>
      </c>
      <c r="DC186" s="934">
        <v>36.731481956850757</v>
      </c>
      <c r="DD186" s="934">
        <v>37.215079908528935</v>
      </c>
      <c r="DE186" s="939">
        <f t="shared" si="129"/>
        <v>1.8131684717499168</v>
      </c>
      <c r="DF186" s="9"/>
    </row>
    <row r="187" spans="1:110">
      <c r="A187" s="846" t="s">
        <v>290</v>
      </c>
      <c r="B187" s="41" t="s">
        <v>156</v>
      </c>
      <c r="C187" s="41" t="s">
        <v>1490</v>
      </c>
      <c r="D187" s="34">
        <v>1500</v>
      </c>
      <c r="E187" s="535">
        <v>19.42567</v>
      </c>
      <c r="F187" s="537">
        <v>-155.25163000000001</v>
      </c>
      <c r="G187" s="37" t="s">
        <v>405</v>
      </c>
      <c r="H187" s="37" t="s">
        <v>64</v>
      </c>
      <c r="I187" s="202" t="s">
        <v>780</v>
      </c>
      <c r="J187" t="s">
        <v>885</v>
      </c>
      <c r="K187" s="34">
        <v>2021</v>
      </c>
      <c r="L187" s="51">
        <v>424</v>
      </c>
      <c r="M187" s="52">
        <v>22</v>
      </c>
      <c r="N187" s="838">
        <f t="shared" si="112"/>
        <v>1089128.7293333334</v>
      </c>
      <c r="O187" s="54">
        <v>1089160.8514681477</v>
      </c>
      <c r="P187" s="53" t="s">
        <v>151</v>
      </c>
      <c r="Q187" s="54" t="s">
        <v>151</v>
      </c>
      <c r="R187" s="772">
        <f t="shared" si="113"/>
        <v>0</v>
      </c>
      <c r="S187" s="624" t="s">
        <v>214</v>
      </c>
      <c r="T187" s="37" t="s">
        <v>132</v>
      </c>
      <c r="U187" s="21">
        <v>83.369170454174863</v>
      </c>
      <c r="V187" s="552" t="s">
        <v>423</v>
      </c>
      <c r="W187" s="552" t="s">
        <v>423</v>
      </c>
      <c r="X187" s="556" t="s">
        <v>423</v>
      </c>
      <c r="Y187" s="784" t="s">
        <v>64</v>
      </c>
      <c r="Z187" s="784" t="s">
        <v>423</v>
      </c>
      <c r="AA187" s="785" t="s">
        <v>64</v>
      </c>
      <c r="AB187" s="32">
        <f t="shared" si="114"/>
        <v>1172.9811180777524</v>
      </c>
      <c r="AC187" s="6">
        <f t="shared" si="115"/>
        <v>1149.4102829999999</v>
      </c>
      <c r="AD187" s="6">
        <f t="shared" si="116"/>
        <v>23.570835077752463</v>
      </c>
      <c r="AE187" s="6">
        <f t="shared" si="117"/>
        <v>1183.8904282021322</v>
      </c>
      <c r="AF187" s="839">
        <v>0.97</v>
      </c>
      <c r="AG187" s="553">
        <f t="shared" si="118"/>
        <v>3.0927835051546504E-2</v>
      </c>
      <c r="AH187" s="32">
        <f t="shared" si="130"/>
        <v>55.494018488001743</v>
      </c>
      <c r="AI187" s="9">
        <v>50.978758016242139</v>
      </c>
      <c r="AJ187" s="9">
        <v>2.1456163469808889</v>
      </c>
      <c r="AK187" s="9">
        <v>13.450087283394968</v>
      </c>
      <c r="AL187" s="9">
        <v>11.309500510598284</v>
      </c>
      <c r="AM187" s="9">
        <v>0.17301735193657428</v>
      </c>
      <c r="AN187" s="9">
        <v>7.9095083620772302</v>
      </c>
      <c r="AO187" s="9">
        <v>11.017785207914523</v>
      </c>
      <c r="AP187" s="9">
        <v>2.2482196603386249</v>
      </c>
      <c r="AQ187" s="9">
        <v>0.38928904185729213</v>
      </c>
      <c r="AR187" s="9">
        <v>0.20420071187863131</v>
      </c>
      <c r="AS187" s="6">
        <v>167.9548244001933</v>
      </c>
      <c r="AT187" s="6">
        <v>1380.5702585202171</v>
      </c>
      <c r="AU187" s="9">
        <v>100.76617400000001</v>
      </c>
      <c r="AV187" s="8">
        <f t="shared" si="120"/>
        <v>2.2625455496710689</v>
      </c>
      <c r="AW187" s="9">
        <f t="shared" si="121"/>
        <v>9.2737904186905951</v>
      </c>
      <c r="AX187" s="8">
        <v>0.36929911288059203</v>
      </c>
      <c r="AY187" s="789">
        <v>1.8464955644029602E-2</v>
      </c>
      <c r="AZ187" s="6">
        <v>190.52307200271656</v>
      </c>
      <c r="BA187" s="48">
        <v>19.052307200271656</v>
      </c>
      <c r="BB187" s="6" t="s">
        <v>151</v>
      </c>
      <c r="BC187" s="48" t="s">
        <v>151</v>
      </c>
      <c r="BD187" s="849">
        <v>190.52307200271656</v>
      </c>
      <c r="BE187" s="48">
        <v>19.196288438307754</v>
      </c>
      <c r="BF187" s="668">
        <v>484.45041686563189</v>
      </c>
      <c r="BG187" s="48">
        <v>45.009571566216607</v>
      </c>
      <c r="BH187" s="48">
        <v>45.350309336572366</v>
      </c>
      <c r="BI187" s="850">
        <f t="shared" si="122"/>
        <v>2.0557363632498844</v>
      </c>
      <c r="BJ187" s="789">
        <f t="shared" si="123"/>
        <v>0.18152683706121964</v>
      </c>
      <c r="BK187" s="67" t="s">
        <v>64</v>
      </c>
      <c r="BL187" s="48" t="s">
        <v>64</v>
      </c>
      <c r="BM187" s="48" t="s">
        <v>64</v>
      </c>
      <c r="BN187" s="850" t="str">
        <f t="shared" si="124"/>
        <v>-</v>
      </c>
      <c r="BO187" s="789" t="str">
        <f t="shared" si="125"/>
        <v>-</v>
      </c>
      <c r="BP187" s="789" t="str">
        <f t="shared" si="126"/>
        <v>-</v>
      </c>
      <c r="BQ187" s="34" t="s">
        <v>64</v>
      </c>
      <c r="BR187" s="25">
        <v>2.6920082005794499</v>
      </c>
      <c r="BS187" s="26">
        <v>2.931384816391168</v>
      </c>
      <c r="BT187" s="605"/>
      <c r="BU187" s="599">
        <v>0.13815651252465749</v>
      </c>
      <c r="BV187" s="851">
        <v>2.60688094925484E-2</v>
      </c>
      <c r="BW187" s="851">
        <v>6.2435170668646602E-2</v>
      </c>
      <c r="BX187" s="851">
        <v>0.11902231432358741</v>
      </c>
      <c r="BY187" s="851">
        <v>5.6929283446506525E-3</v>
      </c>
      <c r="BZ187" s="851">
        <v>2.1231018725822184E-2</v>
      </c>
      <c r="CA187" s="851">
        <v>2.1463196474277885E-2</v>
      </c>
      <c r="CB187" s="851">
        <v>3.1639644923877532E-2</v>
      </c>
      <c r="CC187" s="851">
        <v>1.0405929662270533E-2</v>
      </c>
      <c r="CD187" s="851">
        <v>6.269942018090998E-3</v>
      </c>
      <c r="CE187" s="852">
        <v>20.628715397304941</v>
      </c>
      <c r="CF187" s="852">
        <v>20.933862943993752</v>
      </c>
      <c r="CG187" s="605"/>
      <c r="CH187" s="584">
        <v>51.711199999999998</v>
      </c>
      <c r="CI187" s="576">
        <v>2.2287699999999999</v>
      </c>
      <c r="CJ187" s="576">
        <v>13.9816</v>
      </c>
      <c r="CK187" s="576">
        <v>11.3703</v>
      </c>
      <c r="CL187" s="576">
        <v>0.17515800000000001</v>
      </c>
      <c r="CM187" s="576">
        <v>6.7368300000000003</v>
      </c>
      <c r="CN187" s="576">
        <v>11.439399999999999</v>
      </c>
      <c r="CO187" s="576">
        <v>2.3385500000000001</v>
      </c>
      <c r="CP187" s="576">
        <v>0.40782000000000002</v>
      </c>
      <c r="CQ187" s="576">
        <v>0.21662699999999999</v>
      </c>
      <c r="CR187" s="857">
        <v>1.7344999999999999E-2</v>
      </c>
      <c r="CS187" s="793">
        <v>1425.74</v>
      </c>
      <c r="CT187" s="576">
        <f t="shared" si="131"/>
        <v>100.76617400000001</v>
      </c>
      <c r="CU187" s="576">
        <v>0.36929911288059203</v>
      </c>
      <c r="CV187" s="591">
        <v>196.41553814713049</v>
      </c>
      <c r="CW187" s="605"/>
      <c r="CX187" s="936">
        <v>422.17320463802128</v>
      </c>
      <c r="CY187" s="934">
        <v>40.742207616132532</v>
      </c>
      <c r="CZ187" s="934">
        <v>40.863945697951067</v>
      </c>
      <c r="DA187" s="938">
        <f t="shared" si="128"/>
        <v>1.8030032242332097</v>
      </c>
      <c r="DB187" s="936">
        <v>389.20176387543222</v>
      </c>
      <c r="DC187" s="934">
        <v>33.883402620133893</v>
      </c>
      <c r="DD187" s="934">
        <v>34.332455586111848</v>
      </c>
      <c r="DE187" s="939">
        <f t="shared" si="129"/>
        <v>1.6679042524846044</v>
      </c>
      <c r="DF187" s="9"/>
    </row>
    <row r="188" spans="1:110">
      <c r="A188" s="846" t="s">
        <v>619</v>
      </c>
      <c r="B188" s="41" t="s">
        <v>156</v>
      </c>
      <c r="C188" s="41" t="s">
        <v>1490</v>
      </c>
      <c r="D188" s="34">
        <v>1500</v>
      </c>
      <c r="E188" s="535">
        <v>19.42567</v>
      </c>
      <c r="F188" s="537">
        <v>-155.25163000000001</v>
      </c>
      <c r="G188" s="37" t="s">
        <v>998</v>
      </c>
      <c r="H188" s="860" t="s">
        <v>999</v>
      </c>
      <c r="I188" s="202" t="s">
        <v>64</v>
      </c>
      <c r="J188" t="s">
        <v>880</v>
      </c>
      <c r="K188" s="34">
        <v>2021</v>
      </c>
      <c r="L188" s="51" t="s">
        <v>998</v>
      </c>
      <c r="M188" s="52" t="s">
        <v>998</v>
      </c>
      <c r="N188" s="54" t="str">
        <f>L188</f>
        <v>fluid inclusion</v>
      </c>
      <c r="O188" s="54" t="s">
        <v>998</v>
      </c>
      <c r="P188" s="53">
        <v>25</v>
      </c>
      <c r="Q188" s="54">
        <v>8181.230868723419</v>
      </c>
      <c r="R188" s="772">
        <f t="shared" ref="R188:R219" si="134">IF(Q188="no bubble",0,IF(H188="Isolated fluid inclusion",1,Q188/(Q188+O188)))</f>
        <v>1</v>
      </c>
      <c r="S188" s="624" t="s">
        <v>195</v>
      </c>
      <c r="T188" s="37" t="s">
        <v>132</v>
      </c>
      <c r="U188" s="21">
        <v>82.782002950574778</v>
      </c>
      <c r="V188" s="552" t="s">
        <v>423</v>
      </c>
      <c r="W188" s="552" t="s">
        <v>423</v>
      </c>
      <c r="X188" s="556">
        <v>102.92959856463068</v>
      </c>
      <c r="Y188" s="784">
        <v>8.8162815354821521E-3</v>
      </c>
      <c r="Z188" s="784">
        <v>0.12000749044388925</v>
      </c>
      <c r="AA188" s="785">
        <v>3.1297799450945752E-3</v>
      </c>
      <c r="AB188" s="32" t="str">
        <f t="shared" si="114"/>
        <v>-</v>
      </c>
      <c r="AC188" s="6" t="str">
        <f t="shared" ref="AC188:AC219" si="135">IF(ISNUMBER(CM188), 20.1*CM188+1014,"-")</f>
        <v>-</v>
      </c>
      <c r="AD188" s="6" t="str">
        <f t="shared" ref="AD188:AD219" si="136">IF(AND(ISNUMBER(AB188),ISNUMBER(AC188)),AB188-AC188,"-")</f>
        <v>-</v>
      </c>
      <c r="AE188" s="6">
        <f t="shared" si="117"/>
        <v>1177.2869225230352</v>
      </c>
      <c r="AF188" s="839" t="s">
        <v>998</v>
      </c>
      <c r="AG188" s="553" t="str">
        <f t="shared" ref="AG188:AG219" si="137">IF(ISNUMBER(AF188),(1/AF188)-1,"-")</f>
        <v>-</v>
      </c>
      <c r="AH188" s="69" t="s">
        <v>64</v>
      </c>
      <c r="AI188" s="9" t="s">
        <v>64</v>
      </c>
      <c r="AJ188" s="9" t="s">
        <v>64</v>
      </c>
      <c r="AK188" s="9" t="s">
        <v>64</v>
      </c>
      <c r="AL188" s="9" t="s">
        <v>64</v>
      </c>
      <c r="AM188" s="9" t="s">
        <v>64</v>
      </c>
      <c r="AN188" s="9" t="s">
        <v>64</v>
      </c>
      <c r="AO188" s="9" t="s">
        <v>64</v>
      </c>
      <c r="AP188" s="9" t="s">
        <v>64</v>
      </c>
      <c r="AQ188" s="9" t="s">
        <v>64</v>
      </c>
      <c r="AR188" s="9" t="s">
        <v>64</v>
      </c>
      <c r="AS188" s="6" t="s">
        <v>64</v>
      </c>
      <c r="AT188" s="6" t="s">
        <v>64</v>
      </c>
      <c r="AU188" s="9" t="s">
        <v>64</v>
      </c>
      <c r="AV188" s="8" t="str">
        <f t="shared" si="120"/>
        <v>-</v>
      </c>
      <c r="AW188" s="9" t="str">
        <f t="shared" si="121"/>
        <v>-</v>
      </c>
      <c r="AX188" s="8" t="s">
        <v>64</v>
      </c>
      <c r="AY188" s="789" t="s">
        <v>64</v>
      </c>
      <c r="AZ188" s="6" t="s">
        <v>64</v>
      </c>
      <c r="BA188" s="48" t="s">
        <v>64</v>
      </c>
      <c r="BB188" s="6" t="s">
        <v>64</v>
      </c>
      <c r="BC188" s="48" t="s">
        <v>64</v>
      </c>
      <c r="BD188" s="849" t="s">
        <v>64</v>
      </c>
      <c r="BE188" s="48" t="s">
        <v>64</v>
      </c>
      <c r="BF188" s="668" t="s">
        <v>1008</v>
      </c>
      <c r="BG188" s="48" t="s">
        <v>64</v>
      </c>
      <c r="BH188" s="48" t="s">
        <v>64</v>
      </c>
      <c r="BI188" s="850" t="str">
        <f t="shared" ref="BI188:BI219" si="138">IF(NOT(ISNUMBER(BF188)),"-",(0.0684*((BF188/1000))^3 - 0.5008*((BF188/1000))^2 + 4.47*((BF188/1000))))</f>
        <v>-</v>
      </c>
      <c r="BJ188" s="789" t="str">
        <f t="shared" si="123"/>
        <v>-</v>
      </c>
      <c r="BK188" s="67">
        <v>354</v>
      </c>
      <c r="BL188" s="48">
        <v>35.400000000000034</v>
      </c>
      <c r="BM188" s="48">
        <v>10</v>
      </c>
      <c r="BN188" s="850">
        <f t="shared" ref="BN188:BN219" si="139">IF(ISNUMBER(BK188),(0.0684*((BK188/1000))^3 - 0.5008*((BK188/1000))^2 + 4.47*((BK188/1000))),"-")</f>
        <v>1.5226560986975999</v>
      </c>
      <c r="BO188" s="789">
        <f t="shared" si="125"/>
        <v>0.1460631372577057</v>
      </c>
      <c r="BP188" s="789">
        <f t="shared" si="126"/>
        <v>4.1454368752000148E-2</v>
      </c>
      <c r="BQ188" s="861" t="s">
        <v>912</v>
      </c>
      <c r="BR188" s="45" t="s">
        <v>64</v>
      </c>
      <c r="BS188" s="854" t="s">
        <v>64</v>
      </c>
      <c r="BT188" s="605"/>
      <c r="BU188" s="599" t="s">
        <v>64</v>
      </c>
      <c r="BV188" s="851" t="s">
        <v>64</v>
      </c>
      <c r="BW188" s="851" t="s">
        <v>64</v>
      </c>
      <c r="BX188" s="851" t="s">
        <v>64</v>
      </c>
      <c r="BY188" s="851" t="s">
        <v>64</v>
      </c>
      <c r="BZ188" s="851" t="s">
        <v>64</v>
      </c>
      <c r="CA188" s="851" t="s">
        <v>64</v>
      </c>
      <c r="CB188" s="851" t="s">
        <v>64</v>
      </c>
      <c r="CC188" s="851" t="s">
        <v>64</v>
      </c>
      <c r="CD188" s="851" t="s">
        <v>64</v>
      </c>
      <c r="CE188" s="852" t="s">
        <v>64</v>
      </c>
      <c r="CF188" s="852" t="s">
        <v>64</v>
      </c>
      <c r="CG188" s="605"/>
      <c r="CH188" s="584" t="s">
        <v>64</v>
      </c>
      <c r="CI188" s="576" t="s">
        <v>64</v>
      </c>
      <c r="CJ188" s="576" t="s">
        <v>64</v>
      </c>
      <c r="CK188" s="576" t="s">
        <v>64</v>
      </c>
      <c r="CL188" s="576" t="s">
        <v>64</v>
      </c>
      <c r="CM188" s="576" t="s">
        <v>64</v>
      </c>
      <c r="CN188" s="576" t="s">
        <v>64</v>
      </c>
      <c r="CO188" s="576" t="s">
        <v>64</v>
      </c>
      <c r="CP188" s="576" t="s">
        <v>64</v>
      </c>
      <c r="CQ188" s="576" t="s">
        <v>64</v>
      </c>
      <c r="CR188" s="857" t="s">
        <v>64</v>
      </c>
      <c r="CS188" s="793" t="s">
        <v>64</v>
      </c>
      <c r="CT188" s="855" t="s">
        <v>64</v>
      </c>
      <c r="CU188" s="576" t="s">
        <v>64</v>
      </c>
      <c r="CV188" s="591" t="s">
        <v>64</v>
      </c>
      <c r="CW188" s="605"/>
      <c r="CX188" s="936" t="s">
        <v>64</v>
      </c>
      <c r="CY188" s="934" t="s">
        <v>64</v>
      </c>
      <c r="CZ188" s="934" t="s">
        <v>64</v>
      </c>
      <c r="DA188" s="938" t="str">
        <f t="shared" ref="DA188:DA219" si="140">IF(NOT(ISNUMBER(CX188)),"-",(0.0684*((CX188/1000))^3 - 0.5008*((CX188/1000))^2 + 4.47*((CX188/1000))))</f>
        <v>-</v>
      </c>
      <c r="DB188" s="936" t="s">
        <v>64</v>
      </c>
      <c r="DC188" s="934" t="s">
        <v>64</v>
      </c>
      <c r="DD188" s="934" t="s">
        <v>64</v>
      </c>
      <c r="DE188" s="939" t="str">
        <f t="shared" ref="DE188:DE219" si="141">IF(NOT(ISNUMBER(DB188)),"-",(0.0684*((DB188/1000))^3 - 0.5008*((DB188/1000))^2 + 4.47*((DB188/1000))))</f>
        <v>-</v>
      </c>
      <c r="DF188" s="19"/>
    </row>
    <row r="189" spans="1:110">
      <c r="A189" s="846" t="s">
        <v>620</v>
      </c>
      <c r="B189" s="41" t="s">
        <v>156</v>
      </c>
      <c r="C189" s="41" t="s">
        <v>1490</v>
      </c>
      <c r="D189" s="34">
        <v>1500</v>
      </c>
      <c r="E189" s="535">
        <v>19.42567</v>
      </c>
      <c r="F189" s="537">
        <v>-155.25163000000001</v>
      </c>
      <c r="G189" s="37" t="s">
        <v>405</v>
      </c>
      <c r="H189" s="37" t="s">
        <v>64</v>
      </c>
      <c r="I189" s="28">
        <v>3</v>
      </c>
      <c r="J189" t="s">
        <v>889</v>
      </c>
      <c r="K189" s="34">
        <v>2021</v>
      </c>
      <c r="L189" s="51">
        <v>25</v>
      </c>
      <c r="M189" s="52">
        <v>25</v>
      </c>
      <c r="N189" s="54">
        <f t="shared" ref="N189:N219" si="142">(4*3.1415/3)*(L189/2)*(M189/2)*(AVERAGE(L189,M189)/2)</f>
        <v>8180.9895833333339</v>
      </c>
      <c r="O189" s="54">
        <v>8115.7810217736314</v>
      </c>
      <c r="P189" s="53">
        <v>5</v>
      </c>
      <c r="Q189" s="54">
        <v>65.449846949787357</v>
      </c>
      <c r="R189" s="772">
        <f t="shared" si="134"/>
        <v>8.0000000000000002E-3</v>
      </c>
      <c r="S189" s="624" t="s">
        <v>196</v>
      </c>
      <c r="T189" s="37" t="s">
        <v>132</v>
      </c>
      <c r="U189" s="21">
        <v>83.780760588423277</v>
      </c>
      <c r="V189" s="552" t="s">
        <v>423</v>
      </c>
      <c r="W189" s="552" t="s">
        <v>423</v>
      </c>
      <c r="X189" s="556" t="s">
        <v>292</v>
      </c>
      <c r="Y189" s="784" t="s">
        <v>64</v>
      </c>
      <c r="Z189" s="784" t="s">
        <v>292</v>
      </c>
      <c r="AA189" s="785" t="s">
        <v>64</v>
      </c>
      <c r="AB189" s="32" t="str">
        <f t="shared" si="114"/>
        <v>-</v>
      </c>
      <c r="AC189" s="6" t="str">
        <f t="shared" si="135"/>
        <v>-</v>
      </c>
      <c r="AD189" s="6" t="str">
        <f t="shared" si="136"/>
        <v>-</v>
      </c>
      <c r="AE189" s="6">
        <f t="shared" si="117"/>
        <v>1188.8391204635445</v>
      </c>
      <c r="AF189" s="839">
        <v>0.98199999999999998</v>
      </c>
      <c r="AG189" s="553">
        <f t="shared" si="137"/>
        <v>1.8329938900203624E-2</v>
      </c>
      <c r="AH189" s="69" t="s">
        <v>64</v>
      </c>
      <c r="AI189" s="9" t="s">
        <v>64</v>
      </c>
      <c r="AJ189" s="9" t="s">
        <v>64</v>
      </c>
      <c r="AK189" s="9" t="s">
        <v>64</v>
      </c>
      <c r="AL189" s="9" t="s">
        <v>64</v>
      </c>
      <c r="AM189" s="9" t="s">
        <v>64</v>
      </c>
      <c r="AN189" s="9" t="s">
        <v>64</v>
      </c>
      <c r="AO189" s="9" t="s">
        <v>64</v>
      </c>
      <c r="AP189" s="9" t="s">
        <v>64</v>
      </c>
      <c r="AQ189" s="9" t="s">
        <v>64</v>
      </c>
      <c r="AR189" s="9" t="s">
        <v>64</v>
      </c>
      <c r="AS189" s="6" t="s">
        <v>64</v>
      </c>
      <c r="AT189" s="6" t="s">
        <v>64</v>
      </c>
      <c r="AU189" s="9" t="s">
        <v>64</v>
      </c>
      <c r="AV189" s="8" t="str">
        <f t="shared" si="120"/>
        <v>-</v>
      </c>
      <c r="AW189" s="9" t="str">
        <f t="shared" si="121"/>
        <v>-</v>
      </c>
      <c r="AX189" s="8" t="s">
        <v>64</v>
      </c>
      <c r="AY189" s="789" t="s">
        <v>64</v>
      </c>
      <c r="AZ189" s="6" t="s">
        <v>64</v>
      </c>
      <c r="BA189" s="48" t="s">
        <v>64</v>
      </c>
      <c r="BB189" s="6" t="s">
        <v>292</v>
      </c>
      <c r="BC189" s="48" t="s">
        <v>292</v>
      </c>
      <c r="BD189" s="849" t="s">
        <v>64</v>
      </c>
      <c r="BE189" s="48" t="s">
        <v>64</v>
      </c>
      <c r="BF189" s="668" t="s">
        <v>64</v>
      </c>
      <c r="BG189" s="48" t="s">
        <v>64</v>
      </c>
      <c r="BH189" s="48" t="s">
        <v>64</v>
      </c>
      <c r="BI189" s="850" t="str">
        <f t="shared" si="138"/>
        <v>-</v>
      </c>
      <c r="BJ189" s="789" t="str">
        <f t="shared" si="123"/>
        <v>-</v>
      </c>
      <c r="BK189" s="67" t="s">
        <v>64</v>
      </c>
      <c r="BL189" s="48" t="s">
        <v>64</v>
      </c>
      <c r="BM189" s="48" t="s">
        <v>64</v>
      </c>
      <c r="BN189" s="850" t="str">
        <f t="shared" si="139"/>
        <v>-</v>
      </c>
      <c r="BO189" s="789" t="str">
        <f t="shared" si="125"/>
        <v>-</v>
      </c>
      <c r="BP189" s="789" t="str">
        <f t="shared" si="126"/>
        <v>-</v>
      </c>
      <c r="BQ189" s="34" t="s">
        <v>64</v>
      </c>
      <c r="BR189" s="45" t="s">
        <v>64</v>
      </c>
      <c r="BS189" s="854" t="s">
        <v>64</v>
      </c>
      <c r="BT189" s="605"/>
      <c r="BU189" s="599" t="s">
        <v>64</v>
      </c>
      <c r="BV189" s="851" t="s">
        <v>64</v>
      </c>
      <c r="BW189" s="851" t="s">
        <v>64</v>
      </c>
      <c r="BX189" s="851" t="s">
        <v>64</v>
      </c>
      <c r="BY189" s="851" t="s">
        <v>64</v>
      </c>
      <c r="BZ189" s="851" t="s">
        <v>64</v>
      </c>
      <c r="CA189" s="851" t="s">
        <v>64</v>
      </c>
      <c r="CB189" s="851" t="s">
        <v>64</v>
      </c>
      <c r="CC189" s="851" t="s">
        <v>64</v>
      </c>
      <c r="CD189" s="851" t="s">
        <v>64</v>
      </c>
      <c r="CE189" s="852" t="s">
        <v>64</v>
      </c>
      <c r="CF189" s="852" t="s">
        <v>64</v>
      </c>
      <c r="CG189" s="605"/>
      <c r="CH189" s="584" t="s">
        <v>64</v>
      </c>
      <c r="CI189" s="576" t="s">
        <v>64</v>
      </c>
      <c r="CJ189" s="576" t="s">
        <v>64</v>
      </c>
      <c r="CK189" s="576" t="s">
        <v>64</v>
      </c>
      <c r="CL189" s="576" t="s">
        <v>64</v>
      </c>
      <c r="CM189" s="576" t="s">
        <v>64</v>
      </c>
      <c r="CN189" s="576" t="s">
        <v>64</v>
      </c>
      <c r="CO189" s="576" t="s">
        <v>64</v>
      </c>
      <c r="CP189" s="576" t="s">
        <v>64</v>
      </c>
      <c r="CQ189" s="576" t="s">
        <v>64</v>
      </c>
      <c r="CR189" s="857" t="s">
        <v>64</v>
      </c>
      <c r="CS189" s="793" t="s">
        <v>64</v>
      </c>
      <c r="CT189" s="855" t="s">
        <v>64</v>
      </c>
      <c r="CU189" s="576" t="s">
        <v>64</v>
      </c>
      <c r="CV189" s="591" t="s">
        <v>64</v>
      </c>
      <c r="CW189" s="605"/>
      <c r="CX189" s="936" t="s">
        <v>64</v>
      </c>
      <c r="CY189" s="934" t="s">
        <v>64</v>
      </c>
      <c r="CZ189" s="934" t="s">
        <v>64</v>
      </c>
      <c r="DA189" s="938" t="str">
        <f t="shared" si="140"/>
        <v>-</v>
      </c>
      <c r="DB189" s="936" t="s">
        <v>64</v>
      </c>
      <c r="DC189" s="934" t="s">
        <v>64</v>
      </c>
      <c r="DD189" s="934" t="s">
        <v>64</v>
      </c>
      <c r="DE189" s="939" t="str">
        <f t="shared" si="141"/>
        <v>-</v>
      </c>
      <c r="DF189" s="19"/>
    </row>
    <row r="190" spans="1:110">
      <c r="A190" s="846" t="s">
        <v>622</v>
      </c>
      <c r="B190" s="41" t="s">
        <v>156</v>
      </c>
      <c r="C190" s="41" t="s">
        <v>1490</v>
      </c>
      <c r="D190" s="34">
        <v>1500</v>
      </c>
      <c r="E190" s="535">
        <v>19.42567</v>
      </c>
      <c r="F190" s="537">
        <v>-155.25163000000001</v>
      </c>
      <c r="G190" s="37" t="s">
        <v>405</v>
      </c>
      <c r="H190" s="37" t="s">
        <v>64</v>
      </c>
      <c r="I190" s="28">
        <v>3</v>
      </c>
      <c r="J190" t="s">
        <v>889</v>
      </c>
      <c r="K190" s="34">
        <v>2021</v>
      </c>
      <c r="L190" s="51">
        <v>35</v>
      </c>
      <c r="M190" s="52">
        <v>32.5</v>
      </c>
      <c r="N190" s="54">
        <f t="shared" si="142"/>
        <v>20100.69140625</v>
      </c>
      <c r="O190" s="54">
        <v>19719.580737042281</v>
      </c>
      <c r="P190" s="53">
        <v>9</v>
      </c>
      <c r="Q190" s="54">
        <v>381.70350741115982</v>
      </c>
      <c r="R190" s="772">
        <f t="shared" si="134"/>
        <v>1.8989010989010988E-2</v>
      </c>
      <c r="S190" s="624" t="s">
        <v>196</v>
      </c>
      <c r="T190" s="37" t="s">
        <v>132</v>
      </c>
      <c r="U190" s="21">
        <v>83.780760588423277</v>
      </c>
      <c r="V190" s="552" t="s">
        <v>423</v>
      </c>
      <c r="W190" s="552" t="s">
        <v>423</v>
      </c>
      <c r="X190" s="556" t="s">
        <v>292</v>
      </c>
      <c r="Y190" s="784" t="s">
        <v>64</v>
      </c>
      <c r="Z190" s="784" t="s">
        <v>292</v>
      </c>
      <c r="AA190" s="785" t="s">
        <v>64</v>
      </c>
      <c r="AB190" s="32" t="str">
        <f t="shared" si="114"/>
        <v>-</v>
      </c>
      <c r="AC190" s="6" t="str">
        <f t="shared" si="135"/>
        <v>-</v>
      </c>
      <c r="AD190" s="6" t="str">
        <f t="shared" si="136"/>
        <v>-</v>
      </c>
      <c r="AE190" s="6">
        <f t="shared" si="117"/>
        <v>1188.8391204635445</v>
      </c>
      <c r="AF190" s="839">
        <v>0.98199999999999998</v>
      </c>
      <c r="AG190" s="553">
        <f t="shared" si="137"/>
        <v>1.8329938900203624E-2</v>
      </c>
      <c r="AH190" s="69" t="s">
        <v>64</v>
      </c>
      <c r="AI190" s="9" t="s">
        <v>64</v>
      </c>
      <c r="AJ190" s="9" t="s">
        <v>64</v>
      </c>
      <c r="AK190" s="9" t="s">
        <v>64</v>
      </c>
      <c r="AL190" s="9" t="s">
        <v>64</v>
      </c>
      <c r="AM190" s="9" t="s">
        <v>64</v>
      </c>
      <c r="AN190" s="9" t="s">
        <v>64</v>
      </c>
      <c r="AO190" s="9" t="s">
        <v>64</v>
      </c>
      <c r="AP190" s="9" t="s">
        <v>64</v>
      </c>
      <c r="AQ190" s="9" t="s">
        <v>64</v>
      </c>
      <c r="AR190" s="9" t="s">
        <v>64</v>
      </c>
      <c r="AS190" s="6" t="s">
        <v>64</v>
      </c>
      <c r="AT190" s="6" t="s">
        <v>64</v>
      </c>
      <c r="AU190" s="9" t="s">
        <v>64</v>
      </c>
      <c r="AV190" s="8" t="str">
        <f t="shared" si="120"/>
        <v>-</v>
      </c>
      <c r="AW190" s="9" t="str">
        <f t="shared" si="121"/>
        <v>-</v>
      </c>
      <c r="AX190" s="8" t="s">
        <v>64</v>
      </c>
      <c r="AY190" s="789" t="s">
        <v>64</v>
      </c>
      <c r="AZ190" s="6" t="s">
        <v>64</v>
      </c>
      <c r="BA190" s="48" t="s">
        <v>64</v>
      </c>
      <c r="BB190" s="6" t="s">
        <v>292</v>
      </c>
      <c r="BC190" s="48" t="s">
        <v>292</v>
      </c>
      <c r="BD190" s="849" t="s">
        <v>64</v>
      </c>
      <c r="BE190" s="48" t="s">
        <v>64</v>
      </c>
      <c r="BF190" s="668" t="s">
        <v>64</v>
      </c>
      <c r="BG190" s="48" t="s">
        <v>64</v>
      </c>
      <c r="BH190" s="48" t="s">
        <v>64</v>
      </c>
      <c r="BI190" s="850" t="str">
        <f t="shared" si="138"/>
        <v>-</v>
      </c>
      <c r="BJ190" s="789" t="str">
        <f t="shared" si="123"/>
        <v>-</v>
      </c>
      <c r="BK190" s="67" t="s">
        <v>64</v>
      </c>
      <c r="BL190" s="48" t="s">
        <v>64</v>
      </c>
      <c r="BM190" s="48" t="s">
        <v>64</v>
      </c>
      <c r="BN190" s="850" t="str">
        <f t="shared" si="139"/>
        <v>-</v>
      </c>
      <c r="BO190" s="789" t="str">
        <f t="shared" si="125"/>
        <v>-</v>
      </c>
      <c r="BP190" s="789" t="str">
        <f t="shared" si="126"/>
        <v>-</v>
      </c>
      <c r="BQ190" s="34" t="s">
        <v>64</v>
      </c>
      <c r="BR190" s="45" t="s">
        <v>64</v>
      </c>
      <c r="BS190" s="854" t="s">
        <v>64</v>
      </c>
      <c r="BT190" s="605"/>
      <c r="BU190" s="599" t="s">
        <v>64</v>
      </c>
      <c r="BV190" s="851" t="s">
        <v>64</v>
      </c>
      <c r="BW190" s="851" t="s">
        <v>64</v>
      </c>
      <c r="BX190" s="851" t="s">
        <v>64</v>
      </c>
      <c r="BY190" s="851" t="s">
        <v>64</v>
      </c>
      <c r="BZ190" s="851" t="s">
        <v>64</v>
      </c>
      <c r="CA190" s="851" t="s">
        <v>64</v>
      </c>
      <c r="CB190" s="851" t="s">
        <v>64</v>
      </c>
      <c r="CC190" s="851" t="s">
        <v>64</v>
      </c>
      <c r="CD190" s="851" t="s">
        <v>64</v>
      </c>
      <c r="CE190" s="852" t="s">
        <v>64</v>
      </c>
      <c r="CF190" s="852" t="s">
        <v>64</v>
      </c>
      <c r="CG190" s="605"/>
      <c r="CH190" s="584" t="s">
        <v>64</v>
      </c>
      <c r="CI190" s="576" t="s">
        <v>64</v>
      </c>
      <c r="CJ190" s="576" t="s">
        <v>64</v>
      </c>
      <c r="CK190" s="576" t="s">
        <v>64</v>
      </c>
      <c r="CL190" s="576" t="s">
        <v>64</v>
      </c>
      <c r="CM190" s="576" t="s">
        <v>64</v>
      </c>
      <c r="CN190" s="576" t="s">
        <v>64</v>
      </c>
      <c r="CO190" s="576" t="s">
        <v>64</v>
      </c>
      <c r="CP190" s="576" t="s">
        <v>64</v>
      </c>
      <c r="CQ190" s="576" t="s">
        <v>64</v>
      </c>
      <c r="CR190" s="857" t="s">
        <v>64</v>
      </c>
      <c r="CS190" s="793" t="s">
        <v>64</v>
      </c>
      <c r="CT190" s="855" t="s">
        <v>64</v>
      </c>
      <c r="CU190" s="576" t="s">
        <v>64</v>
      </c>
      <c r="CV190" s="591" t="s">
        <v>64</v>
      </c>
      <c r="CW190" s="605"/>
      <c r="CX190" s="936" t="s">
        <v>64</v>
      </c>
      <c r="CY190" s="934" t="s">
        <v>64</v>
      </c>
      <c r="CZ190" s="934" t="s">
        <v>64</v>
      </c>
      <c r="DA190" s="938" t="str">
        <f t="shared" si="140"/>
        <v>-</v>
      </c>
      <c r="DB190" s="936" t="s">
        <v>64</v>
      </c>
      <c r="DC190" s="934" t="s">
        <v>64</v>
      </c>
      <c r="DD190" s="934" t="s">
        <v>64</v>
      </c>
      <c r="DE190" s="939" t="str">
        <f t="shared" si="141"/>
        <v>-</v>
      </c>
      <c r="DF190" s="19"/>
    </row>
    <row r="191" spans="1:110">
      <c r="A191" s="846" t="s">
        <v>623</v>
      </c>
      <c r="B191" s="41" t="s">
        <v>156</v>
      </c>
      <c r="C191" s="41" t="s">
        <v>1490</v>
      </c>
      <c r="D191" s="34">
        <v>1500</v>
      </c>
      <c r="E191" s="535">
        <v>19.42567</v>
      </c>
      <c r="F191" s="537">
        <v>-155.25163000000001</v>
      </c>
      <c r="G191" s="37" t="s">
        <v>998</v>
      </c>
      <c r="H191" s="860" t="s">
        <v>999</v>
      </c>
      <c r="I191" s="202" t="s">
        <v>64</v>
      </c>
      <c r="J191" t="s">
        <v>880</v>
      </c>
      <c r="K191" s="34">
        <v>2021</v>
      </c>
      <c r="L191" s="51" t="s">
        <v>998</v>
      </c>
      <c r="M191" s="52" t="s">
        <v>998</v>
      </c>
      <c r="N191" s="54" t="str">
        <f>L191</f>
        <v>fluid inclusion</v>
      </c>
      <c r="O191" s="54" t="s">
        <v>998</v>
      </c>
      <c r="P191" s="53">
        <v>6</v>
      </c>
      <c r="Q191" s="54">
        <v>113.09733552923254</v>
      </c>
      <c r="R191" s="772">
        <f t="shared" si="134"/>
        <v>1</v>
      </c>
      <c r="S191" s="624" t="s">
        <v>196</v>
      </c>
      <c r="T191" s="37" t="s">
        <v>132</v>
      </c>
      <c r="U191" s="21">
        <v>83.780760588423277</v>
      </c>
      <c r="V191" s="552" t="s">
        <v>423</v>
      </c>
      <c r="W191" s="552" t="s">
        <v>423</v>
      </c>
      <c r="X191" s="556">
        <v>102.97865992651377</v>
      </c>
      <c r="Y191" s="784">
        <v>7.5865203911229963E-14</v>
      </c>
      <c r="Z191" s="784">
        <v>0.13742427391238721</v>
      </c>
      <c r="AA191" s="785">
        <v>2.6053234465902278E-14</v>
      </c>
      <c r="AB191" s="32" t="str">
        <f t="shared" si="114"/>
        <v>-</v>
      </c>
      <c r="AC191" s="6" t="str">
        <f t="shared" si="135"/>
        <v>-</v>
      </c>
      <c r="AD191" s="6" t="str">
        <f t="shared" si="136"/>
        <v>-</v>
      </c>
      <c r="AE191" s="6">
        <f t="shared" si="117"/>
        <v>1188.8391204635445</v>
      </c>
      <c r="AF191" s="839" t="s">
        <v>998</v>
      </c>
      <c r="AG191" s="553" t="str">
        <f t="shared" si="137"/>
        <v>-</v>
      </c>
      <c r="AH191" s="69" t="s">
        <v>64</v>
      </c>
      <c r="AI191" s="9" t="s">
        <v>64</v>
      </c>
      <c r="AJ191" s="9" t="s">
        <v>64</v>
      </c>
      <c r="AK191" s="9" t="s">
        <v>64</v>
      </c>
      <c r="AL191" s="9" t="s">
        <v>64</v>
      </c>
      <c r="AM191" s="9" t="s">
        <v>64</v>
      </c>
      <c r="AN191" s="9" t="s">
        <v>64</v>
      </c>
      <c r="AO191" s="9" t="s">
        <v>64</v>
      </c>
      <c r="AP191" s="9" t="s">
        <v>64</v>
      </c>
      <c r="AQ191" s="9" t="s">
        <v>64</v>
      </c>
      <c r="AR191" s="9" t="s">
        <v>64</v>
      </c>
      <c r="AS191" s="6" t="s">
        <v>64</v>
      </c>
      <c r="AT191" s="6" t="s">
        <v>64</v>
      </c>
      <c r="AU191" s="9" t="s">
        <v>64</v>
      </c>
      <c r="AV191" s="8" t="str">
        <f t="shared" si="120"/>
        <v>-</v>
      </c>
      <c r="AW191" s="9" t="str">
        <f t="shared" si="121"/>
        <v>-</v>
      </c>
      <c r="AX191" s="8" t="s">
        <v>64</v>
      </c>
      <c r="AY191" s="789" t="s">
        <v>64</v>
      </c>
      <c r="AZ191" s="6" t="s">
        <v>64</v>
      </c>
      <c r="BA191" s="48" t="s">
        <v>64</v>
      </c>
      <c r="BB191" s="6" t="s">
        <v>64</v>
      </c>
      <c r="BC191" s="48" t="s">
        <v>64</v>
      </c>
      <c r="BD191" s="849" t="s">
        <v>64</v>
      </c>
      <c r="BE191" s="48" t="s">
        <v>64</v>
      </c>
      <c r="BF191" s="668" t="s">
        <v>1008</v>
      </c>
      <c r="BG191" s="48" t="s">
        <v>64</v>
      </c>
      <c r="BH191" s="48" t="s">
        <v>64</v>
      </c>
      <c r="BI191" s="850" t="str">
        <f t="shared" si="138"/>
        <v>-</v>
      </c>
      <c r="BJ191" s="789" t="str">
        <f t="shared" si="123"/>
        <v>-</v>
      </c>
      <c r="BK191" s="67">
        <v>410</v>
      </c>
      <c r="BL191" s="48">
        <v>41.000000000000057</v>
      </c>
      <c r="BM191" s="48">
        <v>0</v>
      </c>
      <c r="BN191" s="850">
        <f t="shared" si="139"/>
        <v>1.7532297163999997</v>
      </c>
      <c r="BO191" s="789">
        <f t="shared" si="125"/>
        <v>0.1671516582084005</v>
      </c>
      <c r="BP191" s="789">
        <f t="shared" si="126"/>
        <v>0</v>
      </c>
      <c r="BQ191" s="861" t="s">
        <v>912</v>
      </c>
      <c r="BR191" s="45" t="s">
        <v>64</v>
      </c>
      <c r="BS191" s="854" t="s">
        <v>64</v>
      </c>
      <c r="BT191" s="605"/>
      <c r="BU191" s="599" t="s">
        <v>64</v>
      </c>
      <c r="BV191" s="851" t="s">
        <v>64</v>
      </c>
      <c r="BW191" s="851" t="s">
        <v>64</v>
      </c>
      <c r="BX191" s="851" t="s">
        <v>64</v>
      </c>
      <c r="BY191" s="851" t="s">
        <v>64</v>
      </c>
      <c r="BZ191" s="851" t="s">
        <v>64</v>
      </c>
      <c r="CA191" s="851" t="s">
        <v>64</v>
      </c>
      <c r="CB191" s="851" t="s">
        <v>64</v>
      </c>
      <c r="CC191" s="851" t="s">
        <v>64</v>
      </c>
      <c r="CD191" s="851" t="s">
        <v>64</v>
      </c>
      <c r="CE191" s="852" t="s">
        <v>64</v>
      </c>
      <c r="CF191" s="852" t="s">
        <v>64</v>
      </c>
      <c r="CG191" s="605"/>
      <c r="CH191" s="584" t="s">
        <v>64</v>
      </c>
      <c r="CI191" s="576" t="s">
        <v>64</v>
      </c>
      <c r="CJ191" s="576" t="s">
        <v>64</v>
      </c>
      <c r="CK191" s="576" t="s">
        <v>64</v>
      </c>
      <c r="CL191" s="576" t="s">
        <v>64</v>
      </c>
      <c r="CM191" s="576" t="s">
        <v>64</v>
      </c>
      <c r="CN191" s="576" t="s">
        <v>64</v>
      </c>
      <c r="CO191" s="576" t="s">
        <v>64</v>
      </c>
      <c r="CP191" s="576" t="s">
        <v>64</v>
      </c>
      <c r="CQ191" s="576" t="s">
        <v>64</v>
      </c>
      <c r="CR191" s="857" t="s">
        <v>64</v>
      </c>
      <c r="CS191" s="793" t="s">
        <v>64</v>
      </c>
      <c r="CT191" s="855" t="s">
        <v>64</v>
      </c>
      <c r="CU191" s="576" t="s">
        <v>64</v>
      </c>
      <c r="CV191" s="591" t="s">
        <v>64</v>
      </c>
      <c r="CW191" s="605"/>
      <c r="CX191" s="936" t="s">
        <v>64</v>
      </c>
      <c r="CY191" s="934" t="s">
        <v>64</v>
      </c>
      <c r="CZ191" s="934" t="s">
        <v>64</v>
      </c>
      <c r="DA191" s="938" t="str">
        <f t="shared" si="140"/>
        <v>-</v>
      </c>
      <c r="DB191" s="936" t="s">
        <v>64</v>
      </c>
      <c r="DC191" s="934" t="s">
        <v>64</v>
      </c>
      <c r="DD191" s="934" t="s">
        <v>64</v>
      </c>
      <c r="DE191" s="939" t="str">
        <f t="shared" si="141"/>
        <v>-</v>
      </c>
      <c r="DF191" s="19"/>
    </row>
    <row r="192" spans="1:110">
      <c r="A192" s="846" t="s">
        <v>681</v>
      </c>
      <c r="B192" s="41" t="s">
        <v>156</v>
      </c>
      <c r="C192" s="41" t="s">
        <v>1490</v>
      </c>
      <c r="D192" s="34">
        <v>1500</v>
      </c>
      <c r="E192" s="535">
        <v>19.42567</v>
      </c>
      <c r="F192" s="537">
        <v>-155.25163000000001</v>
      </c>
      <c r="G192" s="37" t="s">
        <v>997</v>
      </c>
      <c r="H192" s="860" t="s">
        <v>760</v>
      </c>
      <c r="I192" s="202" t="s">
        <v>780</v>
      </c>
      <c r="J192" t="s">
        <v>889</v>
      </c>
      <c r="K192" s="34">
        <v>2021</v>
      </c>
      <c r="L192" s="51">
        <v>35</v>
      </c>
      <c r="M192" s="52">
        <v>32.5</v>
      </c>
      <c r="N192" s="54">
        <f t="shared" si="142"/>
        <v>20100.69140625</v>
      </c>
      <c r="O192" s="54">
        <v>4502.7531206045232</v>
      </c>
      <c r="P192" s="53">
        <v>31</v>
      </c>
      <c r="Q192" s="54">
        <v>15598.531123848919</v>
      </c>
      <c r="R192" s="772">
        <f t="shared" si="134"/>
        <v>0.7759967439967439</v>
      </c>
      <c r="S192" s="624" t="s">
        <v>198</v>
      </c>
      <c r="T192" s="37" t="s">
        <v>132</v>
      </c>
      <c r="U192" s="21">
        <v>83.479820015687281</v>
      </c>
      <c r="V192" s="552" t="s">
        <v>423</v>
      </c>
      <c r="W192" s="552" t="s">
        <v>423</v>
      </c>
      <c r="X192" s="556">
        <v>102.96809822459359</v>
      </c>
      <c r="Y192" s="784">
        <v>2.2381424228919643E-3</v>
      </c>
      <c r="Z192" s="784">
        <v>0.13367486973071863</v>
      </c>
      <c r="AA192" s="785">
        <v>7.9454056012790569E-4</v>
      </c>
      <c r="AB192" s="32" t="str">
        <f t="shared" si="114"/>
        <v>-</v>
      </c>
      <c r="AC192" s="6" t="str">
        <f t="shared" si="135"/>
        <v>-</v>
      </c>
      <c r="AD192" s="6" t="str">
        <f t="shared" si="136"/>
        <v>-</v>
      </c>
      <c r="AE192" s="6">
        <f t="shared" si="117"/>
        <v>1185.1943700832053</v>
      </c>
      <c r="AF192" s="839">
        <v>0.98599999999999999</v>
      </c>
      <c r="AG192" s="553">
        <f t="shared" si="137"/>
        <v>1.4198782961460488E-2</v>
      </c>
      <c r="AH192" s="69" t="s">
        <v>64</v>
      </c>
      <c r="AI192" s="9" t="s">
        <v>64</v>
      </c>
      <c r="AJ192" s="9" t="s">
        <v>64</v>
      </c>
      <c r="AK192" s="9" t="s">
        <v>64</v>
      </c>
      <c r="AL192" s="9" t="s">
        <v>64</v>
      </c>
      <c r="AM192" s="9" t="s">
        <v>64</v>
      </c>
      <c r="AN192" s="9" t="s">
        <v>64</v>
      </c>
      <c r="AO192" s="9" t="s">
        <v>64</v>
      </c>
      <c r="AP192" s="9" t="s">
        <v>64</v>
      </c>
      <c r="AQ192" s="9" t="s">
        <v>64</v>
      </c>
      <c r="AR192" s="9" t="s">
        <v>64</v>
      </c>
      <c r="AS192" s="6" t="s">
        <v>64</v>
      </c>
      <c r="AT192" s="6" t="s">
        <v>64</v>
      </c>
      <c r="AU192" s="9" t="s">
        <v>64</v>
      </c>
      <c r="AV192" s="8" t="str">
        <f t="shared" si="120"/>
        <v>-</v>
      </c>
      <c r="AW192" s="9" t="str">
        <f t="shared" si="121"/>
        <v>-</v>
      </c>
      <c r="AX192" s="8" t="s">
        <v>64</v>
      </c>
      <c r="AY192" s="789" t="s">
        <v>64</v>
      </c>
      <c r="AZ192" s="863" t="s">
        <v>897</v>
      </c>
      <c r="BA192" s="48" t="s">
        <v>64</v>
      </c>
      <c r="BB192" s="6">
        <v>134566.89973834465</v>
      </c>
      <c r="BC192" s="48">
        <v>33202.403832003445</v>
      </c>
      <c r="BD192" s="6" t="s">
        <v>998</v>
      </c>
      <c r="BE192" s="48" t="s">
        <v>998</v>
      </c>
      <c r="BF192" s="668" t="s">
        <v>1008</v>
      </c>
      <c r="BG192" s="48" t="s">
        <v>64</v>
      </c>
      <c r="BH192" s="48" t="s">
        <v>64</v>
      </c>
      <c r="BI192" s="850" t="str">
        <f t="shared" si="138"/>
        <v>-</v>
      </c>
      <c r="BJ192" s="789" t="str">
        <f t="shared" si="123"/>
        <v>-</v>
      </c>
      <c r="BK192" s="67">
        <v>398</v>
      </c>
      <c r="BL192" s="48">
        <v>39.800000000000011</v>
      </c>
      <c r="BM192" s="48">
        <v>3</v>
      </c>
      <c r="BN192" s="850">
        <f t="shared" si="139"/>
        <v>1.7040435405728001</v>
      </c>
      <c r="BO192" s="789">
        <f t="shared" si="125"/>
        <v>0.16267432743679677</v>
      </c>
      <c r="BP192" s="789">
        <f t="shared" si="126"/>
        <v>1.2315377122800175E-2</v>
      </c>
      <c r="BQ192" s="861" t="s">
        <v>760</v>
      </c>
      <c r="BR192" s="45" t="s">
        <v>64</v>
      </c>
      <c r="BS192" s="854" t="s">
        <v>64</v>
      </c>
      <c r="BT192" s="605"/>
      <c r="BU192" s="599" t="s">
        <v>64</v>
      </c>
      <c r="BV192" s="851" t="s">
        <v>64</v>
      </c>
      <c r="BW192" s="851" t="s">
        <v>64</v>
      </c>
      <c r="BX192" s="851" t="s">
        <v>64</v>
      </c>
      <c r="BY192" s="851" t="s">
        <v>64</v>
      </c>
      <c r="BZ192" s="851" t="s">
        <v>64</v>
      </c>
      <c r="CA192" s="851" t="s">
        <v>64</v>
      </c>
      <c r="CB192" s="851" t="s">
        <v>64</v>
      </c>
      <c r="CC192" s="851" t="s">
        <v>64</v>
      </c>
      <c r="CD192" s="851" t="s">
        <v>64</v>
      </c>
      <c r="CE192" s="852" t="s">
        <v>64</v>
      </c>
      <c r="CF192" s="852" t="s">
        <v>64</v>
      </c>
      <c r="CG192" s="605"/>
      <c r="CH192" s="584" t="s">
        <v>64</v>
      </c>
      <c r="CI192" s="576" t="s">
        <v>64</v>
      </c>
      <c r="CJ192" s="576" t="s">
        <v>64</v>
      </c>
      <c r="CK192" s="576" t="s">
        <v>64</v>
      </c>
      <c r="CL192" s="576" t="s">
        <v>64</v>
      </c>
      <c r="CM192" s="576" t="s">
        <v>64</v>
      </c>
      <c r="CN192" s="576" t="s">
        <v>64</v>
      </c>
      <c r="CO192" s="576" t="s">
        <v>64</v>
      </c>
      <c r="CP192" s="576" t="s">
        <v>64</v>
      </c>
      <c r="CQ192" s="576" t="s">
        <v>64</v>
      </c>
      <c r="CR192" s="857" t="s">
        <v>64</v>
      </c>
      <c r="CS192" s="793" t="s">
        <v>64</v>
      </c>
      <c r="CT192" s="855" t="s">
        <v>64</v>
      </c>
      <c r="CU192" s="576" t="s">
        <v>64</v>
      </c>
      <c r="CV192" s="591" t="s">
        <v>64</v>
      </c>
      <c r="CW192" s="605"/>
      <c r="CX192" s="936" t="s">
        <v>998</v>
      </c>
      <c r="CY192" s="934" t="s">
        <v>64</v>
      </c>
      <c r="CZ192" s="934" t="s">
        <v>64</v>
      </c>
      <c r="DA192" s="938" t="str">
        <f t="shared" si="140"/>
        <v>-</v>
      </c>
      <c r="DB192" s="936" t="s">
        <v>998</v>
      </c>
      <c r="DC192" s="934" t="s">
        <v>64</v>
      </c>
      <c r="DD192" s="934" t="s">
        <v>64</v>
      </c>
      <c r="DE192" s="939" t="str">
        <f t="shared" si="141"/>
        <v>-</v>
      </c>
      <c r="DF192" s="19"/>
    </row>
    <row r="193" spans="1:110">
      <c r="A193" s="846" t="s">
        <v>624</v>
      </c>
      <c r="B193" s="41" t="s">
        <v>156</v>
      </c>
      <c r="C193" s="41" t="s">
        <v>1490</v>
      </c>
      <c r="D193" s="34">
        <v>1500</v>
      </c>
      <c r="E193" s="535">
        <v>19.42567</v>
      </c>
      <c r="F193" s="537">
        <v>-155.25163000000001</v>
      </c>
      <c r="G193" s="37" t="s">
        <v>997</v>
      </c>
      <c r="H193" s="860" t="s">
        <v>760</v>
      </c>
      <c r="I193" s="202" t="s">
        <v>780</v>
      </c>
      <c r="J193" t="s">
        <v>889</v>
      </c>
      <c r="K193" s="34">
        <v>2021</v>
      </c>
      <c r="L193" s="51">
        <v>65</v>
      </c>
      <c r="M193" s="52">
        <v>34</v>
      </c>
      <c r="N193" s="838">
        <f>(4*3.1415/3)*(L193/2)*(M193/2)*(AVERAGE(L193,M193)/2)</f>
        <v>57277.398750000008</v>
      </c>
      <c r="O193" s="54">
        <v>10308.023645356765</v>
      </c>
      <c r="P193" s="53">
        <v>38.133676248064162</v>
      </c>
      <c r="Q193" s="54">
        <v>29035.188353099409</v>
      </c>
      <c r="R193" s="772">
        <f t="shared" si="134"/>
        <v>0.73799740484429055</v>
      </c>
      <c r="S193" s="624" t="s">
        <v>199</v>
      </c>
      <c r="T193" s="37" t="s">
        <v>132</v>
      </c>
      <c r="U193" s="21">
        <v>83.238780345356503</v>
      </c>
      <c r="V193" s="552" t="s">
        <v>423</v>
      </c>
      <c r="W193" s="552" t="s">
        <v>423</v>
      </c>
      <c r="X193" s="556">
        <v>102.92638688238128</v>
      </c>
      <c r="Y193" s="784">
        <v>3.7977852166689373E-3</v>
      </c>
      <c r="Z193" s="784">
        <v>0.11886734324534842</v>
      </c>
      <c r="AA193" s="785">
        <v>1.3482137519169081E-3</v>
      </c>
      <c r="AB193" s="32" t="str">
        <f t="shared" si="114"/>
        <v>-</v>
      </c>
      <c r="AC193" s="6" t="str">
        <f t="shared" si="135"/>
        <v>-</v>
      </c>
      <c r="AD193" s="6" t="str">
        <f t="shared" si="136"/>
        <v>-</v>
      </c>
      <c r="AE193" s="6">
        <f t="shared" si="117"/>
        <v>1182.3784174428292</v>
      </c>
      <c r="AF193" s="839">
        <v>0.98599999999999999</v>
      </c>
      <c r="AG193" s="553">
        <f t="shared" si="137"/>
        <v>1.4198782961460488E-2</v>
      </c>
      <c r="AH193" s="69" t="s">
        <v>64</v>
      </c>
      <c r="AI193" s="9" t="s">
        <v>64</v>
      </c>
      <c r="AJ193" s="9" t="s">
        <v>64</v>
      </c>
      <c r="AK193" s="9" t="s">
        <v>64</v>
      </c>
      <c r="AL193" s="9" t="s">
        <v>64</v>
      </c>
      <c r="AM193" s="9" t="s">
        <v>64</v>
      </c>
      <c r="AN193" s="9" t="s">
        <v>64</v>
      </c>
      <c r="AO193" s="9" t="s">
        <v>64</v>
      </c>
      <c r="AP193" s="9" t="s">
        <v>64</v>
      </c>
      <c r="AQ193" s="9" t="s">
        <v>64</v>
      </c>
      <c r="AR193" s="9" t="s">
        <v>64</v>
      </c>
      <c r="AS193" s="6" t="s">
        <v>64</v>
      </c>
      <c r="AT193" s="6" t="s">
        <v>64</v>
      </c>
      <c r="AU193" s="9" t="s">
        <v>64</v>
      </c>
      <c r="AV193" s="8" t="str">
        <f t="shared" si="120"/>
        <v>-</v>
      </c>
      <c r="AW193" s="9" t="str">
        <f t="shared" si="121"/>
        <v>-</v>
      </c>
      <c r="AX193" s="8" t="s">
        <v>64</v>
      </c>
      <c r="AY193" s="789" t="s">
        <v>64</v>
      </c>
      <c r="AZ193" s="863" t="s">
        <v>897</v>
      </c>
      <c r="BA193" s="48" t="s">
        <v>64</v>
      </c>
      <c r="BB193" s="6">
        <v>101118.22296306657</v>
      </c>
      <c r="BC193" s="48">
        <v>22099.266975076687</v>
      </c>
      <c r="BD193" s="6" t="s">
        <v>998</v>
      </c>
      <c r="BE193" s="48" t="s">
        <v>998</v>
      </c>
      <c r="BF193" s="668" t="s">
        <v>1008</v>
      </c>
      <c r="BG193" s="48" t="s">
        <v>64</v>
      </c>
      <c r="BH193" s="48" t="s">
        <v>64</v>
      </c>
      <c r="BI193" s="850" t="str">
        <f t="shared" si="138"/>
        <v>-</v>
      </c>
      <c r="BJ193" s="789" t="str">
        <f t="shared" si="123"/>
        <v>-</v>
      </c>
      <c r="BK193" s="67">
        <v>350</v>
      </c>
      <c r="BL193" s="48">
        <v>35.000000000000057</v>
      </c>
      <c r="BM193" s="48">
        <v>4</v>
      </c>
      <c r="BN193" s="850">
        <f t="shared" si="139"/>
        <v>1.5060846499999998</v>
      </c>
      <c r="BO193" s="789">
        <f t="shared" si="125"/>
        <v>0.14453762715000029</v>
      </c>
      <c r="BP193" s="789">
        <f t="shared" si="126"/>
        <v>1.6585176057599904E-2</v>
      </c>
      <c r="BQ193" s="861" t="s">
        <v>760</v>
      </c>
      <c r="BR193" s="45" t="s">
        <v>64</v>
      </c>
      <c r="BS193" s="854" t="s">
        <v>64</v>
      </c>
      <c r="BT193" s="605"/>
      <c r="BU193" s="599" t="s">
        <v>64</v>
      </c>
      <c r="BV193" s="851" t="s">
        <v>64</v>
      </c>
      <c r="BW193" s="851" t="s">
        <v>64</v>
      </c>
      <c r="BX193" s="851" t="s">
        <v>64</v>
      </c>
      <c r="BY193" s="851" t="s">
        <v>64</v>
      </c>
      <c r="BZ193" s="851" t="s">
        <v>64</v>
      </c>
      <c r="CA193" s="851" t="s">
        <v>64</v>
      </c>
      <c r="CB193" s="851" t="s">
        <v>64</v>
      </c>
      <c r="CC193" s="851" t="s">
        <v>64</v>
      </c>
      <c r="CD193" s="851" t="s">
        <v>64</v>
      </c>
      <c r="CE193" s="852" t="s">
        <v>64</v>
      </c>
      <c r="CF193" s="852" t="s">
        <v>64</v>
      </c>
      <c r="CG193" s="605"/>
      <c r="CH193" s="584" t="s">
        <v>64</v>
      </c>
      <c r="CI193" s="576" t="s">
        <v>64</v>
      </c>
      <c r="CJ193" s="576" t="s">
        <v>64</v>
      </c>
      <c r="CK193" s="576" t="s">
        <v>64</v>
      </c>
      <c r="CL193" s="576" t="s">
        <v>64</v>
      </c>
      <c r="CM193" s="576" t="s">
        <v>64</v>
      </c>
      <c r="CN193" s="576" t="s">
        <v>64</v>
      </c>
      <c r="CO193" s="576" t="s">
        <v>64</v>
      </c>
      <c r="CP193" s="576" t="s">
        <v>64</v>
      </c>
      <c r="CQ193" s="576" t="s">
        <v>64</v>
      </c>
      <c r="CR193" s="857" t="s">
        <v>64</v>
      </c>
      <c r="CS193" s="793" t="s">
        <v>64</v>
      </c>
      <c r="CT193" s="855" t="s">
        <v>64</v>
      </c>
      <c r="CU193" s="576" t="s">
        <v>64</v>
      </c>
      <c r="CV193" s="591" t="s">
        <v>64</v>
      </c>
      <c r="CW193" s="605"/>
      <c r="CX193" s="936" t="s">
        <v>998</v>
      </c>
      <c r="CY193" s="934" t="s">
        <v>64</v>
      </c>
      <c r="CZ193" s="934" t="s">
        <v>64</v>
      </c>
      <c r="DA193" s="938" t="str">
        <f t="shared" si="140"/>
        <v>-</v>
      </c>
      <c r="DB193" s="936" t="s">
        <v>998</v>
      </c>
      <c r="DC193" s="934" t="s">
        <v>64</v>
      </c>
      <c r="DD193" s="934" t="s">
        <v>64</v>
      </c>
      <c r="DE193" s="939" t="str">
        <f t="shared" si="141"/>
        <v>-</v>
      </c>
      <c r="DF193" s="19"/>
    </row>
    <row r="194" spans="1:110">
      <c r="A194" s="846" t="s">
        <v>625</v>
      </c>
      <c r="B194" s="41" t="s">
        <v>156</v>
      </c>
      <c r="C194" s="41" t="s">
        <v>1490</v>
      </c>
      <c r="D194" s="34">
        <v>1500</v>
      </c>
      <c r="E194" s="535">
        <v>19.42567</v>
      </c>
      <c r="F194" s="537">
        <v>-155.25163000000001</v>
      </c>
      <c r="G194" s="37" t="s">
        <v>998</v>
      </c>
      <c r="H194" s="860" t="s">
        <v>999</v>
      </c>
      <c r="I194" s="202" t="s">
        <v>64</v>
      </c>
      <c r="J194" t="s">
        <v>880</v>
      </c>
      <c r="K194" s="34">
        <v>2021</v>
      </c>
      <c r="L194" s="51" t="s">
        <v>998</v>
      </c>
      <c r="M194" s="52" t="s">
        <v>998</v>
      </c>
      <c r="N194" s="54" t="str">
        <f>L194</f>
        <v>fluid inclusion</v>
      </c>
      <c r="O194" s="54" t="s">
        <v>998</v>
      </c>
      <c r="P194" s="53">
        <v>20</v>
      </c>
      <c r="Q194" s="54">
        <v>4188.7902047863909</v>
      </c>
      <c r="R194" s="772">
        <f t="shared" si="134"/>
        <v>1</v>
      </c>
      <c r="S194" s="624" t="s">
        <v>199</v>
      </c>
      <c r="T194" s="37" t="s">
        <v>132</v>
      </c>
      <c r="U194" s="21">
        <v>83.238780345356503</v>
      </c>
      <c r="V194" s="552" t="s">
        <v>423</v>
      </c>
      <c r="W194" s="552" t="s">
        <v>423</v>
      </c>
      <c r="X194" s="556">
        <v>102.94890877179301</v>
      </c>
      <c r="Y194" s="784">
        <v>2.5290660348152487E-3</v>
      </c>
      <c r="Z194" s="784">
        <v>0.12686261398651766</v>
      </c>
      <c r="AA194" s="785">
        <v>8.9781844236114239E-4</v>
      </c>
      <c r="AB194" s="32" t="str">
        <f t="shared" si="114"/>
        <v>-</v>
      </c>
      <c r="AC194" s="6" t="str">
        <f t="shared" si="135"/>
        <v>-</v>
      </c>
      <c r="AD194" s="6" t="str">
        <f t="shared" si="136"/>
        <v>-</v>
      </c>
      <c r="AE194" s="6">
        <f t="shared" si="117"/>
        <v>1182.3784174428292</v>
      </c>
      <c r="AF194" s="839" t="s">
        <v>998</v>
      </c>
      <c r="AG194" s="553" t="str">
        <f t="shared" si="137"/>
        <v>-</v>
      </c>
      <c r="AH194" s="69" t="s">
        <v>64</v>
      </c>
      <c r="AI194" s="9" t="s">
        <v>64</v>
      </c>
      <c r="AJ194" s="9" t="s">
        <v>64</v>
      </c>
      <c r="AK194" s="9" t="s">
        <v>64</v>
      </c>
      <c r="AL194" s="9" t="s">
        <v>64</v>
      </c>
      <c r="AM194" s="9" t="s">
        <v>64</v>
      </c>
      <c r="AN194" s="9" t="s">
        <v>64</v>
      </c>
      <c r="AO194" s="9" t="s">
        <v>64</v>
      </c>
      <c r="AP194" s="9" t="s">
        <v>64</v>
      </c>
      <c r="AQ194" s="9" t="s">
        <v>64</v>
      </c>
      <c r="AR194" s="9" t="s">
        <v>64</v>
      </c>
      <c r="AS194" s="6" t="s">
        <v>64</v>
      </c>
      <c r="AT194" s="6" t="s">
        <v>64</v>
      </c>
      <c r="AU194" s="9" t="s">
        <v>64</v>
      </c>
      <c r="AV194" s="8" t="str">
        <f t="shared" si="120"/>
        <v>-</v>
      </c>
      <c r="AW194" s="9" t="str">
        <f t="shared" si="121"/>
        <v>-</v>
      </c>
      <c r="AX194" s="8" t="s">
        <v>64</v>
      </c>
      <c r="AY194" s="789" t="s">
        <v>64</v>
      </c>
      <c r="AZ194" s="6" t="s">
        <v>64</v>
      </c>
      <c r="BA194" s="48" t="s">
        <v>64</v>
      </c>
      <c r="BB194" s="6" t="s">
        <v>64</v>
      </c>
      <c r="BC194" s="48" t="s">
        <v>64</v>
      </c>
      <c r="BD194" s="849" t="s">
        <v>64</v>
      </c>
      <c r="BE194" s="48" t="s">
        <v>64</v>
      </c>
      <c r="BF194" s="668" t="s">
        <v>1008</v>
      </c>
      <c r="BG194" s="48" t="s">
        <v>64</v>
      </c>
      <c r="BH194" s="48" t="s">
        <v>64</v>
      </c>
      <c r="BI194" s="850" t="str">
        <f t="shared" si="138"/>
        <v>-</v>
      </c>
      <c r="BJ194" s="789" t="str">
        <f t="shared" si="123"/>
        <v>-</v>
      </c>
      <c r="BK194" s="67">
        <v>376</v>
      </c>
      <c r="BL194" s="48">
        <v>37.600000000000023</v>
      </c>
      <c r="BM194" s="48">
        <v>3</v>
      </c>
      <c r="BN194" s="850">
        <f t="shared" si="139"/>
        <v>1.6135548637184001</v>
      </c>
      <c r="BO194" s="789">
        <f t="shared" si="125"/>
        <v>0.15440727308759028</v>
      </c>
      <c r="BP194" s="789">
        <f t="shared" si="126"/>
        <v>1.2371040915600151E-2</v>
      </c>
      <c r="BQ194" s="861" t="s">
        <v>912</v>
      </c>
      <c r="BR194" s="45" t="s">
        <v>64</v>
      </c>
      <c r="BS194" s="854" t="s">
        <v>64</v>
      </c>
      <c r="BT194" s="605"/>
      <c r="BU194" s="599" t="s">
        <v>64</v>
      </c>
      <c r="BV194" s="851" t="s">
        <v>64</v>
      </c>
      <c r="BW194" s="851" t="s">
        <v>64</v>
      </c>
      <c r="BX194" s="851" t="s">
        <v>64</v>
      </c>
      <c r="BY194" s="851" t="s">
        <v>64</v>
      </c>
      <c r="BZ194" s="851" t="s">
        <v>64</v>
      </c>
      <c r="CA194" s="851" t="s">
        <v>64</v>
      </c>
      <c r="CB194" s="851" t="s">
        <v>64</v>
      </c>
      <c r="CC194" s="851" t="s">
        <v>64</v>
      </c>
      <c r="CD194" s="851" t="s">
        <v>64</v>
      </c>
      <c r="CE194" s="852" t="s">
        <v>64</v>
      </c>
      <c r="CF194" s="852" t="s">
        <v>64</v>
      </c>
      <c r="CG194" s="605"/>
      <c r="CH194" s="584" t="s">
        <v>64</v>
      </c>
      <c r="CI194" s="576" t="s">
        <v>64</v>
      </c>
      <c r="CJ194" s="576" t="s">
        <v>64</v>
      </c>
      <c r="CK194" s="576" t="s">
        <v>64</v>
      </c>
      <c r="CL194" s="576" t="s">
        <v>64</v>
      </c>
      <c r="CM194" s="576" t="s">
        <v>64</v>
      </c>
      <c r="CN194" s="576" t="s">
        <v>64</v>
      </c>
      <c r="CO194" s="576" t="s">
        <v>64</v>
      </c>
      <c r="CP194" s="576" t="s">
        <v>64</v>
      </c>
      <c r="CQ194" s="576" t="s">
        <v>64</v>
      </c>
      <c r="CR194" s="857" t="s">
        <v>64</v>
      </c>
      <c r="CS194" s="793" t="s">
        <v>64</v>
      </c>
      <c r="CT194" s="855" t="s">
        <v>64</v>
      </c>
      <c r="CU194" s="576" t="s">
        <v>64</v>
      </c>
      <c r="CV194" s="591" t="s">
        <v>64</v>
      </c>
      <c r="CW194" s="605"/>
      <c r="CX194" s="936" t="s">
        <v>64</v>
      </c>
      <c r="CY194" s="934" t="s">
        <v>64</v>
      </c>
      <c r="CZ194" s="934" t="s">
        <v>64</v>
      </c>
      <c r="DA194" s="938" t="str">
        <f t="shared" si="140"/>
        <v>-</v>
      </c>
      <c r="DB194" s="936" t="s">
        <v>64</v>
      </c>
      <c r="DC194" s="934" t="s">
        <v>64</v>
      </c>
      <c r="DD194" s="934" t="s">
        <v>64</v>
      </c>
      <c r="DE194" s="939" t="str">
        <f t="shared" si="141"/>
        <v>-</v>
      </c>
      <c r="DF194" s="19"/>
    </row>
    <row r="195" spans="1:110">
      <c r="A195" s="846" t="s">
        <v>626</v>
      </c>
      <c r="B195" s="41" t="s">
        <v>156</v>
      </c>
      <c r="C195" s="41" t="s">
        <v>1490</v>
      </c>
      <c r="D195" s="34">
        <v>1500</v>
      </c>
      <c r="E195" s="535">
        <v>19.42567</v>
      </c>
      <c r="F195" s="537">
        <v>-155.25163000000001</v>
      </c>
      <c r="G195" s="37" t="s">
        <v>997</v>
      </c>
      <c r="H195" s="860" t="s">
        <v>760</v>
      </c>
      <c r="I195" s="202" t="s">
        <v>780</v>
      </c>
      <c r="J195" t="s">
        <v>889</v>
      </c>
      <c r="K195" s="34">
        <v>2021</v>
      </c>
      <c r="L195" s="51">
        <v>30</v>
      </c>
      <c r="M195" s="52">
        <v>25</v>
      </c>
      <c r="N195" s="54">
        <f t="shared" si="142"/>
        <v>10798.906250000002</v>
      </c>
      <c r="O195" s="54">
        <v>2617.9938779914955</v>
      </c>
      <c r="P195" s="53">
        <v>25</v>
      </c>
      <c r="Q195" s="54">
        <v>8181.230868723419</v>
      </c>
      <c r="R195" s="772">
        <f t="shared" si="134"/>
        <v>0.75757575757575757</v>
      </c>
      <c r="S195" s="624" t="s">
        <v>199</v>
      </c>
      <c r="T195" s="37" t="s">
        <v>132</v>
      </c>
      <c r="U195" s="21">
        <v>83.238780345356503</v>
      </c>
      <c r="V195" s="552" t="s">
        <v>423</v>
      </c>
      <c r="W195" s="552" t="s">
        <v>423</v>
      </c>
      <c r="X195" s="556">
        <v>102.91891977066194</v>
      </c>
      <c r="Y195" s="784">
        <v>3.7977085564333169E-3</v>
      </c>
      <c r="Z195" s="784">
        <v>0.11621651858498439</v>
      </c>
      <c r="AA195" s="785">
        <v>1.3481865375346261E-3</v>
      </c>
      <c r="AB195" s="32" t="str">
        <f t="shared" si="114"/>
        <v>-</v>
      </c>
      <c r="AC195" s="6" t="str">
        <f t="shared" si="135"/>
        <v>-</v>
      </c>
      <c r="AD195" s="6" t="str">
        <f t="shared" si="136"/>
        <v>-</v>
      </c>
      <c r="AE195" s="6">
        <f t="shared" si="117"/>
        <v>1182.3784174428292</v>
      </c>
      <c r="AF195" s="839">
        <v>0.98599999999999999</v>
      </c>
      <c r="AG195" s="553">
        <f t="shared" si="137"/>
        <v>1.4198782961460488E-2</v>
      </c>
      <c r="AH195" s="69" t="s">
        <v>64</v>
      </c>
      <c r="AI195" s="9" t="s">
        <v>64</v>
      </c>
      <c r="AJ195" s="9" t="s">
        <v>64</v>
      </c>
      <c r="AK195" s="9" t="s">
        <v>64</v>
      </c>
      <c r="AL195" s="9" t="s">
        <v>64</v>
      </c>
      <c r="AM195" s="9" t="s">
        <v>64</v>
      </c>
      <c r="AN195" s="9" t="s">
        <v>64</v>
      </c>
      <c r="AO195" s="9" t="s">
        <v>64</v>
      </c>
      <c r="AP195" s="9" t="s">
        <v>64</v>
      </c>
      <c r="AQ195" s="9" t="s">
        <v>64</v>
      </c>
      <c r="AR195" s="9" t="s">
        <v>64</v>
      </c>
      <c r="AS195" s="6" t="s">
        <v>64</v>
      </c>
      <c r="AT195" s="6" t="s">
        <v>64</v>
      </c>
      <c r="AU195" s="9" t="s">
        <v>64</v>
      </c>
      <c r="AV195" s="8" t="str">
        <f t="shared" si="120"/>
        <v>-</v>
      </c>
      <c r="AW195" s="9" t="str">
        <f t="shared" si="121"/>
        <v>-</v>
      </c>
      <c r="AX195" s="8" t="s">
        <v>64</v>
      </c>
      <c r="AY195" s="789" t="s">
        <v>64</v>
      </c>
      <c r="AZ195" s="863" t="s">
        <v>897</v>
      </c>
      <c r="BA195" s="48" t="s">
        <v>64</v>
      </c>
      <c r="BB195" s="6">
        <v>108737.6078320161</v>
      </c>
      <c r="BC195" s="48">
        <v>31430.369186132266</v>
      </c>
      <c r="BD195" s="6" t="s">
        <v>998</v>
      </c>
      <c r="BE195" s="48" t="s">
        <v>998</v>
      </c>
      <c r="BF195" s="668" t="s">
        <v>1008</v>
      </c>
      <c r="BG195" s="48" t="s">
        <v>64</v>
      </c>
      <c r="BH195" s="48" t="s">
        <v>64</v>
      </c>
      <c r="BI195" s="850" t="str">
        <f t="shared" si="138"/>
        <v>-</v>
      </c>
      <c r="BJ195" s="789" t="str">
        <f t="shared" si="123"/>
        <v>-</v>
      </c>
      <c r="BK195" s="67">
        <v>341</v>
      </c>
      <c r="BL195" s="48">
        <v>34.100000000000023</v>
      </c>
      <c r="BM195" s="48">
        <v>4</v>
      </c>
      <c r="BN195" s="850">
        <f t="shared" si="139"/>
        <v>1.4687486597563999</v>
      </c>
      <c r="BO195" s="789">
        <f t="shared" si="125"/>
        <v>0.14109569288016854</v>
      </c>
      <c r="BP195" s="789">
        <f t="shared" si="126"/>
        <v>1.6616158651199697E-2</v>
      </c>
      <c r="BQ195" s="861" t="s">
        <v>760</v>
      </c>
      <c r="BR195" s="45" t="s">
        <v>64</v>
      </c>
      <c r="BS195" s="854" t="s">
        <v>64</v>
      </c>
      <c r="BT195" s="605"/>
      <c r="BU195" s="599" t="s">
        <v>64</v>
      </c>
      <c r="BV195" s="851" t="s">
        <v>64</v>
      </c>
      <c r="BW195" s="851" t="s">
        <v>64</v>
      </c>
      <c r="BX195" s="851" t="s">
        <v>64</v>
      </c>
      <c r="BY195" s="851" t="s">
        <v>64</v>
      </c>
      <c r="BZ195" s="851" t="s">
        <v>64</v>
      </c>
      <c r="CA195" s="851" t="s">
        <v>64</v>
      </c>
      <c r="CB195" s="851" t="s">
        <v>64</v>
      </c>
      <c r="CC195" s="851" t="s">
        <v>64</v>
      </c>
      <c r="CD195" s="851" t="s">
        <v>64</v>
      </c>
      <c r="CE195" s="852" t="s">
        <v>64</v>
      </c>
      <c r="CF195" s="852" t="s">
        <v>64</v>
      </c>
      <c r="CG195" s="605"/>
      <c r="CH195" s="584" t="s">
        <v>64</v>
      </c>
      <c r="CI195" s="576" t="s">
        <v>64</v>
      </c>
      <c r="CJ195" s="576" t="s">
        <v>64</v>
      </c>
      <c r="CK195" s="576" t="s">
        <v>64</v>
      </c>
      <c r="CL195" s="576" t="s">
        <v>64</v>
      </c>
      <c r="CM195" s="576" t="s">
        <v>64</v>
      </c>
      <c r="CN195" s="576" t="s">
        <v>64</v>
      </c>
      <c r="CO195" s="576" t="s">
        <v>64</v>
      </c>
      <c r="CP195" s="576" t="s">
        <v>64</v>
      </c>
      <c r="CQ195" s="576" t="s">
        <v>64</v>
      </c>
      <c r="CR195" s="857" t="s">
        <v>64</v>
      </c>
      <c r="CS195" s="793" t="s">
        <v>64</v>
      </c>
      <c r="CT195" s="855" t="s">
        <v>64</v>
      </c>
      <c r="CU195" s="576" t="s">
        <v>64</v>
      </c>
      <c r="CV195" s="591" t="s">
        <v>64</v>
      </c>
      <c r="CW195" s="605"/>
      <c r="CX195" s="936" t="s">
        <v>998</v>
      </c>
      <c r="CY195" s="934" t="s">
        <v>64</v>
      </c>
      <c r="CZ195" s="934" t="s">
        <v>64</v>
      </c>
      <c r="DA195" s="938" t="str">
        <f t="shared" si="140"/>
        <v>-</v>
      </c>
      <c r="DB195" s="936" t="s">
        <v>998</v>
      </c>
      <c r="DC195" s="934" t="s">
        <v>64</v>
      </c>
      <c r="DD195" s="934" t="s">
        <v>64</v>
      </c>
      <c r="DE195" s="939" t="str">
        <f t="shared" si="141"/>
        <v>-</v>
      </c>
      <c r="DF195" s="19"/>
    </row>
    <row r="196" spans="1:110">
      <c r="A196" s="846" t="s">
        <v>627</v>
      </c>
      <c r="B196" s="41" t="s">
        <v>156</v>
      </c>
      <c r="C196" s="41" t="s">
        <v>1490</v>
      </c>
      <c r="D196" s="34">
        <v>1500</v>
      </c>
      <c r="E196" s="535">
        <v>19.42567</v>
      </c>
      <c r="F196" s="537">
        <v>-155.25163000000001</v>
      </c>
      <c r="G196" s="37" t="s">
        <v>998</v>
      </c>
      <c r="H196" s="860" t="s">
        <v>999</v>
      </c>
      <c r="I196" s="202" t="s">
        <v>64</v>
      </c>
      <c r="J196" t="s">
        <v>880</v>
      </c>
      <c r="K196" s="34">
        <v>2021</v>
      </c>
      <c r="L196" s="51" t="s">
        <v>998</v>
      </c>
      <c r="M196" s="52" t="s">
        <v>998</v>
      </c>
      <c r="N196" s="54" t="str">
        <f t="shared" ref="N196:N202" si="143">L196</f>
        <v>fluid inclusion</v>
      </c>
      <c r="O196" s="54" t="s">
        <v>998</v>
      </c>
      <c r="P196" s="53">
        <v>35.236493660324463</v>
      </c>
      <c r="Q196" s="54">
        <v>22907.446432425582</v>
      </c>
      <c r="R196" s="772">
        <f t="shared" si="134"/>
        <v>1</v>
      </c>
      <c r="S196" s="624" t="s">
        <v>199</v>
      </c>
      <c r="T196" s="37" t="s">
        <v>132</v>
      </c>
      <c r="U196" s="21">
        <v>83.238780345356503</v>
      </c>
      <c r="V196" s="552" t="s">
        <v>423</v>
      </c>
      <c r="W196" s="552" t="s">
        <v>423</v>
      </c>
      <c r="X196" s="556">
        <v>102.91386113126309</v>
      </c>
      <c r="Y196" s="784">
        <v>6.5779781091486701E-3</v>
      </c>
      <c r="Z196" s="784">
        <v>0.11442070159839091</v>
      </c>
      <c r="AA196" s="785">
        <v>2.335182228748304E-3</v>
      </c>
      <c r="AB196" s="32" t="str">
        <f t="shared" si="114"/>
        <v>-</v>
      </c>
      <c r="AC196" s="6" t="str">
        <f t="shared" si="135"/>
        <v>-</v>
      </c>
      <c r="AD196" s="6" t="str">
        <f t="shared" si="136"/>
        <v>-</v>
      </c>
      <c r="AE196" s="6">
        <f t="shared" si="117"/>
        <v>1182.3784174428292</v>
      </c>
      <c r="AF196" s="839" t="s">
        <v>998</v>
      </c>
      <c r="AG196" s="553" t="str">
        <f t="shared" si="137"/>
        <v>-</v>
      </c>
      <c r="AH196" s="69" t="s">
        <v>64</v>
      </c>
      <c r="AI196" s="9" t="s">
        <v>64</v>
      </c>
      <c r="AJ196" s="9" t="s">
        <v>64</v>
      </c>
      <c r="AK196" s="9" t="s">
        <v>64</v>
      </c>
      <c r="AL196" s="9" t="s">
        <v>64</v>
      </c>
      <c r="AM196" s="9" t="s">
        <v>64</v>
      </c>
      <c r="AN196" s="9" t="s">
        <v>64</v>
      </c>
      <c r="AO196" s="9" t="s">
        <v>64</v>
      </c>
      <c r="AP196" s="9" t="s">
        <v>64</v>
      </c>
      <c r="AQ196" s="9" t="s">
        <v>64</v>
      </c>
      <c r="AR196" s="9" t="s">
        <v>64</v>
      </c>
      <c r="AS196" s="6" t="s">
        <v>64</v>
      </c>
      <c r="AT196" s="6" t="s">
        <v>64</v>
      </c>
      <c r="AU196" s="9" t="s">
        <v>64</v>
      </c>
      <c r="AV196" s="8" t="str">
        <f t="shared" si="120"/>
        <v>-</v>
      </c>
      <c r="AW196" s="9" t="str">
        <f t="shared" si="121"/>
        <v>-</v>
      </c>
      <c r="AX196" s="8" t="s">
        <v>64</v>
      </c>
      <c r="AY196" s="789" t="s">
        <v>64</v>
      </c>
      <c r="AZ196" s="6" t="s">
        <v>64</v>
      </c>
      <c r="BA196" s="48" t="s">
        <v>64</v>
      </c>
      <c r="BB196" s="6" t="s">
        <v>64</v>
      </c>
      <c r="BC196" s="48" t="s">
        <v>64</v>
      </c>
      <c r="BD196" s="849" t="s">
        <v>64</v>
      </c>
      <c r="BE196" s="48" t="s">
        <v>64</v>
      </c>
      <c r="BF196" s="668" t="s">
        <v>1008</v>
      </c>
      <c r="BG196" s="48" t="s">
        <v>64</v>
      </c>
      <c r="BH196" s="48" t="s">
        <v>64</v>
      </c>
      <c r="BI196" s="850" t="str">
        <f t="shared" si="138"/>
        <v>-</v>
      </c>
      <c r="BJ196" s="789" t="str">
        <f t="shared" si="123"/>
        <v>-</v>
      </c>
      <c r="BK196" s="67">
        <v>334</v>
      </c>
      <c r="BL196" s="48">
        <v>33.400000000000034</v>
      </c>
      <c r="BM196" s="48">
        <v>6</v>
      </c>
      <c r="BN196" s="850">
        <f t="shared" si="139"/>
        <v>1.4396613189536001</v>
      </c>
      <c r="BO196" s="789">
        <f t="shared" si="125"/>
        <v>0.13840945319444176</v>
      </c>
      <c r="BP196" s="789">
        <f t="shared" si="126"/>
        <v>2.4965717596800108E-2</v>
      </c>
      <c r="BQ196" s="861" t="s">
        <v>912</v>
      </c>
      <c r="BR196" s="45" t="s">
        <v>64</v>
      </c>
      <c r="BS196" s="854" t="s">
        <v>64</v>
      </c>
      <c r="BT196" s="605"/>
      <c r="BU196" s="599" t="s">
        <v>64</v>
      </c>
      <c r="BV196" s="851" t="s">
        <v>64</v>
      </c>
      <c r="BW196" s="851" t="s">
        <v>64</v>
      </c>
      <c r="BX196" s="851" t="s">
        <v>64</v>
      </c>
      <c r="BY196" s="851" t="s">
        <v>64</v>
      </c>
      <c r="BZ196" s="851" t="s">
        <v>64</v>
      </c>
      <c r="CA196" s="851" t="s">
        <v>64</v>
      </c>
      <c r="CB196" s="851" t="s">
        <v>64</v>
      </c>
      <c r="CC196" s="851" t="s">
        <v>64</v>
      </c>
      <c r="CD196" s="851" t="s">
        <v>64</v>
      </c>
      <c r="CE196" s="852" t="s">
        <v>64</v>
      </c>
      <c r="CF196" s="852" t="s">
        <v>64</v>
      </c>
      <c r="CG196" s="605"/>
      <c r="CH196" s="584" t="s">
        <v>64</v>
      </c>
      <c r="CI196" s="576" t="s">
        <v>64</v>
      </c>
      <c r="CJ196" s="576" t="s">
        <v>64</v>
      </c>
      <c r="CK196" s="576" t="s">
        <v>64</v>
      </c>
      <c r="CL196" s="576" t="s">
        <v>64</v>
      </c>
      <c r="CM196" s="576" t="s">
        <v>64</v>
      </c>
      <c r="CN196" s="576" t="s">
        <v>64</v>
      </c>
      <c r="CO196" s="576" t="s">
        <v>64</v>
      </c>
      <c r="CP196" s="576" t="s">
        <v>64</v>
      </c>
      <c r="CQ196" s="576" t="s">
        <v>64</v>
      </c>
      <c r="CR196" s="857" t="s">
        <v>64</v>
      </c>
      <c r="CS196" s="793" t="s">
        <v>64</v>
      </c>
      <c r="CT196" s="855" t="s">
        <v>64</v>
      </c>
      <c r="CU196" s="576" t="s">
        <v>64</v>
      </c>
      <c r="CV196" s="591" t="s">
        <v>64</v>
      </c>
      <c r="CW196" s="605"/>
      <c r="CX196" s="936" t="s">
        <v>64</v>
      </c>
      <c r="CY196" s="934" t="s">
        <v>64</v>
      </c>
      <c r="CZ196" s="934" t="s">
        <v>64</v>
      </c>
      <c r="DA196" s="938" t="str">
        <f t="shared" si="140"/>
        <v>-</v>
      </c>
      <c r="DB196" s="936" t="s">
        <v>64</v>
      </c>
      <c r="DC196" s="934" t="s">
        <v>64</v>
      </c>
      <c r="DD196" s="934" t="s">
        <v>64</v>
      </c>
      <c r="DE196" s="939" t="str">
        <f t="shared" si="141"/>
        <v>-</v>
      </c>
      <c r="DF196" s="19"/>
    </row>
    <row r="197" spans="1:110">
      <c r="A197" s="846" t="s">
        <v>628</v>
      </c>
      <c r="B197" s="41" t="s">
        <v>156</v>
      </c>
      <c r="C197" s="41" t="s">
        <v>1490</v>
      </c>
      <c r="D197" s="34">
        <v>1500</v>
      </c>
      <c r="E197" s="535">
        <v>19.42567</v>
      </c>
      <c r="F197" s="537">
        <v>-155.25163000000001</v>
      </c>
      <c r="G197" s="37" t="s">
        <v>998</v>
      </c>
      <c r="H197" s="860" t="s">
        <v>999</v>
      </c>
      <c r="I197" s="202" t="s">
        <v>64</v>
      </c>
      <c r="J197" t="s">
        <v>880</v>
      </c>
      <c r="K197" s="34">
        <v>2021</v>
      </c>
      <c r="L197" s="51" t="s">
        <v>998</v>
      </c>
      <c r="M197" s="52" t="s">
        <v>998</v>
      </c>
      <c r="N197" s="54" t="str">
        <f t="shared" si="143"/>
        <v>fluid inclusion</v>
      </c>
      <c r="O197" s="54" t="s">
        <v>998</v>
      </c>
      <c r="P197" s="53">
        <v>25</v>
      </c>
      <c r="Q197" s="54">
        <v>8181.230868723419</v>
      </c>
      <c r="R197" s="772">
        <f t="shared" si="134"/>
        <v>1</v>
      </c>
      <c r="S197" s="624" t="s">
        <v>199</v>
      </c>
      <c r="T197" s="37" t="s">
        <v>132</v>
      </c>
      <c r="U197" s="21">
        <v>83.238780345356503</v>
      </c>
      <c r="V197" s="552" t="s">
        <v>423</v>
      </c>
      <c r="W197" s="552" t="s">
        <v>423</v>
      </c>
      <c r="X197" s="556">
        <v>102.9246605092362</v>
      </c>
      <c r="Y197" s="784">
        <v>8.0290083173887683E-4</v>
      </c>
      <c r="Z197" s="784">
        <v>0.1182544807788517</v>
      </c>
      <c r="AA197" s="785">
        <v>2.8502979526715916E-4</v>
      </c>
      <c r="AB197" s="32" t="str">
        <f t="shared" si="114"/>
        <v>-</v>
      </c>
      <c r="AC197" s="6" t="str">
        <f t="shared" si="135"/>
        <v>-</v>
      </c>
      <c r="AD197" s="6" t="str">
        <f t="shared" si="136"/>
        <v>-</v>
      </c>
      <c r="AE197" s="6">
        <f t="shared" si="117"/>
        <v>1182.3784174428292</v>
      </c>
      <c r="AF197" s="839" t="s">
        <v>998</v>
      </c>
      <c r="AG197" s="553" t="str">
        <f t="shared" si="137"/>
        <v>-</v>
      </c>
      <c r="AH197" s="69" t="s">
        <v>64</v>
      </c>
      <c r="AI197" s="9" t="s">
        <v>64</v>
      </c>
      <c r="AJ197" s="9" t="s">
        <v>64</v>
      </c>
      <c r="AK197" s="9" t="s">
        <v>64</v>
      </c>
      <c r="AL197" s="9" t="s">
        <v>64</v>
      </c>
      <c r="AM197" s="9" t="s">
        <v>64</v>
      </c>
      <c r="AN197" s="9" t="s">
        <v>64</v>
      </c>
      <c r="AO197" s="9" t="s">
        <v>64</v>
      </c>
      <c r="AP197" s="9" t="s">
        <v>64</v>
      </c>
      <c r="AQ197" s="9" t="s">
        <v>64</v>
      </c>
      <c r="AR197" s="9" t="s">
        <v>64</v>
      </c>
      <c r="AS197" s="6" t="s">
        <v>64</v>
      </c>
      <c r="AT197" s="6" t="s">
        <v>64</v>
      </c>
      <c r="AU197" s="9" t="s">
        <v>64</v>
      </c>
      <c r="AV197" s="8" t="str">
        <f t="shared" si="120"/>
        <v>-</v>
      </c>
      <c r="AW197" s="9" t="str">
        <f t="shared" si="121"/>
        <v>-</v>
      </c>
      <c r="AX197" s="8" t="s">
        <v>64</v>
      </c>
      <c r="AY197" s="789" t="s">
        <v>64</v>
      </c>
      <c r="AZ197" s="6" t="s">
        <v>64</v>
      </c>
      <c r="BA197" s="48" t="s">
        <v>64</v>
      </c>
      <c r="BB197" s="6" t="s">
        <v>64</v>
      </c>
      <c r="BC197" s="48" t="s">
        <v>64</v>
      </c>
      <c r="BD197" s="849" t="s">
        <v>64</v>
      </c>
      <c r="BE197" s="48" t="s">
        <v>64</v>
      </c>
      <c r="BF197" s="668" t="s">
        <v>1008</v>
      </c>
      <c r="BG197" s="48" t="s">
        <v>64</v>
      </c>
      <c r="BH197" s="48" t="s">
        <v>64</v>
      </c>
      <c r="BI197" s="850" t="str">
        <f t="shared" si="138"/>
        <v>-</v>
      </c>
      <c r="BJ197" s="789" t="str">
        <f t="shared" si="123"/>
        <v>-</v>
      </c>
      <c r="BK197" s="67">
        <v>347</v>
      </c>
      <c r="BL197" s="48">
        <v>34.700000000000045</v>
      </c>
      <c r="BM197" s="48">
        <v>0</v>
      </c>
      <c r="BN197" s="850">
        <f t="shared" si="139"/>
        <v>1.4936470563331998</v>
      </c>
      <c r="BO197" s="789">
        <f t="shared" si="125"/>
        <v>0.14339178573748934</v>
      </c>
      <c r="BP197" s="789">
        <f t="shared" si="126"/>
        <v>0</v>
      </c>
      <c r="BQ197" s="861" t="s">
        <v>912</v>
      </c>
      <c r="BR197" s="45" t="s">
        <v>64</v>
      </c>
      <c r="BS197" s="854" t="s">
        <v>64</v>
      </c>
      <c r="BT197" s="605"/>
      <c r="BU197" s="599" t="s">
        <v>64</v>
      </c>
      <c r="BV197" s="851" t="s">
        <v>64</v>
      </c>
      <c r="BW197" s="851" t="s">
        <v>64</v>
      </c>
      <c r="BX197" s="851" t="s">
        <v>64</v>
      </c>
      <c r="BY197" s="851" t="s">
        <v>64</v>
      </c>
      <c r="BZ197" s="851" t="s">
        <v>64</v>
      </c>
      <c r="CA197" s="851" t="s">
        <v>64</v>
      </c>
      <c r="CB197" s="851" t="s">
        <v>64</v>
      </c>
      <c r="CC197" s="851" t="s">
        <v>64</v>
      </c>
      <c r="CD197" s="851" t="s">
        <v>64</v>
      </c>
      <c r="CE197" s="852" t="s">
        <v>64</v>
      </c>
      <c r="CF197" s="852" t="s">
        <v>64</v>
      </c>
      <c r="CG197" s="605"/>
      <c r="CH197" s="584" t="s">
        <v>64</v>
      </c>
      <c r="CI197" s="576" t="s">
        <v>64</v>
      </c>
      <c r="CJ197" s="576" t="s">
        <v>64</v>
      </c>
      <c r="CK197" s="576" t="s">
        <v>64</v>
      </c>
      <c r="CL197" s="576" t="s">
        <v>64</v>
      </c>
      <c r="CM197" s="576" t="s">
        <v>64</v>
      </c>
      <c r="CN197" s="576" t="s">
        <v>64</v>
      </c>
      <c r="CO197" s="576" t="s">
        <v>64</v>
      </c>
      <c r="CP197" s="576" t="s">
        <v>64</v>
      </c>
      <c r="CQ197" s="576" t="s">
        <v>64</v>
      </c>
      <c r="CR197" s="857" t="s">
        <v>64</v>
      </c>
      <c r="CS197" s="793" t="s">
        <v>64</v>
      </c>
      <c r="CT197" s="855" t="s">
        <v>64</v>
      </c>
      <c r="CU197" s="576" t="s">
        <v>64</v>
      </c>
      <c r="CV197" s="591" t="s">
        <v>64</v>
      </c>
      <c r="CW197" s="605"/>
      <c r="CX197" s="936" t="s">
        <v>64</v>
      </c>
      <c r="CY197" s="934" t="s">
        <v>64</v>
      </c>
      <c r="CZ197" s="934" t="s">
        <v>64</v>
      </c>
      <c r="DA197" s="938" t="str">
        <f t="shared" si="140"/>
        <v>-</v>
      </c>
      <c r="DB197" s="936" t="s">
        <v>64</v>
      </c>
      <c r="DC197" s="934" t="s">
        <v>64</v>
      </c>
      <c r="DD197" s="934" t="s">
        <v>64</v>
      </c>
      <c r="DE197" s="939" t="str">
        <f t="shared" si="141"/>
        <v>-</v>
      </c>
      <c r="DF197" s="19"/>
    </row>
    <row r="198" spans="1:110">
      <c r="A198" s="846" t="s">
        <v>629</v>
      </c>
      <c r="B198" s="41" t="s">
        <v>156</v>
      </c>
      <c r="C198" s="41" t="s">
        <v>1490</v>
      </c>
      <c r="D198" s="34">
        <v>1500</v>
      </c>
      <c r="E198" s="535">
        <v>19.42567</v>
      </c>
      <c r="F198" s="537">
        <v>-155.25163000000001</v>
      </c>
      <c r="G198" s="37" t="s">
        <v>998</v>
      </c>
      <c r="H198" s="860" t="s">
        <v>999</v>
      </c>
      <c r="I198" s="202" t="s">
        <v>64</v>
      </c>
      <c r="J198" t="s">
        <v>880</v>
      </c>
      <c r="K198" s="34">
        <v>2021</v>
      </c>
      <c r="L198" s="51" t="s">
        <v>998</v>
      </c>
      <c r="M198" s="52" t="s">
        <v>998</v>
      </c>
      <c r="N198" s="54" t="str">
        <f t="shared" si="143"/>
        <v>fluid inclusion</v>
      </c>
      <c r="O198" s="54" t="s">
        <v>998</v>
      </c>
      <c r="P198" s="53">
        <v>17.5</v>
      </c>
      <c r="Q198" s="54">
        <v>2806.1621879721329</v>
      </c>
      <c r="R198" s="772">
        <f t="shared" si="134"/>
        <v>1</v>
      </c>
      <c r="S198" s="624" t="s">
        <v>200</v>
      </c>
      <c r="T198" s="37" t="s">
        <v>132</v>
      </c>
      <c r="U198" s="21">
        <v>83.451015610368103</v>
      </c>
      <c r="V198" s="552" t="s">
        <v>423</v>
      </c>
      <c r="W198" s="552" t="s">
        <v>423</v>
      </c>
      <c r="X198" s="556">
        <v>102.96797896904661</v>
      </c>
      <c r="Y198" s="784">
        <v>7.1001348375978809E-3</v>
      </c>
      <c r="Z198" s="784">
        <v>0.13363253401154651</v>
      </c>
      <c r="AA198" s="785">
        <v>2.5205478673462453E-3</v>
      </c>
      <c r="AB198" s="32" t="str">
        <f t="shared" si="114"/>
        <v>-</v>
      </c>
      <c r="AC198" s="6" t="str">
        <f t="shared" si="135"/>
        <v>-</v>
      </c>
      <c r="AD198" s="6" t="str">
        <f t="shared" si="136"/>
        <v>-</v>
      </c>
      <c r="AE198" s="6">
        <f t="shared" si="117"/>
        <v>1184.8530727578036</v>
      </c>
      <c r="AF198" s="839" t="s">
        <v>998</v>
      </c>
      <c r="AG198" s="553" t="str">
        <f t="shared" si="137"/>
        <v>-</v>
      </c>
      <c r="AH198" s="69" t="s">
        <v>64</v>
      </c>
      <c r="AI198" s="9" t="s">
        <v>64</v>
      </c>
      <c r="AJ198" s="9" t="s">
        <v>64</v>
      </c>
      <c r="AK198" s="9" t="s">
        <v>64</v>
      </c>
      <c r="AL198" s="9" t="s">
        <v>64</v>
      </c>
      <c r="AM198" s="9" t="s">
        <v>64</v>
      </c>
      <c r="AN198" s="9" t="s">
        <v>64</v>
      </c>
      <c r="AO198" s="9" t="s">
        <v>64</v>
      </c>
      <c r="AP198" s="9" t="s">
        <v>64</v>
      </c>
      <c r="AQ198" s="9" t="s">
        <v>64</v>
      </c>
      <c r="AR198" s="9" t="s">
        <v>64</v>
      </c>
      <c r="AS198" s="6" t="s">
        <v>64</v>
      </c>
      <c r="AT198" s="6" t="s">
        <v>64</v>
      </c>
      <c r="AU198" s="9" t="s">
        <v>64</v>
      </c>
      <c r="AV198" s="8" t="str">
        <f t="shared" si="120"/>
        <v>-</v>
      </c>
      <c r="AW198" s="9" t="str">
        <f t="shared" si="121"/>
        <v>-</v>
      </c>
      <c r="AX198" s="8" t="s">
        <v>64</v>
      </c>
      <c r="AY198" s="789" t="s">
        <v>64</v>
      </c>
      <c r="AZ198" s="6" t="s">
        <v>64</v>
      </c>
      <c r="BA198" s="48" t="s">
        <v>64</v>
      </c>
      <c r="BB198" s="6" t="s">
        <v>64</v>
      </c>
      <c r="BC198" s="48" t="s">
        <v>64</v>
      </c>
      <c r="BD198" s="849" t="s">
        <v>64</v>
      </c>
      <c r="BE198" s="48" t="s">
        <v>64</v>
      </c>
      <c r="BF198" s="668" t="s">
        <v>1008</v>
      </c>
      <c r="BG198" s="48" t="s">
        <v>64</v>
      </c>
      <c r="BH198" s="48" t="s">
        <v>64</v>
      </c>
      <c r="BI198" s="850" t="str">
        <f t="shared" si="138"/>
        <v>-</v>
      </c>
      <c r="BJ198" s="789" t="str">
        <f t="shared" si="123"/>
        <v>-</v>
      </c>
      <c r="BK198" s="67">
        <v>399</v>
      </c>
      <c r="BL198" s="48">
        <v>39.900000000000034</v>
      </c>
      <c r="BM198" s="48">
        <v>9</v>
      </c>
      <c r="BN198" s="850">
        <f t="shared" si="139"/>
        <v>1.7081469892116001</v>
      </c>
      <c r="BO198" s="789">
        <f t="shared" si="125"/>
        <v>0.16304829458583958</v>
      </c>
      <c r="BP198" s="789">
        <f t="shared" si="126"/>
        <v>3.6961249611600078E-2</v>
      </c>
      <c r="BQ198" s="861" t="s">
        <v>912</v>
      </c>
      <c r="BR198" s="45" t="s">
        <v>64</v>
      </c>
      <c r="BS198" s="854" t="s">
        <v>64</v>
      </c>
      <c r="BT198" s="605"/>
      <c r="BU198" s="599" t="s">
        <v>64</v>
      </c>
      <c r="BV198" s="851" t="s">
        <v>64</v>
      </c>
      <c r="BW198" s="851" t="s">
        <v>64</v>
      </c>
      <c r="BX198" s="851" t="s">
        <v>64</v>
      </c>
      <c r="BY198" s="851" t="s">
        <v>64</v>
      </c>
      <c r="BZ198" s="851" t="s">
        <v>64</v>
      </c>
      <c r="CA198" s="851" t="s">
        <v>64</v>
      </c>
      <c r="CB198" s="851" t="s">
        <v>64</v>
      </c>
      <c r="CC198" s="851" t="s">
        <v>64</v>
      </c>
      <c r="CD198" s="851" t="s">
        <v>64</v>
      </c>
      <c r="CE198" s="852" t="s">
        <v>64</v>
      </c>
      <c r="CF198" s="852" t="s">
        <v>64</v>
      </c>
      <c r="CG198" s="605"/>
      <c r="CH198" s="584" t="s">
        <v>64</v>
      </c>
      <c r="CI198" s="576" t="s">
        <v>64</v>
      </c>
      <c r="CJ198" s="576" t="s">
        <v>64</v>
      </c>
      <c r="CK198" s="576" t="s">
        <v>64</v>
      </c>
      <c r="CL198" s="576" t="s">
        <v>64</v>
      </c>
      <c r="CM198" s="576" t="s">
        <v>64</v>
      </c>
      <c r="CN198" s="576" t="s">
        <v>64</v>
      </c>
      <c r="CO198" s="576" t="s">
        <v>64</v>
      </c>
      <c r="CP198" s="576" t="s">
        <v>64</v>
      </c>
      <c r="CQ198" s="576" t="s">
        <v>64</v>
      </c>
      <c r="CR198" s="857" t="s">
        <v>64</v>
      </c>
      <c r="CS198" s="793" t="s">
        <v>64</v>
      </c>
      <c r="CT198" s="855" t="s">
        <v>64</v>
      </c>
      <c r="CU198" s="576" t="s">
        <v>64</v>
      </c>
      <c r="CV198" s="591" t="s">
        <v>64</v>
      </c>
      <c r="CW198" s="605"/>
      <c r="CX198" s="936" t="s">
        <v>64</v>
      </c>
      <c r="CY198" s="934" t="s">
        <v>64</v>
      </c>
      <c r="CZ198" s="934" t="s">
        <v>64</v>
      </c>
      <c r="DA198" s="938" t="str">
        <f t="shared" si="140"/>
        <v>-</v>
      </c>
      <c r="DB198" s="936" t="s">
        <v>64</v>
      </c>
      <c r="DC198" s="934" t="s">
        <v>64</v>
      </c>
      <c r="DD198" s="934" t="s">
        <v>64</v>
      </c>
      <c r="DE198" s="939" t="str">
        <f t="shared" si="141"/>
        <v>-</v>
      </c>
      <c r="DF198" s="19"/>
    </row>
    <row r="199" spans="1:110">
      <c r="A199" s="846" t="s">
        <v>682</v>
      </c>
      <c r="B199" s="41" t="s">
        <v>156</v>
      </c>
      <c r="C199" s="41" t="s">
        <v>1490</v>
      </c>
      <c r="D199" s="34">
        <v>1500</v>
      </c>
      <c r="E199" s="535">
        <v>19.42567</v>
      </c>
      <c r="F199" s="537">
        <v>-155.25163000000001</v>
      </c>
      <c r="G199" s="37" t="s">
        <v>998</v>
      </c>
      <c r="H199" s="860" t="s">
        <v>999</v>
      </c>
      <c r="I199" s="202" t="s">
        <v>64</v>
      </c>
      <c r="J199" t="s">
        <v>880</v>
      </c>
      <c r="K199" s="34">
        <v>2021</v>
      </c>
      <c r="L199" s="51" t="s">
        <v>998</v>
      </c>
      <c r="M199" s="52" t="s">
        <v>998</v>
      </c>
      <c r="N199" s="54" t="str">
        <f t="shared" si="143"/>
        <v>fluid inclusion</v>
      </c>
      <c r="O199" s="54" t="s">
        <v>998</v>
      </c>
      <c r="P199" s="53">
        <v>30</v>
      </c>
      <c r="Q199" s="54">
        <v>14137.166941154068</v>
      </c>
      <c r="R199" s="772">
        <f t="shared" si="134"/>
        <v>1</v>
      </c>
      <c r="S199" s="624" t="s">
        <v>201</v>
      </c>
      <c r="T199" s="37" t="s">
        <v>132</v>
      </c>
      <c r="U199" s="21">
        <v>81.066308133192194</v>
      </c>
      <c r="V199" s="552" t="s">
        <v>423</v>
      </c>
      <c r="W199" s="552" t="s">
        <v>423</v>
      </c>
      <c r="X199" s="556">
        <v>102.91133175237145</v>
      </c>
      <c r="Y199" s="784">
        <v>3.7977589504106951E-3</v>
      </c>
      <c r="Z199" s="784">
        <v>0.11352277209186212</v>
      </c>
      <c r="AA199" s="785">
        <v>1.3482044273968713E-3</v>
      </c>
      <c r="AB199" s="32" t="str">
        <f t="shared" si="114"/>
        <v>-</v>
      </c>
      <c r="AC199" s="6" t="str">
        <f t="shared" si="135"/>
        <v>-</v>
      </c>
      <c r="AD199" s="6" t="str">
        <f t="shared" si="136"/>
        <v>-</v>
      </c>
      <c r="AE199" s="6">
        <f t="shared" si="117"/>
        <v>1160.8197403800659</v>
      </c>
      <c r="AF199" s="839" t="s">
        <v>998</v>
      </c>
      <c r="AG199" s="553" t="str">
        <f t="shared" si="137"/>
        <v>-</v>
      </c>
      <c r="AH199" s="69" t="s">
        <v>64</v>
      </c>
      <c r="AI199" s="9" t="s">
        <v>64</v>
      </c>
      <c r="AJ199" s="9" t="s">
        <v>64</v>
      </c>
      <c r="AK199" s="9" t="s">
        <v>64</v>
      </c>
      <c r="AL199" s="9" t="s">
        <v>64</v>
      </c>
      <c r="AM199" s="9" t="s">
        <v>64</v>
      </c>
      <c r="AN199" s="9" t="s">
        <v>64</v>
      </c>
      <c r="AO199" s="9" t="s">
        <v>64</v>
      </c>
      <c r="AP199" s="9" t="s">
        <v>64</v>
      </c>
      <c r="AQ199" s="9" t="s">
        <v>64</v>
      </c>
      <c r="AR199" s="9" t="s">
        <v>64</v>
      </c>
      <c r="AS199" s="6" t="s">
        <v>64</v>
      </c>
      <c r="AT199" s="6" t="s">
        <v>64</v>
      </c>
      <c r="AU199" s="9" t="s">
        <v>64</v>
      </c>
      <c r="AV199" s="8" t="str">
        <f t="shared" si="120"/>
        <v>-</v>
      </c>
      <c r="AW199" s="9" t="str">
        <f t="shared" si="121"/>
        <v>-</v>
      </c>
      <c r="AX199" s="8" t="s">
        <v>64</v>
      </c>
      <c r="AY199" s="789" t="s">
        <v>64</v>
      </c>
      <c r="AZ199" s="6" t="s">
        <v>64</v>
      </c>
      <c r="BA199" s="48" t="s">
        <v>64</v>
      </c>
      <c r="BB199" s="6" t="s">
        <v>64</v>
      </c>
      <c r="BC199" s="48" t="s">
        <v>64</v>
      </c>
      <c r="BD199" s="849" t="s">
        <v>64</v>
      </c>
      <c r="BE199" s="48" t="s">
        <v>64</v>
      </c>
      <c r="BF199" s="668" t="s">
        <v>1008</v>
      </c>
      <c r="BG199" s="48" t="s">
        <v>64</v>
      </c>
      <c r="BH199" s="48" t="s">
        <v>64</v>
      </c>
      <c r="BI199" s="850" t="str">
        <f t="shared" si="138"/>
        <v>-</v>
      </c>
      <c r="BJ199" s="789" t="str">
        <f t="shared" si="123"/>
        <v>-</v>
      </c>
      <c r="BK199" s="67">
        <v>334</v>
      </c>
      <c r="BL199" s="48">
        <v>33.400000000000034</v>
      </c>
      <c r="BM199" s="48">
        <v>5</v>
      </c>
      <c r="BN199" s="850">
        <f t="shared" si="139"/>
        <v>1.4396613189536001</v>
      </c>
      <c r="BO199" s="789">
        <f t="shared" si="125"/>
        <v>0.13840945319444176</v>
      </c>
      <c r="BP199" s="789">
        <f t="shared" si="126"/>
        <v>2.080259958600017E-2</v>
      </c>
      <c r="BQ199" s="861" t="s">
        <v>912</v>
      </c>
      <c r="BR199" s="45" t="s">
        <v>64</v>
      </c>
      <c r="BS199" s="854" t="s">
        <v>64</v>
      </c>
      <c r="BT199" s="605"/>
      <c r="BU199" s="599" t="s">
        <v>64</v>
      </c>
      <c r="BV199" s="851" t="s">
        <v>64</v>
      </c>
      <c r="BW199" s="851" t="s">
        <v>64</v>
      </c>
      <c r="BX199" s="851" t="s">
        <v>64</v>
      </c>
      <c r="BY199" s="851" t="s">
        <v>64</v>
      </c>
      <c r="BZ199" s="851" t="s">
        <v>64</v>
      </c>
      <c r="CA199" s="851" t="s">
        <v>64</v>
      </c>
      <c r="CB199" s="851" t="s">
        <v>64</v>
      </c>
      <c r="CC199" s="851" t="s">
        <v>64</v>
      </c>
      <c r="CD199" s="851" t="s">
        <v>64</v>
      </c>
      <c r="CE199" s="852" t="s">
        <v>64</v>
      </c>
      <c r="CF199" s="852" t="s">
        <v>64</v>
      </c>
      <c r="CG199" s="605"/>
      <c r="CH199" s="584" t="s">
        <v>64</v>
      </c>
      <c r="CI199" s="576" t="s">
        <v>64</v>
      </c>
      <c r="CJ199" s="576" t="s">
        <v>64</v>
      </c>
      <c r="CK199" s="576" t="s">
        <v>64</v>
      </c>
      <c r="CL199" s="576" t="s">
        <v>64</v>
      </c>
      <c r="CM199" s="576" t="s">
        <v>64</v>
      </c>
      <c r="CN199" s="576" t="s">
        <v>64</v>
      </c>
      <c r="CO199" s="576" t="s">
        <v>64</v>
      </c>
      <c r="CP199" s="576" t="s">
        <v>64</v>
      </c>
      <c r="CQ199" s="576" t="s">
        <v>64</v>
      </c>
      <c r="CR199" s="857" t="s">
        <v>64</v>
      </c>
      <c r="CS199" s="793" t="s">
        <v>64</v>
      </c>
      <c r="CT199" s="855" t="s">
        <v>64</v>
      </c>
      <c r="CU199" s="576" t="s">
        <v>64</v>
      </c>
      <c r="CV199" s="591" t="s">
        <v>64</v>
      </c>
      <c r="CW199" s="605"/>
      <c r="CX199" s="936" t="s">
        <v>64</v>
      </c>
      <c r="CY199" s="934" t="s">
        <v>64</v>
      </c>
      <c r="CZ199" s="934" t="s">
        <v>64</v>
      </c>
      <c r="DA199" s="938" t="str">
        <f t="shared" si="140"/>
        <v>-</v>
      </c>
      <c r="DB199" s="936" t="s">
        <v>64</v>
      </c>
      <c r="DC199" s="934" t="s">
        <v>64</v>
      </c>
      <c r="DD199" s="934" t="s">
        <v>64</v>
      </c>
      <c r="DE199" s="939" t="str">
        <f t="shared" si="141"/>
        <v>-</v>
      </c>
      <c r="DF199" s="19"/>
    </row>
    <row r="200" spans="1:110">
      <c r="A200" s="846" t="s">
        <v>630</v>
      </c>
      <c r="B200" s="41" t="s">
        <v>156</v>
      </c>
      <c r="C200" s="41" t="s">
        <v>1490</v>
      </c>
      <c r="D200" s="34">
        <v>1500</v>
      </c>
      <c r="E200" s="535">
        <v>19.42567</v>
      </c>
      <c r="F200" s="537">
        <v>-155.25163000000001</v>
      </c>
      <c r="G200" s="37" t="s">
        <v>998</v>
      </c>
      <c r="H200" s="860" t="s">
        <v>999</v>
      </c>
      <c r="I200" s="202" t="s">
        <v>64</v>
      </c>
      <c r="J200" t="s">
        <v>880</v>
      </c>
      <c r="K200" s="34">
        <v>2021</v>
      </c>
      <c r="L200" s="51" t="s">
        <v>998</v>
      </c>
      <c r="M200" s="52" t="s">
        <v>998</v>
      </c>
      <c r="N200" s="54" t="str">
        <f t="shared" si="143"/>
        <v>fluid inclusion</v>
      </c>
      <c r="O200" s="54" t="s">
        <v>998</v>
      </c>
      <c r="P200" s="53">
        <v>34.760266448864478</v>
      </c>
      <c r="Q200" s="54">
        <v>21991.148575128511</v>
      </c>
      <c r="R200" s="772">
        <f t="shared" si="134"/>
        <v>1</v>
      </c>
      <c r="S200" s="624" t="s">
        <v>203</v>
      </c>
      <c r="T200" s="37" t="s">
        <v>132</v>
      </c>
      <c r="U200" s="21">
        <v>83.573095192325312</v>
      </c>
      <c r="V200" s="552" t="s">
        <v>423</v>
      </c>
      <c r="W200" s="552" t="s">
        <v>423</v>
      </c>
      <c r="X200" s="556">
        <v>102.914223938224</v>
      </c>
      <c r="Y200" s="784">
        <v>5.770935790027072E-3</v>
      </c>
      <c r="Z200" s="784">
        <v>0.11454949806951475</v>
      </c>
      <c r="AA200" s="785">
        <v>2.0486822054583183E-3</v>
      </c>
      <c r="AB200" s="32" t="str">
        <f t="shared" si="114"/>
        <v>-</v>
      </c>
      <c r="AC200" s="6" t="str">
        <f t="shared" si="135"/>
        <v>-</v>
      </c>
      <c r="AD200" s="6" t="str">
        <f t="shared" si="136"/>
        <v>-</v>
      </c>
      <c r="AE200" s="6">
        <f t="shared" si="117"/>
        <v>1186.3085754957137</v>
      </c>
      <c r="AF200" s="839" t="s">
        <v>998</v>
      </c>
      <c r="AG200" s="553" t="str">
        <f t="shared" si="137"/>
        <v>-</v>
      </c>
      <c r="AH200" s="69" t="s">
        <v>64</v>
      </c>
      <c r="AI200" s="9" t="s">
        <v>64</v>
      </c>
      <c r="AJ200" s="9" t="s">
        <v>64</v>
      </c>
      <c r="AK200" s="9" t="s">
        <v>64</v>
      </c>
      <c r="AL200" s="9" t="s">
        <v>64</v>
      </c>
      <c r="AM200" s="9" t="s">
        <v>64</v>
      </c>
      <c r="AN200" s="9" t="s">
        <v>64</v>
      </c>
      <c r="AO200" s="9" t="s">
        <v>64</v>
      </c>
      <c r="AP200" s="9" t="s">
        <v>64</v>
      </c>
      <c r="AQ200" s="9" t="s">
        <v>64</v>
      </c>
      <c r="AR200" s="9" t="s">
        <v>64</v>
      </c>
      <c r="AS200" s="6" t="s">
        <v>64</v>
      </c>
      <c r="AT200" s="6" t="s">
        <v>64</v>
      </c>
      <c r="AU200" s="9" t="s">
        <v>64</v>
      </c>
      <c r="AV200" s="8" t="str">
        <f t="shared" si="120"/>
        <v>-</v>
      </c>
      <c r="AW200" s="9" t="str">
        <f t="shared" si="121"/>
        <v>-</v>
      </c>
      <c r="AX200" s="8" t="s">
        <v>64</v>
      </c>
      <c r="AY200" s="789" t="s">
        <v>64</v>
      </c>
      <c r="AZ200" s="6" t="s">
        <v>64</v>
      </c>
      <c r="BA200" s="48" t="s">
        <v>64</v>
      </c>
      <c r="BB200" s="6" t="s">
        <v>64</v>
      </c>
      <c r="BC200" s="48" t="s">
        <v>64</v>
      </c>
      <c r="BD200" s="849" t="s">
        <v>64</v>
      </c>
      <c r="BE200" s="48" t="s">
        <v>64</v>
      </c>
      <c r="BF200" s="668" t="s">
        <v>1008</v>
      </c>
      <c r="BG200" s="48" t="s">
        <v>64</v>
      </c>
      <c r="BH200" s="48" t="s">
        <v>64</v>
      </c>
      <c r="BI200" s="850" t="str">
        <f t="shared" si="138"/>
        <v>-</v>
      </c>
      <c r="BJ200" s="789" t="str">
        <f t="shared" si="123"/>
        <v>-</v>
      </c>
      <c r="BK200" s="67">
        <v>338</v>
      </c>
      <c r="BL200" s="48">
        <v>33.800000000000011</v>
      </c>
      <c r="BM200" s="48">
        <v>8</v>
      </c>
      <c r="BN200" s="850">
        <f t="shared" si="139"/>
        <v>1.4562878346848001</v>
      </c>
      <c r="BO200" s="789">
        <f t="shared" si="125"/>
        <v>0.1399454340998687</v>
      </c>
      <c r="BP200" s="789">
        <f t="shared" si="126"/>
        <v>3.3266863884799935E-2</v>
      </c>
      <c r="BQ200" s="861" t="s">
        <v>912</v>
      </c>
      <c r="BR200" s="45" t="s">
        <v>64</v>
      </c>
      <c r="BS200" s="854" t="s">
        <v>64</v>
      </c>
      <c r="BT200" s="605"/>
      <c r="BU200" s="599" t="s">
        <v>64</v>
      </c>
      <c r="BV200" s="851" t="s">
        <v>64</v>
      </c>
      <c r="BW200" s="851" t="s">
        <v>64</v>
      </c>
      <c r="BX200" s="851" t="s">
        <v>64</v>
      </c>
      <c r="BY200" s="851" t="s">
        <v>64</v>
      </c>
      <c r="BZ200" s="851" t="s">
        <v>64</v>
      </c>
      <c r="CA200" s="851" t="s">
        <v>64</v>
      </c>
      <c r="CB200" s="851" t="s">
        <v>64</v>
      </c>
      <c r="CC200" s="851" t="s">
        <v>64</v>
      </c>
      <c r="CD200" s="851" t="s">
        <v>64</v>
      </c>
      <c r="CE200" s="852" t="s">
        <v>64</v>
      </c>
      <c r="CF200" s="852" t="s">
        <v>64</v>
      </c>
      <c r="CG200" s="605"/>
      <c r="CH200" s="584" t="s">
        <v>64</v>
      </c>
      <c r="CI200" s="576" t="s">
        <v>64</v>
      </c>
      <c r="CJ200" s="576" t="s">
        <v>64</v>
      </c>
      <c r="CK200" s="576" t="s">
        <v>64</v>
      </c>
      <c r="CL200" s="576" t="s">
        <v>64</v>
      </c>
      <c r="CM200" s="576" t="s">
        <v>64</v>
      </c>
      <c r="CN200" s="576" t="s">
        <v>64</v>
      </c>
      <c r="CO200" s="576" t="s">
        <v>64</v>
      </c>
      <c r="CP200" s="576" t="s">
        <v>64</v>
      </c>
      <c r="CQ200" s="576" t="s">
        <v>64</v>
      </c>
      <c r="CR200" s="857" t="s">
        <v>64</v>
      </c>
      <c r="CS200" s="793" t="s">
        <v>64</v>
      </c>
      <c r="CT200" s="855" t="s">
        <v>64</v>
      </c>
      <c r="CU200" s="576" t="s">
        <v>64</v>
      </c>
      <c r="CV200" s="591" t="s">
        <v>64</v>
      </c>
      <c r="CW200" s="605"/>
      <c r="CX200" s="936" t="s">
        <v>64</v>
      </c>
      <c r="CY200" s="934" t="s">
        <v>64</v>
      </c>
      <c r="CZ200" s="934" t="s">
        <v>64</v>
      </c>
      <c r="DA200" s="938" t="str">
        <f t="shared" si="140"/>
        <v>-</v>
      </c>
      <c r="DB200" s="936" t="s">
        <v>64</v>
      </c>
      <c r="DC200" s="934" t="s">
        <v>64</v>
      </c>
      <c r="DD200" s="934" t="s">
        <v>64</v>
      </c>
      <c r="DE200" s="939" t="str">
        <f t="shared" si="141"/>
        <v>-</v>
      </c>
      <c r="DF200" s="19"/>
    </row>
    <row r="201" spans="1:110">
      <c r="A201" s="846" t="s">
        <v>631</v>
      </c>
      <c r="B201" s="41" t="s">
        <v>156</v>
      </c>
      <c r="C201" s="41" t="s">
        <v>1490</v>
      </c>
      <c r="D201" s="34">
        <v>1500</v>
      </c>
      <c r="E201" s="535">
        <v>19.42567</v>
      </c>
      <c r="F201" s="537">
        <v>-155.25163000000001</v>
      </c>
      <c r="G201" s="37" t="s">
        <v>998</v>
      </c>
      <c r="H201" s="860" t="s">
        <v>999</v>
      </c>
      <c r="I201" s="202" t="s">
        <v>64</v>
      </c>
      <c r="J201" t="s">
        <v>880</v>
      </c>
      <c r="K201" s="34">
        <v>2021</v>
      </c>
      <c r="L201" s="51" t="s">
        <v>998</v>
      </c>
      <c r="M201" s="52" t="s">
        <v>998</v>
      </c>
      <c r="N201" s="54" t="str">
        <f t="shared" si="143"/>
        <v>fluid inclusion</v>
      </c>
      <c r="O201" s="54" t="s">
        <v>998</v>
      </c>
      <c r="P201" s="53">
        <v>33.73456083956561</v>
      </c>
      <c r="Q201" s="54">
        <v>20101.284244453436</v>
      </c>
      <c r="R201" s="772">
        <f t="shared" si="134"/>
        <v>1</v>
      </c>
      <c r="S201" s="624" t="s">
        <v>203</v>
      </c>
      <c r="T201" s="37" t="s">
        <v>132</v>
      </c>
      <c r="U201" s="21">
        <v>83.573095192325312</v>
      </c>
      <c r="V201" s="552" t="s">
        <v>423</v>
      </c>
      <c r="W201" s="552" t="s">
        <v>423</v>
      </c>
      <c r="X201" s="556">
        <v>102.97339406892034</v>
      </c>
      <c r="Y201" s="784">
        <v>8.0318074739693668E-4</v>
      </c>
      <c r="Z201" s="784">
        <v>0.13555489446671487</v>
      </c>
      <c r="AA201" s="785">
        <v>2.8512916532719151E-4</v>
      </c>
      <c r="AB201" s="32" t="str">
        <f t="shared" si="114"/>
        <v>-</v>
      </c>
      <c r="AC201" s="6" t="str">
        <f t="shared" si="135"/>
        <v>-</v>
      </c>
      <c r="AD201" s="6" t="str">
        <f t="shared" si="136"/>
        <v>-</v>
      </c>
      <c r="AE201" s="6">
        <f t="shared" si="117"/>
        <v>1186.3085754957137</v>
      </c>
      <c r="AF201" s="839" t="s">
        <v>998</v>
      </c>
      <c r="AG201" s="553" t="str">
        <f t="shared" si="137"/>
        <v>-</v>
      </c>
      <c r="AH201" s="69" t="s">
        <v>64</v>
      </c>
      <c r="AI201" s="9" t="s">
        <v>64</v>
      </c>
      <c r="AJ201" s="9" t="s">
        <v>64</v>
      </c>
      <c r="AK201" s="9" t="s">
        <v>64</v>
      </c>
      <c r="AL201" s="9" t="s">
        <v>64</v>
      </c>
      <c r="AM201" s="9" t="s">
        <v>64</v>
      </c>
      <c r="AN201" s="9" t="s">
        <v>64</v>
      </c>
      <c r="AO201" s="9" t="s">
        <v>64</v>
      </c>
      <c r="AP201" s="9" t="s">
        <v>64</v>
      </c>
      <c r="AQ201" s="9" t="s">
        <v>64</v>
      </c>
      <c r="AR201" s="9" t="s">
        <v>64</v>
      </c>
      <c r="AS201" s="6" t="s">
        <v>64</v>
      </c>
      <c r="AT201" s="6" t="s">
        <v>64</v>
      </c>
      <c r="AU201" s="9" t="s">
        <v>64</v>
      </c>
      <c r="AV201" s="8" t="str">
        <f t="shared" si="120"/>
        <v>-</v>
      </c>
      <c r="AW201" s="9" t="str">
        <f t="shared" si="121"/>
        <v>-</v>
      </c>
      <c r="AX201" s="8" t="s">
        <v>64</v>
      </c>
      <c r="AY201" s="789" t="s">
        <v>64</v>
      </c>
      <c r="AZ201" s="6" t="s">
        <v>64</v>
      </c>
      <c r="BA201" s="48" t="s">
        <v>64</v>
      </c>
      <c r="BB201" s="6" t="s">
        <v>64</v>
      </c>
      <c r="BC201" s="48" t="s">
        <v>64</v>
      </c>
      <c r="BD201" s="849" t="s">
        <v>64</v>
      </c>
      <c r="BE201" s="48" t="s">
        <v>64</v>
      </c>
      <c r="BF201" s="668" t="s">
        <v>1008</v>
      </c>
      <c r="BG201" s="48" t="s">
        <v>64</v>
      </c>
      <c r="BH201" s="48" t="s">
        <v>64</v>
      </c>
      <c r="BI201" s="850" t="str">
        <f t="shared" si="138"/>
        <v>-</v>
      </c>
      <c r="BJ201" s="789" t="str">
        <f t="shared" si="123"/>
        <v>-</v>
      </c>
      <c r="BK201" s="67">
        <v>406</v>
      </c>
      <c r="BL201" s="48">
        <v>40.600000000000023</v>
      </c>
      <c r="BM201" s="48">
        <v>3</v>
      </c>
      <c r="BN201" s="850">
        <f t="shared" si="139"/>
        <v>1.7368476928544001</v>
      </c>
      <c r="BO201" s="789">
        <f t="shared" si="125"/>
        <v>0.16566170045960615</v>
      </c>
      <c r="BP201" s="789">
        <f t="shared" si="126"/>
        <v>1.2295283487600228E-2</v>
      </c>
      <c r="BQ201" s="861" t="s">
        <v>912</v>
      </c>
      <c r="BR201" s="45" t="s">
        <v>64</v>
      </c>
      <c r="BS201" s="854" t="s">
        <v>64</v>
      </c>
      <c r="BT201" s="605"/>
      <c r="BU201" s="599" t="s">
        <v>64</v>
      </c>
      <c r="BV201" s="851" t="s">
        <v>64</v>
      </c>
      <c r="BW201" s="851" t="s">
        <v>64</v>
      </c>
      <c r="BX201" s="851" t="s">
        <v>64</v>
      </c>
      <c r="BY201" s="851" t="s">
        <v>64</v>
      </c>
      <c r="BZ201" s="851" t="s">
        <v>64</v>
      </c>
      <c r="CA201" s="851" t="s">
        <v>64</v>
      </c>
      <c r="CB201" s="851" t="s">
        <v>64</v>
      </c>
      <c r="CC201" s="851" t="s">
        <v>64</v>
      </c>
      <c r="CD201" s="851" t="s">
        <v>64</v>
      </c>
      <c r="CE201" s="852" t="s">
        <v>64</v>
      </c>
      <c r="CF201" s="852" t="s">
        <v>64</v>
      </c>
      <c r="CG201" s="605"/>
      <c r="CH201" s="584" t="s">
        <v>64</v>
      </c>
      <c r="CI201" s="576" t="s">
        <v>64</v>
      </c>
      <c r="CJ201" s="576" t="s">
        <v>64</v>
      </c>
      <c r="CK201" s="576" t="s">
        <v>64</v>
      </c>
      <c r="CL201" s="576" t="s">
        <v>64</v>
      </c>
      <c r="CM201" s="576" t="s">
        <v>64</v>
      </c>
      <c r="CN201" s="576" t="s">
        <v>64</v>
      </c>
      <c r="CO201" s="576" t="s">
        <v>64</v>
      </c>
      <c r="CP201" s="576" t="s">
        <v>64</v>
      </c>
      <c r="CQ201" s="576" t="s">
        <v>64</v>
      </c>
      <c r="CR201" s="857" t="s">
        <v>64</v>
      </c>
      <c r="CS201" s="793" t="s">
        <v>64</v>
      </c>
      <c r="CT201" s="855" t="s">
        <v>64</v>
      </c>
      <c r="CU201" s="576" t="s">
        <v>64</v>
      </c>
      <c r="CV201" s="591" t="s">
        <v>64</v>
      </c>
      <c r="CW201" s="605"/>
      <c r="CX201" s="936" t="s">
        <v>64</v>
      </c>
      <c r="CY201" s="934" t="s">
        <v>64</v>
      </c>
      <c r="CZ201" s="934" t="s">
        <v>64</v>
      </c>
      <c r="DA201" s="938" t="str">
        <f t="shared" si="140"/>
        <v>-</v>
      </c>
      <c r="DB201" s="936" t="s">
        <v>64</v>
      </c>
      <c r="DC201" s="934" t="s">
        <v>64</v>
      </c>
      <c r="DD201" s="934" t="s">
        <v>64</v>
      </c>
      <c r="DE201" s="939" t="str">
        <f t="shared" si="141"/>
        <v>-</v>
      </c>
      <c r="DF201" s="19"/>
    </row>
    <row r="202" spans="1:110">
      <c r="A202" s="846" t="s">
        <v>632</v>
      </c>
      <c r="B202" s="41" t="s">
        <v>156</v>
      </c>
      <c r="C202" s="41" t="s">
        <v>1490</v>
      </c>
      <c r="D202" s="34">
        <v>1500</v>
      </c>
      <c r="E202" s="535">
        <v>19.42567</v>
      </c>
      <c r="F202" s="537">
        <v>-155.25163000000001</v>
      </c>
      <c r="G202" s="37" t="s">
        <v>998</v>
      </c>
      <c r="H202" s="860" t="s">
        <v>999</v>
      </c>
      <c r="I202" s="202" t="s">
        <v>64</v>
      </c>
      <c r="J202" t="s">
        <v>880</v>
      </c>
      <c r="K202" s="34">
        <v>2021</v>
      </c>
      <c r="L202" s="51" t="s">
        <v>998</v>
      </c>
      <c r="M202" s="52" t="s">
        <v>998</v>
      </c>
      <c r="N202" s="54" t="str">
        <f t="shared" si="143"/>
        <v>fluid inclusion</v>
      </c>
      <c r="O202" s="54" t="s">
        <v>998</v>
      </c>
      <c r="P202" s="53">
        <v>19</v>
      </c>
      <c r="Q202" s="54">
        <v>3591.3640018287315</v>
      </c>
      <c r="R202" s="772">
        <f t="shared" si="134"/>
        <v>1</v>
      </c>
      <c r="S202" s="624" t="s">
        <v>204</v>
      </c>
      <c r="T202" s="37" t="s">
        <v>132</v>
      </c>
      <c r="U202" s="21">
        <v>82.843565784542022</v>
      </c>
      <c r="V202" s="552" t="s">
        <v>423</v>
      </c>
      <c r="W202" s="552" t="s">
        <v>423</v>
      </c>
      <c r="X202" s="556">
        <v>102.89812443445976</v>
      </c>
      <c r="Y202" s="784">
        <v>3.6105184951085944E-3</v>
      </c>
      <c r="Z202" s="784">
        <v>0.10883417423320907</v>
      </c>
      <c r="AA202" s="785">
        <v>1.2817340657633096E-3</v>
      </c>
      <c r="AB202" s="32" t="str">
        <f t="shared" si="114"/>
        <v>-</v>
      </c>
      <c r="AC202" s="6" t="str">
        <f t="shared" si="135"/>
        <v>-</v>
      </c>
      <c r="AD202" s="6" t="str">
        <f t="shared" si="136"/>
        <v>-</v>
      </c>
      <c r="AE202" s="6">
        <f t="shared" si="117"/>
        <v>1177.9548029405159</v>
      </c>
      <c r="AF202" s="839" t="s">
        <v>998</v>
      </c>
      <c r="AG202" s="553" t="str">
        <f t="shared" si="137"/>
        <v>-</v>
      </c>
      <c r="AH202" s="69" t="s">
        <v>64</v>
      </c>
      <c r="AI202" s="9" t="s">
        <v>64</v>
      </c>
      <c r="AJ202" s="9" t="s">
        <v>64</v>
      </c>
      <c r="AK202" s="9" t="s">
        <v>64</v>
      </c>
      <c r="AL202" s="9" t="s">
        <v>64</v>
      </c>
      <c r="AM202" s="9" t="s">
        <v>64</v>
      </c>
      <c r="AN202" s="9" t="s">
        <v>64</v>
      </c>
      <c r="AO202" s="9" t="s">
        <v>64</v>
      </c>
      <c r="AP202" s="9" t="s">
        <v>64</v>
      </c>
      <c r="AQ202" s="9" t="s">
        <v>64</v>
      </c>
      <c r="AR202" s="9" t="s">
        <v>64</v>
      </c>
      <c r="AS202" s="6" t="s">
        <v>64</v>
      </c>
      <c r="AT202" s="6" t="s">
        <v>64</v>
      </c>
      <c r="AU202" s="9" t="s">
        <v>64</v>
      </c>
      <c r="AV202" s="8" t="str">
        <f t="shared" si="120"/>
        <v>-</v>
      </c>
      <c r="AW202" s="9" t="str">
        <f t="shared" si="121"/>
        <v>-</v>
      </c>
      <c r="AX202" s="8" t="s">
        <v>64</v>
      </c>
      <c r="AY202" s="789" t="s">
        <v>64</v>
      </c>
      <c r="AZ202" s="6" t="s">
        <v>64</v>
      </c>
      <c r="BA202" s="48" t="s">
        <v>64</v>
      </c>
      <c r="BB202" s="6" t="s">
        <v>64</v>
      </c>
      <c r="BC202" s="48" t="s">
        <v>64</v>
      </c>
      <c r="BD202" s="849" t="s">
        <v>64</v>
      </c>
      <c r="BE202" s="48" t="s">
        <v>64</v>
      </c>
      <c r="BF202" s="668" t="s">
        <v>1008</v>
      </c>
      <c r="BG202" s="48" t="s">
        <v>64</v>
      </c>
      <c r="BH202" s="48" t="s">
        <v>64</v>
      </c>
      <c r="BI202" s="850" t="str">
        <f t="shared" si="138"/>
        <v>-</v>
      </c>
      <c r="BJ202" s="789" t="str">
        <f t="shared" si="123"/>
        <v>-</v>
      </c>
      <c r="BK202" s="67">
        <v>319</v>
      </c>
      <c r="BL202" s="48">
        <v>31.900000000000034</v>
      </c>
      <c r="BM202" s="48">
        <v>5</v>
      </c>
      <c r="BN202" s="850">
        <f t="shared" si="139"/>
        <v>1.3771884755155999</v>
      </c>
      <c r="BO202" s="789">
        <f t="shared" si="125"/>
        <v>0.13262594636046376</v>
      </c>
      <c r="BP202" s="789">
        <f t="shared" si="126"/>
        <v>2.0867746866000125E-2</v>
      </c>
      <c r="BQ202" s="861" t="s">
        <v>912</v>
      </c>
      <c r="BR202" s="45" t="s">
        <v>64</v>
      </c>
      <c r="BS202" s="854" t="s">
        <v>64</v>
      </c>
      <c r="BT202" s="605"/>
      <c r="BU202" s="599" t="s">
        <v>64</v>
      </c>
      <c r="BV202" s="851" t="s">
        <v>64</v>
      </c>
      <c r="BW202" s="851" t="s">
        <v>64</v>
      </c>
      <c r="BX202" s="851" t="s">
        <v>64</v>
      </c>
      <c r="BY202" s="851" t="s">
        <v>64</v>
      </c>
      <c r="BZ202" s="851" t="s">
        <v>64</v>
      </c>
      <c r="CA202" s="851" t="s">
        <v>64</v>
      </c>
      <c r="CB202" s="851" t="s">
        <v>64</v>
      </c>
      <c r="CC202" s="851" t="s">
        <v>64</v>
      </c>
      <c r="CD202" s="851" t="s">
        <v>64</v>
      </c>
      <c r="CE202" s="852" t="s">
        <v>64</v>
      </c>
      <c r="CF202" s="852" t="s">
        <v>64</v>
      </c>
      <c r="CG202" s="605"/>
      <c r="CH202" s="584" t="s">
        <v>64</v>
      </c>
      <c r="CI202" s="576" t="s">
        <v>64</v>
      </c>
      <c r="CJ202" s="576" t="s">
        <v>64</v>
      </c>
      <c r="CK202" s="576" t="s">
        <v>64</v>
      </c>
      <c r="CL202" s="576" t="s">
        <v>64</v>
      </c>
      <c r="CM202" s="576" t="s">
        <v>64</v>
      </c>
      <c r="CN202" s="576" t="s">
        <v>64</v>
      </c>
      <c r="CO202" s="576" t="s">
        <v>64</v>
      </c>
      <c r="CP202" s="576" t="s">
        <v>64</v>
      </c>
      <c r="CQ202" s="576" t="s">
        <v>64</v>
      </c>
      <c r="CR202" s="857" t="s">
        <v>64</v>
      </c>
      <c r="CS202" s="793" t="s">
        <v>64</v>
      </c>
      <c r="CT202" s="855" t="s">
        <v>64</v>
      </c>
      <c r="CU202" s="576" t="s">
        <v>64</v>
      </c>
      <c r="CV202" s="591" t="s">
        <v>64</v>
      </c>
      <c r="CW202" s="605"/>
      <c r="CX202" s="936" t="s">
        <v>64</v>
      </c>
      <c r="CY202" s="934" t="s">
        <v>64</v>
      </c>
      <c r="CZ202" s="934" t="s">
        <v>64</v>
      </c>
      <c r="DA202" s="938" t="str">
        <f t="shared" si="140"/>
        <v>-</v>
      </c>
      <c r="DB202" s="936" t="s">
        <v>64</v>
      </c>
      <c r="DC202" s="934" t="s">
        <v>64</v>
      </c>
      <c r="DD202" s="934" t="s">
        <v>64</v>
      </c>
      <c r="DE202" s="939" t="str">
        <f t="shared" si="141"/>
        <v>-</v>
      </c>
      <c r="DF202" s="19"/>
    </row>
    <row r="203" spans="1:110">
      <c r="A203" s="846" t="s">
        <v>633</v>
      </c>
      <c r="B203" s="41" t="s">
        <v>156</v>
      </c>
      <c r="C203" s="41" t="s">
        <v>1490</v>
      </c>
      <c r="D203" s="34">
        <v>1500</v>
      </c>
      <c r="E203" s="535">
        <v>19.42567</v>
      </c>
      <c r="F203" s="537">
        <v>-155.25163000000001</v>
      </c>
      <c r="G203" s="37" t="s">
        <v>997</v>
      </c>
      <c r="H203" s="860" t="s">
        <v>760</v>
      </c>
      <c r="I203" s="202" t="s">
        <v>780</v>
      </c>
      <c r="J203" t="s">
        <v>889</v>
      </c>
      <c r="K203" s="34">
        <v>2021</v>
      </c>
      <c r="L203" s="51">
        <v>50</v>
      </c>
      <c r="M203" s="52">
        <v>47.5</v>
      </c>
      <c r="N203" s="54">
        <f t="shared" si="142"/>
        <v>60621.132812500015</v>
      </c>
      <c r="O203" s="54">
        <v>12909.982310845562</v>
      </c>
      <c r="P203" s="53">
        <v>45</v>
      </c>
      <c r="Q203" s="54">
        <v>47712.938426394976</v>
      </c>
      <c r="R203" s="772">
        <f t="shared" si="134"/>
        <v>0.78704453441295541</v>
      </c>
      <c r="S203" s="624" t="s">
        <v>205</v>
      </c>
      <c r="T203" s="37" t="s">
        <v>132</v>
      </c>
      <c r="U203" s="21">
        <v>83.21935855142624</v>
      </c>
      <c r="V203" s="552" t="s">
        <v>423</v>
      </c>
      <c r="W203" s="552" t="s">
        <v>423</v>
      </c>
      <c r="X203" s="556">
        <v>102.93662376561993</v>
      </c>
      <c r="Y203" s="784">
        <v>5.7710708332169213E-3</v>
      </c>
      <c r="Z203" s="784">
        <v>0.1225014367950692</v>
      </c>
      <c r="AA203" s="785">
        <v>2.0487301457918841E-3</v>
      </c>
      <c r="AB203" s="32" t="str">
        <f t="shared" si="114"/>
        <v>-</v>
      </c>
      <c r="AC203" s="6" t="str">
        <f t="shared" si="135"/>
        <v>-</v>
      </c>
      <c r="AD203" s="6" t="str">
        <f t="shared" si="136"/>
        <v>-</v>
      </c>
      <c r="AE203" s="6">
        <f t="shared" si="117"/>
        <v>1182.1554578134019</v>
      </c>
      <c r="AF203" s="839">
        <v>0.96649999999999991</v>
      </c>
      <c r="AG203" s="553">
        <f t="shared" si="137"/>
        <v>3.4661148473874803E-2</v>
      </c>
      <c r="AH203" s="69" t="s">
        <v>64</v>
      </c>
      <c r="AI203" s="9" t="s">
        <v>64</v>
      </c>
      <c r="AJ203" s="9" t="s">
        <v>64</v>
      </c>
      <c r="AK203" s="9" t="s">
        <v>64</v>
      </c>
      <c r="AL203" s="9" t="s">
        <v>64</v>
      </c>
      <c r="AM203" s="9" t="s">
        <v>64</v>
      </c>
      <c r="AN203" s="9" t="s">
        <v>64</v>
      </c>
      <c r="AO203" s="9" t="s">
        <v>64</v>
      </c>
      <c r="AP203" s="9" t="s">
        <v>64</v>
      </c>
      <c r="AQ203" s="9" t="s">
        <v>64</v>
      </c>
      <c r="AR203" s="9" t="s">
        <v>64</v>
      </c>
      <c r="AS203" s="6" t="s">
        <v>64</v>
      </c>
      <c r="AT203" s="6" t="s">
        <v>64</v>
      </c>
      <c r="AU203" s="9" t="s">
        <v>64</v>
      </c>
      <c r="AV203" s="8" t="str">
        <f t="shared" si="120"/>
        <v>-</v>
      </c>
      <c r="AW203" s="9" t="str">
        <f t="shared" si="121"/>
        <v>-</v>
      </c>
      <c r="AX203" s="8" t="s">
        <v>64</v>
      </c>
      <c r="AY203" s="789" t="s">
        <v>64</v>
      </c>
      <c r="AZ203" s="863" t="s">
        <v>897</v>
      </c>
      <c r="BA203" s="48" t="s">
        <v>64</v>
      </c>
      <c r="BB203" s="6">
        <v>129355.39883403605</v>
      </c>
      <c r="BC203" s="48">
        <v>22955.16578640401</v>
      </c>
      <c r="BD203" s="6" t="s">
        <v>998</v>
      </c>
      <c r="BE203" s="48" t="s">
        <v>998</v>
      </c>
      <c r="BF203" s="668" t="s">
        <v>1008</v>
      </c>
      <c r="BG203" s="48" t="s">
        <v>64</v>
      </c>
      <c r="BH203" s="48" t="s">
        <v>64</v>
      </c>
      <c r="BI203" s="850" t="str">
        <f t="shared" si="138"/>
        <v>-</v>
      </c>
      <c r="BJ203" s="789" t="str">
        <f t="shared" si="123"/>
        <v>-</v>
      </c>
      <c r="BK203" s="67">
        <v>362</v>
      </c>
      <c r="BL203" s="48">
        <v>36.200000000000045</v>
      </c>
      <c r="BM203" s="48">
        <v>7</v>
      </c>
      <c r="BN203" s="850">
        <f t="shared" si="139"/>
        <v>1.5557579190752</v>
      </c>
      <c r="BO203" s="789">
        <f t="shared" si="125"/>
        <v>0.14910637827309126</v>
      </c>
      <c r="BP203" s="789">
        <f t="shared" si="126"/>
        <v>2.8961100025200137E-2</v>
      </c>
      <c r="BQ203" s="861" t="s">
        <v>760</v>
      </c>
      <c r="BR203" s="45" t="s">
        <v>64</v>
      </c>
      <c r="BS203" s="854" t="s">
        <v>64</v>
      </c>
      <c r="BT203" s="605"/>
      <c r="BU203" s="599" t="s">
        <v>64</v>
      </c>
      <c r="BV203" s="851" t="s">
        <v>64</v>
      </c>
      <c r="BW203" s="851" t="s">
        <v>64</v>
      </c>
      <c r="BX203" s="851" t="s">
        <v>64</v>
      </c>
      <c r="BY203" s="851" t="s">
        <v>64</v>
      </c>
      <c r="BZ203" s="851" t="s">
        <v>64</v>
      </c>
      <c r="CA203" s="851" t="s">
        <v>64</v>
      </c>
      <c r="CB203" s="851" t="s">
        <v>64</v>
      </c>
      <c r="CC203" s="851" t="s">
        <v>64</v>
      </c>
      <c r="CD203" s="851" t="s">
        <v>64</v>
      </c>
      <c r="CE203" s="852" t="s">
        <v>64</v>
      </c>
      <c r="CF203" s="852" t="s">
        <v>64</v>
      </c>
      <c r="CG203" s="605"/>
      <c r="CH203" s="584" t="s">
        <v>64</v>
      </c>
      <c r="CI203" s="576" t="s">
        <v>64</v>
      </c>
      <c r="CJ203" s="576" t="s">
        <v>64</v>
      </c>
      <c r="CK203" s="576" t="s">
        <v>64</v>
      </c>
      <c r="CL203" s="576" t="s">
        <v>64</v>
      </c>
      <c r="CM203" s="576" t="s">
        <v>64</v>
      </c>
      <c r="CN203" s="576" t="s">
        <v>64</v>
      </c>
      <c r="CO203" s="576" t="s">
        <v>64</v>
      </c>
      <c r="CP203" s="576" t="s">
        <v>64</v>
      </c>
      <c r="CQ203" s="576" t="s">
        <v>64</v>
      </c>
      <c r="CR203" s="857" t="s">
        <v>64</v>
      </c>
      <c r="CS203" s="793" t="s">
        <v>64</v>
      </c>
      <c r="CT203" s="855" t="s">
        <v>64</v>
      </c>
      <c r="CU203" s="576" t="s">
        <v>64</v>
      </c>
      <c r="CV203" s="591" t="s">
        <v>64</v>
      </c>
      <c r="CW203" s="605"/>
      <c r="CX203" s="936" t="s">
        <v>998</v>
      </c>
      <c r="CY203" s="934" t="s">
        <v>64</v>
      </c>
      <c r="CZ203" s="934" t="s">
        <v>64</v>
      </c>
      <c r="DA203" s="938" t="str">
        <f t="shared" si="140"/>
        <v>-</v>
      </c>
      <c r="DB203" s="936" t="s">
        <v>998</v>
      </c>
      <c r="DC203" s="934" t="s">
        <v>64</v>
      </c>
      <c r="DD203" s="934" t="s">
        <v>64</v>
      </c>
      <c r="DE203" s="939" t="str">
        <f t="shared" si="141"/>
        <v>-</v>
      </c>
      <c r="DF203" s="19"/>
    </row>
    <row r="204" spans="1:110">
      <c r="A204" s="846" t="s">
        <v>634</v>
      </c>
      <c r="B204" s="41" t="s">
        <v>156</v>
      </c>
      <c r="C204" s="41" t="s">
        <v>1490</v>
      </c>
      <c r="D204" s="34">
        <v>1500</v>
      </c>
      <c r="E204" s="535">
        <v>19.42567</v>
      </c>
      <c r="F204" s="537">
        <v>-155.25163000000001</v>
      </c>
      <c r="G204" s="37" t="s">
        <v>998</v>
      </c>
      <c r="H204" s="860" t="s">
        <v>999</v>
      </c>
      <c r="I204" s="202" t="s">
        <v>64</v>
      </c>
      <c r="J204" t="s">
        <v>880</v>
      </c>
      <c r="K204" s="34">
        <v>2021</v>
      </c>
      <c r="L204" s="51" t="s">
        <v>998</v>
      </c>
      <c r="M204" s="52" t="s">
        <v>998</v>
      </c>
      <c r="N204" s="54" t="str">
        <f>L204</f>
        <v>fluid inclusion</v>
      </c>
      <c r="O204" s="54" t="s">
        <v>998</v>
      </c>
      <c r="P204" s="53">
        <v>20</v>
      </c>
      <c r="Q204" s="54">
        <v>4188.7902047863909</v>
      </c>
      <c r="R204" s="772">
        <f t="shared" si="134"/>
        <v>1</v>
      </c>
      <c r="S204" s="624" t="s">
        <v>205</v>
      </c>
      <c r="T204" s="37" t="s">
        <v>132</v>
      </c>
      <c r="U204" s="21">
        <v>83.21935855142624</v>
      </c>
      <c r="V204" s="552" t="s">
        <v>423</v>
      </c>
      <c r="W204" s="552" t="s">
        <v>423</v>
      </c>
      <c r="X204" s="556">
        <v>102.89732177820082</v>
      </c>
      <c r="Y204" s="784">
        <v>7.0995725301133206E-3</v>
      </c>
      <c r="Z204" s="784">
        <v>0.10854923126128568</v>
      </c>
      <c r="AA204" s="785">
        <v>2.5203482481899503E-3</v>
      </c>
      <c r="AB204" s="32" t="str">
        <f t="shared" si="114"/>
        <v>-</v>
      </c>
      <c r="AC204" s="6" t="str">
        <f t="shared" si="135"/>
        <v>-</v>
      </c>
      <c r="AD204" s="6" t="str">
        <f t="shared" si="136"/>
        <v>-</v>
      </c>
      <c r="AE204" s="6">
        <f t="shared" si="117"/>
        <v>1182.1554578134019</v>
      </c>
      <c r="AF204" s="839" t="s">
        <v>998</v>
      </c>
      <c r="AG204" s="553" t="str">
        <f t="shared" si="137"/>
        <v>-</v>
      </c>
      <c r="AH204" s="69" t="s">
        <v>64</v>
      </c>
      <c r="AI204" s="9" t="s">
        <v>64</v>
      </c>
      <c r="AJ204" s="9" t="s">
        <v>64</v>
      </c>
      <c r="AK204" s="9" t="s">
        <v>64</v>
      </c>
      <c r="AL204" s="9" t="s">
        <v>64</v>
      </c>
      <c r="AM204" s="9" t="s">
        <v>64</v>
      </c>
      <c r="AN204" s="9" t="s">
        <v>64</v>
      </c>
      <c r="AO204" s="9" t="s">
        <v>64</v>
      </c>
      <c r="AP204" s="9" t="s">
        <v>64</v>
      </c>
      <c r="AQ204" s="9" t="s">
        <v>64</v>
      </c>
      <c r="AR204" s="9" t="s">
        <v>64</v>
      </c>
      <c r="AS204" s="6" t="s">
        <v>64</v>
      </c>
      <c r="AT204" s="6" t="s">
        <v>64</v>
      </c>
      <c r="AU204" s="9" t="s">
        <v>64</v>
      </c>
      <c r="AV204" s="8" t="str">
        <f t="shared" si="120"/>
        <v>-</v>
      </c>
      <c r="AW204" s="9" t="str">
        <f t="shared" si="121"/>
        <v>-</v>
      </c>
      <c r="AX204" s="8" t="s">
        <v>64</v>
      </c>
      <c r="AY204" s="789" t="s">
        <v>64</v>
      </c>
      <c r="AZ204" s="6" t="s">
        <v>64</v>
      </c>
      <c r="BA204" s="48" t="s">
        <v>64</v>
      </c>
      <c r="BB204" s="6" t="s">
        <v>64</v>
      </c>
      <c r="BC204" s="48" t="s">
        <v>64</v>
      </c>
      <c r="BD204" s="849" t="s">
        <v>64</v>
      </c>
      <c r="BE204" s="48" t="s">
        <v>64</v>
      </c>
      <c r="BF204" s="668" t="s">
        <v>1008</v>
      </c>
      <c r="BG204" s="48" t="s">
        <v>64</v>
      </c>
      <c r="BH204" s="48" t="s">
        <v>64</v>
      </c>
      <c r="BI204" s="850" t="str">
        <f t="shared" si="138"/>
        <v>-</v>
      </c>
      <c r="BJ204" s="789" t="str">
        <f t="shared" si="123"/>
        <v>-</v>
      </c>
      <c r="BK204" s="67">
        <v>319</v>
      </c>
      <c r="BL204" s="48">
        <v>31.900000000000034</v>
      </c>
      <c r="BM204" s="48">
        <v>10</v>
      </c>
      <c r="BN204" s="850">
        <f t="shared" si="139"/>
        <v>1.3771884755155999</v>
      </c>
      <c r="BO204" s="789">
        <f t="shared" si="125"/>
        <v>0.13262594636046376</v>
      </c>
      <c r="BP204" s="789">
        <f t="shared" si="126"/>
        <v>4.1757312091999843E-2</v>
      </c>
      <c r="BQ204" s="861" t="s">
        <v>912</v>
      </c>
      <c r="BR204" s="45" t="s">
        <v>64</v>
      </c>
      <c r="BS204" s="854" t="s">
        <v>64</v>
      </c>
      <c r="BT204" s="605"/>
      <c r="BU204" s="599" t="s">
        <v>64</v>
      </c>
      <c r="BV204" s="851" t="s">
        <v>64</v>
      </c>
      <c r="BW204" s="851" t="s">
        <v>64</v>
      </c>
      <c r="BX204" s="851" t="s">
        <v>64</v>
      </c>
      <c r="BY204" s="851" t="s">
        <v>64</v>
      </c>
      <c r="BZ204" s="851" t="s">
        <v>64</v>
      </c>
      <c r="CA204" s="851" t="s">
        <v>64</v>
      </c>
      <c r="CB204" s="851" t="s">
        <v>64</v>
      </c>
      <c r="CC204" s="851" t="s">
        <v>64</v>
      </c>
      <c r="CD204" s="851" t="s">
        <v>64</v>
      </c>
      <c r="CE204" s="852" t="s">
        <v>64</v>
      </c>
      <c r="CF204" s="852" t="s">
        <v>64</v>
      </c>
      <c r="CG204" s="605"/>
      <c r="CH204" s="584" t="s">
        <v>64</v>
      </c>
      <c r="CI204" s="576" t="s">
        <v>64</v>
      </c>
      <c r="CJ204" s="576" t="s">
        <v>64</v>
      </c>
      <c r="CK204" s="576" t="s">
        <v>64</v>
      </c>
      <c r="CL204" s="576" t="s">
        <v>64</v>
      </c>
      <c r="CM204" s="576" t="s">
        <v>64</v>
      </c>
      <c r="CN204" s="576" t="s">
        <v>64</v>
      </c>
      <c r="CO204" s="576" t="s">
        <v>64</v>
      </c>
      <c r="CP204" s="576" t="s">
        <v>64</v>
      </c>
      <c r="CQ204" s="576" t="s">
        <v>64</v>
      </c>
      <c r="CR204" s="857" t="s">
        <v>64</v>
      </c>
      <c r="CS204" s="793" t="s">
        <v>64</v>
      </c>
      <c r="CT204" s="855" t="s">
        <v>64</v>
      </c>
      <c r="CU204" s="576" t="s">
        <v>64</v>
      </c>
      <c r="CV204" s="591" t="s">
        <v>64</v>
      </c>
      <c r="CW204" s="605"/>
      <c r="CX204" s="936" t="s">
        <v>64</v>
      </c>
      <c r="CY204" s="934" t="s">
        <v>64</v>
      </c>
      <c r="CZ204" s="934" t="s">
        <v>64</v>
      </c>
      <c r="DA204" s="938" t="str">
        <f t="shared" si="140"/>
        <v>-</v>
      </c>
      <c r="DB204" s="936" t="s">
        <v>64</v>
      </c>
      <c r="DC204" s="934" t="s">
        <v>64</v>
      </c>
      <c r="DD204" s="934" t="s">
        <v>64</v>
      </c>
      <c r="DE204" s="939" t="str">
        <f t="shared" si="141"/>
        <v>-</v>
      </c>
      <c r="DF204" s="19"/>
    </row>
    <row r="205" spans="1:110">
      <c r="A205" s="846" t="s">
        <v>637</v>
      </c>
      <c r="B205" s="41" t="s">
        <v>156</v>
      </c>
      <c r="C205" s="41" t="s">
        <v>1490</v>
      </c>
      <c r="D205" s="34">
        <v>1500</v>
      </c>
      <c r="E205" s="535">
        <v>19.42567</v>
      </c>
      <c r="F205" s="537">
        <v>-155.25163000000001</v>
      </c>
      <c r="G205" s="37" t="s">
        <v>997</v>
      </c>
      <c r="H205" s="860" t="s">
        <v>760</v>
      </c>
      <c r="I205" s="202" t="s">
        <v>780</v>
      </c>
      <c r="J205" t="s">
        <v>889</v>
      </c>
      <c r="K205" s="34">
        <v>2021</v>
      </c>
      <c r="L205" s="51">
        <v>34.4</v>
      </c>
      <c r="M205" s="52">
        <v>34.4</v>
      </c>
      <c r="N205" s="54">
        <f t="shared" si="142"/>
        <v>21313.812522666667</v>
      </c>
      <c r="O205" s="54">
        <v>6015.8734714709308</v>
      </c>
      <c r="P205" s="53">
        <v>30.8</v>
      </c>
      <c r="Q205" s="54">
        <v>15298.567668493964</v>
      </c>
      <c r="R205" s="772">
        <f t="shared" si="134"/>
        <v>0.71775598374985872</v>
      </c>
      <c r="S205" s="624" t="s">
        <v>208</v>
      </c>
      <c r="T205" s="37" t="s">
        <v>132</v>
      </c>
      <c r="U205" s="21">
        <v>82.462847320409111</v>
      </c>
      <c r="V205" s="552" t="s">
        <v>423</v>
      </c>
      <c r="W205" s="552" t="s">
        <v>423</v>
      </c>
      <c r="X205" s="556">
        <v>102.88294718776825</v>
      </c>
      <c r="Y205" s="784">
        <v>1.2014566524890798E-2</v>
      </c>
      <c r="Z205" s="784">
        <v>0.10344625165772925</v>
      </c>
      <c r="AA205" s="785">
        <v>4.265171116336109E-3</v>
      </c>
      <c r="AB205" s="32" t="str">
        <f t="shared" si="114"/>
        <v>-</v>
      </c>
      <c r="AC205" s="6" t="str">
        <f t="shared" si="135"/>
        <v>-</v>
      </c>
      <c r="AD205" s="6" t="str">
        <f t="shared" si="136"/>
        <v>-</v>
      </c>
      <c r="AE205" s="6">
        <f t="shared" si="117"/>
        <v>1173.9138787408519</v>
      </c>
      <c r="AF205" s="839">
        <v>0.98199999999999998</v>
      </c>
      <c r="AG205" s="553">
        <f t="shared" si="137"/>
        <v>1.8329938900203624E-2</v>
      </c>
      <c r="AH205" s="69" t="s">
        <v>64</v>
      </c>
      <c r="AI205" s="9" t="s">
        <v>64</v>
      </c>
      <c r="AJ205" s="9" t="s">
        <v>64</v>
      </c>
      <c r="AK205" s="9" t="s">
        <v>64</v>
      </c>
      <c r="AL205" s="9" t="s">
        <v>64</v>
      </c>
      <c r="AM205" s="9" t="s">
        <v>64</v>
      </c>
      <c r="AN205" s="9" t="s">
        <v>64</v>
      </c>
      <c r="AO205" s="9" t="s">
        <v>64</v>
      </c>
      <c r="AP205" s="9" t="s">
        <v>64</v>
      </c>
      <c r="AQ205" s="9" t="s">
        <v>64</v>
      </c>
      <c r="AR205" s="9" t="s">
        <v>64</v>
      </c>
      <c r="AS205" s="6" t="s">
        <v>64</v>
      </c>
      <c r="AT205" s="6" t="s">
        <v>64</v>
      </c>
      <c r="AU205" s="9" t="s">
        <v>64</v>
      </c>
      <c r="AV205" s="8" t="str">
        <f t="shared" si="120"/>
        <v>-</v>
      </c>
      <c r="AW205" s="9" t="str">
        <f t="shared" si="121"/>
        <v>-</v>
      </c>
      <c r="AX205" s="8" t="s">
        <v>64</v>
      </c>
      <c r="AY205" s="789" t="s">
        <v>64</v>
      </c>
      <c r="AZ205" s="863" t="s">
        <v>897</v>
      </c>
      <c r="BA205" s="48" t="s">
        <v>64</v>
      </c>
      <c r="BB205" s="6">
        <v>80904.048620272035</v>
      </c>
      <c r="BC205" s="48">
        <v>16629.270817578345</v>
      </c>
      <c r="BD205" s="6" t="s">
        <v>998</v>
      </c>
      <c r="BE205" s="48" t="s">
        <v>998</v>
      </c>
      <c r="BF205" s="668" t="s">
        <v>1008</v>
      </c>
      <c r="BG205" s="48" t="s">
        <v>64</v>
      </c>
      <c r="BH205" s="48" t="s">
        <v>64</v>
      </c>
      <c r="BI205" s="850" t="str">
        <f t="shared" si="138"/>
        <v>-</v>
      </c>
      <c r="BJ205" s="789" t="str">
        <f t="shared" si="123"/>
        <v>-</v>
      </c>
      <c r="BK205" s="67">
        <v>301</v>
      </c>
      <c r="BL205" s="48">
        <v>30.100000000000023</v>
      </c>
      <c r="BM205" s="48">
        <v>73</v>
      </c>
      <c r="BN205" s="850">
        <f t="shared" si="139"/>
        <v>1.3019623488284</v>
      </c>
      <c r="BO205" s="789">
        <f t="shared" si="125"/>
        <v>0.12563609813900034</v>
      </c>
      <c r="BP205" s="789">
        <f t="shared" si="126"/>
        <v>0.30802523515159996</v>
      </c>
      <c r="BQ205" s="861" t="s">
        <v>760</v>
      </c>
      <c r="BR205" s="45" t="s">
        <v>64</v>
      </c>
      <c r="BS205" s="854" t="s">
        <v>64</v>
      </c>
      <c r="BT205" s="605"/>
      <c r="BU205" s="599" t="s">
        <v>64</v>
      </c>
      <c r="BV205" s="851" t="s">
        <v>64</v>
      </c>
      <c r="BW205" s="851" t="s">
        <v>64</v>
      </c>
      <c r="BX205" s="851" t="s">
        <v>64</v>
      </c>
      <c r="BY205" s="851" t="s">
        <v>64</v>
      </c>
      <c r="BZ205" s="851" t="s">
        <v>64</v>
      </c>
      <c r="CA205" s="851" t="s">
        <v>64</v>
      </c>
      <c r="CB205" s="851" t="s">
        <v>64</v>
      </c>
      <c r="CC205" s="851" t="s">
        <v>64</v>
      </c>
      <c r="CD205" s="851" t="s">
        <v>64</v>
      </c>
      <c r="CE205" s="852" t="s">
        <v>64</v>
      </c>
      <c r="CF205" s="852" t="s">
        <v>64</v>
      </c>
      <c r="CG205" s="605"/>
      <c r="CH205" s="584" t="s">
        <v>64</v>
      </c>
      <c r="CI205" s="576" t="s">
        <v>64</v>
      </c>
      <c r="CJ205" s="576" t="s">
        <v>64</v>
      </c>
      <c r="CK205" s="576" t="s">
        <v>64</v>
      </c>
      <c r="CL205" s="576" t="s">
        <v>64</v>
      </c>
      <c r="CM205" s="576" t="s">
        <v>64</v>
      </c>
      <c r="CN205" s="576" t="s">
        <v>64</v>
      </c>
      <c r="CO205" s="576" t="s">
        <v>64</v>
      </c>
      <c r="CP205" s="576" t="s">
        <v>64</v>
      </c>
      <c r="CQ205" s="576" t="s">
        <v>64</v>
      </c>
      <c r="CR205" s="857" t="s">
        <v>64</v>
      </c>
      <c r="CS205" s="793" t="s">
        <v>64</v>
      </c>
      <c r="CT205" s="855" t="s">
        <v>64</v>
      </c>
      <c r="CU205" s="576" t="s">
        <v>64</v>
      </c>
      <c r="CV205" s="591" t="s">
        <v>64</v>
      </c>
      <c r="CW205" s="605"/>
      <c r="CX205" s="936" t="s">
        <v>998</v>
      </c>
      <c r="CY205" s="934" t="s">
        <v>64</v>
      </c>
      <c r="CZ205" s="934" t="s">
        <v>64</v>
      </c>
      <c r="DA205" s="938" t="str">
        <f t="shared" si="140"/>
        <v>-</v>
      </c>
      <c r="DB205" s="936" t="s">
        <v>998</v>
      </c>
      <c r="DC205" s="934" t="s">
        <v>64</v>
      </c>
      <c r="DD205" s="934" t="s">
        <v>64</v>
      </c>
      <c r="DE205" s="939" t="str">
        <f t="shared" si="141"/>
        <v>-</v>
      </c>
      <c r="DF205" s="19"/>
    </row>
    <row r="206" spans="1:110">
      <c r="A206" s="846" t="s">
        <v>638</v>
      </c>
      <c r="B206" s="41" t="s">
        <v>156</v>
      </c>
      <c r="C206" s="41" t="s">
        <v>1490</v>
      </c>
      <c r="D206" s="34">
        <v>1500</v>
      </c>
      <c r="E206" s="535">
        <v>19.42567</v>
      </c>
      <c r="F206" s="537">
        <v>-155.25163000000001</v>
      </c>
      <c r="G206" s="37" t="s">
        <v>997</v>
      </c>
      <c r="H206" s="860" t="s">
        <v>760</v>
      </c>
      <c r="I206" s="202" t="s">
        <v>780</v>
      </c>
      <c r="J206" t="s">
        <v>889</v>
      </c>
      <c r="K206" s="34">
        <v>2021</v>
      </c>
      <c r="L206" s="51">
        <v>68</v>
      </c>
      <c r="M206" s="52">
        <v>36</v>
      </c>
      <c r="N206" s="54">
        <f t="shared" si="142"/>
        <v>66650.063999999998</v>
      </c>
      <c r="O206" s="54">
        <v>58470.798869837621</v>
      </c>
      <c r="P206" s="53">
        <v>25</v>
      </c>
      <c r="Q206" s="54">
        <v>8181.230868723419</v>
      </c>
      <c r="R206" s="772">
        <f t="shared" si="134"/>
        <v>0.12274541226747109</v>
      </c>
      <c r="S206" s="624" t="s">
        <v>207</v>
      </c>
      <c r="T206" s="37" t="s">
        <v>132</v>
      </c>
      <c r="U206" s="21">
        <v>82.161312097683023</v>
      </c>
      <c r="V206" s="552" t="s">
        <v>423</v>
      </c>
      <c r="W206" s="552" t="s">
        <v>423</v>
      </c>
      <c r="X206" s="556">
        <v>102.98211106863977</v>
      </c>
      <c r="Y206" s="784">
        <v>3.012011684770667E-3</v>
      </c>
      <c r="Z206" s="784">
        <v>0.13864942936711344</v>
      </c>
      <c r="AA206" s="785">
        <v>1.0692641480946534E-3</v>
      </c>
      <c r="AB206" s="32" t="str">
        <f t="shared" si="114"/>
        <v>-</v>
      </c>
      <c r="AC206" s="6" t="str">
        <f t="shared" si="135"/>
        <v>-</v>
      </c>
      <c r="AD206" s="6" t="str">
        <f t="shared" si="136"/>
        <v>-</v>
      </c>
      <c r="AE206" s="6">
        <f t="shared" si="117"/>
        <v>1170.8618379486325</v>
      </c>
      <c r="AF206" s="839">
        <v>0.98199999999999998</v>
      </c>
      <c r="AG206" s="553">
        <f t="shared" si="137"/>
        <v>1.8329938900203624E-2</v>
      </c>
      <c r="AH206" s="69" t="s">
        <v>64</v>
      </c>
      <c r="AI206" s="9" t="s">
        <v>64</v>
      </c>
      <c r="AJ206" s="9" t="s">
        <v>64</v>
      </c>
      <c r="AK206" s="9" t="s">
        <v>64</v>
      </c>
      <c r="AL206" s="9" t="s">
        <v>64</v>
      </c>
      <c r="AM206" s="9" t="s">
        <v>64</v>
      </c>
      <c r="AN206" s="9" t="s">
        <v>64</v>
      </c>
      <c r="AO206" s="9" t="s">
        <v>64</v>
      </c>
      <c r="AP206" s="9" t="s">
        <v>64</v>
      </c>
      <c r="AQ206" s="9" t="s">
        <v>64</v>
      </c>
      <c r="AR206" s="9" t="s">
        <v>64</v>
      </c>
      <c r="AS206" s="6" t="s">
        <v>64</v>
      </c>
      <c r="AT206" s="6" t="s">
        <v>64</v>
      </c>
      <c r="AU206" s="9" t="s">
        <v>64</v>
      </c>
      <c r="AV206" s="8" t="str">
        <f t="shared" si="120"/>
        <v>-</v>
      </c>
      <c r="AW206" s="9" t="str">
        <f t="shared" si="121"/>
        <v>-</v>
      </c>
      <c r="AX206" s="8" t="s">
        <v>64</v>
      </c>
      <c r="AY206" s="789" t="s">
        <v>64</v>
      </c>
      <c r="AZ206" s="863" t="s">
        <v>897</v>
      </c>
      <c r="BA206" s="48" t="s">
        <v>64</v>
      </c>
      <c r="BB206" s="6">
        <v>6459.1526090958359</v>
      </c>
      <c r="BC206" s="48">
        <v>469.12776921522311</v>
      </c>
      <c r="BD206" s="6" t="s">
        <v>998</v>
      </c>
      <c r="BE206" s="48" t="s">
        <v>998</v>
      </c>
      <c r="BF206" s="668" t="s">
        <v>1008</v>
      </c>
      <c r="BG206" s="48" t="s">
        <v>64</v>
      </c>
      <c r="BH206" s="48" t="s">
        <v>64</v>
      </c>
      <c r="BI206" s="850" t="str">
        <f t="shared" si="138"/>
        <v>-</v>
      </c>
      <c r="BJ206" s="789" t="str">
        <f t="shared" si="123"/>
        <v>-</v>
      </c>
      <c r="BK206" s="67">
        <v>414</v>
      </c>
      <c r="BL206" s="48">
        <v>41.400000000000034</v>
      </c>
      <c r="BM206" s="48">
        <v>3</v>
      </c>
      <c r="BN206" s="850">
        <f t="shared" si="139"/>
        <v>1.7695984065696</v>
      </c>
      <c r="BO206" s="789">
        <f t="shared" si="125"/>
        <v>0.16863914170733763</v>
      </c>
      <c r="BP206" s="789">
        <f t="shared" si="126"/>
        <v>1.2275268649200255E-2</v>
      </c>
      <c r="BQ206" s="861" t="s">
        <v>760</v>
      </c>
      <c r="BR206" s="45" t="s">
        <v>64</v>
      </c>
      <c r="BS206" s="854" t="s">
        <v>64</v>
      </c>
      <c r="BT206" s="605"/>
      <c r="BU206" s="599" t="s">
        <v>64</v>
      </c>
      <c r="BV206" s="851" t="s">
        <v>64</v>
      </c>
      <c r="BW206" s="851" t="s">
        <v>64</v>
      </c>
      <c r="BX206" s="851" t="s">
        <v>64</v>
      </c>
      <c r="BY206" s="851" t="s">
        <v>64</v>
      </c>
      <c r="BZ206" s="851" t="s">
        <v>64</v>
      </c>
      <c r="CA206" s="851" t="s">
        <v>64</v>
      </c>
      <c r="CB206" s="851" t="s">
        <v>64</v>
      </c>
      <c r="CC206" s="851" t="s">
        <v>64</v>
      </c>
      <c r="CD206" s="851" t="s">
        <v>64</v>
      </c>
      <c r="CE206" s="852" t="s">
        <v>64</v>
      </c>
      <c r="CF206" s="852" t="s">
        <v>64</v>
      </c>
      <c r="CG206" s="605"/>
      <c r="CH206" s="584" t="s">
        <v>64</v>
      </c>
      <c r="CI206" s="576" t="s">
        <v>64</v>
      </c>
      <c r="CJ206" s="576" t="s">
        <v>64</v>
      </c>
      <c r="CK206" s="576" t="s">
        <v>64</v>
      </c>
      <c r="CL206" s="576" t="s">
        <v>64</v>
      </c>
      <c r="CM206" s="576" t="s">
        <v>64</v>
      </c>
      <c r="CN206" s="576" t="s">
        <v>64</v>
      </c>
      <c r="CO206" s="576" t="s">
        <v>64</v>
      </c>
      <c r="CP206" s="576" t="s">
        <v>64</v>
      </c>
      <c r="CQ206" s="576" t="s">
        <v>64</v>
      </c>
      <c r="CR206" s="857" t="s">
        <v>64</v>
      </c>
      <c r="CS206" s="793" t="s">
        <v>64</v>
      </c>
      <c r="CT206" s="855" t="s">
        <v>64</v>
      </c>
      <c r="CU206" s="576" t="s">
        <v>64</v>
      </c>
      <c r="CV206" s="591" t="s">
        <v>64</v>
      </c>
      <c r="CW206" s="605"/>
      <c r="CX206" s="936" t="s">
        <v>998</v>
      </c>
      <c r="CY206" s="934" t="s">
        <v>64</v>
      </c>
      <c r="CZ206" s="934" t="s">
        <v>64</v>
      </c>
      <c r="DA206" s="938" t="str">
        <f t="shared" si="140"/>
        <v>-</v>
      </c>
      <c r="DB206" s="936" t="s">
        <v>998</v>
      </c>
      <c r="DC206" s="934" t="s">
        <v>64</v>
      </c>
      <c r="DD206" s="934" t="s">
        <v>64</v>
      </c>
      <c r="DE206" s="939" t="str">
        <f t="shared" si="141"/>
        <v>-</v>
      </c>
      <c r="DF206" s="19"/>
    </row>
    <row r="207" spans="1:110">
      <c r="A207" s="846" t="s">
        <v>639</v>
      </c>
      <c r="B207" s="41" t="s">
        <v>156</v>
      </c>
      <c r="C207" s="41" t="s">
        <v>1490</v>
      </c>
      <c r="D207" s="34">
        <v>1500</v>
      </c>
      <c r="E207" s="535">
        <v>19.42567</v>
      </c>
      <c r="F207" s="537">
        <v>-155.25163000000001</v>
      </c>
      <c r="G207" s="37" t="s">
        <v>405</v>
      </c>
      <c r="H207" s="37" t="s">
        <v>64</v>
      </c>
      <c r="I207" s="28">
        <v>5</v>
      </c>
      <c r="J207" t="s">
        <v>889</v>
      </c>
      <c r="K207" s="34">
        <v>2021</v>
      </c>
      <c r="L207" s="51">
        <v>40</v>
      </c>
      <c r="M207" s="52">
        <v>25</v>
      </c>
      <c r="N207" s="54">
        <f t="shared" si="142"/>
        <v>17016.458333333336</v>
      </c>
      <c r="O207" s="54">
        <v>16623.877633838383</v>
      </c>
      <c r="P207" s="53">
        <v>8</v>
      </c>
      <c r="Q207" s="54">
        <v>268.08257310632899</v>
      </c>
      <c r="R207" s="772">
        <f t="shared" si="134"/>
        <v>1.5870424143913944E-2</v>
      </c>
      <c r="S207" s="624" t="s">
        <v>194</v>
      </c>
      <c r="T207" s="37" t="s">
        <v>132</v>
      </c>
      <c r="U207" s="21">
        <v>83.67802261326004</v>
      </c>
      <c r="V207" s="552" t="s">
        <v>423</v>
      </c>
      <c r="W207" s="552" t="s">
        <v>423</v>
      </c>
      <c r="X207" s="556" t="s">
        <v>292</v>
      </c>
      <c r="Y207" s="784" t="s">
        <v>64</v>
      </c>
      <c r="Z207" s="784" t="s">
        <v>292</v>
      </c>
      <c r="AA207" s="785" t="s">
        <v>64</v>
      </c>
      <c r="AB207" s="32" t="str">
        <f t="shared" si="114"/>
        <v>-</v>
      </c>
      <c r="AC207" s="6" t="str">
        <f t="shared" si="135"/>
        <v>-</v>
      </c>
      <c r="AD207" s="6" t="str">
        <f t="shared" si="136"/>
        <v>-</v>
      </c>
      <c r="AE207" s="6">
        <f t="shared" si="117"/>
        <v>1187.578530272127</v>
      </c>
      <c r="AF207" s="839">
        <v>0.96399999999999997</v>
      </c>
      <c r="AG207" s="553">
        <f t="shared" si="137"/>
        <v>3.7344398340249052E-2</v>
      </c>
      <c r="AH207" s="69" t="s">
        <v>64</v>
      </c>
      <c r="AI207" s="9" t="s">
        <v>64</v>
      </c>
      <c r="AJ207" s="9" t="s">
        <v>64</v>
      </c>
      <c r="AK207" s="9" t="s">
        <v>64</v>
      </c>
      <c r="AL207" s="9" t="s">
        <v>64</v>
      </c>
      <c r="AM207" s="9" t="s">
        <v>64</v>
      </c>
      <c r="AN207" s="9" t="s">
        <v>64</v>
      </c>
      <c r="AO207" s="9" t="s">
        <v>64</v>
      </c>
      <c r="AP207" s="9" t="s">
        <v>64</v>
      </c>
      <c r="AQ207" s="9" t="s">
        <v>64</v>
      </c>
      <c r="AR207" s="9" t="s">
        <v>64</v>
      </c>
      <c r="AS207" s="6" t="s">
        <v>64</v>
      </c>
      <c r="AT207" s="6" t="s">
        <v>64</v>
      </c>
      <c r="AU207" s="9" t="s">
        <v>64</v>
      </c>
      <c r="AV207" s="8" t="str">
        <f t="shared" si="120"/>
        <v>-</v>
      </c>
      <c r="AW207" s="9" t="str">
        <f t="shared" si="121"/>
        <v>-</v>
      </c>
      <c r="AX207" s="8" t="s">
        <v>64</v>
      </c>
      <c r="AY207" s="789" t="s">
        <v>64</v>
      </c>
      <c r="AZ207" s="6" t="s">
        <v>64</v>
      </c>
      <c r="BA207" s="48" t="s">
        <v>64</v>
      </c>
      <c r="BB207" s="6" t="s">
        <v>292</v>
      </c>
      <c r="BC207" s="48" t="s">
        <v>292</v>
      </c>
      <c r="BD207" s="849" t="s">
        <v>64</v>
      </c>
      <c r="BE207" s="48" t="s">
        <v>64</v>
      </c>
      <c r="BF207" s="668" t="s">
        <v>64</v>
      </c>
      <c r="BG207" s="48" t="s">
        <v>64</v>
      </c>
      <c r="BH207" s="48" t="s">
        <v>64</v>
      </c>
      <c r="BI207" s="850" t="str">
        <f t="shared" si="138"/>
        <v>-</v>
      </c>
      <c r="BJ207" s="789" t="str">
        <f t="shared" si="123"/>
        <v>-</v>
      </c>
      <c r="BK207" s="67" t="s">
        <v>64</v>
      </c>
      <c r="BL207" s="48" t="s">
        <v>64</v>
      </c>
      <c r="BM207" s="48" t="s">
        <v>64</v>
      </c>
      <c r="BN207" s="850" t="str">
        <f t="shared" si="139"/>
        <v>-</v>
      </c>
      <c r="BO207" s="789" t="str">
        <f t="shared" si="125"/>
        <v>-</v>
      </c>
      <c r="BP207" s="789" t="str">
        <f t="shared" si="126"/>
        <v>-</v>
      </c>
      <c r="BQ207" s="34" t="s">
        <v>64</v>
      </c>
      <c r="BR207" s="45" t="s">
        <v>64</v>
      </c>
      <c r="BS207" s="854" t="s">
        <v>64</v>
      </c>
      <c r="BT207" s="605"/>
      <c r="BU207" s="599" t="s">
        <v>64</v>
      </c>
      <c r="BV207" s="851" t="s">
        <v>64</v>
      </c>
      <c r="BW207" s="851" t="s">
        <v>64</v>
      </c>
      <c r="BX207" s="851" t="s">
        <v>64</v>
      </c>
      <c r="BY207" s="851" t="s">
        <v>64</v>
      </c>
      <c r="BZ207" s="851" t="s">
        <v>64</v>
      </c>
      <c r="CA207" s="851" t="s">
        <v>64</v>
      </c>
      <c r="CB207" s="851" t="s">
        <v>64</v>
      </c>
      <c r="CC207" s="851" t="s">
        <v>64</v>
      </c>
      <c r="CD207" s="851" t="s">
        <v>64</v>
      </c>
      <c r="CE207" s="852" t="s">
        <v>64</v>
      </c>
      <c r="CF207" s="852" t="s">
        <v>64</v>
      </c>
      <c r="CG207" s="605"/>
      <c r="CH207" s="584" t="s">
        <v>64</v>
      </c>
      <c r="CI207" s="576" t="s">
        <v>64</v>
      </c>
      <c r="CJ207" s="576" t="s">
        <v>64</v>
      </c>
      <c r="CK207" s="576" t="s">
        <v>64</v>
      </c>
      <c r="CL207" s="576" t="s">
        <v>64</v>
      </c>
      <c r="CM207" s="576" t="s">
        <v>64</v>
      </c>
      <c r="CN207" s="576" t="s">
        <v>64</v>
      </c>
      <c r="CO207" s="576" t="s">
        <v>64</v>
      </c>
      <c r="CP207" s="576" t="s">
        <v>64</v>
      </c>
      <c r="CQ207" s="576" t="s">
        <v>64</v>
      </c>
      <c r="CR207" s="857" t="s">
        <v>64</v>
      </c>
      <c r="CS207" s="793" t="s">
        <v>64</v>
      </c>
      <c r="CT207" s="855" t="s">
        <v>64</v>
      </c>
      <c r="CU207" s="576" t="s">
        <v>64</v>
      </c>
      <c r="CV207" s="591" t="s">
        <v>64</v>
      </c>
      <c r="CW207" s="605"/>
      <c r="CX207" s="936" t="s">
        <v>64</v>
      </c>
      <c r="CY207" s="934" t="s">
        <v>64</v>
      </c>
      <c r="CZ207" s="934" t="s">
        <v>64</v>
      </c>
      <c r="DA207" s="938" t="str">
        <f t="shared" si="140"/>
        <v>-</v>
      </c>
      <c r="DB207" s="936" t="s">
        <v>64</v>
      </c>
      <c r="DC207" s="934" t="s">
        <v>64</v>
      </c>
      <c r="DD207" s="934" t="s">
        <v>64</v>
      </c>
      <c r="DE207" s="939" t="str">
        <f t="shared" si="141"/>
        <v>-</v>
      </c>
      <c r="DF207" s="19"/>
    </row>
    <row r="208" spans="1:110">
      <c r="A208" s="846" t="s">
        <v>640</v>
      </c>
      <c r="B208" s="41" t="s">
        <v>156</v>
      </c>
      <c r="C208" s="41" t="s">
        <v>1490</v>
      </c>
      <c r="D208" s="34">
        <v>1500</v>
      </c>
      <c r="E208" s="535">
        <v>19.42567</v>
      </c>
      <c r="F208" s="537">
        <v>-155.25163000000001</v>
      </c>
      <c r="G208" s="37" t="s">
        <v>997</v>
      </c>
      <c r="H208" s="860" t="s">
        <v>760</v>
      </c>
      <c r="I208" s="202" t="s">
        <v>780</v>
      </c>
      <c r="J208" t="s">
        <v>890</v>
      </c>
      <c r="K208" s="34">
        <v>2021</v>
      </c>
      <c r="L208" s="51">
        <v>60</v>
      </c>
      <c r="M208" s="52">
        <v>50</v>
      </c>
      <c r="N208" s="54">
        <f t="shared" si="142"/>
        <v>86391.250000000015</v>
      </c>
      <c r="O208" s="54">
        <v>83432.84689771093</v>
      </c>
      <c r="P208" s="53">
        <v>17.816027310078379</v>
      </c>
      <c r="Q208" s="54">
        <v>2960.9510760083804</v>
      </c>
      <c r="R208" s="772">
        <f t="shared" si="134"/>
        <v>3.4272727272727274E-2</v>
      </c>
      <c r="S208" s="624" t="s">
        <v>194</v>
      </c>
      <c r="T208" s="37" t="s">
        <v>132</v>
      </c>
      <c r="U208" s="21">
        <v>83.67802261326004</v>
      </c>
      <c r="V208" s="552" t="s">
        <v>423</v>
      </c>
      <c r="W208" s="552" t="s">
        <v>423</v>
      </c>
      <c r="X208" s="556">
        <v>102.89627615258608</v>
      </c>
      <c r="Y208" s="784">
        <v>0</v>
      </c>
      <c r="Z208" s="784">
        <v>0.1081780341680556</v>
      </c>
      <c r="AA208" s="785">
        <v>0</v>
      </c>
      <c r="AB208" s="32" t="str">
        <f t="shared" si="114"/>
        <v>-</v>
      </c>
      <c r="AC208" s="6" t="str">
        <f t="shared" si="135"/>
        <v>-</v>
      </c>
      <c r="AD208" s="6" t="str">
        <f t="shared" si="136"/>
        <v>-</v>
      </c>
      <c r="AE208" s="6">
        <f t="shared" si="117"/>
        <v>1187.578530272127</v>
      </c>
      <c r="AF208" s="839">
        <v>0.96399999999999997</v>
      </c>
      <c r="AG208" s="553">
        <f t="shared" si="137"/>
        <v>3.7344398340249052E-2</v>
      </c>
      <c r="AH208" s="69" t="s">
        <v>64</v>
      </c>
      <c r="AI208" s="9" t="s">
        <v>64</v>
      </c>
      <c r="AJ208" s="9" t="s">
        <v>64</v>
      </c>
      <c r="AK208" s="9" t="s">
        <v>64</v>
      </c>
      <c r="AL208" s="9" t="s">
        <v>64</v>
      </c>
      <c r="AM208" s="9" t="s">
        <v>64</v>
      </c>
      <c r="AN208" s="9" t="s">
        <v>64</v>
      </c>
      <c r="AO208" s="9" t="s">
        <v>64</v>
      </c>
      <c r="AP208" s="9" t="s">
        <v>64</v>
      </c>
      <c r="AQ208" s="9" t="s">
        <v>64</v>
      </c>
      <c r="AR208" s="9" t="s">
        <v>64</v>
      </c>
      <c r="AS208" s="6" t="s">
        <v>64</v>
      </c>
      <c r="AT208" s="6" t="s">
        <v>64</v>
      </c>
      <c r="AU208" s="9" t="s">
        <v>64</v>
      </c>
      <c r="AV208" s="8" t="str">
        <f t="shared" si="120"/>
        <v>-</v>
      </c>
      <c r="AW208" s="9" t="str">
        <f t="shared" si="121"/>
        <v>-</v>
      </c>
      <c r="AX208" s="8">
        <v>0.47284277424437005</v>
      </c>
      <c r="AY208" s="789">
        <v>2.3642138712218503E-2</v>
      </c>
      <c r="AZ208" s="862" t="s">
        <v>292</v>
      </c>
      <c r="BA208" s="48" t="s">
        <v>64</v>
      </c>
      <c r="BB208" s="6">
        <v>1261.4614714377622</v>
      </c>
      <c r="BC208" s="48">
        <v>109.9559110007629</v>
      </c>
      <c r="BD208" s="6" t="s">
        <v>998</v>
      </c>
      <c r="BE208" s="48" t="s">
        <v>998</v>
      </c>
      <c r="BF208" s="668" t="s">
        <v>1008</v>
      </c>
      <c r="BG208" s="48" t="s">
        <v>64</v>
      </c>
      <c r="BH208" s="48" t="s">
        <v>64</v>
      </c>
      <c r="BI208" s="850" t="str">
        <f t="shared" si="138"/>
        <v>-</v>
      </c>
      <c r="BJ208" s="789" t="str">
        <f t="shared" si="123"/>
        <v>-</v>
      </c>
      <c r="BK208" s="57" t="s">
        <v>1009</v>
      </c>
      <c r="BL208" s="48" t="s">
        <v>64</v>
      </c>
      <c r="BM208" s="48" t="s">
        <v>64</v>
      </c>
      <c r="BN208" s="850" t="str">
        <f t="shared" si="139"/>
        <v>-</v>
      </c>
      <c r="BO208" s="789" t="str">
        <f t="shared" si="125"/>
        <v>-</v>
      </c>
      <c r="BP208" s="789" t="str">
        <f t="shared" si="126"/>
        <v>-</v>
      </c>
      <c r="BQ208" s="861" t="s">
        <v>760</v>
      </c>
      <c r="BR208" s="45" t="s">
        <v>64</v>
      </c>
      <c r="BS208" s="854" t="s">
        <v>64</v>
      </c>
      <c r="BT208" s="605"/>
      <c r="BU208" s="599" t="s">
        <v>64</v>
      </c>
      <c r="BV208" s="851" t="s">
        <v>64</v>
      </c>
      <c r="BW208" s="851" t="s">
        <v>64</v>
      </c>
      <c r="BX208" s="851" t="s">
        <v>64</v>
      </c>
      <c r="BY208" s="851" t="s">
        <v>64</v>
      </c>
      <c r="BZ208" s="851" t="s">
        <v>64</v>
      </c>
      <c r="CA208" s="851" t="s">
        <v>64</v>
      </c>
      <c r="CB208" s="851" t="s">
        <v>64</v>
      </c>
      <c r="CC208" s="851" t="s">
        <v>64</v>
      </c>
      <c r="CD208" s="851" t="s">
        <v>64</v>
      </c>
      <c r="CE208" s="852" t="s">
        <v>64</v>
      </c>
      <c r="CF208" s="852" t="s">
        <v>64</v>
      </c>
      <c r="CG208" s="605"/>
      <c r="CH208" s="584" t="s">
        <v>64</v>
      </c>
      <c r="CI208" s="576" t="s">
        <v>64</v>
      </c>
      <c r="CJ208" s="576" t="s">
        <v>64</v>
      </c>
      <c r="CK208" s="576" t="s">
        <v>64</v>
      </c>
      <c r="CL208" s="576" t="s">
        <v>64</v>
      </c>
      <c r="CM208" s="576" t="s">
        <v>64</v>
      </c>
      <c r="CN208" s="576" t="s">
        <v>64</v>
      </c>
      <c r="CO208" s="576" t="s">
        <v>64</v>
      </c>
      <c r="CP208" s="576" t="s">
        <v>64</v>
      </c>
      <c r="CQ208" s="576" t="s">
        <v>64</v>
      </c>
      <c r="CR208" s="857" t="s">
        <v>64</v>
      </c>
      <c r="CS208" s="793" t="s">
        <v>64</v>
      </c>
      <c r="CT208" s="855" t="s">
        <v>64</v>
      </c>
      <c r="CU208" s="576">
        <v>0.47284277424437005</v>
      </c>
      <c r="CV208" s="591" t="s">
        <v>292</v>
      </c>
      <c r="CW208" s="605"/>
      <c r="CX208" s="936" t="s">
        <v>998</v>
      </c>
      <c r="CY208" s="934" t="s">
        <v>64</v>
      </c>
      <c r="CZ208" s="934" t="s">
        <v>64</v>
      </c>
      <c r="DA208" s="938" t="str">
        <f t="shared" si="140"/>
        <v>-</v>
      </c>
      <c r="DB208" s="936" t="s">
        <v>998</v>
      </c>
      <c r="DC208" s="934" t="s">
        <v>64</v>
      </c>
      <c r="DD208" s="934" t="s">
        <v>64</v>
      </c>
      <c r="DE208" s="939" t="str">
        <f t="shared" si="141"/>
        <v>-</v>
      </c>
      <c r="DF208" s="19"/>
    </row>
    <row r="209" spans="1:110">
      <c r="A209" s="846" t="s">
        <v>641</v>
      </c>
      <c r="B209" s="41" t="s">
        <v>156</v>
      </c>
      <c r="C209" s="41" t="s">
        <v>1490</v>
      </c>
      <c r="D209" s="34">
        <v>1500</v>
      </c>
      <c r="E209" s="535">
        <v>19.42567</v>
      </c>
      <c r="F209" s="537">
        <v>-155.25163000000001</v>
      </c>
      <c r="G209" s="37" t="s">
        <v>997</v>
      </c>
      <c r="H209" s="860" t="s">
        <v>760</v>
      </c>
      <c r="I209" s="202" t="s">
        <v>780</v>
      </c>
      <c r="J209" t="s">
        <v>889</v>
      </c>
      <c r="K209" s="34">
        <v>2021</v>
      </c>
      <c r="L209" s="51">
        <v>30</v>
      </c>
      <c r="M209" s="52">
        <v>40</v>
      </c>
      <c r="N209" s="54">
        <f t="shared" si="142"/>
        <v>21990.500000000004</v>
      </c>
      <c r="O209" s="54">
        <v>13809.917706405133</v>
      </c>
      <c r="P209" s="53">
        <v>25</v>
      </c>
      <c r="Q209" s="54">
        <v>8181.230868723419</v>
      </c>
      <c r="R209" s="772">
        <f t="shared" si="134"/>
        <v>0.37202380952380953</v>
      </c>
      <c r="S209" s="624" t="s">
        <v>194</v>
      </c>
      <c r="T209" s="37" t="s">
        <v>132</v>
      </c>
      <c r="U209" s="21">
        <v>83.67802261326004</v>
      </c>
      <c r="V209" s="552" t="s">
        <v>423</v>
      </c>
      <c r="W209" s="552" t="s">
        <v>423</v>
      </c>
      <c r="X209" s="556">
        <v>102.92293408222176</v>
      </c>
      <c r="Y209" s="784">
        <v>3.3322412044611838E-3</v>
      </c>
      <c r="Z209" s="784">
        <v>0.11764159918872252</v>
      </c>
      <c r="AA209" s="785">
        <v>1.182945627583365E-3</v>
      </c>
      <c r="AB209" s="32" t="str">
        <f t="shared" si="114"/>
        <v>-</v>
      </c>
      <c r="AC209" s="6" t="str">
        <f t="shared" si="135"/>
        <v>-</v>
      </c>
      <c r="AD209" s="6" t="str">
        <f t="shared" si="136"/>
        <v>-</v>
      </c>
      <c r="AE209" s="6">
        <f t="shared" si="117"/>
        <v>1187.578530272127</v>
      </c>
      <c r="AF209" s="839">
        <v>0.96399999999999997</v>
      </c>
      <c r="AG209" s="553">
        <f t="shared" si="137"/>
        <v>3.7344398340249052E-2</v>
      </c>
      <c r="AH209" s="69" t="s">
        <v>64</v>
      </c>
      <c r="AI209" s="9" t="s">
        <v>64</v>
      </c>
      <c r="AJ209" s="9" t="s">
        <v>64</v>
      </c>
      <c r="AK209" s="9" t="s">
        <v>64</v>
      </c>
      <c r="AL209" s="9" t="s">
        <v>64</v>
      </c>
      <c r="AM209" s="9" t="s">
        <v>64</v>
      </c>
      <c r="AN209" s="9" t="s">
        <v>64</v>
      </c>
      <c r="AO209" s="9" t="s">
        <v>64</v>
      </c>
      <c r="AP209" s="9" t="s">
        <v>64</v>
      </c>
      <c r="AQ209" s="9" t="s">
        <v>64</v>
      </c>
      <c r="AR209" s="9" t="s">
        <v>64</v>
      </c>
      <c r="AS209" s="6" t="s">
        <v>64</v>
      </c>
      <c r="AT209" s="6" t="s">
        <v>64</v>
      </c>
      <c r="AU209" s="9" t="s">
        <v>64</v>
      </c>
      <c r="AV209" s="8" t="str">
        <f t="shared" si="120"/>
        <v>-</v>
      </c>
      <c r="AW209" s="9" t="str">
        <f t="shared" si="121"/>
        <v>-</v>
      </c>
      <c r="AX209" s="8" t="s">
        <v>64</v>
      </c>
      <c r="AY209" s="789" t="s">
        <v>64</v>
      </c>
      <c r="AZ209" s="863" t="s">
        <v>897</v>
      </c>
      <c r="BA209" s="48" t="s">
        <v>64</v>
      </c>
      <c r="BB209" s="6">
        <v>22396.941589774637</v>
      </c>
      <c r="BC209" s="48">
        <v>2273.0480839114089</v>
      </c>
      <c r="BD209" s="6" t="s">
        <v>998</v>
      </c>
      <c r="BE209" s="48" t="s">
        <v>998</v>
      </c>
      <c r="BF209" s="668" t="s">
        <v>1008</v>
      </c>
      <c r="BG209" s="48" t="s">
        <v>64</v>
      </c>
      <c r="BH209" s="48" t="s">
        <v>64</v>
      </c>
      <c r="BI209" s="850" t="str">
        <f t="shared" si="138"/>
        <v>-</v>
      </c>
      <c r="BJ209" s="789" t="str">
        <f t="shared" si="123"/>
        <v>-</v>
      </c>
      <c r="BK209" s="67">
        <v>346</v>
      </c>
      <c r="BL209" s="48">
        <v>34.600000000000023</v>
      </c>
      <c r="BM209" s="48">
        <v>4</v>
      </c>
      <c r="BN209" s="850">
        <f t="shared" si="139"/>
        <v>1.4894994739423999</v>
      </c>
      <c r="BO209" s="789">
        <f t="shared" si="125"/>
        <v>0.14300951238373472</v>
      </c>
      <c r="BP209" s="789">
        <f t="shared" si="126"/>
        <v>1.659892968319987E-2</v>
      </c>
      <c r="BQ209" s="861" t="s">
        <v>760</v>
      </c>
      <c r="BR209" s="45" t="s">
        <v>64</v>
      </c>
      <c r="BS209" s="854" t="s">
        <v>64</v>
      </c>
      <c r="BT209" s="605"/>
      <c r="BU209" s="599" t="s">
        <v>64</v>
      </c>
      <c r="BV209" s="851" t="s">
        <v>64</v>
      </c>
      <c r="BW209" s="851" t="s">
        <v>64</v>
      </c>
      <c r="BX209" s="851" t="s">
        <v>64</v>
      </c>
      <c r="BY209" s="851" t="s">
        <v>64</v>
      </c>
      <c r="BZ209" s="851" t="s">
        <v>64</v>
      </c>
      <c r="CA209" s="851" t="s">
        <v>64</v>
      </c>
      <c r="CB209" s="851" t="s">
        <v>64</v>
      </c>
      <c r="CC209" s="851" t="s">
        <v>64</v>
      </c>
      <c r="CD209" s="851" t="s">
        <v>64</v>
      </c>
      <c r="CE209" s="852" t="s">
        <v>64</v>
      </c>
      <c r="CF209" s="852" t="s">
        <v>64</v>
      </c>
      <c r="CG209" s="605"/>
      <c r="CH209" s="584" t="s">
        <v>64</v>
      </c>
      <c r="CI209" s="576" t="s">
        <v>64</v>
      </c>
      <c r="CJ209" s="576" t="s">
        <v>64</v>
      </c>
      <c r="CK209" s="576" t="s">
        <v>64</v>
      </c>
      <c r="CL209" s="576" t="s">
        <v>64</v>
      </c>
      <c r="CM209" s="576" t="s">
        <v>64</v>
      </c>
      <c r="CN209" s="576" t="s">
        <v>64</v>
      </c>
      <c r="CO209" s="576" t="s">
        <v>64</v>
      </c>
      <c r="CP209" s="576" t="s">
        <v>64</v>
      </c>
      <c r="CQ209" s="576" t="s">
        <v>64</v>
      </c>
      <c r="CR209" s="857" t="s">
        <v>64</v>
      </c>
      <c r="CS209" s="793" t="s">
        <v>64</v>
      </c>
      <c r="CT209" s="855" t="s">
        <v>64</v>
      </c>
      <c r="CU209" s="576" t="s">
        <v>64</v>
      </c>
      <c r="CV209" s="591" t="s">
        <v>64</v>
      </c>
      <c r="CW209" s="605"/>
      <c r="CX209" s="936" t="s">
        <v>998</v>
      </c>
      <c r="CY209" s="934" t="s">
        <v>64</v>
      </c>
      <c r="CZ209" s="934" t="s">
        <v>64</v>
      </c>
      <c r="DA209" s="938" t="str">
        <f t="shared" si="140"/>
        <v>-</v>
      </c>
      <c r="DB209" s="936" t="s">
        <v>998</v>
      </c>
      <c r="DC209" s="934" t="s">
        <v>64</v>
      </c>
      <c r="DD209" s="934" t="s">
        <v>64</v>
      </c>
      <c r="DE209" s="939" t="str">
        <f t="shared" si="141"/>
        <v>-</v>
      </c>
      <c r="DF209" s="19"/>
    </row>
    <row r="210" spans="1:110">
      <c r="A210" s="846" t="s">
        <v>642</v>
      </c>
      <c r="B210" s="41" t="s">
        <v>156</v>
      </c>
      <c r="C210" s="41" t="s">
        <v>1490</v>
      </c>
      <c r="D210" s="34">
        <v>1500</v>
      </c>
      <c r="E210" s="535">
        <v>19.42567</v>
      </c>
      <c r="F210" s="537">
        <v>-155.25163000000001</v>
      </c>
      <c r="G210" s="37" t="s">
        <v>997</v>
      </c>
      <c r="H210" s="860" t="s">
        <v>760</v>
      </c>
      <c r="I210" s="28">
        <v>3.5</v>
      </c>
      <c r="J210" t="s">
        <v>889</v>
      </c>
      <c r="K210" s="34">
        <v>2021</v>
      </c>
      <c r="L210" s="51">
        <v>50</v>
      </c>
      <c r="M210" s="52">
        <v>35</v>
      </c>
      <c r="N210" s="54">
        <f t="shared" si="142"/>
        <v>38941.510416666672</v>
      </c>
      <c r="O210" s="54">
        <v>37175.513067479209</v>
      </c>
      <c r="P210" s="53">
        <v>15</v>
      </c>
      <c r="Q210" s="54">
        <v>1767.1458676442585</v>
      </c>
      <c r="R210" s="772">
        <f t="shared" si="134"/>
        <v>4.5378151260504214E-2</v>
      </c>
      <c r="S210" s="624" t="s">
        <v>194</v>
      </c>
      <c r="T210" s="37" t="s">
        <v>132</v>
      </c>
      <c r="U210" s="21">
        <v>83.67802261326004</v>
      </c>
      <c r="V210" s="552" t="s">
        <v>423</v>
      </c>
      <c r="W210" s="552" t="s">
        <v>423</v>
      </c>
      <c r="X210" s="556">
        <v>102.84296029331452</v>
      </c>
      <c r="Y210" s="784">
        <v>3.3322412044564471E-3</v>
      </c>
      <c r="Z210" s="784">
        <v>8.925090412665071E-2</v>
      </c>
      <c r="AA210" s="785">
        <v>1.1829456275809964E-3</v>
      </c>
      <c r="AB210" s="32" t="str">
        <f t="shared" si="114"/>
        <v>-</v>
      </c>
      <c r="AC210" s="6" t="str">
        <f t="shared" si="135"/>
        <v>-</v>
      </c>
      <c r="AD210" s="6" t="str">
        <f t="shared" si="136"/>
        <v>-</v>
      </c>
      <c r="AE210" s="6">
        <f t="shared" si="117"/>
        <v>1187.578530272127</v>
      </c>
      <c r="AF210" s="839">
        <v>0.96399999999999997</v>
      </c>
      <c r="AG210" s="553">
        <f t="shared" si="137"/>
        <v>3.7344398340249052E-2</v>
      </c>
      <c r="AH210" s="69" t="s">
        <v>64</v>
      </c>
      <c r="AI210" s="9" t="s">
        <v>64</v>
      </c>
      <c r="AJ210" s="9" t="s">
        <v>64</v>
      </c>
      <c r="AK210" s="9" t="s">
        <v>64</v>
      </c>
      <c r="AL210" s="9" t="s">
        <v>64</v>
      </c>
      <c r="AM210" s="9" t="s">
        <v>64</v>
      </c>
      <c r="AN210" s="9" t="s">
        <v>64</v>
      </c>
      <c r="AO210" s="9" t="s">
        <v>64</v>
      </c>
      <c r="AP210" s="9" t="s">
        <v>64</v>
      </c>
      <c r="AQ210" s="9" t="s">
        <v>64</v>
      </c>
      <c r="AR210" s="9" t="s">
        <v>64</v>
      </c>
      <c r="AS210" s="6" t="s">
        <v>64</v>
      </c>
      <c r="AT210" s="6" t="s">
        <v>64</v>
      </c>
      <c r="AU210" s="9" t="s">
        <v>64</v>
      </c>
      <c r="AV210" s="8" t="str">
        <f t="shared" si="120"/>
        <v>-</v>
      </c>
      <c r="AW210" s="9" t="str">
        <f t="shared" si="121"/>
        <v>-</v>
      </c>
      <c r="AX210" s="8" t="s">
        <v>64</v>
      </c>
      <c r="AY210" s="789" t="s">
        <v>64</v>
      </c>
      <c r="AZ210" s="863" t="s">
        <v>897</v>
      </c>
      <c r="BA210" s="48" t="s">
        <v>64</v>
      </c>
      <c r="BB210" s="6">
        <v>1393.8276465005038</v>
      </c>
      <c r="BC210" s="48">
        <v>148.01412951625048</v>
      </c>
      <c r="BD210" s="6" t="s">
        <v>998</v>
      </c>
      <c r="BE210" s="48" t="s">
        <v>998</v>
      </c>
      <c r="BF210" s="668" t="s">
        <v>1008</v>
      </c>
      <c r="BG210" s="48" t="s">
        <v>64</v>
      </c>
      <c r="BH210" s="48" t="s">
        <v>64</v>
      </c>
      <c r="BI210" s="850" t="str">
        <f t="shared" si="138"/>
        <v>-</v>
      </c>
      <c r="BJ210" s="789" t="str">
        <f t="shared" si="123"/>
        <v>-</v>
      </c>
      <c r="BK210" s="57" t="s">
        <v>1009</v>
      </c>
      <c r="BL210" s="48" t="s">
        <v>64</v>
      </c>
      <c r="BM210" s="48" t="s">
        <v>64</v>
      </c>
      <c r="BN210" s="850" t="str">
        <f t="shared" si="139"/>
        <v>-</v>
      </c>
      <c r="BO210" s="789" t="str">
        <f t="shared" si="125"/>
        <v>-</v>
      </c>
      <c r="BP210" s="789" t="str">
        <f t="shared" si="126"/>
        <v>-</v>
      </c>
      <c r="BQ210" s="861" t="s">
        <v>760</v>
      </c>
      <c r="BR210" s="45" t="s">
        <v>64</v>
      </c>
      <c r="BS210" s="854" t="s">
        <v>64</v>
      </c>
      <c r="BT210" s="605"/>
      <c r="BU210" s="599" t="s">
        <v>64</v>
      </c>
      <c r="BV210" s="851" t="s">
        <v>64</v>
      </c>
      <c r="BW210" s="851" t="s">
        <v>64</v>
      </c>
      <c r="BX210" s="851" t="s">
        <v>64</v>
      </c>
      <c r="BY210" s="851" t="s">
        <v>64</v>
      </c>
      <c r="BZ210" s="851" t="s">
        <v>64</v>
      </c>
      <c r="CA210" s="851" t="s">
        <v>64</v>
      </c>
      <c r="CB210" s="851" t="s">
        <v>64</v>
      </c>
      <c r="CC210" s="851" t="s">
        <v>64</v>
      </c>
      <c r="CD210" s="851" t="s">
        <v>64</v>
      </c>
      <c r="CE210" s="852" t="s">
        <v>64</v>
      </c>
      <c r="CF210" s="852" t="s">
        <v>64</v>
      </c>
      <c r="CG210" s="605"/>
      <c r="CH210" s="584" t="s">
        <v>64</v>
      </c>
      <c r="CI210" s="576" t="s">
        <v>64</v>
      </c>
      <c r="CJ210" s="576" t="s">
        <v>64</v>
      </c>
      <c r="CK210" s="576" t="s">
        <v>64</v>
      </c>
      <c r="CL210" s="576" t="s">
        <v>64</v>
      </c>
      <c r="CM210" s="576" t="s">
        <v>64</v>
      </c>
      <c r="CN210" s="576" t="s">
        <v>64</v>
      </c>
      <c r="CO210" s="576" t="s">
        <v>64</v>
      </c>
      <c r="CP210" s="576" t="s">
        <v>64</v>
      </c>
      <c r="CQ210" s="576" t="s">
        <v>64</v>
      </c>
      <c r="CR210" s="857" t="s">
        <v>64</v>
      </c>
      <c r="CS210" s="793" t="s">
        <v>64</v>
      </c>
      <c r="CT210" s="855" t="s">
        <v>64</v>
      </c>
      <c r="CU210" s="576" t="s">
        <v>64</v>
      </c>
      <c r="CV210" s="591" t="s">
        <v>64</v>
      </c>
      <c r="CW210" s="605"/>
      <c r="CX210" s="936" t="s">
        <v>998</v>
      </c>
      <c r="CY210" s="934" t="s">
        <v>64</v>
      </c>
      <c r="CZ210" s="934" t="s">
        <v>64</v>
      </c>
      <c r="DA210" s="938" t="str">
        <f t="shared" si="140"/>
        <v>-</v>
      </c>
      <c r="DB210" s="936" t="s">
        <v>998</v>
      </c>
      <c r="DC210" s="934" t="s">
        <v>64</v>
      </c>
      <c r="DD210" s="934" t="s">
        <v>64</v>
      </c>
      <c r="DE210" s="939" t="str">
        <f t="shared" si="141"/>
        <v>-</v>
      </c>
      <c r="DF210" s="19"/>
    </row>
    <row r="211" spans="1:110">
      <c r="A211" s="846" t="s">
        <v>643</v>
      </c>
      <c r="B211" s="41" t="s">
        <v>156</v>
      </c>
      <c r="C211" s="41" t="s">
        <v>1490</v>
      </c>
      <c r="D211" s="34">
        <v>1500</v>
      </c>
      <c r="E211" s="535">
        <v>19.42567</v>
      </c>
      <c r="F211" s="537">
        <v>-155.25163000000001</v>
      </c>
      <c r="G211" s="37" t="s">
        <v>998</v>
      </c>
      <c r="H211" s="860" t="s">
        <v>999</v>
      </c>
      <c r="I211" s="202" t="s">
        <v>64</v>
      </c>
      <c r="J211" t="s">
        <v>880</v>
      </c>
      <c r="K211" s="34">
        <v>2021</v>
      </c>
      <c r="L211" s="51" t="s">
        <v>998</v>
      </c>
      <c r="M211" s="52" t="s">
        <v>998</v>
      </c>
      <c r="N211" s="54" t="str">
        <f>L211</f>
        <v>fluid inclusion</v>
      </c>
      <c r="O211" s="54" t="s">
        <v>998</v>
      </c>
      <c r="P211" s="53">
        <v>27.256808892482102</v>
      </c>
      <c r="Q211" s="54">
        <v>10602.875205865559</v>
      </c>
      <c r="R211" s="772">
        <f t="shared" si="134"/>
        <v>1</v>
      </c>
      <c r="S211" s="624" t="s">
        <v>194</v>
      </c>
      <c r="T211" s="37" t="s">
        <v>132</v>
      </c>
      <c r="U211" s="21">
        <v>83.67802261326004</v>
      </c>
      <c r="V211" s="552" t="s">
        <v>423</v>
      </c>
      <c r="W211" s="552" t="s">
        <v>423</v>
      </c>
      <c r="X211" s="556">
        <v>102.96039192130372</v>
      </c>
      <c r="Y211" s="784">
        <v>4.1354915591540475E-3</v>
      </c>
      <c r="Z211" s="784">
        <v>0.13093913206282082</v>
      </c>
      <c r="AA211" s="785">
        <v>1.4680995034979107E-3</v>
      </c>
      <c r="AB211" s="32" t="str">
        <f t="shared" si="114"/>
        <v>-</v>
      </c>
      <c r="AC211" s="6" t="str">
        <f t="shared" si="135"/>
        <v>-</v>
      </c>
      <c r="AD211" s="6" t="str">
        <f t="shared" si="136"/>
        <v>-</v>
      </c>
      <c r="AE211" s="6">
        <f t="shared" si="117"/>
        <v>1187.578530272127</v>
      </c>
      <c r="AF211" s="839" t="s">
        <v>998</v>
      </c>
      <c r="AG211" s="553" t="str">
        <f t="shared" si="137"/>
        <v>-</v>
      </c>
      <c r="AH211" s="69" t="s">
        <v>64</v>
      </c>
      <c r="AI211" s="9" t="s">
        <v>64</v>
      </c>
      <c r="AJ211" s="9" t="s">
        <v>64</v>
      </c>
      <c r="AK211" s="9" t="s">
        <v>64</v>
      </c>
      <c r="AL211" s="9" t="s">
        <v>64</v>
      </c>
      <c r="AM211" s="9" t="s">
        <v>64</v>
      </c>
      <c r="AN211" s="9" t="s">
        <v>64</v>
      </c>
      <c r="AO211" s="9" t="s">
        <v>64</v>
      </c>
      <c r="AP211" s="9" t="s">
        <v>64</v>
      </c>
      <c r="AQ211" s="9" t="s">
        <v>64</v>
      </c>
      <c r="AR211" s="9" t="s">
        <v>64</v>
      </c>
      <c r="AS211" s="6" t="s">
        <v>64</v>
      </c>
      <c r="AT211" s="6" t="s">
        <v>64</v>
      </c>
      <c r="AU211" s="9" t="s">
        <v>64</v>
      </c>
      <c r="AV211" s="8" t="str">
        <f t="shared" si="120"/>
        <v>-</v>
      </c>
      <c r="AW211" s="9" t="str">
        <f t="shared" si="121"/>
        <v>-</v>
      </c>
      <c r="AX211" s="8" t="s">
        <v>64</v>
      </c>
      <c r="AY211" s="789" t="s">
        <v>64</v>
      </c>
      <c r="AZ211" s="6" t="s">
        <v>64</v>
      </c>
      <c r="BA211" s="48" t="s">
        <v>64</v>
      </c>
      <c r="BB211" s="6" t="s">
        <v>64</v>
      </c>
      <c r="BC211" s="48" t="s">
        <v>64</v>
      </c>
      <c r="BD211" s="849" t="s">
        <v>64</v>
      </c>
      <c r="BE211" s="48" t="s">
        <v>64</v>
      </c>
      <c r="BF211" s="668" t="s">
        <v>1008</v>
      </c>
      <c r="BG211" s="48" t="s">
        <v>64</v>
      </c>
      <c r="BH211" s="48" t="s">
        <v>64</v>
      </c>
      <c r="BI211" s="850" t="str">
        <f t="shared" si="138"/>
        <v>-</v>
      </c>
      <c r="BJ211" s="789" t="str">
        <f t="shared" si="123"/>
        <v>-</v>
      </c>
      <c r="BK211" s="67">
        <v>389</v>
      </c>
      <c r="BL211" s="48">
        <v>38.900000000000034</v>
      </c>
      <c r="BM211" s="48">
        <v>5</v>
      </c>
      <c r="BN211" s="850">
        <f t="shared" si="139"/>
        <v>1.6670747318396</v>
      </c>
      <c r="BO211" s="789">
        <f t="shared" si="125"/>
        <v>0.15930157461170769</v>
      </c>
      <c r="BP211" s="789">
        <f t="shared" si="126"/>
        <v>2.0567676325999873E-2</v>
      </c>
      <c r="BQ211" s="861" t="s">
        <v>912</v>
      </c>
      <c r="BR211" s="45" t="s">
        <v>64</v>
      </c>
      <c r="BS211" s="854" t="s">
        <v>64</v>
      </c>
      <c r="BT211" s="605"/>
      <c r="BU211" s="599" t="s">
        <v>64</v>
      </c>
      <c r="BV211" s="851" t="s">
        <v>64</v>
      </c>
      <c r="BW211" s="851" t="s">
        <v>64</v>
      </c>
      <c r="BX211" s="851" t="s">
        <v>64</v>
      </c>
      <c r="BY211" s="851" t="s">
        <v>64</v>
      </c>
      <c r="BZ211" s="851" t="s">
        <v>64</v>
      </c>
      <c r="CA211" s="851" t="s">
        <v>64</v>
      </c>
      <c r="CB211" s="851" t="s">
        <v>64</v>
      </c>
      <c r="CC211" s="851" t="s">
        <v>64</v>
      </c>
      <c r="CD211" s="851" t="s">
        <v>64</v>
      </c>
      <c r="CE211" s="852" t="s">
        <v>64</v>
      </c>
      <c r="CF211" s="852" t="s">
        <v>64</v>
      </c>
      <c r="CG211" s="605"/>
      <c r="CH211" s="584" t="s">
        <v>64</v>
      </c>
      <c r="CI211" s="576" t="s">
        <v>64</v>
      </c>
      <c r="CJ211" s="576" t="s">
        <v>64</v>
      </c>
      <c r="CK211" s="576" t="s">
        <v>64</v>
      </c>
      <c r="CL211" s="576" t="s">
        <v>64</v>
      </c>
      <c r="CM211" s="576" t="s">
        <v>64</v>
      </c>
      <c r="CN211" s="576" t="s">
        <v>64</v>
      </c>
      <c r="CO211" s="576" t="s">
        <v>64</v>
      </c>
      <c r="CP211" s="576" t="s">
        <v>64</v>
      </c>
      <c r="CQ211" s="576" t="s">
        <v>64</v>
      </c>
      <c r="CR211" s="857" t="s">
        <v>64</v>
      </c>
      <c r="CS211" s="793" t="s">
        <v>64</v>
      </c>
      <c r="CT211" s="855" t="s">
        <v>64</v>
      </c>
      <c r="CU211" s="576" t="s">
        <v>64</v>
      </c>
      <c r="CV211" s="591" t="s">
        <v>64</v>
      </c>
      <c r="CW211" s="605"/>
      <c r="CX211" s="936" t="s">
        <v>64</v>
      </c>
      <c r="CY211" s="934" t="s">
        <v>64</v>
      </c>
      <c r="CZ211" s="934" t="s">
        <v>64</v>
      </c>
      <c r="DA211" s="938" t="str">
        <f t="shared" si="140"/>
        <v>-</v>
      </c>
      <c r="DB211" s="936" t="s">
        <v>64</v>
      </c>
      <c r="DC211" s="934" t="s">
        <v>64</v>
      </c>
      <c r="DD211" s="934" t="s">
        <v>64</v>
      </c>
      <c r="DE211" s="939" t="str">
        <f t="shared" si="141"/>
        <v>-</v>
      </c>
      <c r="DF211" s="19"/>
    </row>
    <row r="212" spans="1:110">
      <c r="A212" s="846" t="s">
        <v>644</v>
      </c>
      <c r="B212" s="41" t="s">
        <v>156</v>
      </c>
      <c r="C212" s="41" t="s">
        <v>1490</v>
      </c>
      <c r="D212" s="34">
        <v>1500</v>
      </c>
      <c r="E212" s="535">
        <v>19.42567</v>
      </c>
      <c r="F212" s="537">
        <v>-155.25163000000001</v>
      </c>
      <c r="G212" s="37" t="s">
        <v>997</v>
      </c>
      <c r="H212" s="860" t="s">
        <v>760</v>
      </c>
      <c r="I212" s="202" t="s">
        <v>780</v>
      </c>
      <c r="J212" t="s">
        <v>889</v>
      </c>
      <c r="K212" s="34">
        <v>2021</v>
      </c>
      <c r="L212" s="51">
        <v>60</v>
      </c>
      <c r="M212" s="52">
        <v>40</v>
      </c>
      <c r="N212" s="54">
        <f t="shared" si="142"/>
        <v>62830.000000000007</v>
      </c>
      <c r="O212" s="54">
        <v>40382.555568018797</v>
      </c>
      <c r="P212" s="53">
        <v>35</v>
      </c>
      <c r="Q212" s="54">
        <v>22449.297503777063</v>
      </c>
      <c r="R212" s="772">
        <f t="shared" si="134"/>
        <v>0.35729166666666667</v>
      </c>
      <c r="S212" s="624" t="s">
        <v>194</v>
      </c>
      <c r="T212" s="37" t="s">
        <v>132</v>
      </c>
      <c r="U212" s="21">
        <v>83.67802261326004</v>
      </c>
      <c r="V212" s="552" t="s">
        <v>423</v>
      </c>
      <c r="W212" s="552" t="s">
        <v>423</v>
      </c>
      <c r="X212" s="556">
        <v>102.93867209623444</v>
      </c>
      <c r="Y212" s="784">
        <v>5.2172929056601598E-3</v>
      </c>
      <c r="Z212" s="784">
        <v>0.12322859416322274</v>
      </c>
      <c r="AA212" s="785">
        <v>1.8521389815105713E-3</v>
      </c>
      <c r="AB212" s="32" t="str">
        <f t="shared" si="114"/>
        <v>-</v>
      </c>
      <c r="AC212" s="6" t="str">
        <f t="shared" si="135"/>
        <v>-</v>
      </c>
      <c r="AD212" s="6" t="str">
        <f t="shared" si="136"/>
        <v>-</v>
      </c>
      <c r="AE212" s="6">
        <f t="shared" si="117"/>
        <v>1187.578530272127</v>
      </c>
      <c r="AF212" s="839">
        <v>0.96399999999999997</v>
      </c>
      <c r="AG212" s="553">
        <f t="shared" si="137"/>
        <v>3.7344398340249052E-2</v>
      </c>
      <c r="AH212" s="69" t="s">
        <v>64</v>
      </c>
      <c r="AI212" s="9" t="s">
        <v>64</v>
      </c>
      <c r="AJ212" s="9" t="s">
        <v>64</v>
      </c>
      <c r="AK212" s="9" t="s">
        <v>64</v>
      </c>
      <c r="AL212" s="9" t="s">
        <v>64</v>
      </c>
      <c r="AM212" s="9" t="s">
        <v>64</v>
      </c>
      <c r="AN212" s="9" t="s">
        <v>64</v>
      </c>
      <c r="AO212" s="9" t="s">
        <v>64</v>
      </c>
      <c r="AP212" s="9" t="s">
        <v>64</v>
      </c>
      <c r="AQ212" s="9" t="s">
        <v>64</v>
      </c>
      <c r="AR212" s="9" t="s">
        <v>64</v>
      </c>
      <c r="AS212" s="6" t="s">
        <v>64</v>
      </c>
      <c r="AT212" s="6" t="s">
        <v>64</v>
      </c>
      <c r="AU212" s="9" t="s">
        <v>64</v>
      </c>
      <c r="AV212" s="8" t="str">
        <f t="shared" si="120"/>
        <v>-</v>
      </c>
      <c r="AW212" s="9" t="str">
        <f t="shared" si="121"/>
        <v>-</v>
      </c>
      <c r="AX212" s="8" t="s">
        <v>64</v>
      </c>
      <c r="AY212" s="789" t="s">
        <v>64</v>
      </c>
      <c r="AZ212" s="863" t="s">
        <v>897</v>
      </c>
      <c r="BA212" s="48" t="s">
        <v>64</v>
      </c>
      <c r="BB212" s="6">
        <v>22023.825027815838</v>
      </c>
      <c r="BC212" s="48">
        <v>1591.2043606593602</v>
      </c>
      <c r="BD212" s="6" t="s">
        <v>998</v>
      </c>
      <c r="BE212" s="48" t="s">
        <v>998</v>
      </c>
      <c r="BF212" s="668" t="s">
        <v>1008</v>
      </c>
      <c r="BG212" s="48" t="s">
        <v>64</v>
      </c>
      <c r="BH212" s="48" t="s">
        <v>64</v>
      </c>
      <c r="BI212" s="850" t="str">
        <f t="shared" si="138"/>
        <v>-</v>
      </c>
      <c r="BJ212" s="789" t="str">
        <f t="shared" si="123"/>
        <v>-</v>
      </c>
      <c r="BK212" s="67">
        <v>364</v>
      </c>
      <c r="BL212" s="48">
        <v>36.400000000000034</v>
      </c>
      <c r="BM212" s="48">
        <v>6</v>
      </c>
      <c r="BN212" s="850">
        <f t="shared" si="139"/>
        <v>1.5640248356095998</v>
      </c>
      <c r="BO212" s="789">
        <f t="shared" si="125"/>
        <v>0.14986557419957802</v>
      </c>
      <c r="BP212" s="789">
        <f t="shared" si="126"/>
        <v>2.4810989308799991E-2</v>
      </c>
      <c r="BQ212" s="861" t="s">
        <v>760</v>
      </c>
      <c r="BR212" s="45" t="s">
        <v>64</v>
      </c>
      <c r="BS212" s="854" t="s">
        <v>64</v>
      </c>
      <c r="BT212" s="605"/>
      <c r="BU212" s="599" t="s">
        <v>64</v>
      </c>
      <c r="BV212" s="851" t="s">
        <v>64</v>
      </c>
      <c r="BW212" s="851" t="s">
        <v>64</v>
      </c>
      <c r="BX212" s="851" t="s">
        <v>64</v>
      </c>
      <c r="BY212" s="851" t="s">
        <v>64</v>
      </c>
      <c r="BZ212" s="851" t="s">
        <v>64</v>
      </c>
      <c r="CA212" s="851" t="s">
        <v>64</v>
      </c>
      <c r="CB212" s="851" t="s">
        <v>64</v>
      </c>
      <c r="CC212" s="851" t="s">
        <v>64</v>
      </c>
      <c r="CD212" s="851" t="s">
        <v>64</v>
      </c>
      <c r="CE212" s="852" t="s">
        <v>64</v>
      </c>
      <c r="CF212" s="852" t="s">
        <v>64</v>
      </c>
      <c r="CG212" s="605"/>
      <c r="CH212" s="584" t="s">
        <v>64</v>
      </c>
      <c r="CI212" s="576" t="s">
        <v>64</v>
      </c>
      <c r="CJ212" s="576" t="s">
        <v>64</v>
      </c>
      <c r="CK212" s="576" t="s">
        <v>64</v>
      </c>
      <c r="CL212" s="576" t="s">
        <v>64</v>
      </c>
      <c r="CM212" s="576" t="s">
        <v>64</v>
      </c>
      <c r="CN212" s="576" t="s">
        <v>64</v>
      </c>
      <c r="CO212" s="576" t="s">
        <v>64</v>
      </c>
      <c r="CP212" s="576" t="s">
        <v>64</v>
      </c>
      <c r="CQ212" s="576" t="s">
        <v>64</v>
      </c>
      <c r="CR212" s="857" t="s">
        <v>64</v>
      </c>
      <c r="CS212" s="793" t="s">
        <v>64</v>
      </c>
      <c r="CT212" s="855" t="s">
        <v>64</v>
      </c>
      <c r="CU212" s="576" t="s">
        <v>64</v>
      </c>
      <c r="CV212" s="591" t="s">
        <v>64</v>
      </c>
      <c r="CW212" s="605"/>
      <c r="CX212" s="936" t="s">
        <v>998</v>
      </c>
      <c r="CY212" s="934" t="s">
        <v>64</v>
      </c>
      <c r="CZ212" s="934" t="s">
        <v>64</v>
      </c>
      <c r="DA212" s="938" t="str">
        <f t="shared" si="140"/>
        <v>-</v>
      </c>
      <c r="DB212" s="936" t="s">
        <v>998</v>
      </c>
      <c r="DC212" s="934" t="s">
        <v>64</v>
      </c>
      <c r="DD212" s="934" t="s">
        <v>64</v>
      </c>
      <c r="DE212" s="939" t="str">
        <f t="shared" si="141"/>
        <v>-</v>
      </c>
      <c r="DF212" s="19"/>
    </row>
    <row r="213" spans="1:110">
      <c r="A213" s="846" t="s">
        <v>683</v>
      </c>
      <c r="B213" s="41" t="s">
        <v>156</v>
      </c>
      <c r="C213" s="41" t="s">
        <v>1490</v>
      </c>
      <c r="D213" s="34">
        <v>1500</v>
      </c>
      <c r="E213" s="535">
        <v>19.42567</v>
      </c>
      <c r="F213" s="537">
        <v>-155.25163000000001</v>
      </c>
      <c r="G213" s="37" t="s">
        <v>997</v>
      </c>
      <c r="H213" s="860" t="s">
        <v>760</v>
      </c>
      <c r="I213" s="202" t="s">
        <v>780</v>
      </c>
      <c r="J213" t="s">
        <v>889</v>
      </c>
      <c r="K213" s="34">
        <v>2021</v>
      </c>
      <c r="L213" s="51">
        <v>20</v>
      </c>
      <c r="M213" s="52">
        <v>45</v>
      </c>
      <c r="N213" s="54">
        <f t="shared" si="142"/>
        <v>15314.8125</v>
      </c>
      <c r="O213" s="54">
        <v>14791.66541065194</v>
      </c>
      <c r="P213" s="53">
        <v>10</v>
      </c>
      <c r="Q213" s="54">
        <v>523.59877559829886</v>
      </c>
      <c r="R213" s="772">
        <f t="shared" si="134"/>
        <v>3.4188034188034191E-2</v>
      </c>
      <c r="S213" s="624" t="s">
        <v>194</v>
      </c>
      <c r="T213" s="37" t="s">
        <v>132</v>
      </c>
      <c r="U213" s="21">
        <v>83.67802261326004</v>
      </c>
      <c r="V213" s="552" t="s">
        <v>423</v>
      </c>
      <c r="W213" s="552" t="s">
        <v>423</v>
      </c>
      <c r="X213" s="556" t="s">
        <v>292</v>
      </c>
      <c r="Y213" s="784" t="s">
        <v>64</v>
      </c>
      <c r="Z213" s="784" t="s">
        <v>292</v>
      </c>
      <c r="AA213" s="785" t="s">
        <v>64</v>
      </c>
      <c r="AB213" s="32" t="str">
        <f t="shared" si="114"/>
        <v>-</v>
      </c>
      <c r="AC213" s="6" t="str">
        <f t="shared" si="135"/>
        <v>-</v>
      </c>
      <c r="AD213" s="6" t="str">
        <f t="shared" si="136"/>
        <v>-</v>
      </c>
      <c r="AE213" s="6">
        <f t="shared" si="117"/>
        <v>1187.578530272127</v>
      </c>
      <c r="AF213" s="839">
        <v>0.96399999999999997</v>
      </c>
      <c r="AG213" s="553">
        <f t="shared" si="137"/>
        <v>3.7344398340249052E-2</v>
      </c>
      <c r="AH213" s="69" t="s">
        <v>64</v>
      </c>
      <c r="AI213" s="9" t="s">
        <v>64</v>
      </c>
      <c r="AJ213" s="9" t="s">
        <v>64</v>
      </c>
      <c r="AK213" s="9" t="s">
        <v>64</v>
      </c>
      <c r="AL213" s="9" t="s">
        <v>64</v>
      </c>
      <c r="AM213" s="9" t="s">
        <v>64</v>
      </c>
      <c r="AN213" s="9" t="s">
        <v>64</v>
      </c>
      <c r="AO213" s="9" t="s">
        <v>64</v>
      </c>
      <c r="AP213" s="9" t="s">
        <v>64</v>
      </c>
      <c r="AQ213" s="9" t="s">
        <v>64</v>
      </c>
      <c r="AR213" s="9" t="s">
        <v>64</v>
      </c>
      <c r="AS213" s="6" t="s">
        <v>64</v>
      </c>
      <c r="AT213" s="6" t="s">
        <v>64</v>
      </c>
      <c r="AU213" s="9" t="s">
        <v>64</v>
      </c>
      <c r="AV213" s="8" t="str">
        <f t="shared" si="120"/>
        <v>-</v>
      </c>
      <c r="AW213" s="9" t="str">
        <f t="shared" si="121"/>
        <v>-</v>
      </c>
      <c r="AX213" s="8" t="s">
        <v>64</v>
      </c>
      <c r="AY213" s="789" t="s">
        <v>64</v>
      </c>
      <c r="AZ213" s="6" t="s">
        <v>64</v>
      </c>
      <c r="BA213" s="48" t="s">
        <v>64</v>
      </c>
      <c r="BB213" s="6" t="s">
        <v>292</v>
      </c>
      <c r="BC213" s="48" t="s">
        <v>292</v>
      </c>
      <c r="BD213" s="849" t="s">
        <v>64</v>
      </c>
      <c r="BE213" s="48" t="s">
        <v>64</v>
      </c>
      <c r="BF213" s="668" t="s">
        <v>1008</v>
      </c>
      <c r="BG213" s="48" t="s">
        <v>64</v>
      </c>
      <c r="BH213" s="48" t="s">
        <v>64</v>
      </c>
      <c r="BI213" s="850" t="str">
        <f t="shared" si="138"/>
        <v>-</v>
      </c>
      <c r="BJ213" s="789" t="str">
        <f t="shared" si="123"/>
        <v>-</v>
      </c>
      <c r="BK213" s="57" t="s">
        <v>1009</v>
      </c>
      <c r="BL213" s="48" t="s">
        <v>64</v>
      </c>
      <c r="BM213" s="48" t="s">
        <v>64</v>
      </c>
      <c r="BN213" s="850" t="str">
        <f t="shared" si="139"/>
        <v>-</v>
      </c>
      <c r="BO213" s="789" t="str">
        <f t="shared" si="125"/>
        <v>-</v>
      </c>
      <c r="BP213" s="789" t="str">
        <f t="shared" si="126"/>
        <v>-</v>
      </c>
      <c r="BQ213" s="861" t="s">
        <v>760</v>
      </c>
      <c r="BR213" s="45" t="s">
        <v>64</v>
      </c>
      <c r="BS213" s="854" t="s">
        <v>64</v>
      </c>
      <c r="BT213" s="605"/>
      <c r="BU213" s="599" t="s">
        <v>64</v>
      </c>
      <c r="BV213" s="851" t="s">
        <v>64</v>
      </c>
      <c r="BW213" s="851" t="s">
        <v>64</v>
      </c>
      <c r="BX213" s="851" t="s">
        <v>64</v>
      </c>
      <c r="BY213" s="851" t="s">
        <v>64</v>
      </c>
      <c r="BZ213" s="851" t="s">
        <v>64</v>
      </c>
      <c r="CA213" s="851" t="s">
        <v>64</v>
      </c>
      <c r="CB213" s="851" t="s">
        <v>64</v>
      </c>
      <c r="CC213" s="851" t="s">
        <v>64</v>
      </c>
      <c r="CD213" s="851" t="s">
        <v>64</v>
      </c>
      <c r="CE213" s="852" t="s">
        <v>64</v>
      </c>
      <c r="CF213" s="852" t="s">
        <v>64</v>
      </c>
      <c r="CG213" s="605"/>
      <c r="CH213" s="584" t="s">
        <v>64</v>
      </c>
      <c r="CI213" s="576" t="s">
        <v>64</v>
      </c>
      <c r="CJ213" s="576" t="s">
        <v>64</v>
      </c>
      <c r="CK213" s="576" t="s">
        <v>64</v>
      </c>
      <c r="CL213" s="576" t="s">
        <v>64</v>
      </c>
      <c r="CM213" s="576" t="s">
        <v>64</v>
      </c>
      <c r="CN213" s="576" t="s">
        <v>64</v>
      </c>
      <c r="CO213" s="576" t="s">
        <v>64</v>
      </c>
      <c r="CP213" s="576" t="s">
        <v>64</v>
      </c>
      <c r="CQ213" s="576" t="s">
        <v>64</v>
      </c>
      <c r="CR213" s="857" t="s">
        <v>64</v>
      </c>
      <c r="CS213" s="793" t="s">
        <v>64</v>
      </c>
      <c r="CT213" s="855" t="s">
        <v>64</v>
      </c>
      <c r="CU213" s="576" t="s">
        <v>64</v>
      </c>
      <c r="CV213" s="591" t="s">
        <v>64</v>
      </c>
      <c r="CW213" s="605"/>
      <c r="CX213" s="936" t="s">
        <v>64</v>
      </c>
      <c r="CY213" s="934" t="s">
        <v>64</v>
      </c>
      <c r="CZ213" s="934" t="s">
        <v>64</v>
      </c>
      <c r="DA213" s="938" t="str">
        <f t="shared" si="140"/>
        <v>-</v>
      </c>
      <c r="DB213" s="936" t="s">
        <v>64</v>
      </c>
      <c r="DC213" s="934" t="s">
        <v>64</v>
      </c>
      <c r="DD213" s="934" t="s">
        <v>64</v>
      </c>
      <c r="DE213" s="939" t="str">
        <f t="shared" si="141"/>
        <v>-</v>
      </c>
      <c r="DF213" s="19"/>
    </row>
    <row r="214" spans="1:110">
      <c r="A214" s="846" t="s">
        <v>645</v>
      </c>
      <c r="B214" s="41" t="s">
        <v>156</v>
      </c>
      <c r="C214" s="41" t="s">
        <v>1490</v>
      </c>
      <c r="D214" s="34">
        <v>1500</v>
      </c>
      <c r="E214" s="535">
        <v>19.42567</v>
      </c>
      <c r="F214" s="537">
        <v>-155.25163000000001</v>
      </c>
      <c r="G214" s="37" t="s">
        <v>998</v>
      </c>
      <c r="H214" s="860" t="s">
        <v>999</v>
      </c>
      <c r="I214" s="202" t="s">
        <v>64</v>
      </c>
      <c r="J214" t="s">
        <v>880</v>
      </c>
      <c r="K214" s="34">
        <v>2021</v>
      </c>
      <c r="L214" s="51" t="s">
        <v>998</v>
      </c>
      <c r="M214" s="52" t="s">
        <v>998</v>
      </c>
      <c r="N214" s="54" t="str">
        <f>L214</f>
        <v>fluid inclusion</v>
      </c>
      <c r="O214" s="54" t="s">
        <v>998</v>
      </c>
      <c r="P214" s="53">
        <v>20</v>
      </c>
      <c r="Q214" s="54">
        <v>4188.7902047863909</v>
      </c>
      <c r="R214" s="772">
        <f t="shared" si="134"/>
        <v>1</v>
      </c>
      <c r="S214" s="624" t="s">
        <v>212</v>
      </c>
      <c r="T214" s="37" t="s">
        <v>132</v>
      </c>
      <c r="U214" s="21">
        <v>82.833954010163765</v>
      </c>
      <c r="V214" s="552" t="s">
        <v>423</v>
      </c>
      <c r="W214" s="552" t="s">
        <v>423</v>
      </c>
      <c r="X214" s="556">
        <v>102.9503951197061</v>
      </c>
      <c r="Y214" s="784">
        <v>2.2167600294656668E-3</v>
      </c>
      <c r="Z214" s="784">
        <v>0.12739026749566307</v>
      </c>
      <c r="AA214" s="785">
        <v>7.8694981046164029E-4</v>
      </c>
      <c r="AB214" s="32" t="str">
        <f t="shared" si="114"/>
        <v>-</v>
      </c>
      <c r="AC214" s="6" t="str">
        <f t="shared" si="135"/>
        <v>-</v>
      </c>
      <c r="AD214" s="6" t="str">
        <f t="shared" si="136"/>
        <v>-</v>
      </c>
      <c r="AE214" s="6">
        <f t="shared" si="117"/>
        <v>1177.8501554766153</v>
      </c>
      <c r="AF214" s="839" t="s">
        <v>998</v>
      </c>
      <c r="AG214" s="553" t="str">
        <f t="shared" si="137"/>
        <v>-</v>
      </c>
      <c r="AH214" s="69" t="s">
        <v>64</v>
      </c>
      <c r="AI214" s="9" t="s">
        <v>64</v>
      </c>
      <c r="AJ214" s="9" t="s">
        <v>64</v>
      </c>
      <c r="AK214" s="9" t="s">
        <v>64</v>
      </c>
      <c r="AL214" s="9" t="s">
        <v>64</v>
      </c>
      <c r="AM214" s="9" t="s">
        <v>64</v>
      </c>
      <c r="AN214" s="9" t="s">
        <v>64</v>
      </c>
      <c r="AO214" s="9" t="s">
        <v>64</v>
      </c>
      <c r="AP214" s="9" t="s">
        <v>64</v>
      </c>
      <c r="AQ214" s="9" t="s">
        <v>64</v>
      </c>
      <c r="AR214" s="9" t="s">
        <v>64</v>
      </c>
      <c r="AS214" s="6" t="s">
        <v>64</v>
      </c>
      <c r="AT214" s="6" t="s">
        <v>64</v>
      </c>
      <c r="AU214" s="9" t="s">
        <v>64</v>
      </c>
      <c r="AV214" s="8" t="str">
        <f t="shared" si="120"/>
        <v>-</v>
      </c>
      <c r="AW214" s="9" t="str">
        <f t="shared" si="121"/>
        <v>-</v>
      </c>
      <c r="AX214" s="8" t="s">
        <v>64</v>
      </c>
      <c r="AY214" s="789" t="s">
        <v>64</v>
      </c>
      <c r="AZ214" s="6" t="s">
        <v>64</v>
      </c>
      <c r="BA214" s="48" t="s">
        <v>64</v>
      </c>
      <c r="BB214" s="6" t="s">
        <v>64</v>
      </c>
      <c r="BC214" s="48" t="s">
        <v>64</v>
      </c>
      <c r="BD214" s="849" t="s">
        <v>64</v>
      </c>
      <c r="BE214" s="48" t="s">
        <v>64</v>
      </c>
      <c r="BF214" s="668" t="s">
        <v>1008</v>
      </c>
      <c r="BG214" s="48" t="s">
        <v>64</v>
      </c>
      <c r="BH214" s="48" t="s">
        <v>64</v>
      </c>
      <c r="BI214" s="850" t="str">
        <f t="shared" si="138"/>
        <v>-</v>
      </c>
      <c r="BJ214" s="789" t="str">
        <f t="shared" si="123"/>
        <v>-</v>
      </c>
      <c r="BK214" s="67">
        <v>376</v>
      </c>
      <c r="BL214" s="48">
        <v>37.600000000000023</v>
      </c>
      <c r="BM214" s="48">
        <v>1</v>
      </c>
      <c r="BN214" s="850">
        <f t="shared" si="139"/>
        <v>1.6135548637184001</v>
      </c>
      <c r="BO214" s="789">
        <f t="shared" si="125"/>
        <v>0.15440727308759028</v>
      </c>
      <c r="BP214" s="789">
        <f t="shared" si="126"/>
        <v>4.1228324683999507E-3</v>
      </c>
      <c r="BQ214" s="861" t="s">
        <v>912</v>
      </c>
      <c r="BR214" s="45" t="s">
        <v>64</v>
      </c>
      <c r="BS214" s="854" t="s">
        <v>64</v>
      </c>
      <c r="BT214" s="605"/>
      <c r="BU214" s="599" t="s">
        <v>64</v>
      </c>
      <c r="BV214" s="851" t="s">
        <v>64</v>
      </c>
      <c r="BW214" s="851" t="s">
        <v>64</v>
      </c>
      <c r="BX214" s="851" t="s">
        <v>64</v>
      </c>
      <c r="BY214" s="851" t="s">
        <v>64</v>
      </c>
      <c r="BZ214" s="851" t="s">
        <v>64</v>
      </c>
      <c r="CA214" s="851" t="s">
        <v>64</v>
      </c>
      <c r="CB214" s="851" t="s">
        <v>64</v>
      </c>
      <c r="CC214" s="851" t="s">
        <v>64</v>
      </c>
      <c r="CD214" s="851" t="s">
        <v>64</v>
      </c>
      <c r="CE214" s="852" t="s">
        <v>64</v>
      </c>
      <c r="CF214" s="852" t="s">
        <v>64</v>
      </c>
      <c r="CG214" s="605"/>
      <c r="CH214" s="584" t="s">
        <v>64</v>
      </c>
      <c r="CI214" s="576" t="s">
        <v>64</v>
      </c>
      <c r="CJ214" s="576" t="s">
        <v>64</v>
      </c>
      <c r="CK214" s="576" t="s">
        <v>64</v>
      </c>
      <c r="CL214" s="576" t="s">
        <v>64</v>
      </c>
      <c r="CM214" s="576" t="s">
        <v>64</v>
      </c>
      <c r="CN214" s="576" t="s">
        <v>64</v>
      </c>
      <c r="CO214" s="576" t="s">
        <v>64</v>
      </c>
      <c r="CP214" s="576" t="s">
        <v>64</v>
      </c>
      <c r="CQ214" s="576" t="s">
        <v>64</v>
      </c>
      <c r="CR214" s="857" t="s">
        <v>64</v>
      </c>
      <c r="CS214" s="793" t="s">
        <v>64</v>
      </c>
      <c r="CT214" s="855" t="s">
        <v>64</v>
      </c>
      <c r="CU214" s="576" t="s">
        <v>64</v>
      </c>
      <c r="CV214" s="591" t="s">
        <v>64</v>
      </c>
      <c r="CW214" s="605"/>
      <c r="CX214" s="936" t="s">
        <v>64</v>
      </c>
      <c r="CY214" s="934" t="s">
        <v>64</v>
      </c>
      <c r="CZ214" s="934" t="s">
        <v>64</v>
      </c>
      <c r="DA214" s="938" t="str">
        <f t="shared" si="140"/>
        <v>-</v>
      </c>
      <c r="DB214" s="936" t="s">
        <v>64</v>
      </c>
      <c r="DC214" s="934" t="s">
        <v>64</v>
      </c>
      <c r="DD214" s="934" t="s">
        <v>64</v>
      </c>
      <c r="DE214" s="939" t="str">
        <f t="shared" si="141"/>
        <v>-</v>
      </c>
      <c r="DF214" s="19"/>
    </row>
    <row r="215" spans="1:110">
      <c r="A215" s="846" t="s">
        <v>646</v>
      </c>
      <c r="B215" s="41" t="s">
        <v>156</v>
      </c>
      <c r="C215" s="41" t="s">
        <v>1490</v>
      </c>
      <c r="D215" s="34">
        <v>1500</v>
      </c>
      <c r="E215" s="535">
        <v>19.42567</v>
      </c>
      <c r="F215" s="537">
        <v>-155.25163000000001</v>
      </c>
      <c r="G215" s="37" t="s">
        <v>997</v>
      </c>
      <c r="H215" s="860" t="s">
        <v>760</v>
      </c>
      <c r="I215" s="202" t="s">
        <v>780</v>
      </c>
      <c r="J215" t="s">
        <v>889</v>
      </c>
      <c r="K215" s="34">
        <v>2021</v>
      </c>
      <c r="L215" s="51">
        <v>35</v>
      </c>
      <c r="M215" s="52">
        <v>33</v>
      </c>
      <c r="N215" s="54">
        <f t="shared" si="142"/>
        <v>20561.117500000004</v>
      </c>
      <c r="O215" s="54">
        <v>17755.561729773064</v>
      </c>
      <c r="P215" s="53">
        <v>17.5</v>
      </c>
      <c r="Q215" s="54">
        <v>2806.1621879721329</v>
      </c>
      <c r="R215" s="772">
        <f t="shared" si="134"/>
        <v>0.13647504456327986</v>
      </c>
      <c r="S215" s="624" t="s">
        <v>212</v>
      </c>
      <c r="T215" s="37" t="s">
        <v>132</v>
      </c>
      <c r="U215" s="21">
        <v>82.833954010163765</v>
      </c>
      <c r="V215" s="552" t="s">
        <v>423</v>
      </c>
      <c r="W215" s="552" t="s">
        <v>423</v>
      </c>
      <c r="X215" s="556">
        <v>102.86616354360081</v>
      </c>
      <c r="Y215" s="784">
        <v>3.7977076489933165E-3</v>
      </c>
      <c r="Z215" s="784">
        <v>9.7488057978281972E-2</v>
      </c>
      <c r="AA215" s="785">
        <v>1.3481862153930369E-3</v>
      </c>
      <c r="AB215" s="32" t="str">
        <f t="shared" si="114"/>
        <v>-</v>
      </c>
      <c r="AC215" s="6" t="str">
        <f t="shared" si="135"/>
        <v>-</v>
      </c>
      <c r="AD215" s="6" t="str">
        <f t="shared" si="136"/>
        <v>-</v>
      </c>
      <c r="AE215" s="6">
        <f t="shared" si="117"/>
        <v>1177.8501554766153</v>
      </c>
      <c r="AF215" s="839">
        <v>0.95399999999999996</v>
      </c>
      <c r="AG215" s="553">
        <f t="shared" si="137"/>
        <v>4.8218029350104885E-2</v>
      </c>
      <c r="AH215" s="69" t="s">
        <v>64</v>
      </c>
      <c r="AI215" s="9" t="s">
        <v>64</v>
      </c>
      <c r="AJ215" s="9" t="s">
        <v>64</v>
      </c>
      <c r="AK215" s="9" t="s">
        <v>64</v>
      </c>
      <c r="AL215" s="9" t="s">
        <v>64</v>
      </c>
      <c r="AM215" s="9" t="s">
        <v>64</v>
      </c>
      <c r="AN215" s="9" t="s">
        <v>64</v>
      </c>
      <c r="AO215" s="9" t="s">
        <v>64</v>
      </c>
      <c r="AP215" s="9" t="s">
        <v>64</v>
      </c>
      <c r="AQ215" s="9" t="s">
        <v>64</v>
      </c>
      <c r="AR215" s="9" t="s">
        <v>64</v>
      </c>
      <c r="AS215" s="6" t="s">
        <v>64</v>
      </c>
      <c r="AT215" s="6" t="s">
        <v>64</v>
      </c>
      <c r="AU215" s="9" t="s">
        <v>64</v>
      </c>
      <c r="AV215" s="8" t="str">
        <f t="shared" si="120"/>
        <v>-</v>
      </c>
      <c r="AW215" s="9" t="str">
        <f t="shared" si="121"/>
        <v>-</v>
      </c>
      <c r="AX215" s="8" t="s">
        <v>64</v>
      </c>
      <c r="AY215" s="789" t="s">
        <v>64</v>
      </c>
      <c r="AZ215" s="863" t="s">
        <v>897</v>
      </c>
      <c r="BA215" s="48" t="s">
        <v>64</v>
      </c>
      <c r="BB215" s="6">
        <v>4990.3702665085148</v>
      </c>
      <c r="BC215" s="48">
        <v>503.16000655793522</v>
      </c>
      <c r="BD215" s="6" t="s">
        <v>998</v>
      </c>
      <c r="BE215" s="48" t="s">
        <v>998</v>
      </c>
      <c r="BF215" s="668" t="s">
        <v>1008</v>
      </c>
      <c r="BG215" s="48" t="s">
        <v>64</v>
      </c>
      <c r="BH215" s="48" t="s">
        <v>64</v>
      </c>
      <c r="BI215" s="850" t="str">
        <f t="shared" si="138"/>
        <v>-</v>
      </c>
      <c r="BJ215" s="789" t="str">
        <f t="shared" si="123"/>
        <v>-</v>
      </c>
      <c r="BK215" s="67">
        <v>282</v>
      </c>
      <c r="BL215" s="48">
        <v>28.200000000000045</v>
      </c>
      <c r="BM215" s="48">
        <v>4</v>
      </c>
      <c r="BN215" s="850">
        <f t="shared" si="139"/>
        <v>1.2222483033311997</v>
      </c>
      <c r="BO215" s="789">
        <f t="shared" si="125"/>
        <v>0.11819834832582754</v>
      </c>
      <c r="BP215" s="789">
        <f t="shared" si="126"/>
        <v>1.6822559814399618E-2</v>
      </c>
      <c r="BQ215" s="861" t="s">
        <v>760</v>
      </c>
      <c r="BR215" s="45" t="s">
        <v>64</v>
      </c>
      <c r="BS215" s="854" t="s">
        <v>64</v>
      </c>
      <c r="BT215" s="605"/>
      <c r="BU215" s="599" t="s">
        <v>64</v>
      </c>
      <c r="BV215" s="851" t="s">
        <v>64</v>
      </c>
      <c r="BW215" s="851" t="s">
        <v>64</v>
      </c>
      <c r="BX215" s="851" t="s">
        <v>64</v>
      </c>
      <c r="BY215" s="851" t="s">
        <v>64</v>
      </c>
      <c r="BZ215" s="851" t="s">
        <v>64</v>
      </c>
      <c r="CA215" s="851" t="s">
        <v>64</v>
      </c>
      <c r="CB215" s="851" t="s">
        <v>64</v>
      </c>
      <c r="CC215" s="851" t="s">
        <v>64</v>
      </c>
      <c r="CD215" s="851" t="s">
        <v>64</v>
      </c>
      <c r="CE215" s="852" t="s">
        <v>64</v>
      </c>
      <c r="CF215" s="852" t="s">
        <v>64</v>
      </c>
      <c r="CG215" s="605"/>
      <c r="CH215" s="584" t="s">
        <v>64</v>
      </c>
      <c r="CI215" s="576" t="s">
        <v>64</v>
      </c>
      <c r="CJ215" s="576" t="s">
        <v>64</v>
      </c>
      <c r="CK215" s="576" t="s">
        <v>64</v>
      </c>
      <c r="CL215" s="576" t="s">
        <v>64</v>
      </c>
      <c r="CM215" s="576" t="s">
        <v>64</v>
      </c>
      <c r="CN215" s="576" t="s">
        <v>64</v>
      </c>
      <c r="CO215" s="576" t="s">
        <v>64</v>
      </c>
      <c r="CP215" s="576" t="s">
        <v>64</v>
      </c>
      <c r="CQ215" s="576" t="s">
        <v>64</v>
      </c>
      <c r="CR215" s="857" t="s">
        <v>64</v>
      </c>
      <c r="CS215" s="793" t="s">
        <v>64</v>
      </c>
      <c r="CT215" s="855" t="s">
        <v>64</v>
      </c>
      <c r="CU215" s="576" t="s">
        <v>64</v>
      </c>
      <c r="CV215" s="591" t="s">
        <v>64</v>
      </c>
      <c r="CW215" s="605"/>
      <c r="CX215" s="936" t="s">
        <v>998</v>
      </c>
      <c r="CY215" s="934" t="s">
        <v>64</v>
      </c>
      <c r="CZ215" s="934" t="s">
        <v>64</v>
      </c>
      <c r="DA215" s="938" t="str">
        <f t="shared" si="140"/>
        <v>-</v>
      </c>
      <c r="DB215" s="936" t="s">
        <v>998</v>
      </c>
      <c r="DC215" s="934" t="s">
        <v>64</v>
      </c>
      <c r="DD215" s="934" t="s">
        <v>64</v>
      </c>
      <c r="DE215" s="939" t="str">
        <f t="shared" si="141"/>
        <v>-</v>
      </c>
      <c r="DF215" s="19"/>
    </row>
    <row r="216" spans="1:110">
      <c r="A216" s="846" t="s">
        <v>647</v>
      </c>
      <c r="B216" s="41" t="s">
        <v>156</v>
      </c>
      <c r="C216" s="41" t="s">
        <v>1490</v>
      </c>
      <c r="D216" s="34">
        <v>1500</v>
      </c>
      <c r="E216" s="535">
        <v>19.42567</v>
      </c>
      <c r="F216" s="537">
        <v>-155.25163000000001</v>
      </c>
      <c r="G216" s="37" t="s">
        <v>997</v>
      </c>
      <c r="H216" s="860" t="s">
        <v>760</v>
      </c>
      <c r="I216" s="202" t="s">
        <v>780</v>
      </c>
      <c r="J216" t="s">
        <v>889</v>
      </c>
      <c r="K216" s="34">
        <v>2021</v>
      </c>
      <c r="L216" s="51">
        <v>17.5</v>
      </c>
      <c r="M216" s="52">
        <v>17.5</v>
      </c>
      <c r="N216" s="54">
        <f t="shared" si="142"/>
        <v>2806.0794270833339</v>
      </c>
      <c r="O216" s="54">
        <v>1783.5083293817056</v>
      </c>
      <c r="P216" s="53">
        <v>12.5</v>
      </c>
      <c r="Q216" s="54">
        <v>1022.6538585904274</v>
      </c>
      <c r="R216" s="772">
        <f t="shared" si="134"/>
        <v>0.36443148688046645</v>
      </c>
      <c r="S216" s="624" t="s">
        <v>212</v>
      </c>
      <c r="T216" s="37" t="s">
        <v>132</v>
      </c>
      <c r="U216" s="21">
        <v>82.833954010163765</v>
      </c>
      <c r="V216" s="552" t="s">
        <v>423</v>
      </c>
      <c r="W216" s="552" t="s">
        <v>423</v>
      </c>
      <c r="X216" s="556">
        <v>102.9094840310175</v>
      </c>
      <c r="Y216" s="784">
        <v>6.4795243709659779E-3</v>
      </c>
      <c r="Z216" s="784">
        <v>0.11286683101121042</v>
      </c>
      <c r="AA216" s="785">
        <v>2.3002311516918303E-3</v>
      </c>
      <c r="AB216" s="32" t="str">
        <f t="shared" si="114"/>
        <v>-</v>
      </c>
      <c r="AC216" s="6" t="str">
        <f t="shared" si="135"/>
        <v>-</v>
      </c>
      <c r="AD216" s="6" t="str">
        <f t="shared" si="136"/>
        <v>-</v>
      </c>
      <c r="AE216" s="6">
        <f t="shared" si="117"/>
        <v>1177.8501554766153</v>
      </c>
      <c r="AF216" s="839">
        <v>0.95399999999999996</v>
      </c>
      <c r="AG216" s="553">
        <f t="shared" si="137"/>
        <v>4.8218029350104885E-2</v>
      </c>
      <c r="AH216" s="69" t="s">
        <v>64</v>
      </c>
      <c r="AI216" s="9" t="s">
        <v>64</v>
      </c>
      <c r="AJ216" s="9" t="s">
        <v>64</v>
      </c>
      <c r="AK216" s="9" t="s">
        <v>64</v>
      </c>
      <c r="AL216" s="9" t="s">
        <v>64</v>
      </c>
      <c r="AM216" s="9" t="s">
        <v>64</v>
      </c>
      <c r="AN216" s="9" t="s">
        <v>64</v>
      </c>
      <c r="AO216" s="9" t="s">
        <v>64</v>
      </c>
      <c r="AP216" s="9" t="s">
        <v>64</v>
      </c>
      <c r="AQ216" s="9" t="s">
        <v>64</v>
      </c>
      <c r="AR216" s="9" t="s">
        <v>64</v>
      </c>
      <c r="AS216" s="6" t="s">
        <v>64</v>
      </c>
      <c r="AT216" s="6" t="s">
        <v>64</v>
      </c>
      <c r="AU216" s="9" t="s">
        <v>64</v>
      </c>
      <c r="AV216" s="8" t="str">
        <f t="shared" si="120"/>
        <v>-</v>
      </c>
      <c r="AW216" s="9" t="str">
        <f t="shared" si="121"/>
        <v>-</v>
      </c>
      <c r="AX216" s="8" t="s">
        <v>64</v>
      </c>
      <c r="AY216" s="789" t="s">
        <v>64</v>
      </c>
      <c r="AZ216" s="863" t="s">
        <v>897</v>
      </c>
      <c r="BA216" s="48" t="s">
        <v>64</v>
      </c>
      <c r="BB216" s="6">
        <v>20616.379773602061</v>
      </c>
      <c r="BC216" s="48">
        <v>4057.9089731547374</v>
      </c>
      <c r="BD216" s="6" t="s">
        <v>998</v>
      </c>
      <c r="BE216" s="48" t="s">
        <v>998</v>
      </c>
      <c r="BF216" s="668" t="s">
        <v>1008</v>
      </c>
      <c r="BG216" s="48" t="s">
        <v>64</v>
      </c>
      <c r="BH216" s="48" t="s">
        <v>64</v>
      </c>
      <c r="BI216" s="850" t="str">
        <f t="shared" si="138"/>
        <v>-</v>
      </c>
      <c r="BJ216" s="789" t="str">
        <f t="shared" si="123"/>
        <v>-</v>
      </c>
      <c r="BK216" s="67">
        <v>331</v>
      </c>
      <c r="BL216" s="48">
        <v>33.100000000000023</v>
      </c>
      <c r="BM216" s="48">
        <v>8</v>
      </c>
      <c r="BN216" s="850">
        <f t="shared" si="139"/>
        <v>1.4271823560644001</v>
      </c>
      <c r="BO216" s="789">
        <f t="shared" si="125"/>
        <v>0.13725573586211648</v>
      </c>
      <c r="BP216" s="789">
        <f t="shared" si="126"/>
        <v>3.331535780160011E-2</v>
      </c>
      <c r="BQ216" s="861" t="s">
        <v>760</v>
      </c>
      <c r="BR216" s="45" t="s">
        <v>64</v>
      </c>
      <c r="BS216" s="854" t="s">
        <v>64</v>
      </c>
      <c r="BT216" s="605"/>
      <c r="BU216" s="599" t="s">
        <v>64</v>
      </c>
      <c r="BV216" s="851" t="s">
        <v>64</v>
      </c>
      <c r="BW216" s="851" t="s">
        <v>64</v>
      </c>
      <c r="BX216" s="851" t="s">
        <v>64</v>
      </c>
      <c r="BY216" s="851" t="s">
        <v>64</v>
      </c>
      <c r="BZ216" s="851" t="s">
        <v>64</v>
      </c>
      <c r="CA216" s="851" t="s">
        <v>64</v>
      </c>
      <c r="CB216" s="851" t="s">
        <v>64</v>
      </c>
      <c r="CC216" s="851" t="s">
        <v>64</v>
      </c>
      <c r="CD216" s="851" t="s">
        <v>64</v>
      </c>
      <c r="CE216" s="852" t="s">
        <v>64</v>
      </c>
      <c r="CF216" s="852" t="s">
        <v>64</v>
      </c>
      <c r="CG216" s="605"/>
      <c r="CH216" s="584" t="s">
        <v>64</v>
      </c>
      <c r="CI216" s="576" t="s">
        <v>64</v>
      </c>
      <c r="CJ216" s="576" t="s">
        <v>64</v>
      </c>
      <c r="CK216" s="576" t="s">
        <v>64</v>
      </c>
      <c r="CL216" s="576" t="s">
        <v>64</v>
      </c>
      <c r="CM216" s="576" t="s">
        <v>64</v>
      </c>
      <c r="CN216" s="576" t="s">
        <v>64</v>
      </c>
      <c r="CO216" s="576" t="s">
        <v>64</v>
      </c>
      <c r="CP216" s="576" t="s">
        <v>64</v>
      </c>
      <c r="CQ216" s="576" t="s">
        <v>64</v>
      </c>
      <c r="CR216" s="857" t="s">
        <v>64</v>
      </c>
      <c r="CS216" s="793" t="s">
        <v>64</v>
      </c>
      <c r="CT216" s="855" t="s">
        <v>64</v>
      </c>
      <c r="CU216" s="576" t="s">
        <v>64</v>
      </c>
      <c r="CV216" s="591" t="s">
        <v>64</v>
      </c>
      <c r="CW216" s="605"/>
      <c r="CX216" s="936" t="s">
        <v>998</v>
      </c>
      <c r="CY216" s="934" t="s">
        <v>64</v>
      </c>
      <c r="CZ216" s="934" t="s">
        <v>64</v>
      </c>
      <c r="DA216" s="938" t="str">
        <f t="shared" si="140"/>
        <v>-</v>
      </c>
      <c r="DB216" s="936" t="s">
        <v>998</v>
      </c>
      <c r="DC216" s="934" t="s">
        <v>64</v>
      </c>
      <c r="DD216" s="934" t="s">
        <v>64</v>
      </c>
      <c r="DE216" s="939" t="str">
        <f t="shared" si="141"/>
        <v>-</v>
      </c>
      <c r="DF216" s="19"/>
    </row>
    <row r="217" spans="1:110">
      <c r="A217" s="846" t="s">
        <v>648</v>
      </c>
      <c r="B217" s="41" t="s">
        <v>156</v>
      </c>
      <c r="C217" s="41" t="s">
        <v>1490</v>
      </c>
      <c r="D217" s="34">
        <v>1500</v>
      </c>
      <c r="E217" s="535">
        <v>19.42567</v>
      </c>
      <c r="F217" s="537">
        <v>-155.25163000000001</v>
      </c>
      <c r="G217" s="37" t="s">
        <v>997</v>
      </c>
      <c r="H217" s="860" t="s">
        <v>760</v>
      </c>
      <c r="I217" s="202" t="s">
        <v>780</v>
      </c>
      <c r="J217" t="s">
        <v>889</v>
      </c>
      <c r="K217" s="34">
        <v>2021</v>
      </c>
      <c r="L217" s="51">
        <v>32.5</v>
      </c>
      <c r="M217" s="52">
        <v>37.5</v>
      </c>
      <c r="N217" s="54">
        <f t="shared" si="142"/>
        <v>22334.101562500004</v>
      </c>
      <c r="O217" s="54">
        <v>4360.5960530295788</v>
      </c>
      <c r="P217" s="53">
        <v>32.5</v>
      </c>
      <c r="Q217" s="54">
        <v>17974.164218585353</v>
      </c>
      <c r="R217" s="772">
        <f t="shared" si="134"/>
        <v>0.8047619047619049</v>
      </c>
      <c r="S217" s="624" t="s">
        <v>212</v>
      </c>
      <c r="T217" s="37" t="s">
        <v>132</v>
      </c>
      <c r="U217" s="21">
        <v>82.833954010163765</v>
      </c>
      <c r="V217" s="552" t="s">
        <v>423</v>
      </c>
      <c r="W217" s="552" t="s">
        <v>423</v>
      </c>
      <c r="X217" s="556">
        <v>102.92614575694671</v>
      </c>
      <c r="Y217" s="784">
        <v>7.5960511940708275E-3</v>
      </c>
      <c r="Z217" s="784">
        <v>0.11878174371607741</v>
      </c>
      <c r="AA217" s="785">
        <v>2.6965981738962743E-3</v>
      </c>
      <c r="AB217" s="32" t="str">
        <f t="shared" si="114"/>
        <v>-</v>
      </c>
      <c r="AC217" s="6" t="str">
        <f t="shared" si="135"/>
        <v>-</v>
      </c>
      <c r="AD217" s="6" t="str">
        <f t="shared" si="136"/>
        <v>-</v>
      </c>
      <c r="AE217" s="6">
        <f t="shared" si="117"/>
        <v>1177.8501554766153</v>
      </c>
      <c r="AF217" s="839">
        <v>0.95399999999999996</v>
      </c>
      <c r="AG217" s="553">
        <f t="shared" si="137"/>
        <v>4.8218029350104885E-2</v>
      </c>
      <c r="AH217" s="69" t="s">
        <v>64</v>
      </c>
      <c r="AI217" s="9" t="s">
        <v>64</v>
      </c>
      <c r="AJ217" s="9" t="s">
        <v>64</v>
      </c>
      <c r="AK217" s="9" t="s">
        <v>64</v>
      </c>
      <c r="AL217" s="9" t="s">
        <v>64</v>
      </c>
      <c r="AM217" s="9" t="s">
        <v>64</v>
      </c>
      <c r="AN217" s="9" t="s">
        <v>64</v>
      </c>
      <c r="AO217" s="9" t="s">
        <v>64</v>
      </c>
      <c r="AP217" s="9" t="s">
        <v>64</v>
      </c>
      <c r="AQ217" s="9" t="s">
        <v>64</v>
      </c>
      <c r="AR217" s="9" t="s">
        <v>64</v>
      </c>
      <c r="AS217" s="6" t="s">
        <v>64</v>
      </c>
      <c r="AT217" s="6" t="s">
        <v>64</v>
      </c>
      <c r="AU217" s="9" t="s">
        <v>64</v>
      </c>
      <c r="AV217" s="8" t="str">
        <f t="shared" si="120"/>
        <v>-</v>
      </c>
      <c r="AW217" s="9" t="str">
        <f t="shared" si="121"/>
        <v>-</v>
      </c>
      <c r="AX217" s="8" t="s">
        <v>64</v>
      </c>
      <c r="AY217" s="789" t="s">
        <v>64</v>
      </c>
      <c r="AZ217" s="863" t="s">
        <v>897</v>
      </c>
      <c r="BA217" s="48" t="s">
        <v>64</v>
      </c>
      <c r="BB217" s="6">
        <v>136591.60756431834</v>
      </c>
      <c r="BC217" s="48">
        <v>36140.986888597698</v>
      </c>
      <c r="BD217" s="6" t="s">
        <v>998</v>
      </c>
      <c r="BE217" s="48" t="s">
        <v>998</v>
      </c>
      <c r="BF217" s="668" t="s">
        <v>1008</v>
      </c>
      <c r="BG217" s="48" t="s">
        <v>64</v>
      </c>
      <c r="BH217" s="48" t="s">
        <v>64</v>
      </c>
      <c r="BI217" s="850" t="str">
        <f t="shared" si="138"/>
        <v>-</v>
      </c>
      <c r="BJ217" s="789" t="str">
        <f t="shared" si="123"/>
        <v>-</v>
      </c>
      <c r="BK217" s="67">
        <v>350</v>
      </c>
      <c r="BL217" s="48">
        <v>35.000000000000057</v>
      </c>
      <c r="BM217" s="48">
        <v>9</v>
      </c>
      <c r="BN217" s="850">
        <f t="shared" si="139"/>
        <v>1.5060846499999998</v>
      </c>
      <c r="BO217" s="789">
        <f t="shared" si="125"/>
        <v>0.14453762715000029</v>
      </c>
      <c r="BP217" s="789">
        <f t="shared" si="126"/>
        <v>3.7335990243599904E-2</v>
      </c>
      <c r="BQ217" s="861" t="s">
        <v>760</v>
      </c>
      <c r="BR217" s="45" t="s">
        <v>64</v>
      </c>
      <c r="BS217" s="854" t="s">
        <v>64</v>
      </c>
      <c r="BT217" s="605"/>
      <c r="BU217" s="599" t="s">
        <v>64</v>
      </c>
      <c r="BV217" s="851" t="s">
        <v>64</v>
      </c>
      <c r="BW217" s="851" t="s">
        <v>64</v>
      </c>
      <c r="BX217" s="851" t="s">
        <v>64</v>
      </c>
      <c r="BY217" s="851" t="s">
        <v>64</v>
      </c>
      <c r="BZ217" s="851" t="s">
        <v>64</v>
      </c>
      <c r="CA217" s="851" t="s">
        <v>64</v>
      </c>
      <c r="CB217" s="851" t="s">
        <v>64</v>
      </c>
      <c r="CC217" s="851" t="s">
        <v>64</v>
      </c>
      <c r="CD217" s="851" t="s">
        <v>64</v>
      </c>
      <c r="CE217" s="852" t="s">
        <v>64</v>
      </c>
      <c r="CF217" s="852" t="s">
        <v>64</v>
      </c>
      <c r="CG217" s="605"/>
      <c r="CH217" s="584" t="s">
        <v>64</v>
      </c>
      <c r="CI217" s="576" t="s">
        <v>64</v>
      </c>
      <c r="CJ217" s="576" t="s">
        <v>64</v>
      </c>
      <c r="CK217" s="576" t="s">
        <v>64</v>
      </c>
      <c r="CL217" s="576" t="s">
        <v>64</v>
      </c>
      <c r="CM217" s="576" t="s">
        <v>64</v>
      </c>
      <c r="CN217" s="576" t="s">
        <v>64</v>
      </c>
      <c r="CO217" s="576" t="s">
        <v>64</v>
      </c>
      <c r="CP217" s="576" t="s">
        <v>64</v>
      </c>
      <c r="CQ217" s="576" t="s">
        <v>64</v>
      </c>
      <c r="CR217" s="857" t="s">
        <v>64</v>
      </c>
      <c r="CS217" s="793" t="s">
        <v>64</v>
      </c>
      <c r="CT217" s="855" t="s">
        <v>64</v>
      </c>
      <c r="CU217" s="576" t="s">
        <v>64</v>
      </c>
      <c r="CV217" s="591" t="s">
        <v>64</v>
      </c>
      <c r="CW217" s="605"/>
      <c r="CX217" s="936" t="s">
        <v>998</v>
      </c>
      <c r="CY217" s="934" t="s">
        <v>64</v>
      </c>
      <c r="CZ217" s="934" t="s">
        <v>64</v>
      </c>
      <c r="DA217" s="938" t="str">
        <f t="shared" si="140"/>
        <v>-</v>
      </c>
      <c r="DB217" s="936" t="s">
        <v>998</v>
      </c>
      <c r="DC217" s="934" t="s">
        <v>64</v>
      </c>
      <c r="DD217" s="934" t="s">
        <v>64</v>
      </c>
      <c r="DE217" s="939" t="str">
        <f t="shared" si="141"/>
        <v>-</v>
      </c>
      <c r="DF217" s="19"/>
    </row>
    <row r="218" spans="1:110">
      <c r="A218" s="846" t="s">
        <v>649</v>
      </c>
      <c r="B218" s="41" t="s">
        <v>156</v>
      </c>
      <c r="C218" s="41" t="s">
        <v>1490</v>
      </c>
      <c r="D218" s="34">
        <v>1500</v>
      </c>
      <c r="E218" s="535">
        <v>19.42567</v>
      </c>
      <c r="F218" s="537">
        <v>-155.25163000000001</v>
      </c>
      <c r="G218" s="37" t="s">
        <v>998</v>
      </c>
      <c r="H218" s="860" t="s">
        <v>999</v>
      </c>
      <c r="I218" s="202" t="s">
        <v>64</v>
      </c>
      <c r="J218" t="s">
        <v>880</v>
      </c>
      <c r="K218" s="34">
        <v>2021</v>
      </c>
      <c r="L218" s="51" t="s">
        <v>998</v>
      </c>
      <c r="M218" s="52" t="s">
        <v>998</v>
      </c>
      <c r="N218" s="54" t="str">
        <f>L218</f>
        <v>fluid inclusion</v>
      </c>
      <c r="O218" s="54" t="s">
        <v>998</v>
      </c>
      <c r="P218" s="53">
        <v>107.6318914786776</v>
      </c>
      <c r="Q218" s="54">
        <v>652862.22332412715</v>
      </c>
      <c r="R218" s="772">
        <f t="shared" si="134"/>
        <v>1</v>
      </c>
      <c r="S218" s="624" t="s">
        <v>212</v>
      </c>
      <c r="T218" s="37" t="s">
        <v>132</v>
      </c>
      <c r="U218" s="21">
        <v>82.833954010163765</v>
      </c>
      <c r="V218" s="552" t="s">
        <v>423</v>
      </c>
      <c r="W218" s="552" t="s">
        <v>423</v>
      </c>
      <c r="X218" s="556" t="s">
        <v>292</v>
      </c>
      <c r="Y218" s="784" t="s">
        <v>64</v>
      </c>
      <c r="Z218" s="784" t="s">
        <v>292</v>
      </c>
      <c r="AA218" s="785" t="s">
        <v>64</v>
      </c>
      <c r="AB218" s="32" t="str">
        <f t="shared" si="114"/>
        <v>-</v>
      </c>
      <c r="AC218" s="6" t="str">
        <f t="shared" si="135"/>
        <v>-</v>
      </c>
      <c r="AD218" s="6" t="str">
        <f t="shared" si="136"/>
        <v>-</v>
      </c>
      <c r="AE218" s="6">
        <f t="shared" si="117"/>
        <v>1177.8501554766153</v>
      </c>
      <c r="AF218" s="839" t="s">
        <v>998</v>
      </c>
      <c r="AG218" s="553" t="str">
        <f t="shared" si="137"/>
        <v>-</v>
      </c>
      <c r="AH218" s="69" t="s">
        <v>64</v>
      </c>
      <c r="AI218" s="9" t="s">
        <v>64</v>
      </c>
      <c r="AJ218" s="9" t="s">
        <v>64</v>
      </c>
      <c r="AK218" s="9" t="s">
        <v>64</v>
      </c>
      <c r="AL218" s="9" t="s">
        <v>64</v>
      </c>
      <c r="AM218" s="9" t="s">
        <v>64</v>
      </c>
      <c r="AN218" s="9" t="s">
        <v>64</v>
      </c>
      <c r="AO218" s="9" t="s">
        <v>64</v>
      </c>
      <c r="AP218" s="9" t="s">
        <v>64</v>
      </c>
      <c r="AQ218" s="9" t="s">
        <v>64</v>
      </c>
      <c r="AR218" s="9" t="s">
        <v>64</v>
      </c>
      <c r="AS218" s="6" t="s">
        <v>64</v>
      </c>
      <c r="AT218" s="6" t="s">
        <v>64</v>
      </c>
      <c r="AU218" s="9" t="s">
        <v>64</v>
      </c>
      <c r="AV218" s="8" t="str">
        <f t="shared" si="120"/>
        <v>-</v>
      </c>
      <c r="AW218" s="9" t="str">
        <f t="shared" si="121"/>
        <v>-</v>
      </c>
      <c r="AX218" s="8" t="s">
        <v>64</v>
      </c>
      <c r="AY218" s="789" t="s">
        <v>64</v>
      </c>
      <c r="AZ218" s="6" t="s">
        <v>64</v>
      </c>
      <c r="BA218" s="48" t="s">
        <v>64</v>
      </c>
      <c r="BB218" s="6" t="s">
        <v>292</v>
      </c>
      <c r="BC218" s="48" t="s">
        <v>292</v>
      </c>
      <c r="BD218" s="849" t="s">
        <v>64</v>
      </c>
      <c r="BE218" s="48" t="s">
        <v>64</v>
      </c>
      <c r="BF218" s="668" t="s">
        <v>1008</v>
      </c>
      <c r="BG218" s="48" t="s">
        <v>64</v>
      </c>
      <c r="BH218" s="48" t="s">
        <v>64</v>
      </c>
      <c r="BI218" s="850" t="str">
        <f t="shared" si="138"/>
        <v>-</v>
      </c>
      <c r="BJ218" s="789" t="str">
        <f t="shared" si="123"/>
        <v>-</v>
      </c>
      <c r="BK218" s="57" t="s">
        <v>1010</v>
      </c>
      <c r="BL218" s="48" t="s">
        <v>64</v>
      </c>
      <c r="BM218" s="48" t="s">
        <v>64</v>
      </c>
      <c r="BN218" s="850" t="str">
        <f t="shared" si="139"/>
        <v>-</v>
      </c>
      <c r="BO218" s="789" t="str">
        <f t="shared" si="125"/>
        <v>-</v>
      </c>
      <c r="BP218" s="789" t="str">
        <f t="shared" si="126"/>
        <v>-</v>
      </c>
      <c r="BQ218" s="861" t="s">
        <v>912</v>
      </c>
      <c r="BR218" s="45" t="s">
        <v>64</v>
      </c>
      <c r="BS218" s="854" t="s">
        <v>64</v>
      </c>
      <c r="BT218" s="605"/>
      <c r="BU218" s="599" t="s">
        <v>64</v>
      </c>
      <c r="BV218" s="851" t="s">
        <v>64</v>
      </c>
      <c r="BW218" s="851" t="s">
        <v>64</v>
      </c>
      <c r="BX218" s="851" t="s">
        <v>64</v>
      </c>
      <c r="BY218" s="851" t="s">
        <v>64</v>
      </c>
      <c r="BZ218" s="851" t="s">
        <v>64</v>
      </c>
      <c r="CA218" s="851" t="s">
        <v>64</v>
      </c>
      <c r="CB218" s="851" t="s">
        <v>64</v>
      </c>
      <c r="CC218" s="851" t="s">
        <v>64</v>
      </c>
      <c r="CD218" s="851" t="s">
        <v>64</v>
      </c>
      <c r="CE218" s="852" t="s">
        <v>64</v>
      </c>
      <c r="CF218" s="852" t="s">
        <v>64</v>
      </c>
      <c r="CG218" s="605"/>
      <c r="CH218" s="584" t="s">
        <v>64</v>
      </c>
      <c r="CI218" s="576" t="s">
        <v>64</v>
      </c>
      <c r="CJ218" s="576" t="s">
        <v>64</v>
      </c>
      <c r="CK218" s="576" t="s">
        <v>64</v>
      </c>
      <c r="CL218" s="576" t="s">
        <v>64</v>
      </c>
      <c r="CM218" s="576" t="s">
        <v>64</v>
      </c>
      <c r="CN218" s="576" t="s">
        <v>64</v>
      </c>
      <c r="CO218" s="576" t="s">
        <v>64</v>
      </c>
      <c r="CP218" s="576" t="s">
        <v>64</v>
      </c>
      <c r="CQ218" s="576" t="s">
        <v>64</v>
      </c>
      <c r="CR218" s="857" t="s">
        <v>64</v>
      </c>
      <c r="CS218" s="793" t="s">
        <v>64</v>
      </c>
      <c r="CT218" s="855" t="s">
        <v>64</v>
      </c>
      <c r="CU218" s="576" t="s">
        <v>64</v>
      </c>
      <c r="CV218" s="591" t="s">
        <v>64</v>
      </c>
      <c r="CW218" s="605"/>
      <c r="CX218" s="936" t="s">
        <v>64</v>
      </c>
      <c r="CY218" s="934" t="s">
        <v>64</v>
      </c>
      <c r="CZ218" s="934" t="s">
        <v>64</v>
      </c>
      <c r="DA218" s="938" t="str">
        <f t="shared" si="140"/>
        <v>-</v>
      </c>
      <c r="DB218" s="936" t="s">
        <v>64</v>
      </c>
      <c r="DC218" s="934" t="s">
        <v>64</v>
      </c>
      <c r="DD218" s="934" t="s">
        <v>64</v>
      </c>
      <c r="DE218" s="939" t="str">
        <f t="shared" si="141"/>
        <v>-</v>
      </c>
      <c r="DF218" s="19"/>
    </row>
    <row r="219" spans="1:110">
      <c r="A219" s="846" t="s">
        <v>650</v>
      </c>
      <c r="B219" s="41" t="s">
        <v>156</v>
      </c>
      <c r="C219" s="41" t="s">
        <v>1490</v>
      </c>
      <c r="D219" s="34">
        <v>1500</v>
      </c>
      <c r="E219" s="535">
        <v>19.42567</v>
      </c>
      <c r="F219" s="537">
        <v>-155.25163000000001</v>
      </c>
      <c r="G219" s="37" t="s">
        <v>997</v>
      </c>
      <c r="H219" s="860" t="s">
        <v>760</v>
      </c>
      <c r="I219" s="202" t="s">
        <v>780</v>
      </c>
      <c r="J219" t="s">
        <v>889</v>
      </c>
      <c r="K219" s="34">
        <v>2021</v>
      </c>
      <c r="L219" s="51">
        <v>92.5</v>
      </c>
      <c r="M219" s="52">
        <v>55</v>
      </c>
      <c r="N219" s="54">
        <f t="shared" si="142"/>
        <v>196450.10286458337</v>
      </c>
      <c r="O219" s="54">
        <v>188274.66598193205</v>
      </c>
      <c r="P219" s="53">
        <v>25</v>
      </c>
      <c r="Q219" s="54">
        <v>8181.230868723419</v>
      </c>
      <c r="R219" s="772">
        <f t="shared" si="134"/>
        <v>4.1644109440719612E-2</v>
      </c>
      <c r="S219" s="624" t="s">
        <v>212</v>
      </c>
      <c r="T219" s="37" t="s">
        <v>132</v>
      </c>
      <c r="U219" s="21">
        <v>82.833954010163765</v>
      </c>
      <c r="V219" s="552" t="s">
        <v>423</v>
      </c>
      <c r="W219" s="552" t="s">
        <v>423</v>
      </c>
      <c r="X219" s="556" t="s">
        <v>292</v>
      </c>
      <c r="Y219" s="784" t="s">
        <v>64</v>
      </c>
      <c r="Z219" s="784" t="s">
        <v>292</v>
      </c>
      <c r="AA219" s="785" t="s">
        <v>64</v>
      </c>
      <c r="AB219" s="32" t="str">
        <f t="shared" si="114"/>
        <v>-</v>
      </c>
      <c r="AC219" s="6" t="str">
        <f t="shared" si="135"/>
        <v>-</v>
      </c>
      <c r="AD219" s="6" t="str">
        <f t="shared" si="136"/>
        <v>-</v>
      </c>
      <c r="AE219" s="6">
        <f t="shared" si="117"/>
        <v>1177.8501554766153</v>
      </c>
      <c r="AF219" s="839">
        <v>0.95399999999999996</v>
      </c>
      <c r="AG219" s="553">
        <f t="shared" si="137"/>
        <v>4.8218029350104885E-2</v>
      </c>
      <c r="AH219" s="69" t="s">
        <v>64</v>
      </c>
      <c r="AI219" s="9" t="s">
        <v>64</v>
      </c>
      <c r="AJ219" s="9" t="s">
        <v>64</v>
      </c>
      <c r="AK219" s="9" t="s">
        <v>64</v>
      </c>
      <c r="AL219" s="9" t="s">
        <v>64</v>
      </c>
      <c r="AM219" s="9" t="s">
        <v>64</v>
      </c>
      <c r="AN219" s="9" t="s">
        <v>64</v>
      </c>
      <c r="AO219" s="9" t="s">
        <v>64</v>
      </c>
      <c r="AP219" s="9" t="s">
        <v>64</v>
      </c>
      <c r="AQ219" s="9" t="s">
        <v>64</v>
      </c>
      <c r="AR219" s="9" t="s">
        <v>64</v>
      </c>
      <c r="AS219" s="6" t="s">
        <v>64</v>
      </c>
      <c r="AT219" s="6" t="s">
        <v>64</v>
      </c>
      <c r="AU219" s="9" t="s">
        <v>64</v>
      </c>
      <c r="AV219" s="8" t="str">
        <f t="shared" si="120"/>
        <v>-</v>
      </c>
      <c r="AW219" s="9" t="str">
        <f t="shared" si="121"/>
        <v>-</v>
      </c>
      <c r="AX219" s="8" t="s">
        <v>64</v>
      </c>
      <c r="AY219" s="789" t="s">
        <v>64</v>
      </c>
      <c r="AZ219" s="6" t="s">
        <v>64</v>
      </c>
      <c r="BA219" s="48" t="s">
        <v>64</v>
      </c>
      <c r="BB219" s="6" t="s">
        <v>292</v>
      </c>
      <c r="BC219" s="48" t="s">
        <v>292</v>
      </c>
      <c r="BD219" s="849" t="s">
        <v>64</v>
      </c>
      <c r="BE219" s="48" t="s">
        <v>64</v>
      </c>
      <c r="BF219" s="668" t="s">
        <v>1008</v>
      </c>
      <c r="BG219" s="48" t="s">
        <v>64</v>
      </c>
      <c r="BH219" s="48" t="s">
        <v>64</v>
      </c>
      <c r="BI219" s="850" t="str">
        <f t="shared" si="138"/>
        <v>-</v>
      </c>
      <c r="BJ219" s="789" t="str">
        <f t="shared" si="123"/>
        <v>-</v>
      </c>
      <c r="BK219" s="57" t="s">
        <v>1009</v>
      </c>
      <c r="BL219" s="48" t="s">
        <v>64</v>
      </c>
      <c r="BM219" s="48" t="s">
        <v>64</v>
      </c>
      <c r="BN219" s="850" t="str">
        <f t="shared" si="139"/>
        <v>-</v>
      </c>
      <c r="BO219" s="789" t="str">
        <f t="shared" si="125"/>
        <v>-</v>
      </c>
      <c r="BP219" s="789" t="str">
        <f t="shared" si="126"/>
        <v>-</v>
      </c>
      <c r="BQ219" s="861" t="s">
        <v>760</v>
      </c>
      <c r="BR219" s="45" t="s">
        <v>64</v>
      </c>
      <c r="BS219" s="854" t="s">
        <v>64</v>
      </c>
      <c r="BT219" s="605"/>
      <c r="BU219" s="599" t="s">
        <v>64</v>
      </c>
      <c r="BV219" s="851" t="s">
        <v>64</v>
      </c>
      <c r="BW219" s="851" t="s">
        <v>64</v>
      </c>
      <c r="BX219" s="851" t="s">
        <v>64</v>
      </c>
      <c r="BY219" s="851" t="s">
        <v>64</v>
      </c>
      <c r="BZ219" s="851" t="s">
        <v>64</v>
      </c>
      <c r="CA219" s="851" t="s">
        <v>64</v>
      </c>
      <c r="CB219" s="851" t="s">
        <v>64</v>
      </c>
      <c r="CC219" s="851" t="s">
        <v>64</v>
      </c>
      <c r="CD219" s="851" t="s">
        <v>64</v>
      </c>
      <c r="CE219" s="852" t="s">
        <v>64</v>
      </c>
      <c r="CF219" s="852" t="s">
        <v>64</v>
      </c>
      <c r="CG219" s="605"/>
      <c r="CH219" s="584" t="s">
        <v>64</v>
      </c>
      <c r="CI219" s="576" t="s">
        <v>64</v>
      </c>
      <c r="CJ219" s="576" t="s">
        <v>64</v>
      </c>
      <c r="CK219" s="576" t="s">
        <v>64</v>
      </c>
      <c r="CL219" s="576" t="s">
        <v>64</v>
      </c>
      <c r="CM219" s="576" t="s">
        <v>64</v>
      </c>
      <c r="CN219" s="576" t="s">
        <v>64</v>
      </c>
      <c r="CO219" s="576" t="s">
        <v>64</v>
      </c>
      <c r="CP219" s="576" t="s">
        <v>64</v>
      </c>
      <c r="CQ219" s="576" t="s">
        <v>64</v>
      </c>
      <c r="CR219" s="857" t="s">
        <v>64</v>
      </c>
      <c r="CS219" s="793" t="s">
        <v>64</v>
      </c>
      <c r="CT219" s="855" t="s">
        <v>64</v>
      </c>
      <c r="CU219" s="576" t="s">
        <v>64</v>
      </c>
      <c r="CV219" s="591" t="s">
        <v>64</v>
      </c>
      <c r="CW219" s="605"/>
      <c r="CX219" s="936" t="s">
        <v>64</v>
      </c>
      <c r="CY219" s="934" t="s">
        <v>64</v>
      </c>
      <c r="CZ219" s="934" t="s">
        <v>64</v>
      </c>
      <c r="DA219" s="938" t="str">
        <f t="shared" si="140"/>
        <v>-</v>
      </c>
      <c r="DB219" s="936" t="s">
        <v>64</v>
      </c>
      <c r="DC219" s="934" t="s">
        <v>64</v>
      </c>
      <c r="DD219" s="934" t="s">
        <v>64</v>
      </c>
      <c r="DE219" s="939" t="str">
        <f t="shared" si="141"/>
        <v>-</v>
      </c>
      <c r="DF219" s="19"/>
    </row>
    <row r="220" spans="1:110">
      <c r="A220" s="846" t="s">
        <v>651</v>
      </c>
      <c r="B220" s="41" t="s">
        <v>156</v>
      </c>
      <c r="C220" s="41" t="s">
        <v>1490</v>
      </c>
      <c r="D220" s="34">
        <v>1500</v>
      </c>
      <c r="E220" s="535">
        <v>19.42567</v>
      </c>
      <c r="F220" s="537">
        <v>-155.25163000000001</v>
      </c>
      <c r="G220" s="37" t="s">
        <v>997</v>
      </c>
      <c r="H220" s="860" t="s">
        <v>760</v>
      </c>
      <c r="I220" s="202" t="s">
        <v>780</v>
      </c>
      <c r="J220" t="s">
        <v>889</v>
      </c>
      <c r="K220" s="34">
        <v>2021</v>
      </c>
      <c r="L220" s="51">
        <v>50</v>
      </c>
      <c r="M220" s="52">
        <v>35</v>
      </c>
      <c r="N220" s="54">
        <f t="shared" ref="N220:N228" si="144">(4*3.1415/3)*(L220/2)*(M220/2)*(AVERAGE(L220,M220)/2)</f>
        <v>38941.510416666672</v>
      </c>
      <c r="O220" s="54">
        <v>36815.538909255381</v>
      </c>
      <c r="P220" s="53">
        <v>15.956260747149768</v>
      </c>
      <c r="Q220" s="54">
        <v>2127.1200258680888</v>
      </c>
      <c r="R220" s="772">
        <f t="shared" ref="R220:R228" si="145">IF(Q220="no bubble",0,IF(H220="Isolated fluid inclusion",1,Q220/(Q220+O220)))</f>
        <v>5.4621848739495799E-2</v>
      </c>
      <c r="S220" s="624" t="s">
        <v>212</v>
      </c>
      <c r="T220" s="37" t="s">
        <v>132</v>
      </c>
      <c r="U220" s="21">
        <v>82.833954010163765</v>
      </c>
      <c r="V220" s="552" t="s">
        <v>423</v>
      </c>
      <c r="W220" s="552" t="s">
        <v>423</v>
      </c>
      <c r="X220" s="556">
        <v>102.8744333146103</v>
      </c>
      <c r="Y220" s="784">
        <v>6.6647943581064819E-3</v>
      </c>
      <c r="Z220" s="784">
        <v>0.10042382668665084</v>
      </c>
      <c r="AA220" s="785">
        <v>2.3660019971292932E-3</v>
      </c>
      <c r="AB220" s="32" t="str">
        <f t="shared" ref="AB220:AB228" si="146">IF(ISNUMBER(AN220), 20.1*AN220+1014,"-")</f>
        <v>-</v>
      </c>
      <c r="AC220" s="6" t="str">
        <f t="shared" ref="AC220:AC228" si="147">IF(ISNUMBER(CM220), 20.1*CM220+1014,"-")</f>
        <v>-</v>
      </c>
      <c r="AD220" s="6" t="str">
        <f t="shared" ref="AD220:AD228" si="148">IF(AND(ISNUMBER(AB220),ISNUMBER(AC220)),AB220-AC220,"-")</f>
        <v>-</v>
      </c>
      <c r="AE220" s="6">
        <f t="shared" ref="AE220:AE228" si="149">IF(ISNUMBER(U220),0.02289*U220^3- 4.943*U220^2+ 358.6*U220-7620,"-")</f>
        <v>1177.8501554766153</v>
      </c>
      <c r="AF220" s="839">
        <v>0.95399999999999996</v>
      </c>
      <c r="AG220" s="553">
        <f t="shared" ref="AG220:AG228" si="150">IF(ISNUMBER(AF220),(1/AF220)-1,"-")</f>
        <v>4.8218029350104885E-2</v>
      </c>
      <c r="AH220" s="69" t="s">
        <v>64</v>
      </c>
      <c r="AI220" s="9" t="s">
        <v>64</v>
      </c>
      <c r="AJ220" s="9" t="s">
        <v>64</v>
      </c>
      <c r="AK220" s="9" t="s">
        <v>64</v>
      </c>
      <c r="AL220" s="9" t="s">
        <v>64</v>
      </c>
      <c r="AM220" s="9" t="s">
        <v>64</v>
      </c>
      <c r="AN220" s="9" t="s">
        <v>64</v>
      </c>
      <c r="AO220" s="9" t="s">
        <v>64</v>
      </c>
      <c r="AP220" s="9" t="s">
        <v>64</v>
      </c>
      <c r="AQ220" s="9" t="s">
        <v>64</v>
      </c>
      <c r="AR220" s="9" t="s">
        <v>64</v>
      </c>
      <c r="AS220" s="6" t="s">
        <v>64</v>
      </c>
      <c r="AT220" s="6" t="s">
        <v>64</v>
      </c>
      <c r="AU220" s="9" t="s">
        <v>64</v>
      </c>
      <c r="AV220" s="8" t="str">
        <f t="shared" ref="AV220:AV228" si="151">IF(ISNUMBER(AL220),(AL220/71.84)*(0.18/2)*159.69,"-")</f>
        <v>-</v>
      </c>
      <c r="AW220" s="9" t="str">
        <f t="shared" ref="AW220:AW228" si="152">IF(ISNUMBER(AL220),(AL220/71.84)*(1-0.18)*71.84,"-")</f>
        <v>-</v>
      </c>
      <c r="AX220" s="8" t="s">
        <v>64</v>
      </c>
      <c r="AY220" s="789" t="s">
        <v>64</v>
      </c>
      <c r="AZ220" s="863" t="s">
        <v>897</v>
      </c>
      <c r="BA220" s="48" t="s">
        <v>64</v>
      </c>
      <c r="BB220" s="6">
        <v>1885.4680343897305</v>
      </c>
      <c r="BC220" s="48">
        <v>192.00527137264365</v>
      </c>
      <c r="BD220" s="6" t="s">
        <v>998</v>
      </c>
      <c r="BE220" s="48" t="s">
        <v>998</v>
      </c>
      <c r="BF220" s="668" t="s">
        <v>1008</v>
      </c>
      <c r="BG220" s="48" t="s">
        <v>64</v>
      </c>
      <c r="BH220" s="48" t="s">
        <v>64</v>
      </c>
      <c r="BI220" s="850" t="str">
        <f t="shared" ref="BI220:BI228" si="153">IF(NOT(ISNUMBER(BF220)),"-",(0.0684*((BF220/1000))^3 - 0.5008*((BF220/1000))^2 + 4.47*((BF220/1000))))</f>
        <v>-</v>
      </c>
      <c r="BJ220" s="789" t="str">
        <f t="shared" ref="BJ220:BJ228" si="154">IF(NOT(ISNUMBER(BF220)),"-",AVERAGE(ABS(BI220-(0.0684*(((BF220+BG220)/1000))^3-0.5008*(((BF220+BG220)/1000))^2+4.47*(((BF220+BG220)/1000)))),ABS(BI220-(0.0684*(((BF220-BG220)/1000))^3-0.5008*(((BF220-BG220)/1000))^2+4.47*(((BF220-BG220)/1000))))))</f>
        <v>-</v>
      </c>
      <c r="BK220" s="57" t="s">
        <v>1009</v>
      </c>
      <c r="BL220" s="48" t="s">
        <v>64</v>
      </c>
      <c r="BM220" s="48" t="s">
        <v>64</v>
      </c>
      <c r="BN220" s="850" t="str">
        <f t="shared" ref="BN220:BN228" si="155">IF(ISNUMBER(BK220),(0.0684*((BK220/1000))^3 - 0.5008*((BK220/1000))^2 + 4.47*((BK220/1000))),"-")</f>
        <v>-</v>
      </c>
      <c r="BO220" s="789" t="str">
        <f t="shared" ref="BO220:BO228" si="156">IF(ISNUMBER(BL220),ABS(BN220-(0.0684*(((BK220+BL220)/1000))^3 - 0.5008*(((BK220+BL220)/1000))^2 + 4.47*(((BK220+BL220)/1000)))),"-")</f>
        <v>-</v>
      </c>
      <c r="BP220" s="789" t="str">
        <f t="shared" ref="BP220:BP228" si="157">IF(ISNUMBER(BM220),ABS(BN220-(0.0684*(((BK220-BM220)/1000))^3 - 0.5008*(((BK220-BM220)/1000))^2 + 4.47*(((BK220-BM220)/1000)))),"-")</f>
        <v>-</v>
      </c>
      <c r="BQ220" s="861" t="s">
        <v>760</v>
      </c>
      <c r="BR220" s="45" t="s">
        <v>64</v>
      </c>
      <c r="BS220" s="854" t="s">
        <v>64</v>
      </c>
      <c r="BT220" s="605"/>
      <c r="BU220" s="599" t="s">
        <v>64</v>
      </c>
      <c r="BV220" s="851" t="s">
        <v>64</v>
      </c>
      <c r="BW220" s="851" t="s">
        <v>64</v>
      </c>
      <c r="BX220" s="851" t="s">
        <v>64</v>
      </c>
      <c r="BY220" s="851" t="s">
        <v>64</v>
      </c>
      <c r="BZ220" s="851" t="s">
        <v>64</v>
      </c>
      <c r="CA220" s="851" t="s">
        <v>64</v>
      </c>
      <c r="CB220" s="851" t="s">
        <v>64</v>
      </c>
      <c r="CC220" s="851" t="s">
        <v>64</v>
      </c>
      <c r="CD220" s="851" t="s">
        <v>64</v>
      </c>
      <c r="CE220" s="852" t="s">
        <v>64</v>
      </c>
      <c r="CF220" s="852" t="s">
        <v>64</v>
      </c>
      <c r="CG220" s="605"/>
      <c r="CH220" s="584" t="s">
        <v>64</v>
      </c>
      <c r="CI220" s="576" t="s">
        <v>64</v>
      </c>
      <c r="CJ220" s="576" t="s">
        <v>64</v>
      </c>
      <c r="CK220" s="576" t="s">
        <v>64</v>
      </c>
      <c r="CL220" s="576" t="s">
        <v>64</v>
      </c>
      <c r="CM220" s="576" t="s">
        <v>64</v>
      </c>
      <c r="CN220" s="576" t="s">
        <v>64</v>
      </c>
      <c r="CO220" s="576" t="s">
        <v>64</v>
      </c>
      <c r="CP220" s="576" t="s">
        <v>64</v>
      </c>
      <c r="CQ220" s="576" t="s">
        <v>64</v>
      </c>
      <c r="CR220" s="857" t="s">
        <v>64</v>
      </c>
      <c r="CS220" s="793" t="s">
        <v>64</v>
      </c>
      <c r="CT220" s="855" t="s">
        <v>64</v>
      </c>
      <c r="CU220" s="576" t="s">
        <v>64</v>
      </c>
      <c r="CV220" s="591" t="s">
        <v>64</v>
      </c>
      <c r="CW220" s="605"/>
      <c r="CX220" s="936" t="s">
        <v>998</v>
      </c>
      <c r="CY220" s="934" t="s">
        <v>64</v>
      </c>
      <c r="CZ220" s="934" t="s">
        <v>64</v>
      </c>
      <c r="DA220" s="938" t="str">
        <f t="shared" ref="DA220:DA228" si="158">IF(NOT(ISNUMBER(CX220)),"-",(0.0684*((CX220/1000))^3 - 0.5008*((CX220/1000))^2 + 4.47*((CX220/1000))))</f>
        <v>-</v>
      </c>
      <c r="DB220" s="936" t="s">
        <v>998</v>
      </c>
      <c r="DC220" s="934" t="s">
        <v>64</v>
      </c>
      <c r="DD220" s="934" t="s">
        <v>64</v>
      </c>
      <c r="DE220" s="939" t="str">
        <f t="shared" ref="DE220:DE228" si="159">IF(NOT(ISNUMBER(DB220)),"-",(0.0684*((DB220/1000))^3 - 0.5008*((DB220/1000))^2 + 4.47*((DB220/1000))))</f>
        <v>-</v>
      </c>
      <c r="DF220" s="19"/>
    </row>
    <row r="221" spans="1:110">
      <c r="A221" s="846" t="s">
        <v>652</v>
      </c>
      <c r="B221" s="41" t="s">
        <v>156</v>
      </c>
      <c r="C221" s="41" t="s">
        <v>1490</v>
      </c>
      <c r="D221" s="34">
        <v>1500</v>
      </c>
      <c r="E221" s="535">
        <v>19.42567</v>
      </c>
      <c r="F221" s="537">
        <v>-155.25163000000001</v>
      </c>
      <c r="G221" s="37" t="s">
        <v>997</v>
      </c>
      <c r="H221" s="860" t="s">
        <v>760</v>
      </c>
      <c r="I221" s="202" t="s">
        <v>780</v>
      </c>
      <c r="J221" t="s">
        <v>889</v>
      </c>
      <c r="K221" s="34">
        <v>2021</v>
      </c>
      <c r="L221" s="51">
        <v>75</v>
      </c>
      <c r="M221" s="52">
        <v>40</v>
      </c>
      <c r="N221" s="838">
        <f>(4*3.1415/3)*(L221/2)*(M221/2)*(AVERAGE(L221,M221)/2)</f>
        <v>90318.125000000015</v>
      </c>
      <c r="O221" s="54">
        <v>52709.134608765002</v>
      </c>
      <c r="P221" s="53">
        <v>37.5</v>
      </c>
      <c r="Q221" s="54">
        <v>27611.65418194154</v>
      </c>
      <c r="R221" s="772">
        <f t="shared" si="145"/>
        <v>0.34376721889385037</v>
      </c>
      <c r="S221" s="624" t="s">
        <v>212</v>
      </c>
      <c r="T221" s="37" t="s">
        <v>132</v>
      </c>
      <c r="U221" s="21">
        <v>82.833954010163765</v>
      </c>
      <c r="V221" s="552" t="s">
        <v>423</v>
      </c>
      <c r="W221" s="552" t="s">
        <v>423</v>
      </c>
      <c r="X221" s="556">
        <v>102.93867209623441</v>
      </c>
      <c r="Y221" s="784">
        <v>4.3808483947896295E-3</v>
      </c>
      <c r="Z221" s="784">
        <v>0.12322859416321563</v>
      </c>
      <c r="AA221" s="785">
        <v>1.5552011801517748E-3</v>
      </c>
      <c r="AB221" s="32" t="str">
        <f t="shared" si="146"/>
        <v>-</v>
      </c>
      <c r="AC221" s="6" t="str">
        <f t="shared" si="147"/>
        <v>-</v>
      </c>
      <c r="AD221" s="6" t="str">
        <f t="shared" si="148"/>
        <v>-</v>
      </c>
      <c r="AE221" s="6">
        <f t="shared" si="149"/>
        <v>1177.8501554766153</v>
      </c>
      <c r="AF221" s="839">
        <v>0.95399999999999996</v>
      </c>
      <c r="AG221" s="553">
        <f t="shared" si="150"/>
        <v>4.8218029350104885E-2</v>
      </c>
      <c r="AH221" s="69" t="s">
        <v>64</v>
      </c>
      <c r="AI221" s="9" t="s">
        <v>64</v>
      </c>
      <c r="AJ221" s="9" t="s">
        <v>64</v>
      </c>
      <c r="AK221" s="9" t="s">
        <v>64</v>
      </c>
      <c r="AL221" s="9" t="s">
        <v>64</v>
      </c>
      <c r="AM221" s="9" t="s">
        <v>64</v>
      </c>
      <c r="AN221" s="9" t="s">
        <v>64</v>
      </c>
      <c r="AO221" s="9" t="s">
        <v>64</v>
      </c>
      <c r="AP221" s="9" t="s">
        <v>64</v>
      </c>
      <c r="AQ221" s="9" t="s">
        <v>64</v>
      </c>
      <c r="AR221" s="9" t="s">
        <v>64</v>
      </c>
      <c r="AS221" s="6" t="s">
        <v>64</v>
      </c>
      <c r="AT221" s="6" t="s">
        <v>64</v>
      </c>
      <c r="AU221" s="9" t="s">
        <v>64</v>
      </c>
      <c r="AV221" s="8" t="str">
        <f t="shared" si="151"/>
        <v>-</v>
      </c>
      <c r="AW221" s="9" t="str">
        <f t="shared" si="152"/>
        <v>-</v>
      </c>
      <c r="AX221" s="8" t="s">
        <v>64</v>
      </c>
      <c r="AY221" s="789" t="s">
        <v>64</v>
      </c>
      <c r="AZ221" s="863" t="s">
        <v>897</v>
      </c>
      <c r="BA221" s="48" t="s">
        <v>64</v>
      </c>
      <c r="BB221" s="6">
        <v>20565.267819317334</v>
      </c>
      <c r="BC221" s="48">
        <v>1431.4995970198099</v>
      </c>
      <c r="BD221" s="6" t="s">
        <v>998</v>
      </c>
      <c r="BE221" s="48" t="s">
        <v>998</v>
      </c>
      <c r="BF221" s="668" t="s">
        <v>1008</v>
      </c>
      <c r="BG221" s="48" t="s">
        <v>64</v>
      </c>
      <c r="BH221" s="48" t="s">
        <v>64</v>
      </c>
      <c r="BI221" s="850" t="str">
        <f t="shared" si="153"/>
        <v>-</v>
      </c>
      <c r="BJ221" s="789" t="str">
        <f t="shared" si="154"/>
        <v>-</v>
      </c>
      <c r="BK221" s="67">
        <v>364</v>
      </c>
      <c r="BL221" s="48">
        <v>36.400000000000034</v>
      </c>
      <c r="BM221" s="48">
        <v>5</v>
      </c>
      <c r="BN221" s="850">
        <f t="shared" si="155"/>
        <v>1.5640248356095998</v>
      </c>
      <c r="BO221" s="789">
        <f t="shared" si="156"/>
        <v>0.14986557419957802</v>
      </c>
      <c r="BP221" s="789">
        <f t="shared" si="157"/>
        <v>2.0673690126000066E-2</v>
      </c>
      <c r="BQ221" s="861" t="s">
        <v>760</v>
      </c>
      <c r="BR221" s="45" t="s">
        <v>64</v>
      </c>
      <c r="BS221" s="854" t="s">
        <v>64</v>
      </c>
      <c r="BT221" s="605"/>
      <c r="BU221" s="599" t="s">
        <v>64</v>
      </c>
      <c r="BV221" s="851" t="s">
        <v>64</v>
      </c>
      <c r="BW221" s="851" t="s">
        <v>64</v>
      </c>
      <c r="BX221" s="851" t="s">
        <v>64</v>
      </c>
      <c r="BY221" s="851" t="s">
        <v>64</v>
      </c>
      <c r="BZ221" s="851" t="s">
        <v>64</v>
      </c>
      <c r="CA221" s="851" t="s">
        <v>64</v>
      </c>
      <c r="CB221" s="851" t="s">
        <v>64</v>
      </c>
      <c r="CC221" s="851" t="s">
        <v>64</v>
      </c>
      <c r="CD221" s="851" t="s">
        <v>64</v>
      </c>
      <c r="CE221" s="852" t="s">
        <v>64</v>
      </c>
      <c r="CF221" s="852" t="s">
        <v>64</v>
      </c>
      <c r="CG221" s="605"/>
      <c r="CH221" s="584" t="s">
        <v>64</v>
      </c>
      <c r="CI221" s="576" t="s">
        <v>64</v>
      </c>
      <c r="CJ221" s="576" t="s">
        <v>64</v>
      </c>
      <c r="CK221" s="576" t="s">
        <v>64</v>
      </c>
      <c r="CL221" s="576" t="s">
        <v>64</v>
      </c>
      <c r="CM221" s="576" t="s">
        <v>64</v>
      </c>
      <c r="CN221" s="576" t="s">
        <v>64</v>
      </c>
      <c r="CO221" s="576" t="s">
        <v>64</v>
      </c>
      <c r="CP221" s="576" t="s">
        <v>64</v>
      </c>
      <c r="CQ221" s="576" t="s">
        <v>64</v>
      </c>
      <c r="CR221" s="857" t="s">
        <v>64</v>
      </c>
      <c r="CS221" s="793" t="s">
        <v>64</v>
      </c>
      <c r="CT221" s="855" t="s">
        <v>64</v>
      </c>
      <c r="CU221" s="576" t="s">
        <v>64</v>
      </c>
      <c r="CV221" s="591" t="s">
        <v>64</v>
      </c>
      <c r="CW221" s="605"/>
      <c r="CX221" s="936" t="s">
        <v>998</v>
      </c>
      <c r="CY221" s="934" t="s">
        <v>64</v>
      </c>
      <c r="CZ221" s="934" t="s">
        <v>64</v>
      </c>
      <c r="DA221" s="938" t="str">
        <f t="shared" si="158"/>
        <v>-</v>
      </c>
      <c r="DB221" s="936" t="s">
        <v>998</v>
      </c>
      <c r="DC221" s="934" t="s">
        <v>64</v>
      </c>
      <c r="DD221" s="934" t="s">
        <v>64</v>
      </c>
      <c r="DE221" s="939" t="str">
        <f t="shared" si="159"/>
        <v>-</v>
      </c>
      <c r="DF221" s="19"/>
    </row>
    <row r="222" spans="1:110">
      <c r="A222" s="846" t="s">
        <v>653</v>
      </c>
      <c r="B222" s="41" t="s">
        <v>156</v>
      </c>
      <c r="C222" s="41" t="s">
        <v>1490</v>
      </c>
      <c r="D222" s="34">
        <v>1500</v>
      </c>
      <c r="E222" s="535">
        <v>19.42567</v>
      </c>
      <c r="F222" s="537">
        <v>-155.25163000000001</v>
      </c>
      <c r="G222" s="37" t="s">
        <v>998</v>
      </c>
      <c r="H222" s="860" t="s">
        <v>999</v>
      </c>
      <c r="I222" s="202" t="s">
        <v>64</v>
      </c>
      <c r="J222" t="s">
        <v>880</v>
      </c>
      <c r="K222" s="34">
        <v>2021</v>
      </c>
      <c r="L222" s="51" t="s">
        <v>998</v>
      </c>
      <c r="M222" s="52" t="s">
        <v>998</v>
      </c>
      <c r="N222" s="54" t="str">
        <f t="shared" ref="N222:N223" si="160">L222</f>
        <v>fluid inclusion</v>
      </c>
      <c r="O222" s="54" t="s">
        <v>998</v>
      </c>
      <c r="P222" s="53">
        <v>39.148676411688641</v>
      </c>
      <c r="Q222" s="54">
        <v>31415.926535897939</v>
      </c>
      <c r="R222" s="772">
        <f t="shared" si="145"/>
        <v>1</v>
      </c>
      <c r="S222" s="624" t="s">
        <v>212</v>
      </c>
      <c r="T222" s="37" t="s">
        <v>132</v>
      </c>
      <c r="U222" s="21">
        <v>82.833954010163765</v>
      </c>
      <c r="V222" s="552" t="s">
        <v>423</v>
      </c>
      <c r="W222" s="552" t="s">
        <v>423</v>
      </c>
      <c r="X222" s="556">
        <v>102.8603012833016</v>
      </c>
      <c r="Y222" s="784">
        <v>6.479170410044143E-3</v>
      </c>
      <c r="Z222" s="784">
        <v>9.540695557205936E-2</v>
      </c>
      <c r="AA222" s="785">
        <v>2.3001054955668547E-3</v>
      </c>
      <c r="AB222" s="32" t="str">
        <f t="shared" si="146"/>
        <v>-</v>
      </c>
      <c r="AC222" s="6" t="str">
        <f t="shared" si="147"/>
        <v>-</v>
      </c>
      <c r="AD222" s="6" t="str">
        <f t="shared" si="148"/>
        <v>-</v>
      </c>
      <c r="AE222" s="6">
        <f t="shared" si="149"/>
        <v>1177.8501554766153</v>
      </c>
      <c r="AF222" s="839" t="s">
        <v>998</v>
      </c>
      <c r="AG222" s="553" t="str">
        <f t="shared" si="150"/>
        <v>-</v>
      </c>
      <c r="AH222" s="69" t="s">
        <v>64</v>
      </c>
      <c r="AI222" s="9" t="s">
        <v>64</v>
      </c>
      <c r="AJ222" s="9" t="s">
        <v>64</v>
      </c>
      <c r="AK222" s="9" t="s">
        <v>64</v>
      </c>
      <c r="AL222" s="9" t="s">
        <v>64</v>
      </c>
      <c r="AM222" s="9" t="s">
        <v>64</v>
      </c>
      <c r="AN222" s="9" t="s">
        <v>64</v>
      </c>
      <c r="AO222" s="9" t="s">
        <v>64</v>
      </c>
      <c r="AP222" s="9" t="s">
        <v>64</v>
      </c>
      <c r="AQ222" s="9" t="s">
        <v>64</v>
      </c>
      <c r="AR222" s="9" t="s">
        <v>64</v>
      </c>
      <c r="AS222" s="6" t="s">
        <v>64</v>
      </c>
      <c r="AT222" s="6" t="s">
        <v>64</v>
      </c>
      <c r="AU222" s="9" t="s">
        <v>64</v>
      </c>
      <c r="AV222" s="8" t="str">
        <f t="shared" si="151"/>
        <v>-</v>
      </c>
      <c r="AW222" s="9" t="str">
        <f t="shared" si="152"/>
        <v>-</v>
      </c>
      <c r="AX222" s="8" t="s">
        <v>64</v>
      </c>
      <c r="AY222" s="789" t="s">
        <v>64</v>
      </c>
      <c r="AZ222" s="6" t="s">
        <v>64</v>
      </c>
      <c r="BA222" s="48" t="s">
        <v>64</v>
      </c>
      <c r="BB222" s="6" t="s">
        <v>64</v>
      </c>
      <c r="BC222" s="48" t="s">
        <v>64</v>
      </c>
      <c r="BD222" s="849" t="s">
        <v>64</v>
      </c>
      <c r="BE222" s="48" t="s">
        <v>64</v>
      </c>
      <c r="BF222" s="668" t="s">
        <v>1008</v>
      </c>
      <c r="BG222" s="48" t="s">
        <v>64</v>
      </c>
      <c r="BH222" s="48" t="s">
        <v>64</v>
      </c>
      <c r="BI222" s="850" t="str">
        <f t="shared" si="153"/>
        <v>-</v>
      </c>
      <c r="BJ222" s="789" t="str">
        <f t="shared" si="154"/>
        <v>-</v>
      </c>
      <c r="BK222" s="67">
        <v>275</v>
      </c>
      <c r="BL222" s="48">
        <v>27.5</v>
      </c>
      <c r="BM222" s="48">
        <v>6</v>
      </c>
      <c r="BN222" s="850">
        <f t="shared" si="155"/>
        <v>1.1927995062499999</v>
      </c>
      <c r="BO222" s="789">
        <f t="shared" si="156"/>
        <v>0.11544251956875007</v>
      </c>
      <c r="BP222" s="789">
        <f t="shared" si="157"/>
        <v>2.5276481594399769E-2</v>
      </c>
      <c r="BQ222" s="861" t="s">
        <v>912</v>
      </c>
      <c r="BR222" s="45" t="s">
        <v>64</v>
      </c>
      <c r="BS222" s="854" t="s">
        <v>64</v>
      </c>
      <c r="BT222" s="605"/>
      <c r="BU222" s="599" t="s">
        <v>64</v>
      </c>
      <c r="BV222" s="851" t="s">
        <v>64</v>
      </c>
      <c r="BW222" s="851" t="s">
        <v>64</v>
      </c>
      <c r="BX222" s="851" t="s">
        <v>64</v>
      </c>
      <c r="BY222" s="851" t="s">
        <v>64</v>
      </c>
      <c r="BZ222" s="851" t="s">
        <v>64</v>
      </c>
      <c r="CA222" s="851" t="s">
        <v>64</v>
      </c>
      <c r="CB222" s="851" t="s">
        <v>64</v>
      </c>
      <c r="CC222" s="851" t="s">
        <v>64</v>
      </c>
      <c r="CD222" s="851" t="s">
        <v>64</v>
      </c>
      <c r="CE222" s="852" t="s">
        <v>64</v>
      </c>
      <c r="CF222" s="852" t="s">
        <v>64</v>
      </c>
      <c r="CG222" s="605"/>
      <c r="CH222" s="584" t="s">
        <v>64</v>
      </c>
      <c r="CI222" s="576" t="s">
        <v>64</v>
      </c>
      <c r="CJ222" s="576" t="s">
        <v>64</v>
      </c>
      <c r="CK222" s="576" t="s">
        <v>64</v>
      </c>
      <c r="CL222" s="576" t="s">
        <v>64</v>
      </c>
      <c r="CM222" s="576" t="s">
        <v>64</v>
      </c>
      <c r="CN222" s="576" t="s">
        <v>64</v>
      </c>
      <c r="CO222" s="576" t="s">
        <v>64</v>
      </c>
      <c r="CP222" s="576" t="s">
        <v>64</v>
      </c>
      <c r="CQ222" s="576" t="s">
        <v>64</v>
      </c>
      <c r="CR222" s="857" t="s">
        <v>64</v>
      </c>
      <c r="CS222" s="793" t="s">
        <v>64</v>
      </c>
      <c r="CT222" s="855" t="s">
        <v>64</v>
      </c>
      <c r="CU222" s="576" t="s">
        <v>64</v>
      </c>
      <c r="CV222" s="591" t="s">
        <v>64</v>
      </c>
      <c r="CW222" s="605"/>
      <c r="CX222" s="936" t="s">
        <v>64</v>
      </c>
      <c r="CY222" s="934" t="s">
        <v>64</v>
      </c>
      <c r="CZ222" s="934" t="s">
        <v>64</v>
      </c>
      <c r="DA222" s="938" t="str">
        <f t="shared" si="158"/>
        <v>-</v>
      </c>
      <c r="DB222" s="936" t="s">
        <v>64</v>
      </c>
      <c r="DC222" s="934" t="s">
        <v>64</v>
      </c>
      <c r="DD222" s="934" t="s">
        <v>64</v>
      </c>
      <c r="DE222" s="939" t="str">
        <f t="shared" si="159"/>
        <v>-</v>
      </c>
      <c r="DF222" s="19"/>
    </row>
    <row r="223" spans="1:110">
      <c r="A223" s="846" t="s">
        <v>655</v>
      </c>
      <c r="B223" s="41" t="s">
        <v>156</v>
      </c>
      <c r="C223" s="41" t="s">
        <v>1490</v>
      </c>
      <c r="D223" s="34">
        <v>1500</v>
      </c>
      <c r="E223" s="535">
        <v>19.42567</v>
      </c>
      <c r="F223" s="537">
        <v>-155.25163000000001</v>
      </c>
      <c r="G223" s="37" t="s">
        <v>998</v>
      </c>
      <c r="H223" s="860" t="s">
        <v>999</v>
      </c>
      <c r="I223" s="202" t="s">
        <v>64</v>
      </c>
      <c r="J223" t="s">
        <v>880</v>
      </c>
      <c r="K223" s="34">
        <v>2021</v>
      </c>
      <c r="L223" s="51" t="s">
        <v>998</v>
      </c>
      <c r="M223" s="52" t="s">
        <v>998</v>
      </c>
      <c r="N223" s="54" t="str">
        <f t="shared" si="160"/>
        <v>fluid inclusion</v>
      </c>
      <c r="O223" s="54" t="s">
        <v>998</v>
      </c>
      <c r="P223" s="53">
        <v>84.803467506839638</v>
      </c>
      <c r="Q223" s="54">
        <v>319329.80326801189</v>
      </c>
      <c r="R223" s="772">
        <f t="shared" si="145"/>
        <v>1</v>
      </c>
      <c r="S223" s="624" t="s">
        <v>212</v>
      </c>
      <c r="T223" s="37" t="s">
        <v>132</v>
      </c>
      <c r="U223" s="21">
        <v>82.833954010163765</v>
      </c>
      <c r="V223" s="552" t="s">
        <v>423</v>
      </c>
      <c r="W223" s="552" t="s">
        <v>423</v>
      </c>
      <c r="X223" s="556" t="s">
        <v>292</v>
      </c>
      <c r="Y223" s="784" t="s">
        <v>64</v>
      </c>
      <c r="Z223" s="784" t="s">
        <v>292</v>
      </c>
      <c r="AA223" s="785" t="s">
        <v>64</v>
      </c>
      <c r="AB223" s="32" t="str">
        <f t="shared" si="146"/>
        <v>-</v>
      </c>
      <c r="AC223" s="6" t="str">
        <f t="shared" si="147"/>
        <v>-</v>
      </c>
      <c r="AD223" s="6" t="str">
        <f t="shared" si="148"/>
        <v>-</v>
      </c>
      <c r="AE223" s="6">
        <f t="shared" si="149"/>
        <v>1177.8501554766153</v>
      </c>
      <c r="AF223" s="839" t="s">
        <v>998</v>
      </c>
      <c r="AG223" s="553" t="str">
        <f t="shared" si="150"/>
        <v>-</v>
      </c>
      <c r="AH223" s="69" t="s">
        <v>64</v>
      </c>
      <c r="AI223" s="9" t="s">
        <v>64</v>
      </c>
      <c r="AJ223" s="9" t="s">
        <v>64</v>
      </c>
      <c r="AK223" s="9" t="s">
        <v>64</v>
      </c>
      <c r="AL223" s="9" t="s">
        <v>64</v>
      </c>
      <c r="AM223" s="9" t="s">
        <v>64</v>
      </c>
      <c r="AN223" s="9" t="s">
        <v>64</v>
      </c>
      <c r="AO223" s="9" t="s">
        <v>64</v>
      </c>
      <c r="AP223" s="9" t="s">
        <v>64</v>
      </c>
      <c r="AQ223" s="9" t="s">
        <v>64</v>
      </c>
      <c r="AR223" s="9" t="s">
        <v>64</v>
      </c>
      <c r="AS223" s="6" t="s">
        <v>64</v>
      </c>
      <c r="AT223" s="6" t="s">
        <v>64</v>
      </c>
      <c r="AU223" s="9" t="s">
        <v>64</v>
      </c>
      <c r="AV223" s="8" t="str">
        <f t="shared" si="151"/>
        <v>-</v>
      </c>
      <c r="AW223" s="9" t="str">
        <f t="shared" si="152"/>
        <v>-</v>
      </c>
      <c r="AX223" s="8" t="s">
        <v>64</v>
      </c>
      <c r="AY223" s="789" t="s">
        <v>64</v>
      </c>
      <c r="AZ223" s="6" t="s">
        <v>64</v>
      </c>
      <c r="BA223" s="48" t="s">
        <v>64</v>
      </c>
      <c r="BB223" s="6" t="s">
        <v>292</v>
      </c>
      <c r="BC223" s="48" t="s">
        <v>292</v>
      </c>
      <c r="BD223" s="849" t="s">
        <v>64</v>
      </c>
      <c r="BE223" s="48" t="s">
        <v>64</v>
      </c>
      <c r="BF223" s="668" t="s">
        <v>1008</v>
      </c>
      <c r="BG223" s="48" t="s">
        <v>64</v>
      </c>
      <c r="BH223" s="48" t="s">
        <v>64</v>
      </c>
      <c r="BI223" s="850" t="str">
        <f t="shared" si="153"/>
        <v>-</v>
      </c>
      <c r="BJ223" s="789" t="str">
        <f t="shared" si="154"/>
        <v>-</v>
      </c>
      <c r="BK223" s="57" t="s">
        <v>1010</v>
      </c>
      <c r="BL223" s="48" t="s">
        <v>64</v>
      </c>
      <c r="BM223" s="48" t="s">
        <v>64</v>
      </c>
      <c r="BN223" s="850" t="str">
        <f t="shared" si="155"/>
        <v>-</v>
      </c>
      <c r="BO223" s="789" t="str">
        <f t="shared" si="156"/>
        <v>-</v>
      </c>
      <c r="BP223" s="789" t="str">
        <f t="shared" si="157"/>
        <v>-</v>
      </c>
      <c r="BQ223" s="861" t="s">
        <v>912</v>
      </c>
      <c r="BR223" s="45" t="s">
        <v>64</v>
      </c>
      <c r="BS223" s="854" t="s">
        <v>64</v>
      </c>
      <c r="BT223" s="605"/>
      <c r="BU223" s="599" t="s">
        <v>64</v>
      </c>
      <c r="BV223" s="851" t="s">
        <v>64</v>
      </c>
      <c r="BW223" s="851" t="s">
        <v>64</v>
      </c>
      <c r="BX223" s="851" t="s">
        <v>64</v>
      </c>
      <c r="BY223" s="851" t="s">
        <v>64</v>
      </c>
      <c r="BZ223" s="851" t="s">
        <v>64</v>
      </c>
      <c r="CA223" s="851" t="s">
        <v>64</v>
      </c>
      <c r="CB223" s="851" t="s">
        <v>64</v>
      </c>
      <c r="CC223" s="851" t="s">
        <v>64</v>
      </c>
      <c r="CD223" s="851" t="s">
        <v>64</v>
      </c>
      <c r="CE223" s="852" t="s">
        <v>64</v>
      </c>
      <c r="CF223" s="852" t="s">
        <v>64</v>
      </c>
      <c r="CG223" s="605"/>
      <c r="CH223" s="584" t="s">
        <v>64</v>
      </c>
      <c r="CI223" s="576" t="s">
        <v>64</v>
      </c>
      <c r="CJ223" s="576" t="s">
        <v>64</v>
      </c>
      <c r="CK223" s="576" t="s">
        <v>64</v>
      </c>
      <c r="CL223" s="576" t="s">
        <v>64</v>
      </c>
      <c r="CM223" s="576" t="s">
        <v>64</v>
      </c>
      <c r="CN223" s="576" t="s">
        <v>64</v>
      </c>
      <c r="CO223" s="576" t="s">
        <v>64</v>
      </c>
      <c r="CP223" s="576" t="s">
        <v>64</v>
      </c>
      <c r="CQ223" s="576" t="s">
        <v>64</v>
      </c>
      <c r="CR223" s="857" t="s">
        <v>64</v>
      </c>
      <c r="CS223" s="793" t="s">
        <v>64</v>
      </c>
      <c r="CT223" s="855" t="s">
        <v>64</v>
      </c>
      <c r="CU223" s="576" t="s">
        <v>64</v>
      </c>
      <c r="CV223" s="591" t="s">
        <v>64</v>
      </c>
      <c r="CW223" s="605"/>
      <c r="CX223" s="936" t="s">
        <v>64</v>
      </c>
      <c r="CY223" s="934" t="s">
        <v>64</v>
      </c>
      <c r="CZ223" s="934" t="s">
        <v>64</v>
      </c>
      <c r="DA223" s="938" t="str">
        <f t="shared" si="158"/>
        <v>-</v>
      </c>
      <c r="DB223" s="936" t="s">
        <v>64</v>
      </c>
      <c r="DC223" s="934" t="s">
        <v>64</v>
      </c>
      <c r="DD223" s="934" t="s">
        <v>64</v>
      </c>
      <c r="DE223" s="939" t="str">
        <f t="shared" si="159"/>
        <v>-</v>
      </c>
      <c r="DF223" s="19"/>
    </row>
    <row r="224" spans="1:110">
      <c r="A224" s="846" t="s">
        <v>656</v>
      </c>
      <c r="B224" s="41" t="s">
        <v>156</v>
      </c>
      <c r="C224" s="41" t="s">
        <v>1490</v>
      </c>
      <c r="D224" s="34">
        <v>1500</v>
      </c>
      <c r="E224" s="535">
        <v>19.42567</v>
      </c>
      <c r="F224" s="537">
        <v>-155.25163000000001</v>
      </c>
      <c r="G224" s="37" t="s">
        <v>997</v>
      </c>
      <c r="H224" s="860" t="s">
        <v>760</v>
      </c>
      <c r="I224" s="202" t="s">
        <v>780</v>
      </c>
      <c r="J224" t="s">
        <v>889</v>
      </c>
      <c r="K224" s="34">
        <v>2021</v>
      </c>
      <c r="L224" s="51">
        <v>47.5</v>
      </c>
      <c r="M224" s="52">
        <v>35</v>
      </c>
      <c r="N224" s="54">
        <f t="shared" si="144"/>
        <v>35906.363281250007</v>
      </c>
      <c r="O224" s="54">
        <v>25018.203996556218</v>
      </c>
      <c r="P224" s="53">
        <v>27.5</v>
      </c>
      <c r="Q224" s="54">
        <v>10889.218286270871</v>
      </c>
      <c r="R224" s="772">
        <f t="shared" si="145"/>
        <v>0.3032581453634085</v>
      </c>
      <c r="S224" s="624" t="s">
        <v>212</v>
      </c>
      <c r="T224" s="37" t="s">
        <v>132</v>
      </c>
      <c r="U224" s="21">
        <v>82.833954010163765</v>
      </c>
      <c r="V224" s="552" t="s">
        <v>423</v>
      </c>
      <c r="W224" s="552" t="s">
        <v>423</v>
      </c>
      <c r="X224" s="556">
        <v>102.92534281947472</v>
      </c>
      <c r="Y224" s="784">
        <v>1.0185492466593175E-2</v>
      </c>
      <c r="Z224" s="784">
        <v>0.11849670091352493</v>
      </c>
      <c r="AA224" s="785">
        <v>3.6158498256408196E-3</v>
      </c>
      <c r="AB224" s="32" t="str">
        <f t="shared" si="146"/>
        <v>-</v>
      </c>
      <c r="AC224" s="6" t="str">
        <f t="shared" si="147"/>
        <v>-</v>
      </c>
      <c r="AD224" s="6" t="str">
        <f t="shared" si="148"/>
        <v>-</v>
      </c>
      <c r="AE224" s="6">
        <f t="shared" si="149"/>
        <v>1177.8501554766153</v>
      </c>
      <c r="AF224" s="839">
        <v>0.95399999999999996</v>
      </c>
      <c r="AG224" s="553">
        <f t="shared" si="150"/>
        <v>4.8218029350104885E-2</v>
      </c>
      <c r="AH224" s="69" t="s">
        <v>64</v>
      </c>
      <c r="AI224" s="9" t="s">
        <v>64</v>
      </c>
      <c r="AJ224" s="9" t="s">
        <v>64</v>
      </c>
      <c r="AK224" s="9" t="s">
        <v>64</v>
      </c>
      <c r="AL224" s="9" t="s">
        <v>64</v>
      </c>
      <c r="AM224" s="9" t="s">
        <v>64</v>
      </c>
      <c r="AN224" s="9" t="s">
        <v>64</v>
      </c>
      <c r="AO224" s="9" t="s">
        <v>64</v>
      </c>
      <c r="AP224" s="9" t="s">
        <v>64</v>
      </c>
      <c r="AQ224" s="9" t="s">
        <v>64</v>
      </c>
      <c r="AR224" s="9" t="s">
        <v>64</v>
      </c>
      <c r="AS224" s="6" t="s">
        <v>64</v>
      </c>
      <c r="AT224" s="6" t="s">
        <v>64</v>
      </c>
      <c r="AU224" s="9" t="s">
        <v>64</v>
      </c>
      <c r="AV224" s="8" t="str">
        <f t="shared" si="151"/>
        <v>-</v>
      </c>
      <c r="AW224" s="9" t="str">
        <f t="shared" si="152"/>
        <v>-</v>
      </c>
      <c r="AX224" s="8" t="s">
        <v>64</v>
      </c>
      <c r="AY224" s="789" t="s">
        <v>64</v>
      </c>
      <c r="AZ224" s="863" t="s">
        <v>897</v>
      </c>
      <c r="BA224" s="48" t="s">
        <v>64</v>
      </c>
      <c r="BB224" s="6">
        <v>16502.484695730247</v>
      </c>
      <c r="BC224" s="48">
        <v>1419.2196507917174</v>
      </c>
      <c r="BD224" s="6" t="s">
        <v>998</v>
      </c>
      <c r="BE224" s="48" t="s">
        <v>998</v>
      </c>
      <c r="BF224" s="668" t="s">
        <v>1008</v>
      </c>
      <c r="BG224" s="48" t="s">
        <v>64</v>
      </c>
      <c r="BH224" s="48" t="s">
        <v>64</v>
      </c>
      <c r="BI224" s="850" t="str">
        <f t="shared" si="153"/>
        <v>-</v>
      </c>
      <c r="BJ224" s="789" t="str">
        <f t="shared" si="154"/>
        <v>-</v>
      </c>
      <c r="BK224" s="67">
        <v>349</v>
      </c>
      <c r="BL224" s="48">
        <v>34.900000000000034</v>
      </c>
      <c r="BM224" s="48">
        <v>12</v>
      </c>
      <c r="BN224" s="850">
        <f t="shared" si="155"/>
        <v>1.5019396439515997</v>
      </c>
      <c r="BO224" s="789">
        <f t="shared" si="156"/>
        <v>0.14415584298477979</v>
      </c>
      <c r="BP224" s="789">
        <f t="shared" si="157"/>
        <v>4.9807142846399532E-2</v>
      </c>
      <c r="BQ224" s="861" t="s">
        <v>760</v>
      </c>
      <c r="BR224" s="45" t="s">
        <v>64</v>
      </c>
      <c r="BS224" s="854" t="s">
        <v>64</v>
      </c>
      <c r="BT224" s="605"/>
      <c r="BU224" s="599" t="s">
        <v>64</v>
      </c>
      <c r="BV224" s="851" t="s">
        <v>64</v>
      </c>
      <c r="BW224" s="851" t="s">
        <v>64</v>
      </c>
      <c r="BX224" s="851" t="s">
        <v>64</v>
      </c>
      <c r="BY224" s="851" t="s">
        <v>64</v>
      </c>
      <c r="BZ224" s="851" t="s">
        <v>64</v>
      </c>
      <c r="CA224" s="851" t="s">
        <v>64</v>
      </c>
      <c r="CB224" s="851" t="s">
        <v>64</v>
      </c>
      <c r="CC224" s="851" t="s">
        <v>64</v>
      </c>
      <c r="CD224" s="851" t="s">
        <v>64</v>
      </c>
      <c r="CE224" s="852" t="s">
        <v>64</v>
      </c>
      <c r="CF224" s="852" t="s">
        <v>64</v>
      </c>
      <c r="CG224" s="605"/>
      <c r="CH224" s="584" t="s">
        <v>64</v>
      </c>
      <c r="CI224" s="576" t="s">
        <v>64</v>
      </c>
      <c r="CJ224" s="576" t="s">
        <v>64</v>
      </c>
      <c r="CK224" s="576" t="s">
        <v>64</v>
      </c>
      <c r="CL224" s="576" t="s">
        <v>64</v>
      </c>
      <c r="CM224" s="576" t="s">
        <v>64</v>
      </c>
      <c r="CN224" s="576" t="s">
        <v>64</v>
      </c>
      <c r="CO224" s="576" t="s">
        <v>64</v>
      </c>
      <c r="CP224" s="576" t="s">
        <v>64</v>
      </c>
      <c r="CQ224" s="576" t="s">
        <v>64</v>
      </c>
      <c r="CR224" s="857" t="s">
        <v>64</v>
      </c>
      <c r="CS224" s="793" t="s">
        <v>64</v>
      </c>
      <c r="CT224" s="855" t="s">
        <v>64</v>
      </c>
      <c r="CU224" s="576" t="s">
        <v>64</v>
      </c>
      <c r="CV224" s="591" t="s">
        <v>64</v>
      </c>
      <c r="CW224" s="605"/>
      <c r="CX224" s="936" t="s">
        <v>998</v>
      </c>
      <c r="CY224" s="934" t="s">
        <v>64</v>
      </c>
      <c r="CZ224" s="934" t="s">
        <v>64</v>
      </c>
      <c r="DA224" s="938" t="str">
        <f t="shared" si="158"/>
        <v>-</v>
      </c>
      <c r="DB224" s="936" t="s">
        <v>998</v>
      </c>
      <c r="DC224" s="934" t="s">
        <v>64</v>
      </c>
      <c r="DD224" s="934" t="s">
        <v>64</v>
      </c>
      <c r="DE224" s="939" t="str">
        <f t="shared" si="159"/>
        <v>-</v>
      </c>
      <c r="DF224" s="19"/>
    </row>
    <row r="225" spans="1:110">
      <c r="A225" s="846" t="s">
        <v>657</v>
      </c>
      <c r="B225" s="41" t="s">
        <v>156</v>
      </c>
      <c r="C225" s="41" t="s">
        <v>1490</v>
      </c>
      <c r="D225" s="34">
        <v>1500</v>
      </c>
      <c r="E225" s="535">
        <v>19.42567</v>
      </c>
      <c r="F225" s="537">
        <v>-155.25163000000001</v>
      </c>
      <c r="G225" s="37" t="s">
        <v>997</v>
      </c>
      <c r="H225" s="860" t="s">
        <v>760</v>
      </c>
      <c r="I225" s="202" t="s">
        <v>780</v>
      </c>
      <c r="J225" t="s">
        <v>889</v>
      </c>
      <c r="K225" s="34">
        <v>2021</v>
      </c>
      <c r="L225" s="51">
        <v>35</v>
      </c>
      <c r="M225" s="52">
        <v>37.5</v>
      </c>
      <c r="N225" s="54">
        <f t="shared" si="144"/>
        <v>24911.113281250004</v>
      </c>
      <c r="O225" s="54">
        <v>16730.617126539393</v>
      </c>
      <c r="P225" s="53">
        <v>25</v>
      </c>
      <c r="Q225" s="54">
        <v>8181.230868723419</v>
      </c>
      <c r="R225" s="772">
        <f t="shared" si="145"/>
        <v>0.32840722495894908</v>
      </c>
      <c r="S225" s="624" t="s">
        <v>212</v>
      </c>
      <c r="T225" s="37" t="s">
        <v>132</v>
      </c>
      <c r="U225" s="21">
        <v>82.833954010163765</v>
      </c>
      <c r="V225" s="552" t="s">
        <v>423</v>
      </c>
      <c r="W225" s="552" t="s">
        <v>423</v>
      </c>
      <c r="X225" s="556">
        <v>102.98612797029317</v>
      </c>
      <c r="Y225" s="784">
        <v>9.0029612942581546E-3</v>
      </c>
      <c r="Z225" s="784">
        <v>0.14007542945407181</v>
      </c>
      <c r="AA225" s="785">
        <v>3.1960512594617074E-3</v>
      </c>
      <c r="AB225" s="32" t="str">
        <f t="shared" si="146"/>
        <v>-</v>
      </c>
      <c r="AC225" s="6" t="str">
        <f t="shared" si="147"/>
        <v>-</v>
      </c>
      <c r="AD225" s="6" t="str">
        <f t="shared" si="148"/>
        <v>-</v>
      </c>
      <c r="AE225" s="6">
        <f t="shared" si="149"/>
        <v>1177.8501554766153</v>
      </c>
      <c r="AF225" s="839">
        <v>0.95399999999999996</v>
      </c>
      <c r="AG225" s="553">
        <f t="shared" si="150"/>
        <v>4.8218029350104885E-2</v>
      </c>
      <c r="AH225" s="69" t="s">
        <v>64</v>
      </c>
      <c r="AI225" s="9" t="s">
        <v>64</v>
      </c>
      <c r="AJ225" s="9" t="s">
        <v>64</v>
      </c>
      <c r="AK225" s="9" t="s">
        <v>64</v>
      </c>
      <c r="AL225" s="9" t="s">
        <v>64</v>
      </c>
      <c r="AM225" s="9" t="s">
        <v>64</v>
      </c>
      <c r="AN225" s="9" t="s">
        <v>64</v>
      </c>
      <c r="AO225" s="9" t="s">
        <v>64</v>
      </c>
      <c r="AP225" s="9" t="s">
        <v>64</v>
      </c>
      <c r="AQ225" s="9" t="s">
        <v>64</v>
      </c>
      <c r="AR225" s="9" t="s">
        <v>64</v>
      </c>
      <c r="AS225" s="6" t="s">
        <v>64</v>
      </c>
      <c r="AT225" s="6" t="s">
        <v>64</v>
      </c>
      <c r="AU225" s="9" t="s">
        <v>64</v>
      </c>
      <c r="AV225" s="8" t="str">
        <f t="shared" si="151"/>
        <v>-</v>
      </c>
      <c r="AW225" s="9" t="str">
        <f t="shared" si="152"/>
        <v>-</v>
      </c>
      <c r="AX225" s="8" t="s">
        <v>64</v>
      </c>
      <c r="AY225" s="789" t="s">
        <v>64</v>
      </c>
      <c r="AZ225" s="863" t="s">
        <v>897</v>
      </c>
      <c r="BA225" s="48" t="s">
        <v>64</v>
      </c>
      <c r="BB225" s="6">
        <v>21792.822048568487</v>
      </c>
      <c r="BC225" s="48">
        <v>2057.012184772419</v>
      </c>
      <c r="BD225" s="6" t="s">
        <v>998</v>
      </c>
      <c r="BE225" s="48" t="s">
        <v>998</v>
      </c>
      <c r="BF225" s="668" t="s">
        <v>1008</v>
      </c>
      <c r="BG225" s="48" t="s">
        <v>64</v>
      </c>
      <c r="BH225" s="48" t="s">
        <v>64</v>
      </c>
      <c r="BI225" s="850" t="str">
        <f t="shared" si="153"/>
        <v>-</v>
      </c>
      <c r="BJ225" s="789" t="str">
        <f t="shared" si="154"/>
        <v>-</v>
      </c>
      <c r="BK225" s="67">
        <v>418</v>
      </c>
      <c r="BL225" s="48">
        <v>41.800000000000011</v>
      </c>
      <c r="BM225" s="48">
        <v>9</v>
      </c>
      <c r="BN225" s="850">
        <f t="shared" si="155"/>
        <v>1.7859537896287998</v>
      </c>
      <c r="BO225" s="789">
        <f t="shared" si="156"/>
        <v>0.1701241596503329</v>
      </c>
      <c r="BP225" s="789">
        <f t="shared" si="157"/>
        <v>3.6818328085199914E-2</v>
      </c>
      <c r="BQ225" s="861" t="s">
        <v>760</v>
      </c>
      <c r="BR225" s="45" t="s">
        <v>64</v>
      </c>
      <c r="BS225" s="854" t="s">
        <v>64</v>
      </c>
      <c r="BT225" s="605"/>
      <c r="BU225" s="599" t="s">
        <v>64</v>
      </c>
      <c r="BV225" s="851" t="s">
        <v>64</v>
      </c>
      <c r="BW225" s="851" t="s">
        <v>64</v>
      </c>
      <c r="BX225" s="851" t="s">
        <v>64</v>
      </c>
      <c r="BY225" s="851" t="s">
        <v>64</v>
      </c>
      <c r="BZ225" s="851" t="s">
        <v>64</v>
      </c>
      <c r="CA225" s="851" t="s">
        <v>64</v>
      </c>
      <c r="CB225" s="851" t="s">
        <v>64</v>
      </c>
      <c r="CC225" s="851" t="s">
        <v>64</v>
      </c>
      <c r="CD225" s="851" t="s">
        <v>64</v>
      </c>
      <c r="CE225" s="852" t="s">
        <v>64</v>
      </c>
      <c r="CF225" s="852" t="s">
        <v>64</v>
      </c>
      <c r="CG225" s="605"/>
      <c r="CH225" s="584" t="s">
        <v>64</v>
      </c>
      <c r="CI225" s="576" t="s">
        <v>64</v>
      </c>
      <c r="CJ225" s="576" t="s">
        <v>64</v>
      </c>
      <c r="CK225" s="576" t="s">
        <v>64</v>
      </c>
      <c r="CL225" s="576" t="s">
        <v>64</v>
      </c>
      <c r="CM225" s="576" t="s">
        <v>64</v>
      </c>
      <c r="CN225" s="576" t="s">
        <v>64</v>
      </c>
      <c r="CO225" s="576" t="s">
        <v>64</v>
      </c>
      <c r="CP225" s="576" t="s">
        <v>64</v>
      </c>
      <c r="CQ225" s="576" t="s">
        <v>64</v>
      </c>
      <c r="CR225" s="857" t="s">
        <v>64</v>
      </c>
      <c r="CS225" s="793" t="s">
        <v>64</v>
      </c>
      <c r="CT225" s="855" t="s">
        <v>64</v>
      </c>
      <c r="CU225" s="576" t="s">
        <v>64</v>
      </c>
      <c r="CV225" s="591" t="s">
        <v>64</v>
      </c>
      <c r="CW225" s="605"/>
      <c r="CX225" s="936" t="s">
        <v>998</v>
      </c>
      <c r="CY225" s="934" t="s">
        <v>64</v>
      </c>
      <c r="CZ225" s="934" t="s">
        <v>64</v>
      </c>
      <c r="DA225" s="938" t="str">
        <f t="shared" si="158"/>
        <v>-</v>
      </c>
      <c r="DB225" s="936" t="s">
        <v>998</v>
      </c>
      <c r="DC225" s="934" t="s">
        <v>64</v>
      </c>
      <c r="DD225" s="934" t="s">
        <v>64</v>
      </c>
      <c r="DE225" s="939" t="str">
        <f t="shared" si="159"/>
        <v>-</v>
      </c>
      <c r="DF225" s="19"/>
    </row>
    <row r="226" spans="1:110">
      <c r="A226" s="846" t="s">
        <v>658</v>
      </c>
      <c r="B226" s="41" t="s">
        <v>156</v>
      </c>
      <c r="C226" s="41" t="s">
        <v>1490</v>
      </c>
      <c r="D226" s="34">
        <v>1500</v>
      </c>
      <c r="E226" s="535">
        <v>19.42567</v>
      </c>
      <c r="F226" s="537">
        <v>-155.25163000000001</v>
      </c>
      <c r="G226" s="37" t="s">
        <v>405</v>
      </c>
      <c r="H226" s="37" t="s">
        <v>64</v>
      </c>
      <c r="I226" s="202" t="s">
        <v>780</v>
      </c>
      <c r="J226" t="s">
        <v>893</v>
      </c>
      <c r="K226" s="34">
        <v>2021</v>
      </c>
      <c r="L226" s="51">
        <v>85</v>
      </c>
      <c r="M226" s="52">
        <v>70</v>
      </c>
      <c r="N226" s="838">
        <f t="shared" si="144"/>
        <v>241437.36458333337</v>
      </c>
      <c r="O226" s="54">
        <v>231763.25452904211</v>
      </c>
      <c r="P226" s="53">
        <v>25</v>
      </c>
      <c r="Q226" s="54">
        <v>8181.230868723419</v>
      </c>
      <c r="R226" s="772">
        <f t="shared" si="145"/>
        <v>3.409634880818814E-2</v>
      </c>
      <c r="S226" s="33" t="s">
        <v>64</v>
      </c>
      <c r="T226" s="37" t="s">
        <v>132</v>
      </c>
      <c r="U226" s="853" t="s">
        <v>64</v>
      </c>
      <c r="V226" s="552" t="s">
        <v>423</v>
      </c>
      <c r="W226" s="552" t="s">
        <v>423</v>
      </c>
      <c r="X226" s="556">
        <v>102.7103445800991</v>
      </c>
      <c r="Y226" s="784">
        <v>6.4781230496235836E-3</v>
      </c>
      <c r="Z226" s="784">
        <v>4.2172325935176502E-2</v>
      </c>
      <c r="AA226" s="785">
        <v>2.29973368261745E-3</v>
      </c>
      <c r="AB226" s="32" t="str">
        <f t="shared" si="146"/>
        <v>-</v>
      </c>
      <c r="AC226" s="6" t="str">
        <f t="shared" si="147"/>
        <v>-</v>
      </c>
      <c r="AD226" s="6" t="str">
        <f t="shared" si="148"/>
        <v>-</v>
      </c>
      <c r="AE226" s="6" t="str">
        <f t="shared" si="149"/>
        <v>-</v>
      </c>
      <c r="AF226" s="839">
        <v>0.98599999999999999</v>
      </c>
      <c r="AG226" s="553">
        <f t="shared" si="150"/>
        <v>1.4198782961460488E-2</v>
      </c>
      <c r="AH226" s="69" t="s">
        <v>64</v>
      </c>
      <c r="AI226" s="9" t="s">
        <v>64</v>
      </c>
      <c r="AJ226" s="9" t="s">
        <v>64</v>
      </c>
      <c r="AK226" s="9" t="s">
        <v>64</v>
      </c>
      <c r="AL226" s="9" t="s">
        <v>64</v>
      </c>
      <c r="AM226" s="9" t="s">
        <v>64</v>
      </c>
      <c r="AN226" s="9" t="s">
        <v>64</v>
      </c>
      <c r="AO226" s="9" t="s">
        <v>64</v>
      </c>
      <c r="AP226" s="9" t="s">
        <v>64</v>
      </c>
      <c r="AQ226" s="9" t="s">
        <v>64</v>
      </c>
      <c r="AR226" s="9" t="s">
        <v>64</v>
      </c>
      <c r="AS226" s="6" t="s">
        <v>64</v>
      </c>
      <c r="AT226" s="6" t="s">
        <v>64</v>
      </c>
      <c r="AU226" s="9" t="s">
        <v>64</v>
      </c>
      <c r="AV226" s="8" t="str">
        <f t="shared" si="151"/>
        <v>-</v>
      </c>
      <c r="AW226" s="9" t="str">
        <f t="shared" si="152"/>
        <v>-</v>
      </c>
      <c r="AX226" s="8" t="s">
        <v>64</v>
      </c>
      <c r="AY226" s="789" t="s">
        <v>64</v>
      </c>
      <c r="AZ226" s="863" t="s">
        <v>897</v>
      </c>
      <c r="BA226" s="48" t="s">
        <v>64</v>
      </c>
      <c r="BB226" s="6">
        <v>500.71466954833244</v>
      </c>
      <c r="BC226" s="48">
        <v>41.688525491890047</v>
      </c>
      <c r="BD226" s="849">
        <v>658.71466954833249</v>
      </c>
      <c r="BE226" s="48">
        <v>44.582206738652658</v>
      </c>
      <c r="BF226" s="668">
        <v>1506.351603680951</v>
      </c>
      <c r="BG226" s="48">
        <v>88.308841176914939</v>
      </c>
      <c r="BH226" s="48">
        <v>89.590927251020958</v>
      </c>
      <c r="BI226" s="850">
        <f t="shared" si="153"/>
        <v>5.8308237858562535</v>
      </c>
      <c r="BJ226" s="789">
        <f t="shared" si="154"/>
        <v>0.30266883681354528</v>
      </c>
      <c r="BK226" s="67" t="s">
        <v>64</v>
      </c>
      <c r="BL226" s="48" t="s">
        <v>64</v>
      </c>
      <c r="BM226" s="48" t="s">
        <v>64</v>
      </c>
      <c r="BN226" s="850" t="str">
        <f t="shared" si="155"/>
        <v>-</v>
      </c>
      <c r="BO226" s="789" t="str">
        <f t="shared" si="156"/>
        <v>-</v>
      </c>
      <c r="BP226" s="789" t="str">
        <f t="shared" si="157"/>
        <v>-</v>
      </c>
      <c r="BQ226" s="34" t="s">
        <v>64</v>
      </c>
      <c r="BR226" s="45" t="s">
        <v>64</v>
      </c>
      <c r="BS226" s="854" t="s">
        <v>64</v>
      </c>
      <c r="BT226" s="605"/>
      <c r="BU226" s="599" t="s">
        <v>64</v>
      </c>
      <c r="BV226" s="851" t="s">
        <v>64</v>
      </c>
      <c r="BW226" s="851" t="s">
        <v>64</v>
      </c>
      <c r="BX226" s="851" t="s">
        <v>64</v>
      </c>
      <c r="BY226" s="851" t="s">
        <v>64</v>
      </c>
      <c r="BZ226" s="851" t="s">
        <v>64</v>
      </c>
      <c r="CA226" s="851" t="s">
        <v>64</v>
      </c>
      <c r="CB226" s="851" t="s">
        <v>64</v>
      </c>
      <c r="CC226" s="851" t="s">
        <v>64</v>
      </c>
      <c r="CD226" s="851" t="s">
        <v>64</v>
      </c>
      <c r="CE226" s="852" t="s">
        <v>64</v>
      </c>
      <c r="CF226" s="852" t="s">
        <v>64</v>
      </c>
      <c r="CG226" s="605"/>
      <c r="CH226" s="584" t="s">
        <v>64</v>
      </c>
      <c r="CI226" s="576" t="s">
        <v>64</v>
      </c>
      <c r="CJ226" s="576" t="s">
        <v>64</v>
      </c>
      <c r="CK226" s="576" t="s">
        <v>64</v>
      </c>
      <c r="CL226" s="576" t="s">
        <v>64</v>
      </c>
      <c r="CM226" s="576" t="s">
        <v>64</v>
      </c>
      <c r="CN226" s="576" t="s">
        <v>64</v>
      </c>
      <c r="CO226" s="576" t="s">
        <v>64</v>
      </c>
      <c r="CP226" s="576" t="s">
        <v>64</v>
      </c>
      <c r="CQ226" s="576" t="s">
        <v>64</v>
      </c>
      <c r="CR226" s="857" t="s">
        <v>64</v>
      </c>
      <c r="CS226" s="793" t="s">
        <v>64</v>
      </c>
      <c r="CT226" s="855" t="s">
        <v>64</v>
      </c>
      <c r="CU226" s="576" t="s">
        <v>64</v>
      </c>
      <c r="CV226" s="591" t="s">
        <v>64</v>
      </c>
      <c r="CW226" s="605"/>
      <c r="CX226" s="936">
        <v>1382.0057969362249</v>
      </c>
      <c r="CY226" s="934">
        <v>86.736503633384018</v>
      </c>
      <c r="CZ226" s="934">
        <v>87.474887404922811</v>
      </c>
      <c r="DA226" s="938">
        <f t="shared" si="158"/>
        <v>5.4016130446391815</v>
      </c>
      <c r="DB226" s="936">
        <v>1223.5507957742559</v>
      </c>
      <c r="DC226" s="934">
        <v>71.699247035017152</v>
      </c>
      <c r="DD226" s="934">
        <v>72.335523546090826</v>
      </c>
      <c r="DE226" s="939">
        <f t="shared" si="159"/>
        <v>4.8448277664973221</v>
      </c>
      <c r="DF226" s="19"/>
    </row>
    <row r="227" spans="1:110">
      <c r="A227" s="846" t="s">
        <v>659</v>
      </c>
      <c r="B227" s="41" t="s">
        <v>156</v>
      </c>
      <c r="C227" s="41" t="s">
        <v>1490</v>
      </c>
      <c r="D227" s="34">
        <v>1500</v>
      </c>
      <c r="E227" s="535">
        <v>19.42567</v>
      </c>
      <c r="F227" s="537">
        <v>-155.25163000000001</v>
      </c>
      <c r="G227" s="37" t="s">
        <v>405</v>
      </c>
      <c r="H227" s="37" t="s">
        <v>64</v>
      </c>
      <c r="I227" s="202" t="s">
        <v>780</v>
      </c>
      <c r="J227" t="s">
        <v>893</v>
      </c>
      <c r="K227" s="34">
        <v>2021</v>
      </c>
      <c r="L227" s="51">
        <v>100</v>
      </c>
      <c r="M227" s="52">
        <v>74</v>
      </c>
      <c r="N227" s="838">
        <f t="shared" si="144"/>
        <v>337082.95000000007</v>
      </c>
      <c r="O227" s="54">
        <v>325036.35140825092</v>
      </c>
      <c r="P227" s="53">
        <v>28</v>
      </c>
      <c r="Q227" s="54">
        <v>11494.040321933855</v>
      </c>
      <c r="R227" s="772">
        <f t="shared" si="145"/>
        <v>3.4154538800612304E-2</v>
      </c>
      <c r="S227" s="33" t="s">
        <v>64</v>
      </c>
      <c r="T227" s="37" t="s">
        <v>132</v>
      </c>
      <c r="U227" s="853" t="s">
        <v>64</v>
      </c>
      <c r="V227" s="552" t="s">
        <v>423</v>
      </c>
      <c r="W227" s="552" t="s">
        <v>423</v>
      </c>
      <c r="X227" s="556">
        <v>102.69448386694131</v>
      </c>
      <c r="Y227" s="784">
        <v>1.9652803632834042E-2</v>
      </c>
      <c r="Z227" s="784">
        <v>3.654177276415993E-2</v>
      </c>
      <c r="AA227" s="785">
        <v>6.97674528965619E-3</v>
      </c>
      <c r="AB227" s="32" t="str">
        <f t="shared" si="146"/>
        <v>-</v>
      </c>
      <c r="AC227" s="6" t="str">
        <f t="shared" si="147"/>
        <v>-</v>
      </c>
      <c r="AD227" s="6" t="str">
        <f t="shared" si="148"/>
        <v>-</v>
      </c>
      <c r="AE227" s="6" t="str">
        <f t="shared" si="149"/>
        <v>-</v>
      </c>
      <c r="AF227" s="839">
        <v>0.98599999999999999</v>
      </c>
      <c r="AG227" s="553">
        <f t="shared" si="150"/>
        <v>1.4198782961460488E-2</v>
      </c>
      <c r="AH227" s="69" t="s">
        <v>64</v>
      </c>
      <c r="AI227" s="9" t="s">
        <v>64</v>
      </c>
      <c r="AJ227" s="9" t="s">
        <v>64</v>
      </c>
      <c r="AK227" s="9" t="s">
        <v>64</v>
      </c>
      <c r="AL227" s="9" t="s">
        <v>64</v>
      </c>
      <c r="AM227" s="9" t="s">
        <v>64</v>
      </c>
      <c r="AN227" s="9" t="s">
        <v>64</v>
      </c>
      <c r="AO227" s="9" t="s">
        <v>64</v>
      </c>
      <c r="AP227" s="9" t="s">
        <v>64</v>
      </c>
      <c r="AQ227" s="9" t="s">
        <v>64</v>
      </c>
      <c r="AR227" s="9" t="s">
        <v>64</v>
      </c>
      <c r="AS227" s="6" t="s">
        <v>64</v>
      </c>
      <c r="AT227" s="6" t="s">
        <v>64</v>
      </c>
      <c r="AU227" s="9" t="s">
        <v>64</v>
      </c>
      <c r="AV227" s="8" t="str">
        <f t="shared" si="151"/>
        <v>-</v>
      </c>
      <c r="AW227" s="9" t="str">
        <f t="shared" si="152"/>
        <v>-</v>
      </c>
      <c r="AX227" s="8" t="s">
        <v>64</v>
      </c>
      <c r="AY227" s="789" t="s">
        <v>64</v>
      </c>
      <c r="AZ227" s="863" t="s">
        <v>897</v>
      </c>
      <c r="BA227" s="48" t="s">
        <v>64</v>
      </c>
      <c r="BB227" s="6">
        <v>434.65852000655832</v>
      </c>
      <c r="BC227" s="48">
        <v>85.469602773806102</v>
      </c>
      <c r="BD227" s="849">
        <v>592.65852000655832</v>
      </c>
      <c r="BE227" s="48">
        <v>86.917736960370775</v>
      </c>
      <c r="BF227" s="668">
        <v>1373.1377377633919</v>
      </c>
      <c r="BG227" s="48">
        <v>174.6938497592912</v>
      </c>
      <c r="BH227" s="48">
        <v>179.80451198277092</v>
      </c>
      <c r="BI227" s="850">
        <f t="shared" si="153"/>
        <v>5.370755441606323</v>
      </c>
      <c r="BJ227" s="789">
        <f t="shared" si="154"/>
        <v>0.60857375934870017</v>
      </c>
      <c r="BK227" s="67" t="s">
        <v>64</v>
      </c>
      <c r="BL227" s="48" t="s">
        <v>64</v>
      </c>
      <c r="BM227" s="48" t="s">
        <v>64</v>
      </c>
      <c r="BN227" s="850" t="str">
        <f t="shared" si="155"/>
        <v>-</v>
      </c>
      <c r="BO227" s="789" t="str">
        <f t="shared" si="156"/>
        <v>-</v>
      </c>
      <c r="BP227" s="789" t="str">
        <f t="shared" si="157"/>
        <v>-</v>
      </c>
      <c r="BQ227" s="34" t="s">
        <v>64</v>
      </c>
      <c r="BR227" s="45" t="s">
        <v>64</v>
      </c>
      <c r="BS227" s="854" t="s">
        <v>64</v>
      </c>
      <c r="BT227" s="605"/>
      <c r="BU227" s="599" t="s">
        <v>64</v>
      </c>
      <c r="BV227" s="851" t="s">
        <v>64</v>
      </c>
      <c r="BW227" s="851" t="s">
        <v>64</v>
      </c>
      <c r="BX227" s="851" t="s">
        <v>64</v>
      </c>
      <c r="BY227" s="851" t="s">
        <v>64</v>
      </c>
      <c r="BZ227" s="851" t="s">
        <v>64</v>
      </c>
      <c r="CA227" s="851" t="s">
        <v>64</v>
      </c>
      <c r="CB227" s="851" t="s">
        <v>64</v>
      </c>
      <c r="CC227" s="851" t="s">
        <v>64</v>
      </c>
      <c r="CD227" s="851" t="s">
        <v>64</v>
      </c>
      <c r="CE227" s="852" t="s">
        <v>64</v>
      </c>
      <c r="CF227" s="852" t="s">
        <v>64</v>
      </c>
      <c r="CG227" s="605"/>
      <c r="CH227" s="584" t="s">
        <v>64</v>
      </c>
      <c r="CI227" s="576" t="s">
        <v>64</v>
      </c>
      <c r="CJ227" s="576" t="s">
        <v>64</v>
      </c>
      <c r="CK227" s="576" t="s">
        <v>64</v>
      </c>
      <c r="CL227" s="576" t="s">
        <v>64</v>
      </c>
      <c r="CM227" s="576" t="s">
        <v>64</v>
      </c>
      <c r="CN227" s="576" t="s">
        <v>64</v>
      </c>
      <c r="CO227" s="576" t="s">
        <v>64</v>
      </c>
      <c r="CP227" s="576" t="s">
        <v>64</v>
      </c>
      <c r="CQ227" s="576" t="s">
        <v>64</v>
      </c>
      <c r="CR227" s="857" t="s">
        <v>64</v>
      </c>
      <c r="CS227" s="793" t="s">
        <v>64</v>
      </c>
      <c r="CT227" s="855" t="s">
        <v>64</v>
      </c>
      <c r="CU227" s="576" t="s">
        <v>64</v>
      </c>
      <c r="CV227" s="591" t="s">
        <v>64</v>
      </c>
      <c r="CW227" s="605"/>
      <c r="CX227" s="936">
        <v>1252.132158745999</v>
      </c>
      <c r="CY227" s="934">
        <v>170.55235164265287</v>
      </c>
      <c r="CZ227" s="934">
        <v>173.37762442617213</v>
      </c>
      <c r="DA227" s="938">
        <f t="shared" si="158"/>
        <v>4.9461375502931073</v>
      </c>
      <c r="DB227" s="936">
        <v>1116.131123068677</v>
      </c>
      <c r="DC227" s="934">
        <v>141.04656949450896</v>
      </c>
      <c r="DD227" s="934">
        <v>143.78125068100258</v>
      </c>
      <c r="DE227" s="939">
        <f t="shared" si="159"/>
        <v>4.4603398304566628</v>
      </c>
      <c r="DF227" s="19"/>
    </row>
    <row r="228" spans="1:110">
      <c r="A228" s="846" t="s">
        <v>660</v>
      </c>
      <c r="B228" s="41" t="s">
        <v>156</v>
      </c>
      <c r="C228" s="41" t="s">
        <v>1490</v>
      </c>
      <c r="D228" s="34">
        <v>1500</v>
      </c>
      <c r="E228" s="535">
        <v>19.42567</v>
      </c>
      <c r="F228" s="537">
        <v>-155.25163000000001</v>
      </c>
      <c r="G228" s="37" t="s">
        <v>997</v>
      </c>
      <c r="H228" s="860" t="s">
        <v>760</v>
      </c>
      <c r="I228" s="202" t="s">
        <v>780</v>
      </c>
      <c r="J228" t="s">
        <v>893</v>
      </c>
      <c r="K228" s="34">
        <v>2021</v>
      </c>
      <c r="L228" s="51">
        <v>100</v>
      </c>
      <c r="M228" s="52">
        <v>76</v>
      </c>
      <c r="N228" s="838">
        <f t="shared" si="144"/>
        <v>350172.53333333338</v>
      </c>
      <c r="O228" s="54">
        <v>289933.27532917523</v>
      </c>
      <c r="P228" s="53">
        <v>48</v>
      </c>
      <c r="Q228" s="54">
        <v>57905.835790967059</v>
      </c>
      <c r="R228" s="772">
        <f t="shared" si="145"/>
        <v>0.1664730444040452</v>
      </c>
      <c r="S228" s="33" t="s">
        <v>64</v>
      </c>
      <c r="T228" s="37" t="s">
        <v>132</v>
      </c>
      <c r="U228" s="853" t="s">
        <v>64</v>
      </c>
      <c r="V228" s="552" t="s">
        <v>423</v>
      </c>
      <c r="W228" s="552" t="s">
        <v>423</v>
      </c>
      <c r="X228" s="556">
        <v>102.96440803844476</v>
      </c>
      <c r="Y228" s="784">
        <v>3.3323971790508726E-3</v>
      </c>
      <c r="Z228" s="784">
        <v>0.13236485364788564</v>
      </c>
      <c r="AA228" s="785">
        <v>1.1830009985634622E-3</v>
      </c>
      <c r="AB228" s="32" t="str">
        <f t="shared" si="146"/>
        <v>-</v>
      </c>
      <c r="AC228" s="6" t="str">
        <f t="shared" si="147"/>
        <v>-</v>
      </c>
      <c r="AD228" s="6" t="str">
        <f t="shared" si="148"/>
        <v>-</v>
      </c>
      <c r="AE228" s="6" t="str">
        <f t="shared" si="149"/>
        <v>-</v>
      </c>
      <c r="AF228" s="839">
        <v>0.98599999999999999</v>
      </c>
      <c r="AG228" s="553">
        <f t="shared" si="150"/>
        <v>1.4198782961460488E-2</v>
      </c>
      <c r="AH228" s="69" t="s">
        <v>64</v>
      </c>
      <c r="AI228" s="9" t="s">
        <v>64</v>
      </c>
      <c r="AJ228" s="9" t="s">
        <v>64</v>
      </c>
      <c r="AK228" s="9" t="s">
        <v>64</v>
      </c>
      <c r="AL228" s="9" t="s">
        <v>64</v>
      </c>
      <c r="AM228" s="9" t="s">
        <v>64</v>
      </c>
      <c r="AN228" s="9" t="s">
        <v>64</v>
      </c>
      <c r="AO228" s="9" t="s">
        <v>64</v>
      </c>
      <c r="AP228" s="9" t="s">
        <v>64</v>
      </c>
      <c r="AQ228" s="9" t="s">
        <v>64</v>
      </c>
      <c r="AR228" s="9" t="s">
        <v>64</v>
      </c>
      <c r="AS228" s="6" t="s">
        <v>64</v>
      </c>
      <c r="AT228" s="6" t="s">
        <v>64</v>
      </c>
      <c r="AU228" s="9" t="s">
        <v>64</v>
      </c>
      <c r="AV228" s="8" t="str">
        <f t="shared" si="151"/>
        <v>-</v>
      </c>
      <c r="AW228" s="9" t="str">
        <f t="shared" si="152"/>
        <v>-</v>
      </c>
      <c r="AX228" s="8" t="s">
        <v>64</v>
      </c>
      <c r="AY228" s="789" t="s">
        <v>64</v>
      </c>
      <c r="AZ228" s="863" t="s">
        <v>897</v>
      </c>
      <c r="BA228" s="48" t="s">
        <v>64</v>
      </c>
      <c r="BB228" s="6">
        <v>8816.6860945297067</v>
      </c>
      <c r="BC228" s="48">
        <v>355.39849929044323</v>
      </c>
      <c r="BD228" s="6" t="s">
        <v>998</v>
      </c>
      <c r="BE228" s="48" t="s">
        <v>998</v>
      </c>
      <c r="BF228" s="668" t="s">
        <v>1008</v>
      </c>
      <c r="BG228" s="48" t="s">
        <v>64</v>
      </c>
      <c r="BH228" s="48" t="s">
        <v>64</v>
      </c>
      <c r="BI228" s="850" t="str">
        <f t="shared" si="153"/>
        <v>-</v>
      </c>
      <c r="BJ228" s="789" t="str">
        <f t="shared" si="154"/>
        <v>-</v>
      </c>
      <c r="BK228" s="67">
        <v>394</v>
      </c>
      <c r="BL228" s="48">
        <v>39.400000000000034</v>
      </c>
      <c r="BM228" s="48">
        <v>4</v>
      </c>
      <c r="BN228" s="850">
        <f t="shared" si="155"/>
        <v>1.6876213593056</v>
      </c>
      <c r="BO228" s="789">
        <f t="shared" si="156"/>
        <v>0.16117689477495367</v>
      </c>
      <c r="BP228" s="789">
        <f t="shared" si="157"/>
        <v>1.6435619705599924E-2</v>
      </c>
      <c r="BQ228" s="861" t="s">
        <v>914</v>
      </c>
      <c r="BR228" s="45" t="s">
        <v>64</v>
      </c>
      <c r="BS228" s="854" t="s">
        <v>64</v>
      </c>
      <c r="BT228" s="605"/>
      <c r="BU228" s="599" t="s">
        <v>64</v>
      </c>
      <c r="BV228" s="851" t="s">
        <v>64</v>
      </c>
      <c r="BW228" s="851" t="s">
        <v>64</v>
      </c>
      <c r="BX228" s="851" t="s">
        <v>64</v>
      </c>
      <c r="BY228" s="851" t="s">
        <v>64</v>
      </c>
      <c r="BZ228" s="851" t="s">
        <v>64</v>
      </c>
      <c r="CA228" s="851" t="s">
        <v>64</v>
      </c>
      <c r="CB228" s="851" t="s">
        <v>64</v>
      </c>
      <c r="CC228" s="851" t="s">
        <v>64</v>
      </c>
      <c r="CD228" s="851" t="s">
        <v>64</v>
      </c>
      <c r="CE228" s="852" t="s">
        <v>64</v>
      </c>
      <c r="CF228" s="852" t="s">
        <v>64</v>
      </c>
      <c r="CG228" s="605"/>
      <c r="CH228" s="584" t="s">
        <v>64</v>
      </c>
      <c r="CI228" s="576" t="s">
        <v>64</v>
      </c>
      <c r="CJ228" s="576" t="s">
        <v>64</v>
      </c>
      <c r="CK228" s="576" t="s">
        <v>64</v>
      </c>
      <c r="CL228" s="576" t="s">
        <v>64</v>
      </c>
      <c r="CM228" s="576" t="s">
        <v>64</v>
      </c>
      <c r="CN228" s="576" t="s">
        <v>64</v>
      </c>
      <c r="CO228" s="576" t="s">
        <v>64</v>
      </c>
      <c r="CP228" s="576" t="s">
        <v>64</v>
      </c>
      <c r="CQ228" s="576" t="s">
        <v>64</v>
      </c>
      <c r="CR228" s="857" t="s">
        <v>64</v>
      </c>
      <c r="CS228" s="793" t="s">
        <v>64</v>
      </c>
      <c r="CT228" s="855" t="s">
        <v>64</v>
      </c>
      <c r="CU228" s="576" t="s">
        <v>64</v>
      </c>
      <c r="CV228" s="591" t="s">
        <v>64</v>
      </c>
      <c r="CW228" s="605"/>
      <c r="CX228" s="936" t="s">
        <v>998</v>
      </c>
      <c r="CY228" s="934" t="s">
        <v>64</v>
      </c>
      <c r="CZ228" s="934" t="s">
        <v>64</v>
      </c>
      <c r="DA228" s="938" t="str">
        <f t="shared" si="158"/>
        <v>-</v>
      </c>
      <c r="DB228" s="936" t="s">
        <v>998</v>
      </c>
      <c r="DC228" s="934" t="s">
        <v>64</v>
      </c>
      <c r="DD228" s="934" t="s">
        <v>64</v>
      </c>
      <c r="DE228" s="939" t="str">
        <f t="shared" si="159"/>
        <v>-</v>
      </c>
      <c r="DF228" s="19"/>
    </row>
    <row r="229" spans="1:110">
      <c r="A229" s="846"/>
      <c r="L229" s="5"/>
      <c r="P229" s="5"/>
      <c r="S229" s="39"/>
      <c r="X229" s="5"/>
      <c r="AB229" s="5"/>
      <c r="AH229" s="5"/>
      <c r="AV229" s="5"/>
      <c r="AX229" s="5"/>
      <c r="BF229" s="5"/>
      <c r="BK229" s="562"/>
      <c r="BR229" s="5"/>
      <c r="BT229" s="604"/>
      <c r="BU229" s="601"/>
      <c r="BV229" s="795"/>
      <c r="BW229" s="795"/>
      <c r="BX229" s="795"/>
      <c r="BY229" s="795"/>
      <c r="BZ229" s="795"/>
      <c r="CA229" s="795"/>
      <c r="CB229" s="795"/>
      <c r="CC229" s="795"/>
      <c r="CD229" s="795"/>
      <c r="CE229" s="795"/>
      <c r="CF229" s="795"/>
      <c r="CG229" s="604"/>
      <c r="CH229" s="585"/>
      <c r="CI229" s="796"/>
      <c r="CJ229" s="796"/>
      <c r="CK229" s="796"/>
      <c r="CL229" s="796"/>
      <c r="CM229" s="796"/>
      <c r="CN229" s="796"/>
      <c r="CO229" s="796"/>
      <c r="CP229" s="796"/>
      <c r="CQ229" s="796"/>
      <c r="CR229" s="797"/>
      <c r="CS229" s="796"/>
      <c r="CT229" s="796"/>
      <c r="CU229" s="796"/>
      <c r="CV229" s="593"/>
      <c r="CW229" s="604"/>
      <c r="CX229" s="940"/>
      <c r="CY229" s="941"/>
      <c r="CZ229" s="941"/>
      <c r="DA229" s="941"/>
      <c r="DB229" s="940"/>
      <c r="DC229" s="941"/>
      <c r="DD229" s="941"/>
      <c r="DE229" s="942"/>
    </row>
    <row r="230" spans="1:110">
      <c r="A230" s="846"/>
      <c r="L230" s="5"/>
      <c r="P230" s="5"/>
      <c r="S230" s="39"/>
      <c r="X230" s="5"/>
      <c r="AB230" s="5"/>
      <c r="AH230" s="5"/>
      <c r="AV230" s="5"/>
      <c r="AX230" s="5"/>
      <c r="BF230" s="5"/>
      <c r="BK230" s="562"/>
      <c r="BR230" s="5"/>
      <c r="BT230" s="604"/>
      <c r="BU230" s="601"/>
      <c r="BV230" s="795"/>
      <c r="BW230" s="795"/>
      <c r="BX230" s="795"/>
      <c r="BY230" s="795"/>
      <c r="BZ230" s="795"/>
      <c r="CA230" s="795"/>
      <c r="CB230" s="795"/>
      <c r="CC230" s="795"/>
      <c r="CD230" s="795"/>
      <c r="CE230" s="795"/>
      <c r="CF230" s="795"/>
      <c r="CG230" s="604"/>
      <c r="CH230" s="585"/>
      <c r="CI230" s="796"/>
      <c r="CJ230" s="796"/>
      <c r="CK230" s="796"/>
      <c r="CL230" s="796"/>
      <c r="CM230" s="796"/>
      <c r="CN230" s="796"/>
      <c r="CO230" s="796"/>
      <c r="CP230" s="796"/>
      <c r="CQ230" s="796"/>
      <c r="CR230" s="797"/>
      <c r="CS230" s="796"/>
      <c r="CT230" s="796"/>
      <c r="CU230" s="796"/>
      <c r="CV230" s="593"/>
      <c r="CW230" s="604"/>
      <c r="CX230" s="940"/>
      <c r="CY230" s="941"/>
      <c r="CZ230" s="941"/>
      <c r="DA230" s="941"/>
      <c r="DB230" s="940"/>
      <c r="DC230" s="941"/>
      <c r="DD230" s="941"/>
      <c r="DE230" s="942"/>
    </row>
    <row r="231" spans="1:110">
      <c r="A231" s="846"/>
      <c r="L231" s="5"/>
      <c r="P231" s="5"/>
      <c r="S231" s="39"/>
      <c r="X231" s="5"/>
      <c r="AB231" s="5"/>
      <c r="AH231" s="5"/>
      <c r="AV231" s="5"/>
      <c r="AX231" s="5"/>
      <c r="BF231" s="5"/>
      <c r="BK231" s="562"/>
      <c r="BR231" s="5"/>
      <c r="BT231" s="604"/>
      <c r="BU231" s="601"/>
      <c r="BV231" s="795"/>
      <c r="BW231" s="795"/>
      <c r="BX231" s="795"/>
      <c r="BY231" s="795"/>
      <c r="BZ231" s="795"/>
      <c r="CA231" s="795"/>
      <c r="CB231" s="795"/>
      <c r="CC231" s="795"/>
      <c r="CD231" s="795"/>
      <c r="CE231" s="795"/>
      <c r="CF231" s="795"/>
      <c r="CG231" s="604"/>
      <c r="CH231" s="585"/>
      <c r="CI231" s="796"/>
      <c r="CJ231" s="796"/>
      <c r="CK231" s="796"/>
      <c r="CL231" s="796"/>
      <c r="CM231" s="796"/>
      <c r="CN231" s="796"/>
      <c r="CO231" s="796"/>
      <c r="CP231" s="796"/>
      <c r="CQ231" s="796"/>
      <c r="CR231" s="797"/>
      <c r="CS231" s="796"/>
      <c r="CT231" s="796"/>
      <c r="CU231" s="796"/>
      <c r="CV231" s="593"/>
      <c r="CW231" s="604"/>
      <c r="CX231" s="940"/>
      <c r="CY231" s="941"/>
      <c r="CZ231" s="941"/>
      <c r="DA231" s="941"/>
      <c r="DB231" s="940"/>
      <c r="DC231" s="941"/>
      <c r="DD231" s="941"/>
      <c r="DE231" s="942"/>
    </row>
    <row r="232" spans="1:110" s="138" customFormat="1" ht="22.9" customHeight="1">
      <c r="A232" s="1060" t="s">
        <v>933</v>
      </c>
      <c r="B232" s="874"/>
      <c r="C232" s="874"/>
      <c r="D232" s="874"/>
      <c r="E232" s="1061"/>
      <c r="F232" s="1062"/>
      <c r="G232" s="782"/>
      <c r="H232" s="874"/>
      <c r="I232" s="1063"/>
      <c r="J232" s="1064"/>
      <c r="K232" s="874"/>
      <c r="L232" s="1065"/>
      <c r="M232" s="1064"/>
      <c r="N232" s="1066"/>
      <c r="O232" s="1066"/>
      <c r="P232" s="1067"/>
      <c r="Q232" s="1066"/>
      <c r="R232" s="1068"/>
      <c r="S232" s="764"/>
      <c r="T232" s="874"/>
      <c r="U232" s="1068"/>
      <c r="V232" s="1069"/>
      <c r="W232" s="1069"/>
      <c r="X232" s="764"/>
      <c r="Y232" s="1070"/>
      <c r="Z232" s="878"/>
      <c r="AA232" s="1070"/>
      <c r="AB232" s="764"/>
      <c r="AC232" s="874"/>
      <c r="AD232" s="874"/>
      <c r="AE232" s="874"/>
      <c r="AF232" s="875"/>
      <c r="AG232" s="1071"/>
      <c r="AH232" s="765"/>
      <c r="AI232" s="874"/>
      <c r="AJ232" s="874"/>
      <c r="AK232" s="874"/>
      <c r="AL232" s="874"/>
      <c r="AM232" s="874"/>
      <c r="AN232" s="874"/>
      <c r="AO232" s="874"/>
      <c r="AP232" s="874"/>
      <c r="AQ232" s="874"/>
      <c r="AR232" s="874"/>
      <c r="AS232" s="874"/>
      <c r="AT232" s="874"/>
      <c r="AU232" s="874"/>
      <c r="AV232" s="764"/>
      <c r="AW232" s="874"/>
      <c r="AX232" s="766"/>
      <c r="AY232" s="1069"/>
      <c r="AZ232" s="874"/>
      <c r="BA232" s="1064"/>
      <c r="BB232" s="874"/>
      <c r="BC232" s="1064"/>
      <c r="BD232" s="876"/>
      <c r="BE232" s="1064"/>
      <c r="BF232" s="767"/>
      <c r="BG232" s="1072"/>
      <c r="BH232" s="1072"/>
      <c r="BI232" s="1073"/>
      <c r="BJ232" s="1064"/>
      <c r="BK232" s="1074"/>
      <c r="BL232" s="1075"/>
      <c r="BM232" s="1075"/>
      <c r="BN232" s="1076"/>
      <c r="BO232" s="1077"/>
      <c r="BP232" s="1077"/>
      <c r="BQ232" s="1064"/>
      <c r="BR232" s="1078"/>
      <c r="BS232" s="1079"/>
      <c r="BT232" s="1080"/>
      <c r="BU232" s="1081"/>
      <c r="BV232" s="1069"/>
      <c r="BW232" s="1069"/>
      <c r="BX232" s="1069"/>
      <c r="BY232" s="1069"/>
      <c r="BZ232" s="1069"/>
      <c r="CA232" s="1069"/>
      <c r="CB232" s="1069"/>
      <c r="CC232" s="1069"/>
      <c r="CD232" s="1069"/>
      <c r="CE232" s="1072"/>
      <c r="CF232" s="1072"/>
      <c r="CG232" s="1080"/>
      <c r="CH232" s="768"/>
      <c r="CI232" s="877"/>
      <c r="CJ232" s="877"/>
      <c r="CK232" s="877"/>
      <c r="CL232" s="877"/>
      <c r="CM232" s="877"/>
      <c r="CN232" s="877"/>
      <c r="CO232" s="877"/>
      <c r="CP232" s="877"/>
      <c r="CQ232" s="877"/>
      <c r="CR232" s="878"/>
      <c r="CS232" s="877"/>
      <c r="CT232" s="782"/>
      <c r="CU232" s="877"/>
      <c r="CV232" s="769"/>
      <c r="CW232" s="1080"/>
      <c r="CX232" s="765"/>
      <c r="CY232" s="863"/>
      <c r="CZ232" s="863"/>
      <c r="DA232" s="874"/>
      <c r="DB232" s="1082"/>
      <c r="DC232" s="863"/>
      <c r="DD232" s="863"/>
      <c r="DE232" s="1083"/>
      <c r="DF232" s="7"/>
    </row>
    <row r="233" spans="1:110">
      <c r="A233" s="837" t="s">
        <v>1478</v>
      </c>
      <c r="B233" s="41"/>
      <c r="C233" s="41"/>
      <c r="D233" s="41"/>
      <c r="E233" s="535"/>
      <c r="F233" s="537"/>
      <c r="H233" s="41"/>
      <c r="I233" s="47"/>
      <c r="K233" s="34"/>
      <c r="L233" s="5"/>
      <c r="N233" s="783"/>
      <c r="O233" s="783"/>
      <c r="P233" s="770"/>
      <c r="R233" s="24"/>
      <c r="S233" s="624"/>
      <c r="T233" s="41"/>
      <c r="U233" s="24"/>
      <c r="V233" s="1"/>
      <c r="W233" s="1"/>
      <c r="X233" s="39"/>
      <c r="Y233" s="784"/>
      <c r="Z233" s="784"/>
      <c r="AA233" s="785"/>
      <c r="AB233" s="11"/>
      <c r="AC233" s="7"/>
      <c r="AD233" s="7"/>
      <c r="AE233" s="7"/>
      <c r="AF233" s="786"/>
      <c r="AG233" s="839"/>
      <c r="AH233" s="32"/>
      <c r="AI233" s="7"/>
      <c r="AJ233" s="7"/>
      <c r="AK233" s="7"/>
      <c r="AL233" s="7"/>
      <c r="AM233" s="7"/>
      <c r="AN233" s="7"/>
      <c r="AO233" s="7"/>
      <c r="AP233" s="7"/>
      <c r="AQ233" s="7"/>
      <c r="AR233" s="7"/>
      <c r="AS233" s="7"/>
      <c r="AT233" s="7"/>
      <c r="AU233" s="7"/>
      <c r="AV233" s="11"/>
      <c r="AW233" s="7"/>
      <c r="AX233" s="8"/>
      <c r="AY233" s="787"/>
      <c r="AZ233" s="7"/>
      <c r="BB233" s="7"/>
      <c r="BD233" s="786"/>
      <c r="BF233" s="669"/>
      <c r="BG233" s="68"/>
      <c r="BH233" s="68"/>
      <c r="BI233" s="781"/>
      <c r="BK233" s="560"/>
      <c r="BL233" s="48"/>
      <c r="BM233" s="48"/>
      <c r="BN233" s="788"/>
      <c r="BO233" s="789"/>
      <c r="BP233" s="789"/>
      <c r="BR233" s="45"/>
      <c r="BS233" s="854"/>
      <c r="BT233" s="604"/>
      <c r="BU233" s="598"/>
      <c r="BV233" s="790"/>
      <c r="BW233" s="790"/>
      <c r="BX233" s="790"/>
      <c r="BY233" s="790"/>
      <c r="BZ233" s="790"/>
      <c r="CA233" s="790"/>
      <c r="CB233" s="790"/>
      <c r="CC233" s="790"/>
      <c r="CD233" s="790"/>
      <c r="CE233" s="791"/>
      <c r="CF233" s="791"/>
      <c r="CG233" s="604"/>
      <c r="CH233" s="584"/>
      <c r="CI233" s="576"/>
      <c r="CJ233" s="576"/>
      <c r="CK233" s="576"/>
      <c r="CL233" s="576"/>
      <c r="CM233" s="576"/>
      <c r="CN233" s="576"/>
      <c r="CO233" s="576"/>
      <c r="CP233" s="576"/>
      <c r="CQ233" s="576"/>
      <c r="CR233" s="792"/>
      <c r="CS233" s="793"/>
      <c r="CT233" s="576"/>
      <c r="CU233" s="576"/>
      <c r="CV233" s="591"/>
      <c r="CW233" s="604"/>
      <c r="CX233" s="946"/>
      <c r="CY233" s="944"/>
      <c r="CZ233" s="944"/>
      <c r="DA233" s="948"/>
      <c r="DB233" s="946"/>
      <c r="DC233" s="944"/>
      <c r="DD233" s="944"/>
      <c r="DE233" s="949"/>
      <c r="DF233" s="9"/>
    </row>
    <row r="234" spans="1:110">
      <c r="A234" s="846" t="s">
        <v>934</v>
      </c>
      <c r="B234" s="41" t="s">
        <v>157</v>
      </c>
      <c r="C234" s="41" t="s">
        <v>1481</v>
      </c>
      <c r="D234" s="34" t="s">
        <v>735</v>
      </c>
      <c r="E234" s="535">
        <v>19.405619999999999</v>
      </c>
      <c r="F234" s="537">
        <v>-155.29281800000001</v>
      </c>
      <c r="G234" s="34" t="s">
        <v>935</v>
      </c>
      <c r="H234" s="37" t="s">
        <v>64</v>
      </c>
      <c r="I234" s="202" t="s">
        <v>64</v>
      </c>
      <c r="J234" t="s">
        <v>936</v>
      </c>
      <c r="K234" s="34">
        <v>2001</v>
      </c>
      <c r="L234" s="39" t="s">
        <v>64</v>
      </c>
      <c r="M234" s="34" t="s">
        <v>64</v>
      </c>
      <c r="N234" s="879" t="s">
        <v>64</v>
      </c>
      <c r="O234" s="879" t="s">
        <v>64</v>
      </c>
      <c r="P234" s="775" t="s">
        <v>64</v>
      </c>
      <c r="Q234" s="879" t="s">
        <v>64</v>
      </c>
      <c r="R234" s="28" t="s">
        <v>64</v>
      </c>
      <c r="S234" s="33" t="s">
        <v>64</v>
      </c>
      <c r="T234" s="34" t="s">
        <v>935</v>
      </c>
      <c r="U234" s="28" t="s">
        <v>64</v>
      </c>
      <c r="V234" s="26" t="s">
        <v>64</v>
      </c>
      <c r="W234" s="26" t="s">
        <v>64</v>
      </c>
      <c r="X234" s="775" t="s">
        <v>64</v>
      </c>
      <c r="Y234" s="879" t="s">
        <v>64</v>
      </c>
      <c r="Z234" s="879" t="s">
        <v>64</v>
      </c>
      <c r="AA234" s="879" t="s">
        <v>64</v>
      </c>
      <c r="AB234" s="32" t="s">
        <v>64</v>
      </c>
      <c r="AC234" s="6">
        <f xml:space="preserve"> 20.1*CM234+1014</f>
        <v>1199.6234999999999</v>
      </c>
      <c r="AD234" s="20" t="s">
        <v>64</v>
      </c>
      <c r="AE234" s="6" t="str">
        <f t="shared" ref="AE234:AE236" si="161">IF(ISNUMBER(U234),0.02289*U234^3- 4.943*U234^2+ 358.6*U234-7620,"-")</f>
        <v>-</v>
      </c>
      <c r="AF234" s="786" t="s">
        <v>64</v>
      </c>
      <c r="AG234" s="34" t="s">
        <v>64</v>
      </c>
      <c r="AH234" s="32">
        <f t="shared" ref="AH234:AH236" si="162">100*(AN234/40.3)/((AN234/40.3)+(AL234/71.85))</f>
        <v>63.585993204081802</v>
      </c>
      <c r="AI234" s="9">
        <v>51.290052207983685</v>
      </c>
      <c r="AJ234" s="9">
        <v>2.3266381895846582</v>
      </c>
      <c r="AK234" s="9">
        <v>13.293344239449848</v>
      </c>
      <c r="AL234" s="9">
        <v>9.5216456118028407</v>
      </c>
      <c r="AM234" s="9">
        <v>0.14642471245215949</v>
      </c>
      <c r="AN234" s="9">
        <v>9.3257394447978825</v>
      </c>
      <c r="AO234" s="9">
        <v>11.273693033213164</v>
      </c>
      <c r="AP234" s="9">
        <v>2.1630464418794872</v>
      </c>
      <c r="AQ234" s="9">
        <v>0.34939965867894612</v>
      </c>
      <c r="AR234" s="9">
        <v>0.21307320225797005</v>
      </c>
      <c r="AS234" s="6" t="s">
        <v>64</v>
      </c>
      <c r="AT234" s="6">
        <v>969.43257899360788</v>
      </c>
      <c r="AU234" s="9">
        <v>99.027000000000001</v>
      </c>
      <c r="AV234" s="8">
        <f t="shared" ref="AV234:AV236" si="163">IF(ISNUMBER(AL234),(AL234/71.84)*(0.18/2)*159.69,"-")</f>
        <v>1.904872534763246</v>
      </c>
      <c r="AW234" s="9">
        <f t="shared" ref="AW234:AW236" si="164">IF(ISNUMBER(AL234),(AL234/71.84)*(1-0.18)*71.84,"-")</f>
        <v>7.80774940167833</v>
      </c>
      <c r="AX234" s="8" t="s">
        <v>64</v>
      </c>
      <c r="AY234" s="789" t="s">
        <v>64</v>
      </c>
      <c r="AZ234" s="6" t="s">
        <v>64</v>
      </c>
      <c r="BA234" s="48" t="s">
        <v>64</v>
      </c>
      <c r="BB234" s="48" t="s">
        <v>64</v>
      </c>
      <c r="BC234" s="48" t="s">
        <v>64</v>
      </c>
      <c r="BD234" s="849" t="s">
        <v>64</v>
      </c>
      <c r="BE234" s="48" t="s">
        <v>64</v>
      </c>
      <c r="BF234" s="773" t="s">
        <v>64</v>
      </c>
      <c r="BG234" s="880" t="s">
        <v>64</v>
      </c>
      <c r="BH234" s="880" t="s">
        <v>64</v>
      </c>
      <c r="BI234" s="850" t="str">
        <f>IF(NOT(ISNUMBER(BF234)),"-",(0.0684*((BF234/1000))^3 - 0.5008*((BF234/1000))^2 + 4.47*((BF234/1000))))</f>
        <v>-</v>
      </c>
      <c r="BJ234" s="789" t="str">
        <f t="shared" ref="BJ234:BJ236" si="165">IF(NOT(ISNUMBER(BF234)),"-",AVERAGE(ABS(BI234-(0.0684*(((BF234+BG234)/1000))^3-0.5008*(((BF234+BG234)/1000))^2+4.47*(((BF234+BG234)/1000)))),ABS(BI234-(0.0684*(((BF234-BG234)/1000))^3-0.5008*(((BF234-BG234)/1000))^2+4.47*(((BF234-BG234)/1000))))))</f>
        <v>-</v>
      </c>
      <c r="BK234" s="563" t="s">
        <v>64</v>
      </c>
      <c r="BL234" s="48" t="s">
        <v>64</v>
      </c>
      <c r="BM234" s="48" t="s">
        <v>64</v>
      </c>
      <c r="BN234" s="47" t="s">
        <v>64</v>
      </c>
      <c r="BO234" s="789" t="s">
        <v>64</v>
      </c>
      <c r="BP234" s="789" t="s">
        <v>64</v>
      </c>
      <c r="BQ234" s="34" t="s">
        <v>64</v>
      </c>
      <c r="BR234" s="25">
        <v>2.6848971320621091</v>
      </c>
      <c r="BS234" s="26">
        <v>2.9416484577881281</v>
      </c>
      <c r="BT234" s="603"/>
      <c r="BU234" s="599" t="s">
        <v>309</v>
      </c>
      <c r="BV234" s="851" t="s">
        <v>309</v>
      </c>
      <c r="BW234" s="851" t="s">
        <v>309</v>
      </c>
      <c r="BX234" s="851" t="s">
        <v>309</v>
      </c>
      <c r="BY234" s="851" t="s">
        <v>309</v>
      </c>
      <c r="BZ234" s="851" t="s">
        <v>309</v>
      </c>
      <c r="CA234" s="851" t="s">
        <v>309</v>
      </c>
      <c r="CB234" s="851" t="s">
        <v>309</v>
      </c>
      <c r="CC234" s="851" t="s">
        <v>309</v>
      </c>
      <c r="CD234" s="851" t="s">
        <v>309</v>
      </c>
      <c r="CE234" s="852" t="s">
        <v>64</v>
      </c>
      <c r="CF234" s="852" t="s">
        <v>309</v>
      </c>
      <c r="CG234" s="603"/>
      <c r="CH234" s="584">
        <v>50.790999999999997</v>
      </c>
      <c r="CI234" s="576">
        <v>2.3039999999999998</v>
      </c>
      <c r="CJ234" s="576">
        <v>13.164</v>
      </c>
      <c r="CK234" s="576">
        <v>9.4290000000000003</v>
      </c>
      <c r="CL234" s="576">
        <v>0.14499999999999999</v>
      </c>
      <c r="CM234" s="576">
        <v>9.2349999999999994</v>
      </c>
      <c r="CN234" s="576">
        <v>11.164</v>
      </c>
      <c r="CO234" s="576">
        <v>2.1419999999999999</v>
      </c>
      <c r="CP234" s="576">
        <v>0.34599999999999997</v>
      </c>
      <c r="CQ234" s="576">
        <v>0.21099999999999999</v>
      </c>
      <c r="CR234" s="857" t="s">
        <v>64</v>
      </c>
      <c r="CS234" s="793">
        <v>960</v>
      </c>
      <c r="CT234" s="576">
        <f t="shared" ref="CT234:CT236" si="166">SUM(CH234:CR234)+(CS234/10000)</f>
        <v>99.027000000000001</v>
      </c>
      <c r="CU234" s="855" t="s">
        <v>64</v>
      </c>
      <c r="CV234" s="592" t="s">
        <v>64</v>
      </c>
      <c r="CW234" s="603"/>
      <c r="CX234" s="946" t="s">
        <v>64</v>
      </c>
      <c r="CY234" s="944" t="s">
        <v>64</v>
      </c>
      <c r="CZ234" s="944" t="s">
        <v>64</v>
      </c>
      <c r="DA234" s="938" t="str">
        <f t="shared" ref="DA234:DA236" si="167">IF(NOT(ISNUMBER(CX234)),"-",(0.0684*((CX234/1000))^3 - 0.5008*((CX234/1000))^2 + 4.47*((CX234/1000))))</f>
        <v>-</v>
      </c>
      <c r="DB234" s="946" t="s">
        <v>64</v>
      </c>
      <c r="DC234" s="944" t="s">
        <v>64</v>
      </c>
      <c r="DD234" s="944" t="s">
        <v>64</v>
      </c>
      <c r="DE234" s="939" t="str">
        <f t="shared" ref="DE234:DE236" si="168">IF(NOT(ISNUMBER(DB234)),"-",(0.0684*((DB234/1000))^3 - 0.5008*((DB234/1000))^2 + 4.47*((DB234/1000))))</f>
        <v>-</v>
      </c>
      <c r="DF234" s="9"/>
    </row>
    <row r="235" spans="1:110">
      <c r="A235" s="846" t="s">
        <v>937</v>
      </c>
      <c r="B235" s="41" t="s">
        <v>157</v>
      </c>
      <c r="C235" s="41" t="s">
        <v>1481</v>
      </c>
      <c r="D235" s="34" t="s">
        <v>735</v>
      </c>
      <c r="E235" s="535">
        <v>19.405619999999999</v>
      </c>
      <c r="F235" s="537">
        <v>-155.29281800000001</v>
      </c>
      <c r="G235" s="34" t="s">
        <v>935</v>
      </c>
      <c r="H235" s="37" t="s">
        <v>64</v>
      </c>
      <c r="I235" s="202" t="s">
        <v>64</v>
      </c>
      <c r="J235" t="s">
        <v>936</v>
      </c>
      <c r="K235" s="34">
        <v>2001</v>
      </c>
      <c r="L235" s="39" t="s">
        <v>64</v>
      </c>
      <c r="M235" s="34" t="s">
        <v>64</v>
      </c>
      <c r="N235" s="879" t="s">
        <v>64</v>
      </c>
      <c r="O235" s="879" t="s">
        <v>64</v>
      </c>
      <c r="P235" s="775" t="s">
        <v>64</v>
      </c>
      <c r="Q235" s="879" t="s">
        <v>64</v>
      </c>
      <c r="R235" s="28" t="s">
        <v>64</v>
      </c>
      <c r="S235" s="33" t="s">
        <v>64</v>
      </c>
      <c r="T235" s="34" t="s">
        <v>935</v>
      </c>
      <c r="U235" s="28" t="s">
        <v>64</v>
      </c>
      <c r="V235" s="26" t="s">
        <v>64</v>
      </c>
      <c r="W235" s="26" t="s">
        <v>64</v>
      </c>
      <c r="X235" s="775" t="s">
        <v>64</v>
      </c>
      <c r="Y235" s="879" t="s">
        <v>64</v>
      </c>
      <c r="Z235" s="879" t="s">
        <v>64</v>
      </c>
      <c r="AA235" s="879" t="s">
        <v>64</v>
      </c>
      <c r="AB235" s="32" t="s">
        <v>64</v>
      </c>
      <c r="AC235" s="6">
        <f xml:space="preserve"> 20.1*CM235+1014</f>
        <v>1198.5984000000001</v>
      </c>
      <c r="AD235" s="20" t="s">
        <v>64</v>
      </c>
      <c r="AE235" s="6" t="str">
        <f t="shared" si="161"/>
        <v>-</v>
      </c>
      <c r="AF235" s="786" t="s">
        <v>64</v>
      </c>
      <c r="AG235" s="34" t="s">
        <v>64</v>
      </c>
      <c r="AH235" s="32">
        <f t="shared" si="162"/>
        <v>62.764425669756598</v>
      </c>
      <c r="AI235" s="9">
        <v>51.181449833513859</v>
      </c>
      <c r="AJ235" s="9">
        <v>2.4020138805311513</v>
      </c>
      <c r="AK235" s="9">
        <v>13.378063946724437</v>
      </c>
      <c r="AL235" s="9">
        <v>9.7424479480081843</v>
      </c>
      <c r="AM235" s="9">
        <v>0.11232799775344005</v>
      </c>
      <c r="AN235" s="9">
        <v>9.2108958157820826</v>
      </c>
      <c r="AO235" s="9">
        <v>11.070325350022065</v>
      </c>
      <c r="AP235" s="9">
        <v>2.182372527781121</v>
      </c>
      <c r="AQ235" s="9">
        <v>0.38412163517471015</v>
      </c>
      <c r="AR235" s="9">
        <v>0.2396999237774301</v>
      </c>
      <c r="AS235" s="6" t="s">
        <v>64</v>
      </c>
      <c r="AT235" s="6">
        <v>962.81140931520031</v>
      </c>
      <c r="AU235" s="9">
        <v>99.707999999999998</v>
      </c>
      <c r="AV235" s="8">
        <f t="shared" si="163"/>
        <v>1.9490456034739478</v>
      </c>
      <c r="AW235" s="9">
        <f t="shared" si="164"/>
        <v>7.9888073173667111</v>
      </c>
      <c r="AX235" s="8" t="s">
        <v>64</v>
      </c>
      <c r="AY235" s="789" t="s">
        <v>64</v>
      </c>
      <c r="AZ235" s="6" t="s">
        <v>64</v>
      </c>
      <c r="BA235" s="48" t="s">
        <v>64</v>
      </c>
      <c r="BB235" s="48" t="s">
        <v>64</v>
      </c>
      <c r="BC235" s="48" t="s">
        <v>64</v>
      </c>
      <c r="BD235" s="849" t="s">
        <v>64</v>
      </c>
      <c r="BE235" s="48" t="s">
        <v>64</v>
      </c>
      <c r="BF235" s="773" t="s">
        <v>64</v>
      </c>
      <c r="BG235" s="880" t="s">
        <v>64</v>
      </c>
      <c r="BH235" s="880" t="s">
        <v>64</v>
      </c>
      <c r="BI235" s="850" t="str">
        <f>IF(NOT(ISNUMBER(BF235)),"-",(0.0684*((BF235/1000))^3 - 0.5008*((BF235/1000))^2 + 4.47*((BF235/1000))))</f>
        <v>-</v>
      </c>
      <c r="BJ235" s="789" t="str">
        <f t="shared" si="165"/>
        <v>-</v>
      </c>
      <c r="BK235" s="563" t="s">
        <v>64</v>
      </c>
      <c r="BL235" s="48" t="s">
        <v>64</v>
      </c>
      <c r="BM235" s="48" t="s">
        <v>64</v>
      </c>
      <c r="BN235" s="47" t="s">
        <v>64</v>
      </c>
      <c r="BO235" s="789" t="s">
        <v>64</v>
      </c>
      <c r="BP235" s="789" t="s">
        <v>64</v>
      </c>
      <c r="BQ235" s="34" t="s">
        <v>64</v>
      </c>
      <c r="BR235" s="25">
        <v>2.68693510173002</v>
      </c>
      <c r="BS235" s="26">
        <v>2.9436693417986972</v>
      </c>
      <c r="BT235" s="603"/>
      <c r="BU235" s="599" t="s">
        <v>309</v>
      </c>
      <c r="BV235" s="851" t="s">
        <v>309</v>
      </c>
      <c r="BW235" s="851" t="s">
        <v>309</v>
      </c>
      <c r="BX235" s="851" t="s">
        <v>309</v>
      </c>
      <c r="BY235" s="851" t="s">
        <v>309</v>
      </c>
      <c r="BZ235" s="851" t="s">
        <v>309</v>
      </c>
      <c r="CA235" s="851" t="s">
        <v>309</v>
      </c>
      <c r="CB235" s="851" t="s">
        <v>309</v>
      </c>
      <c r="CC235" s="851" t="s">
        <v>309</v>
      </c>
      <c r="CD235" s="851" t="s">
        <v>309</v>
      </c>
      <c r="CE235" s="852" t="s">
        <v>64</v>
      </c>
      <c r="CF235" s="852" t="s">
        <v>309</v>
      </c>
      <c r="CG235" s="603"/>
      <c r="CH235" s="584">
        <v>51.031999999999996</v>
      </c>
      <c r="CI235" s="576">
        <v>2.395</v>
      </c>
      <c r="CJ235" s="576">
        <v>13.339</v>
      </c>
      <c r="CK235" s="576">
        <v>9.7140000000000004</v>
      </c>
      <c r="CL235" s="576">
        <v>0.112</v>
      </c>
      <c r="CM235" s="576">
        <v>9.1839999999999993</v>
      </c>
      <c r="CN235" s="576">
        <v>11.038</v>
      </c>
      <c r="CO235" s="576">
        <v>2.1760000000000002</v>
      </c>
      <c r="CP235" s="576">
        <v>0.38300000000000001</v>
      </c>
      <c r="CQ235" s="576">
        <v>0.23899999999999999</v>
      </c>
      <c r="CR235" s="857" t="s">
        <v>64</v>
      </c>
      <c r="CS235" s="793">
        <v>960</v>
      </c>
      <c r="CT235" s="576">
        <f t="shared" si="166"/>
        <v>99.707999999999998</v>
      </c>
      <c r="CU235" s="855" t="s">
        <v>64</v>
      </c>
      <c r="CV235" s="592" t="s">
        <v>64</v>
      </c>
      <c r="CW235" s="603"/>
      <c r="CX235" s="946" t="s">
        <v>64</v>
      </c>
      <c r="CY235" s="944" t="s">
        <v>64</v>
      </c>
      <c r="CZ235" s="944" t="s">
        <v>64</v>
      </c>
      <c r="DA235" s="938" t="str">
        <f t="shared" si="167"/>
        <v>-</v>
      </c>
      <c r="DB235" s="946" t="s">
        <v>64</v>
      </c>
      <c r="DC235" s="944" t="s">
        <v>64</v>
      </c>
      <c r="DD235" s="944" t="s">
        <v>64</v>
      </c>
      <c r="DE235" s="939" t="str">
        <f t="shared" si="168"/>
        <v>-</v>
      </c>
      <c r="DF235" s="9"/>
    </row>
    <row r="236" spans="1:110">
      <c r="A236" s="846" t="s">
        <v>938</v>
      </c>
      <c r="B236" s="41" t="s">
        <v>157</v>
      </c>
      <c r="C236" s="41" t="s">
        <v>1481</v>
      </c>
      <c r="D236" s="34" t="s">
        <v>735</v>
      </c>
      <c r="E236" s="535">
        <v>19.405619999999999</v>
      </c>
      <c r="F236" s="537">
        <v>-155.29281800000001</v>
      </c>
      <c r="G236" s="34" t="s">
        <v>935</v>
      </c>
      <c r="H236" s="37" t="s">
        <v>64</v>
      </c>
      <c r="I236" s="202" t="s">
        <v>64</v>
      </c>
      <c r="J236" t="s">
        <v>936</v>
      </c>
      <c r="K236" s="34">
        <v>2001</v>
      </c>
      <c r="L236" s="39" t="s">
        <v>64</v>
      </c>
      <c r="M236" s="34" t="s">
        <v>64</v>
      </c>
      <c r="N236" s="879" t="s">
        <v>64</v>
      </c>
      <c r="O236" s="879" t="s">
        <v>64</v>
      </c>
      <c r="P236" s="775" t="s">
        <v>64</v>
      </c>
      <c r="Q236" s="879" t="s">
        <v>64</v>
      </c>
      <c r="R236" s="28" t="s">
        <v>64</v>
      </c>
      <c r="S236" s="33" t="s">
        <v>64</v>
      </c>
      <c r="T236" s="34" t="s">
        <v>935</v>
      </c>
      <c r="U236" s="28" t="s">
        <v>64</v>
      </c>
      <c r="V236" s="26" t="s">
        <v>64</v>
      </c>
      <c r="W236" s="26" t="s">
        <v>64</v>
      </c>
      <c r="X236" s="775" t="s">
        <v>64</v>
      </c>
      <c r="Y236" s="879" t="s">
        <v>64</v>
      </c>
      <c r="Z236" s="879" t="s">
        <v>64</v>
      </c>
      <c r="AA236" s="879" t="s">
        <v>64</v>
      </c>
      <c r="AB236" s="32" t="s">
        <v>64</v>
      </c>
      <c r="AC236" s="6">
        <f xml:space="preserve"> 20.1*CM236+1014</f>
        <v>1197.0908999999999</v>
      </c>
      <c r="AD236" s="20" t="s">
        <v>64</v>
      </c>
      <c r="AE236" s="6" t="str">
        <f t="shared" si="161"/>
        <v>-</v>
      </c>
      <c r="AF236" s="786" t="s">
        <v>64</v>
      </c>
      <c r="AG236" s="34" t="s">
        <v>64</v>
      </c>
      <c r="AH236" s="32">
        <f t="shared" si="162"/>
        <v>59.629508605817996</v>
      </c>
      <c r="AI236" s="9">
        <v>50.649937264742782</v>
      </c>
      <c r="AJ236" s="9">
        <v>2.4913425345043918</v>
      </c>
      <c r="AK236" s="9">
        <v>13.022835633626098</v>
      </c>
      <c r="AL236" s="9">
        <v>11.036386449184441</v>
      </c>
      <c r="AM236" s="9">
        <v>0.16863237139272272</v>
      </c>
      <c r="AN236" s="9">
        <v>9.1432873274780437</v>
      </c>
      <c r="AO236" s="9">
        <v>10.656963613550817</v>
      </c>
      <c r="AP236" s="9">
        <v>2.108908406524467</v>
      </c>
      <c r="AQ236" s="9">
        <v>0.42057716436637393</v>
      </c>
      <c r="AR236" s="9">
        <v>0.21279799247176912</v>
      </c>
      <c r="AS236" s="6" t="s">
        <v>64</v>
      </c>
      <c r="AT236" s="6">
        <v>883.31242158092846</v>
      </c>
      <c r="AU236" s="9">
        <v>99.625</v>
      </c>
      <c r="AV236" s="8">
        <f t="shared" si="163"/>
        <v>2.2079071504221002</v>
      </c>
      <c r="AW236" s="9">
        <f t="shared" si="164"/>
        <v>9.0498368883312423</v>
      </c>
      <c r="AX236" s="8" t="s">
        <v>64</v>
      </c>
      <c r="AY236" s="789" t="s">
        <v>64</v>
      </c>
      <c r="AZ236" s="6" t="s">
        <v>64</v>
      </c>
      <c r="BA236" s="48" t="s">
        <v>64</v>
      </c>
      <c r="BB236" s="48" t="s">
        <v>64</v>
      </c>
      <c r="BC236" s="48" t="s">
        <v>64</v>
      </c>
      <c r="BD236" s="849" t="s">
        <v>64</v>
      </c>
      <c r="BE236" s="48" t="s">
        <v>64</v>
      </c>
      <c r="BF236" s="773" t="s">
        <v>64</v>
      </c>
      <c r="BG236" s="880" t="s">
        <v>64</v>
      </c>
      <c r="BH236" s="880" t="s">
        <v>64</v>
      </c>
      <c r="BI236" s="850" t="str">
        <f>IF(NOT(ISNUMBER(BF236)),"-",(0.0684*((BF236/1000))^3 - 0.5008*((BF236/1000))^2 + 4.47*((BF236/1000))))</f>
        <v>-</v>
      </c>
      <c r="BJ236" s="789" t="str">
        <f t="shared" si="165"/>
        <v>-</v>
      </c>
      <c r="BK236" s="563" t="s">
        <v>64</v>
      </c>
      <c r="BL236" s="48" t="s">
        <v>64</v>
      </c>
      <c r="BM236" s="48" t="s">
        <v>64</v>
      </c>
      <c r="BN236" s="47" t="s">
        <v>64</v>
      </c>
      <c r="BO236" s="789" t="s">
        <v>64</v>
      </c>
      <c r="BP236" s="789" t="s">
        <v>64</v>
      </c>
      <c r="BQ236" s="34" t="s">
        <v>64</v>
      </c>
      <c r="BR236" s="25">
        <v>2.7051502865932311</v>
      </c>
      <c r="BS236" s="26">
        <v>2.9668885616327159</v>
      </c>
      <c r="BT236" s="603"/>
      <c r="BU236" s="599" t="s">
        <v>309</v>
      </c>
      <c r="BV236" s="851" t="s">
        <v>309</v>
      </c>
      <c r="BW236" s="851" t="s">
        <v>309</v>
      </c>
      <c r="BX236" s="851" t="s">
        <v>309</v>
      </c>
      <c r="BY236" s="851" t="s">
        <v>309</v>
      </c>
      <c r="BZ236" s="851" t="s">
        <v>309</v>
      </c>
      <c r="CA236" s="851" t="s">
        <v>309</v>
      </c>
      <c r="CB236" s="851" t="s">
        <v>309</v>
      </c>
      <c r="CC236" s="851" t="s">
        <v>309</v>
      </c>
      <c r="CD236" s="851" t="s">
        <v>309</v>
      </c>
      <c r="CE236" s="852" t="s">
        <v>64</v>
      </c>
      <c r="CF236" s="852" t="s">
        <v>309</v>
      </c>
      <c r="CG236" s="603"/>
      <c r="CH236" s="584">
        <v>50.46</v>
      </c>
      <c r="CI236" s="576">
        <v>2.4820000000000002</v>
      </c>
      <c r="CJ236" s="576">
        <v>12.974</v>
      </c>
      <c r="CK236" s="576">
        <v>10.994999999999999</v>
      </c>
      <c r="CL236" s="576">
        <v>0.16800000000000001</v>
      </c>
      <c r="CM236" s="576">
        <v>9.109</v>
      </c>
      <c r="CN236" s="576">
        <v>10.617000000000001</v>
      </c>
      <c r="CO236" s="576">
        <v>2.101</v>
      </c>
      <c r="CP236" s="576">
        <v>0.41899999999999998</v>
      </c>
      <c r="CQ236" s="576">
        <v>0.21199999999999999</v>
      </c>
      <c r="CR236" s="857" t="s">
        <v>64</v>
      </c>
      <c r="CS236" s="793">
        <v>880</v>
      </c>
      <c r="CT236" s="576">
        <f t="shared" si="166"/>
        <v>99.625</v>
      </c>
      <c r="CU236" s="855" t="s">
        <v>64</v>
      </c>
      <c r="CV236" s="592" t="s">
        <v>64</v>
      </c>
      <c r="CW236" s="603"/>
      <c r="CX236" s="946" t="s">
        <v>64</v>
      </c>
      <c r="CY236" s="944" t="s">
        <v>64</v>
      </c>
      <c r="CZ236" s="944" t="s">
        <v>64</v>
      </c>
      <c r="DA236" s="938" t="str">
        <f t="shared" si="167"/>
        <v>-</v>
      </c>
      <c r="DB236" s="946" t="s">
        <v>64</v>
      </c>
      <c r="DC236" s="944" t="s">
        <v>64</v>
      </c>
      <c r="DD236" s="944" t="s">
        <v>64</v>
      </c>
      <c r="DE236" s="939" t="str">
        <f t="shared" si="168"/>
        <v>-</v>
      </c>
      <c r="DF236" s="9"/>
    </row>
    <row r="237" spans="1:110" ht="6.6" customHeight="1">
      <c r="A237" s="846"/>
      <c r="B237" s="41"/>
      <c r="C237" s="41"/>
      <c r="D237" s="34"/>
      <c r="E237" s="535"/>
      <c r="F237" s="537"/>
      <c r="H237" s="34"/>
      <c r="I237" s="28"/>
      <c r="K237" s="34"/>
      <c r="L237" s="39"/>
      <c r="M237" s="34"/>
      <c r="N237" s="879"/>
      <c r="O237" s="879"/>
      <c r="P237" s="775"/>
      <c r="Q237" s="879"/>
      <c r="R237" s="28"/>
      <c r="S237" s="33"/>
      <c r="T237" s="34"/>
      <c r="U237" s="28"/>
      <c r="V237" s="26"/>
      <c r="W237" s="26"/>
      <c r="X237" s="775"/>
      <c r="Y237" s="879"/>
      <c r="Z237" s="879"/>
      <c r="AA237" s="879"/>
      <c r="AB237" s="32"/>
      <c r="AC237" s="6"/>
      <c r="AD237" s="20"/>
      <c r="AE237" s="6"/>
      <c r="AF237" s="786"/>
      <c r="AG237" s="34"/>
      <c r="AH237" s="32"/>
      <c r="AI237" s="9"/>
      <c r="AJ237" s="9"/>
      <c r="AK237" s="9"/>
      <c r="AL237" s="9"/>
      <c r="AM237" s="9"/>
      <c r="AN237" s="9"/>
      <c r="AO237" s="9"/>
      <c r="AP237" s="9"/>
      <c r="AQ237" s="9"/>
      <c r="AR237" s="9"/>
      <c r="AS237" s="6"/>
      <c r="AT237" s="6"/>
      <c r="AU237" s="9"/>
      <c r="AV237" s="8"/>
      <c r="AW237" s="9"/>
      <c r="AX237" s="8"/>
      <c r="AY237" s="787"/>
      <c r="AZ237" s="6"/>
      <c r="BB237" s="3"/>
      <c r="BD237" s="849"/>
      <c r="BF237" s="668"/>
      <c r="BG237" s="68"/>
      <c r="BH237" s="68"/>
      <c r="BI237" s="781"/>
      <c r="BK237" s="563"/>
      <c r="BL237" s="48"/>
      <c r="BM237" s="48"/>
      <c r="BN237" s="47"/>
      <c r="BO237" s="789"/>
      <c r="BP237" s="789"/>
      <c r="BQ237" s="34"/>
      <c r="BR237" s="25"/>
      <c r="BS237" s="26"/>
      <c r="BT237" s="604"/>
      <c r="BU237" s="598"/>
      <c r="BV237" s="790"/>
      <c r="BW237" s="790"/>
      <c r="BX237" s="790"/>
      <c r="BY237" s="790"/>
      <c r="BZ237" s="790"/>
      <c r="CA237" s="790"/>
      <c r="CB237" s="790"/>
      <c r="CC237" s="790"/>
      <c r="CD237" s="790"/>
      <c r="CE237" s="791"/>
      <c r="CF237" s="791"/>
      <c r="CG237" s="604"/>
      <c r="CH237" s="584"/>
      <c r="CI237" s="576"/>
      <c r="CJ237" s="576"/>
      <c r="CK237" s="576"/>
      <c r="CL237" s="576"/>
      <c r="CM237" s="576"/>
      <c r="CN237" s="576"/>
      <c r="CO237" s="576"/>
      <c r="CP237" s="576"/>
      <c r="CQ237" s="576"/>
      <c r="CR237" s="857"/>
      <c r="CS237" s="793"/>
      <c r="CT237" s="576"/>
      <c r="CU237" s="855"/>
      <c r="CV237" s="592"/>
      <c r="CW237" s="604"/>
      <c r="CX237" s="946"/>
      <c r="CY237" s="944"/>
      <c r="CZ237" s="944"/>
      <c r="DA237" s="948"/>
      <c r="DB237" s="946"/>
      <c r="DC237" s="944"/>
      <c r="DD237" s="944"/>
      <c r="DE237" s="949"/>
      <c r="DF237" s="9"/>
    </row>
    <row r="238" spans="1:110">
      <c r="A238" s="846" t="s">
        <v>939</v>
      </c>
      <c r="B238" s="41" t="s">
        <v>157</v>
      </c>
      <c r="C238" s="41" t="s">
        <v>1481</v>
      </c>
      <c r="D238" s="34" t="s">
        <v>735</v>
      </c>
      <c r="E238" s="535">
        <v>19.390349000000001</v>
      </c>
      <c r="F238" s="537">
        <v>-155.29341099999999</v>
      </c>
      <c r="G238" s="34" t="s">
        <v>940</v>
      </c>
      <c r="H238" s="37" t="s">
        <v>64</v>
      </c>
      <c r="I238" s="202" t="s">
        <v>64</v>
      </c>
      <c r="J238" t="s">
        <v>941</v>
      </c>
      <c r="K238" s="34">
        <v>2001</v>
      </c>
      <c r="L238" s="39" t="s">
        <v>64</v>
      </c>
      <c r="M238" s="34" t="s">
        <v>64</v>
      </c>
      <c r="N238" s="879" t="s">
        <v>64</v>
      </c>
      <c r="O238" s="879" t="s">
        <v>64</v>
      </c>
      <c r="P238" s="775" t="s">
        <v>64</v>
      </c>
      <c r="Q238" s="879" t="s">
        <v>64</v>
      </c>
      <c r="R238" s="28" t="s">
        <v>64</v>
      </c>
      <c r="S238" s="33" t="s">
        <v>64</v>
      </c>
      <c r="T238" s="34" t="s">
        <v>940</v>
      </c>
      <c r="U238" s="28" t="s">
        <v>64</v>
      </c>
      <c r="V238" s="26" t="s">
        <v>64</v>
      </c>
      <c r="W238" s="26" t="s">
        <v>64</v>
      </c>
      <c r="X238" s="775" t="s">
        <v>64</v>
      </c>
      <c r="Y238" s="879" t="s">
        <v>64</v>
      </c>
      <c r="Z238" s="879" t="s">
        <v>64</v>
      </c>
      <c r="AA238" s="879" t="s">
        <v>64</v>
      </c>
      <c r="AB238" s="32" t="s">
        <v>64</v>
      </c>
      <c r="AC238" s="6">
        <f xml:space="preserve"> 20.1*CM238+1014</f>
        <v>1197.7944</v>
      </c>
      <c r="AD238" s="20" t="s">
        <v>64</v>
      </c>
      <c r="AE238" s="6" t="str">
        <f>IF(ISNUMBER(U238),0.02289*U238^3- 4.943*U238^2+ 358.6*U238-7620,"-")</f>
        <v>-</v>
      </c>
      <c r="AF238" s="786" t="s">
        <v>64</v>
      </c>
      <c r="AG238" s="34" t="s">
        <v>64</v>
      </c>
      <c r="AH238" s="32">
        <f t="shared" ref="AH238:AH239" si="169">100*(AN238/40.3)/((AN238/40.3)+(AL238/71.85))</f>
        <v>59.410567977184776</v>
      </c>
      <c r="AI238" s="9">
        <v>50.571861789189356</v>
      </c>
      <c r="AJ238" s="9">
        <v>2.3908743109040334</v>
      </c>
      <c r="AK238" s="9">
        <v>13.098095132898873</v>
      </c>
      <c r="AL238" s="9">
        <v>11.184190707622481</v>
      </c>
      <c r="AM238" s="9">
        <v>0.18978380712341972</v>
      </c>
      <c r="AN238" s="9">
        <v>9.181921335114021</v>
      </c>
      <c r="AO238" s="9">
        <v>10.467229658489561</v>
      </c>
      <c r="AP238" s="9">
        <v>2.0675389358048744</v>
      </c>
      <c r="AQ238" s="9">
        <v>0.41872935222468793</v>
      </c>
      <c r="AR238" s="9">
        <v>0.30023999116350525</v>
      </c>
      <c r="AS238" s="6" t="s">
        <v>64</v>
      </c>
      <c r="AT238" s="6">
        <v>1295.3497946519124</v>
      </c>
      <c r="AU238" s="9">
        <v>99.587000000000003</v>
      </c>
      <c r="AV238" s="8">
        <f>IF(ISNUMBER(AL238),(AL238/71.84)*(0.18/2)*159.69,"-")</f>
        <v>2.2374764374863729</v>
      </c>
      <c r="AW238" s="9">
        <f>IF(ISNUMBER(AL238),(AL238/71.84)*(1-0.18)*71.84,"-")</f>
        <v>9.1710363802504347</v>
      </c>
      <c r="AX238" s="8" t="s">
        <v>64</v>
      </c>
      <c r="AY238" s="789" t="s">
        <v>64</v>
      </c>
      <c r="AZ238" s="6" t="s">
        <v>64</v>
      </c>
      <c r="BA238" s="48" t="s">
        <v>64</v>
      </c>
      <c r="BB238" s="48" t="s">
        <v>64</v>
      </c>
      <c r="BC238" s="48" t="s">
        <v>64</v>
      </c>
      <c r="BD238" s="849" t="s">
        <v>64</v>
      </c>
      <c r="BE238" s="48" t="s">
        <v>64</v>
      </c>
      <c r="BF238" s="773" t="s">
        <v>64</v>
      </c>
      <c r="BG238" s="880" t="s">
        <v>64</v>
      </c>
      <c r="BH238" s="880" t="s">
        <v>64</v>
      </c>
      <c r="BI238" s="850" t="str">
        <f>IF(NOT(ISNUMBER(BF238)),"-",(0.0684*((BF238/1000))^3 - 0.5008*((BF238/1000))^2 + 4.47*((BF238/1000))))</f>
        <v>-</v>
      </c>
      <c r="BJ238" s="789" t="str">
        <f t="shared" ref="BJ238:BJ239" si="170">IF(NOT(ISNUMBER(BF238)),"-",AVERAGE(ABS(BI238-(0.0684*(((BF238+BG238)/1000))^3-0.5008*(((BF238+BG238)/1000))^2+4.47*(((BF238+BG238)/1000)))),ABS(BI238-(0.0684*(((BF238-BG238)/1000))^3-0.5008*(((BF238-BG238)/1000))^2+4.47*(((BF238-BG238)/1000))))))</f>
        <v>-</v>
      </c>
      <c r="BK238" s="563" t="s">
        <v>64</v>
      </c>
      <c r="BL238" s="48" t="s">
        <v>64</v>
      </c>
      <c r="BM238" s="48" t="s">
        <v>64</v>
      </c>
      <c r="BN238" s="47" t="s">
        <v>64</v>
      </c>
      <c r="BO238" s="789" t="s">
        <v>64</v>
      </c>
      <c r="BP238" s="789" t="s">
        <v>64</v>
      </c>
      <c r="BQ238" s="34" t="s">
        <v>64</v>
      </c>
      <c r="BR238" s="25">
        <v>2.7064973330299251</v>
      </c>
      <c r="BS238" s="26">
        <v>2.9675103775468399</v>
      </c>
      <c r="BT238" s="603"/>
      <c r="BU238" s="599" t="s">
        <v>309</v>
      </c>
      <c r="BV238" s="851" t="s">
        <v>309</v>
      </c>
      <c r="BW238" s="851" t="s">
        <v>309</v>
      </c>
      <c r="BX238" s="851" t="s">
        <v>309</v>
      </c>
      <c r="BY238" s="851" t="s">
        <v>309</v>
      </c>
      <c r="BZ238" s="851" t="s">
        <v>309</v>
      </c>
      <c r="CA238" s="851" t="s">
        <v>309</v>
      </c>
      <c r="CB238" s="851" t="s">
        <v>309</v>
      </c>
      <c r="CC238" s="851" t="s">
        <v>309</v>
      </c>
      <c r="CD238" s="851" t="s">
        <v>309</v>
      </c>
      <c r="CE238" s="852" t="s">
        <v>64</v>
      </c>
      <c r="CF238" s="852" t="s">
        <v>309</v>
      </c>
      <c r="CG238" s="603"/>
      <c r="CH238" s="584">
        <v>50.363</v>
      </c>
      <c r="CI238" s="576">
        <v>2.3809999999999998</v>
      </c>
      <c r="CJ238" s="576">
        <v>13.044</v>
      </c>
      <c r="CK238" s="576">
        <v>11.138</v>
      </c>
      <c r="CL238" s="576">
        <v>0.189</v>
      </c>
      <c r="CM238" s="576">
        <v>9.1440000000000001</v>
      </c>
      <c r="CN238" s="576">
        <v>10.423999999999999</v>
      </c>
      <c r="CO238" s="576">
        <v>2.0590000000000002</v>
      </c>
      <c r="CP238" s="576">
        <v>0.41699999999999998</v>
      </c>
      <c r="CQ238" s="576">
        <v>0.29899999999999999</v>
      </c>
      <c r="CR238" s="857" t="s">
        <v>64</v>
      </c>
      <c r="CS238" s="793">
        <v>1290</v>
      </c>
      <c r="CT238" s="576">
        <f>SUM(CH238:CR238)+(CS238/10000)</f>
        <v>99.587000000000003</v>
      </c>
      <c r="CU238" s="855" t="s">
        <v>64</v>
      </c>
      <c r="CV238" s="592" t="s">
        <v>64</v>
      </c>
      <c r="CW238" s="603"/>
      <c r="CX238" s="946" t="s">
        <v>64</v>
      </c>
      <c r="CY238" s="944" t="s">
        <v>64</v>
      </c>
      <c r="CZ238" s="944" t="s">
        <v>64</v>
      </c>
      <c r="DA238" s="938" t="str">
        <f t="shared" ref="DA238:DA239" si="171">IF(NOT(ISNUMBER(CX238)),"-",(0.0684*((CX238/1000))^3 - 0.5008*((CX238/1000))^2 + 4.47*((CX238/1000))))</f>
        <v>-</v>
      </c>
      <c r="DB238" s="946" t="s">
        <v>64</v>
      </c>
      <c r="DC238" s="944" t="s">
        <v>64</v>
      </c>
      <c r="DD238" s="944" t="s">
        <v>64</v>
      </c>
      <c r="DE238" s="939" t="str">
        <f t="shared" ref="DE238:DE239" si="172">IF(NOT(ISNUMBER(DB238)),"-",(0.0684*((DB238/1000))^3 - 0.5008*((DB238/1000))^2 + 4.47*((DB238/1000))))</f>
        <v>-</v>
      </c>
      <c r="DF238" s="9"/>
    </row>
    <row r="239" spans="1:110">
      <c r="A239" s="846" t="s">
        <v>942</v>
      </c>
      <c r="B239" s="41" t="s">
        <v>157</v>
      </c>
      <c r="C239" s="41" t="s">
        <v>1481</v>
      </c>
      <c r="D239" s="34" t="s">
        <v>735</v>
      </c>
      <c r="E239" s="535">
        <v>19.390349000000001</v>
      </c>
      <c r="F239" s="537">
        <v>-155.29341099999999</v>
      </c>
      <c r="G239" s="34" t="s">
        <v>940</v>
      </c>
      <c r="H239" s="37" t="s">
        <v>64</v>
      </c>
      <c r="I239" s="202" t="s">
        <v>64</v>
      </c>
      <c r="J239" t="s">
        <v>943</v>
      </c>
      <c r="K239" s="34">
        <v>2001</v>
      </c>
      <c r="L239" s="39" t="s">
        <v>64</v>
      </c>
      <c r="M239" s="34" t="s">
        <v>64</v>
      </c>
      <c r="N239" s="879" t="s">
        <v>64</v>
      </c>
      <c r="O239" s="879" t="s">
        <v>64</v>
      </c>
      <c r="P239" s="775" t="s">
        <v>64</v>
      </c>
      <c r="Q239" s="879" t="s">
        <v>64</v>
      </c>
      <c r="R239" s="28" t="s">
        <v>64</v>
      </c>
      <c r="S239" s="33" t="s">
        <v>64</v>
      </c>
      <c r="T239" s="34" t="s">
        <v>940</v>
      </c>
      <c r="U239" s="28" t="s">
        <v>64</v>
      </c>
      <c r="V239" s="26" t="s">
        <v>64</v>
      </c>
      <c r="W239" s="26" t="s">
        <v>64</v>
      </c>
      <c r="X239" s="775" t="s">
        <v>64</v>
      </c>
      <c r="Y239" s="879" t="s">
        <v>64</v>
      </c>
      <c r="Z239" s="879" t="s">
        <v>64</v>
      </c>
      <c r="AA239" s="879" t="s">
        <v>64</v>
      </c>
      <c r="AB239" s="32" t="s">
        <v>64</v>
      </c>
      <c r="AC239" s="6">
        <f xml:space="preserve"> 20.1*CM239+1014</f>
        <v>1196.3874000000001</v>
      </c>
      <c r="AD239" s="20" t="s">
        <v>64</v>
      </c>
      <c r="AE239" s="6" t="str">
        <f>IF(ISNUMBER(U239),0.02289*U239^3- 4.943*U239^2+ 358.6*U239-7620,"-")</f>
        <v>-</v>
      </c>
      <c r="AF239" s="786" t="s">
        <v>64</v>
      </c>
      <c r="AG239" s="34" t="s">
        <v>64</v>
      </c>
      <c r="AH239" s="32">
        <f t="shared" si="169"/>
        <v>59.080210350725906</v>
      </c>
      <c r="AI239" s="9">
        <v>50.631820210133462</v>
      </c>
      <c r="AJ239" s="9">
        <v>2.2554865928359908</v>
      </c>
      <c r="AK239" s="9">
        <v>12.857490568333944</v>
      </c>
      <c r="AL239" s="9">
        <v>11.363636363636365</v>
      </c>
      <c r="AM239" s="9">
        <v>0.19167579408543264</v>
      </c>
      <c r="AN239" s="9">
        <v>9.2024664313820956</v>
      </c>
      <c r="AO239" s="9">
        <v>10.54926777818344</v>
      </c>
      <c r="AP239" s="9">
        <v>2.1490000405663059</v>
      </c>
      <c r="AQ239" s="9">
        <v>0.41681879031276625</v>
      </c>
      <c r="AR239" s="9">
        <v>0.25353941016591625</v>
      </c>
      <c r="AS239" s="6" t="s">
        <v>64</v>
      </c>
      <c r="AT239" s="6">
        <v>1287.9802036428543</v>
      </c>
      <c r="AU239" s="9">
        <v>98.603999999999985</v>
      </c>
      <c r="AV239" s="8">
        <f>IF(ISNUMBER(AL239),(AL239/71.84)*(0.18/2)*159.69,"-")</f>
        <v>2.2733758098805428</v>
      </c>
      <c r="AW239" s="9">
        <f>IF(ISNUMBER(AL239),(AL239/71.84)*(1-0.18)*71.84,"-")</f>
        <v>9.3181818181818219</v>
      </c>
      <c r="AX239" s="8" t="s">
        <v>64</v>
      </c>
      <c r="AY239" s="789" t="s">
        <v>64</v>
      </c>
      <c r="AZ239" s="6" t="s">
        <v>64</v>
      </c>
      <c r="BA239" s="48" t="s">
        <v>64</v>
      </c>
      <c r="BB239" s="48" t="s">
        <v>64</v>
      </c>
      <c r="BC239" s="48" t="s">
        <v>64</v>
      </c>
      <c r="BD239" s="849" t="s">
        <v>64</v>
      </c>
      <c r="BE239" s="48" t="s">
        <v>64</v>
      </c>
      <c r="BF239" s="773" t="s">
        <v>64</v>
      </c>
      <c r="BG239" s="880" t="s">
        <v>64</v>
      </c>
      <c r="BH239" s="880" t="s">
        <v>64</v>
      </c>
      <c r="BI239" s="850" t="str">
        <f>IF(NOT(ISNUMBER(BF239)),"-",(0.0684*((BF239/1000))^3 - 0.5008*((BF239/1000))^2 + 4.47*((BF239/1000))))</f>
        <v>-</v>
      </c>
      <c r="BJ239" s="789" t="str">
        <f t="shared" si="170"/>
        <v>-</v>
      </c>
      <c r="BK239" s="563" t="s">
        <v>64</v>
      </c>
      <c r="BL239" s="48" t="s">
        <v>64</v>
      </c>
      <c r="BM239" s="48" t="s">
        <v>64</v>
      </c>
      <c r="BN239" s="47" t="s">
        <v>64</v>
      </c>
      <c r="BO239" s="789" t="s">
        <v>64</v>
      </c>
      <c r="BP239" s="789" t="s">
        <v>64</v>
      </c>
      <c r="BQ239" s="34" t="s">
        <v>64</v>
      </c>
      <c r="BR239" s="25">
        <v>2.7082244414157759</v>
      </c>
      <c r="BS239" s="26">
        <v>2.9702032822103428</v>
      </c>
      <c r="BT239" s="603"/>
      <c r="BU239" s="599" t="s">
        <v>309</v>
      </c>
      <c r="BV239" s="851" t="s">
        <v>309</v>
      </c>
      <c r="BW239" s="851" t="s">
        <v>309</v>
      </c>
      <c r="BX239" s="851" t="s">
        <v>309</v>
      </c>
      <c r="BY239" s="851" t="s">
        <v>309</v>
      </c>
      <c r="BZ239" s="851" t="s">
        <v>309</v>
      </c>
      <c r="CA239" s="851" t="s">
        <v>309</v>
      </c>
      <c r="CB239" s="851" t="s">
        <v>309</v>
      </c>
      <c r="CC239" s="851" t="s">
        <v>309</v>
      </c>
      <c r="CD239" s="851" t="s">
        <v>309</v>
      </c>
      <c r="CE239" s="852" t="s">
        <v>64</v>
      </c>
      <c r="CF239" s="852" t="s">
        <v>309</v>
      </c>
      <c r="CG239" s="603"/>
      <c r="CH239" s="584">
        <v>49.924999999999997</v>
      </c>
      <c r="CI239" s="576">
        <v>2.2240000000000002</v>
      </c>
      <c r="CJ239" s="576">
        <v>12.678000000000001</v>
      </c>
      <c r="CK239" s="576">
        <v>11.205</v>
      </c>
      <c r="CL239" s="576">
        <v>0.189</v>
      </c>
      <c r="CM239" s="576">
        <v>9.0739999999999998</v>
      </c>
      <c r="CN239" s="576">
        <v>10.401999999999999</v>
      </c>
      <c r="CO239" s="576">
        <v>2.1190000000000002</v>
      </c>
      <c r="CP239" s="576">
        <v>0.41099999999999998</v>
      </c>
      <c r="CQ239" s="576">
        <v>0.25</v>
      </c>
      <c r="CR239" s="857" t="s">
        <v>64</v>
      </c>
      <c r="CS239" s="793">
        <v>1270</v>
      </c>
      <c r="CT239" s="576">
        <f>SUM(CH239:CR239)+(CS239/10000)</f>
        <v>98.603999999999985</v>
      </c>
      <c r="CU239" s="855" t="s">
        <v>64</v>
      </c>
      <c r="CV239" s="592" t="s">
        <v>64</v>
      </c>
      <c r="CW239" s="603"/>
      <c r="CX239" s="946" t="s">
        <v>64</v>
      </c>
      <c r="CY239" s="944" t="s">
        <v>64</v>
      </c>
      <c r="CZ239" s="944" t="s">
        <v>64</v>
      </c>
      <c r="DA239" s="938" t="str">
        <f t="shared" si="171"/>
        <v>-</v>
      </c>
      <c r="DB239" s="946" t="s">
        <v>64</v>
      </c>
      <c r="DC239" s="944" t="s">
        <v>64</v>
      </c>
      <c r="DD239" s="944" t="s">
        <v>64</v>
      </c>
      <c r="DE239" s="939" t="str">
        <f t="shared" si="172"/>
        <v>-</v>
      </c>
      <c r="DF239" s="9"/>
    </row>
    <row r="240" spans="1:110">
      <c r="A240" s="846"/>
      <c r="B240" s="41"/>
      <c r="C240" s="41"/>
      <c r="D240" s="34"/>
      <c r="E240" s="535"/>
      <c r="F240" s="537"/>
      <c r="H240" s="34"/>
      <c r="I240" s="28"/>
      <c r="K240" s="34"/>
      <c r="L240" s="39"/>
      <c r="M240" s="34"/>
      <c r="N240" s="881"/>
      <c r="O240" s="881"/>
      <c r="P240" s="776"/>
      <c r="Q240" s="881"/>
      <c r="R240" s="28"/>
      <c r="S240" s="33"/>
      <c r="T240" s="34"/>
      <c r="U240" s="28"/>
      <c r="V240" s="26"/>
      <c r="W240" s="26"/>
      <c r="X240" s="776"/>
      <c r="Y240" s="881"/>
      <c r="Z240" s="881"/>
      <c r="AA240" s="881"/>
      <c r="AB240" s="32"/>
      <c r="AC240" s="6"/>
      <c r="AD240" s="20"/>
      <c r="AE240" s="6"/>
      <c r="AF240" s="786"/>
      <c r="AG240" s="34"/>
      <c r="AH240" s="32"/>
      <c r="AI240" s="9"/>
      <c r="AJ240" s="9"/>
      <c r="AK240" s="9"/>
      <c r="AL240" s="9"/>
      <c r="AM240" s="9"/>
      <c r="AN240" s="9"/>
      <c r="AO240" s="9"/>
      <c r="AP240" s="9"/>
      <c r="AQ240" s="9"/>
      <c r="AR240" s="9"/>
      <c r="AS240" s="6"/>
      <c r="AT240" s="6"/>
      <c r="AU240" s="9"/>
      <c r="AV240" s="8"/>
      <c r="AW240" s="9"/>
      <c r="AX240" s="8"/>
      <c r="AY240" s="787"/>
      <c r="AZ240" s="6"/>
      <c r="BB240" s="3"/>
      <c r="BD240" s="849"/>
      <c r="BF240" s="668"/>
      <c r="BG240" s="68"/>
      <c r="BH240" s="68"/>
      <c r="BI240" s="781"/>
      <c r="BK240" s="563"/>
      <c r="BL240" s="48"/>
      <c r="BM240" s="48"/>
      <c r="BN240" s="47"/>
      <c r="BO240" s="789"/>
      <c r="BP240" s="789"/>
      <c r="BQ240" s="34"/>
      <c r="BR240" s="25"/>
      <c r="BS240" s="26"/>
      <c r="BT240" s="604"/>
      <c r="BU240" s="598"/>
      <c r="BV240" s="790"/>
      <c r="BW240" s="790"/>
      <c r="BX240" s="790"/>
      <c r="BY240" s="790"/>
      <c r="BZ240" s="790"/>
      <c r="CA240" s="790"/>
      <c r="CB240" s="790"/>
      <c r="CC240" s="790"/>
      <c r="CD240" s="790"/>
      <c r="CE240" s="791"/>
      <c r="CF240" s="791"/>
      <c r="CG240" s="604"/>
      <c r="CH240" s="584"/>
      <c r="CI240" s="576"/>
      <c r="CJ240" s="576"/>
      <c r="CK240" s="576"/>
      <c r="CL240" s="576"/>
      <c r="CM240" s="576"/>
      <c r="CN240" s="576"/>
      <c r="CO240" s="576"/>
      <c r="CP240" s="576"/>
      <c r="CQ240" s="576"/>
      <c r="CR240" s="857"/>
      <c r="CS240" s="793"/>
      <c r="CT240" s="576"/>
      <c r="CU240" s="855"/>
      <c r="CV240" s="592"/>
      <c r="CW240" s="604"/>
      <c r="CX240" s="946"/>
      <c r="CY240" s="944"/>
      <c r="CZ240" s="944"/>
      <c r="DA240" s="948"/>
      <c r="DB240" s="946"/>
      <c r="DC240" s="944"/>
      <c r="DD240" s="944"/>
      <c r="DE240" s="949"/>
      <c r="DF240" s="9"/>
    </row>
    <row r="241" spans="1:110">
      <c r="A241" s="837" t="s">
        <v>1479</v>
      </c>
      <c r="B241" s="41"/>
      <c r="C241" s="41"/>
      <c r="D241" s="41"/>
      <c r="E241" s="535"/>
      <c r="F241" s="537"/>
      <c r="H241" s="41"/>
      <c r="I241" s="47"/>
      <c r="J241" s="3"/>
      <c r="K241" s="41"/>
      <c r="L241" s="31"/>
      <c r="M241" s="3"/>
      <c r="N241" s="882"/>
      <c r="O241" s="882"/>
      <c r="P241" s="777"/>
      <c r="Q241" s="882"/>
      <c r="R241" s="883"/>
      <c r="S241" s="771"/>
      <c r="T241" s="41"/>
      <c r="U241" s="883"/>
      <c r="V241" s="787"/>
      <c r="W241" s="787"/>
      <c r="X241" s="777"/>
      <c r="Y241" s="882"/>
      <c r="Z241" s="882"/>
      <c r="AA241" s="882"/>
      <c r="AB241" s="13"/>
      <c r="AC241" s="12"/>
      <c r="AD241" s="12"/>
      <c r="AE241" s="12"/>
      <c r="AF241" s="786"/>
      <c r="AG241" s="3"/>
      <c r="AH241" s="66"/>
      <c r="AI241" s="12"/>
      <c r="AJ241" s="12"/>
      <c r="AK241" s="12"/>
      <c r="AL241" s="12"/>
      <c r="AM241" s="12"/>
      <c r="AN241" s="12"/>
      <c r="AO241" s="12"/>
      <c r="AP241" s="12"/>
      <c r="AQ241" s="12"/>
      <c r="AR241" s="12"/>
      <c r="AS241" s="12"/>
      <c r="AT241" s="12"/>
      <c r="AU241" s="12"/>
      <c r="AV241" s="13"/>
      <c r="AW241" s="12"/>
      <c r="AX241" s="46"/>
      <c r="AY241" s="787"/>
      <c r="AZ241" s="12"/>
      <c r="BB241" s="3"/>
      <c r="BD241" s="840"/>
      <c r="BF241" s="667"/>
      <c r="BG241" s="68"/>
      <c r="BH241" s="68"/>
      <c r="BI241" s="841"/>
      <c r="BK241" s="563"/>
      <c r="BL241" s="48"/>
      <c r="BM241" s="48"/>
      <c r="BN241" s="47"/>
      <c r="BO241" s="789"/>
      <c r="BP241" s="789"/>
      <c r="BQ241" s="41"/>
      <c r="BR241" s="25"/>
      <c r="BS241" s="26"/>
      <c r="BT241" s="842"/>
      <c r="BU241" s="598"/>
      <c r="BV241" s="790"/>
      <c r="BW241" s="790"/>
      <c r="BX241" s="790"/>
      <c r="BY241" s="790"/>
      <c r="BZ241" s="790"/>
      <c r="CA241" s="790"/>
      <c r="CB241" s="790"/>
      <c r="CC241" s="790"/>
      <c r="CD241" s="790"/>
      <c r="CE241" s="791"/>
      <c r="CF241" s="791"/>
      <c r="CG241" s="842"/>
      <c r="CH241" s="584"/>
      <c r="CI241" s="576"/>
      <c r="CJ241" s="576"/>
      <c r="CK241" s="576"/>
      <c r="CL241" s="576"/>
      <c r="CM241" s="576"/>
      <c r="CN241" s="576"/>
      <c r="CO241" s="576"/>
      <c r="CP241" s="576"/>
      <c r="CQ241" s="576"/>
      <c r="CR241" s="792"/>
      <c r="CS241" s="576"/>
      <c r="CT241" s="577"/>
      <c r="CU241" s="576"/>
      <c r="CV241" s="591"/>
      <c r="CW241" s="842"/>
      <c r="CX241" s="943"/>
      <c r="CY241" s="944"/>
      <c r="CZ241" s="944"/>
      <c r="DA241" s="945"/>
      <c r="DB241" s="946"/>
      <c r="DC241" s="944"/>
      <c r="DD241" s="944"/>
      <c r="DE241" s="947"/>
      <c r="DF241" s="7"/>
    </row>
    <row r="242" spans="1:110">
      <c r="A242" s="846" t="s">
        <v>944</v>
      </c>
      <c r="B242" s="41" t="s">
        <v>1480</v>
      </c>
      <c r="C242" s="41" t="s">
        <v>1482</v>
      </c>
      <c r="D242" s="34">
        <v>1790</v>
      </c>
      <c r="E242" s="535">
        <v>19.405619999999999</v>
      </c>
      <c r="F242" s="537">
        <v>-155.29281800000001</v>
      </c>
      <c r="G242" s="34" t="s">
        <v>935</v>
      </c>
      <c r="H242" s="37" t="s">
        <v>64</v>
      </c>
      <c r="I242" s="202" t="s">
        <v>64</v>
      </c>
      <c r="J242" t="s">
        <v>936</v>
      </c>
      <c r="K242" s="34">
        <v>2001</v>
      </c>
      <c r="L242" s="39" t="s">
        <v>64</v>
      </c>
      <c r="M242" s="34" t="s">
        <v>64</v>
      </c>
      <c r="N242" s="879" t="s">
        <v>64</v>
      </c>
      <c r="O242" s="879" t="s">
        <v>64</v>
      </c>
      <c r="P242" s="775" t="s">
        <v>64</v>
      </c>
      <c r="Q242" s="879" t="s">
        <v>64</v>
      </c>
      <c r="R242" s="28" t="s">
        <v>64</v>
      </c>
      <c r="S242" s="33" t="s">
        <v>64</v>
      </c>
      <c r="T242" s="34" t="s">
        <v>935</v>
      </c>
      <c r="U242" s="28" t="s">
        <v>64</v>
      </c>
      <c r="V242" s="26" t="s">
        <v>64</v>
      </c>
      <c r="W242" s="26" t="s">
        <v>64</v>
      </c>
      <c r="X242" s="775" t="s">
        <v>64</v>
      </c>
      <c r="Y242" s="879" t="s">
        <v>64</v>
      </c>
      <c r="Z242" s="879" t="s">
        <v>64</v>
      </c>
      <c r="AA242" s="879" t="s">
        <v>64</v>
      </c>
      <c r="AB242" s="32" t="s">
        <v>64</v>
      </c>
      <c r="AC242" s="6">
        <f xml:space="preserve"> 20.1*CM242+1014</f>
        <v>1171.7850000000001</v>
      </c>
      <c r="AD242" s="20" t="s">
        <v>64</v>
      </c>
      <c r="AE242" s="6" t="str">
        <f t="shared" ref="AE242:AE243" si="173">IF(ISNUMBER(U242),0.02289*U242^3- 4.943*U242^2+ 358.6*U242-7620,"-")</f>
        <v>-</v>
      </c>
      <c r="AF242" s="786" t="s">
        <v>64</v>
      </c>
      <c r="AG242" s="34" t="s">
        <v>64</v>
      </c>
      <c r="AH242" s="32">
        <f t="shared" ref="AH242:AH243" si="174">100*(AN242/40.3)/((AN242/40.3)+(AL242/71.85))</f>
        <v>55.326004303485156</v>
      </c>
      <c r="AI242" s="9">
        <v>50.635155096011822</v>
      </c>
      <c r="AJ242" s="9">
        <v>2.4479193195130646</v>
      </c>
      <c r="AK242" s="9">
        <v>13.308205572250801</v>
      </c>
      <c r="AL242" s="9">
        <v>11.512249783527734</v>
      </c>
      <c r="AM242" s="9">
        <v>0.18743951510212395</v>
      </c>
      <c r="AN242" s="9">
        <v>7.9967401823460484</v>
      </c>
      <c r="AO242" s="9">
        <v>11.130239902205471</v>
      </c>
      <c r="AP242" s="9">
        <v>2.0822085264605512</v>
      </c>
      <c r="AQ242" s="9">
        <v>0.41970152294606017</v>
      </c>
      <c r="AR242" s="9">
        <v>0.24346763102938929</v>
      </c>
      <c r="AS242" s="6" t="s">
        <v>64</v>
      </c>
      <c r="AT242" s="6">
        <v>366.72948606937297</v>
      </c>
      <c r="AU242" s="9">
        <v>98.165000000000006</v>
      </c>
      <c r="AV242" s="8">
        <f t="shared" ref="AV242:AV243" si="175">IF(ISNUMBER(AL242),(AL242/71.84)*(0.18/2)*159.69,"-")</f>
        <v>2.3031069754153526</v>
      </c>
      <c r="AW242" s="9">
        <f t="shared" ref="AW242:AW243" si="176">IF(ISNUMBER(AL242),(AL242/71.84)*(1-0.18)*71.84,"-")</f>
        <v>9.4400448224927427</v>
      </c>
      <c r="AX242" s="8" t="s">
        <v>64</v>
      </c>
      <c r="AY242" s="789" t="s">
        <v>64</v>
      </c>
      <c r="AZ242" s="6" t="s">
        <v>64</v>
      </c>
      <c r="BA242" s="48" t="s">
        <v>64</v>
      </c>
      <c r="BB242" s="48" t="s">
        <v>64</v>
      </c>
      <c r="BC242" s="48" t="s">
        <v>64</v>
      </c>
      <c r="BD242" s="849" t="s">
        <v>64</v>
      </c>
      <c r="BE242" s="48" t="s">
        <v>64</v>
      </c>
      <c r="BF242" s="773" t="s">
        <v>64</v>
      </c>
      <c r="BG242" s="880" t="s">
        <v>64</v>
      </c>
      <c r="BH242" s="880" t="s">
        <v>64</v>
      </c>
      <c r="BI242" s="850" t="str">
        <f>IF(NOT(ISNUMBER(BF242)),"-",(0.0684*((BF242/1000))^3 - 0.5008*((BF242/1000))^2 + 4.47*((BF242/1000))))</f>
        <v>-</v>
      </c>
      <c r="BJ242" s="789" t="str">
        <f t="shared" ref="BJ242:BJ243" si="177">IF(NOT(ISNUMBER(BF242)),"-",AVERAGE(ABS(BI242-(0.0684*(((BF242+BG242)/1000))^3-0.5008*(((BF242+BG242)/1000))^2+4.47*(((BF242+BG242)/1000)))),ABS(BI242-(0.0684*(((BF242-BG242)/1000))^3-0.5008*(((BF242-BG242)/1000))^2+4.47*(((BF242-BG242)/1000))))))</f>
        <v>-</v>
      </c>
      <c r="BK242" s="563" t="s">
        <v>64</v>
      </c>
      <c r="BL242" s="48" t="s">
        <v>64</v>
      </c>
      <c r="BM242" s="48" t="s">
        <v>64</v>
      </c>
      <c r="BN242" s="47" t="s">
        <v>64</v>
      </c>
      <c r="BO242" s="789" t="s">
        <v>64</v>
      </c>
      <c r="BP242" s="789" t="s">
        <v>64</v>
      </c>
      <c r="BQ242" s="34" t="s">
        <v>64</v>
      </c>
      <c r="BR242" s="25">
        <v>2.7120273695821888</v>
      </c>
      <c r="BS242" s="26">
        <v>2.96495558138042</v>
      </c>
      <c r="BT242" s="603"/>
      <c r="BU242" s="599" t="s">
        <v>309</v>
      </c>
      <c r="BV242" s="851" t="s">
        <v>309</v>
      </c>
      <c r="BW242" s="851" t="s">
        <v>309</v>
      </c>
      <c r="BX242" s="851" t="s">
        <v>309</v>
      </c>
      <c r="BY242" s="851" t="s">
        <v>309</v>
      </c>
      <c r="BZ242" s="851" t="s">
        <v>309</v>
      </c>
      <c r="CA242" s="851" t="s">
        <v>309</v>
      </c>
      <c r="CB242" s="851" t="s">
        <v>309</v>
      </c>
      <c r="CC242" s="851" t="s">
        <v>309</v>
      </c>
      <c r="CD242" s="851" t="s">
        <v>309</v>
      </c>
      <c r="CE242" s="852" t="s">
        <v>64</v>
      </c>
      <c r="CF242" s="852" t="s">
        <v>309</v>
      </c>
      <c r="CG242" s="603"/>
      <c r="CH242" s="584">
        <v>49.706000000000003</v>
      </c>
      <c r="CI242" s="576">
        <v>2.403</v>
      </c>
      <c r="CJ242" s="576">
        <v>13.064</v>
      </c>
      <c r="CK242" s="576">
        <v>11.301</v>
      </c>
      <c r="CL242" s="576">
        <v>0.184</v>
      </c>
      <c r="CM242" s="576">
        <v>7.85</v>
      </c>
      <c r="CN242" s="576">
        <v>10.926</v>
      </c>
      <c r="CO242" s="576">
        <v>2.044</v>
      </c>
      <c r="CP242" s="576">
        <v>0.41199999999999998</v>
      </c>
      <c r="CQ242" s="576">
        <v>0.23899999999999999</v>
      </c>
      <c r="CR242" s="857" t="s">
        <v>64</v>
      </c>
      <c r="CS242" s="793">
        <v>360</v>
      </c>
      <c r="CT242" s="576">
        <f t="shared" ref="CT242:CT243" si="178">SUM(CH242:CR242)+(CS242/10000)</f>
        <v>98.165000000000006</v>
      </c>
      <c r="CU242" s="855" t="s">
        <v>64</v>
      </c>
      <c r="CV242" s="592" t="s">
        <v>64</v>
      </c>
      <c r="CW242" s="603"/>
      <c r="CX242" s="946" t="s">
        <v>64</v>
      </c>
      <c r="CY242" s="944" t="s">
        <v>64</v>
      </c>
      <c r="CZ242" s="944" t="s">
        <v>64</v>
      </c>
      <c r="DA242" s="938" t="str">
        <f t="shared" ref="DA242:DA243" si="179">IF(NOT(ISNUMBER(CX242)),"-",(0.0684*((CX242/1000))^3 - 0.5008*((CX242/1000))^2 + 4.47*((CX242/1000))))</f>
        <v>-</v>
      </c>
      <c r="DB242" s="946" t="s">
        <v>64</v>
      </c>
      <c r="DC242" s="944" t="s">
        <v>64</v>
      </c>
      <c r="DD242" s="944" t="s">
        <v>64</v>
      </c>
      <c r="DE242" s="939" t="str">
        <f t="shared" ref="DE242:DE243" si="180">IF(NOT(ISNUMBER(DB242)),"-",(0.0684*((DB242/1000))^3 - 0.5008*((DB242/1000))^2 + 4.47*((DB242/1000))))</f>
        <v>-</v>
      </c>
      <c r="DF242" s="9"/>
    </row>
    <row r="243" spans="1:110">
      <c r="A243" s="846" t="s">
        <v>945</v>
      </c>
      <c r="B243" s="41" t="s">
        <v>1480</v>
      </c>
      <c r="C243" s="41" t="s">
        <v>1482</v>
      </c>
      <c r="D243" s="34">
        <v>1790</v>
      </c>
      <c r="E243" s="535">
        <v>19.405619999999999</v>
      </c>
      <c r="F243" s="537">
        <v>-155.29281800000001</v>
      </c>
      <c r="G243" s="34" t="s">
        <v>935</v>
      </c>
      <c r="H243" s="37" t="s">
        <v>64</v>
      </c>
      <c r="I243" s="202" t="s">
        <v>64</v>
      </c>
      <c r="J243" t="s">
        <v>936</v>
      </c>
      <c r="K243" s="34">
        <v>2001</v>
      </c>
      <c r="L243" s="39" t="s">
        <v>64</v>
      </c>
      <c r="M243" s="34" t="s">
        <v>64</v>
      </c>
      <c r="N243" s="879" t="s">
        <v>64</v>
      </c>
      <c r="O243" s="879" t="s">
        <v>64</v>
      </c>
      <c r="P243" s="775" t="s">
        <v>64</v>
      </c>
      <c r="Q243" s="879" t="s">
        <v>64</v>
      </c>
      <c r="R243" s="28" t="s">
        <v>64</v>
      </c>
      <c r="S243" s="33" t="s">
        <v>64</v>
      </c>
      <c r="T243" s="34" t="s">
        <v>935</v>
      </c>
      <c r="U243" s="28" t="s">
        <v>64</v>
      </c>
      <c r="V243" s="26" t="s">
        <v>64</v>
      </c>
      <c r="W243" s="26" t="s">
        <v>64</v>
      </c>
      <c r="X243" s="775" t="s">
        <v>64</v>
      </c>
      <c r="Y243" s="879" t="s">
        <v>64</v>
      </c>
      <c r="Z243" s="879" t="s">
        <v>64</v>
      </c>
      <c r="AA243" s="879" t="s">
        <v>64</v>
      </c>
      <c r="AB243" s="32" t="s">
        <v>64</v>
      </c>
      <c r="AC243" s="6">
        <f xml:space="preserve"> 20.1*CM243+1014</f>
        <v>1166.3780999999999</v>
      </c>
      <c r="AD243" s="20" t="s">
        <v>64</v>
      </c>
      <c r="AE243" s="6" t="str">
        <f t="shared" si="173"/>
        <v>-</v>
      </c>
      <c r="AF243" s="786" t="s">
        <v>64</v>
      </c>
      <c r="AG243" s="34" t="s">
        <v>64</v>
      </c>
      <c r="AH243" s="32">
        <f t="shared" si="174"/>
        <v>54.029423450409929</v>
      </c>
      <c r="AI243" s="9">
        <v>50.884684537430537</v>
      </c>
      <c r="AJ243" s="9">
        <v>2.5171624713958809</v>
      </c>
      <c r="AK243" s="9">
        <v>13.1538084341288</v>
      </c>
      <c r="AL243" s="9">
        <v>11.748120300751879</v>
      </c>
      <c r="AM243" s="9">
        <v>0.18899150049035632</v>
      </c>
      <c r="AN243" s="9">
        <v>7.7445652173913038</v>
      </c>
      <c r="AO243" s="9">
        <v>11.24652664269369</v>
      </c>
      <c r="AP243" s="9">
        <v>1.834749918273946</v>
      </c>
      <c r="AQ243" s="9">
        <v>0.40250081726054254</v>
      </c>
      <c r="AR243" s="9">
        <v>0.23291925465838509</v>
      </c>
      <c r="AS243" s="6" t="s">
        <v>64</v>
      </c>
      <c r="AT243" s="6">
        <v>459.70905524681268</v>
      </c>
      <c r="AU243" s="9">
        <v>97.888000000000019</v>
      </c>
      <c r="AV243" s="8">
        <f t="shared" si="175"/>
        <v>2.3502945402900344</v>
      </c>
      <c r="AW243" s="9">
        <f t="shared" si="176"/>
        <v>9.6334586466165408</v>
      </c>
      <c r="AX243" s="8" t="s">
        <v>64</v>
      </c>
      <c r="AY243" s="789" t="s">
        <v>64</v>
      </c>
      <c r="AZ243" s="6" t="s">
        <v>64</v>
      </c>
      <c r="BA243" s="48" t="s">
        <v>64</v>
      </c>
      <c r="BB243" s="48" t="s">
        <v>64</v>
      </c>
      <c r="BC243" s="48" t="s">
        <v>64</v>
      </c>
      <c r="BD243" s="849" t="s">
        <v>64</v>
      </c>
      <c r="BE243" s="48" t="s">
        <v>64</v>
      </c>
      <c r="BF243" s="773" t="s">
        <v>64</v>
      </c>
      <c r="BG243" s="880" t="s">
        <v>64</v>
      </c>
      <c r="BH243" s="880" t="s">
        <v>64</v>
      </c>
      <c r="BI243" s="850" t="str">
        <f>IF(NOT(ISNUMBER(BF243)),"-",(0.0684*((BF243/1000))^3 - 0.5008*((BF243/1000))^2 + 4.47*((BF243/1000))))</f>
        <v>-</v>
      </c>
      <c r="BJ243" s="789" t="str">
        <f t="shared" si="177"/>
        <v>-</v>
      </c>
      <c r="BK243" s="563" t="s">
        <v>64</v>
      </c>
      <c r="BL243" s="48" t="s">
        <v>64</v>
      </c>
      <c r="BM243" s="48" t="s">
        <v>64</v>
      </c>
      <c r="BN243" s="47" t="s">
        <v>64</v>
      </c>
      <c r="BO243" s="789" t="s">
        <v>64</v>
      </c>
      <c r="BP243" s="789" t="s">
        <v>64</v>
      </c>
      <c r="BQ243" s="34" t="s">
        <v>64</v>
      </c>
      <c r="BR243" s="25">
        <v>2.7154060910522109</v>
      </c>
      <c r="BS243" s="26">
        <v>2.9643564812890082</v>
      </c>
      <c r="BT243" s="603"/>
      <c r="BU243" s="599" t="s">
        <v>309</v>
      </c>
      <c r="BV243" s="851" t="s">
        <v>309</v>
      </c>
      <c r="BW243" s="851" t="s">
        <v>309</v>
      </c>
      <c r="BX243" s="851" t="s">
        <v>309</v>
      </c>
      <c r="BY243" s="851" t="s">
        <v>309</v>
      </c>
      <c r="BZ243" s="851" t="s">
        <v>309</v>
      </c>
      <c r="CA243" s="851" t="s">
        <v>309</v>
      </c>
      <c r="CB243" s="851" t="s">
        <v>309</v>
      </c>
      <c r="CC243" s="851" t="s">
        <v>309</v>
      </c>
      <c r="CD243" s="851" t="s">
        <v>309</v>
      </c>
      <c r="CE243" s="852" t="s">
        <v>64</v>
      </c>
      <c r="CF243" s="852" t="s">
        <v>309</v>
      </c>
      <c r="CG243" s="603"/>
      <c r="CH243" s="584">
        <v>49.81</v>
      </c>
      <c r="CI243" s="576">
        <v>2.464</v>
      </c>
      <c r="CJ243" s="576">
        <v>12.875999999999999</v>
      </c>
      <c r="CK243" s="576">
        <v>11.5</v>
      </c>
      <c r="CL243" s="576">
        <v>0.185</v>
      </c>
      <c r="CM243" s="576">
        <v>7.5810000000000004</v>
      </c>
      <c r="CN243" s="576">
        <v>11.009</v>
      </c>
      <c r="CO243" s="576">
        <v>1.796</v>
      </c>
      <c r="CP243" s="576">
        <v>0.39400000000000002</v>
      </c>
      <c r="CQ243" s="576">
        <v>0.22800000000000001</v>
      </c>
      <c r="CR243" s="857" t="s">
        <v>64</v>
      </c>
      <c r="CS243" s="793">
        <v>450</v>
      </c>
      <c r="CT243" s="576">
        <f t="shared" si="178"/>
        <v>97.888000000000019</v>
      </c>
      <c r="CU243" s="855" t="s">
        <v>64</v>
      </c>
      <c r="CV243" s="592" t="s">
        <v>64</v>
      </c>
      <c r="CW243" s="603"/>
      <c r="CX243" s="946" t="s">
        <v>64</v>
      </c>
      <c r="CY243" s="944" t="s">
        <v>64</v>
      </c>
      <c r="CZ243" s="944" t="s">
        <v>64</v>
      </c>
      <c r="DA243" s="938" t="str">
        <f t="shared" si="179"/>
        <v>-</v>
      </c>
      <c r="DB243" s="946" t="s">
        <v>64</v>
      </c>
      <c r="DC243" s="944" t="s">
        <v>64</v>
      </c>
      <c r="DD243" s="944" t="s">
        <v>64</v>
      </c>
      <c r="DE243" s="939" t="str">
        <f t="shared" si="180"/>
        <v>-</v>
      </c>
      <c r="DF243" s="9"/>
    </row>
    <row r="244" spans="1:110">
      <c r="A244" s="846"/>
      <c r="B244" s="34"/>
      <c r="D244" s="34"/>
      <c r="E244" s="535"/>
      <c r="F244" s="537"/>
      <c r="H244" s="34"/>
      <c r="I244" s="28"/>
      <c r="K244" s="34"/>
      <c r="L244" s="5"/>
      <c r="N244" s="783"/>
      <c r="O244" s="783"/>
      <c r="P244" s="778"/>
      <c r="R244" s="24"/>
      <c r="S244" s="624"/>
      <c r="T244" s="34"/>
      <c r="U244" s="24"/>
      <c r="V244" s="1"/>
      <c r="W244" s="1"/>
      <c r="X244" s="778"/>
      <c r="Y244" s="783"/>
      <c r="Z244" s="783"/>
      <c r="AA244" s="783"/>
      <c r="AB244" s="11"/>
      <c r="AC244" s="7"/>
      <c r="AD244" s="7"/>
      <c r="AE244" s="7"/>
      <c r="AF244" s="786"/>
      <c r="AH244" s="32"/>
      <c r="AI244" s="7"/>
      <c r="AJ244" s="7"/>
      <c r="AK244" s="7"/>
      <c r="AL244" s="7"/>
      <c r="AM244" s="7"/>
      <c r="AN244" s="7"/>
      <c r="AO244" s="7"/>
      <c r="AP244" s="7"/>
      <c r="AQ244" s="7"/>
      <c r="AR244" s="7"/>
      <c r="AS244" s="7"/>
      <c r="AT244" s="7"/>
      <c r="AU244" s="7"/>
      <c r="AV244" s="11"/>
      <c r="AW244" s="7"/>
      <c r="AX244" s="8"/>
      <c r="AY244" s="787"/>
      <c r="AZ244" s="7"/>
      <c r="BB244" s="7"/>
      <c r="BD244" s="786"/>
      <c r="BF244" s="669"/>
      <c r="BG244" s="68"/>
      <c r="BH244" s="68"/>
      <c r="BI244" s="781"/>
      <c r="BK244" s="563"/>
      <c r="BL244" s="48"/>
      <c r="BM244" s="48"/>
      <c r="BN244" s="47"/>
      <c r="BO244" s="789"/>
      <c r="BP244" s="789"/>
      <c r="BQ244" s="34"/>
      <c r="BR244" s="25"/>
      <c r="BS244" s="26"/>
      <c r="BT244" s="604"/>
      <c r="BU244" s="598"/>
      <c r="BV244" s="790"/>
      <c r="BW244" s="790"/>
      <c r="BX244" s="790"/>
      <c r="BY244" s="790"/>
      <c r="BZ244" s="790"/>
      <c r="CA244" s="790"/>
      <c r="CB244" s="790"/>
      <c r="CC244" s="790"/>
      <c r="CD244" s="790"/>
      <c r="CE244" s="791"/>
      <c r="CF244" s="791"/>
      <c r="CG244" s="604"/>
      <c r="CH244" s="584"/>
      <c r="CI244" s="576"/>
      <c r="CJ244" s="576"/>
      <c r="CK244" s="576"/>
      <c r="CL244" s="576"/>
      <c r="CM244" s="576"/>
      <c r="CN244" s="576"/>
      <c r="CO244" s="576"/>
      <c r="CP244" s="576"/>
      <c r="CQ244" s="576"/>
      <c r="CR244" s="792"/>
      <c r="CS244" s="576"/>
      <c r="CT244" s="577"/>
      <c r="CU244" s="576"/>
      <c r="CV244" s="591"/>
      <c r="CW244" s="604"/>
      <c r="CX244" s="946"/>
      <c r="CY244" s="944"/>
      <c r="CZ244" s="944"/>
      <c r="DA244" s="948"/>
      <c r="DB244" s="946"/>
      <c r="DC244" s="944"/>
      <c r="DD244" s="944"/>
      <c r="DE244" s="949"/>
      <c r="DF244" s="7"/>
    </row>
    <row r="245" spans="1:110">
      <c r="A245" s="837" t="s">
        <v>1483</v>
      </c>
      <c r="B245" s="41"/>
      <c r="C245" s="41"/>
      <c r="D245" s="41"/>
      <c r="E245" s="535"/>
      <c r="F245" s="537"/>
      <c r="H245" s="41"/>
      <c r="I245" s="47"/>
      <c r="J245" s="3"/>
      <c r="K245" s="41"/>
      <c r="L245" s="31"/>
      <c r="M245" s="3"/>
      <c r="N245" s="882"/>
      <c r="O245" s="882"/>
      <c r="P245" s="777"/>
      <c r="Q245" s="882"/>
      <c r="R245" s="883"/>
      <c r="S245" s="771"/>
      <c r="T245" s="41"/>
      <c r="U245" s="883"/>
      <c r="V245" s="787"/>
      <c r="W245" s="787"/>
      <c r="X245" s="777"/>
      <c r="Y245" s="882"/>
      <c r="Z245" s="882"/>
      <c r="AA245" s="882"/>
      <c r="AB245" s="13"/>
      <c r="AC245" s="12"/>
      <c r="AD245" s="12"/>
      <c r="AE245" s="12"/>
      <c r="AF245" s="786"/>
      <c r="AG245" s="3"/>
      <c r="AH245" s="66"/>
      <c r="AI245" s="12"/>
      <c r="AJ245" s="12"/>
      <c r="AK245" s="12"/>
      <c r="AL245" s="12"/>
      <c r="AM245" s="12"/>
      <c r="AN245" s="12"/>
      <c r="AO245" s="12"/>
      <c r="AP245" s="12"/>
      <c r="AQ245" s="12"/>
      <c r="AR245" s="12"/>
      <c r="AS245" s="12"/>
      <c r="AT245" s="12"/>
      <c r="AU245" s="12"/>
      <c r="AV245" s="13"/>
      <c r="AW245" s="12"/>
      <c r="AX245" s="46"/>
      <c r="AY245" s="787"/>
      <c r="AZ245" s="12"/>
      <c r="BB245" s="12"/>
      <c r="BD245" s="840"/>
      <c r="BF245" s="667"/>
      <c r="BG245" s="68"/>
      <c r="BH245" s="68"/>
      <c r="BI245" s="841"/>
      <c r="BK245" s="563"/>
      <c r="BL245" s="48"/>
      <c r="BM245" s="48"/>
      <c r="BN245" s="47"/>
      <c r="BO245" s="789"/>
      <c r="BP245" s="789"/>
      <c r="BQ245" s="41"/>
      <c r="BR245" s="25"/>
      <c r="BS245" s="26"/>
      <c r="BT245" s="842"/>
      <c r="BU245" s="598"/>
      <c r="BV245" s="790"/>
      <c r="BW245" s="790"/>
      <c r="BX245" s="790"/>
      <c r="BY245" s="790"/>
      <c r="BZ245" s="790"/>
      <c r="CA245" s="790"/>
      <c r="CB245" s="790"/>
      <c r="CC245" s="790"/>
      <c r="CD245" s="790"/>
      <c r="CE245" s="791"/>
      <c r="CF245" s="791"/>
      <c r="CG245" s="842"/>
      <c r="CH245" s="584"/>
      <c r="CI245" s="576"/>
      <c r="CJ245" s="576"/>
      <c r="CK245" s="576"/>
      <c r="CL245" s="576"/>
      <c r="CM245" s="576"/>
      <c r="CN245" s="576"/>
      <c r="CO245" s="576"/>
      <c r="CP245" s="576"/>
      <c r="CQ245" s="576"/>
      <c r="CR245" s="792"/>
      <c r="CS245" s="576"/>
      <c r="CT245" s="577"/>
      <c r="CU245" s="576"/>
      <c r="CV245" s="591"/>
      <c r="CW245" s="842"/>
      <c r="CX245" s="943"/>
      <c r="CY245" s="944"/>
      <c r="CZ245" s="944"/>
      <c r="DA245" s="945"/>
      <c r="DB245" s="946"/>
      <c r="DC245" s="944"/>
      <c r="DD245" s="944"/>
      <c r="DE245" s="947"/>
      <c r="DF245" s="7"/>
    </row>
    <row r="246" spans="1:110">
      <c r="A246" s="884" t="s">
        <v>996</v>
      </c>
      <c r="B246" s="41"/>
      <c r="C246" s="859"/>
      <c r="D246" s="34"/>
      <c r="E246" s="535"/>
      <c r="F246" s="537"/>
      <c r="H246" s="34"/>
      <c r="I246" s="28"/>
      <c r="K246" s="34"/>
      <c r="L246" s="31"/>
      <c r="M246" s="3"/>
      <c r="N246" s="882"/>
      <c r="O246" s="882"/>
      <c r="P246" s="777"/>
      <c r="Q246" s="882"/>
      <c r="R246" s="883"/>
      <c r="S246" s="771"/>
      <c r="T246" s="34"/>
      <c r="U246" s="883"/>
      <c r="V246" s="787"/>
      <c r="W246" s="787"/>
      <c r="X246" s="777"/>
      <c r="Y246" s="882"/>
      <c r="Z246" s="882"/>
      <c r="AA246" s="882"/>
      <c r="AB246" s="13"/>
      <c r="AC246" s="12"/>
      <c r="AD246" s="12"/>
      <c r="AE246" s="12"/>
      <c r="AF246" s="786"/>
      <c r="AG246" s="3"/>
      <c r="AH246" s="66"/>
      <c r="AI246" s="12"/>
      <c r="AJ246" s="12"/>
      <c r="AK246" s="12"/>
      <c r="AL246" s="12"/>
      <c r="AM246" s="12"/>
      <c r="AN246" s="12"/>
      <c r="AO246" s="12"/>
      <c r="AP246" s="12"/>
      <c r="AQ246" s="12"/>
      <c r="AR246" s="12"/>
      <c r="AS246" s="12"/>
      <c r="AT246" s="12"/>
      <c r="AU246" s="12"/>
      <c r="AV246" s="13"/>
      <c r="AW246" s="12"/>
      <c r="AX246" s="46"/>
      <c r="AY246" s="787"/>
      <c r="AZ246" s="12"/>
      <c r="BB246" s="12"/>
      <c r="BD246" s="840"/>
      <c r="BF246" s="667"/>
      <c r="BG246" s="68"/>
      <c r="BH246" s="68"/>
      <c r="BI246" s="841"/>
      <c r="BK246" s="563"/>
      <c r="BL246" s="48"/>
      <c r="BM246" s="48"/>
      <c r="BN246" s="47"/>
      <c r="BO246" s="789"/>
      <c r="BP246" s="789"/>
      <c r="BQ246" s="41"/>
      <c r="BR246" s="25"/>
      <c r="BS246" s="26"/>
      <c r="BT246" s="842"/>
      <c r="BU246" s="598"/>
      <c r="BV246" s="790"/>
      <c r="BW246" s="790"/>
      <c r="BX246" s="790"/>
      <c r="BY246" s="790"/>
      <c r="BZ246" s="790"/>
      <c r="CA246" s="790"/>
      <c r="CB246" s="790"/>
      <c r="CC246" s="790"/>
      <c r="CD246" s="790"/>
      <c r="CE246" s="791"/>
      <c r="CF246" s="791"/>
      <c r="CG246" s="842"/>
      <c r="CH246" s="584"/>
      <c r="CI246" s="576"/>
      <c r="CJ246" s="576"/>
      <c r="CK246" s="576"/>
      <c r="CL246" s="576"/>
      <c r="CM246" s="576"/>
      <c r="CN246" s="576"/>
      <c r="CO246" s="576"/>
      <c r="CP246" s="576"/>
      <c r="CQ246" s="576"/>
      <c r="CR246" s="792"/>
      <c r="CS246" s="576"/>
      <c r="CT246" s="577"/>
      <c r="CU246" s="576"/>
      <c r="CV246" s="591"/>
      <c r="CW246" s="842"/>
      <c r="CX246" s="943"/>
      <c r="CY246" s="944"/>
      <c r="CZ246" s="944"/>
      <c r="DA246" s="945"/>
      <c r="DB246" s="946"/>
      <c r="DC246" s="944"/>
      <c r="DD246" s="944"/>
      <c r="DE246" s="947"/>
      <c r="DF246" s="7"/>
    </row>
    <row r="247" spans="1:110">
      <c r="A247" s="846"/>
      <c r="B247" s="41"/>
      <c r="C247" s="859"/>
      <c r="D247" s="34"/>
      <c r="E247" s="535"/>
      <c r="F247" s="537"/>
      <c r="H247" s="34"/>
      <c r="I247" s="28"/>
      <c r="K247" s="34"/>
      <c r="L247" s="31"/>
      <c r="M247" s="3"/>
      <c r="N247" s="882"/>
      <c r="O247" s="882"/>
      <c r="P247" s="777"/>
      <c r="Q247" s="882"/>
      <c r="R247" s="883"/>
      <c r="S247" s="771"/>
      <c r="T247" s="34"/>
      <c r="U247" s="883"/>
      <c r="V247" s="787"/>
      <c r="W247" s="787"/>
      <c r="X247" s="777"/>
      <c r="Y247" s="882"/>
      <c r="Z247" s="882"/>
      <c r="AA247" s="882"/>
      <c r="AB247" s="13"/>
      <c r="AC247" s="12"/>
      <c r="AD247" s="12"/>
      <c r="AE247" s="12"/>
      <c r="AF247" s="786"/>
      <c r="AG247" s="3"/>
      <c r="AH247" s="66"/>
      <c r="AI247" s="12"/>
      <c r="AJ247" s="12"/>
      <c r="AK247" s="12"/>
      <c r="AL247" s="12"/>
      <c r="AM247" s="12"/>
      <c r="AN247" s="12"/>
      <c r="AO247" s="12"/>
      <c r="AP247" s="12"/>
      <c r="AQ247" s="12"/>
      <c r="AR247" s="12"/>
      <c r="AS247" s="12"/>
      <c r="AT247" s="12"/>
      <c r="AU247" s="12"/>
      <c r="AV247" s="13"/>
      <c r="AW247" s="12"/>
      <c r="AX247" s="46"/>
      <c r="AY247" s="787"/>
      <c r="AZ247" s="12"/>
      <c r="BB247" s="12"/>
      <c r="BD247" s="840"/>
      <c r="BF247" s="667"/>
      <c r="BG247" s="68"/>
      <c r="BH247" s="68"/>
      <c r="BI247" s="841"/>
      <c r="BK247" s="563"/>
      <c r="BL247" s="48"/>
      <c r="BM247" s="48"/>
      <c r="BN247" s="47"/>
      <c r="BO247" s="789"/>
      <c r="BP247" s="789"/>
      <c r="BQ247" s="41"/>
      <c r="BR247" s="25"/>
      <c r="BS247" s="26"/>
      <c r="BT247" s="842"/>
      <c r="BU247" s="598"/>
      <c r="BV247" s="790"/>
      <c r="BW247" s="790"/>
      <c r="BX247" s="790"/>
      <c r="BY247" s="790"/>
      <c r="BZ247" s="790"/>
      <c r="CA247" s="790"/>
      <c r="CB247" s="790"/>
      <c r="CC247" s="790"/>
      <c r="CD247" s="790"/>
      <c r="CE247" s="791"/>
      <c r="CF247" s="791"/>
      <c r="CG247" s="842"/>
      <c r="CH247" s="584"/>
      <c r="CI247" s="576"/>
      <c r="CJ247" s="576"/>
      <c r="CK247" s="576"/>
      <c r="CL247" s="576"/>
      <c r="CM247" s="576"/>
      <c r="CN247" s="576"/>
      <c r="CO247" s="576"/>
      <c r="CP247" s="576"/>
      <c r="CQ247" s="576"/>
      <c r="CR247" s="792"/>
      <c r="CS247" s="576"/>
      <c r="CT247" s="577"/>
      <c r="CU247" s="576"/>
      <c r="CV247" s="591"/>
      <c r="CW247" s="842"/>
      <c r="CX247" s="943"/>
      <c r="CY247" s="944"/>
      <c r="CZ247" s="944"/>
      <c r="DA247" s="945"/>
      <c r="DB247" s="946"/>
      <c r="DC247" s="944"/>
      <c r="DD247" s="944"/>
      <c r="DE247" s="947"/>
      <c r="DF247" s="7"/>
    </row>
    <row r="248" spans="1:110">
      <c r="A248" s="837" t="s">
        <v>1485</v>
      </c>
      <c r="B248" s="41"/>
      <c r="C248" s="41"/>
      <c r="D248" s="41"/>
      <c r="E248" s="535"/>
      <c r="F248" s="537"/>
      <c r="H248" s="41"/>
      <c r="I248" s="47"/>
      <c r="K248" s="34"/>
      <c r="L248" s="5"/>
      <c r="N248" s="783"/>
      <c r="O248" s="783"/>
      <c r="P248" s="778"/>
      <c r="R248" s="24"/>
      <c r="S248" s="624"/>
      <c r="T248" s="41"/>
      <c r="U248" s="24"/>
      <c r="V248" s="1"/>
      <c r="W248" s="1"/>
      <c r="X248" s="778"/>
      <c r="Y248" s="783"/>
      <c r="Z248" s="783"/>
      <c r="AA248" s="783"/>
      <c r="AB248" s="11"/>
      <c r="AC248" s="7"/>
      <c r="AD248" s="7"/>
      <c r="AE248" s="7"/>
      <c r="AF248" s="786"/>
      <c r="AH248" s="32"/>
      <c r="AI248" s="7"/>
      <c r="AJ248" s="7"/>
      <c r="AK248" s="7"/>
      <c r="AL248" s="7"/>
      <c r="AM248" s="7"/>
      <c r="AN248" s="7"/>
      <c r="AO248" s="7"/>
      <c r="AP248" s="7"/>
      <c r="AQ248" s="7"/>
      <c r="AR248" s="7"/>
      <c r="AS248" s="7"/>
      <c r="AT248" s="7"/>
      <c r="AU248" s="7"/>
      <c r="AV248" s="11"/>
      <c r="AW248" s="7"/>
      <c r="AX248" s="8"/>
      <c r="AY248" s="787"/>
      <c r="AZ248" s="7"/>
      <c r="BB248" s="7"/>
      <c r="BD248" s="786"/>
      <c r="BF248" s="669"/>
      <c r="BG248" s="68"/>
      <c r="BH248" s="68"/>
      <c r="BI248" s="781"/>
      <c r="BK248" s="563"/>
      <c r="BL248" s="48"/>
      <c r="BM248" s="48"/>
      <c r="BN248" s="47"/>
      <c r="BO248" s="789"/>
      <c r="BP248" s="789"/>
      <c r="BQ248" s="34"/>
      <c r="BR248" s="25"/>
      <c r="BS248" s="26"/>
      <c r="BT248" s="604"/>
      <c r="BU248" s="598"/>
      <c r="BV248" s="790"/>
      <c r="BW248" s="790"/>
      <c r="BX248" s="790"/>
      <c r="BY248" s="790"/>
      <c r="BZ248" s="790"/>
      <c r="CA248" s="790"/>
      <c r="CB248" s="790"/>
      <c r="CC248" s="790"/>
      <c r="CD248" s="790"/>
      <c r="CE248" s="791"/>
      <c r="CF248" s="791"/>
      <c r="CG248" s="604"/>
      <c r="CH248" s="584"/>
      <c r="CI248" s="576"/>
      <c r="CJ248" s="576"/>
      <c r="CK248" s="576"/>
      <c r="CL248" s="576"/>
      <c r="CM248" s="576"/>
      <c r="CN248" s="576"/>
      <c r="CO248" s="576"/>
      <c r="CP248" s="576"/>
      <c r="CQ248" s="576"/>
      <c r="CR248" s="792"/>
      <c r="CS248" s="793"/>
      <c r="CT248" s="577"/>
      <c r="CU248" s="576"/>
      <c r="CV248" s="591"/>
      <c r="CW248" s="604"/>
      <c r="CX248" s="946"/>
      <c r="CY248" s="944"/>
      <c r="CZ248" s="944"/>
      <c r="DA248" s="948"/>
      <c r="DB248" s="946"/>
      <c r="DC248" s="944"/>
      <c r="DD248" s="944"/>
      <c r="DE248" s="949"/>
      <c r="DF248" s="7"/>
    </row>
    <row r="249" spans="1:110">
      <c r="A249" s="846" t="s">
        <v>947</v>
      </c>
      <c r="B249" s="41" t="s">
        <v>678</v>
      </c>
      <c r="C249" s="41" t="s">
        <v>1486</v>
      </c>
      <c r="D249" s="34" t="s">
        <v>736</v>
      </c>
      <c r="E249" s="535">
        <v>19.389810000000001</v>
      </c>
      <c r="F249" s="537">
        <v>-155.29229000000001</v>
      </c>
      <c r="G249" s="37" t="s">
        <v>935</v>
      </c>
      <c r="H249" s="37" t="s">
        <v>64</v>
      </c>
      <c r="I249" s="202" t="s">
        <v>64</v>
      </c>
      <c r="J249" t="s">
        <v>948</v>
      </c>
      <c r="K249" s="870">
        <v>43053</v>
      </c>
      <c r="L249" s="51" t="s">
        <v>64</v>
      </c>
      <c r="M249" s="52" t="s">
        <v>64</v>
      </c>
      <c r="N249" s="838" t="s">
        <v>64</v>
      </c>
      <c r="O249" s="54" t="s">
        <v>64</v>
      </c>
      <c r="P249" s="779" t="s">
        <v>64</v>
      </c>
      <c r="Q249" s="54" t="s">
        <v>64</v>
      </c>
      <c r="R249" s="772" t="s">
        <v>64</v>
      </c>
      <c r="S249" s="624" t="s">
        <v>64</v>
      </c>
      <c r="T249" s="34" t="s">
        <v>935</v>
      </c>
      <c r="U249" s="21" t="s">
        <v>64</v>
      </c>
      <c r="V249" s="552" t="s">
        <v>64</v>
      </c>
      <c r="W249" s="552" t="s">
        <v>64</v>
      </c>
      <c r="X249" s="779" t="s">
        <v>64</v>
      </c>
      <c r="Y249" s="54" t="s">
        <v>64</v>
      </c>
      <c r="Z249" s="54" t="s">
        <v>64</v>
      </c>
      <c r="AA249" s="54" t="s">
        <v>64</v>
      </c>
      <c r="AB249" s="32" t="s">
        <v>64</v>
      </c>
      <c r="AC249" s="6">
        <f xml:space="preserve"> 20.1*CM249+1014</f>
        <v>1146.4732710000001</v>
      </c>
      <c r="AD249" s="20" t="s">
        <v>64</v>
      </c>
      <c r="AE249" s="6" t="str">
        <f t="shared" ref="AE249:AE252" si="181">IF(ISNUMBER(U249),0.02289*U249^3- 4.943*U249^2+ 358.6*U249-7620,"-")</f>
        <v>-</v>
      </c>
      <c r="AF249" s="885" t="s">
        <v>64</v>
      </c>
      <c r="AG249" s="772" t="s">
        <v>64</v>
      </c>
      <c r="AH249" s="32">
        <f t="shared" ref="AH249:AH252" si="182">100*(AN249/40.3)/((AN249/40.3)+(AL249/71.85))</f>
        <v>51.036401478106313</v>
      </c>
      <c r="AI249" s="9">
        <v>51.580174818572956</v>
      </c>
      <c r="AJ249" s="9">
        <v>2.3654794391230269</v>
      </c>
      <c r="AK249" s="9">
        <v>14.095758839724052</v>
      </c>
      <c r="AL249" s="9">
        <v>11.173998027690031</v>
      </c>
      <c r="AM249" s="9">
        <v>0.18178115958984259</v>
      </c>
      <c r="AN249" s="9">
        <v>6.5327130310006876</v>
      </c>
      <c r="AO249" s="9">
        <v>11.020163757571742</v>
      </c>
      <c r="AP249" s="9">
        <v>2.3027959388506005</v>
      </c>
      <c r="AQ249" s="9">
        <v>0.44267793626925711</v>
      </c>
      <c r="AR249" s="9">
        <v>0.2183356315466233</v>
      </c>
      <c r="AS249" s="6">
        <v>164.26169615981195</v>
      </c>
      <c r="AT249" s="6">
        <v>696.95250445214924</v>
      </c>
      <c r="AU249" s="9">
        <v>100.88779299999999</v>
      </c>
      <c r="AV249" s="8">
        <f t="shared" ref="AV249:AV252" si="183">IF(ISNUMBER(AL249),(AL249/71.84)*(0.18/2)*159.69,"-")</f>
        <v>2.2354373197906998</v>
      </c>
      <c r="AW249" s="9">
        <f t="shared" ref="AW249:AW252" si="184">IF(ISNUMBER(AL249),(AL249/71.84)*(1-0.18)*71.84,"-")</f>
        <v>9.1626783827058258</v>
      </c>
      <c r="AX249" s="8">
        <v>0.11472110854732973</v>
      </c>
      <c r="AY249" s="789">
        <v>5.7360554273664863E-3</v>
      </c>
      <c r="AZ249" s="6" t="s">
        <v>292</v>
      </c>
      <c r="BA249" s="48" t="s">
        <v>64</v>
      </c>
      <c r="BB249" s="48" t="s">
        <v>64</v>
      </c>
      <c r="BC249" s="48" t="s">
        <v>64</v>
      </c>
      <c r="BD249" s="849" t="s">
        <v>64</v>
      </c>
      <c r="BE249" s="48" t="s">
        <v>64</v>
      </c>
      <c r="BF249" s="773" t="s">
        <v>64</v>
      </c>
      <c r="BG249" s="880" t="s">
        <v>64</v>
      </c>
      <c r="BH249" s="880" t="s">
        <v>64</v>
      </c>
      <c r="BI249" s="850" t="str">
        <f>IF(NOT(ISNUMBER(BF249)),"-",(0.0684*((BF249/1000))^3 - 0.5008*((BF249/1000))^2 + 4.47*((BF249/1000))))</f>
        <v>-</v>
      </c>
      <c r="BJ249" s="789" t="str">
        <f t="shared" ref="BJ249:BJ252" si="185">IF(NOT(ISNUMBER(BF249)),"-",AVERAGE(ABS(BI249-(0.0684*(((BF249+BG249)/1000))^3-0.5008*(((BF249+BG249)/1000))^2+4.47*(((BF249+BG249)/1000)))),ABS(BI249-(0.0684*(((BF249-BG249)/1000))^3-0.5008*(((BF249-BG249)/1000))^2+4.47*(((BF249-BG249)/1000))))))</f>
        <v>-</v>
      </c>
      <c r="BK249" s="563" t="s">
        <v>64</v>
      </c>
      <c r="BL249" s="48" t="s">
        <v>64</v>
      </c>
      <c r="BM249" s="48" t="s">
        <v>64</v>
      </c>
      <c r="BN249" s="47" t="s">
        <v>64</v>
      </c>
      <c r="BO249" s="789" t="s">
        <v>64</v>
      </c>
      <c r="BP249" s="789" t="s">
        <v>64</v>
      </c>
      <c r="BQ249" s="34" t="s">
        <v>64</v>
      </c>
      <c r="BR249" s="25">
        <v>2.7020073167224941</v>
      </c>
      <c r="BS249" s="26">
        <v>2.9319514226084049</v>
      </c>
      <c r="BT249" s="604"/>
      <c r="BU249" s="599">
        <v>0.13953675212619629</v>
      </c>
      <c r="BV249" s="851">
        <v>2.6957476784133842E-2</v>
      </c>
      <c r="BW249" s="851">
        <v>6.4888134327608912E-2</v>
      </c>
      <c r="BX249" s="851">
        <v>0.11794266658207105</v>
      </c>
      <c r="BY249" s="851">
        <v>5.683097104721084E-3</v>
      </c>
      <c r="BZ249" s="851">
        <v>1.7703586986881552E-2</v>
      </c>
      <c r="CA249" s="851">
        <v>2.1787745361819939E-2</v>
      </c>
      <c r="CB249" s="851">
        <v>3.2440637788557831E-2</v>
      </c>
      <c r="CC249" s="851">
        <v>1.1128170765317465E-2</v>
      </c>
      <c r="CD249" s="851">
        <v>6.6774241202798446E-3</v>
      </c>
      <c r="CE249" s="852">
        <v>22.172700794436054</v>
      </c>
      <c r="CF249" s="852">
        <v>18.753807075549766</v>
      </c>
      <c r="CG249" s="604"/>
      <c r="CH249" s="584">
        <v>52.0381</v>
      </c>
      <c r="CI249" s="576">
        <v>2.3864800000000002</v>
      </c>
      <c r="CJ249" s="576">
        <v>14.2209</v>
      </c>
      <c r="CK249" s="576">
        <v>11.273199999999999</v>
      </c>
      <c r="CL249" s="576">
        <v>0.183395</v>
      </c>
      <c r="CM249" s="576">
        <v>6.5907099999999996</v>
      </c>
      <c r="CN249" s="576">
        <v>11.118</v>
      </c>
      <c r="CO249" s="576">
        <v>2.3232400000000002</v>
      </c>
      <c r="CP249" s="576">
        <v>0.446608</v>
      </c>
      <c r="CQ249" s="576">
        <v>0.220274</v>
      </c>
      <c r="CR249" s="857">
        <v>1.6572E-2</v>
      </c>
      <c r="CS249" s="793">
        <v>703.14</v>
      </c>
      <c r="CT249" s="576">
        <f t="shared" ref="CT249:CT252" si="186">SUM(CH249:CR249)+(CS249/10000)</f>
        <v>100.88779299999999</v>
      </c>
      <c r="CU249" s="576">
        <v>0.11472110854732973</v>
      </c>
      <c r="CV249" s="592" t="s">
        <v>292</v>
      </c>
      <c r="CW249" s="604"/>
      <c r="CX249" s="946" t="s">
        <v>64</v>
      </c>
      <c r="CY249" s="944" t="s">
        <v>64</v>
      </c>
      <c r="CZ249" s="944" t="s">
        <v>64</v>
      </c>
      <c r="DA249" s="938" t="str">
        <f t="shared" ref="DA249:DA252" si="187">IF(NOT(ISNUMBER(CX249)),"-",(0.0684*((CX249/1000))^3 - 0.5008*((CX249/1000))^2 + 4.47*((CX249/1000))))</f>
        <v>-</v>
      </c>
      <c r="DB249" s="946" t="s">
        <v>64</v>
      </c>
      <c r="DC249" s="944" t="s">
        <v>64</v>
      </c>
      <c r="DD249" s="944" t="s">
        <v>64</v>
      </c>
      <c r="DE249" s="939" t="str">
        <f t="shared" ref="DE249:DE252" si="188">IF(NOT(ISNUMBER(DB249)),"-",(0.0684*((DB249/1000))^3 - 0.5008*((DB249/1000))^2 + 4.47*((DB249/1000))))</f>
        <v>-</v>
      </c>
      <c r="DF249" s="9"/>
    </row>
    <row r="250" spans="1:110">
      <c r="A250" s="846" t="s">
        <v>949</v>
      </c>
      <c r="B250" s="41" t="s">
        <v>678</v>
      </c>
      <c r="C250" s="41" t="s">
        <v>1486</v>
      </c>
      <c r="D250" s="34" t="s">
        <v>736</v>
      </c>
      <c r="E250" s="535">
        <v>19.389810000000001</v>
      </c>
      <c r="F250" s="537">
        <v>-155.29229000000001</v>
      </c>
      <c r="G250" s="37" t="s">
        <v>935</v>
      </c>
      <c r="H250" s="37" t="s">
        <v>64</v>
      </c>
      <c r="I250" s="202" t="s">
        <v>64</v>
      </c>
      <c r="J250" t="s">
        <v>877</v>
      </c>
      <c r="K250" s="870">
        <v>43053</v>
      </c>
      <c r="L250" s="51" t="s">
        <v>64</v>
      </c>
      <c r="M250" s="52" t="s">
        <v>64</v>
      </c>
      <c r="N250" s="838" t="s">
        <v>64</v>
      </c>
      <c r="O250" s="54" t="s">
        <v>64</v>
      </c>
      <c r="P250" s="779" t="s">
        <v>64</v>
      </c>
      <c r="Q250" s="54" t="s">
        <v>64</v>
      </c>
      <c r="R250" s="772" t="s">
        <v>64</v>
      </c>
      <c r="S250" s="624" t="s">
        <v>64</v>
      </c>
      <c r="T250" s="34" t="s">
        <v>935</v>
      </c>
      <c r="U250" s="21" t="s">
        <v>64</v>
      </c>
      <c r="V250" s="552" t="s">
        <v>64</v>
      </c>
      <c r="W250" s="552" t="s">
        <v>64</v>
      </c>
      <c r="X250" s="779" t="s">
        <v>64</v>
      </c>
      <c r="Y250" s="54" t="s">
        <v>64</v>
      </c>
      <c r="Z250" s="54" t="s">
        <v>64</v>
      </c>
      <c r="AA250" s="54" t="s">
        <v>64</v>
      </c>
      <c r="AB250" s="32" t="s">
        <v>64</v>
      </c>
      <c r="AC250" s="6">
        <f xml:space="preserve"> 20.1*CM250+1014</f>
        <v>1163.4000839999999</v>
      </c>
      <c r="AD250" s="20" t="s">
        <v>64</v>
      </c>
      <c r="AE250" s="6" t="str">
        <f t="shared" si="181"/>
        <v>-</v>
      </c>
      <c r="AF250" s="885" t="s">
        <v>64</v>
      </c>
      <c r="AG250" s="772" t="s">
        <v>64</v>
      </c>
      <c r="AH250" s="32">
        <f t="shared" si="182"/>
        <v>54.792880767829914</v>
      </c>
      <c r="AI250" s="9">
        <v>51.210245850976087</v>
      </c>
      <c r="AJ250" s="9">
        <v>2.3105515086140431</v>
      </c>
      <c r="AK250" s="9">
        <v>14.522023620946111</v>
      </c>
      <c r="AL250" s="9">
        <v>10.870043079908969</v>
      </c>
      <c r="AM250" s="9">
        <v>0.15998504251848641</v>
      </c>
      <c r="AN250" s="9">
        <v>7.3897005539004512</v>
      </c>
      <c r="AO250" s="9">
        <v>10.511933644011661</v>
      </c>
      <c r="AP250" s="9">
        <v>2.3078671791389662</v>
      </c>
      <c r="AQ250" s="9">
        <v>0.44521592736355547</v>
      </c>
      <c r="AR250" s="9">
        <v>0.21614320352930069</v>
      </c>
      <c r="AS250" s="6">
        <v>208.84083316098946</v>
      </c>
      <c r="AT250" s="6">
        <v>354.0630577626543</v>
      </c>
      <c r="AU250" s="9">
        <v>100.58377800000002</v>
      </c>
      <c r="AV250" s="8">
        <f t="shared" si="183"/>
        <v>2.1746289831397503</v>
      </c>
      <c r="AW250" s="9">
        <f t="shared" si="184"/>
        <v>8.913435325525354</v>
      </c>
      <c r="AX250" s="8">
        <v>0.11472110854732973</v>
      </c>
      <c r="AY250" s="789">
        <v>5.7360554273664863E-3</v>
      </c>
      <c r="AZ250" s="6" t="s">
        <v>292</v>
      </c>
      <c r="BA250" s="48" t="s">
        <v>64</v>
      </c>
      <c r="BB250" s="48" t="s">
        <v>64</v>
      </c>
      <c r="BC250" s="48" t="s">
        <v>64</v>
      </c>
      <c r="BD250" s="849" t="s">
        <v>64</v>
      </c>
      <c r="BE250" s="48" t="s">
        <v>64</v>
      </c>
      <c r="BF250" s="773" t="s">
        <v>64</v>
      </c>
      <c r="BG250" s="880" t="s">
        <v>64</v>
      </c>
      <c r="BH250" s="880" t="s">
        <v>64</v>
      </c>
      <c r="BI250" s="850" t="str">
        <f>IF(NOT(ISNUMBER(BF250)),"-",(0.0684*((BF250/1000))^3 - 0.5008*((BF250/1000))^2 + 4.47*((BF250/1000))))</f>
        <v>-</v>
      </c>
      <c r="BJ250" s="789" t="str">
        <f t="shared" si="185"/>
        <v>-</v>
      </c>
      <c r="BK250" s="563" t="s">
        <v>64</v>
      </c>
      <c r="BL250" s="48" t="s">
        <v>64</v>
      </c>
      <c r="BM250" s="48" t="s">
        <v>64</v>
      </c>
      <c r="BN250" s="47" t="s">
        <v>64</v>
      </c>
      <c r="BO250" s="789" t="s">
        <v>64</v>
      </c>
      <c r="BP250" s="789" t="s">
        <v>64</v>
      </c>
      <c r="BQ250" s="34" t="s">
        <v>64</v>
      </c>
      <c r="BR250" s="25">
        <v>2.699308588283686</v>
      </c>
      <c r="BS250" s="26">
        <v>2.9356449610312549</v>
      </c>
      <c r="BT250" s="604"/>
      <c r="BU250" s="599">
        <v>0.13950234282510246</v>
      </c>
      <c r="BV250" s="851">
        <v>2.6560251701820151E-2</v>
      </c>
      <c r="BW250" s="851">
        <v>6.6029463100898828E-2</v>
      </c>
      <c r="BX250" s="851">
        <v>0.11656055895017188</v>
      </c>
      <c r="BY250" s="851">
        <v>5.6709738036485368E-3</v>
      </c>
      <c r="BZ250" s="851">
        <v>1.8785209984059258E-2</v>
      </c>
      <c r="CA250" s="851">
        <v>2.1332707898484383E-2</v>
      </c>
      <c r="CB250" s="851">
        <v>3.2424841506748736E-2</v>
      </c>
      <c r="CC250" s="851">
        <v>1.1198115526640883E-2</v>
      </c>
      <c r="CD250" s="851">
        <v>6.7683515039572281E-3</v>
      </c>
      <c r="CE250" s="852">
        <v>21.947918520221027</v>
      </c>
      <c r="CF250" s="852">
        <v>16.305205717168427</v>
      </c>
      <c r="CG250" s="604"/>
      <c r="CH250" s="584">
        <v>51.5092</v>
      </c>
      <c r="CI250" s="576">
        <v>2.3240400000000001</v>
      </c>
      <c r="CJ250" s="576">
        <v>14.6068</v>
      </c>
      <c r="CK250" s="576">
        <v>10.9335</v>
      </c>
      <c r="CL250" s="576">
        <v>0.16091900000000001</v>
      </c>
      <c r="CM250" s="576">
        <v>7.4328399999999997</v>
      </c>
      <c r="CN250" s="576">
        <v>10.5733</v>
      </c>
      <c r="CO250" s="576">
        <v>2.3213400000000002</v>
      </c>
      <c r="CP250" s="576">
        <v>0.44781500000000002</v>
      </c>
      <c r="CQ250" s="576">
        <v>0.21740499999999999</v>
      </c>
      <c r="CR250" s="857">
        <v>2.1006E-2</v>
      </c>
      <c r="CS250" s="793">
        <v>356.13</v>
      </c>
      <c r="CT250" s="576">
        <f t="shared" si="186"/>
        <v>100.58377800000002</v>
      </c>
      <c r="CU250" s="576">
        <v>0.11472110854732973</v>
      </c>
      <c r="CV250" s="592" t="s">
        <v>292</v>
      </c>
      <c r="CW250" s="604"/>
      <c r="CX250" s="946" t="s">
        <v>64</v>
      </c>
      <c r="CY250" s="944" t="s">
        <v>64</v>
      </c>
      <c r="CZ250" s="944" t="s">
        <v>64</v>
      </c>
      <c r="DA250" s="938" t="str">
        <f t="shared" si="187"/>
        <v>-</v>
      </c>
      <c r="DB250" s="946" t="s">
        <v>64</v>
      </c>
      <c r="DC250" s="944" t="s">
        <v>64</v>
      </c>
      <c r="DD250" s="944" t="s">
        <v>64</v>
      </c>
      <c r="DE250" s="939" t="str">
        <f t="shared" si="188"/>
        <v>-</v>
      </c>
      <c r="DF250" s="9"/>
    </row>
    <row r="251" spans="1:110">
      <c r="A251" s="846" t="s">
        <v>950</v>
      </c>
      <c r="B251" s="41" t="s">
        <v>678</v>
      </c>
      <c r="C251" s="41" t="s">
        <v>1486</v>
      </c>
      <c r="D251" s="34" t="s">
        <v>736</v>
      </c>
      <c r="E251" s="535">
        <v>19.389810000000001</v>
      </c>
      <c r="F251" s="537">
        <v>-155.29229000000001</v>
      </c>
      <c r="G251" s="37" t="s">
        <v>935</v>
      </c>
      <c r="H251" s="37" t="s">
        <v>64</v>
      </c>
      <c r="I251" s="202" t="s">
        <v>64</v>
      </c>
      <c r="J251" t="s">
        <v>877</v>
      </c>
      <c r="K251" s="870">
        <v>43053</v>
      </c>
      <c r="L251" s="51" t="s">
        <v>64</v>
      </c>
      <c r="M251" s="52" t="s">
        <v>64</v>
      </c>
      <c r="N251" s="838" t="s">
        <v>64</v>
      </c>
      <c r="O251" s="54" t="s">
        <v>64</v>
      </c>
      <c r="P251" s="779" t="s">
        <v>64</v>
      </c>
      <c r="Q251" s="54" t="s">
        <v>64</v>
      </c>
      <c r="R251" s="772" t="s">
        <v>64</v>
      </c>
      <c r="S251" s="624" t="s">
        <v>64</v>
      </c>
      <c r="T251" s="34" t="s">
        <v>935</v>
      </c>
      <c r="U251" s="21" t="s">
        <v>64</v>
      </c>
      <c r="V251" s="552" t="s">
        <v>64</v>
      </c>
      <c r="W251" s="552" t="s">
        <v>64</v>
      </c>
      <c r="X251" s="779" t="s">
        <v>64</v>
      </c>
      <c r="Y251" s="54" t="s">
        <v>64</v>
      </c>
      <c r="Z251" s="54" t="s">
        <v>64</v>
      </c>
      <c r="AA251" s="54" t="s">
        <v>64</v>
      </c>
      <c r="AB251" s="32" t="s">
        <v>64</v>
      </c>
      <c r="AC251" s="6">
        <f xml:space="preserve"> 20.1*CM251+1014</f>
        <v>1193.6584230000001</v>
      </c>
      <c r="AD251" s="20" t="s">
        <v>64</v>
      </c>
      <c r="AE251" s="6" t="str">
        <f t="shared" si="181"/>
        <v>-</v>
      </c>
      <c r="AF251" s="885" t="s">
        <v>64</v>
      </c>
      <c r="AG251" s="772" t="s">
        <v>64</v>
      </c>
      <c r="AH251" s="32">
        <f t="shared" si="182"/>
        <v>60.11849924348062</v>
      </c>
      <c r="AI251" s="9">
        <v>51.890872419842061</v>
      </c>
      <c r="AJ251" s="9">
        <v>2.2286262258165155</v>
      </c>
      <c r="AK251" s="9">
        <v>13.276777332443917</v>
      </c>
      <c r="AL251" s="9">
        <v>10.584875684006853</v>
      </c>
      <c r="AM251" s="9">
        <v>0.15686822810512735</v>
      </c>
      <c r="AN251" s="9">
        <v>8.94953917467347</v>
      </c>
      <c r="AO251" s="9">
        <v>9.8428980765834559</v>
      </c>
      <c r="AP251" s="9">
        <v>2.3375538733275691</v>
      </c>
      <c r="AQ251" s="9">
        <v>0.46216501944847632</v>
      </c>
      <c r="AR251" s="9">
        <v>0.22199953192851679</v>
      </c>
      <c r="AS251" s="6">
        <v>150.40005453291107</v>
      </c>
      <c r="AT251" s="6">
        <v>327.84428370754995</v>
      </c>
      <c r="AU251" s="9">
        <v>99.873633999999996</v>
      </c>
      <c r="AV251" s="8">
        <f t="shared" si="183"/>
        <v>2.1175792290940265</v>
      </c>
      <c r="AW251" s="9">
        <f t="shared" si="184"/>
        <v>8.6795980608856205</v>
      </c>
      <c r="AX251" s="8">
        <v>0.25462489945870737</v>
      </c>
      <c r="AY251" s="789">
        <v>1.2731244972935369E-2</v>
      </c>
      <c r="AZ251" s="6" t="s">
        <v>292</v>
      </c>
      <c r="BA251" s="48" t="s">
        <v>64</v>
      </c>
      <c r="BB251" s="48" t="s">
        <v>64</v>
      </c>
      <c r="BC251" s="48" t="s">
        <v>64</v>
      </c>
      <c r="BD251" s="849" t="s">
        <v>64</v>
      </c>
      <c r="BE251" s="48" t="s">
        <v>64</v>
      </c>
      <c r="BF251" s="773" t="s">
        <v>64</v>
      </c>
      <c r="BG251" s="880" t="s">
        <v>64</v>
      </c>
      <c r="BH251" s="880" t="s">
        <v>64</v>
      </c>
      <c r="BI251" s="850" t="str">
        <f>IF(NOT(ISNUMBER(BF251)),"-",(0.0684*((BF251/1000))^3 - 0.5008*((BF251/1000))^2 + 4.47*((BF251/1000))))</f>
        <v>-</v>
      </c>
      <c r="BJ251" s="789" t="str">
        <f t="shared" si="185"/>
        <v>-</v>
      </c>
      <c r="BK251" s="563" t="s">
        <v>64</v>
      </c>
      <c r="BL251" s="48" t="s">
        <v>64</v>
      </c>
      <c r="BM251" s="48" t="s">
        <v>64</v>
      </c>
      <c r="BN251" s="47" t="s">
        <v>64</v>
      </c>
      <c r="BO251" s="789" t="s">
        <v>64</v>
      </c>
      <c r="BP251" s="789" t="s">
        <v>64</v>
      </c>
      <c r="BQ251" s="34" t="s">
        <v>64</v>
      </c>
      <c r="BR251" s="25">
        <v>2.6802313142582901</v>
      </c>
      <c r="BS251" s="26">
        <v>2.9310847904507451</v>
      </c>
      <c r="BT251" s="604"/>
      <c r="BU251" s="599">
        <v>0.1410777904827214</v>
      </c>
      <c r="BV251" s="851">
        <v>2.6519983499348788E-2</v>
      </c>
      <c r="BW251" s="851">
        <v>6.3693082200253173E-2</v>
      </c>
      <c r="BX251" s="851">
        <v>0.11543971269734714</v>
      </c>
      <c r="BY251" s="851">
        <v>5.6876184068760339E-3</v>
      </c>
      <c r="BZ251" s="851">
        <v>2.066600737598074E-2</v>
      </c>
      <c r="CA251" s="851">
        <v>2.0770188234264114E-2</v>
      </c>
      <c r="CB251" s="851">
        <v>3.2608642777532254E-2</v>
      </c>
      <c r="CC251" s="851">
        <v>1.1349848547615681E-2</v>
      </c>
      <c r="CD251" s="851">
        <v>6.77633591253924E-3</v>
      </c>
      <c r="CE251" s="852">
        <v>22.515640163849454</v>
      </c>
      <c r="CF251" s="852">
        <v>16.897455010999202</v>
      </c>
      <c r="CG251" s="604"/>
      <c r="CH251" s="584">
        <v>51.825299999999999</v>
      </c>
      <c r="CI251" s="576">
        <v>2.2258100000000001</v>
      </c>
      <c r="CJ251" s="576">
        <v>13.26</v>
      </c>
      <c r="CK251" s="576">
        <v>10.5715</v>
      </c>
      <c r="CL251" s="576">
        <v>0.15667</v>
      </c>
      <c r="CM251" s="576">
        <v>8.9382300000000008</v>
      </c>
      <c r="CN251" s="576">
        <v>9.8304600000000004</v>
      </c>
      <c r="CO251" s="576">
        <v>2.3346</v>
      </c>
      <c r="CP251" s="576">
        <v>0.46158100000000002</v>
      </c>
      <c r="CQ251" s="576">
        <v>0.221719</v>
      </c>
      <c r="CR251" s="857">
        <v>1.5021E-2</v>
      </c>
      <c r="CS251" s="793">
        <v>327.43</v>
      </c>
      <c r="CT251" s="576">
        <f t="shared" si="186"/>
        <v>99.873633999999996</v>
      </c>
      <c r="CU251" s="576">
        <v>0.25462489945870737</v>
      </c>
      <c r="CV251" s="592" t="s">
        <v>292</v>
      </c>
      <c r="CW251" s="604"/>
      <c r="CX251" s="946" t="s">
        <v>64</v>
      </c>
      <c r="CY251" s="944" t="s">
        <v>64</v>
      </c>
      <c r="CZ251" s="944" t="s">
        <v>64</v>
      </c>
      <c r="DA251" s="938" t="str">
        <f t="shared" si="187"/>
        <v>-</v>
      </c>
      <c r="DB251" s="946" t="s">
        <v>64</v>
      </c>
      <c r="DC251" s="944" t="s">
        <v>64</v>
      </c>
      <c r="DD251" s="944" t="s">
        <v>64</v>
      </c>
      <c r="DE251" s="939" t="str">
        <f t="shared" si="188"/>
        <v>-</v>
      </c>
      <c r="DF251" s="9"/>
    </row>
    <row r="252" spans="1:110">
      <c r="A252" s="846" t="s">
        <v>951</v>
      </c>
      <c r="B252" s="41" t="s">
        <v>678</v>
      </c>
      <c r="C252" s="41" t="s">
        <v>1486</v>
      </c>
      <c r="D252" s="34" t="s">
        <v>736</v>
      </c>
      <c r="E252" s="535">
        <v>19.389810000000001</v>
      </c>
      <c r="F252" s="537">
        <v>-155.29229000000001</v>
      </c>
      <c r="G252" s="37" t="s">
        <v>935</v>
      </c>
      <c r="H252" s="37" t="s">
        <v>64</v>
      </c>
      <c r="I252" s="202" t="s">
        <v>64</v>
      </c>
      <c r="J252" t="s">
        <v>877</v>
      </c>
      <c r="K252" s="870">
        <v>43053</v>
      </c>
      <c r="L252" s="51" t="s">
        <v>64</v>
      </c>
      <c r="M252" s="52" t="s">
        <v>64</v>
      </c>
      <c r="N252" s="838" t="s">
        <v>64</v>
      </c>
      <c r="O252" s="54" t="s">
        <v>64</v>
      </c>
      <c r="P252" s="779" t="s">
        <v>64</v>
      </c>
      <c r="Q252" s="54" t="s">
        <v>64</v>
      </c>
      <c r="R252" s="772" t="s">
        <v>64</v>
      </c>
      <c r="S252" s="624" t="s">
        <v>64</v>
      </c>
      <c r="T252" s="34" t="s">
        <v>935</v>
      </c>
      <c r="U252" s="21" t="s">
        <v>64</v>
      </c>
      <c r="V252" s="552" t="s">
        <v>64</v>
      </c>
      <c r="W252" s="552" t="s">
        <v>64</v>
      </c>
      <c r="X252" s="779" t="s">
        <v>64</v>
      </c>
      <c r="Y252" s="54" t="s">
        <v>64</v>
      </c>
      <c r="Z252" s="54" t="s">
        <v>64</v>
      </c>
      <c r="AA252" s="54" t="s">
        <v>64</v>
      </c>
      <c r="AB252" s="32" t="s">
        <v>64</v>
      </c>
      <c r="AC252" s="6">
        <f xml:space="preserve"> 20.1*CM252+1014</f>
        <v>1167.2514450000001</v>
      </c>
      <c r="AD252" s="20" t="s">
        <v>64</v>
      </c>
      <c r="AE252" s="6" t="str">
        <f t="shared" si="181"/>
        <v>-</v>
      </c>
      <c r="AF252" s="885" t="s">
        <v>64</v>
      </c>
      <c r="AG252" s="772" t="s">
        <v>64</v>
      </c>
      <c r="AH252" s="32">
        <f t="shared" si="182"/>
        <v>55.212733275964275</v>
      </c>
      <c r="AI252" s="9">
        <v>51.346524826660698</v>
      </c>
      <c r="AJ252" s="9">
        <v>2.2360863643103244</v>
      </c>
      <c r="AK252" s="9">
        <v>14.62697574757677</v>
      </c>
      <c r="AL252" s="9">
        <v>10.824576578399123</v>
      </c>
      <c r="AM252" s="9">
        <v>0.16115874084926832</v>
      </c>
      <c r="AN252" s="9">
        <v>7.4846910583560993</v>
      </c>
      <c r="AO252" s="9">
        <v>10.259920203609278</v>
      </c>
      <c r="AP252" s="9">
        <v>2.3572832976057945</v>
      </c>
      <c r="AQ252" s="9">
        <v>0.43710313059944372</v>
      </c>
      <c r="AR252" s="9">
        <v>0.21970257294826337</v>
      </c>
      <c r="AS252" s="6">
        <v>161.56318873941686</v>
      </c>
      <c r="AT252" s="6">
        <v>298.21160210997721</v>
      </c>
      <c r="AU252" s="9">
        <v>101.86726400000001</v>
      </c>
      <c r="AV252" s="8">
        <f t="shared" si="183"/>
        <v>2.1655330880068209</v>
      </c>
      <c r="AW252" s="9">
        <f t="shared" si="184"/>
        <v>8.8761527942872807</v>
      </c>
      <c r="AX252" s="8">
        <v>0.29702650993492502</v>
      </c>
      <c r="AY252" s="789">
        <v>1.4851325496746252E-2</v>
      </c>
      <c r="AZ252" s="6" t="s">
        <v>292</v>
      </c>
      <c r="BA252" s="48" t="s">
        <v>64</v>
      </c>
      <c r="BB252" s="48" t="s">
        <v>64</v>
      </c>
      <c r="BC252" s="48" t="s">
        <v>64</v>
      </c>
      <c r="BD252" s="849" t="s">
        <v>64</v>
      </c>
      <c r="BE252" s="48" t="s">
        <v>64</v>
      </c>
      <c r="BF252" s="773" t="s">
        <v>64</v>
      </c>
      <c r="BG252" s="880" t="s">
        <v>64</v>
      </c>
      <c r="BH252" s="880" t="s">
        <v>64</v>
      </c>
      <c r="BI252" s="850" t="str">
        <f>IF(NOT(ISNUMBER(BF252)),"-",(0.0684*((BF252/1000))^3 - 0.5008*((BF252/1000))^2 + 4.47*((BF252/1000))))</f>
        <v>-</v>
      </c>
      <c r="BJ252" s="789" t="str">
        <f t="shared" si="185"/>
        <v>-</v>
      </c>
      <c r="BK252" s="563" t="s">
        <v>64</v>
      </c>
      <c r="BL252" s="48" t="s">
        <v>64</v>
      </c>
      <c r="BM252" s="48" t="s">
        <v>64</v>
      </c>
      <c r="BN252" s="47" t="s">
        <v>64</v>
      </c>
      <c r="BO252" s="789" t="s">
        <v>64</v>
      </c>
      <c r="BP252" s="789" t="s">
        <v>64</v>
      </c>
      <c r="BQ252" s="34" t="s">
        <v>64</v>
      </c>
      <c r="BR252" s="25">
        <v>2.6832451303820979</v>
      </c>
      <c r="BS252" s="26">
        <v>2.9248580741119969</v>
      </c>
      <c r="BT252" s="604"/>
      <c r="BU252" s="599">
        <v>0.1389303460844889</v>
      </c>
      <c r="BV252" s="851">
        <v>2.6316724030204637E-2</v>
      </c>
      <c r="BW252" s="851">
        <v>6.5867027028427907E-2</v>
      </c>
      <c r="BX252" s="851">
        <v>0.11538998632573466</v>
      </c>
      <c r="BY252" s="851">
        <v>5.5796218098092838E-3</v>
      </c>
      <c r="BZ252" s="851">
        <v>1.8754390384922878E-2</v>
      </c>
      <c r="CA252" s="851">
        <v>2.0953629833427159E-2</v>
      </c>
      <c r="CB252" s="851">
        <v>3.2426789041865307E-2</v>
      </c>
      <c r="CC252" s="851">
        <v>1.1169602268399005E-2</v>
      </c>
      <c r="CD252" s="851">
        <v>6.6676435351203708E-3</v>
      </c>
      <c r="CE252" s="852">
        <v>22.584595027505603</v>
      </c>
      <c r="CF252" s="852">
        <v>16.978230248728387</v>
      </c>
      <c r="CG252" s="604"/>
      <c r="CH252" s="584">
        <v>52.305300000000003</v>
      </c>
      <c r="CI252" s="576">
        <v>2.2778399999999999</v>
      </c>
      <c r="CJ252" s="576">
        <v>14.9001</v>
      </c>
      <c r="CK252" s="576">
        <v>11.0267</v>
      </c>
      <c r="CL252" s="576">
        <v>0.16416800000000001</v>
      </c>
      <c r="CM252" s="576">
        <v>7.6244500000000004</v>
      </c>
      <c r="CN252" s="576">
        <v>10.451499999999999</v>
      </c>
      <c r="CO252" s="576">
        <v>2.4013</v>
      </c>
      <c r="CP252" s="576">
        <v>0.44526500000000002</v>
      </c>
      <c r="CQ252" s="576">
        <v>0.223805</v>
      </c>
      <c r="CR252" s="857">
        <v>1.6458E-2</v>
      </c>
      <c r="CS252" s="793">
        <v>303.77999999999997</v>
      </c>
      <c r="CT252" s="576">
        <f t="shared" si="186"/>
        <v>101.86726400000001</v>
      </c>
      <c r="CU252" s="576">
        <v>0.29702650993492502</v>
      </c>
      <c r="CV252" s="592" t="s">
        <v>292</v>
      </c>
      <c r="CW252" s="604"/>
      <c r="CX252" s="946" t="s">
        <v>64</v>
      </c>
      <c r="CY252" s="944" t="s">
        <v>64</v>
      </c>
      <c r="CZ252" s="944" t="s">
        <v>64</v>
      </c>
      <c r="DA252" s="938" t="str">
        <f t="shared" si="187"/>
        <v>-</v>
      </c>
      <c r="DB252" s="946" t="s">
        <v>64</v>
      </c>
      <c r="DC252" s="944" t="s">
        <v>64</v>
      </c>
      <c r="DD252" s="944" t="s">
        <v>64</v>
      </c>
      <c r="DE252" s="939" t="str">
        <f t="shared" si="188"/>
        <v>-</v>
      </c>
      <c r="DF252" s="9"/>
    </row>
    <row r="253" spans="1:110" ht="5.45" customHeight="1">
      <c r="A253" s="846"/>
      <c r="B253" s="41"/>
      <c r="C253" s="41"/>
      <c r="D253" s="34"/>
      <c r="E253" s="535"/>
      <c r="F253" s="537"/>
      <c r="G253" s="37"/>
      <c r="H253" s="37"/>
      <c r="I253" s="202"/>
      <c r="K253" s="870"/>
      <c r="L253" s="51"/>
      <c r="M253" s="52"/>
      <c r="N253" s="838"/>
      <c r="O253" s="54"/>
      <c r="P253" s="779"/>
      <c r="Q253" s="54"/>
      <c r="R253" s="772"/>
      <c r="S253" s="624"/>
      <c r="T253" s="34"/>
      <c r="U253" s="21"/>
      <c r="V253" s="552"/>
      <c r="W253" s="552"/>
      <c r="X253" s="779"/>
      <c r="Y253" s="54"/>
      <c r="Z253" s="54"/>
      <c r="AA253" s="54"/>
      <c r="AB253" s="32"/>
      <c r="AC253" s="6"/>
      <c r="AD253" s="6"/>
      <c r="AE253" s="6"/>
      <c r="AF253" s="839"/>
      <c r="AG253" s="553"/>
      <c r="AH253" s="32"/>
      <c r="AI253" s="9"/>
      <c r="AJ253" s="9"/>
      <c r="AK253" s="9"/>
      <c r="AL253" s="9"/>
      <c r="AM253" s="9"/>
      <c r="AN253" s="9"/>
      <c r="AO253" s="9"/>
      <c r="AP253" s="9"/>
      <c r="AQ253" s="9"/>
      <c r="AR253" s="9"/>
      <c r="AS253" s="6"/>
      <c r="AT253" s="6"/>
      <c r="AU253" s="9"/>
      <c r="AV253" s="8"/>
      <c r="AW253" s="9"/>
      <c r="AX253" s="8"/>
      <c r="AY253" s="787"/>
      <c r="AZ253" s="6"/>
      <c r="BB253" s="3"/>
      <c r="BD253" s="849"/>
      <c r="BF253" s="668"/>
      <c r="BG253" s="68"/>
      <c r="BH253" s="68"/>
      <c r="BI253" s="781"/>
      <c r="BK253" s="563"/>
      <c r="BL253" s="48"/>
      <c r="BM253" s="48"/>
      <c r="BN253" s="47"/>
      <c r="BO253" s="789"/>
      <c r="BP253" s="789"/>
      <c r="BQ253" s="34"/>
      <c r="BR253" s="25"/>
      <c r="BS253" s="26"/>
      <c r="BT253" s="604"/>
      <c r="BU253" s="598"/>
      <c r="BV253" s="790"/>
      <c r="BW253" s="790"/>
      <c r="BX253" s="790"/>
      <c r="BY253" s="790"/>
      <c r="BZ253" s="790"/>
      <c r="CA253" s="790"/>
      <c r="CB253" s="790"/>
      <c r="CC253" s="790"/>
      <c r="CD253" s="790"/>
      <c r="CE253" s="791"/>
      <c r="CF253" s="791"/>
      <c r="CG253" s="604"/>
      <c r="CH253" s="584"/>
      <c r="CI253" s="576"/>
      <c r="CJ253" s="576"/>
      <c r="CK253" s="576"/>
      <c r="CL253" s="576"/>
      <c r="CM253" s="576"/>
      <c r="CN253" s="576"/>
      <c r="CO253" s="576"/>
      <c r="CP253" s="576"/>
      <c r="CQ253" s="576"/>
      <c r="CR253" s="857"/>
      <c r="CS253" s="793"/>
      <c r="CT253" s="576"/>
      <c r="CU253" s="576"/>
      <c r="CV253" s="592"/>
      <c r="CW253" s="604"/>
      <c r="CX253" s="946"/>
      <c r="CY253" s="944"/>
      <c r="CZ253" s="944"/>
      <c r="DA253" s="948"/>
      <c r="DB253" s="946"/>
      <c r="DC253" s="944"/>
      <c r="DD253" s="944"/>
      <c r="DE253" s="949"/>
      <c r="DF253" s="9"/>
    </row>
    <row r="254" spans="1:110">
      <c r="A254" s="846" t="s">
        <v>952</v>
      </c>
      <c r="B254" s="41" t="s">
        <v>678</v>
      </c>
      <c r="C254" s="41" t="s">
        <v>1486</v>
      </c>
      <c r="D254" s="34" t="s">
        <v>736</v>
      </c>
      <c r="E254" s="535">
        <v>19.389810000000001</v>
      </c>
      <c r="F254" s="537">
        <v>-155.29229000000001</v>
      </c>
      <c r="G254" s="37" t="s">
        <v>940</v>
      </c>
      <c r="H254" s="37" t="s">
        <v>64</v>
      </c>
      <c r="I254" s="202" t="s">
        <v>64</v>
      </c>
      <c r="J254" t="s">
        <v>877</v>
      </c>
      <c r="K254" s="870">
        <v>43053</v>
      </c>
      <c r="L254" s="51" t="s">
        <v>64</v>
      </c>
      <c r="M254" s="52" t="s">
        <v>64</v>
      </c>
      <c r="N254" s="838" t="s">
        <v>64</v>
      </c>
      <c r="O254" s="54" t="s">
        <v>64</v>
      </c>
      <c r="P254" s="779" t="s">
        <v>64</v>
      </c>
      <c r="Q254" s="54" t="s">
        <v>64</v>
      </c>
      <c r="R254" s="772" t="s">
        <v>64</v>
      </c>
      <c r="S254" s="624" t="s">
        <v>64</v>
      </c>
      <c r="T254" s="34" t="s">
        <v>940</v>
      </c>
      <c r="U254" s="21" t="s">
        <v>64</v>
      </c>
      <c r="V254" s="552" t="s">
        <v>64</v>
      </c>
      <c r="W254" s="552" t="s">
        <v>64</v>
      </c>
      <c r="X254" s="779" t="s">
        <v>64</v>
      </c>
      <c r="Y254" s="54" t="s">
        <v>64</v>
      </c>
      <c r="Z254" s="54" t="s">
        <v>64</v>
      </c>
      <c r="AA254" s="54" t="s">
        <v>64</v>
      </c>
      <c r="AB254" s="32" t="s">
        <v>64</v>
      </c>
      <c r="AC254" s="6">
        <f t="shared" ref="AC254:AC264" si="189" xml:space="preserve"> 20.1*CM254+1014</f>
        <v>1141.129686</v>
      </c>
      <c r="AD254" s="20" t="s">
        <v>64</v>
      </c>
      <c r="AE254" s="6" t="str">
        <f t="shared" ref="AE254:AE264" si="190">IF(ISNUMBER(U254),0.02289*U254^3- 4.943*U254^2+ 358.6*U254-7620,"-")</f>
        <v>-</v>
      </c>
      <c r="AF254" s="885" t="s">
        <v>64</v>
      </c>
      <c r="AG254" s="772" t="s">
        <v>64</v>
      </c>
      <c r="AH254" s="32">
        <f t="shared" ref="AH254:AH264" si="191">100*(AN254/40.3)/((AN254/40.3)+(AL254/71.85))</f>
        <v>49.839024944606784</v>
      </c>
      <c r="AI254" s="9">
        <v>51.53146628192242</v>
      </c>
      <c r="AJ254" s="9">
        <v>2.2841341152763746</v>
      </c>
      <c r="AK254" s="9">
        <v>14.093656543430324</v>
      </c>
      <c r="AL254" s="9">
        <v>11.213528613977116</v>
      </c>
      <c r="AM254" s="9">
        <v>0.1722523989588382</v>
      </c>
      <c r="AN254" s="9">
        <v>6.2491958613658376</v>
      </c>
      <c r="AO254" s="9">
        <v>11.337823671790225</v>
      </c>
      <c r="AP254" s="9">
        <v>2.3842222659637193</v>
      </c>
      <c r="AQ254" s="9">
        <v>0.3936576638643105</v>
      </c>
      <c r="AR254" s="9">
        <v>0.19647610271403695</v>
      </c>
      <c r="AS254" s="6">
        <v>179.31883976551038</v>
      </c>
      <c r="AT254" s="6">
        <v>1256.5459676025425</v>
      </c>
      <c r="AU254" s="9">
        <v>101.21078200000001</v>
      </c>
      <c r="AV254" s="8">
        <f t="shared" ref="AV254:AV264" si="192">IF(ISNUMBER(AL254),(AL254/71.84)*(0.18/2)*159.69,"-")</f>
        <v>2.2433456931088598</v>
      </c>
      <c r="AW254" s="9">
        <f t="shared" ref="AW254:AW264" si="193">IF(ISNUMBER(AL254),(AL254/71.84)*(1-0.18)*71.84,"-")</f>
        <v>9.1950934634612373</v>
      </c>
      <c r="AX254" s="8" t="s">
        <v>64</v>
      </c>
      <c r="AY254" s="789" t="s">
        <v>64</v>
      </c>
      <c r="AZ254" s="6" t="s">
        <v>64</v>
      </c>
      <c r="BA254" s="48" t="s">
        <v>64</v>
      </c>
      <c r="BB254" s="48" t="s">
        <v>64</v>
      </c>
      <c r="BC254" s="48" t="s">
        <v>64</v>
      </c>
      <c r="BD254" s="849" t="s">
        <v>64</v>
      </c>
      <c r="BE254" s="48" t="s">
        <v>64</v>
      </c>
      <c r="BF254" s="773" t="s">
        <v>64</v>
      </c>
      <c r="BG254" s="880" t="s">
        <v>64</v>
      </c>
      <c r="BH254" s="880" t="s">
        <v>64</v>
      </c>
      <c r="BI254" s="850" t="str">
        <f t="shared" ref="BI254:BI264" si="194">IF(NOT(ISNUMBER(BF254)),"-",(0.0684*((BF254/1000))^3 - 0.5008*((BF254/1000))^2 + 4.47*((BF254/1000))))</f>
        <v>-</v>
      </c>
      <c r="BJ254" s="789" t="str">
        <f t="shared" ref="BJ254:BJ264" si="195">IF(NOT(ISNUMBER(BF254)),"-",AVERAGE(ABS(BI254-(0.0684*(((BF254+BG254)/1000))^3-0.5008*(((BF254+BG254)/1000))^2+4.47*(((BF254+BG254)/1000)))),ABS(BI254-(0.0684*(((BF254-BG254)/1000))^3-0.5008*(((BF254-BG254)/1000))^2+4.47*(((BF254-BG254)/1000))))))</f>
        <v>-</v>
      </c>
      <c r="BK254" s="563" t="s">
        <v>64</v>
      </c>
      <c r="BL254" s="48" t="s">
        <v>64</v>
      </c>
      <c r="BM254" s="48" t="s">
        <v>64</v>
      </c>
      <c r="BN254" s="47" t="s">
        <v>64</v>
      </c>
      <c r="BO254" s="789" t="s">
        <v>64</v>
      </c>
      <c r="BP254" s="789" t="s">
        <v>64</v>
      </c>
      <c r="BQ254" s="34" t="s">
        <v>64</v>
      </c>
      <c r="BR254" s="25">
        <v>2.6977447288498571</v>
      </c>
      <c r="BS254" s="26">
        <v>2.929274167280695</v>
      </c>
      <c r="BT254" s="604"/>
      <c r="BU254" s="599">
        <v>0.13923183811780054</v>
      </c>
      <c r="BV254" s="851">
        <v>2.7363698287599443E-2</v>
      </c>
      <c r="BW254" s="851">
        <v>6.4762747738674728E-2</v>
      </c>
      <c r="BX254" s="851">
        <v>0.1179495007261183</v>
      </c>
      <c r="BY254" s="851">
        <v>5.6571994128056446E-3</v>
      </c>
      <c r="BZ254" s="851">
        <v>1.731158486711426E-2</v>
      </c>
      <c r="CA254" s="851">
        <v>2.2061023922332702E-2</v>
      </c>
      <c r="CB254" s="851">
        <v>3.2917764715028087E-2</v>
      </c>
      <c r="CC254" s="851">
        <v>1.0853653547702064E-2</v>
      </c>
      <c r="CD254" s="851">
        <v>6.6489281443354534E-3</v>
      </c>
      <c r="CE254" s="852">
        <v>22.36070068107961</v>
      </c>
      <c r="CF254" s="852">
        <v>21.447354848023998</v>
      </c>
      <c r="CG254" s="604"/>
      <c r="CH254" s="584">
        <v>52.1554</v>
      </c>
      <c r="CI254" s="576">
        <v>2.3117899999999998</v>
      </c>
      <c r="CJ254" s="576">
        <v>14.2643</v>
      </c>
      <c r="CK254" s="576">
        <v>11.349299999999999</v>
      </c>
      <c r="CL254" s="576">
        <v>0.17433799999999999</v>
      </c>
      <c r="CM254" s="576">
        <v>6.3248600000000001</v>
      </c>
      <c r="CN254" s="576">
        <v>11.475099999999999</v>
      </c>
      <c r="CO254" s="576">
        <v>2.41309</v>
      </c>
      <c r="CP254" s="576">
        <v>0.398424</v>
      </c>
      <c r="CQ254" s="576">
        <v>0.198855</v>
      </c>
      <c r="CR254" s="857">
        <v>1.8148999999999998E-2</v>
      </c>
      <c r="CS254" s="793">
        <v>1271.7600000000002</v>
      </c>
      <c r="CT254" s="576">
        <f t="shared" ref="CT254:CT264" si="196">SUM(CH254:CR254)+(CS254/10000)</f>
        <v>101.21078200000001</v>
      </c>
      <c r="CU254" s="576" t="s">
        <v>64</v>
      </c>
      <c r="CV254" s="592" t="s">
        <v>64</v>
      </c>
      <c r="CW254" s="604"/>
      <c r="CX254" s="946" t="s">
        <v>64</v>
      </c>
      <c r="CY254" s="944" t="s">
        <v>64</v>
      </c>
      <c r="CZ254" s="944" t="s">
        <v>64</v>
      </c>
      <c r="DA254" s="938" t="str">
        <f t="shared" ref="DA254:DA264" si="197">IF(NOT(ISNUMBER(CX254)),"-",(0.0684*((CX254/1000))^3 - 0.5008*((CX254/1000))^2 + 4.47*((CX254/1000))))</f>
        <v>-</v>
      </c>
      <c r="DB254" s="946" t="s">
        <v>64</v>
      </c>
      <c r="DC254" s="944" t="s">
        <v>64</v>
      </c>
      <c r="DD254" s="944" t="s">
        <v>64</v>
      </c>
      <c r="DE254" s="939" t="str">
        <f t="shared" ref="DE254:DE264" si="198">IF(NOT(ISNUMBER(DB254)),"-",(0.0684*((DB254/1000))^3 - 0.5008*((DB254/1000))^2 + 4.47*((DB254/1000))))</f>
        <v>-</v>
      </c>
      <c r="DF254" s="9"/>
    </row>
    <row r="255" spans="1:110">
      <c r="A255" s="846" t="s">
        <v>953</v>
      </c>
      <c r="B255" s="41" t="s">
        <v>678</v>
      </c>
      <c r="C255" s="41" t="s">
        <v>1486</v>
      </c>
      <c r="D255" s="34" t="s">
        <v>736</v>
      </c>
      <c r="E255" s="535">
        <v>19.389810000000001</v>
      </c>
      <c r="F255" s="537">
        <v>-155.29229000000001</v>
      </c>
      <c r="G255" s="37" t="s">
        <v>946</v>
      </c>
      <c r="H255" s="37" t="s">
        <v>64</v>
      </c>
      <c r="I255" s="202" t="s">
        <v>64</v>
      </c>
      <c r="J255" t="s">
        <v>877</v>
      </c>
      <c r="K255" s="870">
        <v>43053</v>
      </c>
      <c r="L255" s="51" t="s">
        <v>64</v>
      </c>
      <c r="M255" s="52" t="s">
        <v>64</v>
      </c>
      <c r="N255" s="838" t="s">
        <v>64</v>
      </c>
      <c r="O255" s="54" t="s">
        <v>64</v>
      </c>
      <c r="P255" s="779" t="s">
        <v>64</v>
      </c>
      <c r="Q255" s="54" t="s">
        <v>64</v>
      </c>
      <c r="R255" s="772" t="s">
        <v>64</v>
      </c>
      <c r="S255" s="624" t="s">
        <v>64</v>
      </c>
      <c r="T255" s="34" t="s">
        <v>946</v>
      </c>
      <c r="U255" s="21" t="s">
        <v>64</v>
      </c>
      <c r="V255" s="552" t="s">
        <v>64</v>
      </c>
      <c r="W255" s="552" t="s">
        <v>64</v>
      </c>
      <c r="X255" s="779" t="s">
        <v>64</v>
      </c>
      <c r="Y255" s="54" t="s">
        <v>64</v>
      </c>
      <c r="Z255" s="54" t="s">
        <v>64</v>
      </c>
      <c r="AA255" s="54" t="s">
        <v>64</v>
      </c>
      <c r="AB255" s="32" t="s">
        <v>64</v>
      </c>
      <c r="AC255" s="6">
        <f t="shared" si="189"/>
        <v>1140.8910989999999</v>
      </c>
      <c r="AD255" s="20" t="s">
        <v>64</v>
      </c>
      <c r="AE255" s="6" t="str">
        <f t="shared" si="190"/>
        <v>-</v>
      </c>
      <c r="AF255" s="885" t="s">
        <v>64</v>
      </c>
      <c r="AG255" s="772" t="s">
        <v>64</v>
      </c>
      <c r="AH255" s="32">
        <f t="shared" si="191"/>
        <v>50.145003684948307</v>
      </c>
      <c r="AI255" s="9">
        <v>49.623660609888503</v>
      </c>
      <c r="AJ255" s="9">
        <v>2.3935898409602934</v>
      </c>
      <c r="AK255" s="9">
        <v>15.60866990970205</v>
      </c>
      <c r="AL255" s="9">
        <v>11.384927226027617</v>
      </c>
      <c r="AM255" s="9">
        <v>0.17279650274309274</v>
      </c>
      <c r="AN255" s="9">
        <v>6.4228460374828042</v>
      </c>
      <c r="AO255" s="9">
        <v>11.143904790338715</v>
      </c>
      <c r="AP255" s="9">
        <v>2.4272047893569213</v>
      </c>
      <c r="AQ255" s="9">
        <v>0.41263264818288775</v>
      </c>
      <c r="AR255" s="9">
        <v>0.24433407785085717</v>
      </c>
      <c r="AS255" s="6">
        <v>233.29018363640793</v>
      </c>
      <c r="AT255" s="6">
        <v>1421.0454910262383</v>
      </c>
      <c r="AU255" s="9">
        <v>98.289605000000009</v>
      </c>
      <c r="AV255" s="8">
        <f t="shared" si="192"/>
        <v>2.2776351974553379</v>
      </c>
      <c r="AW255" s="9">
        <f t="shared" si="193"/>
        <v>9.3356403253426468</v>
      </c>
      <c r="AX255" s="8" t="s">
        <v>64</v>
      </c>
      <c r="AY255" s="789" t="s">
        <v>64</v>
      </c>
      <c r="AZ255" s="6" t="s">
        <v>64</v>
      </c>
      <c r="BA255" s="48" t="s">
        <v>64</v>
      </c>
      <c r="BB255" s="48" t="s">
        <v>64</v>
      </c>
      <c r="BC255" s="48" t="s">
        <v>64</v>
      </c>
      <c r="BD255" s="849" t="s">
        <v>64</v>
      </c>
      <c r="BE255" s="48" t="s">
        <v>64</v>
      </c>
      <c r="BF255" s="773" t="s">
        <v>64</v>
      </c>
      <c r="BG255" s="880" t="s">
        <v>64</v>
      </c>
      <c r="BH255" s="880" t="s">
        <v>64</v>
      </c>
      <c r="BI255" s="850" t="str">
        <f t="shared" si="194"/>
        <v>-</v>
      </c>
      <c r="BJ255" s="789" t="str">
        <f t="shared" si="195"/>
        <v>-</v>
      </c>
      <c r="BK255" s="563" t="s">
        <v>64</v>
      </c>
      <c r="BL255" s="48" t="s">
        <v>64</v>
      </c>
      <c r="BM255" s="48" t="s">
        <v>64</v>
      </c>
      <c r="BN255" s="47" t="s">
        <v>64</v>
      </c>
      <c r="BO255" s="789" t="s">
        <v>64</v>
      </c>
      <c r="BP255" s="789" t="s">
        <v>64</v>
      </c>
      <c r="BQ255" s="34" t="s">
        <v>64</v>
      </c>
      <c r="BR255" s="25">
        <v>2.7115211840023901</v>
      </c>
      <c r="BS255" s="26">
        <v>2.9529729823910871</v>
      </c>
      <c r="BT255" s="604"/>
      <c r="BU255" s="599">
        <v>0.13852593730232204</v>
      </c>
      <c r="BV255" s="851">
        <v>2.8578744624113615E-2</v>
      </c>
      <c r="BW255" s="851">
        <v>6.9271277059257702E-2</v>
      </c>
      <c r="BX255" s="851">
        <v>0.12016107591438586</v>
      </c>
      <c r="BY255" s="851">
        <v>5.9781196478508603E-3</v>
      </c>
      <c r="BZ255" s="851">
        <v>1.8214998676920106E-2</v>
      </c>
      <c r="CA255" s="851">
        <v>2.2885791511727007E-2</v>
      </c>
      <c r="CB255" s="851">
        <v>3.3047121368531288E-2</v>
      </c>
      <c r="CC255" s="851">
        <v>1.1077536073117806E-2</v>
      </c>
      <c r="CD255" s="851">
        <v>7.2946916278684801E-3</v>
      </c>
      <c r="CE255" s="852">
        <v>25.271159142413886</v>
      </c>
      <c r="CF255" s="852">
        <v>22.501686932204073</v>
      </c>
      <c r="CG255" s="604"/>
      <c r="CH255" s="584">
        <v>48.774900000000002</v>
      </c>
      <c r="CI255" s="576">
        <v>2.3526500000000001</v>
      </c>
      <c r="CJ255" s="576">
        <v>15.341699999999999</v>
      </c>
      <c r="CK255" s="576">
        <v>11.190200000000001</v>
      </c>
      <c r="CL255" s="576">
        <v>0.16984099999999999</v>
      </c>
      <c r="CM255" s="576">
        <v>6.3129900000000001</v>
      </c>
      <c r="CN255" s="576">
        <v>10.9533</v>
      </c>
      <c r="CO255" s="576">
        <v>2.3856899999999999</v>
      </c>
      <c r="CP255" s="576">
        <v>0.40557500000000002</v>
      </c>
      <c r="CQ255" s="576">
        <v>0.24015500000000001</v>
      </c>
      <c r="CR255" s="857">
        <v>2.2929999999999999E-2</v>
      </c>
      <c r="CS255" s="793">
        <v>1396.74</v>
      </c>
      <c r="CT255" s="576">
        <f t="shared" si="196"/>
        <v>98.289605000000009</v>
      </c>
      <c r="CU255" s="576" t="s">
        <v>64</v>
      </c>
      <c r="CV255" s="592" t="s">
        <v>64</v>
      </c>
      <c r="CW255" s="604"/>
      <c r="CX255" s="946" t="s">
        <v>64</v>
      </c>
      <c r="CY255" s="944" t="s">
        <v>64</v>
      </c>
      <c r="CZ255" s="944" t="s">
        <v>64</v>
      </c>
      <c r="DA255" s="938" t="str">
        <f t="shared" si="197"/>
        <v>-</v>
      </c>
      <c r="DB255" s="946" t="s">
        <v>64</v>
      </c>
      <c r="DC255" s="944" t="s">
        <v>64</v>
      </c>
      <c r="DD255" s="944" t="s">
        <v>64</v>
      </c>
      <c r="DE255" s="939" t="str">
        <f t="shared" si="198"/>
        <v>-</v>
      </c>
      <c r="DF255" s="9"/>
    </row>
    <row r="256" spans="1:110">
      <c r="A256" s="846" t="s">
        <v>954</v>
      </c>
      <c r="B256" s="41" t="s">
        <v>678</v>
      </c>
      <c r="C256" s="41" t="s">
        <v>1486</v>
      </c>
      <c r="D256" s="34" t="s">
        <v>736</v>
      </c>
      <c r="E256" s="535">
        <v>19.389810000000001</v>
      </c>
      <c r="F256" s="537">
        <v>-155.29229000000001</v>
      </c>
      <c r="G256" s="37" t="s">
        <v>946</v>
      </c>
      <c r="H256" s="37" t="s">
        <v>64</v>
      </c>
      <c r="I256" s="202" t="s">
        <v>64</v>
      </c>
      <c r="J256" t="s">
        <v>877</v>
      </c>
      <c r="K256" s="870">
        <v>43053</v>
      </c>
      <c r="L256" s="51" t="s">
        <v>64</v>
      </c>
      <c r="M256" s="52" t="s">
        <v>64</v>
      </c>
      <c r="N256" s="838" t="s">
        <v>64</v>
      </c>
      <c r="O256" s="54" t="s">
        <v>64</v>
      </c>
      <c r="P256" s="779" t="s">
        <v>64</v>
      </c>
      <c r="Q256" s="54" t="s">
        <v>64</v>
      </c>
      <c r="R256" s="772" t="s">
        <v>64</v>
      </c>
      <c r="S256" s="624" t="s">
        <v>64</v>
      </c>
      <c r="T256" s="34" t="s">
        <v>946</v>
      </c>
      <c r="U256" s="21" t="s">
        <v>64</v>
      </c>
      <c r="V256" s="552" t="s">
        <v>64</v>
      </c>
      <c r="W256" s="552" t="s">
        <v>64</v>
      </c>
      <c r="X256" s="779" t="s">
        <v>64</v>
      </c>
      <c r="Y256" s="54" t="s">
        <v>64</v>
      </c>
      <c r="Z256" s="54" t="s">
        <v>64</v>
      </c>
      <c r="AA256" s="54" t="s">
        <v>64</v>
      </c>
      <c r="AB256" s="32" t="s">
        <v>64</v>
      </c>
      <c r="AC256" s="6">
        <f t="shared" si="189"/>
        <v>1171.79907</v>
      </c>
      <c r="AD256" s="20" t="s">
        <v>64</v>
      </c>
      <c r="AE256" s="6" t="str">
        <f t="shared" si="190"/>
        <v>-</v>
      </c>
      <c r="AF256" s="885" t="s">
        <v>64</v>
      </c>
      <c r="AG256" s="772" t="s">
        <v>64</v>
      </c>
      <c r="AH256" s="32">
        <f t="shared" si="191"/>
        <v>55.186848017966987</v>
      </c>
      <c r="AI256" s="9">
        <v>49.510175977823003</v>
      </c>
      <c r="AJ256" s="9">
        <v>2.3033474685594202</v>
      </c>
      <c r="AK256" s="9">
        <v>14.548810342872631</v>
      </c>
      <c r="AL256" s="9">
        <v>11.59144155135583</v>
      </c>
      <c r="AM256" s="9">
        <v>0.17408273277438741</v>
      </c>
      <c r="AN256" s="9">
        <v>8.0065574079456976</v>
      </c>
      <c r="AO256" s="9">
        <v>10.616462392555203</v>
      </c>
      <c r="AP256" s="9">
        <v>2.385557792817703</v>
      </c>
      <c r="AQ256" s="9">
        <v>0.47589793387842272</v>
      </c>
      <c r="AR256" s="9">
        <v>0.25275110868694389</v>
      </c>
      <c r="AS256" s="6">
        <v>202.03281522845646</v>
      </c>
      <c r="AT256" s="6">
        <v>1147.1200920788262</v>
      </c>
      <c r="AU256" s="9">
        <v>98.053377999999995</v>
      </c>
      <c r="AV256" s="8">
        <f t="shared" si="192"/>
        <v>2.3189498485556945</v>
      </c>
      <c r="AW256" s="9">
        <f t="shared" si="193"/>
        <v>9.5049820721117797</v>
      </c>
      <c r="AX256" s="8" t="s">
        <v>64</v>
      </c>
      <c r="AY256" s="789" t="s">
        <v>64</v>
      </c>
      <c r="AZ256" s="6" t="s">
        <v>64</v>
      </c>
      <c r="BA256" s="48" t="s">
        <v>64</v>
      </c>
      <c r="BB256" s="48" t="s">
        <v>64</v>
      </c>
      <c r="BC256" s="48" t="s">
        <v>64</v>
      </c>
      <c r="BD256" s="849" t="s">
        <v>64</v>
      </c>
      <c r="BE256" s="48" t="s">
        <v>64</v>
      </c>
      <c r="BF256" s="773" t="s">
        <v>64</v>
      </c>
      <c r="BG256" s="880" t="s">
        <v>64</v>
      </c>
      <c r="BH256" s="880" t="s">
        <v>64</v>
      </c>
      <c r="BI256" s="850" t="str">
        <f t="shared" si="194"/>
        <v>-</v>
      </c>
      <c r="BJ256" s="789" t="str">
        <f t="shared" si="195"/>
        <v>-</v>
      </c>
      <c r="BK256" s="563" t="s">
        <v>64</v>
      </c>
      <c r="BL256" s="48" t="s">
        <v>64</v>
      </c>
      <c r="BM256" s="48" t="s">
        <v>64</v>
      </c>
      <c r="BN256" s="47" t="s">
        <v>64</v>
      </c>
      <c r="BO256" s="789" t="s">
        <v>64</v>
      </c>
      <c r="BP256" s="789" t="s">
        <v>64</v>
      </c>
      <c r="BQ256" s="34" t="s">
        <v>64</v>
      </c>
      <c r="BR256" s="25">
        <v>2.714854600807469</v>
      </c>
      <c r="BS256" s="26">
        <v>2.9719943722355961</v>
      </c>
      <c r="BT256" s="604"/>
      <c r="BU256" s="599">
        <v>0.13870473840891026</v>
      </c>
      <c r="BV256" s="851">
        <v>2.8119726565667115E-2</v>
      </c>
      <c r="BW256" s="851">
        <v>6.732272851629853E-2</v>
      </c>
      <c r="BX256" s="851">
        <v>0.12139600822319448</v>
      </c>
      <c r="BY256" s="851">
        <v>5.9807863671968529E-3</v>
      </c>
      <c r="BZ256" s="851">
        <v>2.0278688340548547E-2</v>
      </c>
      <c r="CA256" s="851">
        <v>2.2375043809301495E-2</v>
      </c>
      <c r="CB256" s="851">
        <v>3.281024621507684E-2</v>
      </c>
      <c r="CC256" s="851">
        <v>1.1501406086386947E-2</v>
      </c>
      <c r="CD256" s="851">
        <v>7.2822902185990957E-3</v>
      </c>
      <c r="CE256" s="852">
        <v>25.160156644475826</v>
      </c>
      <c r="CF256" s="852">
        <v>21.401245997868621</v>
      </c>
      <c r="CG256" s="604"/>
      <c r="CH256" s="584">
        <v>48.546399999999998</v>
      </c>
      <c r="CI256" s="576">
        <v>2.2585099999999998</v>
      </c>
      <c r="CJ256" s="576">
        <v>14.265599999999999</v>
      </c>
      <c r="CK256" s="576">
        <v>11.3658</v>
      </c>
      <c r="CL256" s="576">
        <v>0.17069400000000001</v>
      </c>
      <c r="CM256" s="576">
        <v>7.8506999999999998</v>
      </c>
      <c r="CN256" s="576">
        <v>10.409800000000001</v>
      </c>
      <c r="CO256" s="576">
        <v>2.3391199999999999</v>
      </c>
      <c r="CP256" s="576">
        <v>0.46663399999999999</v>
      </c>
      <c r="CQ256" s="576">
        <v>0.247831</v>
      </c>
      <c r="CR256" s="857">
        <v>1.9810000000000001E-2</v>
      </c>
      <c r="CS256" s="793">
        <v>1124.79</v>
      </c>
      <c r="CT256" s="576">
        <f t="shared" si="196"/>
        <v>98.053377999999995</v>
      </c>
      <c r="CU256" s="576" t="s">
        <v>64</v>
      </c>
      <c r="CV256" s="592" t="s">
        <v>64</v>
      </c>
      <c r="CW256" s="604"/>
      <c r="CX256" s="946" t="s">
        <v>64</v>
      </c>
      <c r="CY256" s="944" t="s">
        <v>64</v>
      </c>
      <c r="CZ256" s="944" t="s">
        <v>64</v>
      </c>
      <c r="DA256" s="938" t="str">
        <f t="shared" si="197"/>
        <v>-</v>
      </c>
      <c r="DB256" s="946" t="s">
        <v>64</v>
      </c>
      <c r="DC256" s="944" t="s">
        <v>64</v>
      </c>
      <c r="DD256" s="944" t="s">
        <v>64</v>
      </c>
      <c r="DE256" s="939" t="str">
        <f t="shared" si="198"/>
        <v>-</v>
      </c>
      <c r="DF256" s="9"/>
    </row>
    <row r="257" spans="1:110">
      <c r="A257" s="846" t="s">
        <v>955</v>
      </c>
      <c r="B257" s="41" t="s">
        <v>678</v>
      </c>
      <c r="C257" s="41" t="s">
        <v>1486</v>
      </c>
      <c r="D257" s="34" t="s">
        <v>736</v>
      </c>
      <c r="E257" s="535">
        <v>19.389810000000001</v>
      </c>
      <c r="F257" s="537">
        <v>-155.29229000000001</v>
      </c>
      <c r="G257" s="37" t="s">
        <v>946</v>
      </c>
      <c r="H257" s="37" t="s">
        <v>64</v>
      </c>
      <c r="I257" s="202" t="s">
        <v>64</v>
      </c>
      <c r="J257" t="s">
        <v>877</v>
      </c>
      <c r="K257" s="870">
        <v>43053</v>
      </c>
      <c r="L257" s="51" t="s">
        <v>64</v>
      </c>
      <c r="M257" s="52" t="s">
        <v>64</v>
      </c>
      <c r="N257" s="838" t="s">
        <v>64</v>
      </c>
      <c r="O257" s="54" t="s">
        <v>64</v>
      </c>
      <c r="P257" s="779" t="s">
        <v>64</v>
      </c>
      <c r="Q257" s="54" t="s">
        <v>64</v>
      </c>
      <c r="R257" s="772" t="s">
        <v>64</v>
      </c>
      <c r="S257" s="624" t="s">
        <v>64</v>
      </c>
      <c r="T257" s="34" t="s">
        <v>946</v>
      </c>
      <c r="U257" s="21" t="s">
        <v>64</v>
      </c>
      <c r="V257" s="552" t="s">
        <v>64</v>
      </c>
      <c r="W257" s="552" t="s">
        <v>64</v>
      </c>
      <c r="X257" s="779" t="s">
        <v>64</v>
      </c>
      <c r="Y257" s="54" t="s">
        <v>64</v>
      </c>
      <c r="Z257" s="54" t="s">
        <v>64</v>
      </c>
      <c r="AA257" s="54" t="s">
        <v>64</v>
      </c>
      <c r="AB257" s="32" t="s">
        <v>64</v>
      </c>
      <c r="AC257" s="6">
        <f t="shared" si="189"/>
        <v>1158.566235</v>
      </c>
      <c r="AD257" s="20" t="s">
        <v>64</v>
      </c>
      <c r="AE257" s="6" t="str">
        <f t="shared" si="190"/>
        <v>-</v>
      </c>
      <c r="AF257" s="885" t="s">
        <v>64</v>
      </c>
      <c r="AG257" s="772" t="s">
        <v>64</v>
      </c>
      <c r="AH257" s="32">
        <f t="shared" si="191"/>
        <v>54.276954752523473</v>
      </c>
      <c r="AI257" s="9">
        <v>52.661647949545653</v>
      </c>
      <c r="AJ257" s="9">
        <v>2.2279988996461859</v>
      </c>
      <c r="AK257" s="9">
        <v>13.606696587938941</v>
      </c>
      <c r="AL257" s="9">
        <v>10.710806678100244</v>
      </c>
      <c r="AM257" s="9">
        <v>0.16482259940511426</v>
      </c>
      <c r="AN257" s="9">
        <v>7.1314982513964109</v>
      </c>
      <c r="AO257" s="9">
        <v>10.466887990905722</v>
      </c>
      <c r="AP257" s="9">
        <v>2.3197559537639951</v>
      </c>
      <c r="AQ257" s="9">
        <v>0.44115966659079386</v>
      </c>
      <c r="AR257" s="9">
        <v>0.19115689376771303</v>
      </c>
      <c r="AS257" s="6">
        <v>134.0263778377377</v>
      </c>
      <c r="AT257" s="6">
        <v>488.60085971074943</v>
      </c>
      <c r="AU257" s="9">
        <v>100.837845</v>
      </c>
      <c r="AV257" s="8">
        <f t="shared" si="192"/>
        <v>2.1427726149544055</v>
      </c>
      <c r="AW257" s="9">
        <f t="shared" si="193"/>
        <v>8.7828614760422017</v>
      </c>
      <c r="AX257" s="8">
        <v>0.27168413589886892</v>
      </c>
      <c r="AY257" s="789">
        <v>1.3584206794943446E-2</v>
      </c>
      <c r="AZ257" s="6">
        <v>153.05805184360554</v>
      </c>
      <c r="BA257" s="48">
        <v>15.305805184360555</v>
      </c>
      <c r="BB257" s="886" t="s">
        <v>64</v>
      </c>
      <c r="BC257" s="48" t="s">
        <v>64</v>
      </c>
      <c r="BD257" s="849">
        <v>153.05805184360554</v>
      </c>
      <c r="BE257" s="48">
        <v>15.305805184360555</v>
      </c>
      <c r="BF257" s="668">
        <v>430.08505637262488</v>
      </c>
      <c r="BG257" s="48">
        <v>40.265766170769041</v>
      </c>
      <c r="BH257" s="48">
        <v>40.540325682144498</v>
      </c>
      <c r="BI257" s="850">
        <f t="shared" si="194"/>
        <v>1.835287152206593</v>
      </c>
      <c r="BJ257" s="789">
        <f t="shared" si="195"/>
        <v>0.16417537479389677</v>
      </c>
      <c r="BK257" s="563" t="s">
        <v>64</v>
      </c>
      <c r="BL257" s="48" t="s">
        <v>64</v>
      </c>
      <c r="BM257" s="48" t="s">
        <v>64</v>
      </c>
      <c r="BN257" s="47" t="s">
        <v>64</v>
      </c>
      <c r="BO257" s="789" t="s">
        <v>64</v>
      </c>
      <c r="BP257" s="789" t="s">
        <v>64</v>
      </c>
      <c r="BQ257" s="34" t="s">
        <v>64</v>
      </c>
      <c r="BR257" s="25">
        <v>2.6758021428553</v>
      </c>
      <c r="BS257" s="26">
        <v>2.908167574431741</v>
      </c>
      <c r="BT257" s="604"/>
      <c r="BU257" s="599">
        <v>0.1409889235894006</v>
      </c>
      <c r="BV257" s="851">
        <v>2.654259649126494E-2</v>
      </c>
      <c r="BW257" s="851">
        <v>6.3820033274273533E-2</v>
      </c>
      <c r="BX257" s="851">
        <v>0.11555675108868793</v>
      </c>
      <c r="BY257" s="851">
        <v>5.6019410618012013E-3</v>
      </c>
      <c r="BZ257" s="851">
        <v>1.8453536190295869E-2</v>
      </c>
      <c r="CA257" s="851">
        <v>2.1293418253178965E-2</v>
      </c>
      <c r="CB257" s="851">
        <v>3.2429724282429899E-2</v>
      </c>
      <c r="CC257" s="851">
        <v>1.1318701217820019E-2</v>
      </c>
      <c r="CD257" s="851">
        <v>6.7137933072202397E-3</v>
      </c>
      <c r="CE257" s="852">
        <v>22.850023131178062</v>
      </c>
      <c r="CF257" s="852">
        <v>18.036700736222318</v>
      </c>
      <c r="CG257" s="604"/>
      <c r="CH257" s="584">
        <v>53.110999999999997</v>
      </c>
      <c r="CI257" s="576">
        <v>2.24701</v>
      </c>
      <c r="CJ257" s="576">
        <v>13.722799999999999</v>
      </c>
      <c r="CK257" s="576">
        <v>10.802199999999999</v>
      </c>
      <c r="CL257" s="576">
        <v>0.16622899999999999</v>
      </c>
      <c r="CM257" s="576">
        <v>7.1923500000000002</v>
      </c>
      <c r="CN257" s="576">
        <v>10.5562</v>
      </c>
      <c r="CO257" s="576">
        <v>2.33955</v>
      </c>
      <c r="CP257" s="576">
        <v>0.44492399999999999</v>
      </c>
      <c r="CQ257" s="576">
        <v>0.19278799999999999</v>
      </c>
      <c r="CR257" s="857">
        <v>1.3517E-2</v>
      </c>
      <c r="CS257" s="793">
        <v>492.77000000000004</v>
      </c>
      <c r="CT257" s="576">
        <f t="shared" si="196"/>
        <v>100.837845</v>
      </c>
      <c r="CU257" s="576">
        <v>0.27168413589886892</v>
      </c>
      <c r="CV257" s="592">
        <v>153.08148219704398</v>
      </c>
      <c r="CW257" s="604"/>
      <c r="CX257" s="946">
        <v>336.48669773842931</v>
      </c>
      <c r="CY257" s="944">
        <v>32.637037133675506</v>
      </c>
      <c r="CZ257" s="944">
        <v>32.714541955844709</v>
      </c>
      <c r="DA257" s="938">
        <f t="shared" si="197"/>
        <v>1.4499992237112111</v>
      </c>
      <c r="DB257" s="946">
        <v>373.56178574424308</v>
      </c>
      <c r="DC257" s="944">
        <v>32.279366248016743</v>
      </c>
      <c r="DD257" s="944">
        <v>32.703919837582305</v>
      </c>
      <c r="DE257" s="939">
        <f t="shared" si="198"/>
        <v>1.6035010284107538</v>
      </c>
      <c r="DF257" s="9"/>
    </row>
    <row r="258" spans="1:110">
      <c r="A258" s="846" t="s">
        <v>956</v>
      </c>
      <c r="B258" s="41" t="s">
        <v>678</v>
      </c>
      <c r="C258" s="41" t="s">
        <v>1486</v>
      </c>
      <c r="D258" s="34" t="s">
        <v>736</v>
      </c>
      <c r="E258" s="535">
        <v>19.389810000000001</v>
      </c>
      <c r="F258" s="537">
        <v>-155.29229000000001</v>
      </c>
      <c r="G258" s="37" t="s">
        <v>946</v>
      </c>
      <c r="H258" s="37" t="s">
        <v>64</v>
      </c>
      <c r="I258" s="202" t="s">
        <v>64</v>
      </c>
      <c r="J258" t="s">
        <v>877</v>
      </c>
      <c r="K258" s="870">
        <v>43053</v>
      </c>
      <c r="L258" s="51" t="s">
        <v>64</v>
      </c>
      <c r="M258" s="52" t="s">
        <v>64</v>
      </c>
      <c r="N258" s="838" t="s">
        <v>64</v>
      </c>
      <c r="O258" s="54" t="s">
        <v>64</v>
      </c>
      <c r="P258" s="779" t="s">
        <v>64</v>
      </c>
      <c r="Q258" s="54" t="s">
        <v>64</v>
      </c>
      <c r="R258" s="772" t="s">
        <v>64</v>
      </c>
      <c r="S258" s="624" t="s">
        <v>64</v>
      </c>
      <c r="T258" s="34" t="s">
        <v>946</v>
      </c>
      <c r="U258" s="21" t="s">
        <v>64</v>
      </c>
      <c r="V258" s="552" t="s">
        <v>64</v>
      </c>
      <c r="W258" s="552" t="s">
        <v>64</v>
      </c>
      <c r="X258" s="779" t="s">
        <v>64</v>
      </c>
      <c r="Y258" s="54" t="s">
        <v>64</v>
      </c>
      <c r="Z258" s="54" t="s">
        <v>64</v>
      </c>
      <c r="AA258" s="54" t="s">
        <v>64</v>
      </c>
      <c r="AB258" s="32" t="s">
        <v>64</v>
      </c>
      <c r="AC258" s="6">
        <f t="shared" si="189"/>
        <v>1162.2596100000001</v>
      </c>
      <c r="AD258" s="20" t="s">
        <v>64</v>
      </c>
      <c r="AE258" s="6" t="str">
        <f t="shared" si="190"/>
        <v>-</v>
      </c>
      <c r="AF258" s="885" t="s">
        <v>64</v>
      </c>
      <c r="AG258" s="772" t="s">
        <v>64</v>
      </c>
      <c r="AH258" s="32">
        <f t="shared" si="191"/>
        <v>55.788056206994966</v>
      </c>
      <c r="AI258" s="9">
        <v>52.696550401393637</v>
      </c>
      <c r="AJ258" s="9">
        <v>2.2850525029144459</v>
      </c>
      <c r="AK258" s="9">
        <v>13.748301065598573</v>
      </c>
      <c r="AL258" s="9">
        <v>10.298824006696215</v>
      </c>
      <c r="AM258" s="9">
        <v>0.15713713424853418</v>
      </c>
      <c r="AN258" s="9">
        <v>7.2889929624916707</v>
      </c>
      <c r="AO258" s="9">
        <v>10.425114770189989</v>
      </c>
      <c r="AP258" s="9">
        <v>2.3851463326036826</v>
      </c>
      <c r="AQ258" s="9">
        <v>0.45380184558238601</v>
      </c>
      <c r="AR258" s="9">
        <v>0.19603627050963721</v>
      </c>
      <c r="AS258" s="6">
        <v>169.69209630008675</v>
      </c>
      <c r="AT258" s="6">
        <v>480.7349814119857</v>
      </c>
      <c r="AU258" s="9">
        <v>101.19504900000001</v>
      </c>
      <c r="AV258" s="8">
        <f t="shared" si="192"/>
        <v>2.0603525682995358</v>
      </c>
      <c r="AW258" s="9">
        <f t="shared" si="193"/>
        <v>8.4450356854908968</v>
      </c>
      <c r="AX258" s="8" t="s">
        <v>64</v>
      </c>
      <c r="AY258" s="789" t="s">
        <v>64</v>
      </c>
      <c r="AZ258" s="6" t="s">
        <v>64</v>
      </c>
      <c r="BA258" s="48" t="s">
        <v>64</v>
      </c>
      <c r="BB258" s="48" t="s">
        <v>64</v>
      </c>
      <c r="BC258" s="48" t="s">
        <v>64</v>
      </c>
      <c r="BD258" s="849" t="s">
        <v>64</v>
      </c>
      <c r="BE258" s="48" t="s">
        <v>64</v>
      </c>
      <c r="BF258" s="773" t="s">
        <v>64</v>
      </c>
      <c r="BG258" s="880" t="s">
        <v>64</v>
      </c>
      <c r="BH258" s="880" t="s">
        <v>64</v>
      </c>
      <c r="BI258" s="850" t="str">
        <f t="shared" si="194"/>
        <v>-</v>
      </c>
      <c r="BJ258" s="789" t="str">
        <f t="shared" si="195"/>
        <v>-</v>
      </c>
      <c r="BK258" s="563" t="s">
        <v>64</v>
      </c>
      <c r="BL258" s="48" t="s">
        <v>64</v>
      </c>
      <c r="BM258" s="48" t="s">
        <v>64</v>
      </c>
      <c r="BN258" s="47" t="s">
        <v>64</v>
      </c>
      <c r="BO258" s="789" t="s">
        <v>64</v>
      </c>
      <c r="BP258" s="789" t="s">
        <v>64</v>
      </c>
      <c r="BQ258" s="34" t="s">
        <v>64</v>
      </c>
      <c r="BR258" s="25">
        <v>2.6700994151091928</v>
      </c>
      <c r="BS258" s="26">
        <v>2.9031887814059458</v>
      </c>
      <c r="BT258" s="604"/>
      <c r="BU258" s="599">
        <v>0.14087421515354961</v>
      </c>
      <c r="BV258" s="851">
        <v>2.6660393067253717E-2</v>
      </c>
      <c r="BW258" s="851">
        <v>6.4039723846568822E-2</v>
      </c>
      <c r="BX258" s="851">
        <v>0.11323762971842623</v>
      </c>
      <c r="BY258" s="851">
        <v>5.6414116840834755E-3</v>
      </c>
      <c r="BZ258" s="851">
        <v>1.8573811867021277E-2</v>
      </c>
      <c r="CA258" s="851">
        <v>2.1196030597307181E-2</v>
      </c>
      <c r="CB258" s="851">
        <v>3.2728500946721209E-2</v>
      </c>
      <c r="CC258" s="851">
        <v>1.1419061220574137E-2</v>
      </c>
      <c r="CD258" s="851">
        <v>6.6066379560723344E-3</v>
      </c>
      <c r="CE258" s="852">
        <v>22.454846027101578</v>
      </c>
      <c r="CF258" s="852">
        <v>17.221849974102973</v>
      </c>
      <c r="CG258" s="604"/>
      <c r="CH258" s="584">
        <v>53.326300000000003</v>
      </c>
      <c r="CI258" s="576">
        <v>2.31236</v>
      </c>
      <c r="CJ258" s="576">
        <v>13.912599999999999</v>
      </c>
      <c r="CK258" s="576">
        <v>10.421900000000001</v>
      </c>
      <c r="CL258" s="576">
        <v>0.15901499999999999</v>
      </c>
      <c r="CM258" s="576">
        <v>7.3761000000000001</v>
      </c>
      <c r="CN258" s="576">
        <v>10.5497</v>
      </c>
      <c r="CO258" s="576">
        <v>2.4136500000000001</v>
      </c>
      <c r="CP258" s="576">
        <v>0.45922499999999999</v>
      </c>
      <c r="CQ258" s="576">
        <v>0.198379</v>
      </c>
      <c r="CR258" s="857">
        <v>1.7172E-2</v>
      </c>
      <c r="CS258" s="793">
        <v>486.47999999999996</v>
      </c>
      <c r="CT258" s="576">
        <f t="shared" si="196"/>
        <v>101.19504900000001</v>
      </c>
      <c r="CU258" s="576" t="s">
        <v>64</v>
      </c>
      <c r="CV258" s="592" t="s">
        <v>64</v>
      </c>
      <c r="CW258" s="604"/>
      <c r="CX258" s="946" t="s">
        <v>64</v>
      </c>
      <c r="CY258" s="944" t="s">
        <v>64</v>
      </c>
      <c r="CZ258" s="944" t="s">
        <v>64</v>
      </c>
      <c r="DA258" s="938" t="str">
        <f t="shared" si="197"/>
        <v>-</v>
      </c>
      <c r="DB258" s="946" t="s">
        <v>64</v>
      </c>
      <c r="DC258" s="944" t="s">
        <v>64</v>
      </c>
      <c r="DD258" s="944" t="s">
        <v>64</v>
      </c>
      <c r="DE258" s="939" t="str">
        <f t="shared" si="198"/>
        <v>-</v>
      </c>
      <c r="DF258" s="9"/>
    </row>
    <row r="259" spans="1:110">
      <c r="A259" s="846" t="s">
        <v>957</v>
      </c>
      <c r="B259" s="41" t="s">
        <v>678</v>
      </c>
      <c r="C259" s="41" t="s">
        <v>1486</v>
      </c>
      <c r="D259" s="34" t="s">
        <v>736</v>
      </c>
      <c r="E259" s="535">
        <v>19.389810000000001</v>
      </c>
      <c r="F259" s="537">
        <v>-155.29229000000001</v>
      </c>
      <c r="G259" s="37" t="s">
        <v>940</v>
      </c>
      <c r="H259" s="37" t="s">
        <v>64</v>
      </c>
      <c r="I259" s="202" t="s">
        <v>64</v>
      </c>
      <c r="J259" t="s">
        <v>877</v>
      </c>
      <c r="K259" s="870">
        <v>43053</v>
      </c>
      <c r="L259" s="51" t="s">
        <v>64</v>
      </c>
      <c r="M259" s="52" t="s">
        <v>64</v>
      </c>
      <c r="N259" s="838" t="s">
        <v>64</v>
      </c>
      <c r="O259" s="54" t="s">
        <v>64</v>
      </c>
      <c r="P259" s="779" t="s">
        <v>64</v>
      </c>
      <c r="Q259" s="54" t="s">
        <v>64</v>
      </c>
      <c r="R259" s="772" t="s">
        <v>64</v>
      </c>
      <c r="S259" s="624" t="s">
        <v>64</v>
      </c>
      <c r="T259" s="34" t="s">
        <v>940</v>
      </c>
      <c r="U259" s="21" t="s">
        <v>64</v>
      </c>
      <c r="V259" s="552" t="s">
        <v>64</v>
      </c>
      <c r="W259" s="552" t="s">
        <v>64</v>
      </c>
      <c r="X259" s="779" t="s">
        <v>64</v>
      </c>
      <c r="Y259" s="54" t="s">
        <v>64</v>
      </c>
      <c r="Z259" s="54" t="s">
        <v>64</v>
      </c>
      <c r="AA259" s="54" t="s">
        <v>64</v>
      </c>
      <c r="AB259" s="32" t="s">
        <v>64</v>
      </c>
      <c r="AC259" s="6">
        <f t="shared" si="189"/>
        <v>1160.032731</v>
      </c>
      <c r="AD259" s="20" t="s">
        <v>64</v>
      </c>
      <c r="AE259" s="6" t="str">
        <f t="shared" si="190"/>
        <v>-</v>
      </c>
      <c r="AF259" s="885" t="s">
        <v>64</v>
      </c>
      <c r="AG259" s="772" t="s">
        <v>64</v>
      </c>
      <c r="AH259" s="32">
        <f t="shared" si="191"/>
        <v>52.627832323483815</v>
      </c>
      <c r="AI259" s="9">
        <v>51.159481859243527</v>
      </c>
      <c r="AJ259" s="9">
        <v>2.2810313327281619</v>
      </c>
      <c r="AK259" s="9">
        <v>13.860580384918874</v>
      </c>
      <c r="AL259" s="9">
        <v>11.609829242528743</v>
      </c>
      <c r="AM259" s="9">
        <v>0.16931814159289837</v>
      </c>
      <c r="AN259" s="9">
        <v>7.2342969307726266</v>
      </c>
      <c r="AO259" s="9">
        <v>10.614496185577242</v>
      </c>
      <c r="AP259" s="9">
        <v>2.2715021837135296</v>
      </c>
      <c r="AQ259" s="9">
        <v>0.44912163799400173</v>
      </c>
      <c r="AR259" s="9">
        <v>0.23130341383008121</v>
      </c>
      <c r="AS259" s="6">
        <v>144.27151522779425</v>
      </c>
      <c r="AT259" s="6">
        <v>1046.1153557755581</v>
      </c>
      <c r="AU259" s="9">
        <v>100.42869499999998</v>
      </c>
      <c r="AV259" s="8">
        <f t="shared" si="192"/>
        <v>2.3226284361991554</v>
      </c>
      <c r="AW259" s="9">
        <f t="shared" si="193"/>
        <v>9.5200599788735705</v>
      </c>
      <c r="AX259" s="8" t="s">
        <v>64</v>
      </c>
      <c r="AY259" s="789" t="s">
        <v>64</v>
      </c>
      <c r="AZ259" s="6" t="s">
        <v>64</v>
      </c>
      <c r="BA259" s="48" t="s">
        <v>64</v>
      </c>
      <c r="BB259" s="48" t="s">
        <v>64</v>
      </c>
      <c r="BC259" s="48" t="s">
        <v>64</v>
      </c>
      <c r="BD259" s="849" t="s">
        <v>64</v>
      </c>
      <c r="BE259" s="48" t="s">
        <v>64</v>
      </c>
      <c r="BF259" s="773" t="s">
        <v>64</v>
      </c>
      <c r="BG259" s="880" t="s">
        <v>64</v>
      </c>
      <c r="BH259" s="880" t="s">
        <v>64</v>
      </c>
      <c r="BI259" s="850" t="str">
        <f t="shared" si="194"/>
        <v>-</v>
      </c>
      <c r="BJ259" s="789" t="str">
        <f t="shared" si="195"/>
        <v>-</v>
      </c>
      <c r="BK259" s="563" t="s">
        <v>64</v>
      </c>
      <c r="BL259" s="48" t="s">
        <v>64</v>
      </c>
      <c r="BM259" s="48" t="s">
        <v>64</v>
      </c>
      <c r="BN259" s="47" t="s">
        <v>64</v>
      </c>
      <c r="BO259" s="789" t="s">
        <v>64</v>
      </c>
      <c r="BP259" s="789" t="s">
        <v>64</v>
      </c>
      <c r="BQ259" s="34" t="s">
        <v>64</v>
      </c>
      <c r="BR259" s="25">
        <v>2.703653997015667</v>
      </c>
      <c r="BS259" s="26">
        <v>2.944519342006481</v>
      </c>
      <c r="BT259" s="604"/>
      <c r="BU259" s="599">
        <v>0.13956869405502087</v>
      </c>
      <c r="BV259" s="851">
        <v>2.7339301038413383E-2</v>
      </c>
      <c r="BW259" s="851">
        <v>6.4714911211382384E-2</v>
      </c>
      <c r="BX259" s="851">
        <v>0.12039276826209883</v>
      </c>
      <c r="BY259" s="851">
        <v>5.8290310015479156E-3</v>
      </c>
      <c r="BZ259" s="851">
        <v>1.9182461741636698E-2</v>
      </c>
      <c r="CA259" s="851">
        <v>2.2061699596913016E-2</v>
      </c>
      <c r="CB259" s="851">
        <v>3.2328927679484441E-2</v>
      </c>
      <c r="CC259" s="851">
        <v>1.1189057191672165E-2</v>
      </c>
      <c r="CD259" s="851">
        <v>6.8301816373298515E-3</v>
      </c>
      <c r="CE259" s="852">
        <v>23.264070373512279</v>
      </c>
      <c r="CF259" s="852">
        <v>20.641425142485424</v>
      </c>
      <c r="CG259" s="604"/>
      <c r="CH259" s="584">
        <v>51.378799999999998</v>
      </c>
      <c r="CI259" s="576">
        <v>2.29081</v>
      </c>
      <c r="CJ259" s="576">
        <v>13.92</v>
      </c>
      <c r="CK259" s="576">
        <v>11.659599999999999</v>
      </c>
      <c r="CL259" s="576">
        <v>0.170044</v>
      </c>
      <c r="CM259" s="576">
        <v>7.2653100000000004</v>
      </c>
      <c r="CN259" s="576">
        <v>10.66</v>
      </c>
      <c r="CO259" s="576">
        <v>2.2812399999999999</v>
      </c>
      <c r="CP259" s="576">
        <v>0.45104699999999998</v>
      </c>
      <c r="CQ259" s="576">
        <v>0.232295</v>
      </c>
      <c r="CR259" s="857">
        <v>1.4489E-2</v>
      </c>
      <c r="CS259" s="793">
        <v>1050.5999999999999</v>
      </c>
      <c r="CT259" s="576">
        <f t="shared" si="196"/>
        <v>100.42869499999998</v>
      </c>
      <c r="CU259" s="576" t="s">
        <v>64</v>
      </c>
      <c r="CV259" s="592" t="s">
        <v>64</v>
      </c>
      <c r="CW259" s="604"/>
      <c r="CX259" s="946" t="s">
        <v>64</v>
      </c>
      <c r="CY259" s="944" t="s">
        <v>64</v>
      </c>
      <c r="CZ259" s="944" t="s">
        <v>64</v>
      </c>
      <c r="DA259" s="938" t="str">
        <f t="shared" si="197"/>
        <v>-</v>
      </c>
      <c r="DB259" s="946" t="s">
        <v>64</v>
      </c>
      <c r="DC259" s="944" t="s">
        <v>64</v>
      </c>
      <c r="DD259" s="944" t="s">
        <v>64</v>
      </c>
      <c r="DE259" s="939" t="str">
        <f t="shared" si="198"/>
        <v>-</v>
      </c>
      <c r="DF259" s="9"/>
    </row>
    <row r="260" spans="1:110">
      <c r="A260" s="846" t="s">
        <v>958</v>
      </c>
      <c r="B260" s="41" t="s">
        <v>678</v>
      </c>
      <c r="C260" s="41" t="s">
        <v>1486</v>
      </c>
      <c r="D260" s="34" t="s">
        <v>736</v>
      </c>
      <c r="E260" s="535">
        <v>19.389810000000001</v>
      </c>
      <c r="F260" s="537">
        <v>-155.29229000000001</v>
      </c>
      <c r="G260" s="37" t="s">
        <v>940</v>
      </c>
      <c r="H260" s="37" t="s">
        <v>64</v>
      </c>
      <c r="I260" s="202" t="s">
        <v>64</v>
      </c>
      <c r="J260" t="s">
        <v>877</v>
      </c>
      <c r="K260" s="870">
        <v>43053</v>
      </c>
      <c r="L260" s="51" t="s">
        <v>64</v>
      </c>
      <c r="M260" s="52" t="s">
        <v>64</v>
      </c>
      <c r="N260" s="838" t="s">
        <v>64</v>
      </c>
      <c r="O260" s="54" t="s">
        <v>64</v>
      </c>
      <c r="P260" s="779" t="s">
        <v>64</v>
      </c>
      <c r="Q260" s="54" t="s">
        <v>64</v>
      </c>
      <c r="R260" s="772" t="s">
        <v>64</v>
      </c>
      <c r="S260" s="624" t="s">
        <v>64</v>
      </c>
      <c r="T260" s="34" t="s">
        <v>940</v>
      </c>
      <c r="U260" s="21" t="s">
        <v>64</v>
      </c>
      <c r="V260" s="552" t="s">
        <v>64</v>
      </c>
      <c r="W260" s="552" t="s">
        <v>64</v>
      </c>
      <c r="X260" s="779" t="s">
        <v>64</v>
      </c>
      <c r="Y260" s="54" t="s">
        <v>64</v>
      </c>
      <c r="Z260" s="54" t="s">
        <v>64</v>
      </c>
      <c r="AA260" s="54" t="s">
        <v>64</v>
      </c>
      <c r="AB260" s="32" t="s">
        <v>64</v>
      </c>
      <c r="AC260" s="6">
        <f t="shared" si="189"/>
        <v>1162.260213</v>
      </c>
      <c r="AD260" s="20" t="s">
        <v>64</v>
      </c>
      <c r="AE260" s="6" t="str">
        <f t="shared" si="190"/>
        <v>-</v>
      </c>
      <c r="AF260" s="885" t="s">
        <v>64</v>
      </c>
      <c r="AG260" s="772" t="s">
        <v>64</v>
      </c>
      <c r="AH260" s="32">
        <f t="shared" si="191"/>
        <v>53.661513938796119</v>
      </c>
      <c r="AI260" s="9">
        <v>51.328556557652014</v>
      </c>
      <c r="AJ260" s="9">
        <v>2.3163554343202222</v>
      </c>
      <c r="AK260" s="9">
        <v>14.004173320386847</v>
      </c>
      <c r="AL260" s="9">
        <v>11.288047970958441</v>
      </c>
      <c r="AM260" s="9">
        <v>0.17768280721380625</v>
      </c>
      <c r="AN260" s="9">
        <v>7.3319281513922654</v>
      </c>
      <c r="AO260" s="9">
        <v>10.619975565706536</v>
      </c>
      <c r="AP260" s="9">
        <v>2.1981580087756543</v>
      </c>
      <c r="AQ260" s="9">
        <v>0.42887743518405458</v>
      </c>
      <c r="AR260" s="9">
        <v>0.21511812168217709</v>
      </c>
      <c r="AS260" s="6">
        <v>161.24788808207734</v>
      </c>
      <c r="AT260" s="6">
        <v>750.01837919769832</v>
      </c>
      <c r="AU260" s="9">
        <v>100.60286799999997</v>
      </c>
      <c r="AV260" s="8">
        <f t="shared" si="192"/>
        <v>2.2582538174194293</v>
      </c>
      <c r="AW260" s="9">
        <f t="shared" si="193"/>
        <v>9.2561993361859223</v>
      </c>
      <c r="AX260" s="8" t="s">
        <v>64</v>
      </c>
      <c r="AY260" s="789" t="s">
        <v>64</v>
      </c>
      <c r="AZ260" s="6" t="s">
        <v>64</v>
      </c>
      <c r="BA260" s="48" t="s">
        <v>64</v>
      </c>
      <c r="BB260" s="48" t="s">
        <v>64</v>
      </c>
      <c r="BC260" s="48" t="s">
        <v>64</v>
      </c>
      <c r="BD260" s="849" t="s">
        <v>64</v>
      </c>
      <c r="BE260" s="48" t="s">
        <v>64</v>
      </c>
      <c r="BF260" s="773" t="s">
        <v>64</v>
      </c>
      <c r="BG260" s="880" t="s">
        <v>64</v>
      </c>
      <c r="BH260" s="880" t="s">
        <v>64</v>
      </c>
      <c r="BI260" s="850" t="str">
        <f t="shared" si="194"/>
        <v>-</v>
      </c>
      <c r="BJ260" s="789" t="str">
        <f t="shared" si="195"/>
        <v>-</v>
      </c>
      <c r="BK260" s="563" t="s">
        <v>64</v>
      </c>
      <c r="BL260" s="48" t="s">
        <v>64</v>
      </c>
      <c r="BM260" s="48" t="s">
        <v>64</v>
      </c>
      <c r="BN260" s="47" t="s">
        <v>64</v>
      </c>
      <c r="BO260" s="789" t="s">
        <v>64</v>
      </c>
      <c r="BP260" s="789" t="s">
        <v>64</v>
      </c>
      <c r="BQ260" s="34" t="s">
        <v>64</v>
      </c>
      <c r="BR260" s="25">
        <v>2.699252150467967</v>
      </c>
      <c r="BS260" s="26">
        <v>2.9386972255422559</v>
      </c>
      <c r="BT260" s="604"/>
      <c r="BU260" s="599">
        <v>0.13962547940482176</v>
      </c>
      <c r="BV260" s="851">
        <v>2.6674222639457949E-2</v>
      </c>
      <c r="BW260" s="851">
        <v>6.492530809757828E-2</v>
      </c>
      <c r="BX260" s="851">
        <v>0.1186170656884255</v>
      </c>
      <c r="BY260" s="851">
        <v>5.6835399543480204E-3</v>
      </c>
      <c r="BZ260" s="851">
        <v>1.873065689051728E-2</v>
      </c>
      <c r="CA260" s="851">
        <v>2.1439288072781382E-2</v>
      </c>
      <c r="CB260" s="851">
        <v>3.1760305805595919E-2</v>
      </c>
      <c r="CC260" s="851">
        <v>1.1171313656187216E-2</v>
      </c>
      <c r="CD260" s="851">
        <v>6.7808243607925776E-3</v>
      </c>
      <c r="CE260" s="852">
        <v>22.677741731975278</v>
      </c>
      <c r="CF260" s="852">
        <v>18.62963151905371</v>
      </c>
      <c r="CG260" s="604"/>
      <c r="CH260" s="584">
        <v>51.637999999999998</v>
      </c>
      <c r="CI260" s="576">
        <v>2.3303199999999999</v>
      </c>
      <c r="CJ260" s="576">
        <v>14.0886</v>
      </c>
      <c r="CK260" s="576">
        <v>11.3561</v>
      </c>
      <c r="CL260" s="576">
        <v>0.178754</v>
      </c>
      <c r="CM260" s="576">
        <v>7.3761299999999999</v>
      </c>
      <c r="CN260" s="576">
        <v>10.683999999999999</v>
      </c>
      <c r="CO260" s="576">
        <v>2.2114099999999999</v>
      </c>
      <c r="CP260" s="576">
        <v>0.43146299999999999</v>
      </c>
      <c r="CQ260" s="576">
        <v>0.216415</v>
      </c>
      <c r="CR260" s="857">
        <v>1.6222E-2</v>
      </c>
      <c r="CS260" s="793">
        <v>754.54</v>
      </c>
      <c r="CT260" s="576">
        <f t="shared" si="196"/>
        <v>100.60286799999997</v>
      </c>
      <c r="CU260" s="576" t="s">
        <v>64</v>
      </c>
      <c r="CV260" s="592" t="s">
        <v>64</v>
      </c>
      <c r="CW260" s="604"/>
      <c r="CX260" s="946" t="s">
        <v>64</v>
      </c>
      <c r="CY260" s="944" t="s">
        <v>64</v>
      </c>
      <c r="CZ260" s="944" t="s">
        <v>64</v>
      </c>
      <c r="DA260" s="938" t="str">
        <f t="shared" si="197"/>
        <v>-</v>
      </c>
      <c r="DB260" s="946" t="s">
        <v>64</v>
      </c>
      <c r="DC260" s="944" t="s">
        <v>64</v>
      </c>
      <c r="DD260" s="944" t="s">
        <v>64</v>
      </c>
      <c r="DE260" s="939" t="str">
        <f t="shared" si="198"/>
        <v>-</v>
      </c>
      <c r="DF260" s="9"/>
    </row>
    <row r="261" spans="1:110">
      <c r="A261" s="846" t="s">
        <v>959</v>
      </c>
      <c r="B261" s="41" t="s">
        <v>678</v>
      </c>
      <c r="C261" s="41" t="s">
        <v>1486</v>
      </c>
      <c r="D261" s="34" t="s">
        <v>736</v>
      </c>
      <c r="E261" s="535">
        <v>19.389810000000001</v>
      </c>
      <c r="F261" s="537">
        <v>-155.29229000000001</v>
      </c>
      <c r="G261" s="37" t="s">
        <v>940</v>
      </c>
      <c r="H261" s="37" t="s">
        <v>64</v>
      </c>
      <c r="I261" s="202" t="s">
        <v>64</v>
      </c>
      <c r="J261" t="s">
        <v>877</v>
      </c>
      <c r="K261" s="870">
        <v>43053</v>
      </c>
      <c r="L261" s="51" t="s">
        <v>64</v>
      </c>
      <c r="M261" s="52" t="s">
        <v>64</v>
      </c>
      <c r="N261" s="838" t="s">
        <v>64</v>
      </c>
      <c r="O261" s="54" t="s">
        <v>64</v>
      </c>
      <c r="P261" s="779" t="s">
        <v>64</v>
      </c>
      <c r="Q261" s="54" t="s">
        <v>64</v>
      </c>
      <c r="R261" s="772" t="s">
        <v>64</v>
      </c>
      <c r="S261" s="624" t="s">
        <v>64</v>
      </c>
      <c r="T261" s="34" t="s">
        <v>940</v>
      </c>
      <c r="U261" s="21" t="s">
        <v>64</v>
      </c>
      <c r="V261" s="552" t="s">
        <v>64</v>
      </c>
      <c r="W261" s="552" t="s">
        <v>64</v>
      </c>
      <c r="X261" s="779" t="s">
        <v>64</v>
      </c>
      <c r="Y261" s="54" t="s">
        <v>64</v>
      </c>
      <c r="Z261" s="54" t="s">
        <v>64</v>
      </c>
      <c r="AA261" s="54" t="s">
        <v>64</v>
      </c>
      <c r="AB261" s="32" t="s">
        <v>64</v>
      </c>
      <c r="AC261" s="6">
        <f t="shared" si="189"/>
        <v>1159.1971739999999</v>
      </c>
      <c r="AD261" s="20" t="s">
        <v>64</v>
      </c>
      <c r="AE261" s="6" t="str">
        <f t="shared" si="190"/>
        <v>-</v>
      </c>
      <c r="AF261" s="885" t="s">
        <v>64</v>
      </c>
      <c r="AG261" s="772" t="s">
        <v>64</v>
      </c>
      <c r="AH261" s="32">
        <f t="shared" si="191"/>
        <v>53.044191156890427</v>
      </c>
      <c r="AI261" s="9">
        <v>51.592092845217287</v>
      </c>
      <c r="AJ261" s="9">
        <v>2.2419768438923304</v>
      </c>
      <c r="AK261" s="9">
        <v>14.06243928740486</v>
      </c>
      <c r="AL261" s="9">
        <v>11.318093484585134</v>
      </c>
      <c r="AM261" s="9">
        <v>0.15395696563192335</v>
      </c>
      <c r="AN261" s="9">
        <v>7.1713357508540643</v>
      </c>
      <c r="AO261" s="9">
        <v>10.572243751674389</v>
      </c>
      <c r="AP261" s="9">
        <v>2.1954766422557817</v>
      </c>
      <c r="AQ261" s="9">
        <v>0.41470257750299999</v>
      </c>
      <c r="AR261" s="9">
        <v>0.21365075564912422</v>
      </c>
      <c r="AS261" s="6">
        <v>180.57048837899006</v>
      </c>
      <c r="AT261" s="6">
        <v>459.74046494205447</v>
      </c>
      <c r="AU261" s="9">
        <v>100.73074600000002</v>
      </c>
      <c r="AV261" s="8">
        <f t="shared" si="192"/>
        <v>2.264264634880373</v>
      </c>
      <c r="AW261" s="9">
        <f t="shared" si="193"/>
        <v>9.28083665735981</v>
      </c>
      <c r="AX261" s="8">
        <v>0.24184588245960723</v>
      </c>
      <c r="AY261" s="789">
        <v>1.2092294122980362E-2</v>
      </c>
      <c r="AZ261" s="6" t="s">
        <v>292</v>
      </c>
      <c r="BA261" s="48" t="s">
        <v>64</v>
      </c>
      <c r="BB261" s="48" t="s">
        <v>64</v>
      </c>
      <c r="BC261" s="48" t="s">
        <v>64</v>
      </c>
      <c r="BD261" s="849" t="s">
        <v>64</v>
      </c>
      <c r="BE261" s="48" t="s">
        <v>64</v>
      </c>
      <c r="BF261" s="773" t="s">
        <v>64</v>
      </c>
      <c r="BG261" s="880" t="s">
        <v>64</v>
      </c>
      <c r="BH261" s="880" t="s">
        <v>64</v>
      </c>
      <c r="BI261" s="850" t="str">
        <f t="shared" si="194"/>
        <v>-</v>
      </c>
      <c r="BJ261" s="789" t="str">
        <f t="shared" si="195"/>
        <v>-</v>
      </c>
      <c r="BK261" s="563" t="s">
        <v>64</v>
      </c>
      <c r="BL261" s="48" t="s">
        <v>64</v>
      </c>
      <c r="BM261" s="48" t="s">
        <v>64</v>
      </c>
      <c r="BN261" s="47" t="s">
        <v>64</v>
      </c>
      <c r="BO261" s="789" t="s">
        <v>64</v>
      </c>
      <c r="BP261" s="789" t="s">
        <v>64</v>
      </c>
      <c r="BQ261" s="34" t="s">
        <v>64</v>
      </c>
      <c r="BR261" s="25">
        <v>2.6941825446649652</v>
      </c>
      <c r="BS261" s="26">
        <v>2.9316746843816111</v>
      </c>
      <c r="BT261" s="604"/>
      <c r="BU261" s="599">
        <v>0.13991156474508784</v>
      </c>
      <c r="BV261" s="851">
        <v>2.653603792430962E-2</v>
      </c>
      <c r="BW261" s="851">
        <v>6.5001938113314478E-2</v>
      </c>
      <c r="BX261" s="851">
        <v>0.1187200097972073</v>
      </c>
      <c r="BY261" s="851">
        <v>5.7177307681211846E-3</v>
      </c>
      <c r="BZ261" s="851">
        <v>1.8535823228590008E-2</v>
      </c>
      <c r="CA261" s="851">
        <v>2.1402133083577083E-2</v>
      </c>
      <c r="CB261" s="851">
        <v>3.1725515671252945E-2</v>
      </c>
      <c r="CC261" s="851">
        <v>1.1028268584052779E-2</v>
      </c>
      <c r="CD261" s="851">
        <v>6.7564060363456448E-3</v>
      </c>
      <c r="CE261" s="852">
        <v>22.700238376076356</v>
      </c>
      <c r="CF261" s="852">
        <v>17.573717194549513</v>
      </c>
      <c r="CG261" s="604"/>
      <c r="CH261" s="584">
        <v>51.969099999999997</v>
      </c>
      <c r="CI261" s="576">
        <v>2.2583600000000001</v>
      </c>
      <c r="CJ261" s="576">
        <v>14.1652</v>
      </c>
      <c r="CK261" s="576">
        <v>11.4008</v>
      </c>
      <c r="CL261" s="576">
        <v>0.155082</v>
      </c>
      <c r="CM261" s="576">
        <v>7.2237400000000003</v>
      </c>
      <c r="CN261" s="576">
        <v>10.6495</v>
      </c>
      <c r="CO261" s="576">
        <v>2.2115200000000002</v>
      </c>
      <c r="CP261" s="576">
        <v>0.41773300000000002</v>
      </c>
      <c r="CQ261" s="576">
        <v>0.21521199999999999</v>
      </c>
      <c r="CR261" s="857">
        <v>1.8189E-2</v>
      </c>
      <c r="CS261" s="793">
        <v>463.09999999999997</v>
      </c>
      <c r="CT261" s="576">
        <f t="shared" si="196"/>
        <v>100.73074600000002</v>
      </c>
      <c r="CU261" s="576">
        <v>0.24184588245960723</v>
      </c>
      <c r="CV261" s="592" t="s">
        <v>292</v>
      </c>
      <c r="CW261" s="604"/>
      <c r="CX261" s="946" t="s">
        <v>64</v>
      </c>
      <c r="CY261" s="944" t="s">
        <v>64</v>
      </c>
      <c r="CZ261" s="944" t="s">
        <v>64</v>
      </c>
      <c r="DA261" s="938" t="str">
        <f t="shared" si="197"/>
        <v>-</v>
      </c>
      <c r="DB261" s="946" t="s">
        <v>64</v>
      </c>
      <c r="DC261" s="944" t="s">
        <v>64</v>
      </c>
      <c r="DD261" s="944" t="s">
        <v>64</v>
      </c>
      <c r="DE261" s="939" t="str">
        <f t="shared" si="198"/>
        <v>-</v>
      </c>
      <c r="DF261" s="9"/>
    </row>
    <row r="262" spans="1:110">
      <c r="A262" s="846" t="s">
        <v>960</v>
      </c>
      <c r="B262" s="41" t="s">
        <v>678</v>
      </c>
      <c r="C262" s="41" t="s">
        <v>1486</v>
      </c>
      <c r="D262" s="34" t="s">
        <v>736</v>
      </c>
      <c r="E262" s="535">
        <v>19.389810000000001</v>
      </c>
      <c r="F262" s="537">
        <v>-155.29229000000001</v>
      </c>
      <c r="G262" s="37" t="s">
        <v>940</v>
      </c>
      <c r="H262" s="37" t="s">
        <v>64</v>
      </c>
      <c r="I262" s="202" t="s">
        <v>64</v>
      </c>
      <c r="J262" t="s">
        <v>877</v>
      </c>
      <c r="K262" s="870">
        <v>43053</v>
      </c>
      <c r="L262" s="51" t="s">
        <v>64</v>
      </c>
      <c r="M262" s="52" t="s">
        <v>64</v>
      </c>
      <c r="N262" s="838" t="s">
        <v>64</v>
      </c>
      <c r="O262" s="54" t="s">
        <v>64</v>
      </c>
      <c r="P262" s="779" t="s">
        <v>64</v>
      </c>
      <c r="Q262" s="54" t="s">
        <v>64</v>
      </c>
      <c r="R262" s="772" t="s">
        <v>64</v>
      </c>
      <c r="S262" s="624" t="s">
        <v>64</v>
      </c>
      <c r="T262" s="34" t="s">
        <v>940</v>
      </c>
      <c r="U262" s="21" t="s">
        <v>64</v>
      </c>
      <c r="V262" s="552" t="s">
        <v>64</v>
      </c>
      <c r="W262" s="552" t="s">
        <v>64</v>
      </c>
      <c r="X262" s="779" t="s">
        <v>64</v>
      </c>
      <c r="Y262" s="54" t="s">
        <v>64</v>
      </c>
      <c r="Z262" s="54" t="s">
        <v>64</v>
      </c>
      <c r="AA262" s="54" t="s">
        <v>64</v>
      </c>
      <c r="AB262" s="32" t="s">
        <v>64</v>
      </c>
      <c r="AC262" s="6">
        <f t="shared" si="189"/>
        <v>1163.8282140000001</v>
      </c>
      <c r="AD262" s="20" t="s">
        <v>64</v>
      </c>
      <c r="AE262" s="6" t="str">
        <f t="shared" si="190"/>
        <v>-</v>
      </c>
      <c r="AF262" s="885" t="s">
        <v>64</v>
      </c>
      <c r="AG262" s="772" t="s">
        <v>64</v>
      </c>
      <c r="AH262" s="32">
        <f t="shared" si="191"/>
        <v>54.43699113909986</v>
      </c>
      <c r="AI262" s="9">
        <v>51.340216627265391</v>
      </c>
      <c r="AJ262" s="9">
        <v>2.2912714447091096</v>
      </c>
      <c r="AK262" s="9">
        <v>14.133860662780979</v>
      </c>
      <c r="AL262" s="9">
        <v>11.115111683519835</v>
      </c>
      <c r="AM262" s="9">
        <v>0.1576504432175016</v>
      </c>
      <c r="AN262" s="9">
        <v>7.448585738586452</v>
      </c>
      <c r="AO262" s="9">
        <v>10.552531188543329</v>
      </c>
      <c r="AP262" s="9">
        <v>2.2217332979144118</v>
      </c>
      <c r="AQ262" s="9">
        <v>0.44952080132886518</v>
      </c>
      <c r="AR262" s="9">
        <v>0.2289422823189205</v>
      </c>
      <c r="AS262" s="6">
        <v>186.08124293876546</v>
      </c>
      <c r="AT262" s="6">
        <v>419.67705521346852</v>
      </c>
      <c r="AU262" s="9">
        <v>100.074568</v>
      </c>
      <c r="AV262" s="8">
        <f t="shared" si="192"/>
        <v>2.2236566902382435</v>
      </c>
      <c r="AW262" s="9">
        <f t="shared" si="193"/>
        <v>9.1143915804862665</v>
      </c>
      <c r="AX262" s="8" t="s">
        <v>64</v>
      </c>
      <c r="AY262" s="789" t="s">
        <v>64</v>
      </c>
      <c r="AZ262" s="6" t="s">
        <v>64</v>
      </c>
      <c r="BA262" s="48" t="s">
        <v>64</v>
      </c>
      <c r="BB262" s="48" t="s">
        <v>64</v>
      </c>
      <c r="BC262" s="48" t="s">
        <v>64</v>
      </c>
      <c r="BD262" s="849" t="s">
        <v>64</v>
      </c>
      <c r="BE262" s="48" t="s">
        <v>64</v>
      </c>
      <c r="BF262" s="773" t="s">
        <v>64</v>
      </c>
      <c r="BG262" s="880" t="s">
        <v>64</v>
      </c>
      <c r="BH262" s="880" t="s">
        <v>64</v>
      </c>
      <c r="BI262" s="850" t="str">
        <f t="shared" si="194"/>
        <v>-</v>
      </c>
      <c r="BJ262" s="789" t="str">
        <f t="shared" si="195"/>
        <v>-</v>
      </c>
      <c r="BK262" s="563" t="s">
        <v>64</v>
      </c>
      <c r="BL262" s="48" t="s">
        <v>64</v>
      </c>
      <c r="BM262" s="48" t="s">
        <v>64</v>
      </c>
      <c r="BN262" s="47" t="s">
        <v>64</v>
      </c>
      <c r="BO262" s="789" t="s">
        <v>64</v>
      </c>
      <c r="BP262" s="789" t="s">
        <v>64</v>
      </c>
      <c r="BQ262" s="34" t="s">
        <v>64</v>
      </c>
      <c r="BR262" s="25">
        <v>2.6933359451490539</v>
      </c>
      <c r="BS262" s="26">
        <v>2.9346942329805721</v>
      </c>
      <c r="BT262" s="604"/>
      <c r="BU262" s="599">
        <v>0.14010950478447234</v>
      </c>
      <c r="BV262" s="851">
        <v>2.6987053330072838E-2</v>
      </c>
      <c r="BW262" s="851">
        <v>6.5418432739075133E-2</v>
      </c>
      <c r="BX262" s="851">
        <v>0.11808916954805142</v>
      </c>
      <c r="BY262" s="851">
        <v>5.7114390821052571E-3</v>
      </c>
      <c r="BZ262" s="851">
        <v>1.8909203213547724E-2</v>
      </c>
      <c r="CA262" s="851">
        <v>2.143124111612453E-2</v>
      </c>
      <c r="CB262" s="851">
        <v>3.1977851703541713E-2</v>
      </c>
      <c r="CC262" s="851">
        <v>1.1420210814000218E-2</v>
      </c>
      <c r="CD262" s="851">
        <v>6.665311136291892E-3</v>
      </c>
      <c r="CE262" s="852">
        <v>22.850404470394523</v>
      </c>
      <c r="CF262" s="852">
        <v>17.555343025812519</v>
      </c>
      <c r="CG262" s="604"/>
      <c r="CH262" s="584">
        <v>51.378500000000003</v>
      </c>
      <c r="CI262" s="576">
        <v>2.29298</v>
      </c>
      <c r="CJ262" s="576">
        <v>14.144399999999999</v>
      </c>
      <c r="CK262" s="576">
        <v>11.1234</v>
      </c>
      <c r="CL262" s="576">
        <v>0.15776799999999999</v>
      </c>
      <c r="CM262" s="576">
        <v>7.4541399999999998</v>
      </c>
      <c r="CN262" s="576">
        <v>10.5604</v>
      </c>
      <c r="CO262" s="576">
        <v>2.2233900000000002</v>
      </c>
      <c r="CP262" s="576">
        <v>0.44985599999999998</v>
      </c>
      <c r="CQ262" s="576">
        <v>0.22911300000000001</v>
      </c>
      <c r="CR262" s="857">
        <v>1.8622E-2</v>
      </c>
      <c r="CS262" s="793">
        <v>419.99</v>
      </c>
      <c r="CT262" s="576">
        <f t="shared" si="196"/>
        <v>100.074568</v>
      </c>
      <c r="CU262" s="576" t="s">
        <v>64</v>
      </c>
      <c r="CV262" s="592" t="s">
        <v>64</v>
      </c>
      <c r="CW262" s="604"/>
      <c r="CX262" s="946" t="s">
        <v>64</v>
      </c>
      <c r="CY262" s="944" t="s">
        <v>64</v>
      </c>
      <c r="CZ262" s="944" t="s">
        <v>64</v>
      </c>
      <c r="DA262" s="938" t="str">
        <f t="shared" si="197"/>
        <v>-</v>
      </c>
      <c r="DB262" s="946" t="s">
        <v>64</v>
      </c>
      <c r="DC262" s="944" t="s">
        <v>64</v>
      </c>
      <c r="DD262" s="944" t="s">
        <v>64</v>
      </c>
      <c r="DE262" s="939" t="str">
        <f t="shared" si="198"/>
        <v>-</v>
      </c>
      <c r="DF262" s="9"/>
    </row>
    <row r="263" spans="1:110">
      <c r="A263" s="846" t="s">
        <v>961</v>
      </c>
      <c r="B263" s="41" t="s">
        <v>678</v>
      </c>
      <c r="C263" s="41" t="s">
        <v>1486</v>
      </c>
      <c r="D263" s="34" t="s">
        <v>736</v>
      </c>
      <c r="E263" s="535">
        <v>19.389810000000001</v>
      </c>
      <c r="F263" s="537">
        <v>-155.29229000000001</v>
      </c>
      <c r="G263" s="37" t="s">
        <v>946</v>
      </c>
      <c r="H263" s="37" t="s">
        <v>64</v>
      </c>
      <c r="I263" s="202" t="s">
        <v>64</v>
      </c>
      <c r="J263" t="s">
        <v>877</v>
      </c>
      <c r="K263" s="870">
        <v>43053</v>
      </c>
      <c r="L263" s="51" t="s">
        <v>64</v>
      </c>
      <c r="M263" s="52" t="s">
        <v>64</v>
      </c>
      <c r="N263" s="838" t="s">
        <v>64</v>
      </c>
      <c r="O263" s="54" t="s">
        <v>64</v>
      </c>
      <c r="P263" s="779" t="s">
        <v>64</v>
      </c>
      <c r="Q263" s="54" t="s">
        <v>64</v>
      </c>
      <c r="R263" s="772" t="s">
        <v>64</v>
      </c>
      <c r="S263" s="624" t="s">
        <v>64</v>
      </c>
      <c r="T263" s="34" t="s">
        <v>946</v>
      </c>
      <c r="U263" s="21" t="s">
        <v>64</v>
      </c>
      <c r="V263" s="552" t="s">
        <v>64</v>
      </c>
      <c r="W263" s="552" t="s">
        <v>64</v>
      </c>
      <c r="X263" s="779" t="s">
        <v>64</v>
      </c>
      <c r="Y263" s="54" t="s">
        <v>64</v>
      </c>
      <c r="Z263" s="54" t="s">
        <v>64</v>
      </c>
      <c r="AA263" s="54" t="s">
        <v>64</v>
      </c>
      <c r="AB263" s="32" t="s">
        <v>64</v>
      </c>
      <c r="AC263" s="6">
        <f t="shared" si="189"/>
        <v>1168.4652840000001</v>
      </c>
      <c r="AD263" s="20" t="s">
        <v>64</v>
      </c>
      <c r="AE263" s="6" t="str">
        <f t="shared" si="190"/>
        <v>-</v>
      </c>
      <c r="AF263" s="885" t="s">
        <v>64</v>
      </c>
      <c r="AG263" s="772" t="s">
        <v>64</v>
      </c>
      <c r="AH263" s="32">
        <f t="shared" si="191"/>
        <v>56.005900764436731</v>
      </c>
      <c r="AI263" s="9">
        <v>51.557496980654903</v>
      </c>
      <c r="AJ263" s="9">
        <v>2.3223130319518432</v>
      </c>
      <c r="AK263" s="9">
        <v>13.558508721040088</v>
      </c>
      <c r="AL263" s="9">
        <v>10.831549855336622</v>
      </c>
      <c r="AM263" s="9">
        <v>0.17129037457289992</v>
      </c>
      <c r="AN263" s="9">
        <v>7.7340723979600732</v>
      </c>
      <c r="AO263" s="9">
        <v>10.74660915255194</v>
      </c>
      <c r="AP263" s="9">
        <v>2.2591912205933697</v>
      </c>
      <c r="AQ263" s="9">
        <v>0.43816822556506824</v>
      </c>
      <c r="AR263" s="9">
        <v>0.22070895596554202</v>
      </c>
      <c r="AS263" s="6">
        <v>187.88601662170794</v>
      </c>
      <c r="AT263" s="6">
        <v>1413.0248214546928</v>
      </c>
      <c r="AU263" s="9">
        <v>99.363434999999996</v>
      </c>
      <c r="AV263" s="8">
        <f t="shared" si="192"/>
        <v>2.1669281413680883</v>
      </c>
      <c r="AW263" s="9">
        <f t="shared" si="193"/>
        <v>8.881870881376031</v>
      </c>
      <c r="AX263" s="8">
        <v>0.37788446617299953</v>
      </c>
      <c r="AY263" s="789">
        <v>1.8894223308649979E-2</v>
      </c>
      <c r="AZ263" s="6" t="s">
        <v>64</v>
      </c>
      <c r="BA263" s="48" t="s">
        <v>64</v>
      </c>
      <c r="BB263" s="48" t="s">
        <v>64</v>
      </c>
      <c r="BC263" s="48" t="s">
        <v>64</v>
      </c>
      <c r="BD263" s="849" t="s">
        <v>64</v>
      </c>
      <c r="BE263" s="48" t="s">
        <v>64</v>
      </c>
      <c r="BF263" s="773" t="s">
        <v>64</v>
      </c>
      <c r="BG263" s="880" t="s">
        <v>64</v>
      </c>
      <c r="BH263" s="880" t="s">
        <v>64</v>
      </c>
      <c r="BI263" s="850" t="str">
        <f t="shared" si="194"/>
        <v>-</v>
      </c>
      <c r="BJ263" s="789" t="str">
        <f t="shared" si="195"/>
        <v>-</v>
      </c>
      <c r="BK263" s="563" t="s">
        <v>64</v>
      </c>
      <c r="BL263" s="48" t="s">
        <v>64</v>
      </c>
      <c r="BM263" s="48" t="s">
        <v>64</v>
      </c>
      <c r="BN263" s="47" t="s">
        <v>64</v>
      </c>
      <c r="BO263" s="789" t="s">
        <v>64</v>
      </c>
      <c r="BP263" s="789" t="s">
        <v>64</v>
      </c>
      <c r="BQ263" s="34" t="s">
        <v>64</v>
      </c>
      <c r="BR263" s="25">
        <v>2.6800969959603842</v>
      </c>
      <c r="BS263" s="26">
        <v>2.928796603457831</v>
      </c>
      <c r="BT263" s="604"/>
      <c r="BU263" s="599">
        <v>0.14080919557883642</v>
      </c>
      <c r="BV263" s="851">
        <v>2.7391217749265603E-2</v>
      </c>
      <c r="BW263" s="851">
        <v>6.4366444036480827E-2</v>
      </c>
      <c r="BX263" s="851">
        <v>0.11699156998749086</v>
      </c>
      <c r="BY263" s="851">
        <v>5.7399918390502484E-3</v>
      </c>
      <c r="BZ263" s="851">
        <v>1.9333556839696613E-2</v>
      </c>
      <c r="CA263" s="851">
        <v>2.1731148231741382E-2</v>
      </c>
      <c r="CB263" s="851">
        <v>3.2291297873307215E-2</v>
      </c>
      <c r="CC263" s="851">
        <v>1.1431283203121954E-2</v>
      </c>
      <c r="CD263" s="851">
        <v>6.7101261046379878E-3</v>
      </c>
      <c r="CE263" s="852">
        <v>23.603368724118678</v>
      </c>
      <c r="CF263" s="852">
        <v>21.636659973560693</v>
      </c>
      <c r="CG263" s="604"/>
      <c r="CH263" s="584">
        <v>51.229300000000002</v>
      </c>
      <c r="CI263" s="576">
        <v>2.3075299999999999</v>
      </c>
      <c r="CJ263" s="576">
        <v>13.472200000000001</v>
      </c>
      <c r="CK263" s="576">
        <v>10.762600000000001</v>
      </c>
      <c r="CL263" s="576">
        <v>0.17019999999999999</v>
      </c>
      <c r="CM263" s="576">
        <v>7.6848400000000003</v>
      </c>
      <c r="CN263" s="576">
        <v>10.6782</v>
      </c>
      <c r="CO263" s="576">
        <v>2.2448100000000002</v>
      </c>
      <c r="CP263" s="576">
        <v>0.43537900000000002</v>
      </c>
      <c r="CQ263" s="576">
        <v>0.219304</v>
      </c>
      <c r="CR263" s="857">
        <v>1.8669000000000002E-2</v>
      </c>
      <c r="CS263" s="793">
        <v>1404.03</v>
      </c>
      <c r="CT263" s="576">
        <f t="shared" si="196"/>
        <v>99.363434999999996</v>
      </c>
      <c r="CU263" s="576">
        <v>0.37788446617299953</v>
      </c>
      <c r="CV263" s="592" t="s">
        <v>64</v>
      </c>
      <c r="CW263" s="604"/>
      <c r="CX263" s="946" t="s">
        <v>64</v>
      </c>
      <c r="CY263" s="944" t="s">
        <v>64</v>
      </c>
      <c r="CZ263" s="944" t="s">
        <v>64</v>
      </c>
      <c r="DA263" s="938" t="str">
        <f t="shared" si="197"/>
        <v>-</v>
      </c>
      <c r="DB263" s="946" t="s">
        <v>64</v>
      </c>
      <c r="DC263" s="944" t="s">
        <v>64</v>
      </c>
      <c r="DD263" s="944" t="s">
        <v>64</v>
      </c>
      <c r="DE263" s="939" t="str">
        <f t="shared" si="198"/>
        <v>-</v>
      </c>
      <c r="DF263" s="9"/>
    </row>
    <row r="264" spans="1:110">
      <c r="A264" s="846" t="s">
        <v>962</v>
      </c>
      <c r="B264" s="41" t="s">
        <v>678</v>
      </c>
      <c r="C264" s="41" t="s">
        <v>1486</v>
      </c>
      <c r="D264" s="34" t="s">
        <v>736</v>
      </c>
      <c r="E264" s="535">
        <v>19.389810000000001</v>
      </c>
      <c r="F264" s="537">
        <v>-155.29229000000001</v>
      </c>
      <c r="G264" s="37" t="s">
        <v>940</v>
      </c>
      <c r="H264" s="37" t="s">
        <v>64</v>
      </c>
      <c r="I264" s="202" t="s">
        <v>64</v>
      </c>
      <c r="J264" t="s">
        <v>877</v>
      </c>
      <c r="K264" s="870">
        <v>43053</v>
      </c>
      <c r="L264" s="51" t="s">
        <v>64</v>
      </c>
      <c r="M264" s="52" t="s">
        <v>64</v>
      </c>
      <c r="N264" s="838" t="s">
        <v>64</v>
      </c>
      <c r="O264" s="54" t="s">
        <v>64</v>
      </c>
      <c r="P264" s="779" t="s">
        <v>64</v>
      </c>
      <c r="Q264" s="54" t="s">
        <v>64</v>
      </c>
      <c r="R264" s="772" t="s">
        <v>64</v>
      </c>
      <c r="S264" s="624" t="s">
        <v>64</v>
      </c>
      <c r="T264" s="34" t="s">
        <v>940</v>
      </c>
      <c r="U264" s="21" t="s">
        <v>64</v>
      </c>
      <c r="V264" s="552" t="s">
        <v>64</v>
      </c>
      <c r="W264" s="552" t="s">
        <v>64</v>
      </c>
      <c r="X264" s="779" t="s">
        <v>64</v>
      </c>
      <c r="Y264" s="54" t="s">
        <v>64</v>
      </c>
      <c r="Z264" s="54" t="s">
        <v>64</v>
      </c>
      <c r="AA264" s="54" t="s">
        <v>64</v>
      </c>
      <c r="AB264" s="32" t="s">
        <v>64</v>
      </c>
      <c r="AC264" s="6">
        <f t="shared" si="189"/>
        <v>1168.97703</v>
      </c>
      <c r="AD264" s="20" t="s">
        <v>64</v>
      </c>
      <c r="AE264" s="6" t="str">
        <f t="shared" si="190"/>
        <v>-</v>
      </c>
      <c r="AF264" s="885" t="s">
        <v>64</v>
      </c>
      <c r="AG264" s="772" t="s">
        <v>64</v>
      </c>
      <c r="AH264" s="32">
        <f t="shared" si="191"/>
        <v>56.454775190638472</v>
      </c>
      <c r="AI264" s="9">
        <v>51.933149673323562</v>
      </c>
      <c r="AJ264" s="9">
        <v>2.2994580454848563</v>
      </c>
      <c r="AK264" s="9">
        <v>13.471006524733911</v>
      </c>
      <c r="AL264" s="9">
        <v>10.64498653170414</v>
      </c>
      <c r="AM264" s="9">
        <v>0.16058487901704901</v>
      </c>
      <c r="AN264" s="9">
        <v>7.7407588021803475</v>
      </c>
      <c r="AO264" s="9">
        <v>10.527223149281177</v>
      </c>
      <c r="AP264" s="9">
        <v>2.3795632482429809</v>
      </c>
      <c r="AQ264" s="9">
        <v>0.46829367003045602</v>
      </c>
      <c r="AR264" s="9">
        <v>0.21698781668034278</v>
      </c>
      <c r="AS264" s="6">
        <v>193.08978125667562</v>
      </c>
      <c r="AT264" s="6">
        <v>1386.7868119548889</v>
      </c>
      <c r="AU264" s="9">
        <v>99.60651399999999</v>
      </c>
      <c r="AV264" s="8">
        <f t="shared" si="192"/>
        <v>2.129604829235872</v>
      </c>
      <c r="AW264" s="9">
        <f t="shared" si="193"/>
        <v>8.7288889559973946</v>
      </c>
      <c r="AX264" s="8">
        <v>0.16131763645903757</v>
      </c>
      <c r="AY264" s="789">
        <v>8.065881822951879E-3</v>
      </c>
      <c r="AZ264" s="6" t="s">
        <v>292</v>
      </c>
      <c r="BA264" s="48" t="s">
        <v>64</v>
      </c>
      <c r="BB264" s="48" t="s">
        <v>64</v>
      </c>
      <c r="BC264" s="48" t="s">
        <v>64</v>
      </c>
      <c r="BD264" s="849" t="s">
        <v>64</v>
      </c>
      <c r="BE264" s="48" t="s">
        <v>64</v>
      </c>
      <c r="BF264" s="773" t="s">
        <v>64</v>
      </c>
      <c r="BG264" s="880" t="s">
        <v>64</v>
      </c>
      <c r="BH264" s="880" t="s">
        <v>64</v>
      </c>
      <c r="BI264" s="850" t="str">
        <f t="shared" si="194"/>
        <v>-</v>
      </c>
      <c r="BJ264" s="789" t="str">
        <f t="shared" si="195"/>
        <v>-</v>
      </c>
      <c r="BK264" s="563" t="s">
        <v>64</v>
      </c>
      <c r="BL264" s="48" t="s">
        <v>64</v>
      </c>
      <c r="BM264" s="48" t="s">
        <v>64</v>
      </c>
      <c r="BN264" s="47" t="s">
        <v>64</v>
      </c>
      <c r="BO264" s="789" t="s">
        <v>64</v>
      </c>
      <c r="BP264" s="789" t="s">
        <v>64</v>
      </c>
      <c r="BQ264" s="34" t="s">
        <v>64</v>
      </c>
      <c r="BR264" s="25">
        <v>2.688550033138029</v>
      </c>
      <c r="BS264" s="26">
        <v>2.927508611526759</v>
      </c>
      <c r="BT264" s="604"/>
      <c r="BU264" s="599">
        <v>0.14123531652558383</v>
      </c>
      <c r="BV264" s="851">
        <v>2.8116623251166081E-2</v>
      </c>
      <c r="BW264" s="851">
        <v>6.4117141495384514E-2</v>
      </c>
      <c r="BX264" s="851">
        <v>0.1158685494002932</v>
      </c>
      <c r="BY264" s="851">
        <v>5.8691364507546164E-3</v>
      </c>
      <c r="BZ264" s="851">
        <v>1.9904896814278632E-2</v>
      </c>
      <c r="CA264" s="851">
        <v>2.2164963068580023E-2</v>
      </c>
      <c r="CB264" s="851">
        <v>3.2973845887227814E-2</v>
      </c>
      <c r="CC264" s="851">
        <v>1.1683177797387829E-2</v>
      </c>
      <c r="CD264" s="851">
        <v>7.0412763500587918E-3</v>
      </c>
      <c r="CE264" s="852">
        <v>24.265013541182654</v>
      </c>
      <c r="CF264" s="852">
        <v>22.015379318465055</v>
      </c>
      <c r="CG264" s="604"/>
      <c r="CH264" s="584">
        <v>51.7288</v>
      </c>
      <c r="CI264" s="576">
        <v>2.2904100000000001</v>
      </c>
      <c r="CJ264" s="576">
        <v>13.417999999999999</v>
      </c>
      <c r="CK264" s="576">
        <v>10.6031</v>
      </c>
      <c r="CL264" s="576">
        <v>0.15995300000000001</v>
      </c>
      <c r="CM264" s="576">
        <v>7.7103000000000002</v>
      </c>
      <c r="CN264" s="576">
        <v>10.485799999999999</v>
      </c>
      <c r="CO264" s="576">
        <v>2.3702000000000001</v>
      </c>
      <c r="CP264" s="576">
        <v>0.466451</v>
      </c>
      <c r="CQ264" s="576">
        <v>0.21613399999999999</v>
      </c>
      <c r="CR264" s="857">
        <v>1.9233E-2</v>
      </c>
      <c r="CS264" s="793">
        <v>1381.3300000000002</v>
      </c>
      <c r="CT264" s="576">
        <f t="shared" si="196"/>
        <v>99.60651399999999</v>
      </c>
      <c r="CU264" s="576">
        <v>0.16131763645903757</v>
      </c>
      <c r="CV264" s="592" t="s">
        <v>292</v>
      </c>
      <c r="CW264" s="604"/>
      <c r="CX264" s="946" t="s">
        <v>64</v>
      </c>
      <c r="CY264" s="944" t="s">
        <v>64</v>
      </c>
      <c r="CZ264" s="944" t="s">
        <v>64</v>
      </c>
      <c r="DA264" s="938" t="str">
        <f t="shared" si="197"/>
        <v>-</v>
      </c>
      <c r="DB264" s="946" t="s">
        <v>64</v>
      </c>
      <c r="DC264" s="944" t="s">
        <v>64</v>
      </c>
      <c r="DD264" s="944" t="s">
        <v>64</v>
      </c>
      <c r="DE264" s="939" t="str">
        <f t="shared" si="198"/>
        <v>-</v>
      </c>
      <c r="DF264" s="9"/>
    </row>
    <row r="265" spans="1:110">
      <c r="A265" s="846"/>
      <c r="B265" s="41"/>
      <c r="C265" s="41"/>
      <c r="D265" s="34"/>
      <c r="E265" s="535"/>
      <c r="F265" s="537"/>
      <c r="G265" s="37"/>
      <c r="H265" s="37"/>
      <c r="I265" s="202"/>
      <c r="K265" s="870"/>
      <c r="L265" s="51"/>
      <c r="M265" s="52"/>
      <c r="N265" s="838"/>
      <c r="O265" s="54"/>
      <c r="P265" s="779"/>
      <c r="Q265" s="54"/>
      <c r="R265" s="772"/>
      <c r="S265" s="624"/>
      <c r="T265" s="34"/>
      <c r="U265" s="21"/>
      <c r="V265" s="552"/>
      <c r="W265" s="552"/>
      <c r="X265" s="779"/>
      <c r="Y265" s="54"/>
      <c r="Z265" s="54"/>
      <c r="AA265" s="54"/>
      <c r="AB265" s="32"/>
      <c r="AC265" s="6"/>
      <c r="AD265" s="20"/>
      <c r="AE265" s="6"/>
      <c r="AF265" s="839"/>
      <c r="AG265" s="772"/>
      <c r="AH265" s="32"/>
      <c r="AI265" s="9"/>
      <c r="AJ265" s="9"/>
      <c r="AK265" s="9"/>
      <c r="AL265" s="9"/>
      <c r="AM265" s="9"/>
      <c r="AN265" s="9"/>
      <c r="AO265" s="9"/>
      <c r="AP265" s="9"/>
      <c r="AQ265" s="9"/>
      <c r="AR265" s="9"/>
      <c r="AS265" s="6"/>
      <c r="AT265" s="6"/>
      <c r="AU265" s="9"/>
      <c r="AV265" s="8"/>
      <c r="AW265" s="9"/>
      <c r="AX265" s="8"/>
      <c r="AY265" s="787"/>
      <c r="AZ265" s="6"/>
      <c r="BB265" s="3"/>
      <c r="BD265" s="849"/>
      <c r="BF265" s="668"/>
      <c r="BG265" s="68"/>
      <c r="BH265" s="68"/>
      <c r="BI265" s="781"/>
      <c r="BK265" s="563"/>
      <c r="BL265" s="48"/>
      <c r="BM265" s="48"/>
      <c r="BN265" s="47"/>
      <c r="BO265" s="789"/>
      <c r="BP265" s="789"/>
      <c r="BQ265" s="34"/>
      <c r="BR265" s="25"/>
      <c r="BS265" s="26"/>
      <c r="BT265" s="604"/>
      <c r="BU265" s="598"/>
      <c r="BV265" s="790"/>
      <c r="BW265" s="790"/>
      <c r="BX265" s="790"/>
      <c r="BY265" s="790"/>
      <c r="BZ265" s="790"/>
      <c r="CA265" s="790"/>
      <c r="CB265" s="790"/>
      <c r="CC265" s="790"/>
      <c r="CD265" s="790"/>
      <c r="CE265" s="791"/>
      <c r="CF265" s="791"/>
      <c r="CG265" s="604"/>
      <c r="CH265" s="584"/>
      <c r="CI265" s="576"/>
      <c r="CJ265" s="576"/>
      <c r="CK265" s="576"/>
      <c r="CL265" s="576"/>
      <c r="CM265" s="576"/>
      <c r="CN265" s="576"/>
      <c r="CO265" s="576"/>
      <c r="CP265" s="576"/>
      <c r="CQ265" s="576"/>
      <c r="CR265" s="857"/>
      <c r="CS265" s="793"/>
      <c r="CT265" s="576"/>
      <c r="CU265" s="576"/>
      <c r="CV265" s="592"/>
      <c r="CW265" s="604"/>
      <c r="CX265" s="946"/>
      <c r="CY265" s="944"/>
      <c r="CZ265" s="944"/>
      <c r="DA265" s="948"/>
      <c r="DB265" s="946"/>
      <c r="DC265" s="944"/>
      <c r="DD265" s="944"/>
      <c r="DE265" s="949"/>
      <c r="DF265" s="9"/>
    </row>
    <row r="266" spans="1:110">
      <c r="A266" s="837" t="s">
        <v>1487</v>
      </c>
      <c r="B266" s="41"/>
      <c r="C266" s="41"/>
      <c r="D266" s="41"/>
      <c r="E266" s="535"/>
      <c r="F266" s="537"/>
      <c r="H266" s="41"/>
      <c r="I266" s="47"/>
      <c r="K266" s="34"/>
      <c r="L266" s="5"/>
      <c r="N266" s="783"/>
      <c r="O266" s="783"/>
      <c r="P266" s="778"/>
      <c r="R266" s="24"/>
      <c r="S266" s="624"/>
      <c r="T266" s="41"/>
      <c r="U266" s="24"/>
      <c r="V266" s="1"/>
      <c r="W266" s="1"/>
      <c r="X266" s="778"/>
      <c r="Y266" s="783"/>
      <c r="Z266" s="783"/>
      <c r="AA266" s="783"/>
      <c r="AB266" s="11"/>
      <c r="AC266" s="7"/>
      <c r="AD266" s="7"/>
      <c r="AE266" s="7"/>
      <c r="AF266" s="786"/>
      <c r="AH266" s="32"/>
      <c r="AI266" s="7"/>
      <c r="AJ266" s="7"/>
      <c r="AK266" s="7"/>
      <c r="AL266" s="7"/>
      <c r="AM266" s="7"/>
      <c r="AN266" s="7"/>
      <c r="AO266" s="7"/>
      <c r="AP266" s="7"/>
      <c r="AQ266" s="7"/>
      <c r="AR266" s="7"/>
      <c r="AS266" s="7"/>
      <c r="AT266" s="7"/>
      <c r="AU266" s="7"/>
      <c r="AV266" s="11"/>
      <c r="AW266" s="7"/>
      <c r="AX266" s="8"/>
      <c r="AY266" s="787"/>
      <c r="AZ266" s="7"/>
      <c r="BB266" s="3"/>
      <c r="BD266" s="786"/>
      <c r="BF266" s="669"/>
      <c r="BG266" s="68"/>
      <c r="BH266" s="68"/>
      <c r="BI266" s="781"/>
      <c r="BK266" s="563"/>
      <c r="BL266" s="48"/>
      <c r="BM266" s="48"/>
      <c r="BN266" s="47"/>
      <c r="BO266" s="789"/>
      <c r="BP266" s="789"/>
      <c r="BQ266" s="34"/>
      <c r="BR266" s="25"/>
      <c r="BS266" s="26"/>
      <c r="BT266" s="604"/>
      <c r="BU266" s="598"/>
      <c r="BV266" s="790"/>
      <c r="BW266" s="790"/>
      <c r="BX266" s="790"/>
      <c r="BY266" s="790"/>
      <c r="BZ266" s="790"/>
      <c r="CA266" s="790"/>
      <c r="CB266" s="790"/>
      <c r="CC266" s="790"/>
      <c r="CD266" s="790"/>
      <c r="CE266" s="791"/>
      <c r="CF266" s="791"/>
      <c r="CG266" s="604"/>
      <c r="CH266" s="584"/>
      <c r="CI266" s="576"/>
      <c r="CJ266" s="576"/>
      <c r="CK266" s="576"/>
      <c r="CL266" s="576"/>
      <c r="CM266" s="576"/>
      <c r="CN266" s="576"/>
      <c r="CO266" s="576"/>
      <c r="CP266" s="576"/>
      <c r="CQ266" s="576"/>
      <c r="CR266" s="792"/>
      <c r="CS266" s="793"/>
      <c r="CT266" s="577"/>
      <c r="CU266" s="576"/>
      <c r="CV266" s="591"/>
      <c r="CW266" s="604"/>
      <c r="CX266" s="946"/>
      <c r="CY266" s="944"/>
      <c r="CZ266" s="944"/>
      <c r="DA266" s="948"/>
      <c r="DB266" s="946"/>
      <c r="DC266" s="944"/>
      <c r="DD266" s="944"/>
      <c r="DE266" s="949"/>
      <c r="DF266" s="7"/>
    </row>
    <row r="267" spans="1:110">
      <c r="A267" s="846" t="s">
        <v>963</v>
      </c>
      <c r="B267" s="41" t="s">
        <v>679</v>
      </c>
      <c r="C267" s="41" t="s">
        <v>1488</v>
      </c>
      <c r="D267" s="34" t="s">
        <v>736</v>
      </c>
      <c r="E267" s="535">
        <v>19.389810000000001</v>
      </c>
      <c r="F267" s="537">
        <v>-155.29229000000001</v>
      </c>
      <c r="G267" s="34" t="s">
        <v>935</v>
      </c>
      <c r="H267" s="37" t="s">
        <v>64</v>
      </c>
      <c r="I267" s="202" t="s">
        <v>64</v>
      </c>
      <c r="J267" t="s">
        <v>964</v>
      </c>
      <c r="K267" s="34">
        <v>2001</v>
      </c>
      <c r="L267" s="39" t="s">
        <v>64</v>
      </c>
      <c r="M267" s="34" t="s">
        <v>64</v>
      </c>
      <c r="N267" s="879" t="s">
        <v>64</v>
      </c>
      <c r="O267" s="879" t="s">
        <v>64</v>
      </c>
      <c r="P267" s="775" t="s">
        <v>64</v>
      </c>
      <c r="Q267" s="879" t="s">
        <v>64</v>
      </c>
      <c r="R267" s="28" t="s">
        <v>64</v>
      </c>
      <c r="S267" s="33" t="s">
        <v>64</v>
      </c>
      <c r="T267" s="861" t="s">
        <v>935</v>
      </c>
      <c r="U267" s="28" t="s">
        <v>64</v>
      </c>
      <c r="V267" s="26" t="s">
        <v>64</v>
      </c>
      <c r="W267" s="26" t="s">
        <v>64</v>
      </c>
      <c r="X267" s="775" t="s">
        <v>64</v>
      </c>
      <c r="Y267" s="879" t="s">
        <v>64</v>
      </c>
      <c r="Z267" s="879" t="s">
        <v>64</v>
      </c>
      <c r="AA267" s="879" t="s">
        <v>64</v>
      </c>
      <c r="AB267" s="32" t="s">
        <v>64</v>
      </c>
      <c r="AC267" s="6">
        <f t="shared" ref="AC267:AC273" si="199" xml:space="preserve"> 20.1*CM267+1014</f>
        <v>1176.7899</v>
      </c>
      <c r="AD267" s="20" t="s">
        <v>64</v>
      </c>
      <c r="AE267" s="6" t="str">
        <f t="shared" ref="AE267:AE273" si="200">IF(ISNUMBER(U267),0.02289*U267^3- 4.943*U267^2+ 358.6*U267-7620,"-")</f>
        <v>-</v>
      </c>
      <c r="AF267" s="786" t="s">
        <v>64</v>
      </c>
      <c r="AG267" s="34" t="s">
        <v>64</v>
      </c>
      <c r="AH267" s="32">
        <f t="shared" ref="AH267:AH273" si="201">100*(AN267/40.3)/((AN267/40.3)+(AL267/71.85))</f>
        <v>56.374623041373667</v>
      </c>
      <c r="AI267" s="9">
        <v>50.526529369990868</v>
      </c>
      <c r="AJ267" s="9">
        <v>2.4317743735416455</v>
      </c>
      <c r="AK267" s="9">
        <v>13.476717053870345</v>
      </c>
      <c r="AL267" s="9">
        <v>11.336106320381454</v>
      </c>
      <c r="AM267" s="9">
        <v>0.18261134219336511</v>
      </c>
      <c r="AN267" s="9">
        <v>8.2164958912448007</v>
      </c>
      <c r="AO267" s="9">
        <v>10.875519935071523</v>
      </c>
      <c r="AP267" s="9">
        <v>2.2745257177640257</v>
      </c>
      <c r="AQ267" s="9">
        <v>0.40073044536877345</v>
      </c>
      <c r="AR267" s="9">
        <v>0.24855432687430251</v>
      </c>
      <c r="AS267" s="6" t="s">
        <v>64</v>
      </c>
      <c r="AT267" s="6">
        <v>304.35223698894185</v>
      </c>
      <c r="AU267" s="9">
        <v>98.570000000000007</v>
      </c>
      <c r="AV267" s="8">
        <f t="shared" ref="AV267:AV273" si="202">IF(ISNUMBER(AL267),(AL267/71.84)*(0.18/2)*159.69,"-")</f>
        <v>2.2678682300550426</v>
      </c>
      <c r="AW267" s="9">
        <f t="shared" ref="AW267:AW273" si="203">IF(ISNUMBER(AL267),(AL267/71.84)*(1-0.18)*71.84,"-")</f>
        <v>9.2956071827127928</v>
      </c>
      <c r="AX267" s="8" t="s">
        <v>64</v>
      </c>
      <c r="AY267" s="789" t="s">
        <v>64</v>
      </c>
      <c r="AZ267" s="6" t="s">
        <v>64</v>
      </c>
      <c r="BA267" s="48" t="s">
        <v>64</v>
      </c>
      <c r="BB267" s="48" t="s">
        <v>64</v>
      </c>
      <c r="BC267" s="48" t="s">
        <v>64</v>
      </c>
      <c r="BD267" s="849" t="s">
        <v>64</v>
      </c>
      <c r="BE267" s="48" t="s">
        <v>64</v>
      </c>
      <c r="BF267" s="773" t="s">
        <v>64</v>
      </c>
      <c r="BG267" s="880" t="s">
        <v>64</v>
      </c>
      <c r="BH267" s="880" t="s">
        <v>64</v>
      </c>
      <c r="BI267" s="850" t="str">
        <f t="shared" ref="BI267:BI273" si="204">IF(NOT(ISNUMBER(BF267)),"-",(0.0684*((BF267/1000))^3 - 0.5008*((BF267/1000))^2 + 4.47*((BF267/1000))))</f>
        <v>-</v>
      </c>
      <c r="BJ267" s="789" t="str">
        <f t="shared" ref="BJ267:BJ273" si="205">IF(NOT(ISNUMBER(BF267)),"-",AVERAGE(ABS(BI267-(0.0684*(((BF267+BG267)/1000))^3-0.5008*(((BF267+BG267)/1000))^2+4.47*(((BF267+BG267)/1000)))),ABS(BI267-(0.0684*(((BF267-BG267)/1000))^3-0.5008*(((BF267-BG267)/1000))^2+4.47*(((BF267-BG267)/1000))))))</f>
        <v>-</v>
      </c>
      <c r="BK267" s="563" t="s">
        <v>64</v>
      </c>
      <c r="BL267" s="48" t="s">
        <v>64</v>
      </c>
      <c r="BM267" s="48" t="s">
        <v>64</v>
      </c>
      <c r="BN267" s="47" t="s">
        <v>64</v>
      </c>
      <c r="BO267" s="789" t="s">
        <v>64</v>
      </c>
      <c r="BP267" s="789" t="s">
        <v>64</v>
      </c>
      <c r="BQ267" s="34" t="s">
        <v>64</v>
      </c>
      <c r="BR267" s="25">
        <v>2.708387265070781</v>
      </c>
      <c r="BS267" s="26">
        <v>2.963471221827779</v>
      </c>
      <c r="BT267" s="603"/>
      <c r="BU267" s="599" t="s">
        <v>309</v>
      </c>
      <c r="BV267" s="851" t="s">
        <v>309</v>
      </c>
      <c r="BW267" s="851" t="s">
        <v>309</v>
      </c>
      <c r="BX267" s="851" t="s">
        <v>309</v>
      </c>
      <c r="BY267" s="851" t="s">
        <v>309</v>
      </c>
      <c r="BZ267" s="851" t="s">
        <v>309</v>
      </c>
      <c r="CA267" s="851" t="s">
        <v>309</v>
      </c>
      <c r="CB267" s="851" t="s">
        <v>309</v>
      </c>
      <c r="CC267" s="851" t="s">
        <v>309</v>
      </c>
      <c r="CD267" s="851" t="s">
        <v>309</v>
      </c>
      <c r="CE267" s="852" t="s">
        <v>64</v>
      </c>
      <c r="CF267" s="852" t="s">
        <v>309</v>
      </c>
      <c r="CG267" s="603"/>
      <c r="CH267" s="584">
        <v>49.804000000000002</v>
      </c>
      <c r="CI267" s="576">
        <v>2.3969999999999998</v>
      </c>
      <c r="CJ267" s="576">
        <v>13.284000000000001</v>
      </c>
      <c r="CK267" s="576">
        <v>11.173999999999999</v>
      </c>
      <c r="CL267" s="576">
        <v>0.18</v>
      </c>
      <c r="CM267" s="576">
        <v>8.0990000000000002</v>
      </c>
      <c r="CN267" s="576">
        <v>10.72</v>
      </c>
      <c r="CO267" s="576">
        <v>2.242</v>
      </c>
      <c r="CP267" s="576">
        <v>0.39500000000000002</v>
      </c>
      <c r="CQ267" s="576">
        <v>0.245</v>
      </c>
      <c r="CR267" s="857" t="s">
        <v>64</v>
      </c>
      <c r="CS267" s="793">
        <v>300</v>
      </c>
      <c r="CT267" s="576">
        <f t="shared" ref="CT267:CT273" si="206">SUM(CH267:CR267)+(CS267/10000)</f>
        <v>98.570000000000007</v>
      </c>
      <c r="CU267" s="855" t="s">
        <v>64</v>
      </c>
      <c r="CV267" s="592" t="s">
        <v>64</v>
      </c>
      <c r="CW267" s="603"/>
      <c r="CX267" s="946" t="s">
        <v>64</v>
      </c>
      <c r="CY267" s="944" t="s">
        <v>64</v>
      </c>
      <c r="CZ267" s="944" t="s">
        <v>64</v>
      </c>
      <c r="DA267" s="938" t="str">
        <f t="shared" ref="DA267:DA273" si="207">IF(NOT(ISNUMBER(CX267)),"-",(0.0684*((CX267/1000))^3 - 0.5008*((CX267/1000))^2 + 4.47*((CX267/1000))))</f>
        <v>-</v>
      </c>
      <c r="DB267" s="946" t="s">
        <v>64</v>
      </c>
      <c r="DC267" s="944" t="s">
        <v>64</v>
      </c>
      <c r="DD267" s="944" t="s">
        <v>64</v>
      </c>
      <c r="DE267" s="939" t="str">
        <f t="shared" ref="DE267:DE273" si="208">IF(NOT(ISNUMBER(DB267)),"-",(0.0684*((DB267/1000))^3 - 0.5008*((DB267/1000))^2 + 4.47*((DB267/1000))))</f>
        <v>-</v>
      </c>
      <c r="DF267" s="9"/>
    </row>
    <row r="268" spans="1:110">
      <c r="A268" s="846" t="s">
        <v>965</v>
      </c>
      <c r="B268" s="41" t="s">
        <v>679</v>
      </c>
      <c r="C268" s="41" t="s">
        <v>1488</v>
      </c>
      <c r="D268" s="34" t="s">
        <v>736</v>
      </c>
      <c r="E268" s="535">
        <v>19.389810000000001</v>
      </c>
      <c r="F268" s="537">
        <v>-155.29229000000001</v>
      </c>
      <c r="G268" s="34" t="s">
        <v>935</v>
      </c>
      <c r="H268" s="37" t="s">
        <v>64</v>
      </c>
      <c r="I268" s="202" t="s">
        <v>64</v>
      </c>
      <c r="J268" t="s">
        <v>964</v>
      </c>
      <c r="K268" s="34">
        <v>2001</v>
      </c>
      <c r="L268" s="39" t="s">
        <v>64</v>
      </c>
      <c r="M268" s="34" t="s">
        <v>64</v>
      </c>
      <c r="N268" s="879" t="s">
        <v>64</v>
      </c>
      <c r="O268" s="879" t="s">
        <v>64</v>
      </c>
      <c r="P268" s="775" t="s">
        <v>64</v>
      </c>
      <c r="Q268" s="879" t="s">
        <v>64</v>
      </c>
      <c r="R268" s="28" t="s">
        <v>64</v>
      </c>
      <c r="S268" s="33" t="s">
        <v>64</v>
      </c>
      <c r="T268" s="861" t="s">
        <v>935</v>
      </c>
      <c r="U268" s="28" t="s">
        <v>64</v>
      </c>
      <c r="V268" s="26" t="s">
        <v>64</v>
      </c>
      <c r="W268" s="26" t="s">
        <v>64</v>
      </c>
      <c r="X268" s="775" t="s">
        <v>64</v>
      </c>
      <c r="Y268" s="879" t="s">
        <v>64</v>
      </c>
      <c r="Z268" s="879" t="s">
        <v>64</v>
      </c>
      <c r="AA268" s="879" t="s">
        <v>64</v>
      </c>
      <c r="AB268" s="32" t="s">
        <v>64</v>
      </c>
      <c r="AC268" s="6">
        <f t="shared" si="199"/>
        <v>1216.1256000000001</v>
      </c>
      <c r="AD268" s="20" t="s">
        <v>64</v>
      </c>
      <c r="AE268" s="6" t="str">
        <f t="shared" si="200"/>
        <v>-</v>
      </c>
      <c r="AF268" s="786" t="s">
        <v>64</v>
      </c>
      <c r="AG268" s="34" t="s">
        <v>64</v>
      </c>
      <c r="AH268" s="32">
        <f t="shared" si="201"/>
        <v>60.273149826982078</v>
      </c>
      <c r="AI268" s="9">
        <v>49.428262342152877</v>
      </c>
      <c r="AJ268" s="9">
        <v>2.4224286970851985</v>
      </c>
      <c r="AK268" s="9">
        <v>12.685397688784636</v>
      </c>
      <c r="AL268" s="9">
        <v>11.947345539839647</v>
      </c>
      <c r="AM268" s="9">
        <v>0.16580897592736754</v>
      </c>
      <c r="AN268" s="9">
        <v>10.166921109302486</v>
      </c>
      <c r="AO268" s="9">
        <v>10.289255780565972</v>
      </c>
      <c r="AP268" s="9">
        <v>2.2020240827427222</v>
      </c>
      <c r="AQ268" s="9">
        <v>0.43272098595678843</v>
      </c>
      <c r="AR268" s="9">
        <v>0.21433843229635313</v>
      </c>
      <c r="AS268" s="6" t="s">
        <v>64</v>
      </c>
      <c r="AT268" s="6">
        <v>454.96365345924016</v>
      </c>
      <c r="AU268" s="9">
        <v>98.908999999999992</v>
      </c>
      <c r="AV268" s="8">
        <f t="shared" si="202"/>
        <v>2.3901509581448965</v>
      </c>
      <c r="AW268" s="9">
        <f t="shared" si="203"/>
        <v>9.7968233426685103</v>
      </c>
      <c r="AX268" s="8" t="s">
        <v>64</v>
      </c>
      <c r="AY268" s="789" t="s">
        <v>64</v>
      </c>
      <c r="AZ268" s="6" t="s">
        <v>64</v>
      </c>
      <c r="BA268" s="48" t="s">
        <v>64</v>
      </c>
      <c r="BB268" s="48" t="s">
        <v>64</v>
      </c>
      <c r="BC268" s="48" t="s">
        <v>64</v>
      </c>
      <c r="BD268" s="849" t="s">
        <v>64</v>
      </c>
      <c r="BE268" s="48" t="s">
        <v>64</v>
      </c>
      <c r="BF268" s="773" t="s">
        <v>64</v>
      </c>
      <c r="BG268" s="880" t="s">
        <v>64</v>
      </c>
      <c r="BH268" s="880" t="s">
        <v>64</v>
      </c>
      <c r="BI268" s="850" t="str">
        <f t="shared" si="204"/>
        <v>-</v>
      </c>
      <c r="BJ268" s="789" t="str">
        <f t="shared" si="205"/>
        <v>-</v>
      </c>
      <c r="BK268" s="563" t="s">
        <v>64</v>
      </c>
      <c r="BL268" s="48" t="s">
        <v>64</v>
      </c>
      <c r="BM268" s="48" t="s">
        <v>64</v>
      </c>
      <c r="BN268" s="47" t="s">
        <v>64</v>
      </c>
      <c r="BO268" s="789" t="s">
        <v>64</v>
      </c>
      <c r="BP268" s="789" t="s">
        <v>64</v>
      </c>
      <c r="BQ268" s="34" t="s">
        <v>64</v>
      </c>
      <c r="BR268" s="25">
        <v>2.7239836072570949</v>
      </c>
      <c r="BS268" s="26">
        <v>3.0051702639736169</v>
      </c>
      <c r="BT268" s="603"/>
      <c r="BU268" s="599" t="s">
        <v>309</v>
      </c>
      <c r="BV268" s="851" t="s">
        <v>309</v>
      </c>
      <c r="BW268" s="851" t="s">
        <v>309</v>
      </c>
      <c r="BX268" s="851" t="s">
        <v>309</v>
      </c>
      <c r="BY268" s="851" t="s">
        <v>309</v>
      </c>
      <c r="BZ268" s="851" t="s">
        <v>309</v>
      </c>
      <c r="CA268" s="851" t="s">
        <v>309</v>
      </c>
      <c r="CB268" s="851" t="s">
        <v>309</v>
      </c>
      <c r="CC268" s="851" t="s">
        <v>309</v>
      </c>
      <c r="CD268" s="851" t="s">
        <v>309</v>
      </c>
      <c r="CE268" s="852" t="s">
        <v>64</v>
      </c>
      <c r="CF268" s="852" t="s">
        <v>309</v>
      </c>
      <c r="CG268" s="603"/>
      <c r="CH268" s="584">
        <v>48.889000000000003</v>
      </c>
      <c r="CI268" s="576">
        <v>2.3959999999999999</v>
      </c>
      <c r="CJ268" s="576">
        <v>12.547000000000001</v>
      </c>
      <c r="CK268" s="576">
        <v>11.817</v>
      </c>
      <c r="CL268" s="576">
        <v>0.16400000000000001</v>
      </c>
      <c r="CM268" s="576">
        <v>10.055999999999999</v>
      </c>
      <c r="CN268" s="576">
        <v>10.177</v>
      </c>
      <c r="CO268" s="576">
        <v>2.1779999999999999</v>
      </c>
      <c r="CP268" s="576">
        <v>0.42799999999999999</v>
      </c>
      <c r="CQ268" s="576">
        <v>0.21199999999999999</v>
      </c>
      <c r="CR268" s="857" t="s">
        <v>64</v>
      </c>
      <c r="CS268" s="793">
        <v>450</v>
      </c>
      <c r="CT268" s="576">
        <f t="shared" si="206"/>
        <v>98.908999999999992</v>
      </c>
      <c r="CU268" s="855" t="s">
        <v>64</v>
      </c>
      <c r="CV268" s="592" t="s">
        <v>64</v>
      </c>
      <c r="CW268" s="603"/>
      <c r="CX268" s="946" t="s">
        <v>64</v>
      </c>
      <c r="CY268" s="944" t="s">
        <v>64</v>
      </c>
      <c r="CZ268" s="944" t="s">
        <v>64</v>
      </c>
      <c r="DA268" s="938" t="str">
        <f t="shared" si="207"/>
        <v>-</v>
      </c>
      <c r="DB268" s="946" t="s">
        <v>64</v>
      </c>
      <c r="DC268" s="944" t="s">
        <v>64</v>
      </c>
      <c r="DD268" s="944" t="s">
        <v>64</v>
      </c>
      <c r="DE268" s="939" t="str">
        <f t="shared" si="208"/>
        <v>-</v>
      </c>
      <c r="DF268" s="9"/>
    </row>
    <row r="269" spans="1:110">
      <c r="A269" s="846" t="s">
        <v>966</v>
      </c>
      <c r="B269" s="41" t="s">
        <v>679</v>
      </c>
      <c r="C269" s="41" t="s">
        <v>1488</v>
      </c>
      <c r="D269" s="34" t="s">
        <v>736</v>
      </c>
      <c r="E269" s="535">
        <v>19.389810000000001</v>
      </c>
      <c r="F269" s="537">
        <v>-155.29229000000001</v>
      </c>
      <c r="G269" s="34" t="s">
        <v>935</v>
      </c>
      <c r="H269" s="37" t="s">
        <v>64</v>
      </c>
      <c r="I269" s="202" t="s">
        <v>64</v>
      </c>
      <c r="J269" t="s">
        <v>964</v>
      </c>
      <c r="K269" s="34">
        <v>2001</v>
      </c>
      <c r="L269" s="39" t="s">
        <v>64</v>
      </c>
      <c r="M269" s="34" t="s">
        <v>64</v>
      </c>
      <c r="N269" s="879" t="s">
        <v>64</v>
      </c>
      <c r="O269" s="879" t="s">
        <v>64</v>
      </c>
      <c r="P269" s="775" t="s">
        <v>64</v>
      </c>
      <c r="Q269" s="879" t="s">
        <v>64</v>
      </c>
      <c r="R269" s="28" t="s">
        <v>64</v>
      </c>
      <c r="S269" s="33" t="s">
        <v>64</v>
      </c>
      <c r="T269" s="861" t="s">
        <v>935</v>
      </c>
      <c r="U269" s="28" t="s">
        <v>64</v>
      </c>
      <c r="V269" s="26" t="s">
        <v>64</v>
      </c>
      <c r="W269" s="26" t="s">
        <v>64</v>
      </c>
      <c r="X269" s="775" t="s">
        <v>64</v>
      </c>
      <c r="Y269" s="879" t="s">
        <v>64</v>
      </c>
      <c r="Z269" s="879" t="s">
        <v>64</v>
      </c>
      <c r="AA269" s="879" t="s">
        <v>64</v>
      </c>
      <c r="AB269" s="32" t="s">
        <v>64</v>
      </c>
      <c r="AC269" s="6">
        <f t="shared" si="199"/>
        <v>1210.7589</v>
      </c>
      <c r="AD269" s="20" t="s">
        <v>64</v>
      </c>
      <c r="AE269" s="6" t="str">
        <f t="shared" si="200"/>
        <v>-</v>
      </c>
      <c r="AF269" s="786" t="s">
        <v>64</v>
      </c>
      <c r="AG269" s="34" t="s">
        <v>64</v>
      </c>
      <c r="AH269" s="32">
        <f t="shared" si="201"/>
        <v>60.227895743708558</v>
      </c>
      <c r="AI269" s="9">
        <v>49.688033493211933</v>
      </c>
      <c r="AJ269" s="9">
        <v>2.4408584667913176</v>
      </c>
      <c r="AK269" s="9">
        <v>12.740834078530201</v>
      </c>
      <c r="AL269" s="9">
        <v>11.711446223884238</v>
      </c>
      <c r="AM269" s="9">
        <v>0.18494431347044957</v>
      </c>
      <c r="AN269" s="9">
        <v>9.947362003089177</v>
      </c>
      <c r="AO269" s="9">
        <v>10.444272823347697</v>
      </c>
      <c r="AP269" s="9">
        <v>2.1990082107145761</v>
      </c>
      <c r="AQ269" s="9">
        <v>0.37293715958052193</v>
      </c>
      <c r="AR269" s="9">
        <v>0.21542963986667754</v>
      </c>
      <c r="AS269" s="6" t="s">
        <v>64</v>
      </c>
      <c r="AT269" s="6">
        <v>548.73587513210305</v>
      </c>
      <c r="AU269" s="9">
        <v>98.40800000000003</v>
      </c>
      <c r="AV269" s="8">
        <f t="shared" si="202"/>
        <v>2.3429576318803815</v>
      </c>
      <c r="AW269" s="9">
        <f t="shared" si="203"/>
        <v>9.6033859035850746</v>
      </c>
      <c r="AX269" s="8" t="s">
        <v>64</v>
      </c>
      <c r="AY269" s="789" t="s">
        <v>64</v>
      </c>
      <c r="AZ269" s="6" t="s">
        <v>64</v>
      </c>
      <c r="BA269" s="48" t="s">
        <v>64</v>
      </c>
      <c r="BB269" s="48" t="s">
        <v>64</v>
      </c>
      <c r="BC269" s="48" t="s">
        <v>64</v>
      </c>
      <c r="BD269" s="849" t="s">
        <v>64</v>
      </c>
      <c r="BE269" s="48" t="s">
        <v>64</v>
      </c>
      <c r="BF269" s="773" t="s">
        <v>64</v>
      </c>
      <c r="BG269" s="880" t="s">
        <v>64</v>
      </c>
      <c r="BH269" s="880" t="s">
        <v>64</v>
      </c>
      <c r="BI269" s="850" t="str">
        <f t="shared" si="204"/>
        <v>-</v>
      </c>
      <c r="BJ269" s="789" t="str">
        <f t="shared" si="205"/>
        <v>-</v>
      </c>
      <c r="BK269" s="563" t="s">
        <v>64</v>
      </c>
      <c r="BL269" s="48" t="s">
        <v>64</v>
      </c>
      <c r="BM269" s="48" t="s">
        <v>64</v>
      </c>
      <c r="BN269" s="47" t="s">
        <v>64</v>
      </c>
      <c r="BO269" s="789" t="s">
        <v>64</v>
      </c>
      <c r="BP269" s="789" t="s">
        <v>64</v>
      </c>
      <c r="BQ269" s="34" t="s">
        <v>64</v>
      </c>
      <c r="BR269" s="25">
        <v>2.7201744265278558</v>
      </c>
      <c r="BS269" s="26">
        <v>2.9970367470080799</v>
      </c>
      <c r="BT269" s="603"/>
      <c r="BU269" s="599" t="s">
        <v>309</v>
      </c>
      <c r="BV269" s="851" t="s">
        <v>309</v>
      </c>
      <c r="BW269" s="851" t="s">
        <v>309</v>
      </c>
      <c r="BX269" s="851" t="s">
        <v>309</v>
      </c>
      <c r="BY269" s="851" t="s">
        <v>309</v>
      </c>
      <c r="BZ269" s="851" t="s">
        <v>309</v>
      </c>
      <c r="CA269" s="851" t="s">
        <v>309</v>
      </c>
      <c r="CB269" s="851" t="s">
        <v>309</v>
      </c>
      <c r="CC269" s="851" t="s">
        <v>309</v>
      </c>
      <c r="CD269" s="851" t="s">
        <v>309</v>
      </c>
      <c r="CE269" s="852" t="s">
        <v>64</v>
      </c>
      <c r="CF269" s="852" t="s">
        <v>309</v>
      </c>
      <c r="CG269" s="603"/>
      <c r="CH269" s="584">
        <v>48.896999999999998</v>
      </c>
      <c r="CI269" s="576">
        <v>2.4020000000000001</v>
      </c>
      <c r="CJ269" s="576">
        <v>12.538</v>
      </c>
      <c r="CK269" s="576">
        <v>11.525</v>
      </c>
      <c r="CL269" s="576">
        <v>0.182</v>
      </c>
      <c r="CM269" s="576">
        <v>9.7889999999999997</v>
      </c>
      <c r="CN269" s="576">
        <v>10.278</v>
      </c>
      <c r="CO269" s="576">
        <v>2.1640000000000001</v>
      </c>
      <c r="CP269" s="576">
        <v>0.36699999999999999</v>
      </c>
      <c r="CQ269" s="576">
        <v>0.21199999999999999</v>
      </c>
      <c r="CR269" s="857" t="s">
        <v>64</v>
      </c>
      <c r="CS269" s="793">
        <v>540</v>
      </c>
      <c r="CT269" s="576">
        <f t="shared" si="206"/>
        <v>98.40800000000003</v>
      </c>
      <c r="CU269" s="855" t="s">
        <v>64</v>
      </c>
      <c r="CV269" s="592" t="s">
        <v>64</v>
      </c>
      <c r="CW269" s="603"/>
      <c r="CX269" s="946" t="s">
        <v>64</v>
      </c>
      <c r="CY269" s="944" t="s">
        <v>64</v>
      </c>
      <c r="CZ269" s="944" t="s">
        <v>64</v>
      </c>
      <c r="DA269" s="938" t="str">
        <f t="shared" si="207"/>
        <v>-</v>
      </c>
      <c r="DB269" s="946" t="s">
        <v>64</v>
      </c>
      <c r="DC269" s="944" t="s">
        <v>64</v>
      </c>
      <c r="DD269" s="944" t="s">
        <v>64</v>
      </c>
      <c r="DE269" s="939" t="str">
        <f t="shared" si="208"/>
        <v>-</v>
      </c>
      <c r="DF269" s="9"/>
    </row>
    <row r="270" spans="1:110">
      <c r="A270" s="846" t="s">
        <v>967</v>
      </c>
      <c r="B270" s="41" t="s">
        <v>679</v>
      </c>
      <c r="C270" s="41" t="s">
        <v>1488</v>
      </c>
      <c r="D270" s="34" t="s">
        <v>736</v>
      </c>
      <c r="E270" s="535">
        <v>19.389810000000001</v>
      </c>
      <c r="F270" s="537">
        <v>-155.29229000000001</v>
      </c>
      <c r="G270" s="34" t="s">
        <v>935</v>
      </c>
      <c r="H270" s="37" t="s">
        <v>64</v>
      </c>
      <c r="I270" s="202" t="s">
        <v>64</v>
      </c>
      <c r="J270" t="s">
        <v>964</v>
      </c>
      <c r="K270" s="34">
        <v>2001</v>
      </c>
      <c r="L270" s="39" t="s">
        <v>64</v>
      </c>
      <c r="M270" s="34" t="s">
        <v>64</v>
      </c>
      <c r="N270" s="879" t="s">
        <v>64</v>
      </c>
      <c r="O270" s="879" t="s">
        <v>64</v>
      </c>
      <c r="P270" s="775" t="s">
        <v>64</v>
      </c>
      <c r="Q270" s="879" t="s">
        <v>64</v>
      </c>
      <c r="R270" s="28" t="s">
        <v>64</v>
      </c>
      <c r="S270" s="33" t="s">
        <v>64</v>
      </c>
      <c r="T270" s="861" t="s">
        <v>935</v>
      </c>
      <c r="U270" s="28" t="s">
        <v>64</v>
      </c>
      <c r="V270" s="26" t="s">
        <v>64</v>
      </c>
      <c r="W270" s="26" t="s">
        <v>64</v>
      </c>
      <c r="X270" s="775" t="s">
        <v>64</v>
      </c>
      <c r="Y270" s="879" t="s">
        <v>64</v>
      </c>
      <c r="Z270" s="879" t="s">
        <v>64</v>
      </c>
      <c r="AA270" s="879" t="s">
        <v>64</v>
      </c>
      <c r="AB270" s="32" t="s">
        <v>64</v>
      </c>
      <c r="AC270" s="6">
        <f t="shared" si="199"/>
        <v>1203.9048</v>
      </c>
      <c r="AD270" s="20" t="s">
        <v>64</v>
      </c>
      <c r="AE270" s="6" t="str">
        <f t="shared" si="200"/>
        <v>-</v>
      </c>
      <c r="AF270" s="786" t="s">
        <v>64</v>
      </c>
      <c r="AG270" s="34" t="s">
        <v>64</v>
      </c>
      <c r="AH270" s="32">
        <f t="shared" si="201"/>
        <v>58.72764164551883</v>
      </c>
      <c r="AI270" s="9">
        <v>49.708513825351204</v>
      </c>
      <c r="AJ270" s="9">
        <v>2.446257236549128</v>
      </c>
      <c r="AK270" s="9">
        <v>12.7515080361119</v>
      </c>
      <c r="AL270" s="9">
        <v>11.98129630379337</v>
      </c>
      <c r="AM270" s="9">
        <v>0.17914254483624145</v>
      </c>
      <c r="AN270" s="9">
        <v>9.5623658961175675</v>
      </c>
      <c r="AO270" s="9">
        <v>10.613942755354037</v>
      </c>
      <c r="AP270" s="9">
        <v>2.0869600421035588</v>
      </c>
      <c r="AQ270" s="9">
        <v>0.36840613740334405</v>
      </c>
      <c r="AR270" s="9">
        <v>0.21051779280191088</v>
      </c>
      <c r="AS270" s="6" t="s">
        <v>64</v>
      </c>
      <c r="AT270" s="6">
        <v>910.89429577749911</v>
      </c>
      <c r="AU270" s="9">
        <v>98.803999999999988</v>
      </c>
      <c r="AV270" s="8">
        <f t="shared" si="202"/>
        <v>2.3969430485488399</v>
      </c>
      <c r="AW270" s="9">
        <f t="shared" si="203"/>
        <v>9.8246629691105642</v>
      </c>
      <c r="AX270" s="8" t="s">
        <v>64</v>
      </c>
      <c r="AY270" s="789" t="s">
        <v>64</v>
      </c>
      <c r="AZ270" s="6" t="s">
        <v>64</v>
      </c>
      <c r="BA270" s="48" t="s">
        <v>64</v>
      </c>
      <c r="BB270" s="48" t="s">
        <v>64</v>
      </c>
      <c r="BC270" s="48" t="s">
        <v>64</v>
      </c>
      <c r="BD270" s="849" t="s">
        <v>64</v>
      </c>
      <c r="BE270" s="48" t="s">
        <v>64</v>
      </c>
      <c r="BF270" s="773" t="s">
        <v>64</v>
      </c>
      <c r="BG270" s="880" t="s">
        <v>64</v>
      </c>
      <c r="BH270" s="880" t="s">
        <v>64</v>
      </c>
      <c r="BI270" s="850" t="str">
        <f t="shared" si="204"/>
        <v>-</v>
      </c>
      <c r="BJ270" s="789" t="str">
        <f t="shared" si="205"/>
        <v>-</v>
      </c>
      <c r="BK270" s="563" t="s">
        <v>64</v>
      </c>
      <c r="BL270" s="48" t="s">
        <v>64</v>
      </c>
      <c r="BM270" s="48" t="s">
        <v>64</v>
      </c>
      <c r="BN270" s="47" t="s">
        <v>64</v>
      </c>
      <c r="BO270" s="789" t="s">
        <v>64</v>
      </c>
      <c r="BP270" s="789" t="s">
        <v>64</v>
      </c>
      <c r="BQ270" s="34" t="s">
        <v>64</v>
      </c>
      <c r="BR270" s="25">
        <v>2.724624421038365</v>
      </c>
      <c r="BS270" s="26">
        <v>2.998061603628678</v>
      </c>
      <c r="BT270" s="603"/>
      <c r="BU270" s="599" t="s">
        <v>309</v>
      </c>
      <c r="BV270" s="851" t="s">
        <v>309</v>
      </c>
      <c r="BW270" s="851" t="s">
        <v>309</v>
      </c>
      <c r="BX270" s="851" t="s">
        <v>309</v>
      </c>
      <c r="BY270" s="851" t="s">
        <v>309</v>
      </c>
      <c r="BZ270" s="851" t="s">
        <v>309</v>
      </c>
      <c r="CA270" s="851" t="s">
        <v>309</v>
      </c>
      <c r="CB270" s="851" t="s">
        <v>309</v>
      </c>
      <c r="CC270" s="851" t="s">
        <v>309</v>
      </c>
      <c r="CD270" s="851" t="s">
        <v>309</v>
      </c>
      <c r="CE270" s="852" t="s">
        <v>64</v>
      </c>
      <c r="CF270" s="852" t="s">
        <v>309</v>
      </c>
      <c r="CG270" s="603"/>
      <c r="CH270" s="584">
        <v>49.113999999999997</v>
      </c>
      <c r="CI270" s="576">
        <v>2.4169999999999998</v>
      </c>
      <c r="CJ270" s="576">
        <v>12.599</v>
      </c>
      <c r="CK270" s="576">
        <v>11.837999999999999</v>
      </c>
      <c r="CL270" s="576">
        <v>0.17699999999999999</v>
      </c>
      <c r="CM270" s="576">
        <v>9.4480000000000004</v>
      </c>
      <c r="CN270" s="576">
        <v>10.487</v>
      </c>
      <c r="CO270" s="576">
        <v>2.0619999999999998</v>
      </c>
      <c r="CP270" s="576">
        <v>0.36399999999999999</v>
      </c>
      <c r="CQ270" s="576">
        <v>0.20799999999999999</v>
      </c>
      <c r="CR270" s="857" t="s">
        <v>64</v>
      </c>
      <c r="CS270" s="793">
        <v>900</v>
      </c>
      <c r="CT270" s="576">
        <f t="shared" si="206"/>
        <v>98.803999999999988</v>
      </c>
      <c r="CU270" s="855" t="s">
        <v>64</v>
      </c>
      <c r="CV270" s="592" t="s">
        <v>64</v>
      </c>
      <c r="CW270" s="603"/>
      <c r="CX270" s="946" t="s">
        <v>64</v>
      </c>
      <c r="CY270" s="944" t="s">
        <v>64</v>
      </c>
      <c r="CZ270" s="944" t="s">
        <v>64</v>
      </c>
      <c r="DA270" s="938" t="str">
        <f t="shared" si="207"/>
        <v>-</v>
      </c>
      <c r="DB270" s="946" t="s">
        <v>64</v>
      </c>
      <c r="DC270" s="944" t="s">
        <v>64</v>
      </c>
      <c r="DD270" s="944" t="s">
        <v>64</v>
      </c>
      <c r="DE270" s="939" t="str">
        <f t="shared" si="208"/>
        <v>-</v>
      </c>
      <c r="DF270" s="9"/>
    </row>
    <row r="271" spans="1:110">
      <c r="A271" s="846" t="s">
        <v>968</v>
      </c>
      <c r="B271" s="41" t="s">
        <v>679</v>
      </c>
      <c r="C271" s="41" t="s">
        <v>1488</v>
      </c>
      <c r="D271" s="34" t="s">
        <v>736</v>
      </c>
      <c r="E271" s="535">
        <v>19.389810000000001</v>
      </c>
      <c r="F271" s="537">
        <v>-155.29229000000001</v>
      </c>
      <c r="G271" s="37" t="s">
        <v>935</v>
      </c>
      <c r="H271" s="37" t="s">
        <v>64</v>
      </c>
      <c r="I271" s="202" t="s">
        <v>64</v>
      </c>
      <c r="J271" t="s">
        <v>877</v>
      </c>
      <c r="K271" s="870">
        <v>43053</v>
      </c>
      <c r="L271" s="51" t="s">
        <v>64</v>
      </c>
      <c r="M271" s="52" t="s">
        <v>64</v>
      </c>
      <c r="N271" s="838" t="s">
        <v>64</v>
      </c>
      <c r="O271" s="54" t="s">
        <v>64</v>
      </c>
      <c r="P271" s="779" t="s">
        <v>64</v>
      </c>
      <c r="Q271" s="54" t="s">
        <v>64</v>
      </c>
      <c r="R271" s="772" t="s">
        <v>64</v>
      </c>
      <c r="S271" s="624" t="s">
        <v>64</v>
      </c>
      <c r="T271" s="861" t="s">
        <v>935</v>
      </c>
      <c r="U271" s="21" t="s">
        <v>64</v>
      </c>
      <c r="V271" s="552" t="s">
        <v>64</v>
      </c>
      <c r="W271" s="552" t="s">
        <v>64</v>
      </c>
      <c r="X271" s="779" t="s">
        <v>64</v>
      </c>
      <c r="Y271" s="54" t="s">
        <v>64</v>
      </c>
      <c r="Z271" s="54" t="s">
        <v>64</v>
      </c>
      <c r="AA271" s="54" t="s">
        <v>64</v>
      </c>
      <c r="AB271" s="32" t="s">
        <v>64</v>
      </c>
      <c r="AC271" s="6">
        <f t="shared" si="199"/>
        <v>1209.5693820000001</v>
      </c>
      <c r="AD271" s="20" t="s">
        <v>64</v>
      </c>
      <c r="AE271" s="6" t="str">
        <f t="shared" si="200"/>
        <v>-</v>
      </c>
      <c r="AF271" s="885" t="s">
        <v>64</v>
      </c>
      <c r="AG271" s="772" t="s">
        <v>64</v>
      </c>
      <c r="AH271" s="32">
        <f t="shared" si="201"/>
        <v>61.143754438319831</v>
      </c>
      <c r="AI271" s="9">
        <v>51.311231003375987</v>
      </c>
      <c r="AJ271" s="9">
        <v>2.1752181491953091</v>
      </c>
      <c r="AK271" s="9">
        <v>12.79985763007053</v>
      </c>
      <c r="AL271" s="9">
        <v>11.004262014094888</v>
      </c>
      <c r="AM271" s="9">
        <v>0.17000461316743368</v>
      </c>
      <c r="AN271" s="9">
        <v>9.7124872894330245</v>
      </c>
      <c r="AO271" s="9">
        <v>9.9292404760312856</v>
      </c>
      <c r="AP271" s="9">
        <v>2.1852302817438054</v>
      </c>
      <c r="AQ271" s="9">
        <v>0.44502781226678501</v>
      </c>
      <c r="AR271" s="9">
        <v>0.21557329221418042</v>
      </c>
      <c r="AS271" s="6">
        <v>145.49036081190229</v>
      </c>
      <c r="AT271" s="6">
        <v>373.18402325577824</v>
      </c>
      <c r="AU271" s="9">
        <v>100.17845800000002</v>
      </c>
      <c r="AV271" s="8">
        <f t="shared" si="202"/>
        <v>2.2014804300218973</v>
      </c>
      <c r="AW271" s="9">
        <f t="shared" si="203"/>
        <v>9.0234948515578086</v>
      </c>
      <c r="AX271" s="8">
        <v>0.12957339157913036</v>
      </c>
      <c r="AY271" s="789">
        <v>6.4786695789565184E-3</v>
      </c>
      <c r="AZ271" s="6" t="s">
        <v>292</v>
      </c>
      <c r="BA271" s="48" t="s">
        <v>64</v>
      </c>
      <c r="BB271" s="48" t="s">
        <v>64</v>
      </c>
      <c r="BC271" s="48" t="s">
        <v>64</v>
      </c>
      <c r="BD271" s="849" t="s">
        <v>64</v>
      </c>
      <c r="BE271" s="48" t="s">
        <v>64</v>
      </c>
      <c r="BF271" s="773" t="s">
        <v>64</v>
      </c>
      <c r="BG271" s="880" t="s">
        <v>64</v>
      </c>
      <c r="BH271" s="880" t="s">
        <v>64</v>
      </c>
      <c r="BI271" s="850" t="str">
        <f t="shared" si="204"/>
        <v>-</v>
      </c>
      <c r="BJ271" s="789" t="str">
        <f t="shared" si="205"/>
        <v>-</v>
      </c>
      <c r="BK271" s="563" t="s">
        <v>64</v>
      </c>
      <c r="BL271" s="48" t="s">
        <v>64</v>
      </c>
      <c r="BM271" s="48" t="s">
        <v>64</v>
      </c>
      <c r="BN271" s="47" t="s">
        <v>64</v>
      </c>
      <c r="BO271" s="789" t="s">
        <v>64</v>
      </c>
      <c r="BP271" s="789" t="s">
        <v>64</v>
      </c>
      <c r="BQ271" s="34" t="s">
        <v>64</v>
      </c>
      <c r="BR271" s="25">
        <v>2.7011328412488509</v>
      </c>
      <c r="BS271" s="26">
        <v>2.958712994758455</v>
      </c>
      <c r="BT271" s="604"/>
      <c r="BU271" s="599">
        <v>0.13986774525517251</v>
      </c>
      <c r="BV271" s="851">
        <v>2.6261191193420047E-2</v>
      </c>
      <c r="BW271" s="851">
        <v>6.2512072692314749E-2</v>
      </c>
      <c r="BX271" s="851">
        <v>0.11757613791579823</v>
      </c>
      <c r="BY271" s="851">
        <v>5.6976876098452228E-3</v>
      </c>
      <c r="BZ271" s="851">
        <v>2.1498881989778684E-2</v>
      </c>
      <c r="CA271" s="851">
        <v>2.079192884921427E-2</v>
      </c>
      <c r="CB271" s="851">
        <v>3.1678846348383596E-2</v>
      </c>
      <c r="CC271" s="851">
        <v>1.1257690555787953E-2</v>
      </c>
      <c r="CD271" s="851">
        <v>6.7387564426276162E-3</v>
      </c>
      <c r="CE271" s="852">
        <v>22.105223460317184</v>
      </c>
      <c r="CF271" s="852">
        <v>17.672353331691333</v>
      </c>
      <c r="CG271" s="604"/>
      <c r="CH271" s="584">
        <v>51.402799999999999</v>
      </c>
      <c r="CI271" s="576">
        <v>2.1791</v>
      </c>
      <c r="CJ271" s="576">
        <v>12.822699999999999</v>
      </c>
      <c r="CK271" s="576">
        <v>11.023899999999999</v>
      </c>
      <c r="CL271" s="576">
        <v>0.17030799999999999</v>
      </c>
      <c r="CM271" s="576">
        <v>9.7298200000000001</v>
      </c>
      <c r="CN271" s="576">
        <v>9.9469600000000007</v>
      </c>
      <c r="CO271" s="576">
        <v>2.18913</v>
      </c>
      <c r="CP271" s="576">
        <v>0.445822</v>
      </c>
      <c r="CQ271" s="576">
        <v>0.21595800000000001</v>
      </c>
      <c r="CR271" s="857">
        <v>1.4574999999999999E-2</v>
      </c>
      <c r="CS271" s="793">
        <v>373.85</v>
      </c>
      <c r="CT271" s="576">
        <f t="shared" si="206"/>
        <v>100.17845800000002</v>
      </c>
      <c r="CU271" s="576">
        <v>0.12957339157913036</v>
      </c>
      <c r="CV271" s="592" t="s">
        <v>292</v>
      </c>
      <c r="CW271" s="604"/>
      <c r="CX271" s="946" t="s">
        <v>64</v>
      </c>
      <c r="CY271" s="944" t="s">
        <v>64</v>
      </c>
      <c r="CZ271" s="944" t="s">
        <v>64</v>
      </c>
      <c r="DA271" s="938" t="str">
        <f t="shared" si="207"/>
        <v>-</v>
      </c>
      <c r="DB271" s="946" t="s">
        <v>64</v>
      </c>
      <c r="DC271" s="944" t="s">
        <v>64</v>
      </c>
      <c r="DD271" s="944" t="s">
        <v>64</v>
      </c>
      <c r="DE271" s="939" t="str">
        <f t="shared" si="208"/>
        <v>-</v>
      </c>
      <c r="DF271" s="9"/>
    </row>
    <row r="272" spans="1:110">
      <c r="A272" s="846" t="s">
        <v>969</v>
      </c>
      <c r="B272" s="41" t="s">
        <v>679</v>
      </c>
      <c r="C272" s="41" t="s">
        <v>1488</v>
      </c>
      <c r="D272" s="34" t="s">
        <v>736</v>
      </c>
      <c r="E272" s="535">
        <v>19.389810000000001</v>
      </c>
      <c r="F272" s="537">
        <v>-155.29229000000001</v>
      </c>
      <c r="G272" s="37" t="s">
        <v>935</v>
      </c>
      <c r="H272" s="37" t="s">
        <v>64</v>
      </c>
      <c r="I272" s="202" t="s">
        <v>64</v>
      </c>
      <c r="J272" t="s">
        <v>877</v>
      </c>
      <c r="K272" s="870">
        <v>43053</v>
      </c>
      <c r="L272" s="51" t="s">
        <v>64</v>
      </c>
      <c r="M272" s="52" t="s">
        <v>64</v>
      </c>
      <c r="N272" s="838" t="s">
        <v>64</v>
      </c>
      <c r="O272" s="54" t="s">
        <v>64</v>
      </c>
      <c r="P272" s="779" t="s">
        <v>64</v>
      </c>
      <c r="Q272" s="54" t="s">
        <v>64</v>
      </c>
      <c r="R272" s="772" t="s">
        <v>64</v>
      </c>
      <c r="S272" s="624" t="s">
        <v>64</v>
      </c>
      <c r="T272" s="861" t="s">
        <v>935</v>
      </c>
      <c r="U272" s="21" t="s">
        <v>64</v>
      </c>
      <c r="V272" s="552" t="s">
        <v>64</v>
      </c>
      <c r="W272" s="552" t="s">
        <v>64</v>
      </c>
      <c r="X272" s="779" t="s">
        <v>64</v>
      </c>
      <c r="Y272" s="54" t="s">
        <v>64</v>
      </c>
      <c r="Z272" s="54" t="s">
        <v>64</v>
      </c>
      <c r="AA272" s="54" t="s">
        <v>64</v>
      </c>
      <c r="AB272" s="32" t="s">
        <v>64</v>
      </c>
      <c r="AC272" s="6">
        <f t="shared" si="199"/>
        <v>1209.942237</v>
      </c>
      <c r="AD272" s="20" t="s">
        <v>64</v>
      </c>
      <c r="AE272" s="6" t="str">
        <f t="shared" si="200"/>
        <v>-</v>
      </c>
      <c r="AF272" s="885" t="s">
        <v>64</v>
      </c>
      <c r="AG272" s="772" t="s">
        <v>64</v>
      </c>
      <c r="AH272" s="32">
        <f t="shared" si="201"/>
        <v>62.040401573617494</v>
      </c>
      <c r="AI272" s="9">
        <v>50.996908091273497</v>
      </c>
      <c r="AJ272" s="9">
        <v>2.1868931744588984</v>
      </c>
      <c r="AK272" s="9">
        <v>13.172954092992271</v>
      </c>
      <c r="AL272" s="9">
        <v>10.645457532186512</v>
      </c>
      <c r="AM272" s="9">
        <v>0.170611023194536</v>
      </c>
      <c r="AN272" s="9">
        <v>9.7587815464440837</v>
      </c>
      <c r="AO272" s="9">
        <v>10.117794573852896</v>
      </c>
      <c r="AP272" s="9">
        <v>2.2410109121320443</v>
      </c>
      <c r="AQ272" s="9">
        <v>0.43194784083190513</v>
      </c>
      <c r="AR272" s="9">
        <v>0.21850211772437891</v>
      </c>
      <c r="AS272" s="6">
        <v>146.4862847523394</v>
      </c>
      <c r="AT272" s="6">
        <v>444.90466433733485</v>
      </c>
      <c r="AU272" s="9">
        <v>99.893311000000011</v>
      </c>
      <c r="AV272" s="8">
        <f t="shared" si="202"/>
        <v>2.1296990562129419</v>
      </c>
      <c r="AW272" s="9">
        <f t="shared" si="203"/>
        <v>8.7292751763929406</v>
      </c>
      <c r="AX272" s="8" t="s">
        <v>64</v>
      </c>
      <c r="AY272" s="789" t="s">
        <v>64</v>
      </c>
      <c r="AZ272" s="6" t="s">
        <v>64</v>
      </c>
      <c r="BA272" s="48" t="s">
        <v>64</v>
      </c>
      <c r="BB272" s="48" t="s">
        <v>64</v>
      </c>
      <c r="BC272" s="48" t="s">
        <v>64</v>
      </c>
      <c r="BD272" s="849" t="s">
        <v>64</v>
      </c>
      <c r="BE272" s="48" t="s">
        <v>64</v>
      </c>
      <c r="BF272" s="773" t="s">
        <v>64</v>
      </c>
      <c r="BG272" s="880" t="s">
        <v>64</v>
      </c>
      <c r="BH272" s="880" t="s">
        <v>64</v>
      </c>
      <c r="BI272" s="850" t="str">
        <f t="shared" si="204"/>
        <v>-</v>
      </c>
      <c r="BJ272" s="789" t="str">
        <f t="shared" si="205"/>
        <v>-</v>
      </c>
      <c r="BK272" s="563" t="s">
        <v>64</v>
      </c>
      <c r="BL272" s="48" t="s">
        <v>64</v>
      </c>
      <c r="BM272" s="48" t="s">
        <v>64</v>
      </c>
      <c r="BN272" s="47" t="s">
        <v>64</v>
      </c>
      <c r="BO272" s="789" t="s">
        <v>64</v>
      </c>
      <c r="BP272" s="789" t="s">
        <v>64</v>
      </c>
      <c r="BQ272" s="34" t="s">
        <v>64</v>
      </c>
      <c r="BR272" s="25">
        <v>2.699335589210671</v>
      </c>
      <c r="BS272" s="26">
        <v>2.9586399874227349</v>
      </c>
      <c r="BT272" s="604"/>
      <c r="BU272" s="599">
        <v>0.13978201510909974</v>
      </c>
      <c r="BV272" s="851">
        <v>2.6940774394794059E-2</v>
      </c>
      <c r="BW272" s="851">
        <v>6.3497854073532506E-2</v>
      </c>
      <c r="BX272" s="851">
        <v>0.11594074252879653</v>
      </c>
      <c r="BY272" s="851">
        <v>5.6918055280998732E-3</v>
      </c>
      <c r="BZ272" s="851">
        <v>2.1560759185267165E-2</v>
      </c>
      <c r="CA272" s="851">
        <v>2.1017998202101838E-2</v>
      </c>
      <c r="CB272" s="851">
        <v>3.2058557502413744E-2</v>
      </c>
      <c r="CC272" s="851">
        <v>1.1196606371771979E-2</v>
      </c>
      <c r="CD272" s="851">
        <v>6.7087360711269228E-3</v>
      </c>
      <c r="CE272" s="852">
        <v>22.432323701834246</v>
      </c>
      <c r="CF272" s="852">
        <v>17.628146081773181</v>
      </c>
      <c r="CG272" s="604"/>
      <c r="CH272" s="584">
        <v>50.942500000000003</v>
      </c>
      <c r="CI272" s="576">
        <v>2.1845599999999998</v>
      </c>
      <c r="CJ272" s="576">
        <v>13.158899999999999</v>
      </c>
      <c r="CK272" s="576">
        <v>10.6341</v>
      </c>
      <c r="CL272" s="576">
        <v>0.170429</v>
      </c>
      <c r="CM272" s="576">
        <v>9.7483699999999995</v>
      </c>
      <c r="CN272" s="576">
        <v>10.106999999999999</v>
      </c>
      <c r="CO272" s="576">
        <v>2.2386200000000001</v>
      </c>
      <c r="CP272" s="576">
        <v>0.43148700000000001</v>
      </c>
      <c r="CQ272" s="576">
        <v>0.21826899999999999</v>
      </c>
      <c r="CR272" s="857">
        <v>1.4633E-2</v>
      </c>
      <c r="CS272" s="793">
        <v>444.43</v>
      </c>
      <c r="CT272" s="576">
        <f t="shared" si="206"/>
        <v>99.893311000000011</v>
      </c>
      <c r="CU272" s="576" t="s">
        <v>64</v>
      </c>
      <c r="CV272" s="592" t="s">
        <v>64</v>
      </c>
      <c r="CW272" s="604"/>
      <c r="CX272" s="946" t="s">
        <v>64</v>
      </c>
      <c r="CY272" s="944" t="s">
        <v>64</v>
      </c>
      <c r="CZ272" s="944" t="s">
        <v>64</v>
      </c>
      <c r="DA272" s="938" t="str">
        <f t="shared" si="207"/>
        <v>-</v>
      </c>
      <c r="DB272" s="946" t="s">
        <v>64</v>
      </c>
      <c r="DC272" s="944" t="s">
        <v>64</v>
      </c>
      <c r="DD272" s="944" t="s">
        <v>64</v>
      </c>
      <c r="DE272" s="939" t="str">
        <f t="shared" si="208"/>
        <v>-</v>
      </c>
      <c r="DF272" s="9"/>
    </row>
    <row r="273" spans="1:110">
      <c r="A273" s="846" t="s">
        <v>970</v>
      </c>
      <c r="B273" s="41" t="s">
        <v>679</v>
      </c>
      <c r="C273" s="41" t="s">
        <v>1488</v>
      </c>
      <c r="D273" s="34" t="s">
        <v>736</v>
      </c>
      <c r="E273" s="535">
        <v>19.389810000000001</v>
      </c>
      <c r="F273" s="537">
        <v>-155.29229000000001</v>
      </c>
      <c r="G273" s="37" t="s">
        <v>935</v>
      </c>
      <c r="H273" s="37" t="s">
        <v>64</v>
      </c>
      <c r="I273" s="202" t="s">
        <v>64</v>
      </c>
      <c r="J273" t="s">
        <v>877</v>
      </c>
      <c r="K273" s="870">
        <v>43053</v>
      </c>
      <c r="L273" s="51" t="s">
        <v>64</v>
      </c>
      <c r="M273" s="52" t="s">
        <v>64</v>
      </c>
      <c r="N273" s="838" t="s">
        <v>64</v>
      </c>
      <c r="O273" s="54" t="s">
        <v>64</v>
      </c>
      <c r="P273" s="779" t="s">
        <v>64</v>
      </c>
      <c r="Q273" s="54" t="s">
        <v>64</v>
      </c>
      <c r="R273" s="772" t="s">
        <v>64</v>
      </c>
      <c r="S273" s="624" t="s">
        <v>64</v>
      </c>
      <c r="T273" s="861" t="s">
        <v>935</v>
      </c>
      <c r="U273" s="21" t="s">
        <v>64</v>
      </c>
      <c r="V273" s="552" t="s">
        <v>64</v>
      </c>
      <c r="W273" s="552" t="s">
        <v>64</v>
      </c>
      <c r="X273" s="779" t="s">
        <v>64</v>
      </c>
      <c r="Y273" s="54" t="s">
        <v>64</v>
      </c>
      <c r="Z273" s="54" t="s">
        <v>64</v>
      </c>
      <c r="AA273" s="54" t="s">
        <v>64</v>
      </c>
      <c r="AB273" s="32" t="s">
        <v>64</v>
      </c>
      <c r="AC273" s="6">
        <f t="shared" si="199"/>
        <v>1146.4382969999999</v>
      </c>
      <c r="AD273" s="20" t="s">
        <v>64</v>
      </c>
      <c r="AE273" s="6" t="str">
        <f t="shared" si="200"/>
        <v>-</v>
      </c>
      <c r="AF273" s="885" t="s">
        <v>64</v>
      </c>
      <c r="AG273" s="772" t="s">
        <v>64</v>
      </c>
      <c r="AH273" s="32">
        <f t="shared" si="201"/>
        <v>51.051536217864381</v>
      </c>
      <c r="AI273" s="9">
        <v>51.182244005251356</v>
      </c>
      <c r="AJ273" s="9">
        <v>2.3854070955747595</v>
      </c>
      <c r="AK273" s="9">
        <v>14.184685792893523</v>
      </c>
      <c r="AL273" s="9">
        <v>11.396924775095547</v>
      </c>
      <c r="AM273" s="9">
        <v>0.16874398085554618</v>
      </c>
      <c r="AN273" s="9">
        <v>6.6670805827158137</v>
      </c>
      <c r="AO273" s="9">
        <v>11.00665239857031</v>
      </c>
      <c r="AP273" s="9">
        <v>2.26563384898598</v>
      </c>
      <c r="AQ273" s="9">
        <v>0.43524628453513364</v>
      </c>
      <c r="AR273" s="9">
        <v>0.23457727450730911</v>
      </c>
      <c r="AS273" s="6">
        <v>217.38687418377461</v>
      </c>
      <c r="AT273" s="6">
        <v>510.65273596316115</v>
      </c>
      <c r="AU273" s="9">
        <v>98.828414000000024</v>
      </c>
      <c r="AV273" s="8">
        <f t="shared" si="202"/>
        <v>2.2800353919842804</v>
      </c>
      <c r="AW273" s="9">
        <f t="shared" si="203"/>
        <v>9.345478315578351</v>
      </c>
      <c r="AX273" s="8" t="s">
        <v>64</v>
      </c>
      <c r="AY273" s="789" t="s">
        <v>64</v>
      </c>
      <c r="AZ273" s="6" t="s">
        <v>64</v>
      </c>
      <c r="BA273" s="48" t="s">
        <v>64</v>
      </c>
      <c r="BB273" s="48" t="s">
        <v>64</v>
      </c>
      <c r="BC273" s="48" t="s">
        <v>64</v>
      </c>
      <c r="BD273" s="849" t="s">
        <v>64</v>
      </c>
      <c r="BE273" s="48" t="s">
        <v>64</v>
      </c>
      <c r="BF273" s="773" t="s">
        <v>64</v>
      </c>
      <c r="BG273" s="880" t="s">
        <v>64</v>
      </c>
      <c r="BH273" s="880" t="s">
        <v>64</v>
      </c>
      <c r="BI273" s="850" t="str">
        <f t="shared" si="204"/>
        <v>-</v>
      </c>
      <c r="BJ273" s="789" t="str">
        <f t="shared" si="205"/>
        <v>-</v>
      </c>
      <c r="BK273" s="563" t="s">
        <v>64</v>
      </c>
      <c r="BL273" s="48" t="s">
        <v>64</v>
      </c>
      <c r="BM273" s="48" t="s">
        <v>64</v>
      </c>
      <c r="BN273" s="47" t="s">
        <v>64</v>
      </c>
      <c r="BO273" s="789" t="s">
        <v>64</v>
      </c>
      <c r="BP273" s="789" t="s">
        <v>64</v>
      </c>
      <c r="BQ273" s="34" t="s">
        <v>64</v>
      </c>
      <c r="BR273" s="25">
        <v>2.702132072629889</v>
      </c>
      <c r="BS273" s="26">
        <v>2.938486740590021</v>
      </c>
      <c r="BT273" s="604"/>
      <c r="BU273" s="599">
        <v>0.14038214703516338</v>
      </c>
      <c r="BV273" s="851">
        <v>2.8383004867405831E-2</v>
      </c>
      <c r="BW273" s="851">
        <v>6.6100352101167964E-2</v>
      </c>
      <c r="BX273" s="851">
        <v>0.1201999465255002</v>
      </c>
      <c r="BY273" s="851">
        <v>5.9023100879672082E-3</v>
      </c>
      <c r="BZ273" s="851">
        <v>1.8479147251113423E-2</v>
      </c>
      <c r="CA273" s="851">
        <v>2.2664238219992069E-2</v>
      </c>
      <c r="CB273" s="851">
        <v>3.2062117413925097E-2</v>
      </c>
      <c r="CC273" s="851">
        <v>1.1150792186647857E-2</v>
      </c>
      <c r="CD273" s="851">
        <v>7.0807854041854785E-3</v>
      </c>
      <c r="CE273" s="852">
        <v>25.620564830677125</v>
      </c>
      <c r="CF273" s="852">
        <v>18.614211400781958</v>
      </c>
      <c r="CG273" s="604"/>
      <c r="CH273" s="584">
        <v>50.582599999999999</v>
      </c>
      <c r="CI273" s="576">
        <v>2.3574600000000001</v>
      </c>
      <c r="CJ273" s="576">
        <v>14.0185</v>
      </c>
      <c r="CK273" s="576">
        <v>11.263400000000001</v>
      </c>
      <c r="CL273" s="576">
        <v>0.166767</v>
      </c>
      <c r="CM273" s="576">
        <v>6.5889699999999998</v>
      </c>
      <c r="CN273" s="576">
        <v>10.877700000000001</v>
      </c>
      <c r="CO273" s="576">
        <v>2.23909</v>
      </c>
      <c r="CP273" s="576">
        <v>0.430147</v>
      </c>
      <c r="CQ273" s="576">
        <v>0.23182900000000001</v>
      </c>
      <c r="CR273" s="857">
        <v>2.1484E-2</v>
      </c>
      <c r="CS273" s="793">
        <v>504.66999999999996</v>
      </c>
      <c r="CT273" s="576">
        <f t="shared" si="206"/>
        <v>98.828414000000024</v>
      </c>
      <c r="CU273" s="576" t="s">
        <v>64</v>
      </c>
      <c r="CV273" s="592" t="s">
        <v>64</v>
      </c>
      <c r="CW273" s="604"/>
      <c r="CX273" s="946" t="s">
        <v>64</v>
      </c>
      <c r="CY273" s="944" t="s">
        <v>64</v>
      </c>
      <c r="CZ273" s="944" t="s">
        <v>64</v>
      </c>
      <c r="DA273" s="938" t="str">
        <f t="shared" si="207"/>
        <v>-</v>
      </c>
      <c r="DB273" s="946" t="s">
        <v>64</v>
      </c>
      <c r="DC273" s="944" t="s">
        <v>64</v>
      </c>
      <c r="DD273" s="944" t="s">
        <v>64</v>
      </c>
      <c r="DE273" s="939" t="str">
        <f t="shared" si="208"/>
        <v>-</v>
      </c>
      <c r="DF273" s="9"/>
    </row>
    <row r="274" spans="1:110" ht="5.45" customHeight="1">
      <c r="A274" s="846"/>
      <c r="B274" s="41"/>
      <c r="C274" s="41"/>
      <c r="D274" s="34"/>
      <c r="E274" s="535"/>
      <c r="F274" s="537"/>
      <c r="G274" s="37"/>
      <c r="H274" s="37"/>
      <c r="I274" s="202"/>
      <c r="K274" s="870"/>
      <c r="L274" s="51"/>
      <c r="M274" s="52"/>
      <c r="N274" s="838"/>
      <c r="O274" s="54"/>
      <c r="P274" s="779"/>
      <c r="Q274" s="54"/>
      <c r="R274" s="772"/>
      <c r="S274" s="624"/>
      <c r="T274" s="861"/>
      <c r="U274" s="21"/>
      <c r="V274" s="552"/>
      <c r="W274" s="552"/>
      <c r="X274" s="779"/>
      <c r="Y274" s="54"/>
      <c r="Z274" s="54"/>
      <c r="AA274" s="54"/>
      <c r="AB274" s="32"/>
      <c r="AC274" s="6"/>
      <c r="AD274" s="6"/>
      <c r="AE274" s="6"/>
      <c r="AF274" s="839"/>
      <c r="AG274" s="553"/>
      <c r="AH274" s="32"/>
      <c r="AI274" s="9"/>
      <c r="AJ274" s="9"/>
      <c r="AK274" s="9"/>
      <c r="AL274" s="9"/>
      <c r="AM274" s="9"/>
      <c r="AN274" s="9"/>
      <c r="AO274" s="9"/>
      <c r="AP274" s="9"/>
      <c r="AQ274" s="9"/>
      <c r="AR274" s="9"/>
      <c r="AS274" s="6"/>
      <c r="AT274" s="6"/>
      <c r="AU274" s="9"/>
      <c r="AV274" s="8"/>
      <c r="AW274" s="9"/>
      <c r="AX274" s="8"/>
      <c r="AY274" s="787"/>
      <c r="AZ274" s="6"/>
      <c r="BB274" s="3"/>
      <c r="BD274" s="849"/>
      <c r="BF274" s="668"/>
      <c r="BG274" s="68"/>
      <c r="BH274" s="68"/>
      <c r="BI274" s="781"/>
      <c r="BK274" s="563"/>
      <c r="BL274" s="48"/>
      <c r="BM274" s="48"/>
      <c r="BN274" s="47"/>
      <c r="BO274" s="789"/>
      <c r="BP274" s="789"/>
      <c r="BQ274" s="34"/>
      <c r="BR274" s="25"/>
      <c r="BS274" s="26"/>
      <c r="BT274" s="604"/>
      <c r="BU274" s="598"/>
      <c r="BV274" s="790"/>
      <c r="BW274" s="790"/>
      <c r="BX274" s="790"/>
      <c r="BY274" s="790"/>
      <c r="BZ274" s="790"/>
      <c r="CA274" s="790"/>
      <c r="CB274" s="790"/>
      <c r="CC274" s="790"/>
      <c r="CD274" s="790"/>
      <c r="CE274" s="791"/>
      <c r="CF274" s="791"/>
      <c r="CG274" s="604"/>
      <c r="CH274" s="584"/>
      <c r="CI274" s="576"/>
      <c r="CJ274" s="576"/>
      <c r="CK274" s="576"/>
      <c r="CL274" s="576"/>
      <c r="CM274" s="576"/>
      <c r="CN274" s="576"/>
      <c r="CO274" s="576"/>
      <c r="CP274" s="576"/>
      <c r="CQ274" s="576"/>
      <c r="CR274" s="857"/>
      <c r="CS274" s="793"/>
      <c r="CT274" s="576"/>
      <c r="CU274" s="576"/>
      <c r="CV274" s="592"/>
      <c r="CW274" s="604"/>
      <c r="CX274" s="946"/>
      <c r="CY274" s="944"/>
      <c r="CZ274" s="944"/>
      <c r="DA274" s="948"/>
      <c r="DB274" s="946"/>
      <c r="DC274" s="944"/>
      <c r="DD274" s="944"/>
      <c r="DE274" s="949"/>
      <c r="DF274" s="9"/>
    </row>
    <row r="275" spans="1:110">
      <c r="A275" s="846" t="s">
        <v>971</v>
      </c>
      <c r="B275" s="41" t="s">
        <v>679</v>
      </c>
      <c r="C275" s="41" t="s">
        <v>1488</v>
      </c>
      <c r="D275" s="34" t="s">
        <v>736</v>
      </c>
      <c r="E275" s="535">
        <v>19.389810000000001</v>
      </c>
      <c r="F275" s="537">
        <v>-155.29229000000001</v>
      </c>
      <c r="G275" s="37" t="s">
        <v>946</v>
      </c>
      <c r="H275" s="37" t="s">
        <v>64</v>
      </c>
      <c r="I275" s="202" t="s">
        <v>64</v>
      </c>
      <c r="J275" t="s">
        <v>877</v>
      </c>
      <c r="K275" s="870">
        <v>43053</v>
      </c>
      <c r="L275" s="51" t="s">
        <v>64</v>
      </c>
      <c r="M275" s="52" t="s">
        <v>64</v>
      </c>
      <c r="N275" s="838" t="s">
        <v>64</v>
      </c>
      <c r="O275" s="54" t="s">
        <v>64</v>
      </c>
      <c r="P275" s="779" t="s">
        <v>64</v>
      </c>
      <c r="Q275" s="54" t="s">
        <v>64</v>
      </c>
      <c r="R275" s="772" t="s">
        <v>64</v>
      </c>
      <c r="S275" s="624" t="s">
        <v>64</v>
      </c>
      <c r="T275" s="861" t="s">
        <v>946</v>
      </c>
      <c r="U275" s="21" t="s">
        <v>64</v>
      </c>
      <c r="V275" s="552" t="s">
        <v>64</v>
      </c>
      <c r="W275" s="552" t="s">
        <v>64</v>
      </c>
      <c r="X275" s="779" t="s">
        <v>64</v>
      </c>
      <c r="Y275" s="54" t="s">
        <v>64</v>
      </c>
      <c r="Z275" s="54" t="s">
        <v>64</v>
      </c>
      <c r="AA275" s="54" t="s">
        <v>64</v>
      </c>
      <c r="AB275" s="32" t="s">
        <v>64</v>
      </c>
      <c r="AC275" s="6">
        <f t="shared" ref="AC275:AC280" si="209" xml:space="preserve"> 20.1*CM275+1014</f>
        <v>1128.72477</v>
      </c>
      <c r="AD275" s="20" t="s">
        <v>64</v>
      </c>
      <c r="AE275" s="6" t="str">
        <f t="shared" ref="AE275:AE280" si="210">IF(ISNUMBER(U275),0.02289*U275^3- 4.943*U275^2+ 358.6*U275-7620,"-")</f>
        <v>-</v>
      </c>
      <c r="AF275" s="885" t="s">
        <v>64</v>
      </c>
      <c r="AG275" s="772" t="s">
        <v>64</v>
      </c>
      <c r="AH275" s="32">
        <f t="shared" ref="AH275:AH280" si="211">100*(AN275/40.3)/((AN275/40.3)+(AL275/71.85))</f>
        <v>50.592261441437387</v>
      </c>
      <c r="AI275" s="9">
        <v>52.508104448173512</v>
      </c>
      <c r="AJ275" s="9">
        <v>2.4708988646152741</v>
      </c>
      <c r="AK275" s="9">
        <v>14.3803961207844</v>
      </c>
      <c r="AL275" s="9">
        <v>10.130406036734755</v>
      </c>
      <c r="AM275" s="9">
        <v>0.15992228626840521</v>
      </c>
      <c r="AN275" s="9">
        <v>5.8182749777488727</v>
      </c>
      <c r="AO275" s="9">
        <v>11.270493129716849</v>
      </c>
      <c r="AP275" s="9">
        <v>2.43782021243875</v>
      </c>
      <c r="AQ275" s="9">
        <v>0.47813993957952267</v>
      </c>
      <c r="AR275" s="9">
        <v>0.22919071686006054</v>
      </c>
      <c r="AS275" s="6">
        <v>179.04266466209015</v>
      </c>
      <c r="AT275" s="6">
        <v>984.49000613387273</v>
      </c>
      <c r="AU275" s="9">
        <v>98.099522999999991</v>
      </c>
      <c r="AV275" s="8">
        <f t="shared" ref="AV275:AV280" si="212">IF(ISNUMBER(AL275),(AL275/71.84)*(0.18/2)*159.69,"-")</f>
        <v>2.0266593624798932</v>
      </c>
      <c r="AW275" s="9">
        <f t="shared" ref="AW275:AW280" si="213">IF(ISNUMBER(AL275),(AL275/71.84)*(1-0.18)*71.84,"-")</f>
        <v>8.3069329501224995</v>
      </c>
      <c r="AX275" s="8" t="s">
        <v>64</v>
      </c>
      <c r="AY275" s="789" t="s">
        <v>64</v>
      </c>
      <c r="AZ275" s="6" t="s">
        <v>64</v>
      </c>
      <c r="BA275" s="48" t="s">
        <v>64</v>
      </c>
      <c r="BB275" s="48" t="s">
        <v>64</v>
      </c>
      <c r="BC275" s="48" t="s">
        <v>64</v>
      </c>
      <c r="BD275" s="849" t="s">
        <v>64</v>
      </c>
      <c r="BE275" s="48" t="s">
        <v>64</v>
      </c>
      <c r="BF275" s="773" t="s">
        <v>64</v>
      </c>
      <c r="BG275" s="880" t="s">
        <v>64</v>
      </c>
      <c r="BH275" s="880" t="s">
        <v>64</v>
      </c>
      <c r="BI275" s="850" t="str">
        <f t="shared" ref="BI275:BI280" si="214">IF(NOT(ISNUMBER(BF275)),"-",(0.0684*((BF275/1000))^3 - 0.5008*((BF275/1000))^2 + 4.47*((BF275/1000))))</f>
        <v>-</v>
      </c>
      <c r="BJ275" s="789" t="str">
        <f t="shared" ref="BJ275:BJ280" si="215">IF(NOT(ISNUMBER(BF275)),"-",AVERAGE(ABS(BI275-(0.0684*(((BF275+BG275)/1000))^3-0.5008*(((BF275+BG275)/1000))^2+4.47*(((BF275+BG275)/1000)))),ABS(BI275-(0.0684*(((BF275-BG275)/1000))^3-0.5008*(((BF275-BG275)/1000))^2+4.47*(((BF275-BG275)/1000))))))</f>
        <v>-</v>
      </c>
      <c r="BK275" s="563" t="s">
        <v>64</v>
      </c>
      <c r="BL275" s="48" t="s">
        <v>64</v>
      </c>
      <c r="BM275" s="48" t="s">
        <v>64</v>
      </c>
      <c r="BN275" s="47" t="s">
        <v>64</v>
      </c>
      <c r="BO275" s="789" t="s">
        <v>64</v>
      </c>
      <c r="BP275" s="789" t="s">
        <v>64</v>
      </c>
      <c r="BQ275" s="34" t="s">
        <v>64</v>
      </c>
      <c r="BR275" s="25">
        <v>2.675597731373287</v>
      </c>
      <c r="BS275" s="26">
        <v>2.8969210127980851</v>
      </c>
      <c r="BT275" s="604"/>
      <c r="BU275" s="599">
        <v>0.14255425276634628</v>
      </c>
      <c r="BV275" s="851">
        <v>2.9123249467787927E-2</v>
      </c>
      <c r="BW275" s="851">
        <v>6.6244301358121788E-2</v>
      </c>
      <c r="BX275" s="851">
        <v>0.11365099924491985</v>
      </c>
      <c r="BY275" s="851">
        <v>5.9207548278292855E-3</v>
      </c>
      <c r="BZ275" s="851">
        <v>1.7416191587394367E-2</v>
      </c>
      <c r="CA275" s="851">
        <v>2.3044890007263338E-2</v>
      </c>
      <c r="CB275" s="851">
        <v>3.3460545107849307E-2</v>
      </c>
      <c r="CC275" s="851">
        <v>1.1616935786018039E-2</v>
      </c>
      <c r="CD275" s="851">
        <v>7.1632641791744486E-3</v>
      </c>
      <c r="CE275" s="852">
        <v>25.408302627526538</v>
      </c>
      <c r="CF275" s="852">
        <v>20.388394231030048</v>
      </c>
      <c r="CG275" s="604"/>
      <c r="CH275" s="584">
        <v>51.510199999999998</v>
      </c>
      <c r="CI275" s="576">
        <v>2.42394</v>
      </c>
      <c r="CJ275" s="576">
        <v>14.107100000000001</v>
      </c>
      <c r="CK275" s="576">
        <v>9.9378799999999998</v>
      </c>
      <c r="CL275" s="576">
        <v>0.15688299999999999</v>
      </c>
      <c r="CM275" s="576">
        <v>5.7077</v>
      </c>
      <c r="CN275" s="576">
        <v>11.0563</v>
      </c>
      <c r="CO275" s="576">
        <v>2.3914900000000001</v>
      </c>
      <c r="CP275" s="576">
        <v>0.469053</v>
      </c>
      <c r="CQ275" s="576">
        <v>0.22483500000000001</v>
      </c>
      <c r="CR275" s="857">
        <v>1.7564E-2</v>
      </c>
      <c r="CS275" s="793">
        <v>965.78</v>
      </c>
      <c r="CT275" s="576">
        <f t="shared" ref="CT275:CT280" si="216">SUM(CH275:CR275)+(CS275/10000)</f>
        <v>98.099522999999991</v>
      </c>
      <c r="CU275" s="576" t="s">
        <v>64</v>
      </c>
      <c r="CV275" s="592" t="s">
        <v>64</v>
      </c>
      <c r="CW275" s="604"/>
      <c r="CX275" s="946" t="s">
        <v>64</v>
      </c>
      <c r="CY275" s="944" t="s">
        <v>64</v>
      </c>
      <c r="CZ275" s="944" t="s">
        <v>64</v>
      </c>
      <c r="DA275" s="938" t="str">
        <f t="shared" ref="DA275:DA280" si="217">IF(NOT(ISNUMBER(CX275)),"-",(0.0684*((CX275/1000))^3 - 0.5008*((CX275/1000))^2 + 4.47*((CX275/1000))))</f>
        <v>-</v>
      </c>
      <c r="DB275" s="946" t="s">
        <v>64</v>
      </c>
      <c r="DC275" s="944" t="s">
        <v>64</v>
      </c>
      <c r="DD275" s="944" t="s">
        <v>64</v>
      </c>
      <c r="DE275" s="939" t="str">
        <f t="shared" ref="DE275:DE280" si="218">IF(NOT(ISNUMBER(DB275)),"-",(0.0684*((DB275/1000))^3 - 0.5008*((DB275/1000))^2 + 4.47*((DB275/1000))))</f>
        <v>-</v>
      </c>
      <c r="DF275" s="9"/>
    </row>
    <row r="276" spans="1:110">
      <c r="A276" s="846" t="s">
        <v>972</v>
      </c>
      <c r="B276" s="41" t="s">
        <v>679</v>
      </c>
      <c r="C276" s="41" t="s">
        <v>1488</v>
      </c>
      <c r="D276" s="34" t="s">
        <v>736</v>
      </c>
      <c r="E276" s="535">
        <v>19.389810000000001</v>
      </c>
      <c r="F276" s="537">
        <v>-155.29229000000001</v>
      </c>
      <c r="G276" s="37" t="s">
        <v>946</v>
      </c>
      <c r="H276" s="37" t="s">
        <v>64</v>
      </c>
      <c r="I276" s="202" t="s">
        <v>64</v>
      </c>
      <c r="J276" t="s">
        <v>877</v>
      </c>
      <c r="K276" s="870">
        <v>43053</v>
      </c>
      <c r="L276" s="51" t="s">
        <v>64</v>
      </c>
      <c r="M276" s="52" t="s">
        <v>64</v>
      </c>
      <c r="N276" s="838" t="s">
        <v>64</v>
      </c>
      <c r="O276" s="54" t="s">
        <v>64</v>
      </c>
      <c r="P276" s="779" t="s">
        <v>64</v>
      </c>
      <c r="Q276" s="54" t="s">
        <v>64</v>
      </c>
      <c r="R276" s="772" t="s">
        <v>64</v>
      </c>
      <c r="S276" s="624" t="s">
        <v>64</v>
      </c>
      <c r="T276" s="861" t="s">
        <v>946</v>
      </c>
      <c r="U276" s="21" t="s">
        <v>64</v>
      </c>
      <c r="V276" s="552" t="s">
        <v>64</v>
      </c>
      <c r="W276" s="552" t="s">
        <v>64</v>
      </c>
      <c r="X276" s="779" t="s">
        <v>64</v>
      </c>
      <c r="Y276" s="54" t="s">
        <v>64</v>
      </c>
      <c r="Z276" s="54" t="s">
        <v>64</v>
      </c>
      <c r="AA276" s="54" t="s">
        <v>64</v>
      </c>
      <c r="AB276" s="32" t="s">
        <v>64</v>
      </c>
      <c r="AC276" s="6">
        <f t="shared" si="209"/>
        <v>1203.127332</v>
      </c>
      <c r="AD276" s="20" t="s">
        <v>64</v>
      </c>
      <c r="AE276" s="6" t="str">
        <f t="shared" si="210"/>
        <v>-</v>
      </c>
      <c r="AF276" s="885" t="s">
        <v>64</v>
      </c>
      <c r="AG276" s="772" t="s">
        <v>64</v>
      </c>
      <c r="AH276" s="32">
        <f t="shared" si="211"/>
        <v>62.291142978508262</v>
      </c>
      <c r="AI276" s="9">
        <v>51.473880639602363</v>
      </c>
      <c r="AJ276" s="9">
        <v>2.1087518322063605</v>
      </c>
      <c r="AK276" s="9">
        <v>13.286837544843277</v>
      </c>
      <c r="AL276" s="9">
        <v>10.167366176600567</v>
      </c>
      <c r="AM276" s="9">
        <v>0.14478039494241562</v>
      </c>
      <c r="AN276" s="9">
        <v>9.4204070654835093</v>
      </c>
      <c r="AO276" s="9">
        <v>10.45360305450691</v>
      </c>
      <c r="AP276" s="9">
        <v>2.1565681081378294</v>
      </c>
      <c r="AQ276" s="9">
        <v>0.46251734591475407</v>
      </c>
      <c r="AR276" s="9">
        <v>0.21537648088788661</v>
      </c>
      <c r="AS276" s="6">
        <v>154.82221335934688</v>
      </c>
      <c r="AT276" s="6">
        <v>944.29135538197625</v>
      </c>
      <c r="AU276" s="9">
        <v>99.882308000000009</v>
      </c>
      <c r="AV276" s="8">
        <f t="shared" si="212"/>
        <v>2.0340534998151587</v>
      </c>
      <c r="AW276" s="9">
        <f t="shared" si="213"/>
        <v>8.3372402648124648</v>
      </c>
      <c r="AX276" s="8">
        <v>0.45932443292909669</v>
      </c>
      <c r="AY276" s="789">
        <v>2.2966221646454836E-2</v>
      </c>
      <c r="AZ276" s="6" t="s">
        <v>292</v>
      </c>
      <c r="BA276" s="48" t="s">
        <v>64</v>
      </c>
      <c r="BB276" s="48" t="s">
        <v>64</v>
      </c>
      <c r="BC276" s="48" t="s">
        <v>64</v>
      </c>
      <c r="BD276" s="849" t="s">
        <v>64</v>
      </c>
      <c r="BE276" s="48" t="s">
        <v>64</v>
      </c>
      <c r="BF276" s="773" t="s">
        <v>64</v>
      </c>
      <c r="BG276" s="880" t="s">
        <v>64</v>
      </c>
      <c r="BH276" s="880" t="s">
        <v>64</v>
      </c>
      <c r="BI276" s="850" t="str">
        <f t="shared" si="214"/>
        <v>-</v>
      </c>
      <c r="BJ276" s="789" t="str">
        <f t="shared" si="215"/>
        <v>-</v>
      </c>
      <c r="BK276" s="563" t="s">
        <v>64</v>
      </c>
      <c r="BL276" s="48" t="s">
        <v>64</v>
      </c>
      <c r="BM276" s="48" t="s">
        <v>64</v>
      </c>
      <c r="BN276" s="47" t="s">
        <v>64</v>
      </c>
      <c r="BO276" s="789" t="s">
        <v>64</v>
      </c>
      <c r="BP276" s="789" t="s">
        <v>64</v>
      </c>
      <c r="BQ276" s="34" t="s">
        <v>64</v>
      </c>
      <c r="BR276" s="25">
        <v>2.667491136261372</v>
      </c>
      <c r="BS276" s="26">
        <v>2.9316892638279142</v>
      </c>
      <c r="BT276" s="604"/>
      <c r="BU276" s="599">
        <v>0.14032294601162001</v>
      </c>
      <c r="BV276" s="851">
        <v>2.5572833469166532E-2</v>
      </c>
      <c r="BW276" s="851">
        <v>6.3652056810701643E-2</v>
      </c>
      <c r="BX276" s="851">
        <v>0.11340070191409676</v>
      </c>
      <c r="BY276" s="851">
        <v>5.6071999157248148E-3</v>
      </c>
      <c r="BZ276" s="851">
        <v>2.1156067575450899E-2</v>
      </c>
      <c r="CA276" s="851">
        <v>2.1366223819137217E-2</v>
      </c>
      <c r="CB276" s="851">
        <v>3.1445566555190131E-2</v>
      </c>
      <c r="CC276" s="851">
        <v>1.1366086265447533E-2</v>
      </c>
      <c r="CD276" s="851">
        <v>6.6754217239353352E-3</v>
      </c>
      <c r="CE276" s="852">
        <v>21.856251859939</v>
      </c>
      <c r="CF276" s="852">
        <v>20.129836539219742</v>
      </c>
      <c r="CG276" s="604"/>
      <c r="CH276" s="584">
        <v>51.4133</v>
      </c>
      <c r="CI276" s="576">
        <v>2.1062699999999999</v>
      </c>
      <c r="CJ276" s="576">
        <v>13.2712</v>
      </c>
      <c r="CK276" s="576">
        <v>10.1554</v>
      </c>
      <c r="CL276" s="576">
        <v>0.14460999999999999</v>
      </c>
      <c r="CM276" s="576">
        <v>9.4093199999999992</v>
      </c>
      <c r="CN276" s="576">
        <v>10.4413</v>
      </c>
      <c r="CO276" s="576">
        <v>2.1540300000000001</v>
      </c>
      <c r="CP276" s="576">
        <v>0.46197300000000002</v>
      </c>
      <c r="CQ276" s="576">
        <v>0.21512300000000001</v>
      </c>
      <c r="CR276" s="857">
        <v>1.5464E-2</v>
      </c>
      <c r="CS276" s="793">
        <v>943.18</v>
      </c>
      <c r="CT276" s="576">
        <f t="shared" si="216"/>
        <v>99.882308000000009</v>
      </c>
      <c r="CU276" s="576">
        <v>0.45932443292909669</v>
      </c>
      <c r="CV276" s="592" t="s">
        <v>292</v>
      </c>
      <c r="CW276" s="604"/>
      <c r="CX276" s="946" t="s">
        <v>64</v>
      </c>
      <c r="CY276" s="944" t="s">
        <v>64</v>
      </c>
      <c r="CZ276" s="944" t="s">
        <v>64</v>
      </c>
      <c r="DA276" s="938" t="str">
        <f t="shared" si="217"/>
        <v>-</v>
      </c>
      <c r="DB276" s="946" t="s">
        <v>64</v>
      </c>
      <c r="DC276" s="944" t="s">
        <v>64</v>
      </c>
      <c r="DD276" s="944" t="s">
        <v>64</v>
      </c>
      <c r="DE276" s="939" t="str">
        <f t="shared" si="218"/>
        <v>-</v>
      </c>
      <c r="DF276" s="9"/>
    </row>
    <row r="277" spans="1:110">
      <c r="A277" s="846" t="s">
        <v>973</v>
      </c>
      <c r="B277" s="41" t="s">
        <v>679</v>
      </c>
      <c r="C277" s="41" t="s">
        <v>1488</v>
      </c>
      <c r="D277" s="34" t="s">
        <v>736</v>
      </c>
      <c r="E277" s="535">
        <v>19.389810000000001</v>
      </c>
      <c r="F277" s="537">
        <v>-155.29229000000001</v>
      </c>
      <c r="G277" s="37" t="s">
        <v>940</v>
      </c>
      <c r="H277" s="37" t="s">
        <v>64</v>
      </c>
      <c r="I277" s="202" t="s">
        <v>64</v>
      </c>
      <c r="J277" t="s">
        <v>877</v>
      </c>
      <c r="K277" s="870">
        <v>43053</v>
      </c>
      <c r="L277" s="51" t="s">
        <v>64</v>
      </c>
      <c r="M277" s="52" t="s">
        <v>64</v>
      </c>
      <c r="N277" s="838" t="s">
        <v>64</v>
      </c>
      <c r="O277" s="54" t="s">
        <v>64</v>
      </c>
      <c r="P277" s="779" t="s">
        <v>64</v>
      </c>
      <c r="Q277" s="54" t="s">
        <v>64</v>
      </c>
      <c r="R277" s="772" t="s">
        <v>64</v>
      </c>
      <c r="S277" s="624" t="s">
        <v>64</v>
      </c>
      <c r="T277" s="861" t="s">
        <v>940</v>
      </c>
      <c r="U277" s="21" t="s">
        <v>64</v>
      </c>
      <c r="V277" s="552" t="s">
        <v>64</v>
      </c>
      <c r="W277" s="552" t="s">
        <v>64</v>
      </c>
      <c r="X277" s="779" t="s">
        <v>64</v>
      </c>
      <c r="Y277" s="54" t="s">
        <v>64</v>
      </c>
      <c r="Z277" s="54" t="s">
        <v>64</v>
      </c>
      <c r="AA277" s="54" t="s">
        <v>64</v>
      </c>
      <c r="AB277" s="32" t="s">
        <v>64</v>
      </c>
      <c r="AC277" s="6">
        <f t="shared" si="209"/>
        <v>1199.043615</v>
      </c>
      <c r="AD277" s="20" t="s">
        <v>64</v>
      </c>
      <c r="AE277" s="6" t="str">
        <f t="shared" si="210"/>
        <v>-</v>
      </c>
      <c r="AF277" s="885" t="s">
        <v>64</v>
      </c>
      <c r="AG277" s="772" t="s">
        <v>64</v>
      </c>
      <c r="AH277" s="32">
        <f t="shared" si="211"/>
        <v>59.542473300733555</v>
      </c>
      <c r="AI277" s="9">
        <v>50.824743670217529</v>
      </c>
      <c r="AJ277" s="9">
        <v>2.2652583873120946</v>
      </c>
      <c r="AK277" s="9">
        <v>13.306036780335258</v>
      </c>
      <c r="AL277" s="9">
        <v>11.12886129700764</v>
      </c>
      <c r="AM277" s="9">
        <v>0.16865077058470873</v>
      </c>
      <c r="AN277" s="9">
        <v>9.1866367567313958</v>
      </c>
      <c r="AO277" s="9">
        <v>10.15423149841653</v>
      </c>
      <c r="AP277" s="9">
        <v>2.1869048173465226</v>
      </c>
      <c r="AQ277" s="9">
        <v>0.46602711646219391</v>
      </c>
      <c r="AR277" s="9">
        <v>0.23112906107266618</v>
      </c>
      <c r="AS277" s="6">
        <v>147.49670372658144</v>
      </c>
      <c r="AT277" s="6">
        <v>667.70174140809263</v>
      </c>
      <c r="AU277" s="9">
        <v>100.21240900000001</v>
      </c>
      <c r="AV277" s="8">
        <f t="shared" si="212"/>
        <v>2.2264073976437011</v>
      </c>
      <c r="AW277" s="9">
        <f t="shared" si="213"/>
        <v>9.1256662635462664</v>
      </c>
      <c r="AX277" s="8">
        <v>0.23159749171140229</v>
      </c>
      <c r="AY277" s="789">
        <v>1.1579874585570115E-2</v>
      </c>
      <c r="AZ277" s="6" t="s">
        <v>292</v>
      </c>
      <c r="BA277" s="48" t="s">
        <v>64</v>
      </c>
      <c r="BB277" s="48" t="s">
        <v>64</v>
      </c>
      <c r="BC277" s="48" t="s">
        <v>64</v>
      </c>
      <c r="BD277" s="849" t="s">
        <v>64</v>
      </c>
      <c r="BE277" s="48" t="s">
        <v>64</v>
      </c>
      <c r="BF277" s="773" t="s">
        <v>64</v>
      </c>
      <c r="BG277" s="880" t="s">
        <v>64</v>
      </c>
      <c r="BH277" s="880" t="s">
        <v>64</v>
      </c>
      <c r="BI277" s="850" t="str">
        <f t="shared" si="214"/>
        <v>-</v>
      </c>
      <c r="BJ277" s="789" t="str">
        <f t="shared" si="215"/>
        <v>-</v>
      </c>
      <c r="BK277" s="563" t="s">
        <v>64</v>
      </c>
      <c r="BL277" s="48" t="s">
        <v>64</v>
      </c>
      <c r="BM277" s="48" t="s">
        <v>64</v>
      </c>
      <c r="BN277" s="47" t="s">
        <v>64</v>
      </c>
      <c r="BO277" s="789" t="s">
        <v>64</v>
      </c>
      <c r="BP277" s="789" t="s">
        <v>64</v>
      </c>
      <c r="BQ277" s="34" t="s">
        <v>64</v>
      </c>
      <c r="BR277" s="25">
        <v>2.6985568751848348</v>
      </c>
      <c r="BS277" s="26">
        <v>2.9584988736790878</v>
      </c>
      <c r="BT277" s="604"/>
      <c r="BU277" s="599">
        <v>0.13928470178079444</v>
      </c>
      <c r="BV277" s="851">
        <v>2.6971525514370185E-2</v>
      </c>
      <c r="BW277" s="851">
        <v>6.3665527243237915E-2</v>
      </c>
      <c r="BX277" s="851">
        <v>0.11816847502388653</v>
      </c>
      <c r="BY277" s="851">
        <v>5.6586043848122648E-3</v>
      </c>
      <c r="BZ277" s="851">
        <v>2.0926331734526012E-2</v>
      </c>
      <c r="CA277" s="851">
        <v>2.1012049697358343E-2</v>
      </c>
      <c r="CB277" s="851">
        <v>3.1714712351641007E-2</v>
      </c>
      <c r="CC277" s="851">
        <v>1.1700775826574533E-2</v>
      </c>
      <c r="CD277" s="851">
        <v>6.7133284821044468E-3</v>
      </c>
      <c r="CE277" s="852">
        <v>22.362270245394466</v>
      </c>
      <c r="CF277" s="852">
        <v>18.326610006950343</v>
      </c>
      <c r="CG277" s="604"/>
      <c r="CH277" s="584">
        <v>50.932699999999997</v>
      </c>
      <c r="CI277" s="576">
        <v>2.27007</v>
      </c>
      <c r="CJ277" s="576">
        <v>13.334300000000001</v>
      </c>
      <c r="CK277" s="576">
        <v>11.1525</v>
      </c>
      <c r="CL277" s="576">
        <v>0.16900899999999999</v>
      </c>
      <c r="CM277" s="576">
        <v>9.2061499999999992</v>
      </c>
      <c r="CN277" s="576">
        <v>10.175800000000001</v>
      </c>
      <c r="CO277" s="576">
        <v>2.1915499999999999</v>
      </c>
      <c r="CP277" s="576">
        <v>0.46701700000000002</v>
      </c>
      <c r="CQ277" s="576">
        <v>0.23161999999999999</v>
      </c>
      <c r="CR277" s="857">
        <v>1.4781000000000001E-2</v>
      </c>
      <c r="CS277" s="793">
        <v>669.12</v>
      </c>
      <c r="CT277" s="576">
        <f t="shared" si="216"/>
        <v>100.21240900000001</v>
      </c>
      <c r="CU277" s="576">
        <v>0.23159749171140229</v>
      </c>
      <c r="CV277" s="592" t="s">
        <v>292</v>
      </c>
      <c r="CW277" s="604"/>
      <c r="CX277" s="946" t="s">
        <v>64</v>
      </c>
      <c r="CY277" s="944" t="s">
        <v>64</v>
      </c>
      <c r="CZ277" s="944" t="s">
        <v>64</v>
      </c>
      <c r="DA277" s="938" t="str">
        <f t="shared" si="217"/>
        <v>-</v>
      </c>
      <c r="DB277" s="946" t="s">
        <v>64</v>
      </c>
      <c r="DC277" s="944" t="s">
        <v>64</v>
      </c>
      <c r="DD277" s="944" t="s">
        <v>64</v>
      </c>
      <c r="DE277" s="939" t="str">
        <f t="shared" si="218"/>
        <v>-</v>
      </c>
      <c r="DF277" s="9"/>
    </row>
    <row r="278" spans="1:110">
      <c r="A278" s="846" t="s">
        <v>974</v>
      </c>
      <c r="B278" s="41" t="s">
        <v>679</v>
      </c>
      <c r="C278" s="41" t="s">
        <v>1488</v>
      </c>
      <c r="D278" s="34" t="s">
        <v>736</v>
      </c>
      <c r="E278" s="535">
        <v>19.389810000000001</v>
      </c>
      <c r="F278" s="537">
        <v>-155.29229000000001</v>
      </c>
      <c r="G278" s="37" t="s">
        <v>940</v>
      </c>
      <c r="H278" s="37" t="s">
        <v>64</v>
      </c>
      <c r="I278" s="202" t="s">
        <v>64</v>
      </c>
      <c r="J278" t="s">
        <v>877</v>
      </c>
      <c r="K278" s="870">
        <v>43053</v>
      </c>
      <c r="L278" s="51" t="s">
        <v>64</v>
      </c>
      <c r="M278" s="52" t="s">
        <v>64</v>
      </c>
      <c r="N278" s="838" t="s">
        <v>64</v>
      </c>
      <c r="O278" s="54" t="s">
        <v>64</v>
      </c>
      <c r="P278" s="779" t="s">
        <v>64</v>
      </c>
      <c r="Q278" s="54" t="s">
        <v>64</v>
      </c>
      <c r="R278" s="772" t="s">
        <v>64</v>
      </c>
      <c r="S278" s="624" t="s">
        <v>64</v>
      </c>
      <c r="T278" s="861" t="s">
        <v>940</v>
      </c>
      <c r="U278" s="21" t="s">
        <v>64</v>
      </c>
      <c r="V278" s="552" t="s">
        <v>64</v>
      </c>
      <c r="W278" s="552" t="s">
        <v>64</v>
      </c>
      <c r="X278" s="779" t="s">
        <v>64</v>
      </c>
      <c r="Y278" s="54" t="s">
        <v>64</v>
      </c>
      <c r="Z278" s="54" t="s">
        <v>64</v>
      </c>
      <c r="AA278" s="54" t="s">
        <v>64</v>
      </c>
      <c r="AB278" s="32" t="s">
        <v>64</v>
      </c>
      <c r="AC278" s="6">
        <f t="shared" si="209"/>
        <v>1196.330316</v>
      </c>
      <c r="AD278" s="20" t="s">
        <v>64</v>
      </c>
      <c r="AE278" s="6" t="str">
        <f t="shared" si="210"/>
        <v>-</v>
      </c>
      <c r="AF278" s="885" t="s">
        <v>64</v>
      </c>
      <c r="AG278" s="772" t="s">
        <v>64</v>
      </c>
      <c r="AH278" s="32">
        <f t="shared" si="211"/>
        <v>59.220380972562324</v>
      </c>
      <c r="AI278" s="9">
        <v>50.758391549382296</v>
      </c>
      <c r="AJ278" s="9">
        <v>2.2950923719905743</v>
      </c>
      <c r="AK278" s="9">
        <v>13.563642438343502</v>
      </c>
      <c r="AL278" s="9">
        <v>11.08589710278296</v>
      </c>
      <c r="AM278" s="9">
        <v>0.1693290226610123</v>
      </c>
      <c r="AN278" s="9">
        <v>9.0297795902628852</v>
      </c>
      <c r="AO278" s="9">
        <v>10.190400857605884</v>
      </c>
      <c r="AP278" s="9">
        <v>2.2010334122231421</v>
      </c>
      <c r="AQ278" s="9">
        <v>0.43606565934554359</v>
      </c>
      <c r="AR278" s="9">
        <v>0.21109562054355988</v>
      </c>
      <c r="AS278" s="6">
        <v>160.30537497033842</v>
      </c>
      <c r="AT278" s="6">
        <v>432.41837361596509</v>
      </c>
      <c r="AU278" s="9">
        <v>100.45826600000001</v>
      </c>
      <c r="AV278" s="8">
        <f t="shared" si="212"/>
        <v>2.2178121067776582</v>
      </c>
      <c r="AW278" s="9">
        <f t="shared" si="213"/>
        <v>9.0904356242820299</v>
      </c>
      <c r="AX278" s="8" t="s">
        <v>64</v>
      </c>
      <c r="AY278" s="789" t="s">
        <v>64</v>
      </c>
      <c r="AZ278" s="6" t="s">
        <v>64</v>
      </c>
      <c r="BA278" s="48" t="s">
        <v>64</v>
      </c>
      <c r="BB278" s="48" t="s">
        <v>64</v>
      </c>
      <c r="BC278" s="48" t="s">
        <v>64</v>
      </c>
      <c r="BD278" s="849" t="s">
        <v>64</v>
      </c>
      <c r="BE278" s="48" t="s">
        <v>64</v>
      </c>
      <c r="BF278" s="773" t="s">
        <v>64</v>
      </c>
      <c r="BG278" s="880" t="s">
        <v>64</v>
      </c>
      <c r="BH278" s="880" t="s">
        <v>64</v>
      </c>
      <c r="BI278" s="850" t="str">
        <f t="shared" si="214"/>
        <v>-</v>
      </c>
      <c r="BJ278" s="789" t="str">
        <f t="shared" si="215"/>
        <v>-</v>
      </c>
      <c r="BK278" s="563" t="s">
        <v>64</v>
      </c>
      <c r="BL278" s="48" t="s">
        <v>64</v>
      </c>
      <c r="BM278" s="48" t="s">
        <v>64</v>
      </c>
      <c r="BN278" s="47" t="s">
        <v>64</v>
      </c>
      <c r="BO278" s="789" t="s">
        <v>64</v>
      </c>
      <c r="BP278" s="789" t="s">
        <v>64</v>
      </c>
      <c r="BQ278" s="34" t="s">
        <v>64</v>
      </c>
      <c r="BR278" s="25">
        <v>2.701201771830577</v>
      </c>
      <c r="BS278" s="26">
        <v>2.9584148629596072</v>
      </c>
      <c r="BT278" s="604"/>
      <c r="BU278" s="599">
        <v>0.13909931136975823</v>
      </c>
      <c r="BV278" s="851">
        <v>2.6346283375028597E-2</v>
      </c>
      <c r="BW278" s="851">
        <v>6.4177730561266105E-2</v>
      </c>
      <c r="BX278" s="851">
        <v>0.11782756594663896</v>
      </c>
      <c r="BY278" s="851">
        <v>5.6781270497939917E-3</v>
      </c>
      <c r="BZ278" s="851">
        <v>2.0726775475897623E-2</v>
      </c>
      <c r="CA278" s="851">
        <v>2.1024631241395305E-2</v>
      </c>
      <c r="CB278" s="851">
        <v>3.1769936375370053E-2</v>
      </c>
      <c r="CC278" s="851">
        <v>1.1233618270098352E-2</v>
      </c>
      <c r="CD278" s="851">
        <v>6.753919941042982E-3</v>
      </c>
      <c r="CE278" s="852">
        <v>22.33422575699246</v>
      </c>
      <c r="CF278" s="852">
        <v>17.200608340183773</v>
      </c>
      <c r="CG278" s="604"/>
      <c r="CH278" s="584">
        <v>50.991</v>
      </c>
      <c r="CI278" s="576">
        <v>2.3056100000000002</v>
      </c>
      <c r="CJ278" s="576">
        <v>13.6258</v>
      </c>
      <c r="CK278" s="576">
        <v>11.136699999999999</v>
      </c>
      <c r="CL278" s="576">
        <v>0.17010500000000001</v>
      </c>
      <c r="CM278" s="576">
        <v>9.0711600000000008</v>
      </c>
      <c r="CN278" s="576">
        <v>10.2371</v>
      </c>
      <c r="CO278" s="576">
        <v>2.2111200000000002</v>
      </c>
      <c r="CP278" s="576">
        <v>0.43806400000000001</v>
      </c>
      <c r="CQ278" s="576">
        <v>0.212063</v>
      </c>
      <c r="CR278" s="857">
        <v>1.6104E-2</v>
      </c>
      <c r="CS278" s="793">
        <v>434.4</v>
      </c>
      <c r="CT278" s="576">
        <f t="shared" si="216"/>
        <v>100.45826600000001</v>
      </c>
      <c r="CU278" s="576" t="s">
        <v>64</v>
      </c>
      <c r="CV278" s="592" t="s">
        <v>64</v>
      </c>
      <c r="CW278" s="604"/>
      <c r="CX278" s="946" t="s">
        <v>64</v>
      </c>
      <c r="CY278" s="944" t="s">
        <v>64</v>
      </c>
      <c r="CZ278" s="944" t="s">
        <v>64</v>
      </c>
      <c r="DA278" s="938" t="str">
        <f t="shared" si="217"/>
        <v>-</v>
      </c>
      <c r="DB278" s="946" t="s">
        <v>64</v>
      </c>
      <c r="DC278" s="944" t="s">
        <v>64</v>
      </c>
      <c r="DD278" s="944" t="s">
        <v>64</v>
      </c>
      <c r="DE278" s="939" t="str">
        <f t="shared" si="218"/>
        <v>-</v>
      </c>
      <c r="DF278" s="9"/>
    </row>
    <row r="279" spans="1:110">
      <c r="A279" s="846" t="s">
        <v>975</v>
      </c>
      <c r="B279" s="41" t="s">
        <v>679</v>
      </c>
      <c r="C279" s="41" t="s">
        <v>1488</v>
      </c>
      <c r="D279" s="34" t="s">
        <v>736</v>
      </c>
      <c r="E279" s="535">
        <v>19.389810000000001</v>
      </c>
      <c r="F279" s="537">
        <v>-155.29229000000001</v>
      </c>
      <c r="G279" s="37" t="s">
        <v>940</v>
      </c>
      <c r="H279" s="37" t="s">
        <v>64</v>
      </c>
      <c r="I279" s="202" t="s">
        <v>64</v>
      </c>
      <c r="J279" t="s">
        <v>877</v>
      </c>
      <c r="K279" s="870">
        <v>43053</v>
      </c>
      <c r="L279" s="51" t="s">
        <v>64</v>
      </c>
      <c r="M279" s="52" t="s">
        <v>64</v>
      </c>
      <c r="N279" s="838" t="s">
        <v>64</v>
      </c>
      <c r="O279" s="54" t="s">
        <v>64</v>
      </c>
      <c r="P279" s="779" t="s">
        <v>64</v>
      </c>
      <c r="Q279" s="54" t="s">
        <v>64</v>
      </c>
      <c r="R279" s="772" t="s">
        <v>64</v>
      </c>
      <c r="S279" s="624" t="s">
        <v>64</v>
      </c>
      <c r="T279" s="861" t="s">
        <v>940</v>
      </c>
      <c r="U279" s="21" t="s">
        <v>64</v>
      </c>
      <c r="V279" s="552" t="s">
        <v>64</v>
      </c>
      <c r="W279" s="552" t="s">
        <v>64</v>
      </c>
      <c r="X279" s="779" t="s">
        <v>64</v>
      </c>
      <c r="Y279" s="54" t="s">
        <v>64</v>
      </c>
      <c r="Z279" s="54" t="s">
        <v>64</v>
      </c>
      <c r="AA279" s="54" t="s">
        <v>64</v>
      </c>
      <c r="AB279" s="32" t="s">
        <v>64</v>
      </c>
      <c r="AC279" s="6">
        <f t="shared" si="209"/>
        <v>1197.273408</v>
      </c>
      <c r="AD279" s="20" t="s">
        <v>64</v>
      </c>
      <c r="AE279" s="6" t="str">
        <f t="shared" si="210"/>
        <v>-</v>
      </c>
      <c r="AF279" s="885" t="s">
        <v>64</v>
      </c>
      <c r="AG279" s="772" t="s">
        <v>64</v>
      </c>
      <c r="AH279" s="32">
        <f t="shared" si="211"/>
        <v>59.46996156788034</v>
      </c>
      <c r="AI279" s="9">
        <v>51.216144302056897</v>
      </c>
      <c r="AJ279" s="9">
        <v>2.2150115025122248</v>
      </c>
      <c r="AK279" s="9">
        <v>13.270404316015277</v>
      </c>
      <c r="AL279" s="9">
        <v>10.970149412601279</v>
      </c>
      <c r="AM279" s="9">
        <v>0.16936494359444457</v>
      </c>
      <c r="AN279" s="9">
        <v>9.0284138563648195</v>
      </c>
      <c r="AO279" s="9">
        <v>10.203067722758039</v>
      </c>
      <c r="AP279" s="9">
        <v>2.2071495835534591</v>
      </c>
      <c r="AQ279" s="9">
        <v>0.45688541961086371</v>
      </c>
      <c r="AR279" s="9">
        <v>0.21374715939907013</v>
      </c>
      <c r="AS279" s="6">
        <v>176.34858520857179</v>
      </c>
      <c r="AT279" s="6">
        <v>320.2692301275269</v>
      </c>
      <c r="AU279" s="9">
        <v>100.99315500000002</v>
      </c>
      <c r="AV279" s="8">
        <f t="shared" si="212"/>
        <v>2.1946559628737026</v>
      </c>
      <c r="AW279" s="9">
        <f t="shared" si="213"/>
        <v>8.9955225183330487</v>
      </c>
      <c r="AX279" s="8" t="s">
        <v>64</v>
      </c>
      <c r="AY279" s="789" t="s">
        <v>64</v>
      </c>
      <c r="AZ279" s="6" t="s">
        <v>64</v>
      </c>
      <c r="BA279" s="48" t="s">
        <v>64</v>
      </c>
      <c r="BB279" s="48" t="s">
        <v>64</v>
      </c>
      <c r="BC279" s="48" t="s">
        <v>64</v>
      </c>
      <c r="BD279" s="849" t="s">
        <v>64</v>
      </c>
      <c r="BE279" s="48" t="s">
        <v>64</v>
      </c>
      <c r="BF279" s="773" t="s">
        <v>64</v>
      </c>
      <c r="BG279" s="880" t="s">
        <v>64</v>
      </c>
      <c r="BH279" s="880" t="s">
        <v>64</v>
      </c>
      <c r="BI279" s="850" t="str">
        <f t="shared" si="214"/>
        <v>-</v>
      </c>
      <c r="BJ279" s="789" t="str">
        <f t="shared" si="215"/>
        <v>-</v>
      </c>
      <c r="BK279" s="563" t="s">
        <v>64</v>
      </c>
      <c r="BL279" s="48" t="s">
        <v>64</v>
      </c>
      <c r="BM279" s="48" t="s">
        <v>64</v>
      </c>
      <c r="BN279" s="47" t="s">
        <v>64</v>
      </c>
      <c r="BO279" s="789" t="s">
        <v>64</v>
      </c>
      <c r="BP279" s="789" t="s">
        <v>64</v>
      </c>
      <c r="BQ279" s="34" t="s">
        <v>64</v>
      </c>
      <c r="BR279" s="25">
        <v>2.6964735789687149</v>
      </c>
      <c r="BS279" s="26">
        <v>2.9511057816853632</v>
      </c>
      <c r="BT279" s="604"/>
      <c r="BU279" s="599">
        <v>0.13927206120058333</v>
      </c>
      <c r="BV279" s="851">
        <v>2.6577480016343684E-2</v>
      </c>
      <c r="BW279" s="851">
        <v>6.3312302767449938E-2</v>
      </c>
      <c r="BX279" s="851">
        <v>0.11691875542456316</v>
      </c>
      <c r="BY279" s="851">
        <v>5.6656807755931576E-3</v>
      </c>
      <c r="BZ279" s="851">
        <v>2.0655927493699943E-2</v>
      </c>
      <c r="CA279" s="851">
        <v>2.097944582085785E-2</v>
      </c>
      <c r="CB279" s="851">
        <v>3.1701289468578329E-2</v>
      </c>
      <c r="CC279" s="851">
        <v>1.1241117487021769E-2</v>
      </c>
      <c r="CD279" s="851">
        <v>6.7115966809829829E-3</v>
      </c>
      <c r="CE279" s="852">
        <v>21.473085477921746</v>
      </c>
      <c r="CF279" s="852">
        <v>16.691567547325359</v>
      </c>
      <c r="CG279" s="604"/>
      <c r="CH279" s="584">
        <v>51.724800000000002</v>
      </c>
      <c r="CI279" s="576">
        <v>2.2370100000000002</v>
      </c>
      <c r="CJ279" s="576">
        <v>13.402200000000001</v>
      </c>
      <c r="CK279" s="576">
        <v>11.0791</v>
      </c>
      <c r="CL279" s="576">
        <v>0.171047</v>
      </c>
      <c r="CM279" s="576">
        <v>9.1180800000000009</v>
      </c>
      <c r="CN279" s="576">
        <v>10.304399999999999</v>
      </c>
      <c r="CO279" s="576">
        <v>2.2290700000000001</v>
      </c>
      <c r="CP279" s="576">
        <v>0.46142300000000003</v>
      </c>
      <c r="CQ279" s="576">
        <v>0.21587000000000001</v>
      </c>
      <c r="CR279" s="857">
        <v>1.7809999999999999E-2</v>
      </c>
      <c r="CS279" s="793">
        <v>323.45</v>
      </c>
      <c r="CT279" s="576">
        <f t="shared" si="216"/>
        <v>100.99315500000002</v>
      </c>
      <c r="CU279" s="576" t="s">
        <v>64</v>
      </c>
      <c r="CV279" s="592" t="s">
        <v>64</v>
      </c>
      <c r="CW279" s="604"/>
      <c r="CX279" s="946" t="s">
        <v>64</v>
      </c>
      <c r="CY279" s="944" t="s">
        <v>64</v>
      </c>
      <c r="CZ279" s="944" t="s">
        <v>64</v>
      </c>
      <c r="DA279" s="938" t="str">
        <f t="shared" si="217"/>
        <v>-</v>
      </c>
      <c r="DB279" s="946" t="s">
        <v>64</v>
      </c>
      <c r="DC279" s="944" t="s">
        <v>64</v>
      </c>
      <c r="DD279" s="944" t="s">
        <v>64</v>
      </c>
      <c r="DE279" s="939" t="str">
        <f t="shared" si="218"/>
        <v>-</v>
      </c>
      <c r="DF279" s="9"/>
    </row>
    <row r="280" spans="1:110">
      <c r="A280" s="846" t="s">
        <v>976</v>
      </c>
      <c r="B280" s="41" t="s">
        <v>679</v>
      </c>
      <c r="C280" s="41" t="s">
        <v>1488</v>
      </c>
      <c r="D280" s="34" t="s">
        <v>736</v>
      </c>
      <c r="E280" s="535">
        <v>19.389810000000001</v>
      </c>
      <c r="F280" s="537">
        <v>-155.29229000000001</v>
      </c>
      <c r="G280" s="37" t="s">
        <v>946</v>
      </c>
      <c r="H280" s="37" t="s">
        <v>64</v>
      </c>
      <c r="I280" s="202" t="s">
        <v>64</v>
      </c>
      <c r="J280" t="s">
        <v>877</v>
      </c>
      <c r="K280" s="870">
        <v>43053</v>
      </c>
      <c r="L280" s="51" t="s">
        <v>64</v>
      </c>
      <c r="M280" s="52" t="s">
        <v>64</v>
      </c>
      <c r="N280" s="838" t="s">
        <v>64</v>
      </c>
      <c r="O280" s="54" t="s">
        <v>64</v>
      </c>
      <c r="P280" s="779" t="s">
        <v>64</v>
      </c>
      <c r="Q280" s="54" t="s">
        <v>64</v>
      </c>
      <c r="R280" s="772" t="s">
        <v>64</v>
      </c>
      <c r="S280" s="624" t="s">
        <v>64</v>
      </c>
      <c r="T280" s="861" t="s">
        <v>946</v>
      </c>
      <c r="U280" s="21" t="s">
        <v>64</v>
      </c>
      <c r="V280" s="552" t="s">
        <v>64</v>
      </c>
      <c r="W280" s="552" t="s">
        <v>64</v>
      </c>
      <c r="X280" s="779" t="s">
        <v>64</v>
      </c>
      <c r="Y280" s="54" t="s">
        <v>64</v>
      </c>
      <c r="Z280" s="54" t="s">
        <v>64</v>
      </c>
      <c r="AA280" s="54" t="s">
        <v>64</v>
      </c>
      <c r="AB280" s="32" t="s">
        <v>64</v>
      </c>
      <c r="AC280" s="6">
        <f t="shared" si="209"/>
        <v>1200.6626699999999</v>
      </c>
      <c r="AD280" s="20" t="s">
        <v>64</v>
      </c>
      <c r="AE280" s="6" t="str">
        <f t="shared" si="210"/>
        <v>-</v>
      </c>
      <c r="AF280" s="885" t="s">
        <v>64</v>
      </c>
      <c r="AG280" s="772" t="s">
        <v>64</v>
      </c>
      <c r="AH280" s="32">
        <f t="shared" si="211"/>
        <v>60.43061833511544</v>
      </c>
      <c r="AI280" s="9">
        <v>51.74467905338885</v>
      </c>
      <c r="AJ280" s="9">
        <v>2.2882571758693899</v>
      </c>
      <c r="AK280" s="9">
        <v>12.552023461508913</v>
      </c>
      <c r="AL280" s="9">
        <v>10.822279521210314</v>
      </c>
      <c r="AM280" s="9">
        <v>0.16888761442945455</v>
      </c>
      <c r="AN280" s="9">
        <v>9.2703214741291546</v>
      </c>
      <c r="AO280" s="9">
        <v>10.152263285794559</v>
      </c>
      <c r="AP280" s="9">
        <v>2.168149378722156</v>
      </c>
      <c r="AQ280" s="9">
        <v>0.47297136837549536</v>
      </c>
      <c r="AR280" s="9">
        <v>0.21502010892215967</v>
      </c>
      <c r="AS280" s="6">
        <v>199.21802756543829</v>
      </c>
      <c r="AT280" s="6">
        <v>1252.2575489302769</v>
      </c>
      <c r="AU280" s="9">
        <v>100.176677</v>
      </c>
      <c r="AV280" s="8">
        <f t="shared" si="212"/>
        <v>2.1650735454730894</v>
      </c>
      <c r="AW280" s="9">
        <f t="shared" si="213"/>
        <v>8.8742692073924569</v>
      </c>
      <c r="AX280" s="8" t="s">
        <v>64</v>
      </c>
      <c r="AY280" s="789" t="s">
        <v>64</v>
      </c>
      <c r="AZ280" s="6" t="s">
        <v>64</v>
      </c>
      <c r="BA280" s="48" t="s">
        <v>64</v>
      </c>
      <c r="BB280" s="48" t="s">
        <v>64</v>
      </c>
      <c r="BC280" s="48" t="s">
        <v>64</v>
      </c>
      <c r="BD280" s="849" t="s">
        <v>64</v>
      </c>
      <c r="BE280" s="48" t="s">
        <v>64</v>
      </c>
      <c r="BF280" s="773" t="s">
        <v>64</v>
      </c>
      <c r="BG280" s="880" t="s">
        <v>64</v>
      </c>
      <c r="BH280" s="880" t="s">
        <v>64</v>
      </c>
      <c r="BI280" s="850" t="str">
        <f t="shared" si="214"/>
        <v>-</v>
      </c>
      <c r="BJ280" s="789" t="str">
        <f t="shared" si="215"/>
        <v>-</v>
      </c>
      <c r="BK280" s="563" t="s">
        <v>64</v>
      </c>
      <c r="BL280" s="48" t="s">
        <v>64</v>
      </c>
      <c r="BM280" s="48" t="s">
        <v>64</v>
      </c>
      <c r="BN280" s="47" t="s">
        <v>64</v>
      </c>
      <c r="BO280" s="789" t="s">
        <v>64</v>
      </c>
      <c r="BP280" s="789" t="s">
        <v>64</v>
      </c>
      <c r="BQ280" s="34" t="s">
        <v>64</v>
      </c>
      <c r="BR280" s="25">
        <v>2.6915683274074449</v>
      </c>
      <c r="BS280" s="26">
        <v>2.9462459938076582</v>
      </c>
      <c r="BT280" s="604"/>
      <c r="BU280" s="599">
        <v>0.14040039001593158</v>
      </c>
      <c r="BV280" s="851">
        <v>2.718174934071731E-2</v>
      </c>
      <c r="BW280" s="851">
        <v>6.1889132399550462E-2</v>
      </c>
      <c r="BX280" s="851">
        <v>0.11662521303237081</v>
      </c>
      <c r="BY280" s="851">
        <v>5.6455413976249204E-3</v>
      </c>
      <c r="BZ280" s="851">
        <v>2.1000337344989E-2</v>
      </c>
      <c r="CA280" s="851">
        <v>2.1019651997440488E-2</v>
      </c>
      <c r="CB280" s="851">
        <v>3.1559799171617574E-2</v>
      </c>
      <c r="CC280" s="851">
        <v>1.154523110204584E-2</v>
      </c>
      <c r="CD280" s="851">
        <v>6.6563775119032964E-3</v>
      </c>
      <c r="CE280" s="852">
        <v>21.754409392118298</v>
      </c>
      <c r="CF280" s="852">
        <v>20.839819677787879</v>
      </c>
      <c r="CG280" s="604"/>
      <c r="CH280" s="584">
        <v>51.836100000000002</v>
      </c>
      <c r="CI280" s="576">
        <v>2.2923</v>
      </c>
      <c r="CJ280" s="576">
        <v>12.574199999999999</v>
      </c>
      <c r="CK280" s="576">
        <v>10.8414</v>
      </c>
      <c r="CL280" s="576">
        <v>0.169186</v>
      </c>
      <c r="CM280" s="576">
        <v>9.2866999999999997</v>
      </c>
      <c r="CN280" s="576">
        <v>10.170199999999999</v>
      </c>
      <c r="CO280" s="576">
        <v>2.17198</v>
      </c>
      <c r="CP280" s="576">
        <v>0.47380699999999998</v>
      </c>
      <c r="CQ280" s="576">
        <v>0.21540000000000001</v>
      </c>
      <c r="CR280" s="857">
        <v>1.9956999999999999E-2</v>
      </c>
      <c r="CS280" s="793">
        <v>1254.47</v>
      </c>
      <c r="CT280" s="576">
        <f t="shared" si="216"/>
        <v>100.176677</v>
      </c>
      <c r="CU280" s="576" t="s">
        <v>64</v>
      </c>
      <c r="CV280" s="592" t="s">
        <v>64</v>
      </c>
      <c r="CW280" s="604"/>
      <c r="CX280" s="946" t="s">
        <v>64</v>
      </c>
      <c r="CY280" s="944" t="s">
        <v>64</v>
      </c>
      <c r="CZ280" s="944" t="s">
        <v>64</v>
      </c>
      <c r="DA280" s="938" t="str">
        <f t="shared" si="217"/>
        <v>-</v>
      </c>
      <c r="DB280" s="946" t="s">
        <v>64</v>
      </c>
      <c r="DC280" s="944" t="s">
        <v>64</v>
      </c>
      <c r="DD280" s="944" t="s">
        <v>64</v>
      </c>
      <c r="DE280" s="939" t="str">
        <f t="shared" si="218"/>
        <v>-</v>
      </c>
      <c r="DF280" s="9"/>
    </row>
    <row r="281" spans="1:110">
      <c r="A281" s="846"/>
      <c r="B281" s="41"/>
      <c r="C281" s="41"/>
      <c r="D281" s="34"/>
      <c r="E281" s="535"/>
      <c r="F281" s="537"/>
      <c r="H281" s="34"/>
      <c r="I281" s="28"/>
      <c r="K281" s="34"/>
      <c r="L281" s="39"/>
      <c r="M281" s="34"/>
      <c r="N281" s="881"/>
      <c r="O281" s="881"/>
      <c r="P281" s="776"/>
      <c r="Q281" s="881"/>
      <c r="R281" s="28"/>
      <c r="S281" s="33"/>
      <c r="T281" s="861"/>
      <c r="U281" s="28"/>
      <c r="V281" s="26"/>
      <c r="W281" s="26"/>
      <c r="X281" s="776"/>
      <c r="Y281" s="881"/>
      <c r="Z281" s="881"/>
      <c r="AA281" s="881"/>
      <c r="AB281" s="32"/>
      <c r="AC281" s="6"/>
      <c r="AD281" s="20"/>
      <c r="AE281" s="6"/>
      <c r="AF281" s="786"/>
      <c r="AG281" s="34"/>
      <c r="AH281" s="32"/>
      <c r="AI281" s="9"/>
      <c r="AJ281" s="9"/>
      <c r="AK281" s="9"/>
      <c r="AL281" s="9"/>
      <c r="AM281" s="9"/>
      <c r="AN281" s="9"/>
      <c r="AO281" s="9"/>
      <c r="AP281" s="9"/>
      <c r="AQ281" s="9"/>
      <c r="AR281" s="9"/>
      <c r="AS281" s="6"/>
      <c r="AT281" s="6"/>
      <c r="AU281" s="9"/>
      <c r="AV281" s="8"/>
      <c r="AW281" s="9"/>
      <c r="AX281" s="8"/>
      <c r="AY281" s="787"/>
      <c r="AZ281" s="6"/>
      <c r="BB281" s="3"/>
      <c r="BD281" s="849"/>
      <c r="BF281" s="668"/>
      <c r="BG281" s="68"/>
      <c r="BH281" s="68"/>
      <c r="BI281" s="781"/>
      <c r="BK281" s="563"/>
      <c r="BL281" s="48"/>
      <c r="BM281" s="48"/>
      <c r="BN281" s="47"/>
      <c r="BO281" s="789"/>
      <c r="BP281" s="789"/>
      <c r="BQ281" s="34"/>
      <c r="BR281" s="25"/>
      <c r="BS281" s="26"/>
      <c r="BT281" s="604"/>
      <c r="BU281" s="598"/>
      <c r="BV281" s="790"/>
      <c r="BW281" s="790"/>
      <c r="BX281" s="790"/>
      <c r="BY281" s="790"/>
      <c r="BZ281" s="790"/>
      <c r="CA281" s="790"/>
      <c r="CB281" s="790"/>
      <c r="CC281" s="790"/>
      <c r="CD281" s="790"/>
      <c r="CE281" s="791"/>
      <c r="CF281" s="791"/>
      <c r="CG281" s="604"/>
      <c r="CH281" s="584"/>
      <c r="CI281" s="576"/>
      <c r="CJ281" s="576"/>
      <c r="CK281" s="576"/>
      <c r="CL281" s="576"/>
      <c r="CM281" s="576"/>
      <c r="CN281" s="576"/>
      <c r="CO281" s="576"/>
      <c r="CP281" s="576"/>
      <c r="CQ281" s="576"/>
      <c r="CR281" s="857"/>
      <c r="CS281" s="793"/>
      <c r="CT281" s="576"/>
      <c r="CU281" s="855"/>
      <c r="CV281" s="592"/>
      <c r="CW281" s="604"/>
      <c r="CX281" s="946"/>
      <c r="CY281" s="944"/>
      <c r="CZ281" s="944"/>
      <c r="DA281" s="948"/>
      <c r="DB281" s="946"/>
      <c r="DC281" s="944"/>
      <c r="DD281" s="944"/>
      <c r="DE281" s="949"/>
      <c r="DF281" s="9"/>
    </row>
    <row r="282" spans="1:110">
      <c r="A282" s="837" t="s">
        <v>1489</v>
      </c>
      <c r="B282" s="41"/>
      <c r="C282" s="41"/>
      <c r="D282" s="41"/>
      <c r="E282" s="535"/>
      <c r="F282" s="537"/>
      <c r="H282" s="41"/>
      <c r="I282" s="47"/>
      <c r="K282" s="34"/>
      <c r="L282" s="5"/>
      <c r="N282" s="783"/>
      <c r="O282" s="783"/>
      <c r="P282" s="778"/>
      <c r="R282" s="24"/>
      <c r="S282" s="624"/>
      <c r="T282" s="859"/>
      <c r="U282" s="24"/>
      <c r="V282" s="1"/>
      <c r="W282" s="1"/>
      <c r="X282" s="778"/>
      <c r="Y282" s="783"/>
      <c r="Z282" s="783"/>
      <c r="AA282" s="783"/>
      <c r="AB282" s="11"/>
      <c r="AC282" s="7"/>
      <c r="AD282" s="7"/>
      <c r="AE282" s="7"/>
      <c r="AF282" s="786"/>
      <c r="AH282" s="32"/>
      <c r="AI282" s="7"/>
      <c r="AJ282" s="7"/>
      <c r="AK282" s="7"/>
      <c r="AL282" s="7"/>
      <c r="AM282" s="7"/>
      <c r="AN282" s="7"/>
      <c r="AO282" s="7"/>
      <c r="AP282" s="7"/>
      <c r="AQ282" s="7"/>
      <c r="AR282" s="7"/>
      <c r="AS282" s="7"/>
      <c r="AT282" s="7"/>
      <c r="AU282" s="7"/>
      <c r="AV282" s="11"/>
      <c r="AW282" s="7"/>
      <c r="AX282" s="8"/>
      <c r="AY282" s="787"/>
      <c r="AZ282" s="7"/>
      <c r="BB282" s="3"/>
      <c r="BD282" s="786"/>
      <c r="BF282" s="669"/>
      <c r="BG282" s="68"/>
      <c r="BH282" s="68"/>
      <c r="BI282" s="781"/>
      <c r="BK282" s="563"/>
      <c r="BL282" s="48"/>
      <c r="BM282" s="48"/>
      <c r="BN282" s="47"/>
      <c r="BO282" s="789"/>
      <c r="BP282" s="789"/>
      <c r="BQ282" s="34"/>
      <c r="BR282" s="25"/>
      <c r="BS282" s="26"/>
      <c r="BT282" s="604"/>
      <c r="BU282" s="598"/>
      <c r="BV282" s="790"/>
      <c r="BW282" s="790"/>
      <c r="BX282" s="790"/>
      <c r="BY282" s="790"/>
      <c r="BZ282" s="790"/>
      <c r="CA282" s="790"/>
      <c r="CB282" s="790"/>
      <c r="CC282" s="790"/>
      <c r="CD282" s="790"/>
      <c r="CE282" s="791"/>
      <c r="CF282" s="791"/>
      <c r="CG282" s="604"/>
      <c r="CH282" s="584"/>
      <c r="CI282" s="576"/>
      <c r="CJ282" s="576"/>
      <c r="CK282" s="576"/>
      <c r="CL282" s="576"/>
      <c r="CM282" s="576"/>
      <c r="CN282" s="576"/>
      <c r="CO282" s="576"/>
      <c r="CP282" s="576"/>
      <c r="CQ282" s="576"/>
      <c r="CR282" s="792"/>
      <c r="CS282" s="576"/>
      <c r="CT282" s="577"/>
      <c r="CU282" s="576"/>
      <c r="CV282" s="591"/>
      <c r="CW282" s="604"/>
      <c r="CX282" s="946"/>
      <c r="CY282" s="944"/>
      <c r="CZ282" s="944"/>
      <c r="DA282" s="948"/>
      <c r="DB282" s="946"/>
      <c r="DC282" s="944"/>
      <c r="DD282" s="944"/>
      <c r="DE282" s="949"/>
      <c r="DF282" s="7"/>
    </row>
    <row r="283" spans="1:110">
      <c r="A283" s="846" t="s">
        <v>977</v>
      </c>
      <c r="B283" s="41" t="s">
        <v>156</v>
      </c>
      <c r="C283" s="41" t="s">
        <v>1491</v>
      </c>
      <c r="D283" s="34">
        <v>1500</v>
      </c>
      <c r="E283" s="535">
        <v>19.42567</v>
      </c>
      <c r="F283" s="537">
        <v>-155.25163000000001</v>
      </c>
      <c r="G283" s="37" t="s">
        <v>935</v>
      </c>
      <c r="H283" s="37" t="s">
        <v>64</v>
      </c>
      <c r="I283" s="202" t="s">
        <v>64</v>
      </c>
      <c r="J283" t="s">
        <v>877</v>
      </c>
      <c r="K283" s="870">
        <v>43053</v>
      </c>
      <c r="L283" s="51" t="s">
        <v>64</v>
      </c>
      <c r="M283" s="52" t="s">
        <v>64</v>
      </c>
      <c r="N283" s="838" t="s">
        <v>64</v>
      </c>
      <c r="O283" s="54" t="s">
        <v>64</v>
      </c>
      <c r="P283" s="779" t="s">
        <v>64</v>
      </c>
      <c r="Q283" s="54" t="s">
        <v>64</v>
      </c>
      <c r="R283" s="772" t="s">
        <v>64</v>
      </c>
      <c r="S283" s="624" t="s">
        <v>64</v>
      </c>
      <c r="T283" s="861" t="s">
        <v>935</v>
      </c>
      <c r="U283" s="21" t="s">
        <v>64</v>
      </c>
      <c r="V283" s="552" t="s">
        <v>64</v>
      </c>
      <c r="W283" s="552" t="s">
        <v>64</v>
      </c>
      <c r="X283" s="779" t="s">
        <v>64</v>
      </c>
      <c r="Y283" s="54" t="s">
        <v>64</v>
      </c>
      <c r="Z283" s="54" t="s">
        <v>64</v>
      </c>
      <c r="AA283" s="54" t="s">
        <v>64</v>
      </c>
      <c r="AB283" s="32" t="s">
        <v>64</v>
      </c>
      <c r="AC283" s="6">
        <f t="shared" ref="AC283:AC289" si="219" xml:space="preserve"> 20.1*CM283+1014</f>
        <v>1162.9186890000001</v>
      </c>
      <c r="AD283" s="20" t="s">
        <v>64</v>
      </c>
      <c r="AE283" s="6" t="str">
        <f t="shared" ref="AE283:AE289" si="220">IF(ISNUMBER(U283),0.02289*U283^3- 4.943*U283^2+ 358.6*U283-7620,"-")</f>
        <v>-</v>
      </c>
      <c r="AF283" s="885" t="s">
        <v>64</v>
      </c>
      <c r="AG283" s="772" t="s">
        <v>64</v>
      </c>
      <c r="AH283" s="32">
        <f t="shared" ref="AH283:AH289" si="221">100*(AN283/40.3)/((AN283/40.3)+(AL283/71.85))</f>
        <v>55.772580234554709</v>
      </c>
      <c r="AI283" s="9">
        <v>52.325581985137894</v>
      </c>
      <c r="AJ283" s="9">
        <v>2.2895846823234223</v>
      </c>
      <c r="AK283" s="9">
        <v>13.287199436216401</v>
      </c>
      <c r="AL283" s="9">
        <v>10.626026420204424</v>
      </c>
      <c r="AM283" s="9">
        <v>0.1679431160446121</v>
      </c>
      <c r="AN283" s="9">
        <v>7.5158533704116879</v>
      </c>
      <c r="AO283" s="9">
        <v>10.948718882520364</v>
      </c>
      <c r="AP283" s="9">
        <v>2.1571093328929321</v>
      </c>
      <c r="AQ283" s="9">
        <v>0.41657963641151774</v>
      </c>
      <c r="AR283" s="9">
        <v>0.22630165729614149</v>
      </c>
      <c r="AS283" s="6">
        <v>153.59593121426201</v>
      </c>
      <c r="AT283" s="6">
        <v>237.41887419183593</v>
      </c>
      <c r="AU283" s="9">
        <v>98.576829999999987</v>
      </c>
      <c r="AV283" s="8">
        <f t="shared" ref="AV283:AV289" si="222">IF(ISNUMBER(AL283),(AL283/71.84)*(0.18/2)*159.69,"-")</f>
        <v>2.1258117248582962</v>
      </c>
      <c r="AW283" s="9">
        <f t="shared" ref="AW283:AW289" si="223">IF(ISNUMBER(AL283),(AL283/71.84)*(1-0.18)*71.84,"-")</f>
        <v>8.7133416645676292</v>
      </c>
      <c r="AX283" s="8" t="s">
        <v>64</v>
      </c>
      <c r="AY283" s="789" t="s">
        <v>64</v>
      </c>
      <c r="AZ283" s="6" t="s">
        <v>64</v>
      </c>
      <c r="BA283" s="48" t="s">
        <v>64</v>
      </c>
      <c r="BB283" s="48" t="s">
        <v>64</v>
      </c>
      <c r="BC283" s="48" t="s">
        <v>64</v>
      </c>
      <c r="BD283" s="849" t="s">
        <v>64</v>
      </c>
      <c r="BE283" s="48" t="s">
        <v>64</v>
      </c>
      <c r="BF283" s="773" t="s">
        <v>64</v>
      </c>
      <c r="BG283" s="880" t="s">
        <v>64</v>
      </c>
      <c r="BH283" s="880" t="s">
        <v>64</v>
      </c>
      <c r="BI283" s="850" t="str">
        <f t="shared" ref="BI283:BI289" si="224">IF(NOT(ISNUMBER(BF283)),"-",(0.0684*((BF283/1000))^3 - 0.5008*((BF283/1000))^2 + 4.47*((BF283/1000))))</f>
        <v>-</v>
      </c>
      <c r="BJ283" s="789" t="str">
        <f t="shared" ref="BJ283:BJ289" si="225">IF(NOT(ISNUMBER(BF283)),"-",AVERAGE(ABS(BI283-(0.0684*(((BF283+BG283)/1000))^3-0.5008*(((BF283+BG283)/1000))^2+4.47*(((BF283+BG283)/1000)))),ABS(BI283-(0.0684*(((BF283-BG283)/1000))^3-0.5008*(((BF283-BG283)/1000))^2+4.47*(((BF283-BG283)/1000))))))</f>
        <v>-</v>
      </c>
      <c r="BK283" s="563" t="s">
        <v>64</v>
      </c>
      <c r="BL283" s="48" t="s">
        <v>64</v>
      </c>
      <c r="BM283" s="48" t="s">
        <v>64</v>
      </c>
      <c r="BN283" s="47" t="s">
        <v>64</v>
      </c>
      <c r="BO283" s="789" t="s">
        <v>64</v>
      </c>
      <c r="BP283" s="789" t="s">
        <v>64</v>
      </c>
      <c r="BQ283" s="34" t="s">
        <v>64</v>
      </c>
      <c r="BR283" s="25">
        <v>2.6867747742957291</v>
      </c>
      <c r="BS283" s="26">
        <v>2.9228691751644531</v>
      </c>
      <c r="BT283" s="604"/>
      <c r="BU283" s="599">
        <v>0.14198965276323047</v>
      </c>
      <c r="BV283" s="851">
        <v>2.7352981324313227E-2</v>
      </c>
      <c r="BW283" s="851">
        <v>6.3943982926819604E-2</v>
      </c>
      <c r="BX283" s="851">
        <v>0.1160935890513014</v>
      </c>
      <c r="BY283" s="851">
        <v>5.9635089019397357E-3</v>
      </c>
      <c r="BZ283" s="851">
        <v>1.960405129724703E-2</v>
      </c>
      <c r="CA283" s="851">
        <v>2.2646658598171596E-2</v>
      </c>
      <c r="CB283" s="851">
        <v>3.1451085495445529E-2</v>
      </c>
      <c r="CC283" s="851">
        <v>1.1326508708283679E-2</v>
      </c>
      <c r="CD283" s="851">
        <v>6.9105510786865425E-3</v>
      </c>
      <c r="CE283" s="852">
        <v>24.906809013842302</v>
      </c>
      <c r="CF283" s="852">
        <v>17.184734242316374</v>
      </c>
      <c r="CG283" s="604"/>
      <c r="CH283" s="584">
        <v>51.5809</v>
      </c>
      <c r="CI283" s="576">
        <v>2.2570000000000001</v>
      </c>
      <c r="CJ283" s="576">
        <v>13.098100000000001</v>
      </c>
      <c r="CK283" s="576">
        <v>10.4748</v>
      </c>
      <c r="CL283" s="576">
        <v>0.16555300000000001</v>
      </c>
      <c r="CM283" s="576">
        <v>7.4088900000000004</v>
      </c>
      <c r="CN283" s="576">
        <v>10.792899999999999</v>
      </c>
      <c r="CO283" s="576">
        <v>2.1264099999999999</v>
      </c>
      <c r="CP283" s="576">
        <v>0.41065099999999999</v>
      </c>
      <c r="CQ283" s="576">
        <v>0.223081</v>
      </c>
      <c r="CR283" s="857">
        <v>1.5141E-2</v>
      </c>
      <c r="CS283" s="793">
        <v>234.04000000000002</v>
      </c>
      <c r="CT283" s="576">
        <f t="shared" ref="CT283:CT289" si="226">SUM(CH283:CR283)+(CS283/10000)</f>
        <v>98.576829999999987</v>
      </c>
      <c r="CU283" s="855" t="s">
        <v>64</v>
      </c>
      <c r="CV283" s="592" t="s">
        <v>64</v>
      </c>
      <c r="CW283" s="604"/>
      <c r="CX283" s="946" t="s">
        <v>64</v>
      </c>
      <c r="CY283" s="944" t="s">
        <v>64</v>
      </c>
      <c r="CZ283" s="944" t="s">
        <v>64</v>
      </c>
      <c r="DA283" s="938" t="str">
        <f t="shared" ref="DA283:DA289" si="227">IF(NOT(ISNUMBER(CX283)),"-",(0.0684*((CX283/1000))^3 - 0.5008*((CX283/1000))^2 + 4.47*((CX283/1000))))</f>
        <v>-</v>
      </c>
      <c r="DB283" s="946" t="s">
        <v>64</v>
      </c>
      <c r="DC283" s="944" t="s">
        <v>64</v>
      </c>
      <c r="DD283" s="944" t="s">
        <v>64</v>
      </c>
      <c r="DE283" s="939" t="str">
        <f t="shared" ref="DE283:DE289" si="228">IF(NOT(ISNUMBER(DB283)),"-",(0.0684*((DB283/1000))^3 - 0.5008*((DB283/1000))^2 + 4.47*((DB283/1000))))</f>
        <v>-</v>
      </c>
      <c r="DF283" s="9"/>
    </row>
    <row r="284" spans="1:110">
      <c r="A284" s="846" t="s">
        <v>978</v>
      </c>
      <c r="B284" s="41" t="s">
        <v>156</v>
      </c>
      <c r="C284" s="41" t="s">
        <v>1491</v>
      </c>
      <c r="D284" s="34">
        <v>1500</v>
      </c>
      <c r="E284" s="535">
        <v>19.42567</v>
      </c>
      <c r="F284" s="537">
        <v>-155.25163000000001</v>
      </c>
      <c r="G284" s="37" t="s">
        <v>935</v>
      </c>
      <c r="H284" s="37" t="s">
        <v>64</v>
      </c>
      <c r="I284" s="202" t="s">
        <v>64</v>
      </c>
      <c r="J284" t="s">
        <v>877</v>
      </c>
      <c r="K284" s="870">
        <v>43053</v>
      </c>
      <c r="L284" s="51" t="s">
        <v>64</v>
      </c>
      <c r="M284" s="52" t="s">
        <v>64</v>
      </c>
      <c r="N284" s="838" t="s">
        <v>64</v>
      </c>
      <c r="O284" s="54" t="s">
        <v>64</v>
      </c>
      <c r="P284" s="779" t="s">
        <v>64</v>
      </c>
      <c r="Q284" s="54" t="s">
        <v>64</v>
      </c>
      <c r="R284" s="772" t="s">
        <v>64</v>
      </c>
      <c r="S284" s="624" t="s">
        <v>64</v>
      </c>
      <c r="T284" s="861" t="s">
        <v>935</v>
      </c>
      <c r="U284" s="21" t="s">
        <v>64</v>
      </c>
      <c r="V284" s="552" t="s">
        <v>64</v>
      </c>
      <c r="W284" s="552" t="s">
        <v>64</v>
      </c>
      <c r="X284" s="779" t="s">
        <v>64</v>
      </c>
      <c r="Y284" s="54" t="s">
        <v>64</v>
      </c>
      <c r="Z284" s="54" t="s">
        <v>64</v>
      </c>
      <c r="AA284" s="54" t="s">
        <v>64</v>
      </c>
      <c r="AB284" s="32" t="s">
        <v>64</v>
      </c>
      <c r="AC284" s="6">
        <f t="shared" si="219"/>
        <v>1167.355161</v>
      </c>
      <c r="AD284" s="20" t="s">
        <v>64</v>
      </c>
      <c r="AE284" s="6" t="str">
        <f t="shared" si="220"/>
        <v>-</v>
      </c>
      <c r="AF284" s="885" t="s">
        <v>64</v>
      </c>
      <c r="AG284" s="553" t="s">
        <v>64</v>
      </c>
      <c r="AH284" s="32">
        <f t="shared" si="221"/>
        <v>55.429310098272943</v>
      </c>
      <c r="AI284" s="9">
        <v>51.488442068799209</v>
      </c>
      <c r="AJ284" s="9">
        <v>2.2820586620561953</v>
      </c>
      <c r="AK284" s="9">
        <v>13.568666175712051</v>
      </c>
      <c r="AL284" s="9">
        <v>11.079958025436991</v>
      </c>
      <c r="AM284" s="9">
        <v>0.14788911143890715</v>
      </c>
      <c r="AN284" s="9">
        <v>7.7287009892625003</v>
      </c>
      <c r="AO284" s="9">
        <v>10.814453952583241</v>
      </c>
      <c r="AP284" s="9">
        <v>2.193270291260196</v>
      </c>
      <c r="AQ284" s="9">
        <v>0.44549679008007093</v>
      </c>
      <c r="AR284" s="9">
        <v>0.2299613738677925</v>
      </c>
      <c r="AS284" s="6">
        <v>126.3296944890927</v>
      </c>
      <c r="AT284" s="6">
        <v>84.695900539115073</v>
      </c>
      <c r="AU284" s="9">
        <v>98.717882999999986</v>
      </c>
      <c r="AV284" s="8">
        <f t="shared" si="222"/>
        <v>2.2166239523577804</v>
      </c>
      <c r="AW284" s="9">
        <f t="shared" si="223"/>
        <v>9.0855655808583311</v>
      </c>
      <c r="AX284" s="8" t="s">
        <v>64</v>
      </c>
      <c r="AY284" s="789" t="s">
        <v>64</v>
      </c>
      <c r="AZ284" s="6" t="s">
        <v>64</v>
      </c>
      <c r="BA284" s="48" t="s">
        <v>64</v>
      </c>
      <c r="BB284" s="48" t="s">
        <v>64</v>
      </c>
      <c r="BC284" s="48" t="s">
        <v>64</v>
      </c>
      <c r="BD284" s="849" t="s">
        <v>64</v>
      </c>
      <c r="BE284" s="48" t="s">
        <v>64</v>
      </c>
      <c r="BF284" s="773" t="s">
        <v>64</v>
      </c>
      <c r="BG284" s="880" t="s">
        <v>64</v>
      </c>
      <c r="BH284" s="880" t="s">
        <v>64</v>
      </c>
      <c r="BI284" s="850" t="str">
        <f t="shared" si="224"/>
        <v>-</v>
      </c>
      <c r="BJ284" s="789" t="str">
        <f t="shared" si="225"/>
        <v>-</v>
      </c>
      <c r="BK284" s="563" t="s">
        <v>64</v>
      </c>
      <c r="BL284" s="48" t="s">
        <v>64</v>
      </c>
      <c r="BM284" s="48" t="s">
        <v>64</v>
      </c>
      <c r="BN284" s="47" t="s">
        <v>64</v>
      </c>
      <c r="BO284" s="789" t="s">
        <v>64</v>
      </c>
      <c r="BP284" s="789" t="s">
        <v>64</v>
      </c>
      <c r="BQ284" s="34" t="s">
        <v>64</v>
      </c>
      <c r="BR284" s="25">
        <v>2.6973461577094149</v>
      </c>
      <c r="BS284" s="26">
        <v>2.9405359203595882</v>
      </c>
      <c r="BT284" s="604"/>
      <c r="BU284" s="599">
        <v>0.14096402692711713</v>
      </c>
      <c r="BV284" s="851">
        <v>2.7728610185046215E-2</v>
      </c>
      <c r="BW284" s="851">
        <v>6.4675454386516756E-2</v>
      </c>
      <c r="BX284" s="851">
        <v>0.11839378348500443</v>
      </c>
      <c r="BY284" s="851">
        <v>5.9734926225069067E-3</v>
      </c>
      <c r="BZ284" s="851">
        <v>1.9875900334086372E-2</v>
      </c>
      <c r="CA284" s="851">
        <v>2.2488224416238746E-2</v>
      </c>
      <c r="CB284" s="851">
        <v>3.1698458211467107E-2</v>
      </c>
      <c r="CC284" s="851">
        <v>1.1470072205154561E-2</v>
      </c>
      <c r="CD284" s="851">
        <v>7.05696265670527E-3</v>
      </c>
      <c r="CE284" s="852">
        <v>24.689622831559301</v>
      </c>
      <c r="CF284" s="852">
        <v>15.834999652494572</v>
      </c>
      <c r="CG284" s="604"/>
      <c r="CH284" s="584">
        <v>50.828299999999999</v>
      </c>
      <c r="CI284" s="576">
        <v>2.2528000000000001</v>
      </c>
      <c r="CJ284" s="576">
        <v>13.3947</v>
      </c>
      <c r="CK284" s="576">
        <v>10.937900000000001</v>
      </c>
      <c r="CL284" s="576">
        <v>0.14599300000000001</v>
      </c>
      <c r="CM284" s="576">
        <v>7.6296099999999996</v>
      </c>
      <c r="CN284" s="576">
        <v>10.675800000000001</v>
      </c>
      <c r="CO284" s="576">
        <v>2.1651500000000001</v>
      </c>
      <c r="CP284" s="576">
        <v>0.43978499999999998</v>
      </c>
      <c r="CQ284" s="576">
        <v>0.22701299999999999</v>
      </c>
      <c r="CR284" s="857">
        <v>1.2470999999999999E-2</v>
      </c>
      <c r="CS284" s="793">
        <v>83.61</v>
      </c>
      <c r="CT284" s="576">
        <f t="shared" si="226"/>
        <v>98.717882999999986</v>
      </c>
      <c r="CU284" s="855" t="s">
        <v>64</v>
      </c>
      <c r="CV284" s="592" t="s">
        <v>64</v>
      </c>
      <c r="CW284" s="604"/>
      <c r="CX284" s="946" t="s">
        <v>64</v>
      </c>
      <c r="CY284" s="944" t="s">
        <v>64</v>
      </c>
      <c r="CZ284" s="944" t="s">
        <v>64</v>
      </c>
      <c r="DA284" s="938" t="str">
        <f t="shared" si="227"/>
        <v>-</v>
      </c>
      <c r="DB284" s="946" t="s">
        <v>64</v>
      </c>
      <c r="DC284" s="944" t="s">
        <v>64</v>
      </c>
      <c r="DD284" s="944" t="s">
        <v>64</v>
      </c>
      <c r="DE284" s="939" t="str">
        <f t="shared" si="228"/>
        <v>-</v>
      </c>
      <c r="DF284" s="9"/>
    </row>
    <row r="285" spans="1:110">
      <c r="A285" s="846" t="s">
        <v>979</v>
      </c>
      <c r="B285" s="41" t="s">
        <v>156</v>
      </c>
      <c r="C285" s="41" t="s">
        <v>1491</v>
      </c>
      <c r="D285" s="34">
        <v>1500</v>
      </c>
      <c r="E285" s="535">
        <v>19.42567</v>
      </c>
      <c r="F285" s="537">
        <v>-155.25163000000001</v>
      </c>
      <c r="G285" s="37" t="s">
        <v>935</v>
      </c>
      <c r="H285" s="37" t="s">
        <v>64</v>
      </c>
      <c r="I285" s="202" t="s">
        <v>64</v>
      </c>
      <c r="J285" t="s">
        <v>877</v>
      </c>
      <c r="K285" s="870">
        <v>43053</v>
      </c>
      <c r="L285" s="51" t="s">
        <v>64</v>
      </c>
      <c r="M285" s="52" t="s">
        <v>64</v>
      </c>
      <c r="N285" s="838" t="s">
        <v>64</v>
      </c>
      <c r="O285" s="54" t="s">
        <v>64</v>
      </c>
      <c r="P285" s="779" t="s">
        <v>64</v>
      </c>
      <c r="Q285" s="54" t="s">
        <v>64</v>
      </c>
      <c r="R285" s="772" t="s">
        <v>64</v>
      </c>
      <c r="S285" s="624" t="s">
        <v>64</v>
      </c>
      <c r="T285" s="861" t="s">
        <v>935</v>
      </c>
      <c r="U285" s="21" t="s">
        <v>64</v>
      </c>
      <c r="V285" s="552" t="s">
        <v>64</v>
      </c>
      <c r="W285" s="552" t="s">
        <v>64</v>
      </c>
      <c r="X285" s="779" t="s">
        <v>64</v>
      </c>
      <c r="Y285" s="54" t="s">
        <v>64</v>
      </c>
      <c r="Z285" s="54" t="s">
        <v>64</v>
      </c>
      <c r="AA285" s="54" t="s">
        <v>64</v>
      </c>
      <c r="AB285" s="32" t="s">
        <v>64</v>
      </c>
      <c r="AC285" s="6">
        <f t="shared" si="219"/>
        <v>1168.3155389999999</v>
      </c>
      <c r="AD285" s="20" t="s">
        <v>64</v>
      </c>
      <c r="AE285" s="6" t="str">
        <f t="shared" si="220"/>
        <v>-</v>
      </c>
      <c r="AF285" s="885" t="s">
        <v>64</v>
      </c>
      <c r="AG285" s="553" t="s">
        <v>64</v>
      </c>
      <c r="AH285" s="32">
        <f t="shared" si="221"/>
        <v>57.238892745519408</v>
      </c>
      <c r="AI285" s="9">
        <v>51.53687642271403</v>
      </c>
      <c r="AJ285" s="9">
        <v>2.2401500663730114</v>
      </c>
      <c r="AK285" s="9">
        <v>13.940058752707319</v>
      </c>
      <c r="AL285" s="9">
        <v>10.38418762521102</v>
      </c>
      <c r="AM285" s="9">
        <v>0.17149746287742032</v>
      </c>
      <c r="AN285" s="9">
        <v>7.7963814928971935</v>
      </c>
      <c r="AO285" s="9">
        <v>10.867768225768975</v>
      </c>
      <c r="AP285" s="9">
        <v>2.3766331254133077</v>
      </c>
      <c r="AQ285" s="9">
        <v>0.43995476561471802</v>
      </c>
      <c r="AR285" s="9">
        <v>0.22843547357184285</v>
      </c>
      <c r="AS285" s="6">
        <v>104.56592700431058</v>
      </c>
      <c r="AT285" s="6">
        <v>75.999941507260402</v>
      </c>
      <c r="AU285" s="9">
        <v>98.473759999999999</v>
      </c>
      <c r="AV285" s="8">
        <f t="shared" si="222"/>
        <v>2.0774301638125738</v>
      </c>
      <c r="AW285" s="9">
        <f t="shared" si="223"/>
        <v>8.5150338526730369</v>
      </c>
      <c r="AX285" s="8" t="s">
        <v>64</v>
      </c>
      <c r="AY285" s="789" t="s">
        <v>64</v>
      </c>
      <c r="AZ285" s="6" t="s">
        <v>64</v>
      </c>
      <c r="BA285" s="48" t="s">
        <v>64</v>
      </c>
      <c r="BB285" s="48" t="s">
        <v>64</v>
      </c>
      <c r="BC285" s="48" t="s">
        <v>64</v>
      </c>
      <c r="BD285" s="849" t="s">
        <v>64</v>
      </c>
      <c r="BE285" s="48" t="s">
        <v>64</v>
      </c>
      <c r="BF285" s="773" t="s">
        <v>64</v>
      </c>
      <c r="BG285" s="880" t="s">
        <v>64</v>
      </c>
      <c r="BH285" s="880" t="s">
        <v>64</v>
      </c>
      <c r="BI285" s="850" t="str">
        <f t="shared" si="224"/>
        <v>-</v>
      </c>
      <c r="BJ285" s="789" t="str">
        <f t="shared" si="225"/>
        <v>-</v>
      </c>
      <c r="BK285" s="563" t="s">
        <v>64</v>
      </c>
      <c r="BL285" s="48" t="s">
        <v>64</v>
      </c>
      <c r="BM285" s="48" t="s">
        <v>64</v>
      </c>
      <c r="BN285" s="47" t="s">
        <v>64</v>
      </c>
      <c r="BO285" s="789" t="s">
        <v>64</v>
      </c>
      <c r="BP285" s="789" t="s">
        <v>64</v>
      </c>
      <c r="BQ285" s="34" t="s">
        <v>64</v>
      </c>
      <c r="BR285" s="25">
        <v>2.687273408096337</v>
      </c>
      <c r="BS285" s="26">
        <v>2.929670257149823</v>
      </c>
      <c r="BT285" s="604"/>
      <c r="BU285" s="599">
        <v>0.14120176476048035</v>
      </c>
      <c r="BV285" s="851">
        <v>2.7937807537764373E-2</v>
      </c>
      <c r="BW285" s="851">
        <v>6.5547132059342511E-2</v>
      </c>
      <c r="BX285" s="851">
        <v>0.11488130611647203</v>
      </c>
      <c r="BY285" s="851">
        <v>5.9246542510410895E-3</v>
      </c>
      <c r="BZ285" s="851">
        <v>1.9952187661362777E-2</v>
      </c>
      <c r="CA285" s="851">
        <v>2.2580396753409226E-2</v>
      </c>
      <c r="CB285" s="851">
        <v>3.2804904693392423E-2</v>
      </c>
      <c r="CC285" s="851">
        <v>1.1495930034559457E-2</v>
      </c>
      <c r="CD285" s="851">
        <v>7.1573174144056216E-3</v>
      </c>
      <c r="CE285" s="852">
        <v>24.840367921363011</v>
      </c>
      <c r="CF285" s="852">
        <v>16.375479396744879</v>
      </c>
      <c r="CG285" s="604"/>
      <c r="CH285" s="584">
        <v>50.750300000000003</v>
      </c>
      <c r="CI285" s="576">
        <v>2.2059600000000001</v>
      </c>
      <c r="CJ285" s="576">
        <v>13.7273</v>
      </c>
      <c r="CK285" s="576">
        <v>10.2257</v>
      </c>
      <c r="CL285" s="576">
        <v>0.16888</v>
      </c>
      <c r="CM285" s="576">
        <v>7.6773899999999999</v>
      </c>
      <c r="CN285" s="576">
        <v>10.7019</v>
      </c>
      <c r="CO285" s="576">
        <v>2.34036</v>
      </c>
      <c r="CP285" s="576">
        <v>0.43324000000000001</v>
      </c>
      <c r="CQ285" s="576">
        <v>0.22494900000000001</v>
      </c>
      <c r="CR285" s="857">
        <v>1.0297000000000001E-2</v>
      </c>
      <c r="CS285" s="793">
        <v>74.84</v>
      </c>
      <c r="CT285" s="576">
        <f t="shared" si="226"/>
        <v>98.473759999999999</v>
      </c>
      <c r="CU285" s="855" t="s">
        <v>64</v>
      </c>
      <c r="CV285" s="592" t="s">
        <v>64</v>
      </c>
      <c r="CW285" s="604"/>
      <c r="CX285" s="946" t="s">
        <v>64</v>
      </c>
      <c r="CY285" s="944" t="s">
        <v>64</v>
      </c>
      <c r="CZ285" s="944" t="s">
        <v>64</v>
      </c>
      <c r="DA285" s="938" t="str">
        <f t="shared" si="227"/>
        <v>-</v>
      </c>
      <c r="DB285" s="946" t="s">
        <v>64</v>
      </c>
      <c r="DC285" s="944" t="s">
        <v>64</v>
      </c>
      <c r="DD285" s="944" t="s">
        <v>64</v>
      </c>
      <c r="DE285" s="939" t="str">
        <f t="shared" si="228"/>
        <v>-</v>
      </c>
      <c r="DF285" s="9"/>
    </row>
    <row r="286" spans="1:110">
      <c r="A286" s="846" t="s">
        <v>980</v>
      </c>
      <c r="B286" s="41" t="s">
        <v>156</v>
      </c>
      <c r="C286" s="41" t="s">
        <v>1491</v>
      </c>
      <c r="D286" s="34">
        <v>1500</v>
      </c>
      <c r="E286" s="535">
        <v>19.42567</v>
      </c>
      <c r="F286" s="537">
        <v>-155.25163000000001</v>
      </c>
      <c r="G286" s="37" t="s">
        <v>935</v>
      </c>
      <c r="H286" s="37" t="s">
        <v>64</v>
      </c>
      <c r="I286" s="202" t="s">
        <v>64</v>
      </c>
      <c r="J286" t="s">
        <v>877</v>
      </c>
      <c r="K286" s="870">
        <v>43053</v>
      </c>
      <c r="L286" s="51" t="s">
        <v>64</v>
      </c>
      <c r="M286" s="52" t="s">
        <v>64</v>
      </c>
      <c r="N286" s="838" t="s">
        <v>64</v>
      </c>
      <c r="O286" s="54" t="s">
        <v>64</v>
      </c>
      <c r="P286" s="779" t="s">
        <v>64</v>
      </c>
      <c r="Q286" s="54" t="s">
        <v>64</v>
      </c>
      <c r="R286" s="772" t="s">
        <v>64</v>
      </c>
      <c r="S286" s="624" t="s">
        <v>64</v>
      </c>
      <c r="T286" s="861" t="s">
        <v>935</v>
      </c>
      <c r="U286" s="21" t="s">
        <v>64</v>
      </c>
      <c r="V286" s="552" t="s">
        <v>64</v>
      </c>
      <c r="W286" s="552" t="s">
        <v>64</v>
      </c>
      <c r="X286" s="779" t="s">
        <v>64</v>
      </c>
      <c r="Y286" s="54" t="s">
        <v>64</v>
      </c>
      <c r="Z286" s="54" t="s">
        <v>64</v>
      </c>
      <c r="AA286" s="54" t="s">
        <v>64</v>
      </c>
      <c r="AB286" s="32" t="s">
        <v>64</v>
      </c>
      <c r="AC286" s="6">
        <f t="shared" si="219"/>
        <v>1169.7790199999999</v>
      </c>
      <c r="AD286" s="20" t="s">
        <v>64</v>
      </c>
      <c r="AE286" s="6" t="str">
        <f t="shared" si="220"/>
        <v>-</v>
      </c>
      <c r="AF286" s="885" t="s">
        <v>64</v>
      </c>
      <c r="AG286" s="553" t="s">
        <v>64</v>
      </c>
      <c r="AH286" s="32">
        <f t="shared" si="221"/>
        <v>56.708176994297489</v>
      </c>
      <c r="AI286" s="9">
        <v>51.380247035214865</v>
      </c>
      <c r="AJ286" s="9">
        <v>2.2427225932048001</v>
      </c>
      <c r="AK286" s="9">
        <v>13.669296250574922</v>
      </c>
      <c r="AL286" s="9">
        <v>10.718757270415814</v>
      </c>
      <c r="AM286" s="9">
        <v>0.16082911720345197</v>
      </c>
      <c r="AN286" s="9">
        <v>7.8752168626335868</v>
      </c>
      <c r="AO286" s="9">
        <v>10.868026883731712</v>
      </c>
      <c r="AP286" s="9">
        <v>2.4017775460457633</v>
      </c>
      <c r="AQ286" s="9">
        <v>0.43693725660619132</v>
      </c>
      <c r="AR286" s="9">
        <v>0.22430985615977672</v>
      </c>
      <c r="AS286" s="6">
        <v>126.24408957363637</v>
      </c>
      <c r="AT286" s="6">
        <v>92.54919251744046</v>
      </c>
      <c r="AU286" s="9">
        <v>98.41252799999998</v>
      </c>
      <c r="AV286" s="8">
        <f t="shared" si="222"/>
        <v>2.1443631871679161</v>
      </c>
      <c r="AW286" s="9">
        <f t="shared" si="223"/>
        <v>8.7893809617409673</v>
      </c>
      <c r="AX286" s="8" t="s">
        <v>64</v>
      </c>
      <c r="AY286" s="789" t="s">
        <v>64</v>
      </c>
      <c r="AZ286" s="6" t="s">
        <v>64</v>
      </c>
      <c r="BA286" s="48" t="s">
        <v>64</v>
      </c>
      <c r="BB286" s="48" t="s">
        <v>64</v>
      </c>
      <c r="BC286" s="48" t="s">
        <v>64</v>
      </c>
      <c r="BD286" s="849" t="s">
        <v>64</v>
      </c>
      <c r="BE286" s="48" t="s">
        <v>64</v>
      </c>
      <c r="BF286" s="773" t="s">
        <v>64</v>
      </c>
      <c r="BG286" s="880" t="s">
        <v>64</v>
      </c>
      <c r="BH286" s="880" t="s">
        <v>64</v>
      </c>
      <c r="BI286" s="850" t="str">
        <f t="shared" si="224"/>
        <v>-</v>
      </c>
      <c r="BJ286" s="789" t="str">
        <f t="shared" si="225"/>
        <v>-</v>
      </c>
      <c r="BK286" s="563" t="s">
        <v>64</v>
      </c>
      <c r="BL286" s="48" t="s">
        <v>64</v>
      </c>
      <c r="BM286" s="48" t="s">
        <v>64</v>
      </c>
      <c r="BN286" s="47" t="s">
        <v>64</v>
      </c>
      <c r="BO286" s="789" t="s">
        <v>64</v>
      </c>
      <c r="BP286" s="789" t="s">
        <v>64</v>
      </c>
      <c r="BQ286" s="34" t="s">
        <v>64</v>
      </c>
      <c r="BR286" s="25">
        <v>2.692689788870926</v>
      </c>
      <c r="BS286" s="26">
        <v>2.9381259272197591</v>
      </c>
      <c r="BT286" s="604"/>
      <c r="BU286" s="599">
        <v>0.14109735159328496</v>
      </c>
      <c r="BV286" s="851">
        <v>2.7906645771765971E-2</v>
      </c>
      <c r="BW286" s="851">
        <v>6.5034820850247824E-2</v>
      </c>
      <c r="BX286" s="851">
        <v>0.11673155417773638</v>
      </c>
      <c r="BY286" s="851">
        <v>5.9423142224331437E-3</v>
      </c>
      <c r="BZ286" s="851">
        <v>2.0077471630441199E-2</v>
      </c>
      <c r="CA286" s="851">
        <v>2.2582347020899611E-2</v>
      </c>
      <c r="CB286" s="851">
        <v>3.3031646590767384E-2</v>
      </c>
      <c r="CC286" s="851">
        <v>1.1226534790062498E-2</v>
      </c>
      <c r="CD286" s="851">
        <v>7.1705804648164312E-3</v>
      </c>
      <c r="CE286" s="852">
        <v>24.793455483635167</v>
      </c>
      <c r="CF286" s="852">
        <v>16.295876720085882</v>
      </c>
      <c r="CG286" s="604"/>
      <c r="CH286" s="584">
        <v>50.564599999999999</v>
      </c>
      <c r="CI286" s="576">
        <v>2.2071200000000002</v>
      </c>
      <c r="CJ286" s="576">
        <v>13.452299999999999</v>
      </c>
      <c r="CK286" s="576">
        <v>10.5486</v>
      </c>
      <c r="CL286" s="576">
        <v>0.158276</v>
      </c>
      <c r="CM286" s="576">
        <v>7.7502000000000004</v>
      </c>
      <c r="CN286" s="576">
        <v>10.695499999999999</v>
      </c>
      <c r="CO286" s="576">
        <v>2.3636499999999998</v>
      </c>
      <c r="CP286" s="576">
        <v>0.43000100000000002</v>
      </c>
      <c r="CQ286" s="576">
        <v>0.220749</v>
      </c>
      <c r="CR286" s="857">
        <v>1.2423999999999999E-2</v>
      </c>
      <c r="CS286" s="793">
        <v>91.08</v>
      </c>
      <c r="CT286" s="576">
        <f t="shared" si="226"/>
        <v>98.41252799999998</v>
      </c>
      <c r="CU286" s="855" t="s">
        <v>64</v>
      </c>
      <c r="CV286" s="592" t="s">
        <v>64</v>
      </c>
      <c r="CW286" s="604"/>
      <c r="CX286" s="946" t="s">
        <v>64</v>
      </c>
      <c r="CY286" s="944" t="s">
        <v>64</v>
      </c>
      <c r="CZ286" s="944" t="s">
        <v>64</v>
      </c>
      <c r="DA286" s="938" t="str">
        <f t="shared" si="227"/>
        <v>-</v>
      </c>
      <c r="DB286" s="946" t="s">
        <v>64</v>
      </c>
      <c r="DC286" s="944" t="s">
        <v>64</v>
      </c>
      <c r="DD286" s="944" t="s">
        <v>64</v>
      </c>
      <c r="DE286" s="939" t="str">
        <f t="shared" si="228"/>
        <v>-</v>
      </c>
      <c r="DF286" s="9"/>
    </row>
    <row r="287" spans="1:110">
      <c r="A287" s="846" t="s">
        <v>981</v>
      </c>
      <c r="B287" s="41" t="s">
        <v>156</v>
      </c>
      <c r="C287" s="41" t="s">
        <v>1491</v>
      </c>
      <c r="D287" s="34">
        <v>1500</v>
      </c>
      <c r="E287" s="535">
        <v>19.42567</v>
      </c>
      <c r="F287" s="537">
        <v>-155.25163000000001</v>
      </c>
      <c r="G287" s="37" t="s">
        <v>935</v>
      </c>
      <c r="H287" s="37" t="s">
        <v>64</v>
      </c>
      <c r="I287" s="202" t="s">
        <v>64</v>
      </c>
      <c r="J287" t="s">
        <v>877</v>
      </c>
      <c r="K287" s="870">
        <v>43053</v>
      </c>
      <c r="L287" s="51" t="s">
        <v>64</v>
      </c>
      <c r="M287" s="52" t="s">
        <v>64</v>
      </c>
      <c r="N287" s="838" t="s">
        <v>64</v>
      </c>
      <c r="O287" s="54" t="s">
        <v>64</v>
      </c>
      <c r="P287" s="779" t="s">
        <v>64</v>
      </c>
      <c r="Q287" s="54" t="s">
        <v>64</v>
      </c>
      <c r="R287" s="772" t="s">
        <v>64</v>
      </c>
      <c r="S287" s="624" t="s">
        <v>64</v>
      </c>
      <c r="T287" s="861" t="s">
        <v>935</v>
      </c>
      <c r="U287" s="21" t="s">
        <v>64</v>
      </c>
      <c r="V287" s="552" t="s">
        <v>64</v>
      </c>
      <c r="W287" s="552" t="s">
        <v>64</v>
      </c>
      <c r="X287" s="779" t="s">
        <v>64</v>
      </c>
      <c r="Y287" s="54" t="s">
        <v>64</v>
      </c>
      <c r="Z287" s="54" t="s">
        <v>64</v>
      </c>
      <c r="AA287" s="54" t="s">
        <v>64</v>
      </c>
      <c r="AB287" s="32" t="s">
        <v>64</v>
      </c>
      <c r="AC287" s="6">
        <f t="shared" si="219"/>
        <v>1169.7323879999999</v>
      </c>
      <c r="AD287" s="20" t="s">
        <v>64</v>
      </c>
      <c r="AE287" s="6" t="str">
        <f t="shared" si="220"/>
        <v>-</v>
      </c>
      <c r="AF287" s="885" t="s">
        <v>64</v>
      </c>
      <c r="AG287" s="553" t="s">
        <v>64</v>
      </c>
      <c r="AH287" s="32">
        <f t="shared" si="221"/>
        <v>57.297506066183743</v>
      </c>
      <c r="AI287" s="9">
        <v>51.845206637004104</v>
      </c>
      <c r="AJ287" s="9">
        <v>2.2504230923247923</v>
      </c>
      <c r="AK287" s="9">
        <v>14.289627236319683</v>
      </c>
      <c r="AL287" s="9">
        <v>10.265537380774397</v>
      </c>
      <c r="AM287" s="9">
        <v>0.16022470766641467</v>
      </c>
      <c r="AN287" s="9">
        <v>7.7257818688626729</v>
      </c>
      <c r="AO287" s="9">
        <v>10.690521793608522</v>
      </c>
      <c r="AP287" s="9">
        <v>2.14235220855435</v>
      </c>
      <c r="AQ287" s="9">
        <v>0.39462923804412997</v>
      </c>
      <c r="AR287" s="9">
        <v>0.21617567056771841</v>
      </c>
      <c r="AS287" s="6">
        <v>116.15775281803703</v>
      </c>
      <c r="AT287" s="6">
        <v>79.043909914033776</v>
      </c>
      <c r="AU287" s="9">
        <v>100.28603100000001</v>
      </c>
      <c r="AV287" s="8">
        <f t="shared" si="222"/>
        <v>2.0536933434051741</v>
      </c>
      <c r="AW287" s="9">
        <f t="shared" si="223"/>
        <v>8.4177406522350058</v>
      </c>
      <c r="AX287" s="8">
        <v>5.8666395798512919E-2</v>
      </c>
      <c r="AY287" s="789">
        <v>2.9333197899256459E-3</v>
      </c>
      <c r="AZ287" s="6" t="s">
        <v>292</v>
      </c>
      <c r="BA287" s="48" t="s">
        <v>64</v>
      </c>
      <c r="BB287" s="48" t="s">
        <v>64</v>
      </c>
      <c r="BC287" s="48" t="s">
        <v>64</v>
      </c>
      <c r="BD287" s="849" t="s">
        <v>64</v>
      </c>
      <c r="BE287" s="48" t="s">
        <v>64</v>
      </c>
      <c r="BF287" s="773" t="s">
        <v>64</v>
      </c>
      <c r="BG287" s="880" t="s">
        <v>64</v>
      </c>
      <c r="BH287" s="880" t="s">
        <v>64</v>
      </c>
      <c r="BI287" s="850" t="str">
        <f t="shared" si="224"/>
        <v>-</v>
      </c>
      <c r="BJ287" s="789" t="str">
        <f t="shared" si="225"/>
        <v>-</v>
      </c>
      <c r="BK287" s="563" t="s">
        <v>64</v>
      </c>
      <c r="BL287" s="48" t="s">
        <v>64</v>
      </c>
      <c r="BM287" s="48" t="s">
        <v>64</v>
      </c>
      <c r="BN287" s="47" t="s">
        <v>64</v>
      </c>
      <c r="BO287" s="789" t="s">
        <v>64</v>
      </c>
      <c r="BP287" s="789" t="s">
        <v>64</v>
      </c>
      <c r="BQ287" s="34" t="s">
        <v>64</v>
      </c>
      <c r="BR287" s="25">
        <v>2.6942533591865812</v>
      </c>
      <c r="BS287" s="26">
        <v>2.9260817956046381</v>
      </c>
      <c r="BT287" s="604"/>
      <c r="BU287" s="599">
        <v>0.14018892029439273</v>
      </c>
      <c r="BV287" s="851">
        <v>2.6626555943768473E-2</v>
      </c>
      <c r="BW287" s="851">
        <v>6.5450065149153233E-2</v>
      </c>
      <c r="BX287" s="851">
        <v>0.11366926886357684</v>
      </c>
      <c r="BY287" s="851">
        <v>5.7057941096502257E-3</v>
      </c>
      <c r="BZ287" s="851">
        <v>1.9203744217975882E-2</v>
      </c>
      <c r="CA287" s="851">
        <v>2.1547174295889721E-2</v>
      </c>
      <c r="CB287" s="851">
        <v>3.1351824925646921E-2</v>
      </c>
      <c r="CC287" s="851">
        <v>1.0963076473332563E-2</v>
      </c>
      <c r="CD287" s="851">
        <v>6.7067204739611232E-3</v>
      </c>
      <c r="CE287" s="852">
        <v>21.123984296476944</v>
      </c>
      <c r="CF287" s="852">
        <v>15.697409113737884</v>
      </c>
      <c r="CG287" s="604"/>
      <c r="CH287" s="584">
        <v>51.993499999999997</v>
      </c>
      <c r="CI287" s="576">
        <v>2.2568600000000001</v>
      </c>
      <c r="CJ287" s="576">
        <v>14.330500000000001</v>
      </c>
      <c r="CK287" s="576">
        <v>10.2949</v>
      </c>
      <c r="CL287" s="576">
        <v>0.16068299999999999</v>
      </c>
      <c r="CM287" s="576">
        <v>7.7478800000000003</v>
      </c>
      <c r="CN287" s="576">
        <v>10.7211</v>
      </c>
      <c r="CO287" s="576">
        <v>2.1484800000000002</v>
      </c>
      <c r="CP287" s="576">
        <v>0.395758</v>
      </c>
      <c r="CQ287" s="576">
        <v>0.21679399999999999</v>
      </c>
      <c r="CR287" s="857">
        <v>1.1649E-2</v>
      </c>
      <c r="CS287" s="793">
        <v>79.27</v>
      </c>
      <c r="CT287" s="576">
        <f t="shared" si="226"/>
        <v>100.28603100000001</v>
      </c>
      <c r="CU287" s="576">
        <v>5.8666395798512919E-2</v>
      </c>
      <c r="CV287" s="592" t="s">
        <v>292</v>
      </c>
      <c r="CW287" s="604"/>
      <c r="CX287" s="946" t="s">
        <v>64</v>
      </c>
      <c r="CY287" s="944" t="s">
        <v>64</v>
      </c>
      <c r="CZ287" s="944" t="s">
        <v>64</v>
      </c>
      <c r="DA287" s="938" t="str">
        <f t="shared" si="227"/>
        <v>-</v>
      </c>
      <c r="DB287" s="946" t="s">
        <v>64</v>
      </c>
      <c r="DC287" s="944" t="s">
        <v>64</v>
      </c>
      <c r="DD287" s="944" t="s">
        <v>64</v>
      </c>
      <c r="DE287" s="939" t="str">
        <f t="shared" si="228"/>
        <v>-</v>
      </c>
      <c r="DF287" s="9"/>
    </row>
    <row r="288" spans="1:110">
      <c r="A288" s="846" t="s">
        <v>982</v>
      </c>
      <c r="B288" s="41" t="s">
        <v>156</v>
      </c>
      <c r="C288" s="41" t="s">
        <v>1491</v>
      </c>
      <c r="D288" s="34">
        <v>1500</v>
      </c>
      <c r="E288" s="535">
        <v>19.42567</v>
      </c>
      <c r="F288" s="537">
        <v>-155.25163000000001</v>
      </c>
      <c r="G288" s="37" t="s">
        <v>935</v>
      </c>
      <c r="H288" s="37" t="s">
        <v>64</v>
      </c>
      <c r="I288" s="202" t="s">
        <v>64</v>
      </c>
      <c r="J288" t="s">
        <v>877</v>
      </c>
      <c r="K288" s="870">
        <v>43053</v>
      </c>
      <c r="L288" s="51" t="s">
        <v>64</v>
      </c>
      <c r="M288" s="52" t="s">
        <v>64</v>
      </c>
      <c r="N288" s="838" t="s">
        <v>64</v>
      </c>
      <c r="O288" s="54" t="s">
        <v>64</v>
      </c>
      <c r="P288" s="779" t="s">
        <v>64</v>
      </c>
      <c r="Q288" s="54" t="s">
        <v>64</v>
      </c>
      <c r="R288" s="772" t="s">
        <v>64</v>
      </c>
      <c r="S288" s="624" t="s">
        <v>64</v>
      </c>
      <c r="T288" s="861" t="s">
        <v>935</v>
      </c>
      <c r="U288" s="21" t="s">
        <v>64</v>
      </c>
      <c r="V288" s="552" t="s">
        <v>64</v>
      </c>
      <c r="W288" s="552" t="s">
        <v>64</v>
      </c>
      <c r="X288" s="779" t="s">
        <v>64</v>
      </c>
      <c r="Y288" s="54" t="s">
        <v>64</v>
      </c>
      <c r="Z288" s="54" t="s">
        <v>64</v>
      </c>
      <c r="AA288" s="54" t="s">
        <v>64</v>
      </c>
      <c r="AB288" s="32" t="s">
        <v>64</v>
      </c>
      <c r="AC288" s="6">
        <f t="shared" si="219"/>
        <v>1168.6640729999999</v>
      </c>
      <c r="AD288" s="20" t="s">
        <v>64</v>
      </c>
      <c r="AE288" s="6" t="str">
        <f t="shared" si="220"/>
        <v>-</v>
      </c>
      <c r="AF288" s="885" t="s">
        <v>64</v>
      </c>
      <c r="AG288" s="553" t="s">
        <v>64</v>
      </c>
      <c r="AH288" s="32">
        <f t="shared" si="221"/>
        <v>56.723420545322519</v>
      </c>
      <c r="AI288" s="9">
        <v>51.748833900251078</v>
      </c>
      <c r="AJ288" s="9">
        <v>2.2612919982342521</v>
      </c>
      <c r="AK288" s="9">
        <v>14.446181574845699</v>
      </c>
      <c r="AL288" s="9">
        <v>10.38349682534302</v>
      </c>
      <c r="AM288" s="9">
        <v>0.16162842468218289</v>
      </c>
      <c r="AN288" s="9">
        <v>7.633635041644057</v>
      </c>
      <c r="AO288" s="9">
        <v>10.581412826399326</v>
      </c>
      <c r="AP288" s="9">
        <v>2.1170365309981753</v>
      </c>
      <c r="AQ288" s="9">
        <v>0.43513841754044102</v>
      </c>
      <c r="AR288" s="9">
        <v>0.20927409777857994</v>
      </c>
      <c r="AS288" s="6">
        <v>114.38453594883249</v>
      </c>
      <c r="AT288" s="6">
        <v>106.31908688322964</v>
      </c>
      <c r="AU288" s="9">
        <v>100.80033899999998</v>
      </c>
      <c r="AV288" s="8">
        <f t="shared" si="222"/>
        <v>2.0772919644141479</v>
      </c>
      <c r="AW288" s="9">
        <f t="shared" si="223"/>
        <v>8.5144673967812761</v>
      </c>
      <c r="AX288" s="8">
        <v>3.626649922089889E-2</v>
      </c>
      <c r="AY288" s="789">
        <v>1.8133249610449446E-3</v>
      </c>
      <c r="AZ288" s="6" t="s">
        <v>292</v>
      </c>
      <c r="BA288" s="48" t="s">
        <v>64</v>
      </c>
      <c r="BB288" s="48" t="s">
        <v>64</v>
      </c>
      <c r="BC288" s="48" t="s">
        <v>64</v>
      </c>
      <c r="BD288" s="849" t="s">
        <v>64</v>
      </c>
      <c r="BE288" s="48" t="s">
        <v>64</v>
      </c>
      <c r="BF288" s="773" t="s">
        <v>64</v>
      </c>
      <c r="BG288" s="880" t="s">
        <v>64</v>
      </c>
      <c r="BH288" s="880" t="s">
        <v>64</v>
      </c>
      <c r="BI288" s="850" t="str">
        <f t="shared" si="224"/>
        <v>-</v>
      </c>
      <c r="BJ288" s="789" t="str">
        <f t="shared" si="225"/>
        <v>-</v>
      </c>
      <c r="BK288" s="563" t="s">
        <v>64</v>
      </c>
      <c r="BL288" s="48" t="s">
        <v>64</v>
      </c>
      <c r="BM288" s="48" t="s">
        <v>64</v>
      </c>
      <c r="BN288" s="47" t="s">
        <v>64</v>
      </c>
      <c r="BO288" s="789" t="s">
        <v>64</v>
      </c>
      <c r="BP288" s="789" t="s">
        <v>64</v>
      </c>
      <c r="BQ288" s="34" t="s">
        <v>64</v>
      </c>
      <c r="BR288" s="25">
        <v>2.697092284181565</v>
      </c>
      <c r="BS288" s="26">
        <v>2.927599650590953</v>
      </c>
      <c r="BT288" s="604"/>
      <c r="BU288" s="599">
        <v>0.13977204789956113</v>
      </c>
      <c r="BV288" s="851">
        <v>2.6353096947421974E-2</v>
      </c>
      <c r="BW288" s="851">
        <v>6.5640559839783882E-2</v>
      </c>
      <c r="BX288" s="851">
        <v>0.11401287184163143</v>
      </c>
      <c r="BY288" s="851">
        <v>5.6426260969221547E-3</v>
      </c>
      <c r="BZ288" s="851">
        <v>1.9044927056346507E-2</v>
      </c>
      <c r="CA288" s="851">
        <v>2.1382707411331234E-2</v>
      </c>
      <c r="CB288" s="851">
        <v>3.1116414636264283E-2</v>
      </c>
      <c r="CC288" s="851">
        <v>1.1139499975193536E-2</v>
      </c>
      <c r="CD288" s="851">
        <v>6.6950132264932188E-3</v>
      </c>
      <c r="CE288" s="852">
        <v>21.215700574181604</v>
      </c>
      <c r="CF288" s="852">
        <v>15.52099189864828</v>
      </c>
      <c r="CG288" s="604"/>
      <c r="CH288" s="584">
        <v>52.162999999999997</v>
      </c>
      <c r="CI288" s="576">
        <v>2.2793899999999998</v>
      </c>
      <c r="CJ288" s="576">
        <v>14.5618</v>
      </c>
      <c r="CK288" s="576">
        <v>10.4666</v>
      </c>
      <c r="CL288" s="576">
        <v>0.16292200000000001</v>
      </c>
      <c r="CM288" s="576">
        <v>7.6947299999999998</v>
      </c>
      <c r="CN288" s="576">
        <v>10.6661</v>
      </c>
      <c r="CO288" s="576">
        <v>2.1339800000000002</v>
      </c>
      <c r="CP288" s="576">
        <v>0.43862099999999998</v>
      </c>
      <c r="CQ288" s="576">
        <v>0.210949</v>
      </c>
      <c r="CR288" s="857">
        <v>1.153E-2</v>
      </c>
      <c r="CS288" s="793">
        <v>107.17</v>
      </c>
      <c r="CT288" s="576">
        <f t="shared" si="226"/>
        <v>100.80033899999998</v>
      </c>
      <c r="CU288" s="576">
        <v>3.626649922089889E-2</v>
      </c>
      <c r="CV288" s="592" t="s">
        <v>292</v>
      </c>
      <c r="CW288" s="604"/>
      <c r="CX288" s="946" t="s">
        <v>64</v>
      </c>
      <c r="CY288" s="944" t="s">
        <v>64</v>
      </c>
      <c r="CZ288" s="944" t="s">
        <v>64</v>
      </c>
      <c r="DA288" s="938" t="str">
        <f t="shared" si="227"/>
        <v>-</v>
      </c>
      <c r="DB288" s="946" t="s">
        <v>64</v>
      </c>
      <c r="DC288" s="944" t="s">
        <v>64</v>
      </c>
      <c r="DD288" s="944" t="s">
        <v>64</v>
      </c>
      <c r="DE288" s="939" t="str">
        <f t="shared" si="228"/>
        <v>-</v>
      </c>
      <c r="DF288" s="9"/>
    </row>
    <row r="289" spans="1:110">
      <c r="A289" s="846" t="s">
        <v>983</v>
      </c>
      <c r="B289" s="41" t="s">
        <v>156</v>
      </c>
      <c r="C289" s="41" t="s">
        <v>1491</v>
      </c>
      <c r="D289" s="34">
        <v>1500</v>
      </c>
      <c r="E289" s="535">
        <v>19.42567</v>
      </c>
      <c r="F289" s="537">
        <v>-155.25163000000001</v>
      </c>
      <c r="G289" s="37" t="s">
        <v>935</v>
      </c>
      <c r="H289" s="37" t="s">
        <v>64</v>
      </c>
      <c r="I289" s="202" t="s">
        <v>64</v>
      </c>
      <c r="J289" t="s">
        <v>877</v>
      </c>
      <c r="K289" s="870">
        <v>43053</v>
      </c>
      <c r="L289" s="51" t="s">
        <v>64</v>
      </c>
      <c r="M289" s="52" t="s">
        <v>64</v>
      </c>
      <c r="N289" s="838" t="s">
        <v>64</v>
      </c>
      <c r="O289" s="54" t="s">
        <v>64</v>
      </c>
      <c r="P289" s="779" t="s">
        <v>64</v>
      </c>
      <c r="Q289" s="54" t="s">
        <v>64</v>
      </c>
      <c r="R289" s="772" t="s">
        <v>64</v>
      </c>
      <c r="S289" s="624" t="s">
        <v>64</v>
      </c>
      <c r="T289" s="861" t="s">
        <v>935</v>
      </c>
      <c r="U289" s="21" t="s">
        <v>64</v>
      </c>
      <c r="V289" s="552" t="s">
        <v>64</v>
      </c>
      <c r="W289" s="552" t="s">
        <v>64</v>
      </c>
      <c r="X289" s="779" t="s">
        <v>64</v>
      </c>
      <c r="Y289" s="54" t="s">
        <v>64</v>
      </c>
      <c r="Z289" s="54" t="s">
        <v>64</v>
      </c>
      <c r="AA289" s="54" t="s">
        <v>64</v>
      </c>
      <c r="AB289" s="32" t="s">
        <v>64</v>
      </c>
      <c r="AC289" s="6">
        <f t="shared" si="219"/>
        <v>1169.9311769999999</v>
      </c>
      <c r="AD289" s="20" t="s">
        <v>64</v>
      </c>
      <c r="AE289" s="6" t="str">
        <f t="shared" si="220"/>
        <v>-</v>
      </c>
      <c r="AF289" s="885" t="s">
        <v>64</v>
      </c>
      <c r="AG289" s="553" t="s">
        <v>64</v>
      </c>
      <c r="AH289" s="32">
        <f t="shared" si="221"/>
        <v>56.47570640241927</v>
      </c>
      <c r="AI289" s="9">
        <v>51.047197921097087</v>
      </c>
      <c r="AJ289" s="9">
        <v>2.2359283926350537</v>
      </c>
      <c r="AK289" s="9">
        <v>14.817095973417915</v>
      </c>
      <c r="AL289" s="9">
        <v>10.559736782564023</v>
      </c>
      <c r="AM289" s="9">
        <v>0.15877795097477776</v>
      </c>
      <c r="AN289" s="9">
        <v>7.6853085305481308</v>
      </c>
      <c r="AO289" s="9">
        <v>10.613628659232424</v>
      </c>
      <c r="AP289" s="9">
        <v>2.2245556216028248</v>
      </c>
      <c r="AQ289" s="9">
        <v>0.4148604591209461</v>
      </c>
      <c r="AR289" s="9">
        <v>0.21769643393390387</v>
      </c>
      <c r="AS289" s="6">
        <v>137.50353826422807</v>
      </c>
      <c r="AT289" s="6">
        <v>114.62921046508525</v>
      </c>
      <c r="AU289" s="9">
        <v>100.942857</v>
      </c>
      <c r="AV289" s="8">
        <f t="shared" si="222"/>
        <v>2.1125500140964415</v>
      </c>
      <c r="AW289" s="9">
        <f t="shared" si="223"/>
        <v>8.6589841617024987</v>
      </c>
      <c r="AX289" s="8" t="s">
        <v>64</v>
      </c>
      <c r="AY289" s="789" t="s">
        <v>64</v>
      </c>
      <c r="AZ289" s="6" t="s">
        <v>64</v>
      </c>
      <c r="BA289" s="48" t="s">
        <v>64</v>
      </c>
      <c r="BB289" s="48" t="s">
        <v>64</v>
      </c>
      <c r="BC289" s="48" t="s">
        <v>64</v>
      </c>
      <c r="BD289" s="849" t="s">
        <v>64</v>
      </c>
      <c r="BE289" s="48" t="s">
        <v>64</v>
      </c>
      <c r="BF289" s="773" t="s">
        <v>64</v>
      </c>
      <c r="BG289" s="880" t="s">
        <v>64</v>
      </c>
      <c r="BH289" s="880" t="s">
        <v>64</v>
      </c>
      <c r="BI289" s="850" t="str">
        <f t="shared" si="224"/>
        <v>-</v>
      </c>
      <c r="BJ289" s="789" t="str">
        <f t="shared" si="225"/>
        <v>-</v>
      </c>
      <c r="BK289" s="563" t="s">
        <v>64</v>
      </c>
      <c r="BL289" s="48" t="s">
        <v>64</v>
      </c>
      <c r="BM289" s="48" t="s">
        <v>64</v>
      </c>
      <c r="BN289" s="47" t="s">
        <v>64</v>
      </c>
      <c r="BO289" s="789" t="s">
        <v>64</v>
      </c>
      <c r="BP289" s="789" t="s">
        <v>64</v>
      </c>
      <c r="BQ289" s="34" t="s">
        <v>64</v>
      </c>
      <c r="BR289" s="25">
        <v>2.6920625639050901</v>
      </c>
      <c r="BS289" s="26">
        <v>2.9329516787761958</v>
      </c>
      <c r="BT289" s="604"/>
      <c r="BU289" s="599">
        <v>0.1389285224461202</v>
      </c>
      <c r="BV289" s="851">
        <v>2.6818172326943363E-2</v>
      </c>
      <c r="BW289" s="851">
        <v>6.6484161461766444E-2</v>
      </c>
      <c r="BX289" s="851">
        <v>0.11487409658912272</v>
      </c>
      <c r="BY289" s="851">
        <v>5.6734854998209535E-3</v>
      </c>
      <c r="BZ289" s="851">
        <v>1.9103371414383487E-2</v>
      </c>
      <c r="CA289" s="851">
        <v>2.1392193107829319E-2</v>
      </c>
      <c r="CB289" s="851">
        <v>3.1822045711466247E-2</v>
      </c>
      <c r="CC289" s="851">
        <v>1.101558234080892E-2</v>
      </c>
      <c r="CD289" s="851">
        <v>6.6061942145148539E-3</v>
      </c>
      <c r="CE289" s="852">
        <v>21.304385708044702</v>
      </c>
      <c r="CF289" s="852">
        <v>15.386678920728391</v>
      </c>
      <c r="CG289" s="604"/>
      <c r="CH289" s="584">
        <v>51.528500000000001</v>
      </c>
      <c r="CI289" s="576">
        <v>2.2570100000000002</v>
      </c>
      <c r="CJ289" s="576">
        <v>14.956799999999999</v>
      </c>
      <c r="CK289" s="576">
        <v>10.6593</v>
      </c>
      <c r="CL289" s="576">
        <v>0.160275</v>
      </c>
      <c r="CM289" s="576">
        <v>7.7577699999999998</v>
      </c>
      <c r="CN289" s="576">
        <v>10.713699999999999</v>
      </c>
      <c r="CO289" s="576">
        <v>2.24553</v>
      </c>
      <c r="CP289" s="576">
        <v>0.41877199999999998</v>
      </c>
      <c r="CQ289" s="576">
        <v>0.219749</v>
      </c>
      <c r="CR289" s="857">
        <v>1.388E-2</v>
      </c>
      <c r="CS289" s="793">
        <v>115.71</v>
      </c>
      <c r="CT289" s="576">
        <f t="shared" si="226"/>
        <v>100.942857</v>
      </c>
      <c r="CU289" s="576" t="s">
        <v>64</v>
      </c>
      <c r="CV289" s="592" t="s">
        <v>64</v>
      </c>
      <c r="CW289" s="604"/>
      <c r="CX289" s="946" t="s">
        <v>64</v>
      </c>
      <c r="CY289" s="944" t="s">
        <v>64</v>
      </c>
      <c r="CZ289" s="944" t="s">
        <v>64</v>
      </c>
      <c r="DA289" s="938" t="str">
        <f t="shared" si="227"/>
        <v>-</v>
      </c>
      <c r="DB289" s="946" t="s">
        <v>64</v>
      </c>
      <c r="DC289" s="944" t="s">
        <v>64</v>
      </c>
      <c r="DD289" s="944" t="s">
        <v>64</v>
      </c>
      <c r="DE289" s="939" t="str">
        <f t="shared" si="228"/>
        <v>-</v>
      </c>
      <c r="DF289" s="9"/>
    </row>
    <row r="290" spans="1:110" ht="7.9" customHeight="1">
      <c r="A290" s="846"/>
      <c r="B290" s="41"/>
      <c r="C290" s="41"/>
      <c r="D290" s="34"/>
      <c r="E290" s="535"/>
      <c r="F290" s="537"/>
      <c r="G290" s="37"/>
      <c r="H290" s="37"/>
      <c r="I290" s="202"/>
      <c r="K290" s="870"/>
      <c r="L290" s="51"/>
      <c r="M290" s="52"/>
      <c r="N290" s="838"/>
      <c r="O290" s="54"/>
      <c r="P290" s="779"/>
      <c r="Q290" s="54"/>
      <c r="R290" s="772"/>
      <c r="S290" s="624"/>
      <c r="T290" s="861"/>
      <c r="U290" s="21"/>
      <c r="V290" s="552"/>
      <c r="W290" s="552"/>
      <c r="X290" s="779"/>
      <c r="Y290" s="54"/>
      <c r="Z290" s="54"/>
      <c r="AA290" s="54"/>
      <c r="AB290" s="32"/>
      <c r="AC290" s="6"/>
      <c r="AD290" s="6"/>
      <c r="AE290" s="6"/>
      <c r="AF290" s="839"/>
      <c r="AG290" s="553"/>
      <c r="AH290" s="32"/>
      <c r="AI290" s="9"/>
      <c r="AJ290" s="9"/>
      <c r="AK290" s="9"/>
      <c r="AL290" s="9"/>
      <c r="AM290" s="9"/>
      <c r="AN290" s="9"/>
      <c r="AO290" s="9"/>
      <c r="AP290" s="9"/>
      <c r="AQ290" s="9"/>
      <c r="AR290" s="9"/>
      <c r="AS290" s="6"/>
      <c r="AT290" s="6"/>
      <c r="AU290" s="9"/>
      <c r="AV290" s="8"/>
      <c r="AW290" s="9"/>
      <c r="AX290" s="8"/>
      <c r="AY290" s="787"/>
      <c r="AZ290" s="6"/>
      <c r="BB290" s="3"/>
      <c r="BD290" s="849"/>
      <c r="BF290" s="668"/>
      <c r="BG290" s="68"/>
      <c r="BH290" s="68"/>
      <c r="BI290" s="781"/>
      <c r="BK290" s="563"/>
      <c r="BL290" s="48"/>
      <c r="BM290" s="48"/>
      <c r="BN290" s="47"/>
      <c r="BO290" s="789"/>
      <c r="BP290" s="789"/>
      <c r="BQ290" s="34"/>
      <c r="BR290" s="25"/>
      <c r="BS290" s="26"/>
      <c r="BT290" s="604"/>
      <c r="BU290" s="598"/>
      <c r="BV290" s="790"/>
      <c r="BW290" s="790"/>
      <c r="BX290" s="790"/>
      <c r="BY290" s="790"/>
      <c r="BZ290" s="790"/>
      <c r="CA290" s="790"/>
      <c r="CB290" s="790"/>
      <c r="CC290" s="790"/>
      <c r="CD290" s="790"/>
      <c r="CE290" s="791"/>
      <c r="CF290" s="791"/>
      <c r="CG290" s="604"/>
      <c r="CH290" s="584"/>
      <c r="CI290" s="576"/>
      <c r="CJ290" s="576"/>
      <c r="CK290" s="576"/>
      <c r="CL290" s="576"/>
      <c r="CM290" s="576"/>
      <c r="CN290" s="576"/>
      <c r="CO290" s="576"/>
      <c r="CP290" s="576"/>
      <c r="CQ290" s="576"/>
      <c r="CR290" s="857"/>
      <c r="CS290" s="793"/>
      <c r="CT290" s="576"/>
      <c r="CU290" s="576"/>
      <c r="CV290" s="592"/>
      <c r="CW290" s="604"/>
      <c r="CX290" s="946"/>
      <c r="CY290" s="944"/>
      <c r="CZ290" s="944"/>
      <c r="DA290" s="948"/>
      <c r="DB290" s="946"/>
      <c r="DC290" s="944"/>
      <c r="DD290" s="944"/>
      <c r="DE290" s="949"/>
      <c r="DF290" s="9"/>
    </row>
    <row r="291" spans="1:110">
      <c r="A291" s="846" t="s">
        <v>984</v>
      </c>
      <c r="B291" s="41" t="s">
        <v>156</v>
      </c>
      <c r="C291" s="41" t="s">
        <v>1491</v>
      </c>
      <c r="D291" s="34">
        <v>1500</v>
      </c>
      <c r="E291" s="535">
        <v>19.42567</v>
      </c>
      <c r="F291" s="537">
        <v>-155.25163000000001</v>
      </c>
      <c r="G291" s="37" t="s">
        <v>946</v>
      </c>
      <c r="H291" s="37" t="s">
        <v>64</v>
      </c>
      <c r="I291" s="202" t="s">
        <v>64</v>
      </c>
      <c r="J291" t="s">
        <v>877</v>
      </c>
      <c r="K291" s="870">
        <v>43053</v>
      </c>
      <c r="L291" s="51" t="s">
        <v>64</v>
      </c>
      <c r="M291" s="52" t="s">
        <v>64</v>
      </c>
      <c r="N291" s="838" t="s">
        <v>64</v>
      </c>
      <c r="O291" s="54" t="s">
        <v>64</v>
      </c>
      <c r="P291" s="779" t="s">
        <v>64</v>
      </c>
      <c r="Q291" s="54" t="s">
        <v>64</v>
      </c>
      <c r="R291" s="772" t="s">
        <v>64</v>
      </c>
      <c r="S291" s="624" t="s">
        <v>64</v>
      </c>
      <c r="T291" s="861" t="s">
        <v>946</v>
      </c>
      <c r="U291" s="21" t="s">
        <v>64</v>
      </c>
      <c r="V291" s="552" t="s">
        <v>64</v>
      </c>
      <c r="W291" s="552" t="s">
        <v>64</v>
      </c>
      <c r="X291" s="779" t="s">
        <v>64</v>
      </c>
      <c r="Y291" s="54" t="s">
        <v>64</v>
      </c>
      <c r="Z291" s="54" t="s">
        <v>64</v>
      </c>
      <c r="AA291" s="54" t="s">
        <v>64</v>
      </c>
      <c r="AB291" s="32" t="s">
        <v>64</v>
      </c>
      <c r="AC291" s="6">
        <f t="shared" ref="AC291:AC300" si="229" xml:space="preserve"> 20.1*CM291+1014</f>
        <v>1165.7318849999999</v>
      </c>
      <c r="AD291" s="20" t="s">
        <v>64</v>
      </c>
      <c r="AE291" s="6" t="str">
        <f t="shared" ref="AE291:AE300" si="230">IF(ISNUMBER(U291),0.02289*U291^3- 4.943*U291^2+ 358.6*U291-7620,"-")</f>
        <v>-</v>
      </c>
      <c r="AF291" s="885" t="s">
        <v>64</v>
      </c>
      <c r="AG291" s="772" t="s">
        <v>64</v>
      </c>
      <c r="AH291" s="32">
        <f t="shared" ref="AH291:AH300" si="231">100*(AN291/40.3)/((AN291/40.3)+(AL291/71.85))</f>
        <v>55.478941314953097</v>
      </c>
      <c r="AI291" s="9">
        <v>51.026069733574644</v>
      </c>
      <c r="AJ291" s="9">
        <v>2.2933505745173433</v>
      </c>
      <c r="AK291" s="9">
        <v>13.906978097545789</v>
      </c>
      <c r="AL291" s="9">
        <v>10.946073520775807</v>
      </c>
      <c r="AM291" s="9">
        <v>0.17537798103117744</v>
      </c>
      <c r="AN291" s="9">
        <v>7.6506672991100739</v>
      </c>
      <c r="AO291" s="9">
        <v>10.930567157597787</v>
      </c>
      <c r="AP291" s="9">
        <v>2.306363757733406</v>
      </c>
      <c r="AQ291" s="9">
        <v>0.40009660160213567</v>
      </c>
      <c r="AR291" s="9">
        <v>0.21447529948336141</v>
      </c>
      <c r="AS291" s="6">
        <v>159.66486634411879</v>
      </c>
      <c r="AT291" s="6">
        <v>1340.134903940766</v>
      </c>
      <c r="AU291" s="9">
        <v>98.66917100000002</v>
      </c>
      <c r="AV291" s="8">
        <f t="shared" ref="AV291:AV300" si="232">IF(ISNUMBER(AL291),(AL291/71.84)*(0.18/2)*159.69,"-")</f>
        <v>2.1898394104668983</v>
      </c>
      <c r="AW291" s="9">
        <f t="shared" ref="AW291:AW300" si="233">IF(ISNUMBER(AL291),(AL291/71.84)*(1-0.18)*71.84,"-")</f>
        <v>8.9757802870361623</v>
      </c>
      <c r="AX291" s="8" t="s">
        <v>64</v>
      </c>
      <c r="AY291" s="789" t="s">
        <v>64</v>
      </c>
      <c r="AZ291" s="6" t="s">
        <v>64</v>
      </c>
      <c r="BA291" s="48" t="s">
        <v>64</v>
      </c>
      <c r="BB291" s="48" t="s">
        <v>64</v>
      </c>
      <c r="BC291" s="48" t="s">
        <v>64</v>
      </c>
      <c r="BD291" s="849" t="s">
        <v>64</v>
      </c>
      <c r="BE291" s="48" t="s">
        <v>64</v>
      </c>
      <c r="BF291" s="773" t="s">
        <v>64</v>
      </c>
      <c r="BG291" s="880" t="s">
        <v>64</v>
      </c>
      <c r="BH291" s="880" t="s">
        <v>64</v>
      </c>
      <c r="BI291" s="850" t="str">
        <f t="shared" ref="BI291:BI300" si="234">IF(NOT(ISNUMBER(BF291)),"-",(0.0684*((BF291/1000))^3 - 0.5008*((BF291/1000))^2 + 4.47*((BF291/1000))))</f>
        <v>-</v>
      </c>
      <c r="BJ291" s="789" t="str">
        <f t="shared" ref="BJ291:BJ300" si="235">IF(NOT(ISNUMBER(BF291)),"-",AVERAGE(ABS(BI291-(0.0684*(((BF291+BG291)/1000))^3-0.5008*(((BF291+BG291)/1000))^2+4.47*(((BF291+BG291)/1000)))),ABS(BI291-(0.0684*(((BF291-BG291)/1000))^3-0.5008*(((BF291-BG291)/1000))^2+4.47*(((BF291-BG291)/1000))))))</f>
        <v>-</v>
      </c>
      <c r="BK291" s="563" t="s">
        <v>64</v>
      </c>
      <c r="BL291" s="48" t="s">
        <v>64</v>
      </c>
      <c r="BM291" s="48" t="s">
        <v>64</v>
      </c>
      <c r="BN291" s="47" t="s">
        <v>64</v>
      </c>
      <c r="BO291" s="789" t="s">
        <v>64</v>
      </c>
      <c r="BP291" s="789" t="s">
        <v>64</v>
      </c>
      <c r="BQ291" s="34" t="s">
        <v>64</v>
      </c>
      <c r="BR291" s="25">
        <v>2.6986119407908902</v>
      </c>
      <c r="BS291" s="26">
        <v>2.9434364953639678</v>
      </c>
      <c r="BT291" s="604"/>
      <c r="BU291" s="599">
        <v>0.14043752094562548</v>
      </c>
      <c r="BV291" s="851">
        <v>2.7861457459696298E-2</v>
      </c>
      <c r="BW291" s="851">
        <v>6.5437477530849025E-2</v>
      </c>
      <c r="BX291" s="851">
        <v>0.11768780406597315</v>
      </c>
      <c r="BY291" s="851">
        <v>5.928529884172232E-3</v>
      </c>
      <c r="BZ291" s="851">
        <v>1.9789445555897092E-2</v>
      </c>
      <c r="CA291" s="851">
        <v>2.2610752610863632E-2</v>
      </c>
      <c r="CB291" s="851">
        <v>3.2446847889296651E-2</v>
      </c>
      <c r="CC291" s="851">
        <v>1.1002536515078249E-2</v>
      </c>
      <c r="CD291" s="851">
        <v>7.0345967952847189E-3</v>
      </c>
      <c r="CE291" s="852">
        <v>25.137476892351717</v>
      </c>
      <c r="CF291" s="852">
        <v>22.70041112436224</v>
      </c>
      <c r="CG291" s="604"/>
      <c r="CH291" s="584">
        <v>50.347000000000001</v>
      </c>
      <c r="CI291" s="576">
        <v>2.2628300000000001</v>
      </c>
      <c r="CJ291" s="576">
        <v>13.7219</v>
      </c>
      <c r="CK291" s="576">
        <v>10.8004</v>
      </c>
      <c r="CL291" s="576">
        <v>0.173044</v>
      </c>
      <c r="CM291" s="576">
        <v>7.5488499999999998</v>
      </c>
      <c r="CN291" s="576">
        <v>10.7851</v>
      </c>
      <c r="CO291" s="576">
        <v>2.2756699999999999</v>
      </c>
      <c r="CP291" s="576">
        <v>0.39477200000000001</v>
      </c>
      <c r="CQ291" s="576">
        <v>0.211621</v>
      </c>
      <c r="CR291" s="857">
        <v>1.5754000000000001E-2</v>
      </c>
      <c r="CS291" s="793">
        <v>1322.3</v>
      </c>
      <c r="CT291" s="576">
        <f t="shared" ref="CT291:CT300" si="236">SUM(CH291:CR291)+(CS291/10000)</f>
        <v>98.66917100000002</v>
      </c>
      <c r="CU291" s="576" t="s">
        <v>64</v>
      </c>
      <c r="CV291" s="592" t="s">
        <v>64</v>
      </c>
      <c r="CW291" s="604"/>
      <c r="CX291" s="946" t="s">
        <v>64</v>
      </c>
      <c r="CY291" s="944" t="s">
        <v>64</v>
      </c>
      <c r="CZ291" s="944" t="s">
        <v>64</v>
      </c>
      <c r="DA291" s="950" t="str">
        <f t="shared" ref="DA291:DA300" si="237">IF(NOT(ISNUMBER(CX291)),"-",(0.0684*((CX291/1000))^3 - 0.5008*((CX291/1000))^2 + 4.47*((CX291/1000))))</f>
        <v>-</v>
      </c>
      <c r="DB291" s="946" t="s">
        <v>64</v>
      </c>
      <c r="DC291" s="944" t="s">
        <v>64</v>
      </c>
      <c r="DD291" s="944" t="s">
        <v>64</v>
      </c>
      <c r="DE291" s="951" t="str">
        <f t="shared" ref="DE291:DE300" si="238">IF(NOT(ISNUMBER(DB291)),"-",(0.0684*((DB291/1000))^3 - 0.5008*((DB291/1000))^2 + 4.47*((DB291/1000))))</f>
        <v>-</v>
      </c>
      <c r="DF291" s="9"/>
    </row>
    <row r="292" spans="1:110">
      <c r="A292" s="846" t="s">
        <v>985</v>
      </c>
      <c r="B292" s="41" t="s">
        <v>156</v>
      </c>
      <c r="C292" s="41" t="s">
        <v>1491</v>
      </c>
      <c r="D292" s="34">
        <v>1500</v>
      </c>
      <c r="E292" s="535">
        <v>19.42567</v>
      </c>
      <c r="F292" s="537">
        <v>-155.25163000000001</v>
      </c>
      <c r="G292" s="37" t="s">
        <v>946</v>
      </c>
      <c r="H292" s="37" t="s">
        <v>64</v>
      </c>
      <c r="I292" s="202" t="s">
        <v>64</v>
      </c>
      <c r="J292" t="s">
        <v>877</v>
      </c>
      <c r="K292" s="870">
        <v>43053</v>
      </c>
      <c r="L292" s="51" t="s">
        <v>64</v>
      </c>
      <c r="M292" s="52" t="s">
        <v>64</v>
      </c>
      <c r="N292" s="838" t="s">
        <v>64</v>
      </c>
      <c r="O292" s="54" t="s">
        <v>64</v>
      </c>
      <c r="P292" s="779" t="s">
        <v>64</v>
      </c>
      <c r="Q292" s="54" t="s">
        <v>64</v>
      </c>
      <c r="R292" s="772" t="s">
        <v>64</v>
      </c>
      <c r="S292" s="624" t="s">
        <v>64</v>
      </c>
      <c r="T292" s="861" t="s">
        <v>946</v>
      </c>
      <c r="U292" s="21" t="s">
        <v>64</v>
      </c>
      <c r="V292" s="552" t="s">
        <v>64</v>
      </c>
      <c r="W292" s="552" t="s">
        <v>64</v>
      </c>
      <c r="X292" s="779" t="s">
        <v>64</v>
      </c>
      <c r="Y292" s="54" t="s">
        <v>64</v>
      </c>
      <c r="Z292" s="54" t="s">
        <v>64</v>
      </c>
      <c r="AA292" s="54" t="s">
        <v>64</v>
      </c>
      <c r="AB292" s="32" t="s">
        <v>64</v>
      </c>
      <c r="AC292" s="6">
        <f t="shared" si="229"/>
        <v>1165.459329</v>
      </c>
      <c r="AD292" s="20" t="s">
        <v>64</v>
      </c>
      <c r="AE292" s="6" t="str">
        <f t="shared" si="230"/>
        <v>-</v>
      </c>
      <c r="AF292" s="885" t="s">
        <v>64</v>
      </c>
      <c r="AG292" s="772" t="s">
        <v>64</v>
      </c>
      <c r="AH292" s="32">
        <f t="shared" si="231"/>
        <v>54.664463977530161</v>
      </c>
      <c r="AI292" s="9">
        <v>51.112554186205791</v>
      </c>
      <c r="AJ292" s="9">
        <v>2.216751127510745</v>
      </c>
      <c r="AK292" s="9">
        <v>13.716206956905266</v>
      </c>
      <c r="AL292" s="9">
        <v>11.256618863198891</v>
      </c>
      <c r="AM292" s="9">
        <v>0.17695294123494942</v>
      </c>
      <c r="AN292" s="9">
        <v>7.6129429314539809</v>
      </c>
      <c r="AO292" s="9">
        <v>10.877552339165771</v>
      </c>
      <c r="AP292" s="9">
        <v>2.2603356953326768</v>
      </c>
      <c r="AQ292" s="9">
        <v>0.40455248388189335</v>
      </c>
      <c r="AR292" s="9">
        <v>0.21972118242730032</v>
      </c>
      <c r="AS292" s="6">
        <v>110.44656824973551</v>
      </c>
      <c r="AT292" s="6">
        <v>1347.6663585774531</v>
      </c>
      <c r="AU292" s="9">
        <v>98.979987999999977</v>
      </c>
      <c r="AV292" s="8">
        <f t="shared" si="232"/>
        <v>2.2519662021684406</v>
      </c>
      <c r="AW292" s="9">
        <f t="shared" si="233"/>
        <v>9.2304274678230911</v>
      </c>
      <c r="AX292" s="8" t="s">
        <v>64</v>
      </c>
      <c r="AY292" s="789" t="s">
        <v>64</v>
      </c>
      <c r="AZ292" s="6" t="s">
        <v>64</v>
      </c>
      <c r="BA292" s="48" t="s">
        <v>64</v>
      </c>
      <c r="BB292" s="48" t="s">
        <v>64</v>
      </c>
      <c r="BC292" s="48" t="s">
        <v>64</v>
      </c>
      <c r="BD292" s="849" t="s">
        <v>64</v>
      </c>
      <c r="BE292" s="48" t="s">
        <v>64</v>
      </c>
      <c r="BF292" s="773" t="s">
        <v>64</v>
      </c>
      <c r="BG292" s="880" t="s">
        <v>64</v>
      </c>
      <c r="BH292" s="880" t="s">
        <v>64</v>
      </c>
      <c r="BI292" s="850" t="str">
        <f t="shared" si="234"/>
        <v>-</v>
      </c>
      <c r="BJ292" s="789" t="str">
        <f t="shared" si="235"/>
        <v>-</v>
      </c>
      <c r="BK292" s="563" t="s">
        <v>64</v>
      </c>
      <c r="BL292" s="48" t="s">
        <v>64</v>
      </c>
      <c r="BM292" s="48" t="s">
        <v>64</v>
      </c>
      <c r="BN292" s="47" t="s">
        <v>64</v>
      </c>
      <c r="BO292" s="789" t="s">
        <v>64</v>
      </c>
      <c r="BP292" s="789" t="s">
        <v>64</v>
      </c>
      <c r="BQ292" s="34" t="s">
        <v>64</v>
      </c>
      <c r="BR292" s="25">
        <v>2.7017954301950349</v>
      </c>
      <c r="BS292" s="26">
        <v>2.9459989078447899</v>
      </c>
      <c r="BT292" s="604"/>
      <c r="BU292" s="599">
        <v>0.14029322760475577</v>
      </c>
      <c r="BV292" s="851">
        <v>2.7283772877402249E-2</v>
      </c>
      <c r="BW292" s="851">
        <v>6.4910166316649781E-2</v>
      </c>
      <c r="BX292" s="851">
        <v>0.11907701698246313</v>
      </c>
      <c r="BY292" s="851">
        <v>5.8705023019400655E-3</v>
      </c>
      <c r="BZ292" s="851">
        <v>1.9720415110779762E-2</v>
      </c>
      <c r="CA292" s="851">
        <v>2.2514684158175487E-2</v>
      </c>
      <c r="CB292" s="851">
        <v>3.21286376070282E-2</v>
      </c>
      <c r="CC292" s="851">
        <v>1.1000429320722892E-2</v>
      </c>
      <c r="CD292" s="851">
        <v>7.0905124175201948E-3</v>
      </c>
      <c r="CE292" s="852">
        <v>25.214288852005119</v>
      </c>
      <c r="CF292" s="852">
        <v>21.892435695183153</v>
      </c>
      <c r="CG292" s="604"/>
      <c r="CH292" s="584">
        <v>50.591200000000001</v>
      </c>
      <c r="CI292" s="576">
        <v>2.19414</v>
      </c>
      <c r="CJ292" s="576">
        <v>13.5763</v>
      </c>
      <c r="CK292" s="576">
        <v>11.1418</v>
      </c>
      <c r="CL292" s="576">
        <v>0.175148</v>
      </c>
      <c r="CM292" s="576">
        <v>7.5352899999999998</v>
      </c>
      <c r="CN292" s="576">
        <v>10.7666</v>
      </c>
      <c r="CO292" s="576">
        <v>2.2372800000000002</v>
      </c>
      <c r="CP292" s="576">
        <v>0.400426</v>
      </c>
      <c r="CQ292" s="576">
        <v>0.21748000000000001</v>
      </c>
      <c r="CR292" s="857">
        <v>1.0932000000000001E-2</v>
      </c>
      <c r="CS292" s="793">
        <v>1333.92</v>
      </c>
      <c r="CT292" s="576">
        <f t="shared" si="236"/>
        <v>98.979987999999977</v>
      </c>
      <c r="CU292" s="576" t="s">
        <v>64</v>
      </c>
      <c r="CV292" s="592" t="s">
        <v>64</v>
      </c>
      <c r="CW292" s="604"/>
      <c r="CX292" s="946" t="s">
        <v>64</v>
      </c>
      <c r="CY292" s="944" t="s">
        <v>64</v>
      </c>
      <c r="CZ292" s="944" t="s">
        <v>64</v>
      </c>
      <c r="DA292" s="950" t="str">
        <f t="shared" si="237"/>
        <v>-</v>
      </c>
      <c r="DB292" s="946" t="s">
        <v>64</v>
      </c>
      <c r="DC292" s="944" t="s">
        <v>64</v>
      </c>
      <c r="DD292" s="944" t="s">
        <v>64</v>
      </c>
      <c r="DE292" s="951" t="str">
        <f t="shared" si="238"/>
        <v>-</v>
      </c>
      <c r="DF292" s="9"/>
    </row>
    <row r="293" spans="1:110">
      <c r="A293" s="846" t="s">
        <v>986</v>
      </c>
      <c r="B293" s="41" t="s">
        <v>156</v>
      </c>
      <c r="C293" s="41" t="s">
        <v>1491</v>
      </c>
      <c r="D293" s="34">
        <v>1500</v>
      </c>
      <c r="E293" s="535">
        <v>19.42567</v>
      </c>
      <c r="F293" s="537">
        <v>-155.25163000000001</v>
      </c>
      <c r="G293" s="37" t="s">
        <v>946</v>
      </c>
      <c r="H293" s="37" t="s">
        <v>64</v>
      </c>
      <c r="I293" s="202" t="s">
        <v>64</v>
      </c>
      <c r="J293" t="s">
        <v>877</v>
      </c>
      <c r="K293" s="870">
        <v>43053</v>
      </c>
      <c r="L293" s="51" t="s">
        <v>64</v>
      </c>
      <c r="M293" s="52" t="s">
        <v>64</v>
      </c>
      <c r="N293" s="838" t="s">
        <v>64</v>
      </c>
      <c r="O293" s="54" t="s">
        <v>64</v>
      </c>
      <c r="P293" s="779" t="s">
        <v>64</v>
      </c>
      <c r="Q293" s="54" t="s">
        <v>64</v>
      </c>
      <c r="R293" s="772" t="s">
        <v>64</v>
      </c>
      <c r="S293" s="624" t="s">
        <v>64</v>
      </c>
      <c r="T293" s="861" t="s">
        <v>946</v>
      </c>
      <c r="U293" s="21" t="s">
        <v>64</v>
      </c>
      <c r="V293" s="552" t="s">
        <v>64</v>
      </c>
      <c r="W293" s="552" t="s">
        <v>64</v>
      </c>
      <c r="X293" s="779" t="s">
        <v>64</v>
      </c>
      <c r="Y293" s="54" t="s">
        <v>64</v>
      </c>
      <c r="Z293" s="54" t="s">
        <v>64</v>
      </c>
      <c r="AA293" s="54" t="s">
        <v>64</v>
      </c>
      <c r="AB293" s="32" t="s">
        <v>64</v>
      </c>
      <c r="AC293" s="6">
        <f t="shared" si="229"/>
        <v>1164.8275860000001</v>
      </c>
      <c r="AD293" s="20" t="s">
        <v>64</v>
      </c>
      <c r="AE293" s="6" t="str">
        <f t="shared" si="230"/>
        <v>-</v>
      </c>
      <c r="AF293" s="885" t="s">
        <v>64</v>
      </c>
      <c r="AG293" s="772" t="s">
        <v>64</v>
      </c>
      <c r="AH293" s="32">
        <f t="shared" si="231"/>
        <v>53.783291262592584</v>
      </c>
      <c r="AI293" s="9">
        <v>50.690441494114516</v>
      </c>
      <c r="AJ293" s="9">
        <v>2.2875953335332713</v>
      </c>
      <c r="AK293" s="9">
        <v>13.570810532482527</v>
      </c>
      <c r="AL293" s="9">
        <v>11.709781971912491</v>
      </c>
      <c r="AM293" s="9">
        <v>0.16687124298047645</v>
      </c>
      <c r="AN293" s="9">
        <v>7.6432038610470574</v>
      </c>
      <c r="AO293" s="9">
        <v>10.957059019550139</v>
      </c>
      <c r="AP293" s="9">
        <v>2.2478405610965964</v>
      </c>
      <c r="AQ293" s="9">
        <v>0.35300160041733641</v>
      </c>
      <c r="AR293" s="9">
        <v>0.24087440046482622</v>
      </c>
      <c r="AS293" s="6">
        <v>85.02000654084668</v>
      </c>
      <c r="AT293" s="6">
        <v>1240.1798174666189</v>
      </c>
      <c r="AU293" s="9">
        <v>98.176892000000024</v>
      </c>
      <c r="AV293" s="8">
        <f t="shared" si="232"/>
        <v>2.3426246865050597</v>
      </c>
      <c r="AW293" s="9">
        <f t="shared" si="233"/>
        <v>9.6020212169682431</v>
      </c>
      <c r="AX293" s="8" t="s">
        <v>64</v>
      </c>
      <c r="AY293" s="789" t="s">
        <v>64</v>
      </c>
      <c r="AZ293" s="6" t="s">
        <v>64</v>
      </c>
      <c r="BA293" s="48" t="s">
        <v>64</v>
      </c>
      <c r="BB293" s="48" t="s">
        <v>64</v>
      </c>
      <c r="BC293" s="48" t="s">
        <v>64</v>
      </c>
      <c r="BD293" s="849" t="s">
        <v>64</v>
      </c>
      <c r="BE293" s="48" t="s">
        <v>64</v>
      </c>
      <c r="BF293" s="773" t="s">
        <v>64</v>
      </c>
      <c r="BG293" s="880" t="s">
        <v>64</v>
      </c>
      <c r="BH293" s="880" t="s">
        <v>64</v>
      </c>
      <c r="BI293" s="850" t="str">
        <f t="shared" si="234"/>
        <v>-</v>
      </c>
      <c r="BJ293" s="789" t="str">
        <f t="shared" si="235"/>
        <v>-</v>
      </c>
      <c r="BK293" s="563" t="s">
        <v>64</v>
      </c>
      <c r="BL293" s="48" t="s">
        <v>64</v>
      </c>
      <c r="BM293" s="48" t="s">
        <v>64</v>
      </c>
      <c r="BN293" s="47" t="s">
        <v>64</v>
      </c>
      <c r="BO293" s="789" t="s">
        <v>64</v>
      </c>
      <c r="BP293" s="789" t="s">
        <v>64</v>
      </c>
      <c r="BQ293" s="34" t="s">
        <v>64</v>
      </c>
      <c r="BR293" s="25">
        <v>2.7116408820927922</v>
      </c>
      <c r="BS293" s="26">
        <v>2.960059631833122</v>
      </c>
      <c r="BT293" s="604"/>
      <c r="BU293" s="599">
        <v>0.1403298975190618</v>
      </c>
      <c r="BV293" s="851">
        <v>2.8061245677852575E-2</v>
      </c>
      <c r="BW293" s="851">
        <v>6.4916107890235497E-2</v>
      </c>
      <c r="BX293" s="851">
        <v>0.12186604293808768</v>
      </c>
      <c r="BY293" s="851">
        <v>6.0015910022900281E-3</v>
      </c>
      <c r="BZ293" s="851">
        <v>1.9875769480459823E-2</v>
      </c>
      <c r="CA293" s="851">
        <v>2.2685604564666801E-2</v>
      </c>
      <c r="CB293" s="851">
        <v>3.2256062483623935E-2</v>
      </c>
      <c r="CC293" s="851">
        <v>1.0530779043810022E-2</v>
      </c>
      <c r="CD293" s="851">
        <v>7.0120946719315555E-3</v>
      </c>
      <c r="CE293" s="852">
        <v>25.774155062883832</v>
      </c>
      <c r="CF293" s="852">
        <v>22.725054975258324</v>
      </c>
      <c r="CG293" s="604"/>
      <c r="CH293" s="584">
        <v>49.766300000000001</v>
      </c>
      <c r="CI293" s="576">
        <v>2.2458900000000002</v>
      </c>
      <c r="CJ293" s="576">
        <v>13.323399999999999</v>
      </c>
      <c r="CK293" s="576">
        <v>11.4963</v>
      </c>
      <c r="CL293" s="576">
        <v>0.163829</v>
      </c>
      <c r="CM293" s="576">
        <v>7.5038600000000004</v>
      </c>
      <c r="CN293" s="576">
        <v>10.757300000000001</v>
      </c>
      <c r="CO293" s="576">
        <v>2.2068599999999998</v>
      </c>
      <c r="CP293" s="576">
        <v>0.34656599999999999</v>
      </c>
      <c r="CQ293" s="576">
        <v>0.236483</v>
      </c>
      <c r="CR293" s="857">
        <v>8.3470000000000003E-3</v>
      </c>
      <c r="CS293" s="793">
        <v>1217.57</v>
      </c>
      <c r="CT293" s="576">
        <f t="shared" si="236"/>
        <v>98.176892000000024</v>
      </c>
      <c r="CU293" s="576" t="s">
        <v>64</v>
      </c>
      <c r="CV293" s="592" t="s">
        <v>64</v>
      </c>
      <c r="CW293" s="604"/>
      <c r="CX293" s="946" t="s">
        <v>64</v>
      </c>
      <c r="CY293" s="944" t="s">
        <v>64</v>
      </c>
      <c r="CZ293" s="944" t="s">
        <v>64</v>
      </c>
      <c r="DA293" s="950" t="str">
        <f t="shared" si="237"/>
        <v>-</v>
      </c>
      <c r="DB293" s="946" t="s">
        <v>64</v>
      </c>
      <c r="DC293" s="944" t="s">
        <v>64</v>
      </c>
      <c r="DD293" s="944" t="s">
        <v>64</v>
      </c>
      <c r="DE293" s="951" t="str">
        <f t="shared" si="238"/>
        <v>-</v>
      </c>
      <c r="DF293" s="9"/>
    </row>
    <row r="294" spans="1:110">
      <c r="A294" s="846" t="s">
        <v>987</v>
      </c>
      <c r="B294" s="41" t="s">
        <v>156</v>
      </c>
      <c r="C294" s="41" t="s">
        <v>1491</v>
      </c>
      <c r="D294" s="34">
        <v>1500</v>
      </c>
      <c r="E294" s="535">
        <v>19.42567</v>
      </c>
      <c r="F294" s="537">
        <v>-155.25163000000001</v>
      </c>
      <c r="G294" s="37" t="s">
        <v>940</v>
      </c>
      <c r="H294" s="37" t="s">
        <v>64</v>
      </c>
      <c r="I294" s="202" t="s">
        <v>64</v>
      </c>
      <c r="J294" t="s">
        <v>988</v>
      </c>
      <c r="K294" s="34">
        <v>2001</v>
      </c>
      <c r="L294" s="39" t="s">
        <v>64</v>
      </c>
      <c r="M294" s="34" t="s">
        <v>64</v>
      </c>
      <c r="N294" s="879" t="s">
        <v>64</v>
      </c>
      <c r="O294" s="879" t="s">
        <v>64</v>
      </c>
      <c r="P294" s="775" t="s">
        <v>64</v>
      </c>
      <c r="Q294" s="879" t="s">
        <v>64</v>
      </c>
      <c r="R294" s="28" t="s">
        <v>64</v>
      </c>
      <c r="S294" s="33" t="s">
        <v>64</v>
      </c>
      <c r="T294" s="860" t="s">
        <v>940</v>
      </c>
      <c r="U294" s="28" t="s">
        <v>64</v>
      </c>
      <c r="V294" s="26" t="s">
        <v>64</v>
      </c>
      <c r="W294" s="26" t="s">
        <v>64</v>
      </c>
      <c r="X294" s="775" t="s">
        <v>64</v>
      </c>
      <c r="Y294" s="879" t="s">
        <v>64</v>
      </c>
      <c r="Z294" s="879" t="s">
        <v>64</v>
      </c>
      <c r="AA294" s="879" t="s">
        <v>64</v>
      </c>
      <c r="AB294" s="32" t="s">
        <v>64</v>
      </c>
      <c r="AC294" s="6">
        <f t="shared" si="229"/>
        <v>1156.7702999999999</v>
      </c>
      <c r="AD294" s="20" t="s">
        <v>64</v>
      </c>
      <c r="AE294" s="6" t="str">
        <f>IF(ISNUMBER(U294),0.02289*U294^3- 4.943*U294^2+ 358.6*U294-7620,"-")</f>
        <v>-</v>
      </c>
      <c r="AF294" s="786" t="s">
        <v>64</v>
      </c>
      <c r="AG294" s="34" t="s">
        <v>64</v>
      </c>
      <c r="AH294" s="32">
        <f t="shared" si="231"/>
        <v>53.189548179063749</v>
      </c>
      <c r="AI294" s="9">
        <v>50.346248555203779</v>
      </c>
      <c r="AJ294" s="9">
        <v>2.6624453490125131</v>
      </c>
      <c r="AK294" s="9">
        <v>13.865018342630281</v>
      </c>
      <c r="AL294" s="9">
        <v>11.201567917985827</v>
      </c>
      <c r="AM294" s="9">
        <v>0.18191868938137593</v>
      </c>
      <c r="AN294" s="9">
        <v>7.1390522136790784</v>
      </c>
      <c r="AO294" s="9">
        <v>11.50309060756822</v>
      </c>
      <c r="AP294" s="9">
        <v>2.338810995527413</v>
      </c>
      <c r="AQ294" s="9">
        <v>0.40002010151263878</v>
      </c>
      <c r="AR294" s="9">
        <v>0.22714709281873458</v>
      </c>
      <c r="AS294" s="6" t="s">
        <v>64</v>
      </c>
      <c r="AT294" s="6">
        <v>1346.8013468013467</v>
      </c>
      <c r="AU294" s="9">
        <v>99.49499999999999</v>
      </c>
      <c r="AV294" s="8">
        <f>IF(ISNUMBER(AL294),(AL294/71.84)*(0.18/2)*159.69,"-")</f>
        <v>2.2409528712984979</v>
      </c>
      <c r="AW294" s="9">
        <f>IF(ISNUMBER(AL294),(AL294/71.84)*(1-0.18)*71.84,"-")</f>
        <v>9.1852856927483799</v>
      </c>
      <c r="AX294" s="8" t="s">
        <v>64</v>
      </c>
      <c r="AY294" s="789" t="s">
        <v>64</v>
      </c>
      <c r="AZ294" s="6" t="s">
        <v>64</v>
      </c>
      <c r="BA294" s="48" t="s">
        <v>64</v>
      </c>
      <c r="BB294" s="48" t="s">
        <v>64</v>
      </c>
      <c r="BC294" s="48" t="s">
        <v>64</v>
      </c>
      <c r="BD294" s="849" t="s">
        <v>64</v>
      </c>
      <c r="BE294" s="48" t="s">
        <v>64</v>
      </c>
      <c r="BF294" s="773" t="s">
        <v>64</v>
      </c>
      <c r="BG294" s="880" t="s">
        <v>64</v>
      </c>
      <c r="BH294" s="880" t="s">
        <v>64</v>
      </c>
      <c r="BI294" s="850" t="str">
        <f t="shared" si="234"/>
        <v>-</v>
      </c>
      <c r="BJ294" s="789" t="str">
        <f t="shared" si="235"/>
        <v>-</v>
      </c>
      <c r="BK294" s="563" t="s">
        <v>64</v>
      </c>
      <c r="BL294" s="48" t="s">
        <v>64</v>
      </c>
      <c r="BM294" s="48" t="s">
        <v>64</v>
      </c>
      <c r="BN294" s="47" t="s">
        <v>64</v>
      </c>
      <c r="BO294" s="789" t="s">
        <v>64</v>
      </c>
      <c r="BP294" s="789" t="s">
        <v>64</v>
      </c>
      <c r="BQ294" s="34" t="s">
        <v>64</v>
      </c>
      <c r="BR294" s="25">
        <v>2.7093070215569122</v>
      </c>
      <c r="BS294" s="26">
        <v>2.958017265272002</v>
      </c>
      <c r="BT294" s="603"/>
      <c r="BU294" s="599" t="s">
        <v>309</v>
      </c>
      <c r="BV294" s="851" t="s">
        <v>309</v>
      </c>
      <c r="BW294" s="851" t="s">
        <v>309</v>
      </c>
      <c r="BX294" s="851" t="s">
        <v>309</v>
      </c>
      <c r="BY294" s="851" t="s">
        <v>309</v>
      </c>
      <c r="BZ294" s="851" t="s">
        <v>309</v>
      </c>
      <c r="CA294" s="851" t="s">
        <v>309</v>
      </c>
      <c r="CB294" s="851" t="s">
        <v>309</v>
      </c>
      <c r="CC294" s="851" t="s">
        <v>309</v>
      </c>
      <c r="CD294" s="851" t="s">
        <v>309</v>
      </c>
      <c r="CE294" s="852" t="s">
        <v>64</v>
      </c>
      <c r="CF294" s="852" t="s">
        <v>309</v>
      </c>
      <c r="CG294" s="603"/>
      <c r="CH294" s="584">
        <v>50.091999999999999</v>
      </c>
      <c r="CI294" s="576">
        <v>2.649</v>
      </c>
      <c r="CJ294" s="576">
        <v>13.795</v>
      </c>
      <c r="CK294" s="576">
        <v>11.145</v>
      </c>
      <c r="CL294" s="576">
        <v>0.18099999999999999</v>
      </c>
      <c r="CM294" s="576">
        <v>7.1029999999999998</v>
      </c>
      <c r="CN294" s="576">
        <v>11.445</v>
      </c>
      <c r="CO294" s="576">
        <v>2.327</v>
      </c>
      <c r="CP294" s="576">
        <v>0.39800000000000002</v>
      </c>
      <c r="CQ294" s="576">
        <v>0.22600000000000001</v>
      </c>
      <c r="CR294" s="857" t="s">
        <v>64</v>
      </c>
      <c r="CS294" s="793">
        <v>1340</v>
      </c>
      <c r="CT294" s="576">
        <f>SUM(CH294:CR294)+(CS294/10000)</f>
        <v>99.49499999999999</v>
      </c>
      <c r="CU294" s="855" t="s">
        <v>64</v>
      </c>
      <c r="CV294" s="592" t="s">
        <v>64</v>
      </c>
      <c r="CW294" s="603"/>
      <c r="CX294" s="946" t="s">
        <v>64</v>
      </c>
      <c r="CY294" s="944" t="s">
        <v>64</v>
      </c>
      <c r="CZ294" s="944" t="s">
        <v>64</v>
      </c>
      <c r="DA294" s="950" t="str">
        <f t="shared" si="237"/>
        <v>-</v>
      </c>
      <c r="DB294" s="946" t="s">
        <v>64</v>
      </c>
      <c r="DC294" s="944" t="s">
        <v>64</v>
      </c>
      <c r="DD294" s="944" t="s">
        <v>64</v>
      </c>
      <c r="DE294" s="951" t="str">
        <f t="shared" si="238"/>
        <v>-</v>
      </c>
      <c r="DF294" s="9"/>
    </row>
    <row r="295" spans="1:110">
      <c r="A295" s="846" t="s">
        <v>989</v>
      </c>
      <c r="B295" s="41" t="s">
        <v>156</v>
      </c>
      <c r="C295" s="41" t="s">
        <v>1491</v>
      </c>
      <c r="D295" s="34">
        <v>1500</v>
      </c>
      <c r="E295" s="535">
        <v>19.42567</v>
      </c>
      <c r="F295" s="537">
        <v>-155.25163000000001</v>
      </c>
      <c r="G295" s="37" t="s">
        <v>940</v>
      </c>
      <c r="H295" s="37" t="s">
        <v>64</v>
      </c>
      <c r="I295" s="202" t="s">
        <v>64</v>
      </c>
      <c r="J295" t="s">
        <v>988</v>
      </c>
      <c r="K295" s="34">
        <v>2001</v>
      </c>
      <c r="L295" s="39" t="s">
        <v>64</v>
      </c>
      <c r="M295" s="34" t="s">
        <v>64</v>
      </c>
      <c r="N295" s="879" t="s">
        <v>64</v>
      </c>
      <c r="O295" s="879" t="s">
        <v>64</v>
      </c>
      <c r="P295" s="775" t="s">
        <v>64</v>
      </c>
      <c r="Q295" s="879" t="s">
        <v>64</v>
      </c>
      <c r="R295" s="28" t="s">
        <v>64</v>
      </c>
      <c r="S295" s="33" t="s">
        <v>64</v>
      </c>
      <c r="T295" s="860" t="s">
        <v>940</v>
      </c>
      <c r="U295" s="28" t="s">
        <v>64</v>
      </c>
      <c r="V295" s="26" t="s">
        <v>64</v>
      </c>
      <c r="W295" s="26" t="s">
        <v>64</v>
      </c>
      <c r="X295" s="775" t="s">
        <v>64</v>
      </c>
      <c r="Y295" s="879" t="s">
        <v>64</v>
      </c>
      <c r="Z295" s="879" t="s">
        <v>64</v>
      </c>
      <c r="AA295" s="879" t="s">
        <v>64</v>
      </c>
      <c r="AB295" s="32" t="s">
        <v>64</v>
      </c>
      <c r="AC295" s="6">
        <f t="shared" si="229"/>
        <v>1152.5091</v>
      </c>
      <c r="AD295" s="20" t="s">
        <v>64</v>
      </c>
      <c r="AE295" s="6" t="str">
        <f>IF(ISNUMBER(U295),0.02289*U295^3- 4.943*U295^2+ 358.6*U295-7620,"-")</f>
        <v>-</v>
      </c>
      <c r="AF295" s="786" t="s">
        <v>64</v>
      </c>
      <c r="AG295" s="34" t="s">
        <v>64</v>
      </c>
      <c r="AH295" s="32">
        <f>100*(AN295/40.3)/((AN295/40.3)+(AL295/71.85))</f>
        <v>52.251570325226261</v>
      </c>
      <c r="AI295" s="9">
        <v>50.477106887980113</v>
      </c>
      <c r="AJ295" s="9">
        <v>2.4867693047871056</v>
      </c>
      <c r="AK295" s="9">
        <v>14.03255552882688</v>
      </c>
      <c r="AL295" s="9">
        <v>11.253107208724241</v>
      </c>
      <c r="AM295" s="9">
        <v>0.16939299174083877</v>
      </c>
      <c r="AN295" s="9">
        <v>6.907024296367573</v>
      </c>
      <c r="AO295" s="9">
        <v>11.568839708122844</v>
      </c>
      <c r="AP295" s="9">
        <v>2.3123646860716867</v>
      </c>
      <c r="AQ295" s="9">
        <v>0.40794643573089562</v>
      </c>
      <c r="AR295" s="9">
        <v>0.26060460267821339</v>
      </c>
      <c r="AS295" s="6" t="s">
        <v>64</v>
      </c>
      <c r="AT295" s="6">
        <v>1242.883489696095</v>
      </c>
      <c r="AU295" s="9">
        <v>99.768000000000015</v>
      </c>
      <c r="AV295" s="8">
        <f>IF(ISNUMBER(AL295),(AL295/71.84)*(0.18/2)*159.69,"-")</f>
        <v>2.2512636708589318</v>
      </c>
      <c r="AW295" s="9">
        <f>IF(ISNUMBER(AL295),(AL295/71.84)*(1-0.18)*71.84,"-")</f>
        <v>9.2275479111538772</v>
      </c>
      <c r="AX295" s="8" t="s">
        <v>64</v>
      </c>
      <c r="AY295" s="789" t="s">
        <v>64</v>
      </c>
      <c r="AZ295" s="6" t="s">
        <v>64</v>
      </c>
      <c r="BA295" s="48" t="s">
        <v>64</v>
      </c>
      <c r="BB295" s="48" t="s">
        <v>64</v>
      </c>
      <c r="BC295" s="48" t="s">
        <v>64</v>
      </c>
      <c r="BD295" s="849" t="s">
        <v>64</v>
      </c>
      <c r="BE295" s="48" t="s">
        <v>64</v>
      </c>
      <c r="BF295" s="773" t="s">
        <v>64</v>
      </c>
      <c r="BG295" s="880" t="s">
        <v>64</v>
      </c>
      <c r="BH295" s="880" t="s">
        <v>64</v>
      </c>
      <c r="BI295" s="850" t="str">
        <f t="shared" si="234"/>
        <v>-</v>
      </c>
      <c r="BJ295" s="789" t="str">
        <f t="shared" si="235"/>
        <v>-</v>
      </c>
      <c r="BK295" s="563" t="s">
        <v>64</v>
      </c>
      <c r="BL295" s="48" t="s">
        <v>64</v>
      </c>
      <c r="BM295" s="48" t="s">
        <v>64</v>
      </c>
      <c r="BN295" s="47" t="s">
        <v>64</v>
      </c>
      <c r="BO295" s="789" t="s">
        <v>64</v>
      </c>
      <c r="BP295" s="789" t="s">
        <v>64</v>
      </c>
      <c r="BQ295" s="34" t="s">
        <v>64</v>
      </c>
      <c r="BR295" s="25">
        <v>2.7086559870975941</v>
      </c>
      <c r="BS295" s="26">
        <v>2.953497426439041</v>
      </c>
      <c r="BT295" s="603"/>
      <c r="BU295" s="599" t="s">
        <v>309</v>
      </c>
      <c r="BV295" s="851" t="s">
        <v>309</v>
      </c>
      <c r="BW295" s="851" t="s">
        <v>309</v>
      </c>
      <c r="BX295" s="851" t="s">
        <v>309</v>
      </c>
      <c r="BY295" s="851" t="s">
        <v>309</v>
      </c>
      <c r="BZ295" s="851" t="s">
        <v>309</v>
      </c>
      <c r="CA295" s="851" t="s">
        <v>309</v>
      </c>
      <c r="CB295" s="851" t="s">
        <v>309</v>
      </c>
      <c r="CC295" s="851" t="s">
        <v>309</v>
      </c>
      <c r="CD295" s="851" t="s">
        <v>309</v>
      </c>
      <c r="CE295" s="852" t="s">
        <v>64</v>
      </c>
      <c r="CF295" s="852" t="s">
        <v>309</v>
      </c>
      <c r="CG295" s="603"/>
      <c r="CH295" s="584">
        <v>50.36</v>
      </c>
      <c r="CI295" s="576">
        <v>2.4809999999999999</v>
      </c>
      <c r="CJ295" s="576">
        <v>14</v>
      </c>
      <c r="CK295" s="576">
        <v>11.227</v>
      </c>
      <c r="CL295" s="576">
        <v>0.16900000000000001</v>
      </c>
      <c r="CM295" s="576">
        <v>6.891</v>
      </c>
      <c r="CN295" s="576">
        <v>11.542</v>
      </c>
      <c r="CO295" s="576">
        <v>2.3069999999999999</v>
      </c>
      <c r="CP295" s="576">
        <v>0.40699999999999997</v>
      </c>
      <c r="CQ295" s="576">
        <v>0.26</v>
      </c>
      <c r="CR295" s="857" t="s">
        <v>64</v>
      </c>
      <c r="CS295" s="793">
        <v>1240</v>
      </c>
      <c r="CT295" s="576">
        <f>SUM(CH295:CR295)+(CS295/10000)</f>
        <v>99.768000000000015</v>
      </c>
      <c r="CU295" s="855" t="s">
        <v>64</v>
      </c>
      <c r="CV295" s="592" t="s">
        <v>64</v>
      </c>
      <c r="CW295" s="603"/>
      <c r="CX295" s="946" t="s">
        <v>64</v>
      </c>
      <c r="CY295" s="944" t="s">
        <v>64</v>
      </c>
      <c r="CZ295" s="944" t="s">
        <v>64</v>
      </c>
      <c r="DA295" s="950" t="str">
        <f t="shared" si="237"/>
        <v>-</v>
      </c>
      <c r="DB295" s="946" t="s">
        <v>64</v>
      </c>
      <c r="DC295" s="944" t="s">
        <v>64</v>
      </c>
      <c r="DD295" s="944" t="s">
        <v>64</v>
      </c>
      <c r="DE295" s="951" t="str">
        <f t="shared" si="238"/>
        <v>-</v>
      </c>
      <c r="DF295" s="9"/>
    </row>
    <row r="296" spans="1:110">
      <c r="A296" s="846" t="s">
        <v>990</v>
      </c>
      <c r="B296" s="41" t="s">
        <v>156</v>
      </c>
      <c r="C296" s="41" t="s">
        <v>1491</v>
      </c>
      <c r="D296" s="34">
        <v>1500</v>
      </c>
      <c r="E296" s="535">
        <v>19.42567</v>
      </c>
      <c r="F296" s="537">
        <v>-155.25163000000001</v>
      </c>
      <c r="G296" s="37" t="s">
        <v>946</v>
      </c>
      <c r="H296" s="37" t="s">
        <v>64</v>
      </c>
      <c r="I296" s="202" t="s">
        <v>64</v>
      </c>
      <c r="J296" t="s">
        <v>877</v>
      </c>
      <c r="K296" s="870">
        <v>43053</v>
      </c>
      <c r="L296" s="51" t="s">
        <v>64</v>
      </c>
      <c r="M296" s="52" t="s">
        <v>64</v>
      </c>
      <c r="N296" s="838" t="s">
        <v>64</v>
      </c>
      <c r="O296" s="54" t="s">
        <v>64</v>
      </c>
      <c r="P296" s="779" t="s">
        <v>64</v>
      </c>
      <c r="Q296" s="54" t="s">
        <v>64</v>
      </c>
      <c r="R296" s="772" t="s">
        <v>64</v>
      </c>
      <c r="S296" s="624" t="s">
        <v>64</v>
      </c>
      <c r="T296" s="861" t="s">
        <v>946</v>
      </c>
      <c r="U296" s="21" t="s">
        <v>64</v>
      </c>
      <c r="V296" s="552" t="s">
        <v>64</v>
      </c>
      <c r="W296" s="552" t="s">
        <v>64</v>
      </c>
      <c r="X296" s="779" t="s">
        <v>64</v>
      </c>
      <c r="Y296" s="54" t="s">
        <v>64</v>
      </c>
      <c r="Z296" s="54" t="s">
        <v>64</v>
      </c>
      <c r="AA296" s="54" t="s">
        <v>64</v>
      </c>
      <c r="AB296" s="32" t="s">
        <v>64</v>
      </c>
      <c r="AC296" s="6">
        <f t="shared" si="229"/>
        <v>1158.333075</v>
      </c>
      <c r="AD296" s="20" t="s">
        <v>64</v>
      </c>
      <c r="AE296" s="6" t="str">
        <f t="shared" si="230"/>
        <v>-</v>
      </c>
      <c r="AF296" s="885" t="s">
        <v>64</v>
      </c>
      <c r="AG296" s="772" t="s">
        <v>64</v>
      </c>
      <c r="AH296" s="32">
        <f t="shared" si="231"/>
        <v>54.853409812805715</v>
      </c>
      <c r="AI296" s="9">
        <v>51.748307221207533</v>
      </c>
      <c r="AJ296" s="9">
        <v>2.2876905932645673</v>
      </c>
      <c r="AK296" s="9">
        <v>14.029596298055857</v>
      </c>
      <c r="AL296" s="9">
        <v>10.732583109453076</v>
      </c>
      <c r="AM296" s="9">
        <v>0.15367693312442304</v>
      </c>
      <c r="AN296" s="9">
        <v>7.3141053026227043</v>
      </c>
      <c r="AO296" s="9">
        <v>10.831791946479216</v>
      </c>
      <c r="AP296" s="9">
        <v>2.2584677849044041</v>
      </c>
      <c r="AQ296" s="9">
        <v>0.38675353014886277</v>
      </c>
      <c r="AR296" s="9">
        <v>0.23108019742925254</v>
      </c>
      <c r="AS296" s="6">
        <v>117.04401912395987</v>
      </c>
      <c r="AT296" s="6">
        <v>142.42681397705434</v>
      </c>
      <c r="AU296" s="9">
        <v>98.176738</v>
      </c>
      <c r="AV296" s="8">
        <f t="shared" si="232"/>
        <v>2.147129144033554</v>
      </c>
      <c r="AW296" s="9">
        <f t="shared" si="233"/>
        <v>8.800718149751523</v>
      </c>
      <c r="AX296" s="8" t="s">
        <v>64</v>
      </c>
      <c r="AY296" s="789" t="s">
        <v>64</v>
      </c>
      <c r="AZ296" s="6" t="s">
        <v>64</v>
      </c>
      <c r="BA296" s="48" t="s">
        <v>64</v>
      </c>
      <c r="BB296" s="48" t="s">
        <v>64</v>
      </c>
      <c r="BC296" s="48" t="s">
        <v>64</v>
      </c>
      <c r="BD296" s="849" t="s">
        <v>64</v>
      </c>
      <c r="BE296" s="48" t="s">
        <v>64</v>
      </c>
      <c r="BF296" s="773" t="s">
        <v>64</v>
      </c>
      <c r="BG296" s="880" t="s">
        <v>64</v>
      </c>
      <c r="BH296" s="880" t="s">
        <v>64</v>
      </c>
      <c r="BI296" s="850" t="str">
        <f t="shared" si="234"/>
        <v>-</v>
      </c>
      <c r="BJ296" s="789" t="str">
        <f t="shared" si="235"/>
        <v>-</v>
      </c>
      <c r="BK296" s="563" t="s">
        <v>64</v>
      </c>
      <c r="BL296" s="48" t="s">
        <v>64</v>
      </c>
      <c r="BM296" s="48" t="s">
        <v>64</v>
      </c>
      <c r="BN296" s="47" t="s">
        <v>64</v>
      </c>
      <c r="BO296" s="789" t="s">
        <v>64</v>
      </c>
      <c r="BP296" s="789" t="s">
        <v>64</v>
      </c>
      <c r="BQ296" s="34" t="s">
        <v>64</v>
      </c>
      <c r="BR296" s="25">
        <v>2.690410471665833</v>
      </c>
      <c r="BS296" s="26">
        <v>2.9269062182488801</v>
      </c>
      <c r="BT296" s="604"/>
      <c r="BU296" s="599">
        <v>0.14123768986498614</v>
      </c>
      <c r="BV296" s="851">
        <v>2.8161471203086826E-2</v>
      </c>
      <c r="BW296" s="851">
        <v>6.5602392289709197E-2</v>
      </c>
      <c r="BX296" s="851">
        <v>0.1165579990852823</v>
      </c>
      <c r="BY296" s="851">
        <v>5.9934464949324365E-3</v>
      </c>
      <c r="BZ296" s="851">
        <v>1.9410026369994081E-2</v>
      </c>
      <c r="CA296" s="851">
        <v>2.259414313908046E-2</v>
      </c>
      <c r="CB296" s="851">
        <v>3.2077695489332723E-2</v>
      </c>
      <c r="CC296" s="851">
        <v>1.1071980061101643E-2</v>
      </c>
      <c r="CD296" s="851">
        <v>7.1862013037141247E-3</v>
      </c>
      <c r="CE296" s="852">
        <v>25.443497053242893</v>
      </c>
      <c r="CF296" s="852">
        <v>16.376519924709662</v>
      </c>
      <c r="CG296" s="604"/>
      <c r="CH296" s="584">
        <v>50.8048</v>
      </c>
      <c r="CI296" s="576">
        <v>2.2459799999999999</v>
      </c>
      <c r="CJ296" s="576">
        <v>13.7738</v>
      </c>
      <c r="CK296" s="576">
        <v>10.536899999999999</v>
      </c>
      <c r="CL296" s="576">
        <v>0.15087500000000001</v>
      </c>
      <c r="CM296" s="576">
        <v>7.1807499999999997</v>
      </c>
      <c r="CN296" s="576">
        <v>10.6343</v>
      </c>
      <c r="CO296" s="576">
        <v>2.2172900000000002</v>
      </c>
      <c r="CP296" s="576">
        <v>0.37970199999999998</v>
      </c>
      <c r="CQ296" s="576">
        <v>0.22686700000000001</v>
      </c>
      <c r="CR296" s="857">
        <v>1.1490999999999999E-2</v>
      </c>
      <c r="CS296" s="793">
        <v>139.83000000000001</v>
      </c>
      <c r="CT296" s="576">
        <f t="shared" si="236"/>
        <v>98.176738</v>
      </c>
      <c r="CU296" s="576" t="s">
        <v>64</v>
      </c>
      <c r="CV296" s="592" t="s">
        <v>64</v>
      </c>
      <c r="CW296" s="604"/>
      <c r="CX296" s="946" t="s">
        <v>64</v>
      </c>
      <c r="CY296" s="944" t="s">
        <v>64</v>
      </c>
      <c r="CZ296" s="944" t="s">
        <v>64</v>
      </c>
      <c r="DA296" s="950" t="str">
        <f t="shared" si="237"/>
        <v>-</v>
      </c>
      <c r="DB296" s="946" t="s">
        <v>64</v>
      </c>
      <c r="DC296" s="944" t="s">
        <v>64</v>
      </c>
      <c r="DD296" s="944" t="s">
        <v>64</v>
      </c>
      <c r="DE296" s="951" t="str">
        <f t="shared" si="238"/>
        <v>-</v>
      </c>
      <c r="DF296" s="9"/>
    </row>
    <row r="297" spans="1:110">
      <c r="A297" s="846" t="s">
        <v>991</v>
      </c>
      <c r="B297" s="41" t="s">
        <v>156</v>
      </c>
      <c r="C297" s="41" t="s">
        <v>1491</v>
      </c>
      <c r="D297" s="34">
        <v>1500</v>
      </c>
      <c r="E297" s="535">
        <v>19.42567</v>
      </c>
      <c r="F297" s="537">
        <v>-155.25163000000001</v>
      </c>
      <c r="G297" s="37" t="s">
        <v>940</v>
      </c>
      <c r="H297" s="37" t="s">
        <v>64</v>
      </c>
      <c r="I297" s="202" t="s">
        <v>64</v>
      </c>
      <c r="J297" t="s">
        <v>877</v>
      </c>
      <c r="K297" s="870">
        <v>43053</v>
      </c>
      <c r="L297" s="51" t="s">
        <v>64</v>
      </c>
      <c r="M297" s="52" t="s">
        <v>64</v>
      </c>
      <c r="N297" s="838" t="s">
        <v>64</v>
      </c>
      <c r="O297" s="54" t="s">
        <v>64</v>
      </c>
      <c r="P297" s="779" t="s">
        <v>64</v>
      </c>
      <c r="Q297" s="54" t="s">
        <v>64</v>
      </c>
      <c r="R297" s="772" t="s">
        <v>64</v>
      </c>
      <c r="S297" s="624" t="s">
        <v>64</v>
      </c>
      <c r="T297" s="861" t="s">
        <v>940</v>
      </c>
      <c r="U297" s="21" t="s">
        <v>64</v>
      </c>
      <c r="V297" s="552" t="s">
        <v>64</v>
      </c>
      <c r="W297" s="552" t="s">
        <v>64</v>
      </c>
      <c r="X297" s="779" t="s">
        <v>64</v>
      </c>
      <c r="Y297" s="54" t="s">
        <v>64</v>
      </c>
      <c r="Z297" s="54" t="s">
        <v>64</v>
      </c>
      <c r="AA297" s="54" t="s">
        <v>64</v>
      </c>
      <c r="AB297" s="32" t="s">
        <v>64</v>
      </c>
      <c r="AC297" s="6">
        <f t="shared" si="229"/>
        <v>1169.085771</v>
      </c>
      <c r="AD297" s="20" t="s">
        <v>64</v>
      </c>
      <c r="AE297" s="6" t="str">
        <f t="shared" si="230"/>
        <v>-</v>
      </c>
      <c r="AF297" s="885" t="s">
        <v>64</v>
      </c>
      <c r="AG297" s="772" t="s">
        <v>64</v>
      </c>
      <c r="AH297" s="32">
        <f t="shared" si="231"/>
        <v>54.999671174400497</v>
      </c>
      <c r="AI297" s="9">
        <v>50.723122847478542</v>
      </c>
      <c r="AJ297" s="9">
        <v>2.2213238983492429</v>
      </c>
      <c r="AK297" s="9">
        <v>13.868279492128121</v>
      </c>
      <c r="AL297" s="9">
        <v>11.270136198802913</v>
      </c>
      <c r="AM297" s="9">
        <v>0.17221323247486661</v>
      </c>
      <c r="AN297" s="9">
        <v>7.725949123113371</v>
      </c>
      <c r="AO297" s="9">
        <v>10.887028469960956</v>
      </c>
      <c r="AP297" s="9">
        <v>2.3580851466640227</v>
      </c>
      <c r="AQ297" s="9">
        <v>0.41728702632311587</v>
      </c>
      <c r="AR297" s="9">
        <v>0.21876492697006419</v>
      </c>
      <c r="AS297" s="6">
        <v>94.284954907889883</v>
      </c>
      <c r="AT297" s="6">
        <v>1283.8114224400454</v>
      </c>
      <c r="AU297" s="9">
        <v>99.867471000000023</v>
      </c>
      <c r="AV297" s="8">
        <f t="shared" si="232"/>
        <v>2.2546704407407478</v>
      </c>
      <c r="AW297" s="9">
        <f t="shared" si="233"/>
        <v>9.2415116830183894</v>
      </c>
      <c r="AX297" s="8" t="s">
        <v>64</v>
      </c>
      <c r="AY297" s="789" t="s">
        <v>64</v>
      </c>
      <c r="AZ297" s="6" t="s">
        <v>64</v>
      </c>
      <c r="BA297" s="48" t="s">
        <v>64</v>
      </c>
      <c r="BB297" s="48" t="s">
        <v>64</v>
      </c>
      <c r="BC297" s="48" t="s">
        <v>64</v>
      </c>
      <c r="BD297" s="849" t="s">
        <v>64</v>
      </c>
      <c r="BE297" s="48" t="s">
        <v>64</v>
      </c>
      <c r="BF297" s="773" t="s">
        <v>64</v>
      </c>
      <c r="BG297" s="880" t="s">
        <v>64</v>
      </c>
      <c r="BH297" s="880" t="s">
        <v>64</v>
      </c>
      <c r="BI297" s="850" t="str">
        <f t="shared" si="234"/>
        <v>-</v>
      </c>
      <c r="BJ297" s="789" t="str">
        <f t="shared" si="235"/>
        <v>-</v>
      </c>
      <c r="BK297" s="563" t="s">
        <v>64</v>
      </c>
      <c r="BL297" s="48" t="s">
        <v>64</v>
      </c>
      <c r="BM297" s="48" t="s">
        <v>64</v>
      </c>
      <c r="BN297" s="47" t="s">
        <v>64</v>
      </c>
      <c r="BO297" s="789" t="s">
        <v>64</v>
      </c>
      <c r="BP297" s="789" t="s">
        <v>64</v>
      </c>
      <c r="BQ297" s="34" t="s">
        <v>64</v>
      </c>
      <c r="BR297" s="25">
        <v>2.7041451697617722</v>
      </c>
      <c r="BS297" s="26">
        <v>2.952175046752247</v>
      </c>
      <c r="BT297" s="604"/>
      <c r="BU297" s="599">
        <v>0.13906302082987565</v>
      </c>
      <c r="BV297" s="851">
        <v>0</v>
      </c>
      <c r="BW297" s="851">
        <v>6.4747113830488409E-2</v>
      </c>
      <c r="BX297" s="851">
        <v>0.11929326465070894</v>
      </c>
      <c r="BY297" s="851">
        <v>5.7610320446584654E-3</v>
      </c>
      <c r="BZ297" s="851">
        <v>1.9296948605817803E-2</v>
      </c>
      <c r="CA297" s="851">
        <v>2.1809330912164585E-2</v>
      </c>
      <c r="CB297" s="851">
        <v>3.291839703040042E-2</v>
      </c>
      <c r="CC297" s="851">
        <v>1.1169188003969786E-2</v>
      </c>
      <c r="CD297" s="851">
        <v>6.652619552666955E-3</v>
      </c>
      <c r="CE297" s="852">
        <v>21.087490159833926</v>
      </c>
      <c r="CF297" s="852">
        <v>21.417825960567278</v>
      </c>
      <c r="CG297" s="604"/>
      <c r="CH297" s="584">
        <v>50.655900000000003</v>
      </c>
      <c r="CI297" s="576">
        <v>2.2183799999999998</v>
      </c>
      <c r="CJ297" s="576">
        <v>13.8499</v>
      </c>
      <c r="CK297" s="576">
        <v>11.2552</v>
      </c>
      <c r="CL297" s="576">
        <v>0.171985</v>
      </c>
      <c r="CM297" s="576">
        <v>7.7157099999999996</v>
      </c>
      <c r="CN297" s="576">
        <v>10.8726</v>
      </c>
      <c r="CO297" s="576">
        <v>2.3549600000000002</v>
      </c>
      <c r="CP297" s="576">
        <v>0.41673399999999999</v>
      </c>
      <c r="CQ297" s="576">
        <v>0.218475</v>
      </c>
      <c r="CR297" s="857">
        <v>9.4160000000000008E-3</v>
      </c>
      <c r="CS297" s="793">
        <v>1282.1099999999999</v>
      </c>
      <c r="CT297" s="576">
        <f t="shared" si="236"/>
        <v>99.867471000000023</v>
      </c>
      <c r="CU297" s="576" t="s">
        <v>64</v>
      </c>
      <c r="CV297" s="592" t="s">
        <v>64</v>
      </c>
      <c r="CW297" s="604"/>
      <c r="CX297" s="946" t="s">
        <v>64</v>
      </c>
      <c r="CY297" s="944" t="s">
        <v>64</v>
      </c>
      <c r="CZ297" s="944" t="s">
        <v>64</v>
      </c>
      <c r="DA297" s="950" t="str">
        <f t="shared" si="237"/>
        <v>-</v>
      </c>
      <c r="DB297" s="946" t="s">
        <v>64</v>
      </c>
      <c r="DC297" s="944" t="s">
        <v>64</v>
      </c>
      <c r="DD297" s="944" t="s">
        <v>64</v>
      </c>
      <c r="DE297" s="951" t="str">
        <f t="shared" si="238"/>
        <v>-</v>
      </c>
      <c r="DF297" s="9"/>
    </row>
    <row r="298" spans="1:110">
      <c r="A298" s="846" t="s">
        <v>992</v>
      </c>
      <c r="B298" s="41" t="s">
        <v>156</v>
      </c>
      <c r="C298" s="41" t="s">
        <v>1491</v>
      </c>
      <c r="D298" s="34">
        <v>1500</v>
      </c>
      <c r="E298" s="535">
        <v>19.42567</v>
      </c>
      <c r="F298" s="537">
        <v>-155.25163000000001</v>
      </c>
      <c r="G298" s="37" t="s">
        <v>940</v>
      </c>
      <c r="H298" s="37" t="s">
        <v>64</v>
      </c>
      <c r="I298" s="202" t="s">
        <v>64</v>
      </c>
      <c r="J298" t="s">
        <v>993</v>
      </c>
      <c r="K298" s="870">
        <v>43053</v>
      </c>
      <c r="L298" s="51" t="s">
        <v>64</v>
      </c>
      <c r="M298" s="52" t="s">
        <v>64</v>
      </c>
      <c r="N298" s="838" t="s">
        <v>64</v>
      </c>
      <c r="O298" s="54" t="s">
        <v>64</v>
      </c>
      <c r="P298" s="779" t="s">
        <v>64</v>
      </c>
      <c r="Q298" s="54" t="s">
        <v>64</v>
      </c>
      <c r="R298" s="772" t="s">
        <v>64</v>
      </c>
      <c r="S298" s="624" t="s">
        <v>64</v>
      </c>
      <c r="T298" s="861" t="s">
        <v>940</v>
      </c>
      <c r="U298" s="21" t="s">
        <v>64</v>
      </c>
      <c r="V298" s="552" t="s">
        <v>64</v>
      </c>
      <c r="W298" s="552" t="s">
        <v>64</v>
      </c>
      <c r="X298" s="779" t="s">
        <v>64</v>
      </c>
      <c r="Y298" s="54" t="s">
        <v>64</v>
      </c>
      <c r="Z298" s="54" t="s">
        <v>64</v>
      </c>
      <c r="AA298" s="54" t="s">
        <v>64</v>
      </c>
      <c r="AB298" s="32" t="s">
        <v>64</v>
      </c>
      <c r="AC298" s="6">
        <f t="shared" si="229"/>
        <v>1167.5939490000001</v>
      </c>
      <c r="AD298" s="20" t="s">
        <v>64</v>
      </c>
      <c r="AE298" s="6" t="str">
        <f t="shared" si="230"/>
        <v>-</v>
      </c>
      <c r="AF298" s="885" t="s">
        <v>64</v>
      </c>
      <c r="AG298" s="772" t="s">
        <v>64</v>
      </c>
      <c r="AH298" s="32">
        <f t="shared" si="231"/>
        <v>56.329833074411013</v>
      </c>
      <c r="AI298" s="9">
        <v>51.389964007602053</v>
      </c>
      <c r="AJ298" s="9">
        <v>2.2170583064994229</v>
      </c>
      <c r="AK298" s="9">
        <v>14.019342405756435</v>
      </c>
      <c r="AL298" s="9">
        <v>10.555707242783882</v>
      </c>
      <c r="AM298" s="9">
        <v>0.17092710225583077</v>
      </c>
      <c r="AN298" s="9">
        <v>7.6369372598618268</v>
      </c>
      <c r="AO298" s="9">
        <v>10.856527909331691</v>
      </c>
      <c r="AP298" s="9">
        <v>2.45596588237402</v>
      </c>
      <c r="AQ298" s="9">
        <v>0.38971767083162046</v>
      </c>
      <c r="AR298" s="9">
        <v>0.21071838078938884</v>
      </c>
      <c r="AS298" s="6">
        <v>118.01964289910514</v>
      </c>
      <c r="AT298" s="6">
        <v>659.74669373710958</v>
      </c>
      <c r="AU298" s="9">
        <v>100.040246</v>
      </c>
      <c r="AV298" s="8">
        <f t="shared" si="232"/>
        <v>2.1117438761694629</v>
      </c>
      <c r="AW298" s="9">
        <f t="shared" si="233"/>
        <v>8.6556799390827841</v>
      </c>
      <c r="AX298" s="8">
        <v>0.22206639042935578</v>
      </c>
      <c r="AY298" s="789">
        <v>1.1103319521467789E-2</v>
      </c>
      <c r="AZ298" s="6">
        <v>193.57198250193275</v>
      </c>
      <c r="BA298" s="48">
        <v>19.357198250193278</v>
      </c>
      <c r="BB298" s="35" t="s">
        <v>64</v>
      </c>
      <c r="BC298" s="886" t="s">
        <v>64</v>
      </c>
      <c r="BD298" s="849">
        <v>193.57198250193275</v>
      </c>
      <c r="BE298" s="48">
        <v>19.357198250193278</v>
      </c>
      <c r="BF298" s="668">
        <v>483.34445569871042</v>
      </c>
      <c r="BG298" s="48">
        <v>45.552882356722591</v>
      </c>
      <c r="BH298" s="48">
        <v>45.90237727505172</v>
      </c>
      <c r="BI298" s="850">
        <f t="shared" si="234"/>
        <v>2.0512756045740423</v>
      </c>
      <c r="BJ298" s="789">
        <f t="shared" si="235"/>
        <v>0.18375865717966722</v>
      </c>
      <c r="BK298" s="563" t="s">
        <v>64</v>
      </c>
      <c r="BL298" s="48" t="s">
        <v>64</v>
      </c>
      <c r="BM298" s="48" t="s">
        <v>64</v>
      </c>
      <c r="BN298" s="47" t="s">
        <v>64</v>
      </c>
      <c r="BO298" s="789" t="s">
        <v>64</v>
      </c>
      <c r="BP298" s="789" t="s">
        <v>64</v>
      </c>
      <c r="BQ298" s="34" t="s">
        <v>64</v>
      </c>
      <c r="BR298" s="25">
        <v>2.6899010027929489</v>
      </c>
      <c r="BS298" s="26">
        <v>2.9318281594531612</v>
      </c>
      <c r="BT298" s="604"/>
      <c r="BU298" s="599">
        <v>0.13973393723343067</v>
      </c>
      <c r="BV298" s="851">
        <v>2.6499389408434351E-2</v>
      </c>
      <c r="BW298" s="851">
        <v>6.4992830232542487E-2</v>
      </c>
      <c r="BX298" s="851">
        <v>0.11549210408474701</v>
      </c>
      <c r="BY298" s="851">
        <v>5.6836680042108853E-3</v>
      </c>
      <c r="BZ298" s="851">
        <v>1.916962895472437E-2</v>
      </c>
      <c r="CA298" s="851">
        <v>2.1723152389619058E-2</v>
      </c>
      <c r="CB298" s="851">
        <v>3.3511163271817024E-2</v>
      </c>
      <c r="CC298" s="851">
        <v>1.1106252126893685E-2</v>
      </c>
      <c r="CD298" s="851">
        <v>6.6554557698805302E-3</v>
      </c>
      <c r="CE298" s="852">
        <v>21.267139650418745</v>
      </c>
      <c r="CF298" s="852">
        <v>18.247076131372854</v>
      </c>
      <c r="CG298" s="604"/>
      <c r="CH298" s="584">
        <v>51.4206</v>
      </c>
      <c r="CI298" s="576">
        <v>2.2183799999999998</v>
      </c>
      <c r="CJ298" s="576">
        <v>14.027699999999999</v>
      </c>
      <c r="CK298" s="576">
        <v>10.561999999999999</v>
      </c>
      <c r="CL298" s="576">
        <v>0.17102899999999999</v>
      </c>
      <c r="CM298" s="576">
        <v>7.6414900000000001</v>
      </c>
      <c r="CN298" s="576">
        <v>10.863</v>
      </c>
      <c r="CO298" s="576">
        <v>2.45743</v>
      </c>
      <c r="CP298" s="576">
        <v>0.38995000000000002</v>
      </c>
      <c r="CQ298" s="576">
        <v>0.210844</v>
      </c>
      <c r="CR298" s="857">
        <v>1.1809E-2</v>
      </c>
      <c r="CS298" s="793">
        <v>660.14</v>
      </c>
      <c r="CT298" s="576">
        <f t="shared" si="236"/>
        <v>100.040246</v>
      </c>
      <c r="CU298" s="576">
        <v>0.22206639042935578</v>
      </c>
      <c r="CV298" s="592">
        <v>193.60945986891073</v>
      </c>
      <c r="CW298" s="604"/>
      <c r="CX298" s="946">
        <v>420.67526235102901</v>
      </c>
      <c r="CY298" s="944">
        <v>41.021982809173323</v>
      </c>
      <c r="CZ298" s="944">
        <v>41.147248777950779</v>
      </c>
      <c r="DA298" s="950">
        <f t="shared" si="237"/>
        <v>1.796885111570532</v>
      </c>
      <c r="DB298" s="946">
        <v>418.36363210266529</v>
      </c>
      <c r="DC298" s="944">
        <v>36.150680880240088</v>
      </c>
      <c r="DD298" s="944">
        <v>36.626151842556567</v>
      </c>
      <c r="DE298" s="951">
        <f t="shared" si="238"/>
        <v>1.7874399662711302</v>
      </c>
      <c r="DF298" s="9"/>
    </row>
    <row r="299" spans="1:110">
      <c r="A299" s="846" t="s">
        <v>994</v>
      </c>
      <c r="B299" s="41" t="s">
        <v>156</v>
      </c>
      <c r="C299" s="41" t="s">
        <v>1491</v>
      </c>
      <c r="D299" s="34">
        <v>1500</v>
      </c>
      <c r="E299" s="535">
        <v>19.42567</v>
      </c>
      <c r="F299" s="537">
        <v>-155.25163000000001</v>
      </c>
      <c r="G299" s="37" t="s">
        <v>940</v>
      </c>
      <c r="H299" s="37" t="s">
        <v>64</v>
      </c>
      <c r="I299" s="202" t="s">
        <v>64</v>
      </c>
      <c r="J299" t="s">
        <v>877</v>
      </c>
      <c r="K299" s="870">
        <v>43053</v>
      </c>
      <c r="L299" s="51" t="s">
        <v>64</v>
      </c>
      <c r="M299" s="52" t="s">
        <v>64</v>
      </c>
      <c r="N299" s="838" t="s">
        <v>64</v>
      </c>
      <c r="O299" s="54" t="s">
        <v>64</v>
      </c>
      <c r="P299" s="779" t="s">
        <v>64</v>
      </c>
      <c r="Q299" s="54" t="s">
        <v>64</v>
      </c>
      <c r="R299" s="772" t="s">
        <v>64</v>
      </c>
      <c r="S299" s="624" t="s">
        <v>64</v>
      </c>
      <c r="T299" s="861" t="s">
        <v>940</v>
      </c>
      <c r="U299" s="21" t="s">
        <v>64</v>
      </c>
      <c r="V299" s="552" t="s">
        <v>64</v>
      </c>
      <c r="W299" s="552" t="s">
        <v>64</v>
      </c>
      <c r="X299" s="779" t="s">
        <v>64</v>
      </c>
      <c r="Y299" s="54" t="s">
        <v>64</v>
      </c>
      <c r="Z299" s="54" t="s">
        <v>64</v>
      </c>
      <c r="AA299" s="54" t="s">
        <v>64</v>
      </c>
      <c r="AB299" s="32" t="s">
        <v>64</v>
      </c>
      <c r="AC299" s="6">
        <f t="shared" si="229"/>
        <v>1163.8611780000001</v>
      </c>
      <c r="AD299" s="20" t="s">
        <v>64</v>
      </c>
      <c r="AE299" s="6" t="str">
        <f t="shared" si="230"/>
        <v>-</v>
      </c>
      <c r="AF299" s="885" t="s">
        <v>64</v>
      </c>
      <c r="AG299" s="772" t="s">
        <v>64</v>
      </c>
      <c r="AH299" s="32">
        <f t="shared" si="231"/>
        <v>54.086686138027936</v>
      </c>
      <c r="AI299" s="9">
        <v>50.816262544641702</v>
      </c>
      <c r="AJ299" s="9">
        <v>2.2645231843156801</v>
      </c>
      <c r="AK299" s="9">
        <v>14.130851300001613</v>
      </c>
      <c r="AL299" s="9">
        <v>11.255684300119874</v>
      </c>
      <c r="AM299" s="9">
        <v>0.16729214649291071</v>
      </c>
      <c r="AN299" s="9">
        <v>7.4370707099563766</v>
      </c>
      <c r="AO299" s="9">
        <v>10.956736357480212</v>
      </c>
      <c r="AP299" s="9">
        <v>2.2921935744685809</v>
      </c>
      <c r="AQ299" s="9">
        <v>0.38672013588854792</v>
      </c>
      <c r="AR299" s="9">
        <v>0.20149211032789036</v>
      </c>
      <c r="AS299" s="6">
        <v>150.16223985643796</v>
      </c>
      <c r="AT299" s="6">
        <v>761.57412320972378</v>
      </c>
      <c r="AU299" s="9">
        <v>100.25156800000002</v>
      </c>
      <c r="AV299" s="8">
        <f t="shared" si="232"/>
        <v>2.2517792362159357</v>
      </c>
      <c r="AW299" s="9">
        <f t="shared" si="233"/>
        <v>9.2296611260982981</v>
      </c>
      <c r="AX299" s="8">
        <v>0.12981220852684833</v>
      </c>
      <c r="AY299" s="789">
        <v>6.4906104263424171E-3</v>
      </c>
      <c r="AZ299" s="6" t="s">
        <v>64</v>
      </c>
      <c r="BA299" s="48" t="s">
        <v>64</v>
      </c>
      <c r="BB299" s="48" t="s">
        <v>64</v>
      </c>
      <c r="BC299" s="48" t="s">
        <v>64</v>
      </c>
      <c r="BD299" s="849" t="s">
        <v>64</v>
      </c>
      <c r="BE299" s="48" t="s">
        <v>64</v>
      </c>
      <c r="BF299" s="773" t="s">
        <v>64</v>
      </c>
      <c r="BG299" s="880" t="s">
        <v>64</v>
      </c>
      <c r="BH299" s="880" t="s">
        <v>64</v>
      </c>
      <c r="BI299" s="850" t="str">
        <f t="shared" si="234"/>
        <v>-</v>
      </c>
      <c r="BJ299" s="789" t="str">
        <f t="shared" si="235"/>
        <v>-</v>
      </c>
      <c r="BK299" s="563" t="s">
        <v>64</v>
      </c>
      <c r="BL299" s="48" t="s">
        <v>64</v>
      </c>
      <c r="BM299" s="48" t="s">
        <v>64</v>
      </c>
      <c r="BN299" s="47" t="s">
        <v>64</v>
      </c>
      <c r="BO299" s="789" t="s">
        <v>64</v>
      </c>
      <c r="BP299" s="789" t="s">
        <v>64</v>
      </c>
      <c r="BQ299" s="34" t="s">
        <v>64</v>
      </c>
      <c r="BR299" s="25">
        <v>2.708803721646349</v>
      </c>
      <c r="BS299" s="26">
        <v>2.9506641659350472</v>
      </c>
      <c r="BT299" s="604"/>
      <c r="BU299" s="599">
        <v>0.13886864963149506</v>
      </c>
      <c r="BV299" s="851">
        <v>2.677436341743801E-2</v>
      </c>
      <c r="BW299" s="851">
        <v>6.5213737440994443E-2</v>
      </c>
      <c r="BX299" s="851">
        <v>0.11891405349390646</v>
      </c>
      <c r="BY299" s="851">
        <v>5.7188652986455034E-3</v>
      </c>
      <c r="BZ299" s="851">
        <v>1.8935897588155427E-2</v>
      </c>
      <c r="CA299" s="851">
        <v>2.1789661594120897E-2</v>
      </c>
      <c r="CB299" s="851">
        <v>3.2527602137853842E-2</v>
      </c>
      <c r="CC299" s="851">
        <v>1.093354504190897E-2</v>
      </c>
      <c r="CD299" s="851">
        <v>6.6823649437582873E-3</v>
      </c>
      <c r="CE299" s="852">
        <v>20.710826607719493</v>
      </c>
      <c r="CF299" s="852">
        <v>19.173923227814253</v>
      </c>
      <c r="CG299" s="604"/>
      <c r="CH299" s="584">
        <v>50.944099999999999</v>
      </c>
      <c r="CI299" s="576">
        <v>2.2702200000000001</v>
      </c>
      <c r="CJ299" s="576">
        <v>14.166399999999999</v>
      </c>
      <c r="CK299" s="576">
        <v>11.284000000000001</v>
      </c>
      <c r="CL299" s="576">
        <v>0.167713</v>
      </c>
      <c r="CM299" s="576">
        <v>7.4557799999999999</v>
      </c>
      <c r="CN299" s="576">
        <v>10.984299999999999</v>
      </c>
      <c r="CO299" s="576">
        <v>2.2979599999999998</v>
      </c>
      <c r="CP299" s="576">
        <v>0.38769300000000001</v>
      </c>
      <c r="CQ299" s="576">
        <v>0.20199900000000001</v>
      </c>
      <c r="CR299" s="857">
        <v>1.5054E-2</v>
      </c>
      <c r="CS299" s="793">
        <v>763.49</v>
      </c>
      <c r="CT299" s="576">
        <f t="shared" si="236"/>
        <v>100.25156800000002</v>
      </c>
      <c r="CU299" s="576">
        <v>0.12981220852684833</v>
      </c>
      <c r="CV299" s="592" t="s">
        <v>64</v>
      </c>
      <c r="CW299" s="604"/>
      <c r="CX299" s="946" t="s">
        <v>64</v>
      </c>
      <c r="CY299" s="944" t="s">
        <v>64</v>
      </c>
      <c r="CZ299" s="944" t="s">
        <v>64</v>
      </c>
      <c r="DA299" s="950" t="str">
        <f t="shared" si="237"/>
        <v>-</v>
      </c>
      <c r="DB299" s="946" t="s">
        <v>64</v>
      </c>
      <c r="DC299" s="944" t="s">
        <v>64</v>
      </c>
      <c r="DD299" s="944" t="s">
        <v>64</v>
      </c>
      <c r="DE299" s="951" t="str">
        <f t="shared" si="238"/>
        <v>-</v>
      </c>
      <c r="DF299" s="9"/>
    </row>
    <row r="300" spans="1:110" ht="12.75" thickBot="1">
      <c r="A300" s="887" t="s">
        <v>995</v>
      </c>
      <c r="B300" s="888" t="s">
        <v>156</v>
      </c>
      <c r="C300" s="888" t="s">
        <v>1491</v>
      </c>
      <c r="D300" s="889">
        <v>1500</v>
      </c>
      <c r="E300" s="890">
        <v>19.42567</v>
      </c>
      <c r="F300" s="891">
        <v>-155.25163000000001</v>
      </c>
      <c r="G300" s="166" t="s">
        <v>940</v>
      </c>
      <c r="H300" s="166" t="s">
        <v>64</v>
      </c>
      <c r="I300" s="892" t="s">
        <v>64</v>
      </c>
      <c r="J300" s="36" t="s">
        <v>993</v>
      </c>
      <c r="K300" s="893">
        <v>43053</v>
      </c>
      <c r="L300" s="894" t="s">
        <v>64</v>
      </c>
      <c r="M300" s="895" t="s">
        <v>64</v>
      </c>
      <c r="N300" s="896" t="s">
        <v>64</v>
      </c>
      <c r="O300" s="897" t="s">
        <v>64</v>
      </c>
      <c r="P300" s="903" t="s">
        <v>64</v>
      </c>
      <c r="Q300" s="897" t="s">
        <v>64</v>
      </c>
      <c r="R300" s="898" t="s">
        <v>64</v>
      </c>
      <c r="S300" s="899" t="s">
        <v>64</v>
      </c>
      <c r="T300" s="900" t="s">
        <v>940</v>
      </c>
      <c r="U300" s="901" t="s">
        <v>64</v>
      </c>
      <c r="V300" s="902" t="s">
        <v>64</v>
      </c>
      <c r="W300" s="902" t="s">
        <v>64</v>
      </c>
      <c r="X300" s="903" t="s">
        <v>64</v>
      </c>
      <c r="Y300" s="897" t="s">
        <v>64</v>
      </c>
      <c r="Z300" s="897" t="s">
        <v>64</v>
      </c>
      <c r="AA300" s="897" t="s">
        <v>64</v>
      </c>
      <c r="AB300" s="904" t="s">
        <v>64</v>
      </c>
      <c r="AC300" s="167">
        <f t="shared" si="229"/>
        <v>1166.4580980000001</v>
      </c>
      <c r="AD300" s="210" t="s">
        <v>64</v>
      </c>
      <c r="AE300" s="167" t="str">
        <f t="shared" si="230"/>
        <v>-</v>
      </c>
      <c r="AF300" s="905" t="s">
        <v>64</v>
      </c>
      <c r="AG300" s="898" t="s">
        <v>64</v>
      </c>
      <c r="AH300" s="904">
        <f t="shared" si="231"/>
        <v>55.057217459600182</v>
      </c>
      <c r="AI300" s="165">
        <v>51.031060945008441</v>
      </c>
      <c r="AJ300" s="165">
        <v>2.2675232033733694</v>
      </c>
      <c r="AK300" s="165">
        <v>14.230827863926804</v>
      </c>
      <c r="AL300" s="165">
        <v>10.958734173083352</v>
      </c>
      <c r="AM300" s="165">
        <v>0.1705271084821762</v>
      </c>
      <c r="AN300" s="165">
        <v>7.5299651708658324</v>
      </c>
      <c r="AO300" s="165">
        <v>10.712036575336205</v>
      </c>
      <c r="AP300" s="165">
        <v>2.365368335099562</v>
      </c>
      <c r="AQ300" s="165">
        <v>0.38500907747885021</v>
      </c>
      <c r="AR300" s="165">
        <v>0.19718434749507924</v>
      </c>
      <c r="AS300" s="167">
        <v>150.55999064117668</v>
      </c>
      <c r="AT300" s="167">
        <v>1367.0720078619197</v>
      </c>
      <c r="AU300" s="165">
        <v>100.73061199999999</v>
      </c>
      <c r="AV300" s="164">
        <f t="shared" si="232"/>
        <v>2.1923722634879068</v>
      </c>
      <c r="AW300" s="165">
        <f t="shared" si="233"/>
        <v>8.9861620219283491</v>
      </c>
      <c r="AX300" s="164">
        <v>0.38015294093144869</v>
      </c>
      <c r="AY300" s="906">
        <v>1.9007647046572436E-2</v>
      </c>
      <c r="AZ300" s="167" t="s">
        <v>64</v>
      </c>
      <c r="BA300" s="162" t="s">
        <v>64</v>
      </c>
      <c r="BB300" s="162" t="s">
        <v>64</v>
      </c>
      <c r="BC300" s="162" t="s">
        <v>64</v>
      </c>
      <c r="BD300" s="907" t="s">
        <v>64</v>
      </c>
      <c r="BE300" s="162" t="s">
        <v>64</v>
      </c>
      <c r="BF300" s="908" t="s">
        <v>64</v>
      </c>
      <c r="BG300" s="909" t="s">
        <v>64</v>
      </c>
      <c r="BH300" s="909" t="s">
        <v>64</v>
      </c>
      <c r="BI300" s="910" t="str">
        <f t="shared" si="234"/>
        <v>-</v>
      </c>
      <c r="BJ300" s="906" t="str">
        <f t="shared" si="235"/>
        <v>-</v>
      </c>
      <c r="BK300" s="911" t="s">
        <v>64</v>
      </c>
      <c r="BL300" s="162" t="s">
        <v>64</v>
      </c>
      <c r="BM300" s="162" t="s">
        <v>64</v>
      </c>
      <c r="BN300" s="97" t="s">
        <v>64</v>
      </c>
      <c r="BO300" s="906" t="s">
        <v>64</v>
      </c>
      <c r="BP300" s="906" t="s">
        <v>64</v>
      </c>
      <c r="BQ300" s="889" t="s">
        <v>64</v>
      </c>
      <c r="BR300" s="912">
        <v>2.6839139972075818</v>
      </c>
      <c r="BS300" s="913">
        <v>2.9329163034190699</v>
      </c>
      <c r="BT300" s="914"/>
      <c r="BU300" s="915">
        <v>0.13890603758170353</v>
      </c>
      <c r="BV300" s="916">
        <v>2.6676276726086006E-2</v>
      </c>
      <c r="BW300" s="916">
        <v>6.5286199758222446E-2</v>
      </c>
      <c r="BX300" s="916">
        <v>0.11710832099382061</v>
      </c>
      <c r="BY300" s="916">
        <v>5.6821678871562895E-3</v>
      </c>
      <c r="BZ300" s="916">
        <v>1.898100910515663E-2</v>
      </c>
      <c r="CA300" s="916">
        <v>2.1505805989742222E-2</v>
      </c>
      <c r="CB300" s="916">
        <v>3.2849052753695165E-2</v>
      </c>
      <c r="CC300" s="916">
        <v>1.0670757587772821E-2</v>
      </c>
      <c r="CD300" s="916">
        <v>6.7063382504813926E-3</v>
      </c>
      <c r="CE300" s="917">
        <v>21.004473734359916</v>
      </c>
      <c r="CF300" s="917">
        <v>21.554487640758101</v>
      </c>
      <c r="CG300" s="914"/>
      <c r="CH300" s="918">
        <v>51.4039</v>
      </c>
      <c r="CI300" s="919">
        <v>2.28409</v>
      </c>
      <c r="CJ300" s="919">
        <v>14.3348</v>
      </c>
      <c r="CK300" s="919">
        <v>11.0388</v>
      </c>
      <c r="CL300" s="919">
        <v>0.17177300000000001</v>
      </c>
      <c r="CM300" s="919">
        <v>7.5849799999999998</v>
      </c>
      <c r="CN300" s="919">
        <v>10.7903</v>
      </c>
      <c r="CO300" s="919">
        <v>2.3826499999999999</v>
      </c>
      <c r="CP300" s="919">
        <v>0.387822</v>
      </c>
      <c r="CQ300" s="919">
        <v>0.198625</v>
      </c>
      <c r="CR300" s="920">
        <v>1.5166000000000001E-2</v>
      </c>
      <c r="CS300" s="921">
        <v>1377.06</v>
      </c>
      <c r="CT300" s="919">
        <f t="shared" si="236"/>
        <v>100.73061199999999</v>
      </c>
      <c r="CU300" s="919">
        <v>0.38015294093144869</v>
      </c>
      <c r="CV300" s="922" t="s">
        <v>64</v>
      </c>
      <c r="CW300" s="914"/>
      <c r="CX300" s="952" t="s">
        <v>64</v>
      </c>
      <c r="CY300" s="953" t="s">
        <v>64</v>
      </c>
      <c r="CZ300" s="953" t="s">
        <v>64</v>
      </c>
      <c r="DA300" s="954" t="str">
        <f t="shared" si="237"/>
        <v>-</v>
      </c>
      <c r="DB300" s="952" t="s">
        <v>64</v>
      </c>
      <c r="DC300" s="953" t="s">
        <v>64</v>
      </c>
      <c r="DD300" s="953" t="s">
        <v>64</v>
      </c>
      <c r="DE300" s="955" t="str">
        <f t="shared" si="238"/>
        <v>-</v>
      </c>
      <c r="DF300" s="9"/>
    </row>
    <row r="301" spans="1:110">
      <c r="B301" s="34"/>
      <c r="D301" s="34"/>
      <c r="E301" s="535"/>
      <c r="F301" s="537"/>
      <c r="H301" s="34"/>
      <c r="I301" s="28"/>
      <c r="K301" s="34"/>
      <c r="N301" s="783"/>
      <c r="O301" s="783"/>
      <c r="P301" s="24"/>
      <c r="R301" s="24"/>
      <c r="S301" s="798"/>
      <c r="T301" s="34"/>
      <c r="U301" s="24"/>
      <c r="V301" s="1"/>
      <c r="W301" s="1"/>
      <c r="X301" s="34"/>
      <c r="Y301" s="784"/>
      <c r="Z301" s="784"/>
      <c r="AA301" s="785"/>
      <c r="AB301" s="7"/>
      <c r="AC301" s="7"/>
      <c r="AD301" s="7"/>
      <c r="AE301" s="7"/>
      <c r="AF301" s="786"/>
      <c r="AH301" s="6"/>
      <c r="AI301" s="7"/>
      <c r="AJ301" s="7"/>
      <c r="AK301" s="7"/>
      <c r="AL301" s="7"/>
      <c r="AM301" s="7"/>
      <c r="AN301" s="7"/>
      <c r="AO301" s="7"/>
      <c r="AP301" s="7"/>
      <c r="AQ301" s="7"/>
      <c r="AR301" s="7"/>
      <c r="AS301" s="7"/>
      <c r="AT301" s="7"/>
      <c r="AU301" s="7"/>
      <c r="AV301" s="7"/>
      <c r="AW301" s="7"/>
      <c r="AX301" s="9"/>
      <c r="AY301" s="787"/>
      <c r="AZ301" s="7"/>
      <c r="BB301" s="7"/>
      <c r="BD301" s="786"/>
      <c r="BF301" s="786"/>
      <c r="BG301" s="68"/>
      <c r="BH301" s="68"/>
      <c r="BI301" s="781"/>
      <c r="BK301" s="799"/>
      <c r="BL301" s="48"/>
      <c r="BM301" s="48"/>
      <c r="BN301" s="788"/>
      <c r="BO301" s="789"/>
      <c r="BP301" s="789"/>
      <c r="BU301" s="787"/>
      <c r="BV301" s="787"/>
      <c r="BW301" s="787"/>
      <c r="BX301" s="787"/>
      <c r="BY301" s="787"/>
      <c r="BZ301" s="787"/>
      <c r="CA301" s="787"/>
      <c r="CB301" s="787"/>
      <c r="CC301" s="787"/>
      <c r="CD301" s="787"/>
      <c r="CE301" s="68"/>
      <c r="CF301" s="68"/>
      <c r="CH301" s="9"/>
      <c r="CI301" s="9"/>
      <c r="CJ301" s="9"/>
      <c r="CK301" s="9"/>
      <c r="CL301" s="9"/>
      <c r="CM301" s="9"/>
      <c r="CN301" s="9"/>
      <c r="CO301" s="9"/>
      <c r="CP301" s="9"/>
      <c r="CQ301" s="9"/>
      <c r="CR301" s="10"/>
      <c r="CS301" s="9"/>
      <c r="CT301" s="7"/>
      <c r="CU301" s="9"/>
      <c r="CV301" s="6"/>
      <c r="CX301" s="27"/>
      <c r="CY301" s="27"/>
      <c r="CZ301" s="27"/>
      <c r="DA301" s="34"/>
      <c r="DB301" s="27"/>
      <c r="DC301" s="27"/>
      <c r="DD301" s="27"/>
      <c r="DE301" s="34"/>
      <c r="DF301" s="7"/>
    </row>
    <row r="302" spans="1:110">
      <c r="B302" s="34"/>
      <c r="D302" s="34"/>
      <c r="E302" s="535"/>
      <c r="F302" s="537"/>
      <c r="H302" s="34"/>
      <c r="I302" s="28"/>
      <c r="K302" s="34"/>
      <c r="N302" s="783"/>
      <c r="O302" s="783"/>
      <c r="P302" s="24"/>
      <c r="R302" s="24"/>
      <c r="S302" s="798"/>
      <c r="T302" s="34"/>
      <c r="U302" s="24"/>
      <c r="V302" s="1"/>
      <c r="W302" s="1"/>
      <c r="X302" s="34"/>
      <c r="Y302" s="784"/>
      <c r="Z302" s="784"/>
      <c r="AA302" s="785"/>
      <c r="AB302" s="7"/>
      <c r="AC302" s="7"/>
      <c r="AD302" s="7"/>
      <c r="AE302" s="7"/>
      <c r="AF302" s="786"/>
      <c r="AH302" s="6"/>
      <c r="AI302" s="7"/>
      <c r="AJ302" s="7"/>
      <c r="AK302" s="7"/>
      <c r="AL302" s="7"/>
      <c r="AM302" s="7"/>
      <c r="AN302" s="7"/>
      <c r="AO302" s="7"/>
      <c r="AP302" s="7"/>
      <c r="AQ302" s="7"/>
      <c r="AR302" s="7"/>
      <c r="AS302" s="7"/>
      <c r="AT302" s="7"/>
      <c r="AU302" s="7"/>
      <c r="AV302" s="7"/>
      <c r="AW302" s="7"/>
      <c r="AX302" s="9"/>
      <c r="AY302" s="787"/>
      <c r="AZ302" s="7"/>
      <c r="BB302" s="7"/>
      <c r="BD302" s="786"/>
      <c r="BF302" s="786"/>
      <c r="BG302" s="68"/>
      <c r="BH302" s="68"/>
      <c r="BI302" s="781"/>
      <c r="BK302" s="799"/>
      <c r="BL302" s="48"/>
      <c r="BM302" s="48"/>
      <c r="BN302" s="788"/>
      <c r="BO302" s="789"/>
      <c r="BP302" s="789"/>
      <c r="BU302" s="787"/>
      <c r="BV302" s="787"/>
      <c r="BW302" s="787"/>
      <c r="BX302" s="787"/>
      <c r="BY302" s="787"/>
      <c r="BZ302" s="787"/>
      <c r="CA302" s="787"/>
      <c r="CB302" s="787"/>
      <c r="CC302" s="787"/>
      <c r="CD302" s="787"/>
      <c r="CE302" s="68"/>
      <c r="CF302" s="68"/>
      <c r="CH302" s="7"/>
      <c r="CI302" s="7"/>
      <c r="CJ302" s="7"/>
      <c r="CK302" s="7"/>
      <c r="CL302" s="7"/>
      <c r="CM302" s="7"/>
      <c r="CN302" s="7"/>
      <c r="CO302" s="7"/>
      <c r="CP302" s="7"/>
      <c r="CQ302" s="7"/>
      <c r="CR302" s="10"/>
      <c r="CS302" s="9"/>
      <c r="CT302" s="7"/>
      <c r="CU302" s="9"/>
      <c r="CV302" s="6"/>
      <c r="CX302" s="27"/>
      <c r="CY302" s="27"/>
      <c r="CZ302" s="27"/>
      <c r="DA302" s="34"/>
      <c r="DB302" s="27"/>
      <c r="DC302" s="27"/>
      <c r="DD302" s="27"/>
      <c r="DE302" s="34"/>
      <c r="DF302" s="7"/>
    </row>
  </sheetData>
  <conditionalFormatting sqref="G4:G228 G232:G300">
    <cfRule type="containsText" dxfId="84" priority="413" operator="containsText" text="bubble-dom MI">
      <formula>NOT(ISERROR(SEARCH("bubble-dom MI",G4)))</formula>
    </cfRule>
    <cfRule type="containsText" dxfId="83" priority="414" operator="containsText" text="fluid inclusion">
      <formula>NOT(ISERROR(SEARCH("fluid inclusion",G4)))</formula>
    </cfRule>
  </conditionalFormatting>
  <conditionalFormatting sqref="G4:H228 G232:H300">
    <cfRule type="containsText" dxfId="82" priority="409" operator="containsText" text="check">
      <formula>NOT(ISERROR(SEARCH("check",G4)))</formula>
    </cfRule>
  </conditionalFormatting>
  <conditionalFormatting sqref="H4:H228 H232:H300">
    <cfRule type="containsText" dxfId="81" priority="410" operator="containsText" text="co-trapped">
      <formula>NOT(ISERROR(SEARCH("co-trapped",H4)))</formula>
    </cfRule>
    <cfRule type="containsText" dxfId="80" priority="411" operator="containsText" text="isolated">
      <formula>NOT(ISERROR(SEARCH("isolated",H4)))</formula>
    </cfRule>
  </conditionalFormatting>
  <conditionalFormatting sqref="L53:M63 V283:V300">
    <cfRule type="cellIs" dxfId="79" priority="1259" operator="lessThan">
      <formula>0</formula>
    </cfRule>
  </conditionalFormatting>
  <conditionalFormatting sqref="L157:M165">
    <cfRule type="cellIs" dxfId="78" priority="1251" operator="lessThan">
      <formula>0</formula>
    </cfRule>
  </conditionalFormatting>
  <conditionalFormatting sqref="N5:N12">
    <cfRule type="cellIs" dxfId="77" priority="782" operator="lessThan">
      <formula>0</formula>
    </cfRule>
  </conditionalFormatting>
  <conditionalFormatting sqref="N237:N239">
    <cfRule type="cellIs" dxfId="76" priority="80" operator="lessThan">
      <formula>0</formula>
    </cfRule>
  </conditionalFormatting>
  <conditionalFormatting sqref="N37:O49">
    <cfRule type="cellIs" dxfId="75" priority="4" operator="lessThan">
      <formula>0</formula>
    </cfRule>
  </conditionalFormatting>
  <conditionalFormatting sqref="N52:O63">
    <cfRule type="cellIs" dxfId="74" priority="3" operator="lessThan">
      <formula>0</formula>
    </cfRule>
  </conditionalFormatting>
  <conditionalFormatting sqref="N113:O127">
    <cfRule type="cellIs" dxfId="73" priority="2" operator="lessThan">
      <formula>0</formula>
    </cfRule>
  </conditionalFormatting>
  <conditionalFormatting sqref="N156:O165">
    <cfRule type="cellIs" dxfId="72" priority="1" operator="lessThan">
      <formula>0</formula>
    </cfRule>
  </conditionalFormatting>
  <conditionalFormatting sqref="N249:P265">
    <cfRule type="cellIs" dxfId="71" priority="12" operator="lessThan">
      <formula>0</formula>
    </cfRule>
  </conditionalFormatting>
  <conditionalFormatting sqref="N267:P280">
    <cfRule type="cellIs" dxfId="70" priority="13" operator="lessThan">
      <formula>0</formula>
    </cfRule>
  </conditionalFormatting>
  <conditionalFormatting sqref="O2">
    <cfRule type="cellIs" dxfId="69" priority="127" operator="lessThan">
      <formula>0</formula>
    </cfRule>
  </conditionalFormatting>
  <conditionalFormatting sqref="O4:O23">
    <cfRule type="cellIs" dxfId="68" priority="6" operator="lessThan">
      <formula>0</formula>
    </cfRule>
  </conditionalFormatting>
  <conditionalFormatting sqref="O26:O34">
    <cfRule type="cellIs" dxfId="67" priority="5" operator="lessThan">
      <formula>0</formula>
    </cfRule>
  </conditionalFormatting>
  <conditionalFormatting sqref="O154">
    <cfRule type="cellIs" dxfId="66" priority="149" operator="lessThan">
      <formula>0</formula>
    </cfRule>
  </conditionalFormatting>
  <conditionalFormatting sqref="O234:P237 N283:P300">
    <cfRule type="cellIs" dxfId="65" priority="15" operator="lessThan">
      <formula>0</formula>
    </cfRule>
  </conditionalFormatting>
  <conditionalFormatting sqref="O239:P239">
    <cfRule type="cellIs" dxfId="64" priority="85" operator="lessThan">
      <formula>0</formula>
    </cfRule>
  </conditionalFormatting>
  <conditionalFormatting sqref="O242:P243">
    <cfRule type="cellIs" dxfId="63" priority="14" operator="lessThan">
      <formula>0</formula>
    </cfRule>
  </conditionalFormatting>
  <conditionalFormatting sqref="R4:R228 R232:R233">
    <cfRule type="cellIs" dxfId="62" priority="659" stopIfTrue="1" operator="equal">
      <formula>1</formula>
    </cfRule>
    <cfRule type="cellIs" dxfId="61" priority="665" stopIfTrue="1" operator="greaterThan">
      <formula>0.095</formula>
    </cfRule>
    <cfRule type="cellIs" dxfId="60" priority="666" operator="greaterThan">
      <formula>0.05</formula>
    </cfRule>
  </conditionalFormatting>
  <conditionalFormatting sqref="T294:T295">
    <cfRule type="containsText" dxfId="59" priority="53" operator="containsText" text="check">
      <formula>NOT(ISERROR(SEARCH("check",T294)))</formula>
    </cfRule>
    <cfRule type="containsText" dxfId="58" priority="54" operator="containsText" text="bubble-dom MI">
      <formula>NOT(ISERROR(SEARCH("bubble-dom MI",T294)))</formula>
    </cfRule>
    <cfRule type="containsText" dxfId="57" priority="55" operator="containsText" text="fluid inclusion">
      <formula>NOT(ISERROR(SEARCH("fluid inclusion",T294)))</formula>
    </cfRule>
  </conditionalFormatting>
  <conditionalFormatting sqref="V4:V23">
    <cfRule type="cellIs" dxfId="56" priority="1212" operator="lessThan">
      <formula>0</formula>
    </cfRule>
  </conditionalFormatting>
  <conditionalFormatting sqref="V25:V50">
    <cfRule type="cellIs" dxfId="55" priority="1210" operator="lessThan">
      <formula>0</formula>
    </cfRule>
  </conditionalFormatting>
  <conditionalFormatting sqref="V52:V63">
    <cfRule type="cellIs" dxfId="54" priority="1208" operator="lessThan">
      <formula>0</formula>
    </cfRule>
  </conditionalFormatting>
  <conditionalFormatting sqref="V111:V127">
    <cfRule type="cellIs" dxfId="53" priority="1206" operator="lessThan">
      <formula>0</formula>
    </cfRule>
  </conditionalFormatting>
  <conditionalFormatting sqref="V156:V165">
    <cfRule type="cellIs" dxfId="52" priority="1204" operator="lessThan">
      <formula>0</formula>
    </cfRule>
  </conditionalFormatting>
  <conditionalFormatting sqref="V249:V265">
    <cfRule type="cellIs" dxfId="51" priority="81" operator="lessThan">
      <formula>0</formula>
    </cfRule>
  </conditionalFormatting>
  <conditionalFormatting sqref="V271:V280">
    <cfRule type="cellIs" dxfId="50" priority="82" operator="lessThan">
      <formula>0</formula>
    </cfRule>
  </conditionalFormatting>
  <conditionalFormatting sqref="X234:AA237 X283:AA300">
    <cfRule type="cellIs" dxfId="49" priority="11" operator="lessThan">
      <formula>0</formula>
    </cfRule>
  </conditionalFormatting>
  <conditionalFormatting sqref="X239:AA239">
    <cfRule type="cellIs" dxfId="48" priority="10" operator="lessThan">
      <formula>0</formula>
    </cfRule>
  </conditionalFormatting>
  <conditionalFormatting sqref="X242:AA243">
    <cfRule type="cellIs" dxfId="47" priority="9" operator="lessThan">
      <formula>0</formula>
    </cfRule>
  </conditionalFormatting>
  <conditionalFormatting sqref="X249:AA265">
    <cfRule type="cellIs" dxfId="46" priority="7" operator="lessThan">
      <formula>0</formula>
    </cfRule>
  </conditionalFormatting>
  <conditionalFormatting sqref="X267:AA280">
    <cfRule type="cellIs" dxfId="45" priority="8" operator="lessThan">
      <formula>0</formula>
    </cfRule>
  </conditionalFormatting>
  <conditionalFormatting sqref="AF4:AF228 AF232:AF233">
    <cfRule type="cellIs" dxfId="44" priority="119" operator="greaterThanOrEqual">
      <formula>0.995</formula>
    </cfRule>
  </conditionalFormatting>
  <conditionalFormatting sqref="AG4:AG23 AG26:AG34 AG37:AG49 AG52:AG110 AG113:AG153 AG156:AG228">
    <cfRule type="cellIs" dxfId="43" priority="117" operator="lessThan">
      <formula>0.005</formula>
    </cfRule>
  </conditionalFormatting>
  <conditionalFormatting sqref="BD1:BF228 BR1:BS228 BD232:BF300 BR232:BS300">
    <cfRule type="containsText" dxfId="42" priority="368" operator="containsText" text="missing bubble">
      <formula>NOT(ISERROR(SEARCH("missing bubble",BD1)))</formula>
    </cfRule>
  </conditionalFormatting>
  <conditionalFormatting sqref="BF1:BF300">
    <cfRule type="containsText" dxfId="41" priority="87" operator="containsText" text="not applicable">
      <formula>NOT(ISERROR(SEARCH("not applicable",BF1)))</formula>
    </cfRule>
  </conditionalFormatting>
  <conditionalFormatting sqref="BG234:BH236">
    <cfRule type="containsText" dxfId="40" priority="49" operator="containsText" text="not applicable">
      <formula>NOT(ISERROR(SEARCH("not applicable",BG234)))</formula>
    </cfRule>
    <cfRule type="containsText" dxfId="39" priority="50" operator="containsText" text="missing bubble">
      <formula>NOT(ISERROR(SEARCH("missing bubble",BG234)))</formula>
    </cfRule>
  </conditionalFormatting>
  <conditionalFormatting sqref="BG238:BH239">
    <cfRule type="containsText" dxfId="38" priority="47" operator="containsText" text="not applicable">
      <formula>NOT(ISERROR(SEARCH("not applicable",BG238)))</formula>
    </cfRule>
    <cfRule type="containsText" dxfId="37" priority="48" operator="containsText" text="missing bubble">
      <formula>NOT(ISERROR(SEARCH("missing bubble",BG238)))</formula>
    </cfRule>
  </conditionalFormatting>
  <conditionalFormatting sqref="BG242:BH243">
    <cfRule type="containsText" dxfId="36" priority="45" operator="containsText" text="not applicable">
      <formula>NOT(ISERROR(SEARCH("not applicable",BG242)))</formula>
    </cfRule>
    <cfRule type="containsText" dxfId="35" priority="46" operator="containsText" text="missing bubble">
      <formula>NOT(ISERROR(SEARCH("missing bubble",BG242)))</formula>
    </cfRule>
  </conditionalFormatting>
  <conditionalFormatting sqref="BG249:BH252">
    <cfRule type="containsText" dxfId="34" priority="39" operator="containsText" text="not applicable">
      <formula>NOT(ISERROR(SEARCH("not applicable",BG249)))</formula>
    </cfRule>
    <cfRule type="containsText" dxfId="33" priority="40" operator="containsText" text="missing bubble">
      <formula>NOT(ISERROR(SEARCH("missing bubble",BG249)))</formula>
    </cfRule>
  </conditionalFormatting>
  <conditionalFormatting sqref="BG254:BH256">
    <cfRule type="containsText" dxfId="32" priority="43" operator="containsText" text="not applicable">
      <formula>NOT(ISERROR(SEARCH("not applicable",BG254)))</formula>
    </cfRule>
    <cfRule type="containsText" dxfId="31" priority="44" operator="containsText" text="missing bubble">
      <formula>NOT(ISERROR(SEARCH("missing bubble",BG254)))</formula>
    </cfRule>
  </conditionalFormatting>
  <conditionalFormatting sqref="BG258:BH264">
    <cfRule type="containsText" dxfId="30" priority="37" operator="containsText" text="not applicable">
      <formula>NOT(ISERROR(SEARCH("not applicable",BG258)))</formula>
    </cfRule>
    <cfRule type="containsText" dxfId="29" priority="38" operator="containsText" text="missing bubble">
      <formula>NOT(ISERROR(SEARCH("missing bubble",BG258)))</formula>
    </cfRule>
  </conditionalFormatting>
  <conditionalFormatting sqref="BG267:BH273">
    <cfRule type="containsText" dxfId="28" priority="35" operator="containsText" text="not applicable">
      <formula>NOT(ISERROR(SEARCH("not applicable",BG267)))</formula>
    </cfRule>
    <cfRule type="containsText" dxfId="27" priority="36" operator="containsText" text="missing bubble">
      <formula>NOT(ISERROR(SEARCH("missing bubble",BG267)))</formula>
    </cfRule>
  </conditionalFormatting>
  <conditionalFormatting sqref="BG275:BH280">
    <cfRule type="containsText" dxfId="26" priority="31" operator="containsText" text="not applicable">
      <formula>NOT(ISERROR(SEARCH("not applicable",BG275)))</formula>
    </cfRule>
    <cfRule type="containsText" dxfId="25" priority="32" operator="containsText" text="missing bubble">
      <formula>NOT(ISERROR(SEARCH("missing bubble",BG275)))</formula>
    </cfRule>
  </conditionalFormatting>
  <conditionalFormatting sqref="BG283:BH289">
    <cfRule type="containsText" dxfId="24" priority="29" operator="containsText" text="not applicable">
      <formula>NOT(ISERROR(SEARCH("not applicable",BG283)))</formula>
    </cfRule>
    <cfRule type="containsText" dxfId="23" priority="30" operator="containsText" text="missing bubble">
      <formula>NOT(ISERROR(SEARCH("missing bubble",BG283)))</formula>
    </cfRule>
  </conditionalFormatting>
  <conditionalFormatting sqref="BG291:BH297">
    <cfRule type="containsText" dxfId="22" priority="27" operator="containsText" text="not applicable">
      <formula>NOT(ISERROR(SEARCH("not applicable",BG291)))</formula>
    </cfRule>
    <cfRule type="containsText" dxfId="21" priority="28" operator="containsText" text="missing bubble">
      <formula>NOT(ISERROR(SEARCH("missing bubble",BG291)))</formula>
    </cfRule>
  </conditionalFormatting>
  <conditionalFormatting sqref="BG299:BH300">
    <cfRule type="containsText" dxfId="20" priority="25" operator="containsText" text="not applicable">
      <formula>NOT(ISERROR(SEARCH("not applicable",BG299)))</formula>
    </cfRule>
    <cfRule type="containsText" dxfId="19" priority="26" operator="containsText" text="missing bubble">
      <formula>NOT(ISERROR(SEARCH("missing bubble",BG299)))</formula>
    </cfRule>
  </conditionalFormatting>
  <conditionalFormatting sqref="BG1:BJ1 BG2:BH2 BJ2 BG232:BJ233 BG237:BJ237 BG240:BJ241 BG244:BJ248 BG253:BJ253 BI254:BI256 BG257:BI257 BI258:BI264 BG265:BJ266 BG274:BJ274 BG281:BJ282 BG290:BJ290 BI291:BI297 BG298:BI298 BI299:BI300">
    <cfRule type="containsText" dxfId="18" priority="330" operator="containsText" text="not MI">
      <formula>NOT(ISERROR(SEARCH("not MI",BG1)))</formula>
    </cfRule>
  </conditionalFormatting>
  <conditionalFormatting sqref="BG3:BJ228">
    <cfRule type="containsText" dxfId="17" priority="174" operator="containsText" text="not MI">
      <formula>NOT(ISERROR(SEARCH("not MI",BG3)))</formula>
    </cfRule>
  </conditionalFormatting>
  <conditionalFormatting sqref="BI234:BJ236">
    <cfRule type="containsText" dxfId="16" priority="24" operator="containsText" text="not MI">
      <formula>NOT(ISERROR(SEARCH("not MI",BI234)))</formula>
    </cfRule>
  </conditionalFormatting>
  <conditionalFormatting sqref="BI238:BJ239">
    <cfRule type="containsText" dxfId="15" priority="23" operator="containsText" text="not MI">
      <formula>NOT(ISERROR(SEARCH("not MI",BI238)))</formula>
    </cfRule>
  </conditionalFormatting>
  <conditionalFormatting sqref="BI242:BJ243">
    <cfRule type="containsText" dxfId="14" priority="22" operator="containsText" text="not MI">
      <formula>NOT(ISERROR(SEARCH("not MI",BI242)))</formula>
    </cfRule>
  </conditionalFormatting>
  <conditionalFormatting sqref="BI249:BJ252">
    <cfRule type="containsText" dxfId="13" priority="21" operator="containsText" text="not MI">
      <formula>NOT(ISERROR(SEARCH("not MI",BI249)))</formula>
    </cfRule>
  </conditionalFormatting>
  <conditionalFormatting sqref="BI267:BJ273">
    <cfRule type="containsText" dxfId="12" priority="19" operator="containsText" text="not MI">
      <formula>NOT(ISERROR(SEARCH("not MI",BI267)))</formula>
    </cfRule>
  </conditionalFormatting>
  <conditionalFormatting sqref="BI275:BJ280">
    <cfRule type="containsText" dxfId="11" priority="18" operator="containsText" text="not MI">
      <formula>NOT(ISERROR(SEARCH("not MI",BI275)))</formula>
    </cfRule>
  </conditionalFormatting>
  <conditionalFormatting sqref="BI283:BJ289">
    <cfRule type="containsText" dxfId="10" priority="17" operator="containsText" text="not MI">
      <formula>NOT(ISERROR(SEARCH("not MI",BI283)))</formula>
    </cfRule>
  </conditionalFormatting>
  <conditionalFormatting sqref="BJ254:BJ264">
    <cfRule type="containsText" dxfId="9" priority="20" operator="containsText" text="not MI">
      <formula>NOT(ISERROR(SEARCH("not MI",BJ254)))</formula>
    </cfRule>
  </conditionalFormatting>
  <conditionalFormatting sqref="BJ291:BJ300">
    <cfRule type="containsText" dxfId="8" priority="16" operator="containsText" text="not MI">
      <formula>NOT(ISERROR(SEARCH("not MI",BJ291)))</formula>
    </cfRule>
  </conditionalFormatting>
  <pageMargins left="0.75" right="0.75" top="0.75" bottom="0.75" header="0.5" footer="0.5"/>
  <pageSetup scale="97" orientation="landscape" horizontalDpi="4294967292" verticalDpi="4294967292" r:id="rId1"/>
  <headerFooter alignWithMargins="0"/>
  <legacyDrawing r:id="rId2"/>
  <extLst>
    <ext xmlns:x14="http://schemas.microsoft.com/office/spreadsheetml/2009/9/main" uri="{78C0D931-6437-407d-A8EE-F0AAD7539E65}">
      <x14:conditionalFormattings>
        <x14:conditionalFormatting xmlns:xm="http://schemas.microsoft.com/office/excel/2006/main">
          <x14:cfRule type="containsText" priority="120" operator="containsText" id="{21A44C65-5E5A-4B21-B2BF-0E4611AC98AB}">
            <xm:f>NOT(ISERROR(SEARCH("-",AF4)))</xm:f>
            <xm:f>"-"</xm:f>
            <x14:dxf>
              <fill>
                <patternFill patternType="none">
                  <bgColor auto="1"/>
                </patternFill>
              </fill>
            </x14:dxf>
          </x14:cfRule>
          <xm:sqref>AF4:AG23 AF24:AF25 AF26:AG34 AF35:AF36 AF37:AG49 AF50:AF51 AF52:AG110 AF111:AF112 AF113:AG153 AF154:AF155 AF156:AG228 AF232:AF233</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BX320"/>
  <sheetViews>
    <sheetView zoomScale="90" zoomScaleNormal="90" workbookViewId="0"/>
  </sheetViews>
  <sheetFormatPr defaultRowHeight="12"/>
  <cols>
    <col min="1" max="1" width="22.28515625" customWidth="1"/>
    <col min="2" max="2" width="15.28515625" style="34" customWidth="1"/>
    <col min="3" max="3" width="18.140625" style="7" customWidth="1"/>
    <col min="4" max="4" width="10.5703125" style="34" customWidth="1"/>
    <col min="5" max="5" width="14" style="536" customWidth="1"/>
    <col min="6" max="6" width="14" style="538" customWidth="1"/>
    <col min="7" max="7" width="20" style="34" customWidth="1"/>
    <col min="8" max="8" width="9" style="59" customWidth="1"/>
    <col min="9" max="9" width="16.7109375" style="34" customWidth="1"/>
    <col min="10" max="10" width="11.140625" style="624" customWidth="1"/>
    <col min="11" max="11" width="10.28515625" style="24" customWidth="1"/>
    <col min="12" max="12" width="11.140625" style="623" customWidth="1"/>
    <col min="13" max="13" width="11" style="1" customWidth="1"/>
    <col min="14" max="14" width="7.7109375" style="4" customWidth="1"/>
    <col min="15" max="19" width="7.7109375" style="1" customWidth="1"/>
    <col min="20" max="20" width="6.7109375" style="1" customWidth="1"/>
    <col min="21" max="21" width="7.7109375" style="1" customWidth="1"/>
    <col min="22" max="22" width="6.42578125" style="1" customWidth="1"/>
    <col min="23" max="24" width="7.7109375" style="1" customWidth="1"/>
    <col min="25" max="25" width="13.42578125" style="1" customWidth="1"/>
    <col min="26" max="26" width="17.140625" style="604" customWidth="1"/>
    <col min="27" max="27" width="9.42578125" style="608" customWidth="1"/>
    <col min="28" max="28" width="9.5703125" style="600" customWidth="1"/>
    <col min="29" max="29" width="11" style="600" customWidth="1"/>
    <col min="30" max="30" width="9.5703125" style="600" customWidth="1"/>
    <col min="31" max="31" width="9.42578125" style="600" customWidth="1"/>
    <col min="32" max="32" width="9.5703125" style="600" customWidth="1"/>
    <col min="33" max="33" width="8.42578125" style="600" customWidth="1"/>
    <col min="34" max="34" width="9.5703125" style="600" customWidth="1"/>
    <col min="35" max="35" width="8.85546875" style="600" customWidth="1"/>
    <col min="36" max="36" width="10.42578125" style="600" customWidth="1"/>
    <col min="37" max="37" width="9.140625" style="609" customWidth="1"/>
    <col min="38" max="38" width="18.85546875" style="604" customWidth="1"/>
    <col min="39" max="39" width="9" style="618" customWidth="1"/>
    <col min="40" max="49" width="9" style="30" customWidth="1"/>
    <col min="50" max="51" width="9.28515625" style="30" customWidth="1"/>
    <col min="52" max="52" width="18.85546875" style="604" customWidth="1"/>
    <col min="53" max="53" width="11" style="579" customWidth="1"/>
    <col min="54" max="64" width="11" style="578" customWidth="1"/>
    <col min="65" max="65" width="11" customWidth="1"/>
    <col min="66" max="76" width="11" style="1" customWidth="1"/>
    <col min="77" max="282" width="11" customWidth="1"/>
  </cols>
  <sheetData>
    <row r="1" spans="1:76" s="311" customFormat="1" ht="15.6" customHeight="1">
      <c r="A1" s="534" t="s">
        <v>1493</v>
      </c>
      <c r="B1" s="961"/>
      <c r="C1" s="962"/>
      <c r="D1" s="961"/>
      <c r="E1" s="963"/>
      <c r="F1" s="964"/>
      <c r="G1" s="962"/>
      <c r="H1" s="965"/>
      <c r="I1" s="962"/>
      <c r="J1" s="549" t="s">
        <v>820</v>
      </c>
      <c r="K1" s="966"/>
      <c r="L1" s="967"/>
      <c r="M1" s="968"/>
      <c r="N1" s="549" t="s">
        <v>822</v>
      </c>
      <c r="O1" s="969"/>
      <c r="P1" s="969"/>
      <c r="Q1" s="969"/>
      <c r="R1" s="969"/>
      <c r="S1" s="969"/>
      <c r="T1" s="969"/>
      <c r="U1" s="969"/>
      <c r="V1" s="969"/>
      <c r="W1" s="969"/>
      <c r="X1" s="969"/>
      <c r="Y1" s="969"/>
      <c r="Z1" s="827"/>
      <c r="AA1" s="684" t="s">
        <v>826</v>
      </c>
      <c r="AB1" s="970"/>
      <c r="AC1" s="970"/>
      <c r="AD1" s="970"/>
      <c r="AE1" s="970"/>
      <c r="AF1" s="970"/>
      <c r="AG1" s="970"/>
      <c r="AH1" s="970"/>
      <c r="AI1" s="970"/>
      <c r="AJ1" s="970"/>
      <c r="AK1" s="971"/>
      <c r="AL1" s="827"/>
      <c r="AM1" s="685" t="s">
        <v>819</v>
      </c>
      <c r="AN1" s="972"/>
      <c r="AO1" s="972"/>
      <c r="AP1" s="972"/>
      <c r="AQ1" s="972"/>
      <c r="AR1" s="972"/>
      <c r="AS1" s="972"/>
      <c r="AT1" s="972"/>
      <c r="AU1" s="972"/>
      <c r="AV1" s="972"/>
      <c r="AW1" s="972"/>
      <c r="AX1" s="972"/>
      <c r="AY1" s="972"/>
      <c r="AZ1" s="827"/>
      <c r="BA1" s="686" t="s">
        <v>824</v>
      </c>
      <c r="BB1" s="973"/>
      <c r="BC1" s="973"/>
      <c r="BD1" s="973"/>
      <c r="BE1" s="973"/>
      <c r="BF1" s="973"/>
      <c r="BG1" s="973"/>
      <c r="BH1" s="973"/>
      <c r="BI1" s="973"/>
      <c r="BJ1" s="973"/>
      <c r="BK1" s="973"/>
      <c r="BL1" s="974"/>
      <c r="BN1" s="1020"/>
      <c r="BO1" s="1021"/>
      <c r="BP1" s="1021"/>
      <c r="BQ1" s="1021"/>
      <c r="BR1" s="1021"/>
      <c r="BS1" s="1021"/>
      <c r="BT1" s="1021"/>
      <c r="BU1" s="1021"/>
      <c r="BV1" s="1021"/>
      <c r="BW1" s="1021"/>
      <c r="BX1" s="1021"/>
    </row>
    <row r="2" spans="1:76" s="43" customFormat="1" ht="61.15" customHeight="1" thickBot="1">
      <c r="A2" s="836" t="s">
        <v>821</v>
      </c>
      <c r="B2" s="539" t="s">
        <v>926</v>
      </c>
      <c r="C2" s="539" t="s">
        <v>927</v>
      </c>
      <c r="D2" s="539" t="s">
        <v>733</v>
      </c>
      <c r="E2" s="540" t="s">
        <v>924</v>
      </c>
      <c r="F2" s="541" t="s">
        <v>925</v>
      </c>
      <c r="G2" s="539" t="s">
        <v>63</v>
      </c>
      <c r="H2" s="539" t="s">
        <v>738</v>
      </c>
      <c r="I2" s="539" t="s">
        <v>840</v>
      </c>
      <c r="J2" s="544" t="s">
        <v>164</v>
      </c>
      <c r="K2" s="542" t="s">
        <v>746</v>
      </c>
      <c r="L2" s="565" t="s">
        <v>747</v>
      </c>
      <c r="M2" s="545" t="s">
        <v>748</v>
      </c>
      <c r="N2" s="566" t="s">
        <v>752</v>
      </c>
      <c r="O2" s="565" t="s">
        <v>753</v>
      </c>
      <c r="P2" s="565" t="s">
        <v>754</v>
      </c>
      <c r="Q2" s="565" t="s">
        <v>755</v>
      </c>
      <c r="R2" s="565" t="s">
        <v>443</v>
      </c>
      <c r="S2" s="565" t="s">
        <v>127</v>
      </c>
      <c r="T2" s="565" t="s">
        <v>387</v>
      </c>
      <c r="U2" s="565" t="s">
        <v>756</v>
      </c>
      <c r="V2" s="565" t="s">
        <v>757</v>
      </c>
      <c r="W2" s="565" t="s">
        <v>835</v>
      </c>
      <c r="X2" s="565" t="s">
        <v>834</v>
      </c>
      <c r="Y2" s="565" t="s">
        <v>823</v>
      </c>
      <c r="Z2" s="606" t="s">
        <v>814</v>
      </c>
      <c r="AA2" s="680" t="s">
        <v>827</v>
      </c>
      <c r="AB2" s="681" t="s">
        <v>828</v>
      </c>
      <c r="AC2" s="681" t="s">
        <v>312</v>
      </c>
      <c r="AD2" s="681" t="s">
        <v>829</v>
      </c>
      <c r="AE2" s="681" t="s">
        <v>306</v>
      </c>
      <c r="AF2" s="681" t="s">
        <v>307</v>
      </c>
      <c r="AG2" s="681" t="s">
        <v>308</v>
      </c>
      <c r="AH2" s="681" t="s">
        <v>830</v>
      </c>
      <c r="AI2" s="681" t="s">
        <v>831</v>
      </c>
      <c r="AJ2" s="681" t="s">
        <v>832</v>
      </c>
      <c r="AK2" s="682" t="s">
        <v>833</v>
      </c>
      <c r="AL2" s="606" t="s">
        <v>818</v>
      </c>
      <c r="AM2" s="625" t="s">
        <v>165</v>
      </c>
      <c r="AN2" s="574" t="s">
        <v>166</v>
      </c>
      <c r="AO2" s="574" t="s">
        <v>167</v>
      </c>
      <c r="AP2" s="574" t="s">
        <v>168</v>
      </c>
      <c r="AQ2" s="574" t="s">
        <v>169</v>
      </c>
      <c r="AR2" s="574" t="s">
        <v>170</v>
      </c>
      <c r="AS2" s="574" t="s">
        <v>171</v>
      </c>
      <c r="AT2" s="574" t="s">
        <v>172</v>
      </c>
      <c r="AU2" s="574" t="s">
        <v>173</v>
      </c>
      <c r="AV2" s="574" t="s">
        <v>298</v>
      </c>
      <c r="AW2" s="574" t="s">
        <v>175</v>
      </c>
      <c r="AX2" s="574" t="s">
        <v>176</v>
      </c>
      <c r="AY2" s="574" t="s">
        <v>177</v>
      </c>
      <c r="AZ2" s="606" t="s">
        <v>817</v>
      </c>
      <c r="BA2" s="683" t="s">
        <v>394</v>
      </c>
      <c r="BB2" s="626" t="s">
        <v>400</v>
      </c>
      <c r="BC2" s="626" t="s">
        <v>836</v>
      </c>
      <c r="BD2" s="626" t="s">
        <v>441</v>
      </c>
      <c r="BE2" s="626" t="s">
        <v>442</v>
      </c>
      <c r="BF2" s="626" t="s">
        <v>396</v>
      </c>
      <c r="BG2" s="626" t="s">
        <v>397</v>
      </c>
      <c r="BH2" s="626" t="s">
        <v>398</v>
      </c>
      <c r="BI2" s="626" t="s">
        <v>399</v>
      </c>
      <c r="BJ2" s="626" t="s">
        <v>837</v>
      </c>
      <c r="BK2" s="626" t="s">
        <v>838</v>
      </c>
      <c r="BL2" s="975" t="s">
        <v>825</v>
      </c>
      <c r="BN2" s="1022"/>
      <c r="BO2" s="1022"/>
      <c r="BP2" s="1022"/>
      <c r="BQ2" s="1022"/>
      <c r="BR2" s="1022"/>
      <c r="BS2" s="1022"/>
      <c r="BT2" s="1022"/>
      <c r="BU2" s="1022"/>
      <c r="BV2" s="1022"/>
      <c r="BW2" s="1022"/>
      <c r="BX2" s="1022"/>
    </row>
    <row r="3" spans="1:76" s="958" customFormat="1" ht="16.5" thickTop="1">
      <c r="A3" s="976" t="s">
        <v>922</v>
      </c>
      <c r="B3" s="977"/>
      <c r="C3" s="978"/>
      <c r="D3" s="979"/>
      <c r="E3" s="980"/>
      <c r="F3" s="981"/>
      <c r="G3" s="979"/>
      <c r="H3" s="982"/>
      <c r="I3" s="979"/>
      <c r="J3" s="674"/>
      <c r="K3" s="983"/>
      <c r="L3" s="984"/>
      <c r="M3" s="985"/>
      <c r="N3" s="675"/>
      <c r="O3" s="986"/>
      <c r="P3" s="986"/>
      <c r="Q3" s="986"/>
      <c r="R3" s="986"/>
      <c r="S3" s="986"/>
      <c r="T3" s="986"/>
      <c r="U3" s="986"/>
      <c r="V3" s="986"/>
      <c r="W3" s="986"/>
      <c r="X3" s="986"/>
      <c r="Y3" s="986"/>
      <c r="Z3" s="987"/>
      <c r="AA3" s="678"/>
      <c r="AB3" s="988"/>
      <c r="AC3" s="988"/>
      <c r="AD3" s="988"/>
      <c r="AE3" s="988"/>
      <c r="AF3" s="988"/>
      <c r="AG3" s="988"/>
      <c r="AH3" s="988"/>
      <c r="AI3" s="988"/>
      <c r="AJ3" s="988"/>
      <c r="AK3" s="679"/>
      <c r="AL3" s="987"/>
      <c r="AM3" s="677"/>
      <c r="AN3" s="989"/>
      <c r="AO3" s="989"/>
      <c r="AP3" s="989"/>
      <c r="AQ3" s="989"/>
      <c r="AR3" s="989"/>
      <c r="AS3" s="989"/>
      <c r="AT3" s="989"/>
      <c r="AU3" s="989"/>
      <c r="AV3" s="989"/>
      <c r="AW3" s="989"/>
      <c r="AX3" s="989"/>
      <c r="AY3" s="989"/>
      <c r="AZ3" s="987"/>
      <c r="BA3" s="676"/>
      <c r="BB3" s="956"/>
      <c r="BC3" s="956"/>
      <c r="BD3" s="956"/>
      <c r="BE3" s="956"/>
      <c r="BF3" s="956"/>
      <c r="BG3" s="956"/>
      <c r="BH3" s="956"/>
      <c r="BI3" s="956"/>
      <c r="BJ3" s="956"/>
      <c r="BK3" s="956"/>
      <c r="BL3" s="990"/>
      <c r="BN3" s="986"/>
      <c r="BO3" s="986"/>
      <c r="BP3" s="986"/>
      <c r="BQ3" s="986"/>
      <c r="BR3" s="986"/>
      <c r="BS3" s="986"/>
      <c r="BT3" s="986"/>
      <c r="BU3" s="986"/>
      <c r="BV3" s="986"/>
      <c r="BW3" s="986"/>
      <c r="BX3" s="986"/>
    </row>
    <row r="4" spans="1:76" s="959" customFormat="1" ht="13.15" customHeight="1">
      <c r="A4" s="837" t="s">
        <v>1478</v>
      </c>
      <c r="B4" s="991"/>
      <c r="C4" s="12"/>
      <c r="D4" s="3"/>
      <c r="E4" s="619"/>
      <c r="F4" s="621"/>
      <c r="G4" s="992"/>
      <c r="H4" s="992"/>
      <c r="I4" s="992"/>
      <c r="J4" s="62"/>
      <c r="K4" s="992"/>
      <c r="L4" s="993"/>
      <c r="M4" s="993"/>
      <c r="N4" s="22"/>
      <c r="O4" s="993"/>
      <c r="P4" s="993"/>
      <c r="Q4" s="993"/>
      <c r="R4" s="993"/>
      <c r="S4" s="993"/>
      <c r="T4" s="993"/>
      <c r="U4" s="993"/>
      <c r="V4" s="993"/>
      <c r="W4" s="993"/>
      <c r="X4" s="993"/>
      <c r="Y4" s="993"/>
      <c r="Z4" s="603"/>
      <c r="AA4" s="610"/>
      <c r="AB4" s="994"/>
      <c r="AC4" s="994"/>
      <c r="AD4" s="994"/>
      <c r="AE4" s="994"/>
      <c r="AF4" s="994"/>
      <c r="AG4" s="994"/>
      <c r="AH4" s="994"/>
      <c r="AI4" s="994"/>
      <c r="AJ4" s="994"/>
      <c r="AK4" s="611"/>
      <c r="AL4" s="603"/>
      <c r="AM4" s="613"/>
      <c r="AN4" s="995"/>
      <c r="AO4" s="995"/>
      <c r="AP4" s="995"/>
      <c r="AQ4" s="995"/>
      <c r="AR4" s="995"/>
      <c r="AS4" s="995"/>
      <c r="AT4" s="995"/>
      <c r="AU4" s="995"/>
      <c r="AV4" s="995"/>
      <c r="AW4" s="995"/>
      <c r="AX4" s="995"/>
      <c r="AY4" s="995"/>
      <c r="AZ4" s="603"/>
      <c r="BA4" s="607"/>
      <c r="BB4" s="996"/>
      <c r="BC4" s="996"/>
      <c r="BD4" s="996"/>
      <c r="BE4" s="996"/>
      <c r="BF4" s="996"/>
      <c r="BG4" s="996"/>
      <c r="BH4" s="996"/>
      <c r="BI4" s="996"/>
      <c r="BJ4" s="996"/>
      <c r="BK4" s="996"/>
      <c r="BL4" s="997"/>
    </row>
    <row r="5" spans="1:76" s="960" customFormat="1" ht="13.15" customHeight="1">
      <c r="A5" s="846" t="s">
        <v>90</v>
      </c>
      <c r="B5" s="41" t="s">
        <v>157</v>
      </c>
      <c r="C5" s="12" t="s">
        <v>1481</v>
      </c>
      <c r="D5" s="34" t="s">
        <v>159</v>
      </c>
      <c r="E5" s="535">
        <v>19.390349000000001</v>
      </c>
      <c r="F5" s="537">
        <v>-155.29341099999999</v>
      </c>
      <c r="G5" s="7" t="s">
        <v>873</v>
      </c>
      <c r="H5" s="7">
        <v>2001</v>
      </c>
      <c r="I5" s="7" t="s">
        <v>32</v>
      </c>
      <c r="J5" s="11" t="s">
        <v>132</v>
      </c>
      <c r="K5" s="21">
        <v>88.014667289166638</v>
      </c>
      <c r="L5" s="9">
        <v>0.84499999999999997</v>
      </c>
      <c r="M5" s="9">
        <v>0.67</v>
      </c>
      <c r="N5" s="8">
        <f t="shared" ref="N5:N19" si="0">100*(BA5/$BL5)</f>
        <v>40.451545788498429</v>
      </c>
      <c r="O5" s="9">
        <f t="shared" ref="O5:O19" si="1">100*(BB5/$BL5)</f>
        <v>6.1766522544780735E-3</v>
      </c>
      <c r="P5" s="20" t="s">
        <v>64</v>
      </c>
      <c r="Q5" s="9">
        <f t="shared" ref="Q5:Q19" si="2">100*(BD5/$BL5)</f>
        <v>11.470368323526545</v>
      </c>
      <c r="R5" s="9">
        <f t="shared" ref="R5:R19" si="3">100*(BE5/$BL5)</f>
        <v>0.15929261077338189</v>
      </c>
      <c r="S5" s="9">
        <f t="shared" ref="S5:S19" si="4">100*(BF5/$BL5)</f>
        <v>47.274470920971368</v>
      </c>
      <c r="T5" s="9">
        <f t="shared" ref="T5:T19" si="5">100*(BG5/$BL5)</f>
        <v>0.20480478528006243</v>
      </c>
      <c r="U5" s="20" t="s">
        <v>64</v>
      </c>
      <c r="V5" s="20" t="s">
        <v>64</v>
      </c>
      <c r="W5" s="9">
        <f t="shared" ref="W5:X11" si="6">100*(BJ5/$BL5)</f>
        <v>6.534247911316278E-2</v>
      </c>
      <c r="X5" s="9">
        <f t="shared" si="6"/>
        <v>0.36799843958258843</v>
      </c>
      <c r="Y5" s="9">
        <f>BL5</f>
        <v>102.53666666666665</v>
      </c>
      <c r="Z5" s="603"/>
      <c r="AA5" s="608">
        <v>0.1047283204759135</v>
      </c>
      <c r="AB5" s="600" t="s">
        <v>309</v>
      </c>
      <c r="AC5" s="600" t="s">
        <v>64</v>
      </c>
      <c r="AD5" s="600">
        <v>9.195350357312071E-2</v>
      </c>
      <c r="AE5" s="600">
        <v>6.8908237980255431E-3</v>
      </c>
      <c r="AF5" s="600">
        <v>6.1836225030796804E-2</v>
      </c>
      <c r="AG5" s="600">
        <v>3.4339369967636558E-3</v>
      </c>
      <c r="AH5" s="600" t="s">
        <v>64</v>
      </c>
      <c r="AI5" s="600" t="s">
        <v>64</v>
      </c>
      <c r="AJ5" s="600" t="s">
        <v>309</v>
      </c>
      <c r="AK5" s="609">
        <v>2.2880614605257973E-2</v>
      </c>
      <c r="AL5" s="603"/>
      <c r="AM5" s="614">
        <v>1.0024395144170477</v>
      </c>
      <c r="AN5" s="998">
        <v>1.15152430832808E-4</v>
      </c>
      <c r="AO5" s="999" t="s">
        <v>64</v>
      </c>
      <c r="AP5" s="998">
        <v>0.23772165892977926</v>
      </c>
      <c r="AQ5" s="998">
        <v>3.3435260049410713E-3</v>
      </c>
      <c r="AR5" s="998">
        <v>1.7464671439046238</v>
      </c>
      <c r="AS5" s="998">
        <v>5.4379751767659858E-3</v>
      </c>
      <c r="AT5" s="999" t="s">
        <v>64</v>
      </c>
      <c r="AU5" s="999" t="s">
        <v>64</v>
      </c>
      <c r="AV5" s="998">
        <v>1.280241525419334E-3</v>
      </c>
      <c r="AW5" s="998">
        <v>0</v>
      </c>
      <c r="AX5" s="998">
        <v>2.9968052123894102</v>
      </c>
      <c r="AY5" s="998">
        <v>4</v>
      </c>
      <c r="AZ5" s="603"/>
      <c r="BA5" s="580">
        <v>41.477666666666664</v>
      </c>
      <c r="BB5" s="576">
        <v>6.3333333333333332E-3</v>
      </c>
      <c r="BC5" s="1000" t="s">
        <v>64</v>
      </c>
      <c r="BD5" s="576">
        <v>11.761333333333333</v>
      </c>
      <c r="BE5" s="576">
        <v>0.16333333333333333</v>
      </c>
      <c r="BF5" s="576">
        <v>48.473666666666666</v>
      </c>
      <c r="BG5" s="576">
        <v>0.21</v>
      </c>
      <c r="BH5" s="1000" t="s">
        <v>64</v>
      </c>
      <c r="BI5" s="1000" t="s">
        <v>64</v>
      </c>
      <c r="BJ5" s="576">
        <v>6.699999999999999E-2</v>
      </c>
      <c r="BK5" s="576">
        <v>0.37733333333333335</v>
      </c>
      <c r="BL5" s="1001">
        <f t="shared" ref="BL5:BL19" si="7">SUM(BA5:BK5)</f>
        <v>102.53666666666665</v>
      </c>
      <c r="BN5" s="9"/>
      <c r="BO5" s="9"/>
      <c r="BP5" s="9"/>
      <c r="BQ5" s="9"/>
      <c r="BR5" s="9"/>
      <c r="BS5" s="9"/>
      <c r="BT5" s="9"/>
      <c r="BU5" s="9"/>
      <c r="BV5" s="9"/>
      <c r="BW5" s="9"/>
      <c r="BX5" s="9"/>
    </row>
    <row r="6" spans="1:76" s="960" customFormat="1" ht="13.15" customHeight="1">
      <c r="A6" s="846" t="s">
        <v>92</v>
      </c>
      <c r="B6" s="41" t="s">
        <v>157</v>
      </c>
      <c r="C6" s="12" t="s">
        <v>1481</v>
      </c>
      <c r="D6" s="34" t="s">
        <v>159</v>
      </c>
      <c r="E6" s="535">
        <v>19.390349000000001</v>
      </c>
      <c r="F6" s="537">
        <v>-155.29341099999999</v>
      </c>
      <c r="G6" s="7" t="s">
        <v>873</v>
      </c>
      <c r="H6" s="7">
        <v>2001</v>
      </c>
      <c r="I6" s="7" t="s">
        <v>119</v>
      </c>
      <c r="J6" s="11" t="s">
        <v>132</v>
      </c>
      <c r="K6" s="21">
        <v>86.191158854718722</v>
      </c>
      <c r="L6" s="9">
        <v>0.5</v>
      </c>
      <c r="M6" s="847">
        <v>0.33</v>
      </c>
      <c r="N6" s="8">
        <f t="shared" si="0"/>
        <v>39.704319673732051</v>
      </c>
      <c r="O6" s="9">
        <f t="shared" si="1"/>
        <v>4.0055216612652815E-2</v>
      </c>
      <c r="P6" s="20" t="s">
        <v>64</v>
      </c>
      <c r="Q6" s="9">
        <f t="shared" si="2"/>
        <v>13.200676635229389</v>
      </c>
      <c r="R6" s="9">
        <f t="shared" si="3"/>
        <v>0.17544846946038006</v>
      </c>
      <c r="S6" s="9">
        <f t="shared" si="4"/>
        <v>46.239278608859145</v>
      </c>
      <c r="T6" s="9">
        <f t="shared" si="5"/>
        <v>0.23205542847495553</v>
      </c>
      <c r="U6" s="20" t="s">
        <v>64</v>
      </c>
      <c r="V6" s="20" t="s">
        <v>64</v>
      </c>
      <c r="W6" s="9">
        <f t="shared" si="6"/>
        <v>6.3227655975344521E-2</v>
      </c>
      <c r="X6" s="9">
        <f t="shared" si="6"/>
        <v>0.34493831165606803</v>
      </c>
      <c r="Y6" s="9">
        <f t="shared" ref="Y6:Y11" si="8">BL6</f>
        <v>100.69433333333333</v>
      </c>
      <c r="Z6" s="603"/>
      <c r="AA6" s="608">
        <v>0.10279376557844712</v>
      </c>
      <c r="AB6" s="600" t="s">
        <v>309</v>
      </c>
      <c r="AC6" s="600" t="s">
        <v>64</v>
      </c>
      <c r="AD6" s="600">
        <v>0.1058247156419107</v>
      </c>
      <c r="AE6" s="600">
        <v>7.5897085421288632E-3</v>
      </c>
      <c r="AF6" s="600">
        <v>6.0482166835858317E-2</v>
      </c>
      <c r="AG6" s="600">
        <v>3.8908452263471897E-3</v>
      </c>
      <c r="AH6" s="600" t="s">
        <v>64</v>
      </c>
      <c r="AI6" s="600" t="s">
        <v>64</v>
      </c>
      <c r="AJ6" s="600" t="s">
        <v>309</v>
      </c>
      <c r="AK6" s="609">
        <v>2.1446831623913983E-2</v>
      </c>
      <c r="AL6" s="603"/>
      <c r="AM6" s="614">
        <v>0.99314705290051764</v>
      </c>
      <c r="AN6" s="998">
        <v>7.5375774502158552E-4</v>
      </c>
      <c r="AO6" s="999" t="s">
        <v>64</v>
      </c>
      <c r="AP6" s="998">
        <v>0.27614699730268411</v>
      </c>
      <c r="AQ6" s="998">
        <v>3.7171612657656522E-3</v>
      </c>
      <c r="AR6" s="998">
        <v>1.7242392879038253</v>
      </c>
      <c r="AS6" s="998">
        <v>6.2193013032095113E-3</v>
      </c>
      <c r="AT6" s="999" t="s">
        <v>64</v>
      </c>
      <c r="AU6" s="999" t="s">
        <v>64</v>
      </c>
      <c r="AV6" s="998">
        <v>1.2504206222912896E-3</v>
      </c>
      <c r="AW6" s="998">
        <v>0</v>
      </c>
      <c r="AX6" s="998">
        <v>3.0054739790433151</v>
      </c>
      <c r="AY6" s="998">
        <v>4</v>
      </c>
      <c r="AZ6" s="603"/>
      <c r="BA6" s="580">
        <v>39.979999999999997</v>
      </c>
      <c r="BB6" s="576">
        <v>4.0333333333333332E-2</v>
      </c>
      <c r="BC6" s="1000" t="s">
        <v>64</v>
      </c>
      <c r="BD6" s="576">
        <v>13.292333333333332</v>
      </c>
      <c r="BE6" s="576">
        <v>0.17666666666666664</v>
      </c>
      <c r="BF6" s="576">
        <v>46.560333333333325</v>
      </c>
      <c r="BG6" s="576">
        <v>0.23366666666666666</v>
      </c>
      <c r="BH6" s="1000" t="s">
        <v>64</v>
      </c>
      <c r="BI6" s="1000" t="s">
        <v>64</v>
      </c>
      <c r="BJ6" s="576">
        <v>6.3666666666666663E-2</v>
      </c>
      <c r="BK6" s="576">
        <v>0.34733333333333333</v>
      </c>
      <c r="BL6" s="1001">
        <f t="shared" si="7"/>
        <v>100.69433333333333</v>
      </c>
      <c r="BN6" s="9"/>
      <c r="BO6" s="9"/>
      <c r="BP6" s="9"/>
      <c r="BQ6" s="9"/>
      <c r="BR6" s="9"/>
      <c r="BS6" s="9"/>
      <c r="BT6" s="9"/>
      <c r="BU6" s="9"/>
      <c r="BV6" s="9"/>
      <c r="BW6" s="9"/>
      <c r="BX6" s="9"/>
    </row>
    <row r="7" spans="1:76" s="960" customFormat="1" ht="13.15" customHeight="1">
      <c r="A7" s="846" t="s">
        <v>93</v>
      </c>
      <c r="B7" s="41" t="s">
        <v>157</v>
      </c>
      <c r="C7" s="12" t="s">
        <v>1481</v>
      </c>
      <c r="D7" s="34" t="s">
        <v>159</v>
      </c>
      <c r="E7" s="535">
        <v>19.390349000000001</v>
      </c>
      <c r="F7" s="537">
        <v>-155.29341099999999</v>
      </c>
      <c r="G7" s="7" t="s">
        <v>873</v>
      </c>
      <c r="H7" s="7">
        <v>2001</v>
      </c>
      <c r="I7" s="7" t="s">
        <v>36</v>
      </c>
      <c r="J7" s="11" t="s">
        <v>132</v>
      </c>
      <c r="K7" s="21">
        <v>86.440280324567652</v>
      </c>
      <c r="L7" s="9">
        <v>0.53</v>
      </c>
      <c r="M7" s="9">
        <v>0.37</v>
      </c>
      <c r="N7" s="8">
        <f t="shared" si="0"/>
        <v>39.816325377865347</v>
      </c>
      <c r="O7" s="9">
        <f t="shared" si="1"/>
        <v>7.6420338442420603E-3</v>
      </c>
      <c r="P7" s="20" t="s">
        <v>64</v>
      </c>
      <c r="Q7" s="9">
        <f t="shared" si="2"/>
        <v>12.977502516887235</v>
      </c>
      <c r="R7" s="9">
        <f t="shared" si="3"/>
        <v>0.16579890818594731</v>
      </c>
      <c r="S7" s="9">
        <f t="shared" si="4"/>
        <v>46.42269750504208</v>
      </c>
      <c r="T7" s="9">
        <f t="shared" si="5"/>
        <v>0.22427708021145173</v>
      </c>
      <c r="U7" s="20" t="s">
        <v>64</v>
      </c>
      <c r="V7" s="20" t="s">
        <v>64</v>
      </c>
      <c r="W7" s="9">
        <f t="shared" si="6"/>
        <v>4.5852203065452374E-2</v>
      </c>
      <c r="X7" s="9">
        <f t="shared" si="6"/>
        <v>0.33990437489824471</v>
      </c>
      <c r="Y7" s="9">
        <f t="shared" si="8"/>
        <v>100.32233333333332</v>
      </c>
      <c r="Z7" s="603"/>
      <c r="AA7" s="608">
        <v>0.10308374632081316</v>
      </c>
      <c r="AB7" s="600" t="s">
        <v>309</v>
      </c>
      <c r="AC7" s="600" t="s">
        <v>64</v>
      </c>
      <c r="AD7" s="600">
        <v>0.10403561510829384</v>
      </c>
      <c r="AE7" s="600">
        <v>7.1722790948523414E-3</v>
      </c>
      <c r="AF7" s="600">
        <v>6.072208347412654E-2</v>
      </c>
      <c r="AG7" s="600">
        <v>3.7604266043446198E-3</v>
      </c>
      <c r="AH7" s="600" t="s">
        <v>64</v>
      </c>
      <c r="AI7" s="600" t="s">
        <v>64</v>
      </c>
      <c r="AJ7" s="600" t="s">
        <v>309</v>
      </c>
      <c r="AK7" s="609">
        <v>2.1133842343215831E-2</v>
      </c>
      <c r="AL7" s="603"/>
      <c r="AM7" s="614">
        <v>0.99454986604205176</v>
      </c>
      <c r="AN7" s="998">
        <v>1.4360555732084875E-4</v>
      </c>
      <c r="AO7" s="999" t="s">
        <v>64</v>
      </c>
      <c r="AP7" s="998">
        <v>0.27109708104399305</v>
      </c>
      <c r="AQ7" s="998">
        <v>3.507785854718894E-3</v>
      </c>
      <c r="AR7" s="998">
        <v>1.7286475155452985</v>
      </c>
      <c r="AS7" s="998">
        <v>6.0023918762835884E-3</v>
      </c>
      <c r="AT7" s="999" t="s">
        <v>64</v>
      </c>
      <c r="AU7" s="999" t="s">
        <v>64</v>
      </c>
      <c r="AV7" s="998">
        <v>9.0552165397402538E-4</v>
      </c>
      <c r="AW7" s="998">
        <v>0</v>
      </c>
      <c r="AX7" s="998">
        <v>3.0048537675736404</v>
      </c>
      <c r="AY7" s="998">
        <v>4</v>
      </c>
      <c r="AZ7" s="603"/>
      <c r="BA7" s="580">
        <v>39.944666666666663</v>
      </c>
      <c r="BB7" s="576">
        <v>7.6666666666666662E-3</v>
      </c>
      <c r="BC7" s="1000" t="s">
        <v>64</v>
      </c>
      <c r="BD7" s="576">
        <v>13.019333333333334</v>
      </c>
      <c r="BE7" s="576">
        <v>0.16633333333333333</v>
      </c>
      <c r="BF7" s="576">
        <v>46.572333333333326</v>
      </c>
      <c r="BG7" s="576">
        <v>0.22499999999999998</v>
      </c>
      <c r="BH7" s="1000" t="s">
        <v>64</v>
      </c>
      <c r="BI7" s="1000" t="s">
        <v>64</v>
      </c>
      <c r="BJ7" s="576">
        <v>4.6000000000000006E-2</v>
      </c>
      <c r="BK7" s="576">
        <v>0.34100000000000003</v>
      </c>
      <c r="BL7" s="1001">
        <f t="shared" si="7"/>
        <v>100.32233333333332</v>
      </c>
      <c r="BN7" s="9"/>
      <c r="BO7" s="9"/>
      <c r="BP7" s="9"/>
      <c r="BQ7" s="9"/>
      <c r="BR7" s="9"/>
      <c r="BS7" s="9"/>
      <c r="BT7" s="9"/>
      <c r="BU7" s="9"/>
      <c r="BV7" s="9"/>
      <c r="BW7" s="9"/>
      <c r="BX7" s="9"/>
    </row>
    <row r="8" spans="1:76" s="960" customFormat="1" ht="13.15" customHeight="1">
      <c r="A8" s="846" t="s">
        <v>91</v>
      </c>
      <c r="B8" s="41" t="s">
        <v>157</v>
      </c>
      <c r="C8" s="12" t="s">
        <v>1481</v>
      </c>
      <c r="D8" s="34" t="s">
        <v>159</v>
      </c>
      <c r="E8" s="535">
        <v>19.390349000000001</v>
      </c>
      <c r="F8" s="537">
        <v>-155.29341099999999</v>
      </c>
      <c r="G8" s="7" t="s">
        <v>873</v>
      </c>
      <c r="H8" s="7">
        <v>2001</v>
      </c>
      <c r="I8" s="7" t="s">
        <v>33</v>
      </c>
      <c r="J8" s="11" t="s">
        <v>132</v>
      </c>
      <c r="K8" s="21">
        <v>86.367530275653095</v>
      </c>
      <c r="L8" s="9">
        <v>1.66</v>
      </c>
      <c r="M8" s="9">
        <v>0.46</v>
      </c>
      <c r="N8" s="8">
        <f t="shared" si="0"/>
        <v>39.903554779509314</v>
      </c>
      <c r="O8" s="9">
        <f t="shared" si="1"/>
        <v>2.2604348552502689E-2</v>
      </c>
      <c r="P8" s="20" t="s">
        <v>64</v>
      </c>
      <c r="Q8" s="9">
        <f t="shared" si="2"/>
        <v>12.999793612469738</v>
      </c>
      <c r="R8" s="9">
        <f t="shared" si="3"/>
        <v>0.15069565701668464</v>
      </c>
      <c r="S8" s="9">
        <f t="shared" si="4"/>
        <v>46.218030407762782</v>
      </c>
      <c r="T8" s="9">
        <f t="shared" si="5"/>
        <v>0.21097391982335847</v>
      </c>
      <c r="U8" s="20" t="s">
        <v>64</v>
      </c>
      <c r="V8" s="20" t="s">
        <v>64</v>
      </c>
      <c r="W8" s="9">
        <f t="shared" si="6"/>
        <v>0.11597013605197032</v>
      </c>
      <c r="X8" s="9">
        <f t="shared" si="6"/>
        <v>0.37837713881363205</v>
      </c>
      <c r="Y8" s="9">
        <f t="shared" si="8"/>
        <v>101.75033333333334</v>
      </c>
      <c r="Z8" s="603"/>
      <c r="AA8" s="608">
        <v>0.10330958166411637</v>
      </c>
      <c r="AB8" s="600" t="s">
        <v>309</v>
      </c>
      <c r="AC8" s="600" t="s">
        <v>64</v>
      </c>
      <c r="AD8" s="600">
        <v>0.1042143141944505</v>
      </c>
      <c r="AE8" s="600">
        <v>6.5189289985771708E-3</v>
      </c>
      <c r="AF8" s="600">
        <v>6.0454373641796122E-2</v>
      </c>
      <c r="AG8" s="600">
        <v>3.5373741274794643E-3</v>
      </c>
      <c r="AH8" s="600" t="s">
        <v>64</v>
      </c>
      <c r="AI8" s="600" t="s">
        <v>64</v>
      </c>
      <c r="AJ8" s="600" t="s">
        <v>309</v>
      </c>
      <c r="AK8" s="609">
        <v>2.3525919018718949E-2</v>
      </c>
      <c r="AL8" s="603"/>
      <c r="AM8" s="614">
        <v>0.99693657810344083</v>
      </c>
      <c r="AN8" s="998">
        <v>4.2485902053136565E-4</v>
      </c>
      <c r="AO8" s="999" t="s">
        <v>64</v>
      </c>
      <c r="AP8" s="998">
        <v>0.27161936852725738</v>
      </c>
      <c r="AQ8" s="998">
        <v>3.1889132172451666E-3</v>
      </c>
      <c r="AR8" s="998">
        <v>1.7213852044365427</v>
      </c>
      <c r="AS8" s="998">
        <v>5.6475330643295562E-3</v>
      </c>
      <c r="AT8" s="999" t="s">
        <v>64</v>
      </c>
      <c r="AU8" s="999" t="s">
        <v>64</v>
      </c>
      <c r="AV8" s="998">
        <v>2.2907376711207008E-3</v>
      </c>
      <c r="AW8" s="998">
        <v>0</v>
      </c>
      <c r="AX8" s="998">
        <v>3.0014931940404677</v>
      </c>
      <c r="AY8" s="998">
        <v>4</v>
      </c>
      <c r="AZ8" s="603"/>
      <c r="BA8" s="580">
        <v>40.601999999999997</v>
      </c>
      <c r="BB8" s="576">
        <v>2.2999999999999996E-2</v>
      </c>
      <c r="BC8" s="1000" t="s">
        <v>64</v>
      </c>
      <c r="BD8" s="576">
        <v>13.227333333333334</v>
      </c>
      <c r="BE8" s="576">
        <v>0.15333333333333335</v>
      </c>
      <c r="BF8" s="576">
        <v>47.026999999999994</v>
      </c>
      <c r="BG8" s="576">
        <v>0.21466666666666667</v>
      </c>
      <c r="BH8" s="1000" t="s">
        <v>64</v>
      </c>
      <c r="BI8" s="1000" t="s">
        <v>64</v>
      </c>
      <c r="BJ8" s="576">
        <v>0.11799999999999999</v>
      </c>
      <c r="BK8" s="576">
        <v>0.38500000000000001</v>
      </c>
      <c r="BL8" s="1001">
        <f t="shared" si="7"/>
        <v>101.75033333333334</v>
      </c>
      <c r="BN8" s="9"/>
      <c r="BO8" s="9"/>
      <c r="BP8" s="9"/>
      <c r="BQ8" s="9"/>
      <c r="BR8" s="9"/>
      <c r="BS8" s="9"/>
      <c r="BT8" s="9"/>
      <c r="BU8" s="9"/>
      <c r="BV8" s="9"/>
      <c r="BW8" s="9"/>
      <c r="BX8" s="9"/>
    </row>
    <row r="9" spans="1:76" s="960" customFormat="1" ht="13.15" customHeight="1">
      <c r="A9" s="846" t="s">
        <v>161</v>
      </c>
      <c r="B9" s="41" t="s">
        <v>157</v>
      </c>
      <c r="C9" s="12" t="s">
        <v>1481</v>
      </c>
      <c r="D9" s="34" t="s">
        <v>159</v>
      </c>
      <c r="E9" s="535">
        <v>19.390349000000001</v>
      </c>
      <c r="F9" s="537">
        <v>-155.29341099999999</v>
      </c>
      <c r="G9" s="7" t="s">
        <v>873</v>
      </c>
      <c r="H9" s="7">
        <v>2001</v>
      </c>
      <c r="I9" s="7" t="s">
        <v>31</v>
      </c>
      <c r="J9" s="11" t="s">
        <v>132</v>
      </c>
      <c r="K9" s="21">
        <v>86.000651429627695</v>
      </c>
      <c r="L9" s="9">
        <v>0.5</v>
      </c>
      <c r="M9" s="9">
        <v>0.47</v>
      </c>
      <c r="N9" s="8">
        <f t="shared" si="0"/>
        <v>39.978197626258279</v>
      </c>
      <c r="O9" s="9">
        <f t="shared" si="1"/>
        <v>6.2955182536895042E-3</v>
      </c>
      <c r="P9" s="20" t="s">
        <v>64</v>
      </c>
      <c r="Q9" s="9">
        <f t="shared" si="2"/>
        <v>13.326618113862732</v>
      </c>
      <c r="R9" s="9">
        <f t="shared" si="3"/>
        <v>0.16003870087010688</v>
      </c>
      <c r="S9" s="9">
        <f t="shared" si="4"/>
        <v>45.941378784766165</v>
      </c>
      <c r="T9" s="9">
        <f t="shared" si="5"/>
        <v>0.23889835057421752</v>
      </c>
      <c r="U9" s="20" t="s">
        <v>64</v>
      </c>
      <c r="V9" s="20" t="s">
        <v>64</v>
      </c>
      <c r="W9" s="9">
        <f t="shared" si="6"/>
        <v>3.5785051126235076E-2</v>
      </c>
      <c r="X9" s="9">
        <f t="shared" si="6"/>
        <v>0.31278785428857336</v>
      </c>
      <c r="Y9" s="9">
        <f t="shared" si="8"/>
        <v>100.60066666666667</v>
      </c>
      <c r="Z9" s="603"/>
      <c r="AA9" s="608">
        <v>0.10350283064442561</v>
      </c>
      <c r="AB9" s="600" t="s">
        <v>309</v>
      </c>
      <c r="AC9" s="600" t="s">
        <v>64</v>
      </c>
      <c r="AD9" s="600">
        <v>0.10683433973408239</v>
      </c>
      <c r="AE9" s="600">
        <v>6.9230988380856113E-3</v>
      </c>
      <c r="AF9" s="600">
        <v>6.0092506196608803E-2</v>
      </c>
      <c r="AG9" s="600">
        <v>4.0055796712992189E-3</v>
      </c>
      <c r="AH9" s="600" t="s">
        <v>64</v>
      </c>
      <c r="AI9" s="600" t="s">
        <v>64</v>
      </c>
      <c r="AJ9" s="600" t="s">
        <v>309</v>
      </c>
      <c r="AK9" s="609">
        <v>1.9447849711809084E-2</v>
      </c>
      <c r="AL9" s="603"/>
      <c r="AM9" s="614">
        <v>0.99924837110251341</v>
      </c>
      <c r="AN9" s="998">
        <v>1.1838008012153778E-4</v>
      </c>
      <c r="AO9" s="999" t="s">
        <v>64</v>
      </c>
      <c r="AP9" s="998">
        <v>0.27857268139803393</v>
      </c>
      <c r="AQ9" s="998">
        <v>3.3881394390356703E-3</v>
      </c>
      <c r="AR9" s="998">
        <v>1.7118470185125529</v>
      </c>
      <c r="AS9" s="998">
        <v>6.3979001132366282E-3</v>
      </c>
      <c r="AT9" s="999" t="s">
        <v>64</v>
      </c>
      <c r="AU9" s="999" t="s">
        <v>64</v>
      </c>
      <c r="AV9" s="998">
        <v>7.0717211458063366E-4</v>
      </c>
      <c r="AW9" s="998">
        <v>0</v>
      </c>
      <c r="AX9" s="998">
        <v>3.0002796627600747</v>
      </c>
      <c r="AY9" s="998">
        <v>4</v>
      </c>
      <c r="AZ9" s="603"/>
      <c r="BA9" s="580">
        <v>40.218333333333334</v>
      </c>
      <c r="BB9" s="576">
        <v>6.3333333333333332E-3</v>
      </c>
      <c r="BC9" s="1000" t="s">
        <v>64</v>
      </c>
      <c r="BD9" s="576">
        <v>13.406666666666666</v>
      </c>
      <c r="BE9" s="576">
        <v>0.161</v>
      </c>
      <c r="BF9" s="576">
        <v>46.217333333333329</v>
      </c>
      <c r="BG9" s="576">
        <v>0.24033333333333332</v>
      </c>
      <c r="BH9" s="1000" t="s">
        <v>64</v>
      </c>
      <c r="BI9" s="1000" t="s">
        <v>64</v>
      </c>
      <c r="BJ9" s="576">
        <v>3.5999999999999997E-2</v>
      </c>
      <c r="BK9" s="576">
        <v>0.31466666666666671</v>
      </c>
      <c r="BL9" s="1001">
        <f t="shared" si="7"/>
        <v>100.60066666666667</v>
      </c>
      <c r="BN9" s="9"/>
      <c r="BO9" s="9"/>
      <c r="BP9" s="9"/>
      <c r="BQ9" s="9"/>
      <c r="BR9" s="9"/>
      <c r="BS9" s="9"/>
      <c r="BT9" s="9"/>
      <c r="BU9" s="9"/>
      <c r="BV9" s="9"/>
      <c r="BW9" s="9"/>
      <c r="BX9" s="9"/>
    </row>
    <row r="10" spans="1:76" s="960" customFormat="1" ht="13.15" customHeight="1">
      <c r="A10" s="846" t="s">
        <v>94</v>
      </c>
      <c r="B10" s="41" t="s">
        <v>157</v>
      </c>
      <c r="C10" s="12" t="s">
        <v>1481</v>
      </c>
      <c r="D10" s="34" t="s">
        <v>159</v>
      </c>
      <c r="E10" s="535">
        <v>19.390349000000001</v>
      </c>
      <c r="F10" s="537">
        <v>-155.29341099999999</v>
      </c>
      <c r="G10" s="7" t="s">
        <v>873</v>
      </c>
      <c r="H10" s="7">
        <v>2001</v>
      </c>
      <c r="I10" s="7" t="s">
        <v>37</v>
      </c>
      <c r="J10" s="11" t="s">
        <v>132</v>
      </c>
      <c r="K10" s="21">
        <v>86.819927292095016</v>
      </c>
      <c r="L10" s="9">
        <v>0.68500000000000005</v>
      </c>
      <c r="M10" s="9">
        <v>0.44</v>
      </c>
      <c r="N10" s="8">
        <f t="shared" si="0"/>
        <v>39.629826572031554</v>
      </c>
      <c r="O10" s="9">
        <f t="shared" si="1"/>
        <v>1.7834908199764181E-2</v>
      </c>
      <c r="P10" s="20" t="s">
        <v>64</v>
      </c>
      <c r="Q10" s="9">
        <f t="shared" si="2"/>
        <v>12.66476647829921</v>
      </c>
      <c r="R10" s="9">
        <f t="shared" si="3"/>
        <v>0.14003705697592617</v>
      </c>
      <c r="S10" s="9">
        <f t="shared" si="4"/>
        <v>46.815312920069886</v>
      </c>
      <c r="T10" s="9">
        <f t="shared" si="5"/>
        <v>0.22656938935255974</v>
      </c>
      <c r="U10" s="20" t="s">
        <v>64</v>
      </c>
      <c r="V10" s="20" t="s">
        <v>64</v>
      </c>
      <c r="W10" s="9">
        <f t="shared" si="6"/>
        <v>9.6440614709835948E-2</v>
      </c>
      <c r="X10" s="9">
        <f t="shared" si="6"/>
        <v>0.40921206036125596</v>
      </c>
      <c r="Y10" s="9">
        <f t="shared" si="8"/>
        <v>100.92566666666669</v>
      </c>
      <c r="Z10" s="603"/>
      <c r="AA10" s="608">
        <v>0.1026009042853602</v>
      </c>
      <c r="AB10" s="600" t="s">
        <v>309</v>
      </c>
      <c r="AC10" s="600" t="s">
        <v>64</v>
      </c>
      <c r="AD10" s="600">
        <v>0.10152853132243454</v>
      </c>
      <c r="AE10" s="600">
        <v>6.0578496399182596E-3</v>
      </c>
      <c r="AF10" s="600">
        <v>6.1235634544741471E-2</v>
      </c>
      <c r="AG10" s="600">
        <v>3.7988614737101286E-3</v>
      </c>
      <c r="AH10" s="600" t="s">
        <v>64</v>
      </c>
      <c r="AI10" s="600" t="s">
        <v>64</v>
      </c>
      <c r="AJ10" s="600" t="s">
        <v>309</v>
      </c>
      <c r="AK10" s="609">
        <v>2.5443106377216456E-2</v>
      </c>
      <c r="AL10" s="603"/>
      <c r="AM10" s="614">
        <v>0.98984985353189281</v>
      </c>
      <c r="AN10" s="998">
        <v>3.351312553013081E-4</v>
      </c>
      <c r="AO10" s="999" t="s">
        <v>64</v>
      </c>
      <c r="AP10" s="998">
        <v>0.2645529879773465</v>
      </c>
      <c r="AQ10" s="998">
        <v>2.9626213354727307E-3</v>
      </c>
      <c r="AR10" s="998">
        <v>1.7431941881132418</v>
      </c>
      <c r="AS10" s="998">
        <v>6.063487006101884E-3</v>
      </c>
      <c r="AT10" s="999" t="s">
        <v>64</v>
      </c>
      <c r="AU10" s="999" t="s">
        <v>64</v>
      </c>
      <c r="AV10" s="998">
        <v>1.9044973289654903E-3</v>
      </c>
      <c r="AW10" s="998">
        <v>0</v>
      </c>
      <c r="AX10" s="998">
        <v>3.0088627665483223</v>
      </c>
      <c r="AY10" s="998">
        <v>4</v>
      </c>
      <c r="AZ10" s="603"/>
      <c r="BA10" s="580">
        <v>39.99666666666667</v>
      </c>
      <c r="BB10" s="576">
        <v>1.8000000000000002E-2</v>
      </c>
      <c r="BC10" s="1000" t="s">
        <v>64</v>
      </c>
      <c r="BD10" s="576">
        <v>12.782000000000002</v>
      </c>
      <c r="BE10" s="576">
        <v>0.14133333333333334</v>
      </c>
      <c r="BF10" s="576">
        <v>47.248666666666672</v>
      </c>
      <c r="BG10" s="576">
        <v>0.22866666666666666</v>
      </c>
      <c r="BH10" s="1000" t="s">
        <v>64</v>
      </c>
      <c r="BI10" s="1000" t="s">
        <v>64</v>
      </c>
      <c r="BJ10" s="576">
        <v>9.7333333333333341E-2</v>
      </c>
      <c r="BK10" s="576">
        <v>0.41300000000000003</v>
      </c>
      <c r="BL10" s="1001">
        <f t="shared" si="7"/>
        <v>100.92566666666669</v>
      </c>
      <c r="BN10" s="9"/>
      <c r="BO10" s="9"/>
      <c r="BP10" s="9"/>
      <c r="BQ10" s="9"/>
      <c r="BR10" s="9"/>
      <c r="BS10" s="9"/>
      <c r="BT10" s="9"/>
      <c r="BU10" s="9"/>
      <c r="BV10" s="9"/>
      <c r="BW10" s="9"/>
      <c r="BX10" s="9"/>
    </row>
    <row r="11" spans="1:76" s="960" customFormat="1" ht="13.15" customHeight="1">
      <c r="A11" s="846" t="s">
        <v>95</v>
      </c>
      <c r="B11" s="41" t="s">
        <v>157</v>
      </c>
      <c r="C11" s="12" t="s">
        <v>1481</v>
      </c>
      <c r="D11" s="34" t="s">
        <v>159</v>
      </c>
      <c r="E11" s="535">
        <v>19.390349000000001</v>
      </c>
      <c r="F11" s="537">
        <v>-155.29341099999999</v>
      </c>
      <c r="G11" s="7" t="s">
        <v>873</v>
      </c>
      <c r="H11" s="7">
        <v>2001</v>
      </c>
      <c r="I11" s="7" t="s">
        <v>38</v>
      </c>
      <c r="J11" s="11" t="s">
        <v>132</v>
      </c>
      <c r="K11" s="21">
        <v>87.939089628805235</v>
      </c>
      <c r="L11" s="9">
        <v>1.89</v>
      </c>
      <c r="M11" s="9">
        <v>1.21</v>
      </c>
      <c r="N11" s="8">
        <f t="shared" si="0"/>
        <v>40.051596685905167</v>
      </c>
      <c r="O11" s="9">
        <f t="shared" si="1"/>
        <v>1.0914683556863848E-2</v>
      </c>
      <c r="P11" s="20" t="s">
        <v>64</v>
      </c>
      <c r="Q11" s="9">
        <f t="shared" si="2"/>
        <v>11.597347401147696</v>
      </c>
      <c r="R11" s="9">
        <f t="shared" si="3"/>
        <v>0.14288313019894489</v>
      </c>
      <c r="S11" s="9">
        <f t="shared" si="4"/>
        <v>47.455059617324572</v>
      </c>
      <c r="T11" s="9">
        <f t="shared" si="5"/>
        <v>0.21796292315070528</v>
      </c>
      <c r="U11" s="20" t="s">
        <v>64</v>
      </c>
      <c r="V11" s="20" t="s">
        <v>64</v>
      </c>
      <c r="W11" s="9">
        <f t="shared" si="6"/>
        <v>7.1441565099472443E-2</v>
      </c>
      <c r="X11" s="9">
        <f t="shared" si="6"/>
        <v>0.45279399361656381</v>
      </c>
      <c r="Y11" s="9">
        <f t="shared" si="8"/>
        <v>100.78166666666668</v>
      </c>
      <c r="Z11" s="603"/>
      <c r="AA11" s="608">
        <v>0.10369285948242161</v>
      </c>
      <c r="AB11" s="600" t="s">
        <v>309</v>
      </c>
      <c r="AC11" s="600" t="s">
        <v>64</v>
      </c>
      <c r="AD11" s="600">
        <v>9.2971445694804755E-2</v>
      </c>
      <c r="AE11" s="600">
        <v>6.1809676489764541E-3</v>
      </c>
      <c r="AF11" s="600">
        <v>6.2072439694825142E-2</v>
      </c>
      <c r="AG11" s="600">
        <v>3.6545578986665571E-3</v>
      </c>
      <c r="AH11" s="600" t="s">
        <v>64</v>
      </c>
      <c r="AI11" s="600" t="s">
        <v>64</v>
      </c>
      <c r="AJ11" s="600" t="s">
        <v>309</v>
      </c>
      <c r="AK11" s="609">
        <v>2.8152849982917214E-2</v>
      </c>
      <c r="AL11" s="603"/>
      <c r="AM11" s="614">
        <v>0.99505534217465674</v>
      </c>
      <c r="AN11" s="998">
        <v>2.040024832767786E-4</v>
      </c>
      <c r="AO11" s="999" t="s">
        <v>64</v>
      </c>
      <c r="AP11" s="998">
        <v>0.24096524149018686</v>
      </c>
      <c r="AQ11" s="998">
        <v>3.0067296274814657E-3</v>
      </c>
      <c r="AR11" s="998">
        <v>1.75760229926441</v>
      </c>
      <c r="AS11" s="998">
        <v>5.8020850524595378E-3</v>
      </c>
      <c r="AT11" s="999" t="s">
        <v>64</v>
      </c>
      <c r="AU11" s="999" t="s">
        <v>64</v>
      </c>
      <c r="AV11" s="998">
        <v>1.4033034997299348E-3</v>
      </c>
      <c r="AW11" s="998">
        <v>0</v>
      </c>
      <c r="AX11" s="998">
        <v>3.0040390035922013</v>
      </c>
      <c r="AY11" s="998">
        <v>4</v>
      </c>
      <c r="AZ11" s="603"/>
      <c r="BA11" s="580">
        <v>40.364666666666665</v>
      </c>
      <c r="BB11" s="576">
        <v>1.1000000000000001E-2</v>
      </c>
      <c r="BC11" s="1000" t="s">
        <v>64</v>
      </c>
      <c r="BD11" s="576">
        <v>11.688000000000001</v>
      </c>
      <c r="BE11" s="576">
        <v>0.14399999999999999</v>
      </c>
      <c r="BF11" s="576">
        <v>47.826000000000001</v>
      </c>
      <c r="BG11" s="576">
        <v>0.21966666666666668</v>
      </c>
      <c r="BH11" s="1000" t="s">
        <v>64</v>
      </c>
      <c r="BI11" s="1000" t="s">
        <v>64</v>
      </c>
      <c r="BJ11" s="576">
        <v>7.1999999999999995E-2</v>
      </c>
      <c r="BK11" s="576">
        <v>0.45633333333333331</v>
      </c>
      <c r="BL11" s="1001">
        <f t="shared" si="7"/>
        <v>100.78166666666668</v>
      </c>
      <c r="BN11" s="9"/>
      <c r="BO11" s="9"/>
      <c r="BP11" s="9"/>
      <c r="BQ11" s="9"/>
      <c r="BR11" s="9"/>
      <c r="BS11" s="9"/>
      <c r="BT11" s="9"/>
      <c r="BU11" s="9"/>
      <c r="BV11" s="9"/>
      <c r="BW11" s="9"/>
      <c r="BX11" s="9"/>
    </row>
    <row r="12" spans="1:76" s="960" customFormat="1" ht="13.15" customHeight="1">
      <c r="A12" s="846" t="s">
        <v>302</v>
      </c>
      <c r="B12" s="41" t="s">
        <v>157</v>
      </c>
      <c r="C12" s="12" t="s">
        <v>1481</v>
      </c>
      <c r="D12" s="34" t="s">
        <v>159</v>
      </c>
      <c r="E12" s="535">
        <v>19.405619999999999</v>
      </c>
      <c r="F12" s="537">
        <v>-155.29281800000001</v>
      </c>
      <c r="G12" s="7" t="s">
        <v>874</v>
      </c>
      <c r="H12" s="7">
        <v>2001</v>
      </c>
      <c r="I12" s="7" t="s">
        <v>163</v>
      </c>
      <c r="J12" s="11" t="s">
        <v>132</v>
      </c>
      <c r="K12" s="21">
        <v>87.339511464539129</v>
      </c>
      <c r="L12" s="9">
        <v>1</v>
      </c>
      <c r="M12" s="9">
        <v>0.65</v>
      </c>
      <c r="N12" s="8">
        <f t="shared" si="0"/>
        <v>39.94725457077665</v>
      </c>
      <c r="O12" s="9">
        <f t="shared" si="1"/>
        <v>2.2718068766606411E-2</v>
      </c>
      <c r="P12" s="20" t="s">
        <v>64</v>
      </c>
      <c r="Q12" s="9">
        <f t="shared" si="2"/>
        <v>12.136881303029405</v>
      </c>
      <c r="R12" s="9">
        <f t="shared" si="3"/>
        <v>0.12988808881777145</v>
      </c>
      <c r="S12" s="9">
        <f t="shared" si="4"/>
        <v>46.984917177823206</v>
      </c>
      <c r="T12" s="9">
        <f t="shared" si="5"/>
        <v>0.23903359310951094</v>
      </c>
      <c r="U12" s="20" t="s">
        <v>64</v>
      </c>
      <c r="V12" s="20" t="s">
        <v>64</v>
      </c>
      <c r="W12" s="9">
        <f t="shared" ref="W12:X19" si="9">100*(BJ12/$BL12)</f>
        <v>7.062356160053733E-2</v>
      </c>
      <c r="X12" s="9">
        <f t="shared" si="9"/>
        <v>0.46868363607629315</v>
      </c>
      <c r="Y12" s="9">
        <f t="shared" ref="Y12:Y19" si="10">BL12</f>
        <v>101.24100000000001</v>
      </c>
      <c r="Z12" s="603"/>
      <c r="AA12" s="608">
        <v>0.10342271963339214</v>
      </c>
      <c r="AB12" s="600" t="s">
        <v>309</v>
      </c>
      <c r="AC12" s="600" t="s">
        <v>64</v>
      </c>
      <c r="AD12" s="600">
        <v>9.7296680175090938E-2</v>
      </c>
      <c r="AE12" s="600">
        <v>5.6188163980743621E-3</v>
      </c>
      <c r="AF12" s="600">
        <v>6.1457481280290299E-2</v>
      </c>
      <c r="AG12" s="600">
        <v>4.0078472664867295E-3</v>
      </c>
      <c r="AH12" s="600" t="s">
        <v>64</v>
      </c>
      <c r="AI12" s="600" t="s">
        <v>64</v>
      </c>
      <c r="AJ12" s="600" t="s">
        <v>309</v>
      </c>
      <c r="AK12" s="609">
        <v>2.9140801958335349E-2</v>
      </c>
      <c r="AL12" s="603"/>
      <c r="AM12" s="614">
        <v>0.99512064832686975</v>
      </c>
      <c r="AN12" s="998">
        <v>4.257524090109693E-4</v>
      </c>
      <c r="AO12" s="999" t="s">
        <v>64</v>
      </c>
      <c r="AP12" s="998">
        <v>0.25285074549963094</v>
      </c>
      <c r="AQ12" s="998">
        <v>2.7405904930929009E-3</v>
      </c>
      <c r="AR12" s="998">
        <v>1.7448494202834517</v>
      </c>
      <c r="AS12" s="998">
        <v>6.3800165605622699E-3</v>
      </c>
      <c r="AT12" s="999" t="s">
        <v>64</v>
      </c>
      <c r="AU12" s="999" t="s">
        <v>64</v>
      </c>
      <c r="AV12" s="998">
        <v>1.3909504610005526E-3</v>
      </c>
      <c r="AW12" s="998">
        <v>0</v>
      </c>
      <c r="AX12" s="998">
        <v>3.0037581240336193</v>
      </c>
      <c r="AY12" s="998">
        <v>4</v>
      </c>
      <c r="AZ12" s="603"/>
      <c r="BA12" s="580">
        <v>40.442999999999998</v>
      </c>
      <c r="BB12" s="576">
        <v>2.3E-2</v>
      </c>
      <c r="BC12" s="1000" t="s">
        <v>64</v>
      </c>
      <c r="BD12" s="576">
        <v>12.287500000000001</v>
      </c>
      <c r="BE12" s="576">
        <v>0.13150000000000001</v>
      </c>
      <c r="BF12" s="576">
        <v>47.567999999999998</v>
      </c>
      <c r="BG12" s="576">
        <v>0.24199999999999999</v>
      </c>
      <c r="BH12" s="1000" t="s">
        <v>64</v>
      </c>
      <c r="BI12" s="1000" t="s">
        <v>64</v>
      </c>
      <c r="BJ12" s="576">
        <v>7.1500000000000008E-2</v>
      </c>
      <c r="BK12" s="576">
        <v>0.47450000000000003</v>
      </c>
      <c r="BL12" s="1001">
        <f t="shared" si="7"/>
        <v>101.24100000000001</v>
      </c>
      <c r="BN12" s="9"/>
      <c r="BO12" s="9"/>
      <c r="BP12" s="9"/>
      <c r="BQ12" s="9"/>
      <c r="BR12" s="9"/>
      <c r="BS12" s="9"/>
      <c r="BT12" s="9"/>
      <c r="BU12" s="9"/>
      <c r="BV12" s="9"/>
      <c r="BW12" s="9"/>
      <c r="BX12" s="9"/>
    </row>
    <row r="13" spans="1:76" s="960" customFormat="1" ht="13.15" customHeight="1">
      <c r="A13" s="846" t="s">
        <v>99</v>
      </c>
      <c r="B13" s="41" t="s">
        <v>157</v>
      </c>
      <c r="C13" s="12" t="s">
        <v>1481</v>
      </c>
      <c r="D13" s="34" t="s">
        <v>159</v>
      </c>
      <c r="E13" s="535">
        <v>19.405619999999999</v>
      </c>
      <c r="F13" s="537">
        <v>-155.29281800000001</v>
      </c>
      <c r="G13" s="7" t="s">
        <v>873</v>
      </c>
      <c r="H13" s="7">
        <v>2001</v>
      </c>
      <c r="I13" s="7" t="s">
        <v>40</v>
      </c>
      <c r="J13" s="11" t="s">
        <v>132</v>
      </c>
      <c r="K13" s="21">
        <v>87.287282054014383</v>
      </c>
      <c r="L13" s="9">
        <v>1.18</v>
      </c>
      <c r="M13" s="9">
        <v>0.93</v>
      </c>
      <c r="N13" s="8">
        <f t="shared" si="0"/>
        <v>40.122244123834285</v>
      </c>
      <c r="O13" s="9">
        <f t="shared" si="1"/>
        <v>1.3913965314472183E-2</v>
      </c>
      <c r="P13" s="20" t="s">
        <v>64</v>
      </c>
      <c r="Q13" s="9">
        <f t="shared" si="2"/>
        <v>12.163124679067764</v>
      </c>
      <c r="R13" s="9">
        <f t="shared" si="3"/>
        <v>0.18187540375345781</v>
      </c>
      <c r="S13" s="9">
        <f t="shared" si="4"/>
        <v>46.860578754700107</v>
      </c>
      <c r="T13" s="9">
        <f t="shared" si="5"/>
        <v>0.22461115436219375</v>
      </c>
      <c r="U13" s="20" t="s">
        <v>64</v>
      </c>
      <c r="V13" s="20" t="s">
        <v>64</v>
      </c>
      <c r="W13" s="9">
        <f t="shared" si="9"/>
        <v>7.1888820791439614E-2</v>
      </c>
      <c r="X13" s="9">
        <f t="shared" si="9"/>
        <v>0.36176309817627678</v>
      </c>
      <c r="Y13" s="9">
        <f t="shared" si="10"/>
        <v>100.61833333333333</v>
      </c>
      <c r="Z13" s="603"/>
      <c r="AA13" s="608">
        <v>0.10387576442155366</v>
      </c>
      <c r="AB13" s="600" t="s">
        <v>309</v>
      </c>
      <c r="AC13" s="600" t="s">
        <v>64</v>
      </c>
      <c r="AD13" s="600">
        <v>9.7507063164045574E-2</v>
      </c>
      <c r="AE13" s="600">
        <v>7.8677306773683401E-3</v>
      </c>
      <c r="AF13" s="600">
        <v>6.1294843421792262E-2</v>
      </c>
      <c r="AG13" s="600">
        <v>3.7660279851147354E-3</v>
      </c>
      <c r="AH13" s="600" t="s">
        <v>64</v>
      </c>
      <c r="AI13" s="600" t="s">
        <v>64</v>
      </c>
      <c r="AJ13" s="600" t="s">
        <v>309</v>
      </c>
      <c r="AK13" s="609">
        <v>2.2492926973180376E-2</v>
      </c>
      <c r="AL13" s="603"/>
      <c r="AM13" s="614">
        <v>0.99821532660200962</v>
      </c>
      <c r="AN13" s="998">
        <v>2.6042749747669512E-4</v>
      </c>
      <c r="AO13" s="999" t="s">
        <v>64</v>
      </c>
      <c r="AP13" s="998">
        <v>0.25307690199870486</v>
      </c>
      <c r="AQ13" s="998">
        <v>3.8326486479609606E-3</v>
      </c>
      <c r="AR13" s="998">
        <v>1.7380303383767726</v>
      </c>
      <c r="AS13" s="998">
        <v>5.9874845149718407E-3</v>
      </c>
      <c r="AT13" s="999" t="s">
        <v>64</v>
      </c>
      <c r="AU13" s="999" t="s">
        <v>64</v>
      </c>
      <c r="AV13" s="998">
        <v>1.4140788417448093E-3</v>
      </c>
      <c r="AW13" s="998">
        <v>0</v>
      </c>
      <c r="AX13" s="998">
        <v>3.0008172064796415</v>
      </c>
      <c r="AY13" s="998">
        <v>4</v>
      </c>
      <c r="AZ13" s="603"/>
      <c r="BA13" s="580">
        <v>40.370333333333328</v>
      </c>
      <c r="BB13" s="576">
        <v>1.4E-2</v>
      </c>
      <c r="BC13" s="1000" t="s">
        <v>64</v>
      </c>
      <c r="BD13" s="576">
        <v>12.238333333333332</v>
      </c>
      <c r="BE13" s="576">
        <v>0.18300000000000002</v>
      </c>
      <c r="BF13" s="576">
        <v>47.150333333333329</v>
      </c>
      <c r="BG13" s="576">
        <v>0.22599999999999998</v>
      </c>
      <c r="BH13" s="1000" t="s">
        <v>64</v>
      </c>
      <c r="BI13" s="1000" t="s">
        <v>64</v>
      </c>
      <c r="BJ13" s="576">
        <v>7.2333333333333333E-2</v>
      </c>
      <c r="BK13" s="576">
        <v>0.36400000000000005</v>
      </c>
      <c r="BL13" s="1001">
        <f t="shared" si="7"/>
        <v>100.61833333333333</v>
      </c>
      <c r="BN13" s="9"/>
      <c r="BO13" s="9"/>
      <c r="BP13" s="9"/>
      <c r="BQ13" s="9"/>
      <c r="BR13" s="9"/>
      <c r="BS13" s="9"/>
      <c r="BT13" s="9"/>
      <c r="BU13" s="9"/>
      <c r="BV13" s="9"/>
      <c r="BW13" s="9"/>
      <c r="BX13" s="9"/>
    </row>
    <row r="14" spans="1:76" ht="13.15" customHeight="1">
      <c r="A14" s="846" t="s">
        <v>98</v>
      </c>
      <c r="B14" s="41" t="s">
        <v>157</v>
      </c>
      <c r="C14" s="12" t="s">
        <v>1481</v>
      </c>
      <c r="D14" s="34" t="s">
        <v>159</v>
      </c>
      <c r="E14" s="535">
        <v>19.405619999999999</v>
      </c>
      <c r="F14" s="537">
        <v>-155.29281800000001</v>
      </c>
      <c r="G14" s="7" t="s">
        <v>873</v>
      </c>
      <c r="H14" s="7">
        <v>2001</v>
      </c>
      <c r="I14" s="7" t="s">
        <v>870</v>
      </c>
      <c r="J14" s="11" t="s">
        <v>132</v>
      </c>
      <c r="K14" s="21">
        <v>88.874854518074599</v>
      </c>
      <c r="L14" s="9">
        <v>1.8</v>
      </c>
      <c r="M14" s="9">
        <v>2.62</v>
      </c>
      <c r="N14" s="8">
        <f t="shared" si="0"/>
        <v>40.246977797677062</v>
      </c>
      <c r="O14" s="9">
        <f t="shared" si="1"/>
        <v>1.2839421633437806E-2</v>
      </c>
      <c r="P14" s="20" t="s">
        <v>64</v>
      </c>
      <c r="Q14" s="9">
        <f t="shared" si="2"/>
        <v>10.73276883773605</v>
      </c>
      <c r="R14" s="9">
        <f t="shared" si="3"/>
        <v>0.14979325239010771</v>
      </c>
      <c r="S14" s="9">
        <f t="shared" si="4"/>
        <v>48.113263451763288</v>
      </c>
      <c r="T14" s="9">
        <f t="shared" si="5"/>
        <v>0.2176117358898049</v>
      </c>
      <c r="U14" s="20" t="s">
        <v>64</v>
      </c>
      <c r="V14" s="20" t="s">
        <v>64</v>
      </c>
      <c r="W14" s="9">
        <f t="shared" si="9"/>
        <v>7.3415154468118748E-2</v>
      </c>
      <c r="X14" s="9">
        <f t="shared" si="9"/>
        <v>0.45333034844215025</v>
      </c>
      <c r="Y14" s="9">
        <f t="shared" si="10"/>
        <v>101.25066666666665</v>
      </c>
      <c r="Z14" s="603"/>
      <c r="AA14" s="608">
        <v>0.10419869764731085</v>
      </c>
      <c r="AB14" s="600" t="s">
        <v>309</v>
      </c>
      <c r="AC14" s="600" t="s">
        <v>64</v>
      </c>
      <c r="AD14" s="600">
        <v>8.6040453962232921E-2</v>
      </c>
      <c r="AE14" s="600">
        <v>6.4798919632365224E-3</v>
      </c>
      <c r="AF14" s="600">
        <v>6.2933387255518641E-2</v>
      </c>
      <c r="AG14" s="600">
        <v>3.6486695844538358E-3</v>
      </c>
      <c r="AH14" s="600" t="s">
        <v>64</v>
      </c>
      <c r="AI14" s="600" t="s">
        <v>64</v>
      </c>
      <c r="AJ14" s="600" t="s">
        <v>309</v>
      </c>
      <c r="AK14" s="609">
        <v>2.8186198298387883E-2</v>
      </c>
      <c r="AL14" s="603"/>
      <c r="AM14" s="614">
        <v>0.99582941070715947</v>
      </c>
      <c r="AN14" s="998">
        <v>2.3899787465067102E-4</v>
      </c>
      <c r="AO14" s="999" t="s">
        <v>64</v>
      </c>
      <c r="AP14" s="998">
        <v>0.22209142121947376</v>
      </c>
      <c r="AQ14" s="998">
        <v>3.1392792148421233E-3</v>
      </c>
      <c r="AR14" s="998">
        <v>1.7747091038348393</v>
      </c>
      <c r="AS14" s="998">
        <v>5.7690998200634284E-3</v>
      </c>
      <c r="AT14" s="999" t="s">
        <v>64</v>
      </c>
      <c r="AU14" s="999" t="s">
        <v>64</v>
      </c>
      <c r="AV14" s="998">
        <v>1.4361858314406372E-3</v>
      </c>
      <c r="AW14" s="998">
        <v>0</v>
      </c>
      <c r="AX14" s="998">
        <v>3.0032134985024692</v>
      </c>
      <c r="AY14" s="998">
        <v>4</v>
      </c>
      <c r="AZ14" s="603"/>
      <c r="BA14" s="580">
        <v>40.750333333333337</v>
      </c>
      <c r="BB14" s="576">
        <v>1.2999999999999999E-2</v>
      </c>
      <c r="BC14" s="1000" t="s">
        <v>64</v>
      </c>
      <c r="BD14" s="576">
        <v>10.866999999999999</v>
      </c>
      <c r="BE14" s="576">
        <v>0.15166666666666664</v>
      </c>
      <c r="BF14" s="576">
        <v>48.714999999999996</v>
      </c>
      <c r="BG14" s="576">
        <v>0.22033333333333335</v>
      </c>
      <c r="BH14" s="1000" t="s">
        <v>64</v>
      </c>
      <c r="BI14" s="1000" t="s">
        <v>64</v>
      </c>
      <c r="BJ14" s="576">
        <v>7.4333333333333335E-2</v>
      </c>
      <c r="BK14" s="576">
        <v>0.45900000000000002</v>
      </c>
      <c r="BL14" s="1001">
        <f t="shared" si="7"/>
        <v>101.25066666666665</v>
      </c>
      <c r="BN14" s="9"/>
      <c r="BO14" s="9"/>
      <c r="BP14" s="9"/>
      <c r="BQ14" s="9"/>
      <c r="BR14" s="9"/>
      <c r="BS14" s="9"/>
      <c r="BT14" s="9"/>
      <c r="BU14" s="9"/>
      <c r="BV14" s="9"/>
      <c r="BW14" s="9"/>
      <c r="BX14" s="9"/>
    </row>
    <row r="15" spans="1:76" s="960" customFormat="1" ht="13.15" customHeight="1">
      <c r="A15" s="846" t="s">
        <v>102</v>
      </c>
      <c r="B15" s="41" t="s">
        <v>157</v>
      </c>
      <c r="C15" s="12" t="s">
        <v>1481</v>
      </c>
      <c r="D15" s="34" t="s">
        <v>159</v>
      </c>
      <c r="E15" s="535">
        <v>19.405619999999999</v>
      </c>
      <c r="F15" s="537">
        <v>-155.29281800000001</v>
      </c>
      <c r="G15" s="7" t="s">
        <v>873</v>
      </c>
      <c r="H15" s="7">
        <v>2001</v>
      </c>
      <c r="I15" s="7" t="s">
        <v>44</v>
      </c>
      <c r="J15" s="11" t="s">
        <v>132</v>
      </c>
      <c r="K15" s="21">
        <v>87.198086573368712</v>
      </c>
      <c r="L15" s="9">
        <v>1.5</v>
      </c>
      <c r="M15" s="9">
        <v>0.73499999999999999</v>
      </c>
      <c r="N15" s="8">
        <f t="shared" si="0"/>
        <v>40.031560247321188</v>
      </c>
      <c r="O15" s="9">
        <f t="shared" si="1"/>
        <v>6.2855838480344317E-3</v>
      </c>
      <c r="P15" s="20" t="s">
        <v>64</v>
      </c>
      <c r="Q15" s="9">
        <f t="shared" si="2"/>
        <v>12.266151469337931</v>
      </c>
      <c r="R15" s="9">
        <f t="shared" si="3"/>
        <v>0.15283893356799516</v>
      </c>
      <c r="S15" s="9">
        <f t="shared" si="4"/>
        <v>46.891778787146976</v>
      </c>
      <c r="T15" s="9">
        <f t="shared" si="5"/>
        <v>0.22826593974440834</v>
      </c>
      <c r="U15" s="20" t="s">
        <v>64</v>
      </c>
      <c r="V15" s="20" t="s">
        <v>64</v>
      </c>
      <c r="W15" s="9">
        <f t="shared" si="9"/>
        <v>5.4254513214612991E-2</v>
      </c>
      <c r="X15" s="9">
        <f t="shared" si="9"/>
        <v>0.3688645258188627</v>
      </c>
      <c r="Y15" s="9">
        <f t="shared" si="10"/>
        <v>100.75966666666666</v>
      </c>
      <c r="Z15" s="603"/>
      <c r="AA15" s="608">
        <v>0.10364098550528882</v>
      </c>
      <c r="AB15" s="600" t="s">
        <v>309</v>
      </c>
      <c r="AC15" s="600" t="s">
        <v>64</v>
      </c>
      <c r="AD15" s="600">
        <v>9.8332989068081605E-2</v>
      </c>
      <c r="AE15" s="600">
        <v>6.6116447937029834E-3</v>
      </c>
      <c r="AF15" s="600">
        <v>6.1335653867467643E-2</v>
      </c>
      <c r="AG15" s="600">
        <v>3.8273073283783981E-3</v>
      </c>
      <c r="AH15" s="600" t="s">
        <v>64</v>
      </c>
      <c r="AI15" s="600" t="s">
        <v>64</v>
      </c>
      <c r="AJ15" s="600" t="s">
        <v>309</v>
      </c>
      <c r="AK15" s="609">
        <v>2.2934464250407523E-2</v>
      </c>
      <c r="AL15" s="603"/>
      <c r="AM15" s="614">
        <v>0.99658995775892334</v>
      </c>
      <c r="AN15" s="998">
        <v>1.1772169786147024E-4</v>
      </c>
      <c r="AO15" s="999" t="s">
        <v>64</v>
      </c>
      <c r="AP15" s="998">
        <v>0.25538221296685532</v>
      </c>
      <c r="AQ15" s="998">
        <v>3.2228048446907545E-3</v>
      </c>
      <c r="AR15" s="998">
        <v>1.7402890364706054</v>
      </c>
      <c r="AS15" s="998">
        <v>6.0887643904752077E-3</v>
      </c>
      <c r="AT15" s="999" t="s">
        <v>64</v>
      </c>
      <c r="AU15" s="999" t="s">
        <v>64</v>
      </c>
      <c r="AV15" s="998">
        <v>1.067881609202287E-3</v>
      </c>
      <c r="AW15" s="998">
        <v>0</v>
      </c>
      <c r="AX15" s="998">
        <v>3.0027583797386135</v>
      </c>
      <c r="AY15" s="998">
        <v>4</v>
      </c>
      <c r="AZ15" s="603"/>
      <c r="BA15" s="580">
        <v>40.335666666666668</v>
      </c>
      <c r="BB15" s="576">
        <v>6.3333333333333332E-3</v>
      </c>
      <c r="BC15" s="1000" t="s">
        <v>64</v>
      </c>
      <c r="BD15" s="576">
        <v>12.359333333333334</v>
      </c>
      <c r="BE15" s="576">
        <v>0.15400000000000003</v>
      </c>
      <c r="BF15" s="576">
        <v>47.247999999999998</v>
      </c>
      <c r="BG15" s="576">
        <v>0.23</v>
      </c>
      <c r="BH15" s="1000" t="s">
        <v>64</v>
      </c>
      <c r="BI15" s="1000" t="s">
        <v>64</v>
      </c>
      <c r="BJ15" s="576">
        <v>5.4666666666666662E-2</v>
      </c>
      <c r="BK15" s="576">
        <v>0.37166666666666665</v>
      </c>
      <c r="BL15" s="1001">
        <f t="shared" si="7"/>
        <v>100.75966666666666</v>
      </c>
      <c r="BN15" s="9"/>
      <c r="BO15" s="9"/>
      <c r="BP15" s="9"/>
      <c r="BQ15" s="9"/>
      <c r="BR15" s="9"/>
      <c r="BS15" s="9"/>
      <c r="BT15" s="9"/>
      <c r="BU15" s="9"/>
      <c r="BV15" s="9"/>
      <c r="BW15" s="9"/>
      <c r="BX15" s="9"/>
    </row>
    <row r="16" spans="1:76" s="960" customFormat="1" ht="13.15" customHeight="1">
      <c r="A16" s="846" t="s">
        <v>101</v>
      </c>
      <c r="B16" s="41" t="s">
        <v>157</v>
      </c>
      <c r="C16" s="12" t="s">
        <v>1481</v>
      </c>
      <c r="D16" s="34" t="s">
        <v>159</v>
      </c>
      <c r="E16" s="535">
        <v>19.405619999999999</v>
      </c>
      <c r="F16" s="537">
        <v>-155.29281800000001</v>
      </c>
      <c r="G16" s="7" t="s">
        <v>873</v>
      </c>
      <c r="H16" s="7">
        <v>2001</v>
      </c>
      <c r="I16" s="7" t="s">
        <v>43</v>
      </c>
      <c r="J16" s="11" t="s">
        <v>132</v>
      </c>
      <c r="K16" s="21">
        <v>88.70888477117785</v>
      </c>
      <c r="L16" s="9">
        <v>1.5</v>
      </c>
      <c r="M16" s="9">
        <v>0.92500000000000004</v>
      </c>
      <c r="N16" s="8">
        <f t="shared" si="0"/>
        <v>40.132377202291813</v>
      </c>
      <c r="O16" s="9">
        <f t="shared" si="1"/>
        <v>1.6200007273472657E-2</v>
      </c>
      <c r="P16" s="20" t="s">
        <v>64</v>
      </c>
      <c r="Q16" s="9">
        <f t="shared" si="2"/>
        <v>10.915498778387207</v>
      </c>
      <c r="R16" s="9">
        <f t="shared" si="3"/>
        <v>0.15241231332797739</v>
      </c>
      <c r="S16" s="9">
        <f t="shared" si="4"/>
        <v>48.117327726147138</v>
      </c>
      <c r="T16" s="9">
        <f t="shared" si="5"/>
        <v>0.20398784668842099</v>
      </c>
      <c r="U16" s="20" t="s">
        <v>64</v>
      </c>
      <c r="V16" s="20" t="s">
        <v>64</v>
      </c>
      <c r="W16" s="9">
        <f t="shared" si="9"/>
        <v>8.3975547907388856E-2</v>
      </c>
      <c r="X16" s="9">
        <f t="shared" si="9"/>
        <v>0.37822057797658604</v>
      </c>
      <c r="Y16" s="9">
        <f t="shared" si="10"/>
        <v>100.82299999999999</v>
      </c>
      <c r="Z16" s="603"/>
      <c r="AA16" s="608">
        <v>0.10390199877842241</v>
      </c>
      <c r="AB16" s="600" t="s">
        <v>309</v>
      </c>
      <c r="AC16" s="600" t="s">
        <v>64</v>
      </c>
      <c r="AD16" s="600">
        <v>8.7505329176058341E-2</v>
      </c>
      <c r="AE16" s="600">
        <v>6.5931896695866736E-3</v>
      </c>
      <c r="AF16" s="600">
        <v>6.2938703431046156E-2</v>
      </c>
      <c r="AG16" s="600">
        <v>3.420239486473135E-3</v>
      </c>
      <c r="AH16" s="600" t="s">
        <v>64</v>
      </c>
      <c r="AI16" s="600" t="s">
        <v>64</v>
      </c>
      <c r="AJ16" s="600" t="s">
        <v>309</v>
      </c>
      <c r="AK16" s="609">
        <v>2.3516184716098565E-2</v>
      </c>
      <c r="AL16" s="603"/>
      <c r="AM16" s="614">
        <v>0.99339401704652996</v>
      </c>
      <c r="AN16" s="998">
        <v>3.0167461536262374E-4</v>
      </c>
      <c r="AO16" s="999" t="s">
        <v>64</v>
      </c>
      <c r="AP16" s="998">
        <v>0.22596364575783864</v>
      </c>
      <c r="AQ16" s="998">
        <v>3.1954551701622418E-3</v>
      </c>
      <c r="AR16" s="998">
        <v>1.7755742654997713</v>
      </c>
      <c r="AS16" s="998">
        <v>5.4100965256046098E-3</v>
      </c>
      <c r="AT16" s="999" t="s">
        <v>64</v>
      </c>
      <c r="AU16" s="999" t="s">
        <v>64</v>
      </c>
      <c r="AV16" s="998">
        <v>1.6434358152253668E-3</v>
      </c>
      <c r="AW16" s="998">
        <v>0</v>
      </c>
      <c r="AX16" s="998">
        <v>3.0054825904304949</v>
      </c>
      <c r="AY16" s="998">
        <v>4</v>
      </c>
      <c r="AZ16" s="603"/>
      <c r="BA16" s="580">
        <v>40.462666666666671</v>
      </c>
      <c r="BB16" s="576">
        <v>1.6333333333333335E-2</v>
      </c>
      <c r="BC16" s="1000" t="s">
        <v>64</v>
      </c>
      <c r="BD16" s="576">
        <v>11.005333333333333</v>
      </c>
      <c r="BE16" s="576">
        <v>0.15366666666666665</v>
      </c>
      <c r="BF16" s="576">
        <v>48.513333333333328</v>
      </c>
      <c r="BG16" s="576">
        <v>0.20566666666666666</v>
      </c>
      <c r="BH16" s="1000" t="s">
        <v>64</v>
      </c>
      <c r="BI16" s="1000" t="s">
        <v>64</v>
      </c>
      <c r="BJ16" s="576">
        <v>8.4666666666666668E-2</v>
      </c>
      <c r="BK16" s="576">
        <v>0.3813333333333333</v>
      </c>
      <c r="BL16" s="1001">
        <f t="shared" si="7"/>
        <v>100.82299999999999</v>
      </c>
      <c r="BN16" s="9"/>
      <c r="BO16" s="9"/>
      <c r="BP16" s="9"/>
      <c r="BQ16" s="9"/>
      <c r="BR16" s="9"/>
      <c r="BS16" s="9"/>
      <c r="BT16" s="9"/>
      <c r="BU16" s="9"/>
      <c r="BV16" s="9"/>
      <c r="BW16" s="9"/>
      <c r="BX16" s="9"/>
    </row>
    <row r="17" spans="1:76" s="960" customFormat="1" ht="13.15" customHeight="1">
      <c r="A17" s="846" t="s">
        <v>97</v>
      </c>
      <c r="B17" s="41" t="s">
        <v>157</v>
      </c>
      <c r="C17" s="12" t="s">
        <v>1481</v>
      </c>
      <c r="D17" s="34" t="s">
        <v>159</v>
      </c>
      <c r="E17" s="535">
        <v>19.405619999999999</v>
      </c>
      <c r="F17" s="537">
        <v>-155.29281800000001</v>
      </c>
      <c r="G17" s="7" t="s">
        <v>874</v>
      </c>
      <c r="H17" s="7">
        <v>2001</v>
      </c>
      <c r="I17" s="7" t="s">
        <v>45</v>
      </c>
      <c r="J17" s="11" t="s">
        <v>132</v>
      </c>
      <c r="K17" s="21">
        <v>84.007375807925371</v>
      </c>
      <c r="L17" s="9">
        <v>1.7</v>
      </c>
      <c r="M17" s="9">
        <v>1.2</v>
      </c>
      <c r="N17" s="8">
        <f t="shared" si="0"/>
        <v>39.222867351496205</v>
      </c>
      <c r="O17" s="9">
        <f t="shared" si="1"/>
        <v>1.6872611781053048E-2</v>
      </c>
      <c r="P17" s="20" t="s">
        <v>64</v>
      </c>
      <c r="Q17" s="9">
        <f t="shared" si="2"/>
        <v>15.192298148975237</v>
      </c>
      <c r="R17" s="9">
        <f t="shared" si="3"/>
        <v>0.17616991712570093</v>
      </c>
      <c r="S17" s="9">
        <f t="shared" si="4"/>
        <v>44.784377946503895</v>
      </c>
      <c r="T17" s="9">
        <f t="shared" si="5"/>
        <v>0.25557044315418587</v>
      </c>
      <c r="U17" s="20" t="s">
        <v>64</v>
      </c>
      <c r="V17" s="20" t="s">
        <v>64</v>
      </c>
      <c r="W17" s="9">
        <f t="shared" si="9"/>
        <v>2.0842638082477296E-2</v>
      </c>
      <c r="X17" s="9">
        <f t="shared" si="9"/>
        <v>0.33100094288124654</v>
      </c>
      <c r="Y17" s="9">
        <f t="shared" si="10"/>
        <v>100.75500000000001</v>
      </c>
      <c r="Z17" s="603"/>
      <c r="AA17" s="608">
        <v>0.10154729422329499</v>
      </c>
      <c r="AB17" s="600" t="s">
        <v>309</v>
      </c>
      <c r="AC17" s="600" t="s">
        <v>64</v>
      </c>
      <c r="AD17" s="600">
        <v>0.12179077451771042</v>
      </c>
      <c r="AE17" s="600">
        <v>7.6209175776082022E-3</v>
      </c>
      <c r="AF17" s="600">
        <v>5.8579119313544432E-2</v>
      </c>
      <c r="AG17" s="600">
        <v>4.2851186256529158E-3</v>
      </c>
      <c r="AH17" s="600" t="s">
        <v>64</v>
      </c>
      <c r="AI17" s="600" t="s">
        <v>64</v>
      </c>
      <c r="AJ17" s="600" t="s">
        <v>309</v>
      </c>
      <c r="AK17" s="609">
        <v>2.0580263918056962E-2</v>
      </c>
      <c r="AL17" s="603"/>
      <c r="AM17" s="614">
        <v>0.99055396659339023</v>
      </c>
      <c r="AN17" s="998">
        <v>3.205664146310278E-4</v>
      </c>
      <c r="AO17" s="999" t="s">
        <v>64</v>
      </c>
      <c r="AP17" s="998">
        <v>0.32087110532460694</v>
      </c>
      <c r="AQ17" s="998">
        <v>3.7683963281325812E-3</v>
      </c>
      <c r="AR17" s="998">
        <v>1.6860716874652097</v>
      </c>
      <c r="AS17" s="998">
        <v>6.9154985395735577E-3</v>
      </c>
      <c r="AT17" s="999" t="s">
        <v>64</v>
      </c>
      <c r="AU17" s="999" t="s">
        <v>64</v>
      </c>
      <c r="AV17" s="998">
        <v>4.1616421762281968E-4</v>
      </c>
      <c r="AW17" s="998">
        <v>0</v>
      </c>
      <c r="AX17" s="998">
        <v>3.008917384883167</v>
      </c>
      <c r="AY17" s="998">
        <v>4</v>
      </c>
      <c r="AZ17" s="603"/>
      <c r="BA17" s="580">
        <v>39.519000000000005</v>
      </c>
      <c r="BB17" s="576">
        <v>1.7000000000000001E-2</v>
      </c>
      <c r="BC17" s="1000" t="s">
        <v>64</v>
      </c>
      <c r="BD17" s="576">
        <v>15.307</v>
      </c>
      <c r="BE17" s="576">
        <v>0.17749999999999999</v>
      </c>
      <c r="BF17" s="576">
        <v>45.122500000000002</v>
      </c>
      <c r="BG17" s="576">
        <v>0.25750000000000001</v>
      </c>
      <c r="BH17" s="1000" t="s">
        <v>64</v>
      </c>
      <c r="BI17" s="1000" t="s">
        <v>64</v>
      </c>
      <c r="BJ17" s="576">
        <v>2.1000000000000001E-2</v>
      </c>
      <c r="BK17" s="576">
        <v>0.33350000000000002</v>
      </c>
      <c r="BL17" s="1001">
        <f t="shared" si="7"/>
        <v>100.75500000000001</v>
      </c>
      <c r="BN17" s="9"/>
      <c r="BO17" s="9"/>
      <c r="BP17" s="9"/>
      <c r="BQ17" s="9"/>
      <c r="BR17" s="9"/>
      <c r="BS17" s="9"/>
      <c r="BT17" s="9"/>
      <c r="BU17" s="9"/>
      <c r="BV17" s="9"/>
      <c r="BW17" s="9"/>
      <c r="BX17" s="9"/>
    </row>
    <row r="18" spans="1:76" s="960" customFormat="1" ht="13.15" customHeight="1">
      <c r="A18" s="846" t="s">
        <v>100</v>
      </c>
      <c r="B18" s="41" t="s">
        <v>157</v>
      </c>
      <c r="C18" s="12" t="s">
        <v>1481</v>
      </c>
      <c r="D18" s="34" t="s">
        <v>159</v>
      </c>
      <c r="E18" s="535">
        <v>19.405619999999999</v>
      </c>
      <c r="F18" s="537">
        <v>-155.29281800000001</v>
      </c>
      <c r="G18" s="7" t="s">
        <v>873</v>
      </c>
      <c r="H18" s="7">
        <v>2001</v>
      </c>
      <c r="I18" s="7" t="s">
        <v>120</v>
      </c>
      <c r="J18" s="11" t="s">
        <v>132</v>
      </c>
      <c r="K18" s="21">
        <v>87.563287700881631</v>
      </c>
      <c r="L18" s="9">
        <v>1.7</v>
      </c>
      <c r="M18" s="847">
        <v>0.53</v>
      </c>
      <c r="N18" s="8">
        <f t="shared" si="0"/>
        <v>40.229373638633589</v>
      </c>
      <c r="O18" s="9">
        <f t="shared" si="1"/>
        <v>1.2617542368379109E-2</v>
      </c>
      <c r="P18" s="20" t="s">
        <v>64</v>
      </c>
      <c r="Q18" s="9">
        <f t="shared" si="2"/>
        <v>11.902658981033838</v>
      </c>
      <c r="R18" s="9">
        <f t="shared" si="3"/>
        <v>0.15207458959783243</v>
      </c>
      <c r="S18" s="9">
        <f t="shared" si="4"/>
        <v>47.028568772246715</v>
      </c>
      <c r="T18" s="9">
        <f t="shared" si="5"/>
        <v>0.22346331615576689</v>
      </c>
      <c r="U18" s="20" t="s">
        <v>64</v>
      </c>
      <c r="V18" s="20" t="s">
        <v>64</v>
      </c>
      <c r="W18" s="9">
        <f t="shared" si="9"/>
        <v>5.9435265366838443E-2</v>
      </c>
      <c r="X18" s="9">
        <f t="shared" si="9"/>
        <v>0.39180789459703552</v>
      </c>
      <c r="Y18" s="9">
        <f t="shared" si="10"/>
        <v>100.38933333333334</v>
      </c>
      <c r="Z18" s="603"/>
      <c r="AA18" s="608">
        <v>0.1041531207979204</v>
      </c>
      <c r="AB18" s="600" t="s">
        <v>309</v>
      </c>
      <c r="AC18" s="600" t="s">
        <v>64</v>
      </c>
      <c r="AD18" s="600">
        <v>9.5419010468674542E-2</v>
      </c>
      <c r="AE18" s="600">
        <v>6.5785801110795836E-3</v>
      </c>
      <c r="AF18" s="600">
        <v>6.1514578689592612E-2</v>
      </c>
      <c r="AG18" s="600">
        <v>3.7467823211134862E-3</v>
      </c>
      <c r="AH18" s="600" t="s">
        <v>64</v>
      </c>
      <c r="AI18" s="600" t="s">
        <v>64</v>
      </c>
      <c r="AJ18" s="600" t="s">
        <v>309</v>
      </c>
      <c r="AK18" s="609">
        <v>2.4360987632830362E-2</v>
      </c>
      <c r="AL18" s="603"/>
      <c r="AM18" s="614">
        <v>0.99961432240903569</v>
      </c>
      <c r="AN18" s="998">
        <v>2.3586357377334508E-4</v>
      </c>
      <c r="AO18" s="999" t="s">
        <v>64</v>
      </c>
      <c r="AP18" s="998">
        <v>0.24734408181152545</v>
      </c>
      <c r="AQ18" s="998">
        <v>3.200603472393869E-3</v>
      </c>
      <c r="AR18" s="998">
        <v>1.7420541422796303</v>
      </c>
      <c r="AS18" s="998">
        <v>5.9493497958853919E-3</v>
      </c>
      <c r="AT18" s="999" t="s">
        <v>64</v>
      </c>
      <c r="AU18" s="999" t="s">
        <v>64</v>
      </c>
      <c r="AV18" s="998">
        <v>1.1676337832978619E-3</v>
      </c>
      <c r="AW18" s="998">
        <v>0</v>
      </c>
      <c r="AX18" s="998">
        <v>2.9995659971255417</v>
      </c>
      <c r="AY18" s="998">
        <v>4</v>
      </c>
      <c r="AZ18" s="603"/>
      <c r="BA18" s="580">
        <v>40.386000000000003</v>
      </c>
      <c r="BB18" s="576">
        <v>1.2666666666666666E-2</v>
      </c>
      <c r="BC18" s="1000" t="s">
        <v>64</v>
      </c>
      <c r="BD18" s="576">
        <v>11.948999999999998</v>
      </c>
      <c r="BE18" s="576">
        <v>0.15266666666666667</v>
      </c>
      <c r="BF18" s="576">
        <v>47.211666666666666</v>
      </c>
      <c r="BG18" s="576">
        <v>0.22433333333333336</v>
      </c>
      <c r="BH18" s="1000" t="s">
        <v>64</v>
      </c>
      <c r="BI18" s="1000" t="s">
        <v>64</v>
      </c>
      <c r="BJ18" s="576">
        <v>5.9666666666666666E-2</v>
      </c>
      <c r="BK18" s="576">
        <v>0.39333333333333331</v>
      </c>
      <c r="BL18" s="1001">
        <f t="shared" si="7"/>
        <v>100.38933333333334</v>
      </c>
      <c r="BN18" s="9"/>
      <c r="BO18" s="9"/>
      <c r="BP18" s="9"/>
      <c r="BQ18" s="9"/>
      <c r="BR18" s="9"/>
      <c r="BS18" s="9"/>
      <c r="BT18" s="9"/>
      <c r="BU18" s="9"/>
      <c r="BV18" s="9"/>
      <c r="BW18" s="9"/>
      <c r="BX18" s="9"/>
    </row>
    <row r="19" spans="1:76" s="960" customFormat="1" ht="13.15" customHeight="1">
      <c r="A19" s="846" t="s">
        <v>96</v>
      </c>
      <c r="B19" s="41" t="s">
        <v>157</v>
      </c>
      <c r="C19" s="12" t="s">
        <v>1481</v>
      </c>
      <c r="D19" s="34" t="s">
        <v>159</v>
      </c>
      <c r="E19" s="535">
        <v>19.405619999999999</v>
      </c>
      <c r="F19" s="537">
        <v>-155.29281800000001</v>
      </c>
      <c r="G19" s="7" t="s">
        <v>873</v>
      </c>
      <c r="H19" s="7">
        <v>2001</v>
      </c>
      <c r="I19" s="7" t="s">
        <v>46</v>
      </c>
      <c r="J19" s="11" t="s">
        <v>132</v>
      </c>
      <c r="K19" s="21">
        <v>88.80905222748477</v>
      </c>
      <c r="L19" s="9">
        <v>1.4</v>
      </c>
      <c r="M19" s="9">
        <v>0.77</v>
      </c>
      <c r="N19" s="8">
        <f t="shared" si="0"/>
        <v>39.959477787394334</v>
      </c>
      <c r="O19" s="9">
        <f t="shared" si="1"/>
        <v>3.6476623458448145E-3</v>
      </c>
      <c r="P19" s="20" t="s">
        <v>64</v>
      </c>
      <c r="Q19" s="9">
        <f t="shared" si="2"/>
        <v>10.847816210874676</v>
      </c>
      <c r="R19" s="9">
        <f t="shared" si="3"/>
        <v>0.14225883148794777</v>
      </c>
      <c r="S19" s="9">
        <f t="shared" si="4"/>
        <v>48.311629742375551</v>
      </c>
      <c r="T19" s="9">
        <f t="shared" si="5"/>
        <v>0.21852813508288479</v>
      </c>
      <c r="U19" s="20" t="s">
        <v>64</v>
      </c>
      <c r="V19" s="20" t="s">
        <v>64</v>
      </c>
      <c r="W19" s="9">
        <f t="shared" si="9"/>
        <v>0.10777184203632409</v>
      </c>
      <c r="X19" s="9">
        <f t="shared" si="9"/>
        <v>0.40886978840242338</v>
      </c>
      <c r="Y19" s="9">
        <f t="shared" si="10"/>
        <v>100.52100000000002</v>
      </c>
      <c r="Z19" s="603"/>
      <c r="AA19" s="608">
        <v>0.10345436532015714</v>
      </c>
      <c r="AB19" s="600" t="s">
        <v>309</v>
      </c>
      <c r="AC19" s="600" t="s">
        <v>64</v>
      </c>
      <c r="AD19" s="600">
        <v>8.696274422690406E-2</v>
      </c>
      <c r="AE19" s="600">
        <v>6.1539611708107105E-3</v>
      </c>
      <c r="AF19" s="600">
        <v>6.3192855470516326E-2</v>
      </c>
      <c r="AG19" s="600">
        <v>3.6640347385864321E-3</v>
      </c>
      <c r="AH19" s="600" t="s">
        <v>64</v>
      </c>
      <c r="AI19" s="600" t="s">
        <v>64</v>
      </c>
      <c r="AJ19" s="600" t="s">
        <v>309</v>
      </c>
      <c r="AK19" s="609">
        <v>2.5421825328337234E-2</v>
      </c>
      <c r="AL19" s="603"/>
      <c r="AM19" s="614">
        <v>0.9897048320622357</v>
      </c>
      <c r="AN19" s="998">
        <v>6.7966893477504038E-5</v>
      </c>
      <c r="AO19" s="999" t="s">
        <v>64</v>
      </c>
      <c r="AP19" s="998">
        <v>0.22469661941048921</v>
      </c>
      <c r="AQ19" s="998">
        <v>2.9843595396548935E-3</v>
      </c>
      <c r="AR19" s="998">
        <v>1.7838086359571039</v>
      </c>
      <c r="AS19" s="998">
        <v>5.7991896526020043E-3</v>
      </c>
      <c r="AT19" s="999" t="s">
        <v>64</v>
      </c>
      <c r="AU19" s="999" t="s">
        <v>64</v>
      </c>
      <c r="AV19" s="998">
        <v>2.1103983524824866E-3</v>
      </c>
      <c r="AW19" s="998">
        <v>0</v>
      </c>
      <c r="AX19" s="998">
        <v>3.0091720018680461</v>
      </c>
      <c r="AY19" s="998">
        <v>4</v>
      </c>
      <c r="AZ19" s="603"/>
      <c r="BA19" s="580">
        <v>40.167666666666669</v>
      </c>
      <c r="BB19" s="576">
        <v>3.6666666666666666E-3</v>
      </c>
      <c r="BC19" s="1000" t="s">
        <v>64</v>
      </c>
      <c r="BD19" s="576">
        <v>10.904333333333334</v>
      </c>
      <c r="BE19" s="576">
        <v>0.14299999999999999</v>
      </c>
      <c r="BF19" s="576">
        <v>48.563333333333333</v>
      </c>
      <c r="BG19" s="576">
        <v>0.21966666666666668</v>
      </c>
      <c r="BH19" s="1000" t="s">
        <v>64</v>
      </c>
      <c r="BI19" s="1000" t="s">
        <v>64</v>
      </c>
      <c r="BJ19" s="576">
        <v>0.10833333333333334</v>
      </c>
      <c r="BK19" s="576">
        <v>0.41100000000000003</v>
      </c>
      <c r="BL19" s="1001">
        <f t="shared" si="7"/>
        <v>100.52100000000002</v>
      </c>
      <c r="BN19" s="9"/>
      <c r="BO19" s="9"/>
      <c r="BP19" s="9"/>
      <c r="BQ19" s="9"/>
      <c r="BR19" s="9"/>
      <c r="BS19" s="9"/>
      <c r="BT19" s="9"/>
      <c r="BU19" s="9"/>
      <c r="BV19" s="9"/>
      <c r="BW19" s="9"/>
      <c r="BX19" s="9"/>
    </row>
    <row r="20" spans="1:76" s="959" customFormat="1" ht="13.15" customHeight="1">
      <c r="A20" s="1002"/>
      <c r="C20" s="992"/>
      <c r="E20" s="1003"/>
      <c r="F20" s="1004"/>
      <c r="G20" s="992"/>
      <c r="H20" s="992"/>
      <c r="I20" s="992"/>
      <c r="J20" s="62"/>
      <c r="K20" s="992"/>
      <c r="L20" s="993"/>
      <c r="M20" s="993"/>
      <c r="N20" s="22"/>
      <c r="O20" s="993"/>
      <c r="P20" s="992"/>
      <c r="Q20" s="993"/>
      <c r="R20" s="993"/>
      <c r="S20" s="993"/>
      <c r="T20" s="993"/>
      <c r="U20" s="992"/>
      <c r="V20" s="992"/>
      <c r="W20" s="993"/>
      <c r="X20" s="993"/>
      <c r="Y20" s="993"/>
      <c r="Z20" s="603"/>
      <c r="AA20" s="610"/>
      <c r="AB20" s="994"/>
      <c r="AC20" s="994"/>
      <c r="AD20" s="994"/>
      <c r="AE20" s="994"/>
      <c r="AF20" s="994"/>
      <c r="AG20" s="994"/>
      <c r="AH20" s="994"/>
      <c r="AI20" s="994"/>
      <c r="AJ20" s="994"/>
      <c r="AK20" s="611"/>
      <c r="AL20" s="603"/>
      <c r="AM20" s="615"/>
      <c r="AN20" s="1005"/>
      <c r="AO20" s="1005"/>
      <c r="AP20" s="1005"/>
      <c r="AQ20" s="1005"/>
      <c r="AR20" s="1005"/>
      <c r="AS20" s="1005"/>
      <c r="AT20" s="1005"/>
      <c r="AU20" s="1005"/>
      <c r="AV20" s="1005"/>
      <c r="AW20" s="1005"/>
      <c r="AX20" s="1005"/>
      <c r="AY20" s="1005"/>
      <c r="AZ20" s="603"/>
      <c r="BA20" s="607"/>
      <c r="BB20" s="996"/>
      <c r="BC20" s="957"/>
      <c r="BD20" s="996"/>
      <c r="BE20" s="996"/>
      <c r="BF20" s="996"/>
      <c r="BG20" s="996"/>
      <c r="BH20" s="957"/>
      <c r="BI20" s="957"/>
      <c r="BJ20" s="996"/>
      <c r="BK20" s="996"/>
      <c r="BL20" s="997"/>
      <c r="BN20" s="1023"/>
      <c r="BO20" s="1023"/>
      <c r="BP20" s="1023"/>
      <c r="BQ20" s="1023"/>
      <c r="BR20" s="1023"/>
      <c r="BS20" s="1023"/>
      <c r="BT20" s="1023"/>
      <c r="BU20" s="1023"/>
      <c r="BV20" s="1023"/>
      <c r="BW20" s="1023"/>
      <c r="BX20" s="1023"/>
    </row>
    <row r="21" spans="1:76" s="959" customFormat="1" ht="13.15" customHeight="1">
      <c r="A21" s="837" t="s">
        <v>1479</v>
      </c>
      <c r="B21" s="3"/>
      <c r="C21" s="12"/>
      <c r="D21" s="3"/>
      <c r="E21" s="1003"/>
      <c r="F21" s="1004"/>
      <c r="G21" s="992"/>
      <c r="H21" s="992"/>
      <c r="I21" s="992"/>
      <c r="J21" s="62"/>
      <c r="K21" s="992"/>
      <c r="L21" s="993"/>
      <c r="M21" s="993"/>
      <c r="N21" s="22"/>
      <c r="O21" s="993"/>
      <c r="P21" s="992"/>
      <c r="Q21" s="993"/>
      <c r="R21" s="993"/>
      <c r="S21" s="993"/>
      <c r="T21" s="993"/>
      <c r="U21" s="992"/>
      <c r="V21" s="992"/>
      <c r="W21" s="993"/>
      <c r="X21" s="993"/>
      <c r="Y21" s="993"/>
      <c r="Z21" s="603"/>
      <c r="AA21" s="610"/>
      <c r="AB21" s="994"/>
      <c r="AC21" s="994"/>
      <c r="AD21" s="994"/>
      <c r="AE21" s="994"/>
      <c r="AF21" s="994"/>
      <c r="AG21" s="994"/>
      <c r="AH21" s="994"/>
      <c r="AI21" s="994"/>
      <c r="AJ21" s="994"/>
      <c r="AK21" s="611"/>
      <c r="AL21" s="603"/>
      <c r="AM21" s="615"/>
      <c r="AN21" s="1005"/>
      <c r="AO21" s="1005"/>
      <c r="AP21" s="1005"/>
      <c r="AQ21" s="1005"/>
      <c r="AR21" s="1005"/>
      <c r="AS21" s="1005"/>
      <c r="AT21" s="1005"/>
      <c r="AU21" s="1005"/>
      <c r="AV21" s="1005"/>
      <c r="AW21" s="1005"/>
      <c r="AX21" s="1005"/>
      <c r="AY21" s="1005"/>
      <c r="AZ21" s="603"/>
      <c r="BA21" s="607"/>
      <c r="BB21" s="996"/>
      <c r="BC21" s="957"/>
      <c r="BD21" s="996"/>
      <c r="BE21" s="996"/>
      <c r="BF21" s="996"/>
      <c r="BG21" s="996"/>
      <c r="BH21" s="957"/>
      <c r="BI21" s="957"/>
      <c r="BJ21" s="996"/>
      <c r="BK21" s="996"/>
      <c r="BL21" s="997"/>
      <c r="BN21" s="1023"/>
      <c r="BO21" s="1023"/>
      <c r="BP21" s="1023"/>
      <c r="BQ21" s="1023"/>
      <c r="BR21" s="1023"/>
      <c r="BS21" s="1023"/>
      <c r="BT21" s="1023"/>
      <c r="BU21" s="1023"/>
      <c r="BV21" s="1023"/>
      <c r="BW21" s="1023"/>
      <c r="BX21" s="1023"/>
    </row>
    <row r="22" spans="1:76" s="960" customFormat="1" ht="13.15" customHeight="1">
      <c r="A22" s="846" t="s">
        <v>79</v>
      </c>
      <c r="B22" s="41" t="s">
        <v>1480</v>
      </c>
      <c r="C22" s="41" t="s">
        <v>1482</v>
      </c>
      <c r="D22" s="34">
        <v>1790</v>
      </c>
      <c r="E22" s="535">
        <v>19.405619999999999</v>
      </c>
      <c r="F22" s="537">
        <v>-155.29281800000001</v>
      </c>
      <c r="G22" s="7" t="s">
        <v>874</v>
      </c>
      <c r="H22" s="7">
        <v>2001</v>
      </c>
      <c r="I22" s="7" t="s">
        <v>18</v>
      </c>
      <c r="J22" s="11" t="s">
        <v>132</v>
      </c>
      <c r="K22" s="21">
        <v>87.129740665263199</v>
      </c>
      <c r="L22" s="9">
        <v>0.97</v>
      </c>
      <c r="M22" s="9">
        <v>0.443</v>
      </c>
      <c r="N22" s="8">
        <f t="shared" ref="N22:O26" si="11">100*(BA22/$BL22)</f>
        <v>39.897405963711194</v>
      </c>
      <c r="O22" s="9">
        <f t="shared" si="11"/>
        <v>1.335602208195651E-2</v>
      </c>
      <c r="P22" s="20" t="s">
        <v>64</v>
      </c>
      <c r="Q22" s="9">
        <f t="shared" ref="Q22:T26" si="12">100*(BD22/$BL22)</f>
        <v>12.333544391460062</v>
      </c>
      <c r="R22" s="9">
        <f t="shared" si="12"/>
        <v>0.16571360731316409</v>
      </c>
      <c r="S22" s="9">
        <f t="shared" si="12"/>
        <v>46.855398800926025</v>
      </c>
      <c r="T22" s="9">
        <f t="shared" si="12"/>
        <v>0.22655770790874374</v>
      </c>
      <c r="U22" s="20" t="s">
        <v>64</v>
      </c>
      <c r="V22" s="20" t="s">
        <v>64</v>
      </c>
      <c r="W22" s="9">
        <f t="shared" ref="W22:W26" si="13">100*(BJ22/$BL22)</f>
        <v>0.11773086131502404</v>
      </c>
      <c r="X22" s="9">
        <f t="shared" ref="X22:X26" si="14">100*(BK22/$BL22)</f>
        <v>0.39029264528384028</v>
      </c>
      <c r="Y22" s="9">
        <f t="shared" ref="Y22:Y26" si="15">BL22</f>
        <v>101.07799999999999</v>
      </c>
      <c r="Z22" s="603"/>
      <c r="AA22" s="608">
        <v>0.10329366249121703</v>
      </c>
      <c r="AB22" s="600" t="s">
        <v>309</v>
      </c>
      <c r="AC22" s="600" t="s">
        <v>64</v>
      </c>
      <c r="AD22" s="600">
        <v>9.8873252042239984E-2</v>
      </c>
      <c r="AE22" s="600">
        <v>7.1685890725637167E-3</v>
      </c>
      <c r="AF22" s="600">
        <v>6.1288067908899506E-2</v>
      </c>
      <c r="AG22" s="600">
        <v>3.7986656123583516E-3</v>
      </c>
      <c r="AH22" s="600" t="s">
        <v>64</v>
      </c>
      <c r="AI22" s="600" t="s">
        <v>64</v>
      </c>
      <c r="AJ22" s="600" t="s">
        <v>309</v>
      </c>
      <c r="AK22" s="609">
        <v>2.4266775723656434E-2</v>
      </c>
      <c r="AL22" s="603"/>
      <c r="AM22" s="614">
        <v>0.99430955096088225</v>
      </c>
      <c r="AN22" s="998">
        <v>2.5040960511376687E-4</v>
      </c>
      <c r="AO22" s="999" t="s">
        <v>64</v>
      </c>
      <c r="AP22" s="998">
        <v>0.25705922025727945</v>
      </c>
      <c r="AQ22" s="998">
        <v>3.4980107700549072E-3</v>
      </c>
      <c r="AR22" s="998">
        <v>1.7407935835969661</v>
      </c>
      <c r="AS22" s="998">
        <v>6.049644564836692E-3</v>
      </c>
      <c r="AT22" s="999" t="s">
        <v>64</v>
      </c>
      <c r="AU22" s="999" t="s">
        <v>64</v>
      </c>
      <c r="AV22" s="998">
        <v>2.3197464525806571E-3</v>
      </c>
      <c r="AW22" s="998">
        <v>0</v>
      </c>
      <c r="AX22" s="998">
        <v>3.0042801662077139</v>
      </c>
      <c r="AY22" s="998">
        <v>4</v>
      </c>
      <c r="AZ22" s="603"/>
      <c r="BA22" s="580">
        <v>40.327500000000001</v>
      </c>
      <c r="BB22" s="576">
        <v>1.35E-2</v>
      </c>
      <c r="BC22" s="1000" t="s">
        <v>64</v>
      </c>
      <c r="BD22" s="576">
        <v>12.4665</v>
      </c>
      <c r="BE22" s="576">
        <v>0.16749999999999998</v>
      </c>
      <c r="BF22" s="576">
        <v>47.360500000000002</v>
      </c>
      <c r="BG22" s="576">
        <v>0.22899999999999998</v>
      </c>
      <c r="BH22" s="1000" t="s">
        <v>64</v>
      </c>
      <c r="BI22" s="1000" t="s">
        <v>64</v>
      </c>
      <c r="BJ22" s="576">
        <v>0.11899999999999999</v>
      </c>
      <c r="BK22" s="576">
        <v>0.39450000000000002</v>
      </c>
      <c r="BL22" s="1001">
        <f>SUM(BA22:BK22)</f>
        <v>101.07799999999999</v>
      </c>
      <c r="BN22" s="9"/>
      <c r="BO22" s="9"/>
      <c r="BP22" s="9"/>
      <c r="BQ22" s="9"/>
      <c r="BR22" s="9"/>
      <c r="BS22" s="9"/>
      <c r="BT22" s="9"/>
      <c r="BU22" s="9"/>
      <c r="BV22" s="9"/>
      <c r="BW22" s="9"/>
      <c r="BX22" s="9"/>
    </row>
    <row r="23" spans="1:76" s="960" customFormat="1" ht="13.15" customHeight="1">
      <c r="A23" s="846" t="s">
        <v>84</v>
      </c>
      <c r="B23" s="41" t="s">
        <v>1480</v>
      </c>
      <c r="C23" s="41" t="s">
        <v>1482</v>
      </c>
      <c r="D23" s="34">
        <v>1790</v>
      </c>
      <c r="E23" s="535">
        <v>19.405619999999999</v>
      </c>
      <c r="F23" s="537">
        <v>-155.29281800000001</v>
      </c>
      <c r="G23" s="7" t="s">
        <v>874</v>
      </c>
      <c r="H23" s="7">
        <v>2001</v>
      </c>
      <c r="I23" s="7" t="s">
        <v>23</v>
      </c>
      <c r="J23" s="11" t="s">
        <v>132</v>
      </c>
      <c r="K23" s="21">
        <v>89.023300422331843</v>
      </c>
      <c r="L23" s="9">
        <v>1.49</v>
      </c>
      <c r="M23" s="9">
        <v>0.875</v>
      </c>
      <c r="N23" s="8">
        <f t="shared" si="11"/>
        <v>39.628918936340064</v>
      </c>
      <c r="O23" s="9">
        <f t="shared" si="11"/>
        <v>2.2312463742246422E-2</v>
      </c>
      <c r="P23" s="20" t="s">
        <v>64</v>
      </c>
      <c r="Q23" s="9">
        <f t="shared" si="12"/>
        <v>10.71444508902673</v>
      </c>
      <c r="R23" s="9">
        <f t="shared" si="12"/>
        <v>0.12941228970502924</v>
      </c>
      <c r="S23" s="9">
        <f t="shared" si="12"/>
        <v>48.763641592415745</v>
      </c>
      <c r="T23" s="9">
        <f t="shared" si="12"/>
        <v>0.22510796753288609</v>
      </c>
      <c r="U23" s="20" t="s">
        <v>64</v>
      </c>
      <c r="V23" s="20" t="s">
        <v>64</v>
      </c>
      <c r="W23" s="9">
        <f t="shared" si="13"/>
        <v>8.0820701999692574E-2</v>
      </c>
      <c r="X23" s="9">
        <f t="shared" si="14"/>
        <v>0.43534095923760785</v>
      </c>
      <c r="Y23" s="9">
        <f t="shared" si="15"/>
        <v>100.84050000000001</v>
      </c>
      <c r="Z23" s="603"/>
      <c r="AA23" s="608">
        <v>0.10259855443296963</v>
      </c>
      <c r="AB23" s="600" t="s">
        <v>309</v>
      </c>
      <c r="AC23" s="600" t="s">
        <v>64</v>
      </c>
      <c r="AD23" s="600">
        <v>8.5893559560510924E-2</v>
      </c>
      <c r="AE23" s="600">
        <v>5.5982338498114809E-3</v>
      </c>
      <c r="AF23" s="600">
        <v>6.3784098607269718E-2</v>
      </c>
      <c r="AG23" s="600">
        <v>3.7743579912959237E-3</v>
      </c>
      <c r="AH23" s="600" t="s">
        <v>64</v>
      </c>
      <c r="AI23" s="600" t="s">
        <v>64</v>
      </c>
      <c r="AJ23" s="600" t="s">
        <v>309</v>
      </c>
      <c r="AK23" s="609">
        <v>2.7067692791027578E-2</v>
      </c>
      <c r="AL23" s="603"/>
      <c r="AM23" s="614">
        <v>0.98216545910914865</v>
      </c>
      <c r="AN23" s="998">
        <v>4.1602254171208328E-4</v>
      </c>
      <c r="AO23" s="999" t="s">
        <v>64</v>
      </c>
      <c r="AP23" s="998">
        <v>0.22208051115088734</v>
      </c>
      <c r="AQ23" s="998">
        <v>2.7166517703735428E-3</v>
      </c>
      <c r="AR23" s="998">
        <v>1.8016866043330422</v>
      </c>
      <c r="AS23" s="998">
        <v>5.9777447151576363E-3</v>
      </c>
      <c r="AT23" s="999" t="s">
        <v>64</v>
      </c>
      <c r="AU23" s="999" t="s">
        <v>64</v>
      </c>
      <c r="AV23" s="998">
        <v>1.5836831525452124E-3</v>
      </c>
      <c r="AW23" s="998">
        <v>0</v>
      </c>
      <c r="AX23" s="998">
        <v>3.0166266767728667</v>
      </c>
      <c r="AY23" s="998">
        <v>4</v>
      </c>
      <c r="AZ23" s="603"/>
      <c r="BA23" s="580">
        <v>39.962000000000003</v>
      </c>
      <c r="BB23" s="576">
        <v>2.2500000000000003E-2</v>
      </c>
      <c r="BC23" s="1000" t="s">
        <v>64</v>
      </c>
      <c r="BD23" s="576">
        <v>10.804500000000001</v>
      </c>
      <c r="BE23" s="576">
        <v>0.1305</v>
      </c>
      <c r="BF23" s="576">
        <v>49.173500000000004</v>
      </c>
      <c r="BG23" s="576">
        <v>0.22700000000000001</v>
      </c>
      <c r="BH23" s="1000" t="s">
        <v>64</v>
      </c>
      <c r="BI23" s="1000" t="s">
        <v>64</v>
      </c>
      <c r="BJ23" s="576">
        <v>8.1499999999999989E-2</v>
      </c>
      <c r="BK23" s="576">
        <v>0.439</v>
      </c>
      <c r="BL23" s="1001">
        <f>SUM(BA23:BK23)</f>
        <v>100.84050000000001</v>
      </c>
      <c r="BN23" s="9"/>
      <c r="BO23" s="9"/>
      <c r="BP23" s="9"/>
      <c r="BQ23" s="9"/>
      <c r="BR23" s="9"/>
      <c r="BS23" s="9"/>
      <c r="BT23" s="9"/>
      <c r="BU23" s="9"/>
      <c r="BV23" s="9"/>
      <c r="BW23" s="9"/>
      <c r="BX23" s="9"/>
    </row>
    <row r="24" spans="1:76" s="960" customFormat="1" ht="13.15" customHeight="1">
      <c r="A24" s="846" t="s">
        <v>81</v>
      </c>
      <c r="B24" s="41" t="s">
        <v>1480</v>
      </c>
      <c r="C24" s="41" t="s">
        <v>1482</v>
      </c>
      <c r="D24" s="34">
        <v>1790</v>
      </c>
      <c r="E24" s="535">
        <v>19.405619999999999</v>
      </c>
      <c r="F24" s="537">
        <v>-155.29281800000001</v>
      </c>
      <c r="G24" s="7" t="s">
        <v>874</v>
      </c>
      <c r="H24" s="7">
        <v>2001</v>
      </c>
      <c r="I24" s="7" t="s">
        <v>16</v>
      </c>
      <c r="J24" s="11" t="s">
        <v>132</v>
      </c>
      <c r="K24" s="21">
        <v>89.410743131702077</v>
      </c>
      <c r="L24" s="9">
        <v>1.28</v>
      </c>
      <c r="M24" s="9">
        <v>0.91</v>
      </c>
      <c r="N24" s="8">
        <f t="shared" si="11"/>
        <v>40.021866643027053</v>
      </c>
      <c r="O24" s="9">
        <f t="shared" si="11"/>
        <v>2.9057025644056364E-2</v>
      </c>
      <c r="P24" s="20" t="s">
        <v>64</v>
      </c>
      <c r="Q24" s="9">
        <f t="shared" si="12"/>
        <v>10.302931804638291</v>
      </c>
      <c r="R24" s="9">
        <f t="shared" si="12"/>
        <v>0.12016803825677547</v>
      </c>
      <c r="S24" s="9">
        <f t="shared" si="12"/>
        <v>48.817773049854964</v>
      </c>
      <c r="T24" s="9">
        <f t="shared" si="12"/>
        <v>0.21620397047018208</v>
      </c>
      <c r="U24" s="20" t="s">
        <v>64</v>
      </c>
      <c r="V24" s="20" t="s">
        <v>64</v>
      </c>
      <c r="W24" s="9">
        <f t="shared" si="13"/>
        <v>0.12312299001718799</v>
      </c>
      <c r="X24" s="9">
        <f t="shared" si="14"/>
        <v>0.36887647809149521</v>
      </c>
      <c r="Y24" s="9">
        <f t="shared" si="15"/>
        <v>101.52449999999999</v>
      </c>
      <c r="Z24" s="604"/>
      <c r="AA24" s="608">
        <v>0.10361588893908116</v>
      </c>
      <c r="AB24" s="600" t="s">
        <v>309</v>
      </c>
      <c r="AC24" s="600" t="s">
        <v>64</v>
      </c>
      <c r="AD24" s="600">
        <v>8.2594616823965461E-2</v>
      </c>
      <c r="AE24" s="600">
        <v>5.198337661499376E-3</v>
      </c>
      <c r="AF24" s="600">
        <v>6.3854903947197311E-2</v>
      </c>
      <c r="AG24" s="600">
        <v>3.6250657523920178E-3</v>
      </c>
      <c r="AH24" s="600" t="s">
        <v>64</v>
      </c>
      <c r="AI24" s="600" t="s">
        <v>64</v>
      </c>
      <c r="AJ24" s="600" t="s">
        <v>309</v>
      </c>
      <c r="AK24" s="609">
        <v>2.2935207393079735E-2</v>
      </c>
      <c r="AL24" s="604"/>
      <c r="AM24" s="614">
        <v>0.98844165182261379</v>
      </c>
      <c r="AN24" s="998">
        <v>5.398856169026154E-4</v>
      </c>
      <c r="AO24" s="999" t="s">
        <v>64</v>
      </c>
      <c r="AP24" s="998">
        <v>0.21280550370814413</v>
      </c>
      <c r="AQ24" s="998">
        <v>2.5137882293285317E-3</v>
      </c>
      <c r="AR24" s="998">
        <v>1.7973901138866424</v>
      </c>
      <c r="AS24" s="998">
        <v>5.7212566239338396E-3</v>
      </c>
      <c r="AT24" s="999" t="s">
        <v>64</v>
      </c>
      <c r="AU24" s="999" t="s">
        <v>64</v>
      </c>
      <c r="AV24" s="998">
        <v>2.4041751152791922E-3</v>
      </c>
      <c r="AW24" s="998">
        <v>0</v>
      </c>
      <c r="AX24" s="998">
        <v>3.0098163750028446</v>
      </c>
      <c r="AY24" s="998">
        <v>4</v>
      </c>
      <c r="AZ24" s="604"/>
      <c r="BA24" s="580">
        <v>40.631999999999998</v>
      </c>
      <c r="BB24" s="576">
        <v>2.9499999999999998E-2</v>
      </c>
      <c r="BC24" s="1000" t="s">
        <v>64</v>
      </c>
      <c r="BD24" s="576">
        <v>10.46</v>
      </c>
      <c r="BE24" s="576">
        <v>0.122</v>
      </c>
      <c r="BF24" s="576">
        <v>49.561999999999998</v>
      </c>
      <c r="BG24" s="576">
        <v>0.2195</v>
      </c>
      <c r="BH24" s="1000" t="s">
        <v>64</v>
      </c>
      <c r="BI24" s="1000" t="s">
        <v>64</v>
      </c>
      <c r="BJ24" s="576">
        <v>0.125</v>
      </c>
      <c r="BK24" s="576">
        <v>0.3745</v>
      </c>
      <c r="BL24" s="1001">
        <f>SUM(BA24:BK24)</f>
        <v>101.52449999999999</v>
      </c>
      <c r="BN24" s="9"/>
      <c r="BO24" s="9"/>
      <c r="BP24" s="9"/>
      <c r="BQ24" s="9"/>
      <c r="BR24" s="9"/>
      <c r="BS24" s="9"/>
      <c r="BT24" s="9"/>
      <c r="BU24" s="9"/>
      <c r="BV24" s="9"/>
      <c r="BW24" s="9"/>
      <c r="BX24" s="9"/>
    </row>
    <row r="25" spans="1:76" s="960" customFormat="1" ht="13.15" customHeight="1">
      <c r="A25" s="846" t="s">
        <v>83</v>
      </c>
      <c r="B25" s="41" t="s">
        <v>1480</v>
      </c>
      <c r="C25" s="41" t="s">
        <v>1482</v>
      </c>
      <c r="D25" s="34">
        <v>1790</v>
      </c>
      <c r="E25" s="535">
        <v>19.405619999999999</v>
      </c>
      <c r="F25" s="537">
        <v>-155.29281800000001</v>
      </c>
      <c r="G25" s="7" t="s">
        <v>874</v>
      </c>
      <c r="H25" s="7">
        <v>2001</v>
      </c>
      <c r="I25" s="7" t="s">
        <v>22</v>
      </c>
      <c r="J25" s="11" t="s">
        <v>132</v>
      </c>
      <c r="K25" s="21">
        <v>89.361335473885816</v>
      </c>
      <c r="L25" s="9">
        <v>0.65200000000000002</v>
      </c>
      <c r="M25" s="9">
        <v>0.625</v>
      </c>
      <c r="N25" s="8">
        <f t="shared" si="11"/>
        <v>40.250900840784738</v>
      </c>
      <c r="O25" s="9">
        <f t="shared" si="11"/>
        <v>8.4029044392049876E-3</v>
      </c>
      <c r="P25" s="20" t="s">
        <v>64</v>
      </c>
      <c r="Q25" s="9">
        <f t="shared" si="12"/>
        <v>10.304926573443856</v>
      </c>
      <c r="R25" s="9">
        <f t="shared" si="12"/>
        <v>0.13148074004873686</v>
      </c>
      <c r="S25" s="9">
        <f t="shared" si="12"/>
        <v>48.570764812590525</v>
      </c>
      <c r="T25" s="9">
        <f t="shared" si="12"/>
        <v>0.20512972601588647</v>
      </c>
      <c r="U25" s="20" t="s">
        <v>64</v>
      </c>
      <c r="V25" s="20" t="s">
        <v>64</v>
      </c>
      <c r="W25" s="9">
        <f t="shared" si="13"/>
        <v>0.11764066214886983</v>
      </c>
      <c r="X25" s="9">
        <f t="shared" si="14"/>
        <v>0.41075374052819674</v>
      </c>
      <c r="Y25" s="9">
        <f t="shared" si="15"/>
        <v>101.15549999999999</v>
      </c>
      <c r="Z25" s="604"/>
      <c r="AA25" s="608">
        <v>0.10420885433496797</v>
      </c>
      <c r="AB25" s="600" t="s">
        <v>309</v>
      </c>
      <c r="AC25" s="600" t="s">
        <v>64</v>
      </c>
      <c r="AD25" s="600">
        <v>8.2610608113461714E-2</v>
      </c>
      <c r="AE25" s="600">
        <v>5.6877127451868108E-3</v>
      </c>
      <c r="AF25" s="600">
        <v>6.3531810813707193E-2</v>
      </c>
      <c r="AG25" s="600">
        <v>3.4393852386735112E-3</v>
      </c>
      <c r="AH25" s="600" t="s">
        <v>64</v>
      </c>
      <c r="AI25" s="600" t="s">
        <v>64</v>
      </c>
      <c r="AJ25" s="600" t="s">
        <v>309</v>
      </c>
      <c r="AK25" s="609">
        <v>2.5538961647103887E-2</v>
      </c>
      <c r="AL25" s="604"/>
      <c r="AM25" s="614">
        <v>0.9937813574383898</v>
      </c>
      <c r="AN25" s="998">
        <v>1.5607795607708912E-4</v>
      </c>
      <c r="AO25" s="999" t="s">
        <v>64</v>
      </c>
      <c r="AP25" s="998">
        <v>0.21277885900744159</v>
      </c>
      <c r="AQ25" s="998">
        <v>2.7495612616116249E-3</v>
      </c>
      <c r="AR25" s="998">
        <v>1.7877256453070611</v>
      </c>
      <c r="AS25" s="998">
        <v>5.4264762491720029E-3</v>
      </c>
      <c r="AT25" s="999" t="s">
        <v>64</v>
      </c>
      <c r="AU25" s="999" t="s">
        <v>64</v>
      </c>
      <c r="AV25" s="998">
        <v>2.2963915905201675E-3</v>
      </c>
      <c r="AW25" s="998">
        <v>0</v>
      </c>
      <c r="AX25" s="998">
        <v>3.0049143688102737</v>
      </c>
      <c r="AY25" s="998">
        <v>4</v>
      </c>
      <c r="AZ25" s="604"/>
      <c r="BA25" s="580">
        <v>40.716000000000001</v>
      </c>
      <c r="BB25" s="576">
        <v>8.5000000000000006E-3</v>
      </c>
      <c r="BC25" s="1000" t="s">
        <v>64</v>
      </c>
      <c r="BD25" s="576">
        <v>10.423999999999999</v>
      </c>
      <c r="BE25" s="576">
        <v>0.13300000000000001</v>
      </c>
      <c r="BF25" s="576">
        <v>49.132000000000005</v>
      </c>
      <c r="BG25" s="576">
        <v>0.20750000000000002</v>
      </c>
      <c r="BH25" s="1000" t="s">
        <v>64</v>
      </c>
      <c r="BI25" s="1000" t="s">
        <v>64</v>
      </c>
      <c r="BJ25" s="576">
        <v>0.11899999999999999</v>
      </c>
      <c r="BK25" s="576">
        <v>0.41549999999999998</v>
      </c>
      <c r="BL25" s="1001">
        <f>SUM(BA25:BK25)</f>
        <v>101.15549999999999</v>
      </c>
      <c r="BN25" s="9"/>
      <c r="BO25" s="9"/>
      <c r="BP25" s="9"/>
      <c r="BQ25" s="9"/>
      <c r="BR25" s="9"/>
      <c r="BS25" s="9"/>
      <c r="BT25" s="9"/>
      <c r="BU25" s="9"/>
      <c r="BV25" s="9"/>
      <c r="BW25" s="9"/>
      <c r="BX25" s="9"/>
    </row>
    <row r="26" spans="1:76" s="960" customFormat="1" ht="13.15" customHeight="1">
      <c r="A26" s="846" t="s">
        <v>80</v>
      </c>
      <c r="B26" s="41" t="s">
        <v>1480</v>
      </c>
      <c r="C26" s="41" t="s">
        <v>1482</v>
      </c>
      <c r="D26" s="34">
        <v>1790</v>
      </c>
      <c r="E26" s="535">
        <v>19.405619999999999</v>
      </c>
      <c r="F26" s="537">
        <v>-155.29281800000001</v>
      </c>
      <c r="G26" s="7" t="s">
        <v>874</v>
      </c>
      <c r="H26" s="7">
        <v>2001</v>
      </c>
      <c r="I26" s="7" t="s">
        <v>116</v>
      </c>
      <c r="J26" s="11" t="s">
        <v>132</v>
      </c>
      <c r="K26" s="21">
        <v>89.477067170609189</v>
      </c>
      <c r="L26" s="9">
        <v>0.9</v>
      </c>
      <c r="M26" s="847">
        <v>0.67500000000000004</v>
      </c>
      <c r="N26" s="8">
        <f t="shared" si="11"/>
        <v>40.324315523034642</v>
      </c>
      <c r="O26" s="9">
        <f t="shared" si="11"/>
        <v>1.1101626758374328E-2</v>
      </c>
      <c r="P26" s="20" t="s">
        <v>64</v>
      </c>
      <c r="Q26" s="9">
        <f t="shared" si="12"/>
        <v>10.171803841656265</v>
      </c>
      <c r="R26" s="9">
        <f t="shared" si="12"/>
        <v>0.15492936898353507</v>
      </c>
      <c r="S26" s="9">
        <f t="shared" si="12"/>
        <v>48.535325376345149</v>
      </c>
      <c r="T26" s="9">
        <f t="shared" si="12"/>
        <v>0.22178583235063376</v>
      </c>
      <c r="U26" s="20" t="s">
        <v>64</v>
      </c>
      <c r="V26" s="20" t="s">
        <v>64</v>
      </c>
      <c r="W26" s="9">
        <f t="shared" si="13"/>
        <v>0.11915746053988445</v>
      </c>
      <c r="X26" s="9">
        <f t="shared" si="14"/>
        <v>0.46158097033151929</v>
      </c>
      <c r="Y26" s="9">
        <f t="shared" si="15"/>
        <v>101.33649999999999</v>
      </c>
      <c r="Z26" s="603"/>
      <c r="AA26" s="608">
        <v>0.10439892361960064</v>
      </c>
      <c r="AB26" s="600" t="s">
        <v>309</v>
      </c>
      <c r="AC26" s="600" t="s">
        <v>64</v>
      </c>
      <c r="AD26" s="600">
        <v>8.1543414694050201E-2</v>
      </c>
      <c r="AE26" s="600">
        <v>6.7020747391957529E-3</v>
      </c>
      <c r="AF26" s="600">
        <v>6.3485455118721265E-2</v>
      </c>
      <c r="AG26" s="600">
        <v>3.7186561535923444E-3</v>
      </c>
      <c r="AH26" s="600" t="s">
        <v>64</v>
      </c>
      <c r="AI26" s="600" t="s">
        <v>64</v>
      </c>
      <c r="AJ26" s="600" t="s">
        <v>309</v>
      </c>
      <c r="AK26" s="609">
        <v>2.8699187701056235E-2</v>
      </c>
      <c r="AL26" s="603"/>
      <c r="AM26" s="614">
        <v>0.9954327665331657</v>
      </c>
      <c r="AN26" s="998">
        <v>2.0617141598673001E-4</v>
      </c>
      <c r="AO26" s="999" t="s">
        <v>64</v>
      </c>
      <c r="AP26" s="998">
        <v>0.20999610409420033</v>
      </c>
      <c r="AQ26" s="998">
        <v>3.2394009088424947E-3</v>
      </c>
      <c r="AR26" s="998">
        <v>1.7861320387973727</v>
      </c>
      <c r="AS26" s="998">
        <v>5.8661449998186465E-3</v>
      </c>
      <c r="AT26" s="999" t="s">
        <v>64</v>
      </c>
      <c r="AU26" s="999" t="s">
        <v>64</v>
      </c>
      <c r="AV26" s="998">
        <v>2.3256235343073303E-3</v>
      </c>
      <c r="AW26" s="998">
        <v>0</v>
      </c>
      <c r="AX26" s="998">
        <v>3.0031982502836936</v>
      </c>
      <c r="AY26" s="998">
        <v>4</v>
      </c>
      <c r="AZ26" s="603"/>
      <c r="BA26" s="580">
        <v>40.863249999999994</v>
      </c>
      <c r="BB26" s="576">
        <v>1.125E-2</v>
      </c>
      <c r="BC26" s="1000" t="s">
        <v>64</v>
      </c>
      <c r="BD26" s="576">
        <v>10.30775</v>
      </c>
      <c r="BE26" s="576">
        <v>0.157</v>
      </c>
      <c r="BF26" s="576">
        <v>49.183999999999997</v>
      </c>
      <c r="BG26" s="576">
        <v>0.22474999999999998</v>
      </c>
      <c r="BH26" s="1000" t="s">
        <v>64</v>
      </c>
      <c r="BI26" s="1000" t="s">
        <v>64</v>
      </c>
      <c r="BJ26" s="576">
        <v>0.12075</v>
      </c>
      <c r="BK26" s="576">
        <v>0.46775</v>
      </c>
      <c r="BL26" s="1001">
        <f>SUM(BA26:BK26)</f>
        <v>101.33649999999999</v>
      </c>
      <c r="BN26" s="9"/>
      <c r="BO26" s="9"/>
      <c r="BP26" s="9"/>
      <c r="BQ26" s="9"/>
      <c r="BR26" s="9"/>
      <c r="BS26" s="9"/>
      <c r="BT26" s="9"/>
      <c r="BU26" s="9"/>
      <c r="BV26" s="9"/>
      <c r="BW26" s="9"/>
      <c r="BX26" s="9"/>
    </row>
    <row r="27" spans="1:76" ht="13.15" customHeight="1">
      <c r="A27" s="846"/>
      <c r="B27" s="3"/>
      <c r="C27" s="12"/>
      <c r="D27"/>
      <c r="E27" s="535"/>
      <c r="F27" s="537"/>
      <c r="G27" s="7"/>
      <c r="H27" s="7"/>
      <c r="I27" s="7"/>
      <c r="J27" s="11"/>
      <c r="K27" s="21"/>
      <c r="L27" s="9"/>
      <c r="M27" s="9"/>
      <c r="N27" s="8"/>
      <c r="O27" s="9"/>
      <c r="P27" s="7"/>
      <c r="Q27" s="9"/>
      <c r="R27" s="9"/>
      <c r="S27" s="9"/>
      <c r="T27" s="9"/>
      <c r="U27" s="7"/>
      <c r="V27" s="7"/>
      <c r="W27" s="9"/>
      <c r="X27" s="9"/>
      <c r="Y27" s="9"/>
      <c r="Z27" s="603"/>
      <c r="AL27" s="603"/>
      <c r="AM27" s="616"/>
      <c r="AN27" s="23"/>
      <c r="AO27" s="23"/>
      <c r="AP27" s="23"/>
      <c r="AQ27" s="23"/>
      <c r="AR27" s="23"/>
      <c r="AS27" s="23"/>
      <c r="AT27" s="23"/>
      <c r="AU27" s="23"/>
      <c r="AV27" s="23"/>
      <c r="AW27" s="23"/>
      <c r="AX27" s="23"/>
      <c r="AY27" s="23"/>
      <c r="AZ27" s="603"/>
      <c r="BA27" s="580"/>
      <c r="BB27" s="576"/>
      <c r="BC27" s="577"/>
      <c r="BD27" s="576"/>
      <c r="BE27" s="576"/>
      <c r="BF27" s="576"/>
      <c r="BG27" s="576"/>
      <c r="BH27" s="577"/>
      <c r="BI27" s="577"/>
      <c r="BJ27" s="576"/>
      <c r="BK27" s="576"/>
      <c r="BL27" s="1001"/>
      <c r="BN27" s="34"/>
      <c r="BO27" s="34"/>
      <c r="BP27" s="34"/>
      <c r="BQ27" s="34"/>
      <c r="BR27" s="34"/>
      <c r="BS27" s="34"/>
      <c r="BT27" s="34"/>
      <c r="BU27" s="34"/>
      <c r="BV27" s="34"/>
      <c r="BW27" s="34"/>
      <c r="BX27" s="34"/>
    </row>
    <row r="28" spans="1:76" ht="13.15" customHeight="1">
      <c r="A28" s="858" t="s">
        <v>1483</v>
      </c>
      <c r="B28"/>
      <c r="D28"/>
      <c r="E28" s="535"/>
      <c r="F28" s="537"/>
      <c r="H28"/>
      <c r="J28" s="39"/>
      <c r="K28"/>
      <c r="L28" s="26"/>
      <c r="N28" s="5"/>
      <c r="O28"/>
      <c r="P28"/>
      <c r="Q28"/>
      <c r="R28"/>
      <c r="S28"/>
      <c r="T28"/>
      <c r="U28"/>
      <c r="V28"/>
      <c r="W28"/>
      <c r="X28"/>
      <c r="Z28" s="603"/>
      <c r="AL28" s="603"/>
      <c r="AM28" s="617"/>
      <c r="AN28" s="1006"/>
      <c r="AO28" s="1006"/>
      <c r="AP28" s="1006"/>
      <c r="AQ28" s="1006"/>
      <c r="AR28" s="1006"/>
      <c r="AS28" s="1006"/>
      <c r="AT28" s="1006"/>
      <c r="AU28" s="1006"/>
      <c r="AV28" s="1006"/>
      <c r="AW28" s="1006"/>
      <c r="AX28" s="1006"/>
      <c r="AY28" s="1006"/>
      <c r="AZ28" s="603"/>
      <c r="BC28" s="796"/>
      <c r="BH28" s="796"/>
      <c r="BI28" s="796"/>
      <c r="BL28" s="593"/>
      <c r="BN28" s="34"/>
      <c r="BO28" s="34"/>
      <c r="BP28" s="34"/>
      <c r="BQ28" s="34"/>
      <c r="BR28" s="34"/>
      <c r="BS28" s="34"/>
      <c r="BT28" s="34"/>
      <c r="BU28" s="34"/>
      <c r="BV28" s="34"/>
      <c r="BW28" s="34"/>
      <c r="BX28" s="34"/>
    </row>
    <row r="29" spans="1:76" s="960" customFormat="1" ht="13.15" customHeight="1">
      <c r="A29" s="846" t="s">
        <v>294</v>
      </c>
      <c r="B29" s="41" t="s">
        <v>158</v>
      </c>
      <c r="C29" s="41" t="s">
        <v>1484</v>
      </c>
      <c r="D29" s="34">
        <v>1650</v>
      </c>
      <c r="E29" s="535">
        <v>19.370640000000002</v>
      </c>
      <c r="F29" s="537">
        <v>-155.24653000000001</v>
      </c>
      <c r="G29" s="7" t="s">
        <v>874</v>
      </c>
      <c r="H29" s="7">
        <v>2001</v>
      </c>
      <c r="I29" s="7" t="s">
        <v>137</v>
      </c>
      <c r="J29" s="11" t="s">
        <v>132</v>
      </c>
      <c r="K29" s="21">
        <v>84.066131079759288</v>
      </c>
      <c r="L29" s="9">
        <v>1.73</v>
      </c>
      <c r="M29" s="9">
        <v>0.82499999999999996</v>
      </c>
      <c r="N29" s="8">
        <f t="shared" ref="N29:O36" si="16">100*(BA29/$BL29)</f>
        <v>39.288767058684812</v>
      </c>
      <c r="O29" s="9">
        <f t="shared" si="16"/>
        <v>1.4737524685353845E-2</v>
      </c>
      <c r="P29" s="20" t="s">
        <v>64</v>
      </c>
      <c r="Q29" s="9">
        <f t="shared" ref="Q29:T36" si="17">100*(BD29/$BL29)</f>
        <v>15.118735323881666</v>
      </c>
      <c r="R29" s="9">
        <f t="shared" si="17"/>
        <v>0.18569281103545845</v>
      </c>
      <c r="S29" s="9">
        <f t="shared" si="17"/>
        <v>44.761301225179544</v>
      </c>
      <c r="T29" s="9">
        <f t="shared" si="17"/>
        <v>0.25495917705662152</v>
      </c>
      <c r="U29" s="20" t="s">
        <v>64</v>
      </c>
      <c r="V29" s="20" t="s">
        <v>64</v>
      </c>
      <c r="W29" s="9">
        <f t="shared" ref="W29:X36" si="18">100*(BJ29/$BL29)</f>
        <v>4.2247570764681018E-2</v>
      </c>
      <c r="X29" s="9">
        <f t="shared" si="18"/>
        <v>0.33355930871184203</v>
      </c>
      <c r="Y29" s="9">
        <f t="shared" ref="Y29:Y36" si="19">BL29</f>
        <v>101.78100000000002</v>
      </c>
      <c r="Z29" s="603"/>
      <c r="AA29" s="608">
        <v>0.10171790737340307</v>
      </c>
      <c r="AB29" s="600" t="s">
        <v>309</v>
      </c>
      <c r="AC29" s="600" t="s">
        <v>64</v>
      </c>
      <c r="AD29" s="600">
        <v>0.12120104981931375</v>
      </c>
      <c r="AE29" s="600">
        <v>8.0328675334839644E-3</v>
      </c>
      <c r="AF29" s="600">
        <v>5.8548934367949355E-2</v>
      </c>
      <c r="AG29" s="600">
        <v>4.2748696011273256E-3</v>
      </c>
      <c r="AH29" s="600" t="s">
        <v>64</v>
      </c>
      <c r="AI29" s="600" t="s">
        <v>64</v>
      </c>
      <c r="AJ29" s="600" t="s">
        <v>309</v>
      </c>
      <c r="AK29" s="609">
        <v>2.0739332480020196E-2</v>
      </c>
      <c r="AL29" s="603"/>
      <c r="AM29" s="614">
        <v>0.99180833008032654</v>
      </c>
      <c r="AN29" s="998">
        <v>2.7988575838340291E-4</v>
      </c>
      <c r="AO29" s="999" t="s">
        <v>64</v>
      </c>
      <c r="AP29" s="998">
        <v>0.31918549617282244</v>
      </c>
      <c r="AQ29" s="998">
        <v>3.9704566775591804E-3</v>
      </c>
      <c r="AR29" s="998">
        <v>1.68450669639324</v>
      </c>
      <c r="AS29" s="998">
        <v>6.8961081804937005E-3</v>
      </c>
      <c r="AT29" s="999" t="s">
        <v>64</v>
      </c>
      <c r="AU29" s="999" t="s">
        <v>64</v>
      </c>
      <c r="AV29" s="998">
        <v>8.432072656430926E-4</v>
      </c>
      <c r="AW29" s="998">
        <v>0</v>
      </c>
      <c r="AX29" s="998">
        <v>3.0074901805284684</v>
      </c>
      <c r="AY29" s="998">
        <v>4</v>
      </c>
      <c r="AZ29" s="603"/>
      <c r="BA29" s="580">
        <v>39.988500000000002</v>
      </c>
      <c r="BB29" s="576">
        <v>1.4999999999999999E-2</v>
      </c>
      <c r="BC29" s="1000" t="s">
        <v>64</v>
      </c>
      <c r="BD29" s="576">
        <v>15.388</v>
      </c>
      <c r="BE29" s="576">
        <v>0.189</v>
      </c>
      <c r="BF29" s="576">
        <v>45.558500000000002</v>
      </c>
      <c r="BG29" s="576">
        <v>0.25950000000000001</v>
      </c>
      <c r="BH29" s="1000" t="s">
        <v>64</v>
      </c>
      <c r="BI29" s="1000" t="s">
        <v>64</v>
      </c>
      <c r="BJ29" s="576">
        <v>4.2999999999999997E-2</v>
      </c>
      <c r="BK29" s="576">
        <v>0.33950000000000002</v>
      </c>
      <c r="BL29" s="1001">
        <f t="shared" ref="BL29:BL36" si="20">SUM(BA29:BK29)</f>
        <v>101.78100000000002</v>
      </c>
      <c r="BN29" s="9"/>
      <c r="BO29" s="9"/>
      <c r="BP29" s="9"/>
      <c r="BQ29" s="9"/>
      <c r="BR29" s="9"/>
      <c r="BS29" s="9"/>
      <c r="BT29" s="9"/>
      <c r="BU29" s="9"/>
      <c r="BV29" s="9"/>
      <c r="BW29" s="9"/>
      <c r="BX29" s="9"/>
    </row>
    <row r="30" spans="1:76" s="960" customFormat="1" ht="13.15" customHeight="1">
      <c r="A30" s="846" t="s">
        <v>295</v>
      </c>
      <c r="B30" s="41" t="s">
        <v>158</v>
      </c>
      <c r="C30" s="41" t="s">
        <v>1484</v>
      </c>
      <c r="D30" s="34">
        <v>1650</v>
      </c>
      <c r="E30" s="535">
        <v>19.370640000000002</v>
      </c>
      <c r="F30" s="537">
        <v>-155.24653000000001</v>
      </c>
      <c r="G30" s="7" t="s">
        <v>873</v>
      </c>
      <c r="H30" s="7">
        <v>2001</v>
      </c>
      <c r="I30" s="7" t="s">
        <v>296</v>
      </c>
      <c r="J30" s="11" t="s">
        <v>132</v>
      </c>
      <c r="K30" s="21">
        <v>84.15784922471687</v>
      </c>
      <c r="L30" s="9">
        <v>1.46</v>
      </c>
      <c r="M30" s="847">
        <v>1.59</v>
      </c>
      <c r="N30" s="8">
        <f t="shared" si="16"/>
        <v>39.477930707166585</v>
      </c>
      <c r="O30" s="9">
        <f t="shared" si="16"/>
        <v>2.062091877649215E-2</v>
      </c>
      <c r="P30" s="20" t="s">
        <v>64</v>
      </c>
      <c r="Q30" s="9">
        <f t="shared" si="17"/>
        <v>15.009410339917842</v>
      </c>
      <c r="R30" s="9">
        <f t="shared" si="17"/>
        <v>0.22584815802824731</v>
      </c>
      <c r="S30" s="9">
        <f t="shared" si="17"/>
        <v>44.742484002422131</v>
      </c>
      <c r="T30" s="9">
        <f t="shared" si="17"/>
        <v>0.24515981212051779</v>
      </c>
      <c r="U30" s="20" t="s">
        <v>64</v>
      </c>
      <c r="V30" s="20" t="s">
        <v>64</v>
      </c>
      <c r="W30" s="9">
        <f t="shared" si="18"/>
        <v>2.4876029000212751E-2</v>
      </c>
      <c r="X30" s="9">
        <f t="shared" si="18"/>
        <v>0.253670032567959</v>
      </c>
      <c r="Y30" s="9">
        <f t="shared" si="19"/>
        <v>101.83833333333335</v>
      </c>
      <c r="Z30" s="603"/>
      <c r="AA30" s="608">
        <v>0.10220764863827768</v>
      </c>
      <c r="AB30" s="600" t="s">
        <v>309</v>
      </c>
      <c r="AC30" s="600" t="s">
        <v>64</v>
      </c>
      <c r="AD30" s="600">
        <v>0.12032463373397063</v>
      </c>
      <c r="AE30" s="600">
        <v>9.7699438443841352E-3</v>
      </c>
      <c r="AF30" s="600">
        <v>5.8524320956139263E-2</v>
      </c>
      <c r="AG30" s="600">
        <v>4.1105648376772944E-3</v>
      </c>
      <c r="AH30" s="600" t="s">
        <v>64</v>
      </c>
      <c r="AI30" s="600" t="s">
        <v>64</v>
      </c>
      <c r="AJ30" s="600" t="s">
        <v>309</v>
      </c>
      <c r="AK30" s="609">
        <v>1.5772149084855323E-2</v>
      </c>
      <c r="AL30" s="603"/>
      <c r="AM30" s="614">
        <v>0.99488451393674893</v>
      </c>
      <c r="AN30" s="998">
        <v>3.9095178975121441E-4</v>
      </c>
      <c r="AO30" s="999" t="s">
        <v>64</v>
      </c>
      <c r="AP30" s="998">
        <v>0.31633719148106693</v>
      </c>
      <c r="AQ30" s="998">
        <v>4.8208194106925265E-3</v>
      </c>
      <c r="AR30" s="998">
        <v>1.6809278362409079</v>
      </c>
      <c r="AS30" s="998">
        <v>6.6197507266971059E-3</v>
      </c>
      <c r="AT30" s="999" t="s">
        <v>64</v>
      </c>
      <c r="AU30" s="999" t="s">
        <v>64</v>
      </c>
      <c r="AV30" s="998">
        <v>4.9564712508940519E-4</v>
      </c>
      <c r="AW30" s="998">
        <v>0</v>
      </c>
      <c r="AX30" s="998">
        <v>3.004476710710954</v>
      </c>
      <c r="AY30" s="998">
        <v>4</v>
      </c>
      <c r="AZ30" s="603"/>
      <c r="BA30" s="580">
        <v>40.20366666666667</v>
      </c>
      <c r="BB30" s="576">
        <v>2.1000000000000001E-2</v>
      </c>
      <c r="BC30" s="1000" t="s">
        <v>64</v>
      </c>
      <c r="BD30" s="576">
        <v>15.285333333333334</v>
      </c>
      <c r="BE30" s="576">
        <v>0.22999999999999998</v>
      </c>
      <c r="BF30" s="576">
        <v>45.564999999999998</v>
      </c>
      <c r="BG30" s="576">
        <v>0.24966666666666668</v>
      </c>
      <c r="BH30" s="1000" t="s">
        <v>64</v>
      </c>
      <c r="BI30" s="1000" t="s">
        <v>64</v>
      </c>
      <c r="BJ30" s="576">
        <v>2.5333333333333333E-2</v>
      </c>
      <c r="BK30" s="576">
        <v>0.25833333333333336</v>
      </c>
      <c r="BL30" s="1001">
        <f t="shared" si="20"/>
        <v>101.83833333333335</v>
      </c>
      <c r="BN30" s="9"/>
      <c r="BO30" s="9"/>
      <c r="BP30" s="9"/>
      <c r="BQ30" s="9"/>
      <c r="BR30" s="9"/>
      <c r="BS30" s="9"/>
      <c r="BT30" s="9"/>
      <c r="BU30" s="9"/>
      <c r="BV30" s="9"/>
      <c r="BW30" s="9"/>
      <c r="BX30" s="9"/>
    </row>
    <row r="31" spans="1:76" s="960" customFormat="1" ht="13.15" customHeight="1">
      <c r="A31" s="846" t="s">
        <v>297</v>
      </c>
      <c r="B31" s="41" t="s">
        <v>158</v>
      </c>
      <c r="C31" s="41" t="s">
        <v>1484</v>
      </c>
      <c r="D31" s="34">
        <v>1650</v>
      </c>
      <c r="E31" s="535">
        <v>19.370640000000002</v>
      </c>
      <c r="F31" s="537">
        <v>-155.24653000000001</v>
      </c>
      <c r="G31" s="7" t="s">
        <v>873</v>
      </c>
      <c r="H31" s="7">
        <v>2001</v>
      </c>
      <c r="I31" s="7" t="s">
        <v>143</v>
      </c>
      <c r="J31" s="11" t="s">
        <v>132</v>
      </c>
      <c r="K31" s="21">
        <v>89.673067124803723</v>
      </c>
      <c r="L31" s="9">
        <v>0.77</v>
      </c>
      <c r="M31" s="9">
        <v>0.83</v>
      </c>
      <c r="N31" s="8">
        <f t="shared" si="16"/>
        <v>40.516065449656374</v>
      </c>
      <c r="O31" s="9">
        <f t="shared" si="16"/>
        <v>6.200356357323274E-3</v>
      </c>
      <c r="P31" s="20" t="s">
        <v>64</v>
      </c>
      <c r="Q31" s="9">
        <f t="shared" si="17"/>
        <v>9.9636463316733792</v>
      </c>
      <c r="R31" s="9">
        <f t="shared" si="17"/>
        <v>0.15435623984283728</v>
      </c>
      <c r="S31" s="9">
        <f t="shared" si="17"/>
        <v>48.548463943296113</v>
      </c>
      <c r="T31" s="9">
        <f t="shared" si="17"/>
        <v>0.22451816704412694</v>
      </c>
      <c r="U31" s="20" t="s">
        <v>64</v>
      </c>
      <c r="V31" s="20" t="s">
        <v>64</v>
      </c>
      <c r="W31" s="9">
        <f t="shared" si="18"/>
        <v>0.1282494762330551</v>
      </c>
      <c r="X31" s="9">
        <f t="shared" si="18"/>
        <v>0.4585000358968</v>
      </c>
      <c r="Y31" s="9">
        <f t="shared" si="19"/>
        <v>102.14466666666665</v>
      </c>
      <c r="Z31" s="603"/>
      <c r="AA31" s="608">
        <v>0.10489536071180648</v>
      </c>
      <c r="AB31" s="600" t="s">
        <v>309</v>
      </c>
      <c r="AC31" s="600" t="s">
        <v>64</v>
      </c>
      <c r="AD31" s="600">
        <v>7.9874696497902645E-2</v>
      </c>
      <c r="AE31" s="600">
        <v>6.6772818005723733E-3</v>
      </c>
      <c r="AF31" s="600">
        <v>6.350264070254133E-2</v>
      </c>
      <c r="AG31" s="600">
        <v>3.7644688780298944E-3</v>
      </c>
      <c r="AH31" s="600" t="s">
        <v>64</v>
      </c>
      <c r="AI31" s="600" t="s">
        <v>64</v>
      </c>
      <c r="AJ31" s="600" t="s">
        <v>309</v>
      </c>
      <c r="AK31" s="609">
        <v>2.8507627993616062E-2</v>
      </c>
      <c r="AL31" s="603"/>
      <c r="AM31" s="614">
        <v>0.99871872917339788</v>
      </c>
      <c r="AN31" s="998">
        <v>1.149819010300667E-4</v>
      </c>
      <c r="AO31" s="999" t="s">
        <v>64</v>
      </c>
      <c r="AP31" s="998">
        <v>0.20540100635301795</v>
      </c>
      <c r="AQ31" s="998">
        <v>3.2227464637833835E-3</v>
      </c>
      <c r="AR31" s="998">
        <v>1.7840298276012272</v>
      </c>
      <c r="AS31" s="998">
        <v>5.9298196382934982E-3</v>
      </c>
      <c r="AT31" s="999" t="s">
        <v>64</v>
      </c>
      <c r="AU31" s="999" t="s">
        <v>64</v>
      </c>
      <c r="AV31" s="998">
        <v>2.4994518632144858E-3</v>
      </c>
      <c r="AW31" s="998">
        <v>0</v>
      </c>
      <c r="AX31" s="998">
        <v>2.9999165629939641</v>
      </c>
      <c r="AY31" s="998">
        <v>4</v>
      </c>
      <c r="AZ31" s="603"/>
      <c r="BA31" s="580">
        <v>41.384999999999998</v>
      </c>
      <c r="BB31" s="576">
        <v>6.3333333333333332E-3</v>
      </c>
      <c r="BC31" s="1000" t="s">
        <v>64</v>
      </c>
      <c r="BD31" s="576">
        <v>10.177333333333333</v>
      </c>
      <c r="BE31" s="576">
        <v>0.15766666666666665</v>
      </c>
      <c r="BF31" s="576">
        <v>49.589666666666666</v>
      </c>
      <c r="BG31" s="576">
        <v>0.22933333333333331</v>
      </c>
      <c r="BH31" s="1000" t="s">
        <v>64</v>
      </c>
      <c r="BI31" s="1000" t="s">
        <v>64</v>
      </c>
      <c r="BJ31" s="576">
        <v>0.13100000000000001</v>
      </c>
      <c r="BK31" s="576">
        <v>0.46833333333333332</v>
      </c>
      <c r="BL31" s="1001">
        <f t="shared" si="20"/>
        <v>102.14466666666665</v>
      </c>
      <c r="BN31" s="9"/>
      <c r="BO31" s="9"/>
      <c r="BP31" s="9"/>
      <c r="BQ31" s="9"/>
      <c r="BR31" s="9"/>
      <c r="BS31" s="9"/>
      <c r="BT31" s="9"/>
      <c r="BU31" s="9"/>
      <c r="BV31" s="9"/>
      <c r="BW31" s="9"/>
      <c r="BX31" s="9"/>
    </row>
    <row r="32" spans="1:76" s="960" customFormat="1" ht="13.15" customHeight="1">
      <c r="A32" s="846" t="s">
        <v>82</v>
      </c>
      <c r="B32" s="41" t="s">
        <v>158</v>
      </c>
      <c r="C32" s="41" t="s">
        <v>1484</v>
      </c>
      <c r="D32" s="34">
        <v>1650</v>
      </c>
      <c r="E32" s="535">
        <v>19.370640000000002</v>
      </c>
      <c r="F32" s="537">
        <v>-155.24653000000001</v>
      </c>
      <c r="G32" s="7" t="s">
        <v>874</v>
      </c>
      <c r="H32" s="7">
        <v>2001</v>
      </c>
      <c r="I32" s="7" t="s">
        <v>21</v>
      </c>
      <c r="J32" s="11" t="s">
        <v>132</v>
      </c>
      <c r="K32" s="21">
        <v>89.249141950710651</v>
      </c>
      <c r="L32" s="9">
        <v>0.93</v>
      </c>
      <c r="M32" s="9">
        <v>0.46</v>
      </c>
      <c r="N32" s="8">
        <f t="shared" si="16"/>
        <v>40.359618826100693</v>
      </c>
      <c r="O32" s="9">
        <f t="shared" si="16"/>
        <v>3.5089654066138985E-3</v>
      </c>
      <c r="P32" s="20" t="s">
        <v>64</v>
      </c>
      <c r="Q32" s="9">
        <f t="shared" si="17"/>
        <v>10.361974845730844</v>
      </c>
      <c r="R32" s="9">
        <f t="shared" si="17"/>
        <v>0.16091112793186593</v>
      </c>
      <c r="S32" s="9">
        <f t="shared" si="17"/>
        <v>48.271333256470285</v>
      </c>
      <c r="T32" s="9">
        <f t="shared" si="17"/>
        <v>0.23560196301550462</v>
      </c>
      <c r="U32" s="20" t="s">
        <v>64</v>
      </c>
      <c r="V32" s="20" t="s">
        <v>64</v>
      </c>
      <c r="W32" s="9">
        <f t="shared" si="18"/>
        <v>9.2235662116708195E-2</v>
      </c>
      <c r="X32" s="9">
        <f t="shared" si="18"/>
        <v>0.51481535322749639</v>
      </c>
      <c r="Y32" s="9">
        <f t="shared" si="19"/>
        <v>99.744499999999988</v>
      </c>
      <c r="Z32" s="603"/>
      <c r="AA32" s="608">
        <v>0.10449032323277466</v>
      </c>
      <c r="AB32" s="600" t="s">
        <v>309</v>
      </c>
      <c r="AC32" s="600" t="s">
        <v>64</v>
      </c>
      <c r="AD32" s="600">
        <v>8.3067942033491327E-2</v>
      </c>
      <c r="AE32" s="600">
        <v>6.9608390768199956E-3</v>
      </c>
      <c r="AF32" s="600">
        <v>6.314014662953206E-2</v>
      </c>
      <c r="AG32" s="600">
        <v>3.9503095408769404E-3</v>
      </c>
      <c r="AH32" s="600" t="s">
        <v>64</v>
      </c>
      <c r="AI32" s="600" t="s">
        <v>64</v>
      </c>
      <c r="AJ32" s="600" t="s">
        <v>309</v>
      </c>
      <c r="AK32" s="609">
        <v>3.2009080536942104E-2</v>
      </c>
      <c r="AL32" s="603"/>
      <c r="AM32" s="614">
        <v>0.9974577407053915</v>
      </c>
      <c r="AN32" s="998">
        <v>6.5241425166064513E-5</v>
      </c>
      <c r="AO32" s="999" t="s">
        <v>64</v>
      </c>
      <c r="AP32" s="998">
        <v>0.21416984186306476</v>
      </c>
      <c r="AQ32" s="998">
        <v>3.3683681165832136E-3</v>
      </c>
      <c r="AR32" s="998">
        <v>1.778473631805719</v>
      </c>
      <c r="AS32" s="998">
        <v>6.2387907476379855E-3</v>
      </c>
      <c r="AT32" s="999" t="s">
        <v>64</v>
      </c>
      <c r="AU32" s="999" t="s">
        <v>64</v>
      </c>
      <c r="AV32" s="998">
        <v>1.8022688039202065E-3</v>
      </c>
      <c r="AW32" s="998">
        <v>0</v>
      </c>
      <c r="AX32" s="998">
        <v>3.0015758834674822</v>
      </c>
      <c r="AY32" s="998">
        <v>4</v>
      </c>
      <c r="AZ32" s="603"/>
      <c r="BA32" s="580">
        <v>40.256500000000003</v>
      </c>
      <c r="BB32" s="576">
        <v>3.5000000000000001E-3</v>
      </c>
      <c r="BC32" s="1000" t="s">
        <v>64</v>
      </c>
      <c r="BD32" s="576">
        <v>10.3355</v>
      </c>
      <c r="BE32" s="576">
        <v>0.16049999999999998</v>
      </c>
      <c r="BF32" s="576">
        <v>48.147999999999996</v>
      </c>
      <c r="BG32" s="576">
        <v>0.23499999999999999</v>
      </c>
      <c r="BH32" s="1000" t="s">
        <v>64</v>
      </c>
      <c r="BI32" s="1000" t="s">
        <v>64</v>
      </c>
      <c r="BJ32" s="576">
        <v>9.1999999999999998E-2</v>
      </c>
      <c r="BK32" s="576">
        <v>0.51350000000000007</v>
      </c>
      <c r="BL32" s="1001">
        <f t="shared" si="20"/>
        <v>99.744499999999988</v>
      </c>
      <c r="BN32" s="9"/>
      <c r="BO32" s="9"/>
      <c r="BP32" s="9"/>
      <c r="BQ32" s="9"/>
      <c r="BR32" s="9"/>
      <c r="BS32" s="9"/>
      <c r="BT32" s="9"/>
      <c r="BU32" s="9"/>
      <c r="BV32" s="9"/>
      <c r="BW32" s="9"/>
      <c r="BX32" s="9"/>
    </row>
    <row r="33" spans="1:76" s="960" customFormat="1" ht="13.15" customHeight="1">
      <c r="A33" s="846" t="s">
        <v>78</v>
      </c>
      <c r="B33" s="41" t="s">
        <v>158</v>
      </c>
      <c r="C33" s="41" t="s">
        <v>1484</v>
      </c>
      <c r="D33" s="34">
        <v>1650</v>
      </c>
      <c r="E33" s="535">
        <v>19.370640000000002</v>
      </c>
      <c r="F33" s="537">
        <v>-155.24653000000001</v>
      </c>
      <c r="G33" s="7" t="s">
        <v>874</v>
      </c>
      <c r="H33" s="7">
        <v>2001</v>
      </c>
      <c r="I33" s="7" t="s">
        <v>17</v>
      </c>
      <c r="J33" s="11" t="s">
        <v>132</v>
      </c>
      <c r="K33" s="21">
        <v>89.034890071946236</v>
      </c>
      <c r="L33" s="9">
        <v>1.52</v>
      </c>
      <c r="M33" s="9">
        <v>1.3</v>
      </c>
      <c r="N33" s="8">
        <f t="shared" si="16"/>
        <v>39.865377651896566</v>
      </c>
      <c r="O33" s="9">
        <f t="shared" si="16"/>
        <v>3.4722049989831397E-3</v>
      </c>
      <c r="P33" s="20" t="s">
        <v>64</v>
      </c>
      <c r="Q33" s="9">
        <f t="shared" si="17"/>
        <v>10.653716995451411</v>
      </c>
      <c r="R33" s="9">
        <f t="shared" si="17"/>
        <v>0.13938422924489463</v>
      </c>
      <c r="S33" s="9">
        <f t="shared" si="17"/>
        <v>48.544898090783271</v>
      </c>
      <c r="T33" s="9">
        <f t="shared" si="17"/>
        <v>0.22172509064935197</v>
      </c>
      <c r="U33" s="20" t="s">
        <v>64</v>
      </c>
      <c r="V33" s="20" t="s">
        <v>64</v>
      </c>
      <c r="W33" s="9">
        <f t="shared" si="18"/>
        <v>0.10317409139835618</v>
      </c>
      <c r="X33" s="9">
        <f t="shared" si="18"/>
        <v>0.46825164557715482</v>
      </c>
      <c r="Y33" s="9">
        <f t="shared" si="19"/>
        <v>100.8005</v>
      </c>
      <c r="Z33" s="603"/>
      <c r="AA33" s="608">
        <v>0.10321074177116438</v>
      </c>
      <c r="AB33" s="600" t="s">
        <v>309</v>
      </c>
      <c r="AC33" s="600" t="s">
        <v>64</v>
      </c>
      <c r="AD33" s="600">
        <v>8.5406725937381883E-2</v>
      </c>
      <c r="AE33" s="600">
        <v>6.0296090276063495E-3</v>
      </c>
      <c r="AF33" s="600">
        <v>6.3497976475652806E-2</v>
      </c>
      <c r="AG33" s="600">
        <v>3.7176377048534996E-3</v>
      </c>
      <c r="AH33" s="600" t="s">
        <v>64</v>
      </c>
      <c r="AI33" s="600" t="s">
        <v>64</v>
      </c>
      <c r="AJ33" s="600" t="s">
        <v>309</v>
      </c>
      <c r="AK33" s="609">
        <v>2.9113942583238194E-2</v>
      </c>
      <c r="AL33" s="603"/>
      <c r="AM33" s="614">
        <v>0.98742006898688317</v>
      </c>
      <c r="AN33" s="998">
        <v>6.4700603097319752E-5</v>
      </c>
      <c r="AO33" s="999" t="s">
        <v>64</v>
      </c>
      <c r="AP33" s="998">
        <v>0.22068639306949431</v>
      </c>
      <c r="AQ33" s="998">
        <v>2.9241909241776338E-3</v>
      </c>
      <c r="AR33" s="998">
        <v>1.7925048865773892</v>
      </c>
      <c r="AS33" s="998">
        <v>5.884302273241211E-3</v>
      </c>
      <c r="AT33" s="999" t="s">
        <v>64</v>
      </c>
      <c r="AU33" s="999" t="s">
        <v>64</v>
      </c>
      <c r="AV33" s="998">
        <v>2.0204586504916997E-3</v>
      </c>
      <c r="AW33" s="998">
        <v>0</v>
      </c>
      <c r="AX33" s="998">
        <v>3.0115050010847746</v>
      </c>
      <c r="AY33" s="998">
        <v>4</v>
      </c>
      <c r="AZ33" s="603"/>
      <c r="BA33" s="580">
        <v>40.1845</v>
      </c>
      <c r="BB33" s="576">
        <v>3.5000000000000001E-3</v>
      </c>
      <c r="BC33" s="1000" t="s">
        <v>64</v>
      </c>
      <c r="BD33" s="576">
        <v>10.739000000000001</v>
      </c>
      <c r="BE33" s="576">
        <v>0.14050000000000001</v>
      </c>
      <c r="BF33" s="576">
        <v>48.933499999999995</v>
      </c>
      <c r="BG33" s="576">
        <v>0.2235</v>
      </c>
      <c r="BH33" s="1000" t="s">
        <v>64</v>
      </c>
      <c r="BI33" s="1000" t="s">
        <v>64</v>
      </c>
      <c r="BJ33" s="576">
        <v>0.10400000000000001</v>
      </c>
      <c r="BK33" s="576">
        <v>0.47199999999999998</v>
      </c>
      <c r="BL33" s="1001">
        <f t="shared" si="20"/>
        <v>100.8005</v>
      </c>
      <c r="BN33" s="9"/>
      <c r="BO33" s="9"/>
      <c r="BP33" s="9"/>
      <c r="BQ33" s="9"/>
      <c r="BR33" s="9"/>
      <c r="BS33" s="9"/>
      <c r="BT33" s="9"/>
      <c r="BU33" s="9"/>
      <c r="BV33" s="9"/>
      <c r="BW33" s="9"/>
      <c r="BX33" s="9"/>
    </row>
    <row r="34" spans="1:76" s="960" customFormat="1" ht="13.15" customHeight="1">
      <c r="A34" s="846" t="s">
        <v>153</v>
      </c>
      <c r="B34" s="41" t="s">
        <v>158</v>
      </c>
      <c r="C34" s="41" t="s">
        <v>1484</v>
      </c>
      <c r="D34" s="34">
        <v>1650</v>
      </c>
      <c r="E34" s="535">
        <v>19.370640000000002</v>
      </c>
      <c r="F34" s="537">
        <v>-155.24653000000001</v>
      </c>
      <c r="G34" s="7" t="s">
        <v>873</v>
      </c>
      <c r="H34" s="7">
        <v>2001</v>
      </c>
      <c r="I34" s="7" t="s">
        <v>152</v>
      </c>
      <c r="J34" s="11" t="s">
        <v>132</v>
      </c>
      <c r="K34" s="21">
        <v>89.385378834371309</v>
      </c>
      <c r="L34" s="9">
        <v>1.6</v>
      </c>
      <c r="M34" s="9">
        <v>1.27</v>
      </c>
      <c r="N34" s="8">
        <f t="shared" si="16"/>
        <v>40.297943257981906</v>
      </c>
      <c r="O34" s="9">
        <f t="shared" si="16"/>
        <v>4.2732373717617898E-3</v>
      </c>
      <c r="P34" s="20" t="s">
        <v>64</v>
      </c>
      <c r="Q34" s="9">
        <f t="shared" si="17"/>
        <v>10.267931983209463</v>
      </c>
      <c r="R34" s="9">
        <f t="shared" si="17"/>
        <v>0.14397522837166646</v>
      </c>
      <c r="S34" s="9">
        <f t="shared" si="17"/>
        <v>48.521624224653941</v>
      </c>
      <c r="T34" s="9">
        <f t="shared" si="17"/>
        <v>0.23272708147748819</v>
      </c>
      <c r="U34" s="20" t="s">
        <v>64</v>
      </c>
      <c r="V34" s="20" t="s">
        <v>64</v>
      </c>
      <c r="W34" s="9">
        <f t="shared" si="18"/>
        <v>9.3682511611700756E-2</v>
      </c>
      <c r="X34" s="9">
        <f t="shared" si="18"/>
        <v>0.437842475322054</v>
      </c>
      <c r="Y34" s="9">
        <f t="shared" si="19"/>
        <v>101.40633333333335</v>
      </c>
      <c r="Z34" s="603"/>
      <c r="AA34" s="608">
        <v>0.10433064630232433</v>
      </c>
      <c r="AB34" s="600" t="s">
        <v>309</v>
      </c>
      <c r="AC34" s="600" t="s">
        <v>64</v>
      </c>
      <c r="AD34" s="600">
        <v>8.2314036801246118E-2</v>
      </c>
      <c r="AE34" s="600">
        <v>6.2282106192676255E-3</v>
      </c>
      <c r="AF34" s="600">
        <v>6.3467533659577385E-2</v>
      </c>
      <c r="AG34" s="600">
        <v>3.9021067507848655E-3</v>
      </c>
      <c r="AH34" s="600" t="s">
        <v>64</v>
      </c>
      <c r="AI34" s="600" t="s">
        <v>64</v>
      </c>
      <c r="AJ34" s="600" t="s">
        <v>309</v>
      </c>
      <c r="AK34" s="609">
        <v>2.7223226671883129E-2</v>
      </c>
      <c r="AL34" s="603"/>
      <c r="AM34" s="614">
        <v>0.99497098284396079</v>
      </c>
      <c r="AN34" s="998">
        <v>7.9374582821224011E-5</v>
      </c>
      <c r="AO34" s="999" t="s">
        <v>64</v>
      </c>
      <c r="AP34" s="998">
        <v>0.21202098638062525</v>
      </c>
      <c r="AQ34" s="998">
        <v>3.0109346527858911E-3</v>
      </c>
      <c r="AR34" s="998">
        <v>1.7859675002086464</v>
      </c>
      <c r="AS34" s="998">
        <v>6.1567075293075197E-3</v>
      </c>
      <c r="AT34" s="999" t="s">
        <v>64</v>
      </c>
      <c r="AU34" s="999" t="s">
        <v>64</v>
      </c>
      <c r="AV34" s="998">
        <v>1.8287709167139265E-3</v>
      </c>
      <c r="AW34" s="998">
        <v>0</v>
      </c>
      <c r="AX34" s="998">
        <v>3.004035257114861</v>
      </c>
      <c r="AY34" s="998">
        <v>4</v>
      </c>
      <c r="AZ34" s="603"/>
      <c r="BA34" s="580">
        <v>40.864666666666665</v>
      </c>
      <c r="BB34" s="576">
        <v>4.333333333333334E-3</v>
      </c>
      <c r="BC34" s="1000" t="s">
        <v>64</v>
      </c>
      <c r="BD34" s="576">
        <v>10.412333333333335</v>
      </c>
      <c r="BE34" s="576">
        <v>0.14600000000000002</v>
      </c>
      <c r="BF34" s="576">
        <v>49.204000000000001</v>
      </c>
      <c r="BG34" s="576">
        <v>0.23599999999999999</v>
      </c>
      <c r="BH34" s="1000" t="s">
        <v>64</v>
      </c>
      <c r="BI34" s="1000" t="s">
        <v>64</v>
      </c>
      <c r="BJ34" s="576">
        <v>9.4999999999999987E-2</v>
      </c>
      <c r="BK34" s="576">
        <v>0.44399999999999995</v>
      </c>
      <c r="BL34" s="1001">
        <f t="shared" si="20"/>
        <v>101.40633333333335</v>
      </c>
      <c r="BN34" s="9"/>
      <c r="BO34" s="9"/>
      <c r="BP34" s="9"/>
      <c r="BQ34" s="9"/>
      <c r="BR34" s="9"/>
      <c r="BS34" s="9"/>
      <c r="BT34" s="9"/>
      <c r="BU34" s="9"/>
      <c r="BV34" s="9"/>
      <c r="BW34" s="9"/>
      <c r="BX34" s="9"/>
    </row>
    <row r="35" spans="1:76" s="960" customFormat="1" ht="13.15" customHeight="1">
      <c r="A35" s="846" t="s">
        <v>85</v>
      </c>
      <c r="B35" s="41" t="s">
        <v>158</v>
      </c>
      <c r="C35" s="41" t="s">
        <v>1484</v>
      </c>
      <c r="D35" s="34">
        <v>1650</v>
      </c>
      <c r="E35" s="535">
        <v>19.370640000000002</v>
      </c>
      <c r="F35" s="537">
        <v>-155.24653000000001</v>
      </c>
      <c r="G35" s="7" t="s">
        <v>874</v>
      </c>
      <c r="H35" s="7">
        <v>2001</v>
      </c>
      <c r="I35" s="7" t="s">
        <v>24</v>
      </c>
      <c r="J35" s="11" t="s">
        <v>132</v>
      </c>
      <c r="K35" s="21">
        <v>89.63954448428359</v>
      </c>
      <c r="L35" s="9">
        <v>1</v>
      </c>
      <c r="M35" s="9">
        <v>1</v>
      </c>
      <c r="N35" s="8">
        <f t="shared" si="16"/>
        <v>38.190674462850247</v>
      </c>
      <c r="O35" s="9">
        <f t="shared" si="16"/>
        <v>1.1953262742676133E-2</v>
      </c>
      <c r="P35" s="20" t="s">
        <v>64</v>
      </c>
      <c r="Q35" s="9">
        <f t="shared" si="17"/>
        <v>10.402824954428185</v>
      </c>
      <c r="R35" s="9">
        <f t="shared" si="17"/>
        <v>0.12052873265531769</v>
      </c>
      <c r="S35" s="9">
        <f t="shared" si="17"/>
        <v>50.509009771792279</v>
      </c>
      <c r="T35" s="9">
        <f t="shared" si="17"/>
        <v>0.22960225518223737</v>
      </c>
      <c r="U35" s="20" t="s">
        <v>64</v>
      </c>
      <c r="V35" s="20" t="s">
        <v>64</v>
      </c>
      <c r="W35" s="9">
        <f t="shared" si="18"/>
        <v>9.5626101941409067E-2</v>
      </c>
      <c r="X35" s="9">
        <f t="shared" si="18"/>
        <v>0.43978045840762614</v>
      </c>
      <c r="Y35" s="9">
        <f t="shared" si="19"/>
        <v>100.39100000000002</v>
      </c>
      <c r="Z35" s="604"/>
      <c r="AA35" s="608">
        <v>9.8874965501908801E-2</v>
      </c>
      <c r="AB35" s="600" t="s">
        <v>309</v>
      </c>
      <c r="AC35" s="600" t="s">
        <v>64</v>
      </c>
      <c r="AD35" s="600">
        <v>8.3395421545056692E-2</v>
      </c>
      <c r="AE35" s="600">
        <v>5.2139409059513437E-3</v>
      </c>
      <c r="AF35" s="600">
        <v>6.6067085119840968E-2</v>
      </c>
      <c r="AG35" s="600">
        <v>3.8497131672606904E-3</v>
      </c>
      <c r="AH35" s="600" t="s">
        <v>64</v>
      </c>
      <c r="AI35" s="600" t="s">
        <v>64</v>
      </c>
      <c r="AJ35" s="600" t="s">
        <v>309</v>
      </c>
      <c r="AK35" s="609">
        <v>2.7343722411329145E-2</v>
      </c>
      <c r="AL35" s="604"/>
      <c r="AM35" s="614">
        <v>0.94967323163191775</v>
      </c>
      <c r="AN35" s="998">
        <v>2.2361464235604085E-4</v>
      </c>
      <c r="AO35" s="999" t="s">
        <v>64</v>
      </c>
      <c r="AP35" s="998">
        <v>0.21633983420128727</v>
      </c>
      <c r="AQ35" s="998">
        <v>2.5385953383463668E-3</v>
      </c>
      <c r="AR35" s="998">
        <v>1.8723904184128433</v>
      </c>
      <c r="AS35" s="998">
        <v>6.1174028858934169E-3</v>
      </c>
      <c r="AT35" s="999" t="s">
        <v>64</v>
      </c>
      <c r="AU35" s="999" t="s">
        <v>64</v>
      </c>
      <c r="AV35" s="998">
        <v>1.880037742055218E-3</v>
      </c>
      <c r="AW35" s="998">
        <v>0</v>
      </c>
      <c r="AX35" s="998">
        <v>3.0491631348546995</v>
      </c>
      <c r="AY35" s="998">
        <v>4</v>
      </c>
      <c r="AZ35" s="604"/>
      <c r="BA35" s="580">
        <v>38.340000000000003</v>
      </c>
      <c r="BB35" s="576">
        <v>1.2E-2</v>
      </c>
      <c r="BC35" s="1000" t="s">
        <v>64</v>
      </c>
      <c r="BD35" s="576">
        <v>10.4435</v>
      </c>
      <c r="BE35" s="576">
        <v>0.121</v>
      </c>
      <c r="BF35" s="576">
        <v>50.706499999999998</v>
      </c>
      <c r="BG35" s="576">
        <v>0.23049999999999998</v>
      </c>
      <c r="BH35" s="1000" t="s">
        <v>64</v>
      </c>
      <c r="BI35" s="1000" t="s">
        <v>64</v>
      </c>
      <c r="BJ35" s="576">
        <v>9.6000000000000002E-2</v>
      </c>
      <c r="BK35" s="576">
        <v>0.4415</v>
      </c>
      <c r="BL35" s="1001">
        <f t="shared" si="20"/>
        <v>100.39100000000002</v>
      </c>
      <c r="BN35" s="9"/>
      <c r="BO35" s="9"/>
      <c r="BP35" s="9"/>
      <c r="BQ35" s="9"/>
      <c r="BR35" s="9"/>
      <c r="BS35" s="9"/>
      <c r="BT35" s="9"/>
      <c r="BU35" s="9"/>
      <c r="BV35" s="9"/>
      <c r="BW35" s="9"/>
      <c r="BX35" s="9"/>
    </row>
    <row r="36" spans="1:76" s="960" customFormat="1" ht="13.15" customHeight="1">
      <c r="A36" s="846" t="s">
        <v>77</v>
      </c>
      <c r="B36" s="41" t="s">
        <v>158</v>
      </c>
      <c r="C36" s="41" t="s">
        <v>1484</v>
      </c>
      <c r="D36" s="34">
        <v>1650</v>
      </c>
      <c r="E36" s="535">
        <v>19.370640000000002</v>
      </c>
      <c r="F36" s="537">
        <v>-155.24653000000001</v>
      </c>
      <c r="G36" s="7" t="s">
        <v>874</v>
      </c>
      <c r="H36" s="7">
        <v>2001</v>
      </c>
      <c r="I36" s="7" t="s">
        <v>15</v>
      </c>
      <c r="J36" s="11" t="s">
        <v>132</v>
      </c>
      <c r="K36" s="21">
        <v>82.716912086634494</v>
      </c>
      <c r="L36" s="9">
        <v>1.47</v>
      </c>
      <c r="M36" s="9">
        <v>1.1000000000000001</v>
      </c>
      <c r="N36" s="8">
        <f t="shared" si="16"/>
        <v>39.303157289902025</v>
      </c>
      <c r="O36" s="9">
        <f t="shared" si="16"/>
        <v>2.0804232175231079E-2</v>
      </c>
      <c r="P36" s="20" t="s">
        <v>64</v>
      </c>
      <c r="Q36" s="9">
        <f t="shared" si="17"/>
        <v>16.263956172417551</v>
      </c>
      <c r="R36" s="9">
        <f t="shared" si="17"/>
        <v>0.21150969378151596</v>
      </c>
      <c r="S36" s="9">
        <f t="shared" si="17"/>
        <v>43.680962146204216</v>
      </c>
      <c r="T36" s="9">
        <f t="shared" si="17"/>
        <v>0.23231392595674699</v>
      </c>
      <c r="U36" s="20" t="s">
        <v>64</v>
      </c>
      <c r="V36" s="20" t="s">
        <v>64</v>
      </c>
      <c r="W36" s="9">
        <f t="shared" si="18"/>
        <v>1.6841521284710871E-2</v>
      </c>
      <c r="X36" s="9">
        <f t="shared" si="18"/>
        <v>0.270455018278004</v>
      </c>
      <c r="Y36" s="9">
        <f t="shared" si="19"/>
        <v>100.941</v>
      </c>
      <c r="Z36" s="604"/>
      <c r="AA36" s="608">
        <v>0.10175516342177557</v>
      </c>
      <c r="AB36" s="600" t="s">
        <v>309</v>
      </c>
      <c r="AC36" s="600" t="s">
        <v>64</v>
      </c>
      <c r="AD36" s="600">
        <v>0.13038184213719115</v>
      </c>
      <c r="AE36" s="600">
        <v>9.1496775923664668E-3</v>
      </c>
      <c r="AF36" s="600">
        <v>5.7135823039664822E-2</v>
      </c>
      <c r="AG36" s="600">
        <v>3.8951794222746926E-3</v>
      </c>
      <c r="AH36" s="600" t="s">
        <v>64</v>
      </c>
      <c r="AI36" s="600" t="s">
        <v>64</v>
      </c>
      <c r="AJ36" s="600" t="s">
        <v>309</v>
      </c>
      <c r="AK36" s="609">
        <v>1.681576978504612E-2</v>
      </c>
      <c r="AL36" s="604"/>
      <c r="AM36" s="614">
        <v>0.99624195376098557</v>
      </c>
      <c r="AN36" s="998">
        <v>3.96721724294539E-4</v>
      </c>
      <c r="AO36" s="999" t="s">
        <v>64</v>
      </c>
      <c r="AP36" s="998">
        <v>0.34477194266550953</v>
      </c>
      <c r="AQ36" s="998">
        <v>4.5410228117507244E-3</v>
      </c>
      <c r="AR36" s="998">
        <v>1.650594032183651</v>
      </c>
      <c r="AS36" s="998">
        <v>6.3093801813518691E-3</v>
      </c>
      <c r="AT36" s="999" t="s">
        <v>64</v>
      </c>
      <c r="AU36" s="999" t="s">
        <v>64</v>
      </c>
      <c r="AV36" s="998">
        <v>3.3751412478450523E-4</v>
      </c>
      <c r="AW36" s="998">
        <v>0</v>
      </c>
      <c r="AX36" s="998">
        <v>3.0031925674523281</v>
      </c>
      <c r="AY36" s="998">
        <v>4</v>
      </c>
      <c r="AZ36" s="604"/>
      <c r="BA36" s="580">
        <v>39.673000000000002</v>
      </c>
      <c r="BB36" s="576">
        <v>2.1000000000000001E-2</v>
      </c>
      <c r="BC36" s="1000" t="s">
        <v>64</v>
      </c>
      <c r="BD36" s="576">
        <v>16.417000000000002</v>
      </c>
      <c r="BE36" s="576">
        <v>0.21350000000000002</v>
      </c>
      <c r="BF36" s="576">
        <v>44.091999999999999</v>
      </c>
      <c r="BG36" s="576">
        <v>0.23449999999999999</v>
      </c>
      <c r="BH36" s="1000" t="s">
        <v>64</v>
      </c>
      <c r="BI36" s="1000" t="s">
        <v>64</v>
      </c>
      <c r="BJ36" s="576">
        <v>1.7000000000000001E-2</v>
      </c>
      <c r="BK36" s="576">
        <v>0.27300000000000002</v>
      </c>
      <c r="BL36" s="1001">
        <f t="shared" si="20"/>
        <v>100.941</v>
      </c>
      <c r="BN36" s="9"/>
      <c r="BO36" s="9"/>
      <c r="BP36" s="9"/>
      <c r="BQ36" s="9"/>
      <c r="BR36" s="9"/>
      <c r="BS36" s="9"/>
      <c r="BT36" s="9"/>
      <c r="BU36" s="9"/>
      <c r="BV36" s="9"/>
      <c r="BW36" s="9"/>
      <c r="BX36" s="9"/>
    </row>
    <row r="37" spans="1:76" s="959" customFormat="1" ht="13.15" customHeight="1">
      <c r="A37" s="1002"/>
      <c r="C37" s="992"/>
      <c r="E37" s="1003"/>
      <c r="F37" s="1004"/>
      <c r="G37" s="992"/>
      <c r="H37" s="992"/>
      <c r="I37" s="992"/>
      <c r="J37" s="62"/>
      <c r="K37" s="992"/>
      <c r="L37" s="993"/>
      <c r="M37" s="993"/>
      <c r="N37" s="22"/>
      <c r="O37" s="993"/>
      <c r="P37" s="992"/>
      <c r="Q37" s="993"/>
      <c r="R37" s="993"/>
      <c r="S37" s="993"/>
      <c r="T37" s="993"/>
      <c r="U37" s="992"/>
      <c r="V37" s="992"/>
      <c r="W37" s="993"/>
      <c r="X37" s="993"/>
      <c r="Y37" s="993"/>
      <c r="Z37" s="603"/>
      <c r="AA37" s="610"/>
      <c r="AB37" s="994"/>
      <c r="AC37" s="994"/>
      <c r="AD37" s="994"/>
      <c r="AE37" s="994"/>
      <c r="AF37" s="994"/>
      <c r="AG37" s="994"/>
      <c r="AH37" s="994"/>
      <c r="AI37" s="994"/>
      <c r="AJ37" s="994"/>
      <c r="AK37" s="611"/>
      <c r="AL37" s="603"/>
      <c r="AM37" s="615"/>
      <c r="AN37" s="1005"/>
      <c r="AO37" s="1005"/>
      <c r="AP37" s="1005"/>
      <c r="AQ37" s="1005"/>
      <c r="AR37" s="1005"/>
      <c r="AS37" s="1005"/>
      <c r="AT37" s="1005"/>
      <c r="AU37" s="1005"/>
      <c r="AV37" s="1005"/>
      <c r="AW37" s="1005"/>
      <c r="AX37" s="1005"/>
      <c r="AY37" s="1005"/>
      <c r="AZ37" s="603"/>
      <c r="BA37" s="607"/>
      <c r="BB37" s="996"/>
      <c r="BC37" s="957"/>
      <c r="BD37" s="996"/>
      <c r="BE37" s="996"/>
      <c r="BF37" s="996"/>
      <c r="BG37" s="996"/>
      <c r="BH37" s="957"/>
      <c r="BI37" s="957"/>
      <c r="BJ37" s="996"/>
      <c r="BK37" s="996"/>
      <c r="BL37" s="997"/>
      <c r="BN37" s="1023"/>
      <c r="BO37" s="1023"/>
      <c r="BP37" s="1023"/>
      <c r="BQ37" s="1023"/>
      <c r="BR37" s="1023"/>
      <c r="BS37" s="1023"/>
      <c r="BT37" s="1023"/>
      <c r="BU37" s="1023"/>
      <c r="BV37" s="1023"/>
      <c r="BW37" s="1023"/>
      <c r="BX37" s="1023"/>
    </row>
    <row r="38" spans="1:76" ht="13.15" customHeight="1">
      <c r="A38" s="837" t="s">
        <v>1485</v>
      </c>
      <c r="B38" s="41"/>
      <c r="C38" s="12"/>
      <c r="E38" s="535"/>
      <c r="F38" s="537"/>
      <c r="K38" s="21"/>
      <c r="M38" s="552"/>
      <c r="N38" s="8"/>
      <c r="O38" s="9"/>
      <c r="P38" s="9"/>
      <c r="Q38" s="9"/>
      <c r="R38" s="9"/>
      <c r="S38" s="9"/>
      <c r="T38" s="9"/>
      <c r="U38" s="9"/>
      <c r="V38" s="9"/>
      <c r="W38" s="9"/>
      <c r="X38" s="9"/>
      <c r="Y38" s="9"/>
      <c r="Z38" s="603"/>
      <c r="AL38" s="603"/>
      <c r="AM38" s="612"/>
      <c r="AN38" s="29"/>
      <c r="AO38" s="29"/>
      <c r="AP38" s="29"/>
      <c r="AQ38" s="29"/>
      <c r="AR38" s="29"/>
      <c r="AS38" s="29"/>
      <c r="AT38" s="29"/>
      <c r="AU38" s="29"/>
      <c r="AV38" s="29"/>
      <c r="AW38" s="29"/>
      <c r="AX38" s="29"/>
      <c r="AY38" s="29"/>
      <c r="AZ38" s="603"/>
      <c r="BA38" s="580"/>
      <c r="BB38" s="576"/>
      <c r="BC38" s="576"/>
      <c r="BD38" s="576"/>
      <c r="BE38" s="576"/>
      <c r="BF38" s="576"/>
      <c r="BG38" s="576"/>
      <c r="BH38" s="576"/>
      <c r="BI38" s="576"/>
      <c r="BJ38" s="576"/>
      <c r="BK38" s="576"/>
      <c r="BL38" s="1001"/>
      <c r="BN38" s="9"/>
      <c r="BO38" s="9"/>
      <c r="BP38" s="9"/>
      <c r="BQ38" s="9"/>
      <c r="BR38" s="9"/>
      <c r="BS38" s="9"/>
      <c r="BT38" s="9"/>
      <c r="BU38" s="9"/>
      <c r="BV38" s="9"/>
      <c r="BW38" s="9"/>
      <c r="BX38" s="9"/>
    </row>
    <row r="39" spans="1:76" ht="13.15" customHeight="1">
      <c r="A39" s="846" t="s">
        <v>105</v>
      </c>
      <c r="B39" s="41" t="s">
        <v>678</v>
      </c>
      <c r="C39" s="41" t="s">
        <v>1486</v>
      </c>
      <c r="D39" s="34" t="s">
        <v>160</v>
      </c>
      <c r="E39" s="535">
        <v>19.389810000000001</v>
      </c>
      <c r="F39" s="537">
        <v>-155.29229000000001</v>
      </c>
      <c r="G39" s="7" t="s">
        <v>873</v>
      </c>
      <c r="H39" s="7">
        <v>2001</v>
      </c>
      <c r="I39" s="7" t="s">
        <v>123</v>
      </c>
      <c r="J39" s="11" t="s">
        <v>132</v>
      </c>
      <c r="K39" s="21">
        <v>89.57855187500094</v>
      </c>
      <c r="L39" s="9">
        <v>1.4</v>
      </c>
      <c r="M39" s="847">
        <v>0.68</v>
      </c>
      <c r="N39" s="8">
        <f t="shared" ref="N39:O46" si="21">100*(BA39/$BL39)</f>
        <v>40.494062828300898</v>
      </c>
      <c r="O39" s="9">
        <f t="shared" si="21"/>
        <v>6.6281570740663416E-3</v>
      </c>
      <c r="P39" s="20" t="s">
        <v>64</v>
      </c>
      <c r="Q39" s="9">
        <f t="shared" ref="Q39:T46" si="22">100*(BD39/$BL39)</f>
        <v>10.061211030579003</v>
      </c>
      <c r="R39" s="9">
        <f t="shared" si="22"/>
        <v>0.1338887728961401</v>
      </c>
      <c r="S39" s="9">
        <f t="shared" si="22"/>
        <v>48.529709057045231</v>
      </c>
      <c r="T39" s="9">
        <f t="shared" si="22"/>
        <v>0.21939199915159591</v>
      </c>
      <c r="U39" s="20" t="s">
        <v>64</v>
      </c>
      <c r="V39" s="20" t="s">
        <v>64</v>
      </c>
      <c r="W39" s="9">
        <f t="shared" ref="W39:X46" si="23">100*(BJ39/$BL39)</f>
        <v>9.0805751914708868E-2</v>
      </c>
      <c r="X39" s="9">
        <f t="shared" si="23"/>
        <v>0.46430240303834719</v>
      </c>
      <c r="Y39" s="9">
        <f t="shared" ref="Y39:Y45" si="24">BL39</f>
        <v>100.581</v>
      </c>
      <c r="Z39" s="603"/>
      <c r="AA39" s="608">
        <v>0.1048383963230369</v>
      </c>
      <c r="AB39" s="600" t="s">
        <v>309</v>
      </c>
      <c r="AC39" s="600" t="s">
        <v>64</v>
      </c>
      <c r="AD39" s="600">
        <v>8.0656834929414709E-2</v>
      </c>
      <c r="AE39" s="600">
        <v>5.791881607576291E-3</v>
      </c>
      <c r="AF39" s="600">
        <v>6.3478108828486618E-2</v>
      </c>
      <c r="AG39" s="600">
        <v>3.6785190426600178E-3</v>
      </c>
      <c r="AH39" s="600" t="s">
        <v>64</v>
      </c>
      <c r="AI39" s="600" t="s">
        <v>64</v>
      </c>
      <c r="AJ39" s="600" t="s">
        <v>309</v>
      </c>
      <c r="AK39" s="609">
        <v>2.8868395084135638E-2</v>
      </c>
      <c r="AL39" s="603"/>
      <c r="AM39" s="614">
        <v>0.99852686982331795</v>
      </c>
      <c r="AN39" s="998">
        <v>1.2295837049643073E-4</v>
      </c>
      <c r="AO39" s="999" t="s">
        <v>64</v>
      </c>
      <c r="AP39" s="998">
        <v>0.20748513856920861</v>
      </c>
      <c r="AQ39" s="998">
        <v>2.7963954354564232E-3</v>
      </c>
      <c r="AR39" s="998">
        <v>1.7839668443427177</v>
      </c>
      <c r="AS39" s="998">
        <v>5.7964654941963494E-3</v>
      </c>
      <c r="AT39" s="999" t="s">
        <v>64</v>
      </c>
      <c r="AU39" s="999" t="s">
        <v>64</v>
      </c>
      <c r="AV39" s="998">
        <v>1.7703331805278329E-3</v>
      </c>
      <c r="AW39" s="998">
        <v>0</v>
      </c>
      <c r="AX39" s="998">
        <v>3.0004650052159212</v>
      </c>
      <c r="AY39" s="998">
        <v>4</v>
      </c>
      <c r="AZ39" s="603"/>
      <c r="BA39" s="580">
        <v>40.729333333333329</v>
      </c>
      <c r="BB39" s="576">
        <v>6.6666666666666671E-3</v>
      </c>
      <c r="BC39" s="1000" t="s">
        <v>64</v>
      </c>
      <c r="BD39" s="576">
        <v>10.119666666666667</v>
      </c>
      <c r="BE39" s="576">
        <v>0.13466666666666668</v>
      </c>
      <c r="BF39" s="576">
        <v>48.811666666666667</v>
      </c>
      <c r="BG39" s="576">
        <v>0.22066666666666668</v>
      </c>
      <c r="BH39" s="1000" t="s">
        <v>64</v>
      </c>
      <c r="BI39" s="1000" t="s">
        <v>64</v>
      </c>
      <c r="BJ39" s="576">
        <v>9.1333333333333336E-2</v>
      </c>
      <c r="BK39" s="576">
        <v>0.46700000000000003</v>
      </c>
      <c r="BL39" s="1001">
        <f t="shared" ref="BL39:BL46" si="25">SUM(BA39:BK39)</f>
        <v>100.581</v>
      </c>
      <c r="BN39" s="9"/>
      <c r="BO39" s="9"/>
      <c r="BP39" s="9"/>
      <c r="BQ39" s="9"/>
      <c r="BR39" s="9"/>
      <c r="BS39" s="9"/>
      <c r="BT39" s="9"/>
      <c r="BU39" s="9"/>
      <c r="BV39" s="9"/>
      <c r="BW39" s="9"/>
      <c r="BX39" s="9"/>
    </row>
    <row r="40" spans="1:76" ht="13.15" customHeight="1">
      <c r="A40" s="846" t="s">
        <v>110</v>
      </c>
      <c r="B40" s="41" t="s">
        <v>678</v>
      </c>
      <c r="C40" s="41" t="s">
        <v>1486</v>
      </c>
      <c r="D40" s="34" t="s">
        <v>160</v>
      </c>
      <c r="E40" s="535">
        <v>19.389810000000001</v>
      </c>
      <c r="F40" s="537">
        <v>-155.29229000000001</v>
      </c>
      <c r="G40" s="7" t="s">
        <v>873</v>
      </c>
      <c r="H40" s="7">
        <v>2001</v>
      </c>
      <c r="I40" s="7" t="s">
        <v>58</v>
      </c>
      <c r="J40" s="11" t="s">
        <v>132</v>
      </c>
      <c r="K40" s="21">
        <v>88.926878017388844</v>
      </c>
      <c r="L40" s="9">
        <v>2</v>
      </c>
      <c r="M40" s="9">
        <v>2</v>
      </c>
      <c r="N40" s="8">
        <f t="shared" si="21"/>
        <v>40.203023274203318</v>
      </c>
      <c r="O40" s="9">
        <f t="shared" si="21"/>
        <v>2.1086480929913803E-2</v>
      </c>
      <c r="P40" s="20" t="s">
        <v>64</v>
      </c>
      <c r="Q40" s="9">
        <f t="shared" si="22"/>
        <v>10.674042541975274</v>
      </c>
      <c r="R40" s="9">
        <f t="shared" si="22"/>
        <v>0.16506760852948152</v>
      </c>
      <c r="S40" s="9">
        <f t="shared" si="22"/>
        <v>48.102546192572284</v>
      </c>
      <c r="T40" s="9">
        <f t="shared" si="22"/>
        <v>0.21910171591238564</v>
      </c>
      <c r="U40" s="20" t="s">
        <v>64</v>
      </c>
      <c r="V40" s="20" t="s">
        <v>64</v>
      </c>
      <c r="W40" s="9">
        <f t="shared" si="23"/>
        <v>0.11399878752734649</v>
      </c>
      <c r="X40" s="9">
        <f t="shared" si="23"/>
        <v>0.50113339834998272</v>
      </c>
      <c r="Y40" s="9">
        <f t="shared" si="24"/>
        <v>101.17066666666669</v>
      </c>
      <c r="Z40" s="603"/>
      <c r="AA40" s="608">
        <v>0.10408490018095956</v>
      </c>
      <c r="AB40" s="600" t="s">
        <v>309</v>
      </c>
      <c r="AC40" s="600" t="s">
        <v>64</v>
      </c>
      <c r="AD40" s="600">
        <v>8.5569667977444724E-2</v>
      </c>
      <c r="AE40" s="600">
        <v>7.1406438730313403E-3</v>
      </c>
      <c r="AF40" s="600">
        <v>6.2919368804584389E-2</v>
      </c>
      <c r="AG40" s="600">
        <v>3.6736518987927425E-3</v>
      </c>
      <c r="AH40" s="600" t="s">
        <v>64</v>
      </c>
      <c r="AI40" s="600" t="s">
        <v>64</v>
      </c>
      <c r="AJ40" s="600" t="s">
        <v>309</v>
      </c>
      <c r="AK40" s="609">
        <v>3.1158393406436859E-2</v>
      </c>
      <c r="AL40" s="603"/>
      <c r="AM40" s="614">
        <v>0.99522157829439861</v>
      </c>
      <c r="AN40" s="998">
        <v>3.9270106723056787E-4</v>
      </c>
      <c r="AO40" s="999" t="s">
        <v>64</v>
      </c>
      <c r="AP40" s="998">
        <v>0.22098272927232909</v>
      </c>
      <c r="AQ40" s="998">
        <v>3.4610585759973873E-3</v>
      </c>
      <c r="AR40" s="998">
        <v>1.7751694819308523</v>
      </c>
      <c r="AS40" s="998">
        <v>5.8114019519380994E-3</v>
      </c>
      <c r="AT40" s="999" t="s">
        <v>64</v>
      </c>
      <c r="AU40" s="999" t="s">
        <v>64</v>
      </c>
      <c r="AV40" s="998">
        <v>2.2311796970834793E-3</v>
      </c>
      <c r="AW40" s="998">
        <v>0</v>
      </c>
      <c r="AX40" s="998">
        <v>3.0032701307898297</v>
      </c>
      <c r="AY40" s="998">
        <v>4</v>
      </c>
      <c r="AZ40" s="603"/>
      <c r="BA40" s="580">
        <v>40.673666666666669</v>
      </c>
      <c r="BB40" s="576">
        <v>2.1333333333333333E-2</v>
      </c>
      <c r="BC40" s="1000" t="s">
        <v>64</v>
      </c>
      <c r="BD40" s="576">
        <v>10.798999999999999</v>
      </c>
      <c r="BE40" s="576">
        <v>0.16700000000000001</v>
      </c>
      <c r="BF40" s="576">
        <v>48.665666666666674</v>
      </c>
      <c r="BG40" s="576">
        <v>0.22166666666666668</v>
      </c>
      <c r="BH40" s="1000" t="s">
        <v>64</v>
      </c>
      <c r="BI40" s="1000" t="s">
        <v>64</v>
      </c>
      <c r="BJ40" s="576">
        <v>0.11533333333333333</v>
      </c>
      <c r="BK40" s="576">
        <v>0.50700000000000001</v>
      </c>
      <c r="BL40" s="1001">
        <f t="shared" si="25"/>
        <v>101.17066666666669</v>
      </c>
      <c r="BN40" s="9"/>
      <c r="BO40" s="9"/>
      <c r="BP40" s="9"/>
      <c r="BQ40" s="9"/>
      <c r="BR40" s="9"/>
      <c r="BS40" s="9"/>
      <c r="BT40" s="9"/>
      <c r="BU40" s="9"/>
      <c r="BV40" s="9"/>
      <c r="BW40" s="9"/>
      <c r="BX40" s="9"/>
    </row>
    <row r="41" spans="1:76" ht="13.15" customHeight="1">
      <c r="A41" s="846" t="s">
        <v>103</v>
      </c>
      <c r="B41" s="41" t="s">
        <v>678</v>
      </c>
      <c r="C41" s="41" t="s">
        <v>1486</v>
      </c>
      <c r="D41" s="34" t="s">
        <v>160</v>
      </c>
      <c r="E41" s="535">
        <v>19.389810000000001</v>
      </c>
      <c r="F41" s="537">
        <v>-155.29229000000001</v>
      </c>
      <c r="G41" s="7" t="s">
        <v>873</v>
      </c>
      <c r="H41" s="7">
        <v>2001</v>
      </c>
      <c r="I41" s="7" t="s">
        <v>121</v>
      </c>
      <c r="J41" s="11" t="s">
        <v>132</v>
      </c>
      <c r="K41" s="21">
        <v>89.395375115960903</v>
      </c>
      <c r="L41" s="9">
        <v>2</v>
      </c>
      <c r="M41" s="847">
        <v>1.6</v>
      </c>
      <c r="N41" s="8">
        <f t="shared" si="21"/>
        <v>40.71637063615912</v>
      </c>
      <c r="O41" s="9">
        <f t="shared" si="21"/>
        <v>2.9155774665619711E-2</v>
      </c>
      <c r="P41" s="20" t="s">
        <v>64</v>
      </c>
      <c r="Q41" s="9">
        <f t="shared" si="22"/>
        <v>10.190605876876489</v>
      </c>
      <c r="R41" s="9">
        <f t="shared" si="22"/>
        <v>0.12689388291968579</v>
      </c>
      <c r="S41" s="9">
        <f t="shared" si="22"/>
        <v>48.207748147117378</v>
      </c>
      <c r="T41" s="9">
        <f t="shared" si="22"/>
        <v>0.22165015058294982</v>
      </c>
      <c r="U41" s="20" t="s">
        <v>64</v>
      </c>
      <c r="V41" s="20" t="s">
        <v>64</v>
      </c>
      <c r="W41" s="9">
        <f t="shared" si="23"/>
        <v>8.1503642815255101E-2</v>
      </c>
      <c r="X41" s="9">
        <f t="shared" si="23"/>
        <v>0.42607188886348801</v>
      </c>
      <c r="Y41" s="9">
        <f t="shared" si="24"/>
        <v>100.60900000000001</v>
      </c>
      <c r="Z41" s="603"/>
      <c r="AA41" s="608">
        <v>0.10541394721712148</v>
      </c>
      <c r="AB41" s="600" t="s">
        <v>309</v>
      </c>
      <c r="AC41" s="600" t="s">
        <v>64</v>
      </c>
      <c r="AD41" s="600">
        <v>8.1694143333623057E-2</v>
      </c>
      <c r="AE41" s="600">
        <v>5.4892903318083629E-3</v>
      </c>
      <c r="AF41" s="600">
        <v>6.3056975669520121E-2</v>
      </c>
      <c r="AG41" s="600">
        <v>3.7163811938486107E-3</v>
      </c>
      <c r="AH41" s="600" t="s">
        <v>64</v>
      </c>
      <c r="AI41" s="600" t="s">
        <v>64</v>
      </c>
      <c r="AJ41" s="600" t="s">
        <v>309</v>
      </c>
      <c r="AK41" s="609">
        <v>2.6491380491388997E-2</v>
      </c>
      <c r="AL41" s="603"/>
      <c r="AM41" s="614">
        <v>1.0034382172109384</v>
      </c>
      <c r="AN41" s="998">
        <v>5.4055895620144941E-4</v>
      </c>
      <c r="AO41" s="999" t="s">
        <v>64</v>
      </c>
      <c r="AP41" s="998">
        <v>0.21003415185700733</v>
      </c>
      <c r="AQ41" s="998">
        <v>2.6487946172567716E-3</v>
      </c>
      <c r="AR41" s="998">
        <v>1.7711245842230279</v>
      </c>
      <c r="AS41" s="998">
        <v>5.8527998814361442E-3</v>
      </c>
      <c r="AT41" s="999" t="s">
        <v>64</v>
      </c>
      <c r="AU41" s="999" t="s">
        <v>64</v>
      </c>
      <c r="AV41" s="998">
        <v>1.588078057995052E-3</v>
      </c>
      <c r="AW41" s="998">
        <v>0</v>
      </c>
      <c r="AX41" s="998">
        <v>2.9952271848038627</v>
      </c>
      <c r="AY41" s="998">
        <v>4</v>
      </c>
      <c r="AZ41" s="603"/>
      <c r="BA41" s="580">
        <v>40.964333333333336</v>
      </c>
      <c r="BB41" s="576">
        <v>2.9333333333333336E-2</v>
      </c>
      <c r="BC41" s="1000" t="s">
        <v>64</v>
      </c>
      <c r="BD41" s="576">
        <v>10.252666666666668</v>
      </c>
      <c r="BE41" s="576">
        <v>0.12766666666666668</v>
      </c>
      <c r="BF41" s="576">
        <v>48.501333333333328</v>
      </c>
      <c r="BG41" s="576">
        <v>0.223</v>
      </c>
      <c r="BH41" s="1000" t="s">
        <v>64</v>
      </c>
      <c r="BI41" s="1000" t="s">
        <v>64</v>
      </c>
      <c r="BJ41" s="576">
        <v>8.2000000000000003E-2</v>
      </c>
      <c r="BK41" s="576">
        <v>0.4286666666666667</v>
      </c>
      <c r="BL41" s="1001">
        <f t="shared" si="25"/>
        <v>100.60900000000001</v>
      </c>
      <c r="BN41" s="9"/>
      <c r="BO41" s="9"/>
      <c r="BP41" s="9"/>
      <c r="BQ41" s="9"/>
      <c r="BR41" s="9"/>
      <c r="BS41" s="9"/>
      <c r="BT41" s="9"/>
      <c r="BU41" s="9"/>
      <c r="BV41" s="9"/>
      <c r="BW41" s="9"/>
      <c r="BX41" s="9"/>
    </row>
    <row r="42" spans="1:76" ht="13.15" customHeight="1">
      <c r="A42" s="846" t="s">
        <v>106</v>
      </c>
      <c r="B42" s="41" t="s">
        <v>678</v>
      </c>
      <c r="C42" s="41" t="s">
        <v>1486</v>
      </c>
      <c r="D42" s="34" t="s">
        <v>160</v>
      </c>
      <c r="E42" s="535">
        <v>19.389810000000001</v>
      </c>
      <c r="F42" s="537">
        <v>-155.29229000000001</v>
      </c>
      <c r="G42" s="7" t="s">
        <v>873</v>
      </c>
      <c r="H42" s="7">
        <v>2001</v>
      </c>
      <c r="I42" s="7" t="s">
        <v>54</v>
      </c>
      <c r="J42" s="11" t="s">
        <v>132</v>
      </c>
      <c r="K42" s="21">
        <v>88.733286478786567</v>
      </c>
      <c r="L42" s="9">
        <v>2.23</v>
      </c>
      <c r="M42" s="9">
        <v>2</v>
      </c>
      <c r="N42" s="8">
        <f t="shared" si="21"/>
        <v>39.766331031039357</v>
      </c>
      <c r="O42" s="9">
        <f t="shared" si="21"/>
        <v>1.1650162270117333E-2</v>
      </c>
      <c r="P42" s="20" t="s">
        <v>64</v>
      </c>
      <c r="Q42" s="9">
        <f t="shared" si="22"/>
        <v>10.936506615627858</v>
      </c>
      <c r="R42" s="9">
        <f t="shared" si="22"/>
        <v>0.15012066239494049</v>
      </c>
      <c r="S42" s="9">
        <f t="shared" si="22"/>
        <v>48.331530332029615</v>
      </c>
      <c r="T42" s="9">
        <f t="shared" si="22"/>
        <v>0.22335025380710657</v>
      </c>
      <c r="U42" s="20" t="s">
        <v>64</v>
      </c>
      <c r="V42" s="20" t="s">
        <v>64</v>
      </c>
      <c r="W42" s="9">
        <f t="shared" si="23"/>
        <v>9.3534159940084863E-2</v>
      </c>
      <c r="X42" s="9">
        <f t="shared" si="23"/>
        <v>0.48697678289090451</v>
      </c>
      <c r="Y42" s="9">
        <f t="shared" si="24"/>
        <v>100.14166666666668</v>
      </c>
      <c r="Z42" s="603"/>
      <c r="AA42" s="608">
        <v>0.10295431186103375</v>
      </c>
      <c r="AB42" s="600" t="s">
        <v>309</v>
      </c>
      <c r="AC42" s="600" t="s">
        <v>64</v>
      </c>
      <c r="AD42" s="600">
        <v>8.7673740876736656E-2</v>
      </c>
      <c r="AE42" s="600">
        <v>6.4940553612878168E-3</v>
      </c>
      <c r="AF42" s="600">
        <v>6.3218885954118162E-2</v>
      </c>
      <c r="AG42" s="600">
        <v>3.7448866184253155E-3</v>
      </c>
      <c r="AH42" s="600" t="s">
        <v>64</v>
      </c>
      <c r="AI42" s="600" t="s">
        <v>64</v>
      </c>
      <c r="AJ42" s="600" t="s">
        <v>309</v>
      </c>
      <c r="AK42" s="609">
        <v>3.0278193852326222E-2</v>
      </c>
      <c r="AL42" s="603"/>
      <c r="AM42" s="614">
        <v>0.98660388272214883</v>
      </c>
      <c r="AN42" s="998">
        <v>2.1744837923227481E-4</v>
      </c>
      <c r="AO42" s="999" t="s">
        <v>64</v>
      </c>
      <c r="AP42" s="998">
        <v>0.22692077079521908</v>
      </c>
      <c r="AQ42" s="998">
        <v>3.1546689305198177E-3</v>
      </c>
      <c r="AR42" s="998">
        <v>1.7875925278859646</v>
      </c>
      <c r="AS42" s="998">
        <v>5.9372838589888998E-3</v>
      </c>
      <c r="AT42" s="999" t="s">
        <v>64</v>
      </c>
      <c r="AU42" s="999" t="s">
        <v>64</v>
      </c>
      <c r="AV42" s="998">
        <v>1.8347242176967144E-3</v>
      </c>
      <c r="AW42" s="998">
        <v>0</v>
      </c>
      <c r="AX42" s="998">
        <v>3.0122613067897701</v>
      </c>
      <c r="AY42" s="998">
        <v>4</v>
      </c>
      <c r="AZ42" s="603"/>
      <c r="BA42" s="580">
        <v>39.82266666666667</v>
      </c>
      <c r="BB42" s="576">
        <v>1.1666666666666667E-2</v>
      </c>
      <c r="BC42" s="1000" t="s">
        <v>64</v>
      </c>
      <c r="BD42" s="576">
        <v>10.952</v>
      </c>
      <c r="BE42" s="576">
        <v>0.15033333333333335</v>
      </c>
      <c r="BF42" s="576">
        <v>48.4</v>
      </c>
      <c r="BG42" s="576">
        <v>0.22366666666666668</v>
      </c>
      <c r="BH42" s="1000" t="s">
        <v>64</v>
      </c>
      <c r="BI42" s="1000" t="s">
        <v>64</v>
      </c>
      <c r="BJ42" s="576">
        <v>9.3666666666666662E-2</v>
      </c>
      <c r="BK42" s="576">
        <v>0.48766666666666669</v>
      </c>
      <c r="BL42" s="1001">
        <f t="shared" si="25"/>
        <v>100.14166666666668</v>
      </c>
      <c r="BN42" s="9"/>
      <c r="BO42" s="9"/>
      <c r="BP42" s="9"/>
      <c r="BQ42" s="9"/>
      <c r="BR42" s="9"/>
      <c r="BS42" s="9"/>
      <c r="BT42" s="9"/>
      <c r="BU42" s="9"/>
      <c r="BV42" s="9"/>
      <c r="BW42" s="9"/>
      <c r="BX42" s="9"/>
    </row>
    <row r="43" spans="1:76" ht="13.15" customHeight="1">
      <c r="A43" s="846" t="s">
        <v>108</v>
      </c>
      <c r="B43" s="41" t="s">
        <v>678</v>
      </c>
      <c r="C43" s="41" t="s">
        <v>1486</v>
      </c>
      <c r="D43" s="34" t="s">
        <v>160</v>
      </c>
      <c r="E43" s="535">
        <v>19.389810000000001</v>
      </c>
      <c r="F43" s="537">
        <v>-155.29229000000001</v>
      </c>
      <c r="G43" s="7" t="s">
        <v>873</v>
      </c>
      <c r="H43" s="7">
        <v>2001</v>
      </c>
      <c r="I43" s="7" t="s">
        <v>56</v>
      </c>
      <c r="J43" s="11" t="s">
        <v>132</v>
      </c>
      <c r="K43" s="21">
        <v>86.239993870357708</v>
      </c>
      <c r="L43" s="9">
        <v>2</v>
      </c>
      <c r="M43" s="9">
        <v>2</v>
      </c>
      <c r="N43" s="8">
        <f t="shared" si="21"/>
        <v>39.943268615813885</v>
      </c>
      <c r="O43" s="9">
        <f t="shared" si="21"/>
        <v>1.8556994827237695E-2</v>
      </c>
      <c r="P43" s="20" t="s">
        <v>64</v>
      </c>
      <c r="Q43" s="9">
        <f t="shared" si="22"/>
        <v>13.101238348029812</v>
      </c>
      <c r="R43" s="9">
        <f t="shared" si="22"/>
        <v>0.2107544412521995</v>
      </c>
      <c r="S43" s="9">
        <f t="shared" si="22"/>
        <v>46.078343655661705</v>
      </c>
      <c r="T43" s="9">
        <f t="shared" si="22"/>
        <v>0.23395068478624659</v>
      </c>
      <c r="U43" s="20" t="s">
        <v>64</v>
      </c>
      <c r="V43" s="20" t="s">
        <v>64</v>
      </c>
      <c r="W43" s="9">
        <f t="shared" si="23"/>
        <v>5.9978858280893249E-2</v>
      </c>
      <c r="X43" s="9">
        <f t="shared" si="23"/>
        <v>0.3539084013480332</v>
      </c>
      <c r="Y43" s="9">
        <f t="shared" si="24"/>
        <v>100.59099999999999</v>
      </c>
      <c r="Z43" s="603"/>
      <c r="AA43" s="608">
        <v>0.10341240006807996</v>
      </c>
      <c r="AB43" s="600" t="s">
        <v>309</v>
      </c>
      <c r="AC43" s="600" t="s">
        <v>64</v>
      </c>
      <c r="AD43" s="600">
        <v>0.10502755737816455</v>
      </c>
      <c r="AE43" s="600">
        <v>9.117006195512178E-3</v>
      </c>
      <c r="AF43" s="600">
        <v>6.027165977385706E-2</v>
      </c>
      <c r="AG43" s="600">
        <v>3.9226227590683739E-3</v>
      </c>
      <c r="AH43" s="600" t="s">
        <v>64</v>
      </c>
      <c r="AI43" s="600" t="s">
        <v>64</v>
      </c>
      <c r="AJ43" s="600" t="s">
        <v>309</v>
      </c>
      <c r="AK43" s="609">
        <v>2.200455454646021E-2</v>
      </c>
      <c r="AL43" s="603"/>
      <c r="AM43" s="614">
        <v>0.99818425103201758</v>
      </c>
      <c r="AN43" s="998">
        <v>3.4887645667853079E-4</v>
      </c>
      <c r="AO43" s="999" t="s">
        <v>64</v>
      </c>
      <c r="AP43" s="998">
        <v>0.2738090468918184</v>
      </c>
      <c r="AQ43" s="998">
        <v>4.4609758026386776E-3</v>
      </c>
      <c r="AR43" s="998">
        <v>1.7166219413137829</v>
      </c>
      <c r="AS43" s="998">
        <v>6.26419832325444E-3</v>
      </c>
      <c r="AT43" s="999" t="s">
        <v>64</v>
      </c>
      <c r="AU43" s="999" t="s">
        <v>64</v>
      </c>
      <c r="AV43" s="998">
        <v>1.1850551274087888E-3</v>
      </c>
      <c r="AW43" s="998">
        <v>0</v>
      </c>
      <c r="AX43" s="998">
        <v>3.0008743449475994</v>
      </c>
      <c r="AY43" s="998">
        <v>4</v>
      </c>
      <c r="AZ43" s="603"/>
      <c r="BA43" s="580">
        <v>40.179333333333339</v>
      </c>
      <c r="BB43" s="576">
        <v>1.8666666666666668E-2</v>
      </c>
      <c r="BC43" s="1000" t="s">
        <v>64</v>
      </c>
      <c r="BD43" s="576">
        <v>13.178666666666667</v>
      </c>
      <c r="BE43" s="576">
        <v>0.21199999999999999</v>
      </c>
      <c r="BF43" s="576">
        <v>46.350666666666662</v>
      </c>
      <c r="BG43" s="576">
        <v>0.23533333333333331</v>
      </c>
      <c r="BH43" s="1000" t="s">
        <v>64</v>
      </c>
      <c r="BI43" s="1000" t="s">
        <v>64</v>
      </c>
      <c r="BJ43" s="576">
        <v>6.0333333333333329E-2</v>
      </c>
      <c r="BK43" s="576">
        <v>0.35600000000000004</v>
      </c>
      <c r="BL43" s="1001">
        <f t="shared" si="25"/>
        <v>100.59099999999999</v>
      </c>
      <c r="BN43" s="9"/>
      <c r="BO43" s="9"/>
      <c r="BP43" s="9"/>
      <c r="BQ43" s="9"/>
      <c r="BR43" s="9"/>
      <c r="BS43" s="9"/>
      <c r="BT43" s="9"/>
      <c r="BU43" s="9"/>
      <c r="BV43" s="9"/>
      <c r="BW43" s="9"/>
      <c r="BX43" s="9"/>
    </row>
    <row r="44" spans="1:76" ht="13.15" customHeight="1">
      <c r="A44" s="846" t="s">
        <v>104</v>
      </c>
      <c r="B44" s="41" t="s">
        <v>678</v>
      </c>
      <c r="C44" s="41" t="s">
        <v>1486</v>
      </c>
      <c r="D44" s="34" t="s">
        <v>160</v>
      </c>
      <c r="E44" s="535">
        <v>19.389810000000001</v>
      </c>
      <c r="F44" s="537">
        <v>-155.29229000000001</v>
      </c>
      <c r="G44" s="7" t="s">
        <v>873</v>
      </c>
      <c r="H44" s="7">
        <v>2001</v>
      </c>
      <c r="I44" s="7" t="s">
        <v>122</v>
      </c>
      <c r="J44" s="11" t="s">
        <v>132</v>
      </c>
      <c r="K44" s="21">
        <v>89.510349995456522</v>
      </c>
      <c r="L44" s="9">
        <v>2.7</v>
      </c>
      <c r="M44" s="847">
        <v>1.2</v>
      </c>
      <c r="N44" s="8">
        <f t="shared" si="21"/>
        <v>40.532863547738991</v>
      </c>
      <c r="O44" s="9">
        <f t="shared" si="21"/>
        <v>1.9134525612222345E-2</v>
      </c>
      <c r="P44" s="20" t="s">
        <v>64</v>
      </c>
      <c r="Q44" s="9">
        <f t="shared" si="22"/>
        <v>10.115895842199544</v>
      </c>
      <c r="R44" s="9">
        <f t="shared" si="22"/>
        <v>0.13064262314551806</v>
      </c>
      <c r="S44" s="9">
        <f t="shared" si="22"/>
        <v>48.441690832252895</v>
      </c>
      <c r="T44" s="9">
        <f t="shared" si="22"/>
        <v>0.21047978173444576</v>
      </c>
      <c r="U44" s="20" t="s">
        <v>64</v>
      </c>
      <c r="V44" s="20" t="s">
        <v>64</v>
      </c>
      <c r="W44" s="9">
        <f t="shared" si="23"/>
        <v>0.10425017402521139</v>
      </c>
      <c r="X44" s="9">
        <f t="shared" si="23"/>
        <v>0.44504267329117136</v>
      </c>
      <c r="Y44" s="9">
        <f t="shared" si="24"/>
        <v>101.039</v>
      </c>
      <c r="Z44" s="603"/>
      <c r="AA44" s="608">
        <v>0.10493885068394698</v>
      </c>
      <c r="AB44" s="600" t="s">
        <v>309</v>
      </c>
      <c r="AC44" s="600" t="s">
        <v>64</v>
      </c>
      <c r="AD44" s="600">
        <v>8.109522189999098E-2</v>
      </c>
      <c r="AE44" s="600">
        <v>5.6514567263157038E-3</v>
      </c>
      <c r="AF44" s="600">
        <v>6.3362978724457134E-2</v>
      </c>
      <c r="AG44" s="600">
        <v>3.5290889740700504E-3</v>
      </c>
      <c r="AH44" s="600" t="s">
        <v>64</v>
      </c>
      <c r="AI44" s="600" t="s">
        <v>64</v>
      </c>
      <c r="AJ44" s="600" t="s">
        <v>309</v>
      </c>
      <c r="AK44" s="609">
        <v>2.7670905077801917E-2</v>
      </c>
      <c r="AL44" s="603"/>
      <c r="AM44" s="614">
        <v>0.99939379544064133</v>
      </c>
      <c r="AN44" s="998">
        <v>3.5493102673150173E-4</v>
      </c>
      <c r="AO44" s="999" t="s">
        <v>64</v>
      </c>
      <c r="AP44" s="998">
        <v>0.20859411154813046</v>
      </c>
      <c r="AQ44" s="998">
        <v>2.7283512049913871E-3</v>
      </c>
      <c r="AR44" s="998">
        <v>1.7805711938277915</v>
      </c>
      <c r="AS44" s="998">
        <v>5.5604995843272515E-3</v>
      </c>
      <c r="AT44" s="999" t="s">
        <v>64</v>
      </c>
      <c r="AU44" s="999" t="s">
        <v>64</v>
      </c>
      <c r="AV44" s="998">
        <v>2.0322606000088405E-3</v>
      </c>
      <c r="AW44" s="998">
        <v>0</v>
      </c>
      <c r="AX44" s="998">
        <v>2.9992351432326223</v>
      </c>
      <c r="AY44" s="998">
        <v>4</v>
      </c>
      <c r="AZ44" s="603"/>
      <c r="BA44" s="580">
        <v>40.954000000000001</v>
      </c>
      <c r="BB44" s="576">
        <v>1.9333333333333338E-2</v>
      </c>
      <c r="BC44" s="1000" t="s">
        <v>64</v>
      </c>
      <c r="BD44" s="576">
        <v>10.220999999999998</v>
      </c>
      <c r="BE44" s="576">
        <v>0.13200000000000001</v>
      </c>
      <c r="BF44" s="576">
        <v>48.945</v>
      </c>
      <c r="BG44" s="576">
        <v>0.21266666666666667</v>
      </c>
      <c r="BH44" s="1000" t="s">
        <v>64</v>
      </c>
      <c r="BI44" s="1000" t="s">
        <v>64</v>
      </c>
      <c r="BJ44" s="576">
        <v>0.10533333333333333</v>
      </c>
      <c r="BK44" s="576">
        <v>0.44966666666666666</v>
      </c>
      <c r="BL44" s="1001">
        <f t="shared" si="25"/>
        <v>101.039</v>
      </c>
      <c r="BN44" s="9"/>
      <c r="BO44" s="9"/>
      <c r="BP44" s="9"/>
      <c r="BQ44" s="9"/>
      <c r="BR44" s="9"/>
      <c r="BS44" s="9"/>
      <c r="BT44" s="9"/>
      <c r="BU44" s="9"/>
      <c r="BV44" s="9"/>
      <c r="BW44" s="9"/>
      <c r="BX44" s="9"/>
    </row>
    <row r="45" spans="1:76" ht="13.15" customHeight="1">
      <c r="A45" s="846" t="s">
        <v>107</v>
      </c>
      <c r="B45" s="41" t="s">
        <v>678</v>
      </c>
      <c r="C45" s="41" t="s">
        <v>1486</v>
      </c>
      <c r="D45" s="34" t="s">
        <v>160</v>
      </c>
      <c r="E45" s="535">
        <v>19.389810000000001</v>
      </c>
      <c r="F45" s="537">
        <v>-155.29229000000001</v>
      </c>
      <c r="G45" s="7" t="s">
        <v>873</v>
      </c>
      <c r="H45" s="7">
        <v>2001</v>
      </c>
      <c r="I45" s="7" t="s">
        <v>124</v>
      </c>
      <c r="J45" s="11" t="s">
        <v>132</v>
      </c>
      <c r="K45" s="21">
        <v>89.361146791271381</v>
      </c>
      <c r="L45" s="9">
        <v>1.4</v>
      </c>
      <c r="M45" s="847">
        <v>1.3</v>
      </c>
      <c r="N45" s="8">
        <f t="shared" si="21"/>
        <v>40.246138948122457</v>
      </c>
      <c r="O45" s="9">
        <f t="shared" si="21"/>
        <v>2.2551129712108302E-2</v>
      </c>
      <c r="P45" s="20" t="s">
        <v>64</v>
      </c>
      <c r="Q45" s="9">
        <f t="shared" si="22"/>
        <v>10.292932542275077</v>
      </c>
      <c r="R45" s="9">
        <f t="shared" si="22"/>
        <v>0.12801082454226181</v>
      </c>
      <c r="S45" s="9">
        <f t="shared" si="22"/>
        <v>48.517097404298646</v>
      </c>
      <c r="T45" s="9">
        <f t="shared" si="22"/>
        <v>0.22617456564202731</v>
      </c>
      <c r="U45" s="20" t="s">
        <v>64</v>
      </c>
      <c r="V45" s="20" t="s">
        <v>64</v>
      </c>
      <c r="W45" s="9">
        <f t="shared" si="23"/>
        <v>0.11872506524904075</v>
      </c>
      <c r="X45" s="9">
        <f t="shared" si="23"/>
        <v>0.4483695201583886</v>
      </c>
      <c r="Y45" s="9">
        <f t="shared" si="24"/>
        <v>100.51233333333333</v>
      </c>
      <c r="Z45" s="603"/>
      <c r="AA45" s="608">
        <v>0.10419652588098467</v>
      </c>
      <c r="AB45" s="600" t="s">
        <v>309</v>
      </c>
      <c r="AC45" s="600" t="s">
        <v>64</v>
      </c>
      <c r="AD45" s="600">
        <v>8.2514456607526862E-2</v>
      </c>
      <c r="AE45" s="600">
        <v>5.5376080025181596E-3</v>
      </c>
      <c r="AF45" s="600">
        <v>6.3461612462011111E-2</v>
      </c>
      <c r="AG45" s="600">
        <v>3.792241512438507E-3</v>
      </c>
      <c r="AH45" s="600" t="s">
        <v>64</v>
      </c>
      <c r="AI45" s="600" t="s">
        <v>64</v>
      </c>
      <c r="AJ45" s="600" t="s">
        <v>309</v>
      </c>
      <c r="AK45" s="609">
        <v>2.7877754598973389E-2</v>
      </c>
      <c r="AL45" s="603"/>
      <c r="AM45" s="614">
        <v>0.99401582326918347</v>
      </c>
      <c r="AN45" s="998">
        <v>4.1901954618395106E-4</v>
      </c>
      <c r="AO45" s="999" t="s">
        <v>64</v>
      </c>
      <c r="AP45" s="998">
        <v>0.21260649865950262</v>
      </c>
      <c r="AQ45" s="998">
        <v>2.6779458448950122E-3</v>
      </c>
      <c r="AR45" s="998">
        <v>1.7863829853789277</v>
      </c>
      <c r="AS45" s="998">
        <v>5.9853135451122634E-3</v>
      </c>
      <c r="AT45" s="999" t="s">
        <v>64</v>
      </c>
      <c r="AU45" s="999" t="s">
        <v>64</v>
      </c>
      <c r="AV45" s="998">
        <v>2.3183806272182293E-3</v>
      </c>
      <c r="AW45" s="998">
        <v>0</v>
      </c>
      <c r="AX45" s="998">
        <v>3.0044059668710235</v>
      </c>
      <c r="AY45" s="998">
        <v>4</v>
      </c>
      <c r="AZ45" s="603"/>
      <c r="BA45" s="580">
        <v>40.452333333333335</v>
      </c>
      <c r="BB45" s="576">
        <v>2.2666666666666668E-2</v>
      </c>
      <c r="BC45" s="1000" t="s">
        <v>64</v>
      </c>
      <c r="BD45" s="576">
        <v>10.345666666666666</v>
      </c>
      <c r="BE45" s="576">
        <v>0.12866666666666668</v>
      </c>
      <c r="BF45" s="576">
        <v>48.765666666666668</v>
      </c>
      <c r="BG45" s="576">
        <v>0.2273333333333333</v>
      </c>
      <c r="BH45" s="1000" t="s">
        <v>64</v>
      </c>
      <c r="BI45" s="1000" t="s">
        <v>64</v>
      </c>
      <c r="BJ45" s="576">
        <v>0.11933333333333333</v>
      </c>
      <c r="BK45" s="576">
        <v>0.45066666666666672</v>
      </c>
      <c r="BL45" s="1001">
        <f t="shared" si="25"/>
        <v>100.51233333333333</v>
      </c>
      <c r="BN45" s="9"/>
      <c r="BO45" s="9"/>
      <c r="BP45" s="9"/>
      <c r="BQ45" s="9"/>
      <c r="BR45" s="9"/>
      <c r="BS45" s="9"/>
      <c r="BT45" s="9"/>
      <c r="BU45" s="9"/>
      <c r="BV45" s="9"/>
      <c r="BW45" s="9"/>
      <c r="BX45" s="9"/>
    </row>
    <row r="46" spans="1:76" ht="13.15" customHeight="1">
      <c r="A46" s="846" t="s">
        <v>109</v>
      </c>
      <c r="B46" s="41" t="s">
        <v>678</v>
      </c>
      <c r="C46" s="41" t="s">
        <v>1486</v>
      </c>
      <c r="D46" s="34" t="s">
        <v>160</v>
      </c>
      <c r="E46" s="535">
        <v>19.389810000000001</v>
      </c>
      <c r="F46" s="537">
        <v>-155.29229000000001</v>
      </c>
      <c r="G46" s="7" t="s">
        <v>873</v>
      </c>
      <c r="H46" s="7">
        <v>2001</v>
      </c>
      <c r="I46" s="7" t="s">
        <v>57</v>
      </c>
      <c r="J46" s="11" t="s">
        <v>132</v>
      </c>
      <c r="K46" s="21">
        <v>89.497092175817741</v>
      </c>
      <c r="L46" s="9">
        <v>2.4</v>
      </c>
      <c r="M46" s="9">
        <v>1.3</v>
      </c>
      <c r="N46" s="8">
        <f t="shared" si="21"/>
        <v>40.596640150791195</v>
      </c>
      <c r="O46" s="9">
        <f t="shared" si="21"/>
        <v>1.4828679324866707E-2</v>
      </c>
      <c r="P46" s="20" t="s">
        <v>64</v>
      </c>
      <c r="Q46" s="9">
        <f t="shared" si="22"/>
        <v>10.114147878180752</v>
      </c>
      <c r="R46" s="9">
        <f t="shared" si="22"/>
        <v>0.15059347669920192</v>
      </c>
      <c r="S46" s="9">
        <f t="shared" si="22"/>
        <v>48.363243328741945</v>
      </c>
      <c r="T46" s="9">
        <f t="shared" si="22"/>
        <v>0.22341876849465842</v>
      </c>
      <c r="U46" s="20" t="s">
        <v>64</v>
      </c>
      <c r="V46" s="20" t="s">
        <v>64</v>
      </c>
      <c r="W46" s="9">
        <f t="shared" si="23"/>
        <v>8.2381551804815045E-2</v>
      </c>
      <c r="X46" s="9">
        <f t="shared" si="23"/>
        <v>0.45474616596257905</v>
      </c>
      <c r="Y46" s="9">
        <f>BL46</f>
        <v>101.15533333333332</v>
      </c>
      <c r="Z46" s="603"/>
      <c r="AA46" s="608">
        <v>0.1051039671558425</v>
      </c>
      <c r="AB46" s="600" t="s">
        <v>309</v>
      </c>
      <c r="AC46" s="600" t="s">
        <v>64</v>
      </c>
      <c r="AD46" s="600">
        <v>8.1081209148951588E-2</v>
      </c>
      <c r="AE46" s="600">
        <v>6.514508790006408E-3</v>
      </c>
      <c r="AF46" s="600">
        <v>6.3260367370258877E-2</v>
      </c>
      <c r="AG46" s="600">
        <v>3.7460353958822692E-3</v>
      </c>
      <c r="AH46" s="600" t="s">
        <v>64</v>
      </c>
      <c r="AI46" s="600" t="s">
        <v>64</v>
      </c>
      <c r="AJ46" s="600" t="s">
        <v>309</v>
      </c>
      <c r="AK46" s="609">
        <v>2.8274227951646868E-2</v>
      </c>
      <c r="AL46" s="603"/>
      <c r="AM46" s="614">
        <v>1.00092006852715</v>
      </c>
      <c r="AN46" s="998">
        <v>2.7504812076685199E-4</v>
      </c>
      <c r="AO46" s="999" t="s">
        <v>64</v>
      </c>
      <c r="AP46" s="998">
        <v>0.20854843602239598</v>
      </c>
      <c r="AQ46" s="998">
        <v>3.1448612143847796E-3</v>
      </c>
      <c r="AR46" s="998">
        <v>1.7776056007252841</v>
      </c>
      <c r="AS46" s="998">
        <v>5.9020519002744819E-3</v>
      </c>
      <c r="AT46" s="999" t="s">
        <v>64</v>
      </c>
      <c r="AU46" s="999" t="s">
        <v>64</v>
      </c>
      <c r="AV46" s="998">
        <v>1.6058778945517833E-3</v>
      </c>
      <c r="AW46" s="998">
        <v>0</v>
      </c>
      <c r="AX46" s="998">
        <v>2.9980019444048081</v>
      </c>
      <c r="AY46" s="998">
        <v>4</v>
      </c>
      <c r="AZ46" s="603"/>
      <c r="BA46" s="580">
        <v>41.065666666666665</v>
      </c>
      <c r="BB46" s="576">
        <v>1.4999999999999999E-2</v>
      </c>
      <c r="BC46" s="1000" t="s">
        <v>64</v>
      </c>
      <c r="BD46" s="576">
        <v>10.231</v>
      </c>
      <c r="BE46" s="576">
        <v>0.15233333333333335</v>
      </c>
      <c r="BF46" s="576">
        <v>48.922000000000004</v>
      </c>
      <c r="BG46" s="576">
        <v>0.22600000000000001</v>
      </c>
      <c r="BH46" s="1000" t="s">
        <v>64</v>
      </c>
      <c r="BI46" s="1000" t="s">
        <v>64</v>
      </c>
      <c r="BJ46" s="576">
        <v>8.3333333333333329E-2</v>
      </c>
      <c r="BK46" s="576">
        <v>0.45999999999999996</v>
      </c>
      <c r="BL46" s="1001">
        <f t="shared" si="25"/>
        <v>101.15533333333332</v>
      </c>
      <c r="BN46" s="9"/>
      <c r="BO46" s="9"/>
      <c r="BP46" s="9"/>
      <c r="BQ46" s="9"/>
      <c r="BR46" s="9"/>
      <c r="BS46" s="9"/>
      <c r="BT46" s="9"/>
      <c r="BU46" s="9"/>
      <c r="BV46" s="9"/>
      <c r="BW46" s="9"/>
      <c r="BX46" s="9"/>
    </row>
    <row r="47" spans="1:76" ht="13.15" customHeight="1">
      <c r="A47" s="846" t="s">
        <v>226</v>
      </c>
      <c r="B47" s="41" t="s">
        <v>678</v>
      </c>
      <c r="C47" s="41" t="s">
        <v>1486</v>
      </c>
      <c r="D47" s="34" t="s">
        <v>160</v>
      </c>
      <c r="E47" s="535">
        <v>19.389810000000001</v>
      </c>
      <c r="F47" s="537">
        <v>-155.29229000000001</v>
      </c>
      <c r="G47" s="34" t="s">
        <v>65</v>
      </c>
      <c r="H47" s="7">
        <v>2021</v>
      </c>
      <c r="I47" s="34" t="s">
        <v>841</v>
      </c>
      <c r="J47" s="624" t="s">
        <v>132</v>
      </c>
      <c r="K47" s="21">
        <f t="shared" ref="K47:K62" si="26">100*(S47/40.3)/((S47/40.3)+(Q47/71.85))</f>
        <v>89.220296156190912</v>
      </c>
      <c r="L47" s="623" t="s">
        <v>423</v>
      </c>
      <c r="M47" s="552" t="s">
        <v>423</v>
      </c>
      <c r="N47" s="8">
        <v>40.89331858019321</v>
      </c>
      <c r="O47" s="9" t="s">
        <v>64</v>
      </c>
      <c r="P47" s="9">
        <v>2.8899230025425649E-2</v>
      </c>
      <c r="Q47" s="9">
        <v>10.326867272453176</v>
      </c>
      <c r="R47" s="9">
        <v>0.14655350456384333</v>
      </c>
      <c r="S47" s="9">
        <v>47.940625922050586</v>
      </c>
      <c r="T47" s="9">
        <v>0.22533439949218181</v>
      </c>
      <c r="U47" s="9">
        <v>-7.5922631166766095E-3</v>
      </c>
      <c r="V47" s="9">
        <v>-5.1607540139501137E-3</v>
      </c>
      <c r="W47" s="9" t="s">
        <v>64</v>
      </c>
      <c r="X47" s="9">
        <v>0.45115410835221398</v>
      </c>
      <c r="Y47" s="9">
        <v>100.76047</v>
      </c>
      <c r="Z47" s="603"/>
      <c r="AA47" s="608">
        <v>0.10562866869219646</v>
      </c>
      <c r="AB47" s="600" t="s">
        <v>64</v>
      </c>
      <c r="AC47" s="600">
        <v>8.6488459650892885E-3</v>
      </c>
      <c r="AD47" s="600">
        <v>9.2160268136899329E-2</v>
      </c>
      <c r="AE47" s="600">
        <v>7.3161414673829925E-3</v>
      </c>
      <c r="AF47" s="600">
        <v>6.0302595722310559E-2</v>
      </c>
      <c r="AG47" s="600">
        <v>3.9314768682599437E-3</v>
      </c>
      <c r="AH47" s="600">
        <v>6.9592202180081145E-3</v>
      </c>
      <c r="AI47" s="600">
        <v>5.3919557937750781E-3</v>
      </c>
      <c r="AJ47" s="600" t="s">
        <v>64</v>
      </c>
      <c r="AK47" s="609">
        <v>2.0593109737380148E-2</v>
      </c>
      <c r="AL47" s="603"/>
      <c r="AM47" s="614">
        <v>1.0078602231694525</v>
      </c>
      <c r="AN47" s="998">
        <v>0</v>
      </c>
      <c r="AO47" s="998">
        <v>8.3943866309382916E-4</v>
      </c>
      <c r="AP47" s="998">
        <v>0.21285550074880466</v>
      </c>
      <c r="AQ47" s="998">
        <v>3.0593571351067014E-3</v>
      </c>
      <c r="AR47" s="998">
        <v>1.7614176214107091</v>
      </c>
      <c r="AS47" s="998">
        <v>5.9504459029515837E-3</v>
      </c>
      <c r="AT47" s="998">
        <v>-3.627968171639844E-4</v>
      </c>
      <c r="AU47" s="998">
        <v>-1.6226224507158104E-4</v>
      </c>
      <c r="AV47" s="29" t="s">
        <v>64</v>
      </c>
      <c r="AW47" s="998">
        <v>0</v>
      </c>
      <c r="AX47" s="998">
        <v>2.9914575279678832</v>
      </c>
      <c r="AY47" s="998">
        <v>4</v>
      </c>
      <c r="AZ47" s="603"/>
      <c r="BA47" s="580">
        <v>41.204300000000003</v>
      </c>
      <c r="BB47" s="576" t="s">
        <v>64</v>
      </c>
      <c r="BC47" s="576">
        <v>2.9118999999999999E-2</v>
      </c>
      <c r="BD47" s="576">
        <v>10.4054</v>
      </c>
      <c r="BE47" s="576">
        <v>0.14766799999999999</v>
      </c>
      <c r="BF47" s="576">
        <v>48.305199999999999</v>
      </c>
      <c r="BG47" s="576">
        <v>0.227048</v>
      </c>
      <c r="BH47" s="576">
        <v>-7.6499999999999997E-3</v>
      </c>
      <c r="BI47" s="576">
        <v>-5.1999999999999998E-3</v>
      </c>
      <c r="BJ47" s="576" t="s">
        <v>64</v>
      </c>
      <c r="BK47" s="576">
        <v>0.45458500000000002</v>
      </c>
      <c r="BL47" s="1001">
        <v>100.76</v>
      </c>
      <c r="BN47" s="9"/>
      <c r="BO47" s="9"/>
      <c r="BP47" s="9"/>
      <c r="BQ47" s="9"/>
      <c r="BR47" s="9"/>
      <c r="BS47" s="9"/>
      <c r="BT47" s="9"/>
      <c r="BU47" s="9"/>
      <c r="BV47" s="9"/>
      <c r="BW47" s="9"/>
      <c r="BX47" s="9"/>
    </row>
    <row r="48" spans="1:76" ht="13.15" customHeight="1">
      <c r="A48" s="846" t="s">
        <v>227</v>
      </c>
      <c r="B48" s="41" t="s">
        <v>678</v>
      </c>
      <c r="C48" s="41" t="s">
        <v>1486</v>
      </c>
      <c r="D48" s="34" t="s">
        <v>160</v>
      </c>
      <c r="E48" s="535">
        <v>19.389810000000001</v>
      </c>
      <c r="F48" s="537">
        <v>-155.29229000000001</v>
      </c>
      <c r="G48" s="34" t="s">
        <v>65</v>
      </c>
      <c r="H48" s="7">
        <v>2021</v>
      </c>
      <c r="I48" s="34" t="s">
        <v>663</v>
      </c>
      <c r="J48" s="624" t="s">
        <v>132</v>
      </c>
      <c r="K48" s="21">
        <f t="shared" si="26"/>
        <v>89.19767927805249</v>
      </c>
      <c r="L48" s="623" t="s">
        <v>423</v>
      </c>
      <c r="M48" s="552" t="s">
        <v>423</v>
      </c>
      <c r="N48" s="8">
        <v>40.691351105049343</v>
      </c>
      <c r="O48" s="9" t="s">
        <v>64</v>
      </c>
      <c r="P48" s="9">
        <v>4.6508083895719421E-2</v>
      </c>
      <c r="Q48" s="9">
        <v>10.372420773193824</v>
      </c>
      <c r="R48" s="9">
        <v>0.1352558233372643</v>
      </c>
      <c r="S48" s="9">
        <v>48.039102800340792</v>
      </c>
      <c r="T48" s="9">
        <v>0.21081559794026752</v>
      </c>
      <c r="U48" s="9">
        <v>5.6172996683295289E-3</v>
      </c>
      <c r="V48" s="9">
        <v>5.1426967970281184E-3</v>
      </c>
      <c r="W48" s="9" t="s">
        <v>64</v>
      </c>
      <c r="X48" s="9">
        <v>0.49378581977744301</v>
      </c>
      <c r="Y48" s="9">
        <v>100.083676</v>
      </c>
      <c r="Z48" s="603"/>
      <c r="AA48" s="608">
        <v>0.10571490943038503</v>
      </c>
      <c r="AB48" s="600" t="s">
        <v>64</v>
      </c>
      <c r="AC48" s="600">
        <v>8.6988255037714658E-3</v>
      </c>
      <c r="AD48" s="600">
        <v>9.3056691587747042E-2</v>
      </c>
      <c r="AE48" s="600">
        <v>7.3213706660814485E-3</v>
      </c>
      <c r="AF48" s="600">
        <v>6.0354407194236161E-2</v>
      </c>
      <c r="AG48" s="600">
        <v>3.8774258851163703E-3</v>
      </c>
      <c r="AH48" s="600">
        <v>7.0378024084567E-3</v>
      </c>
      <c r="AI48" s="600">
        <v>5.2153631027701255E-3</v>
      </c>
      <c r="AJ48" s="600" t="s">
        <v>64</v>
      </c>
      <c r="AK48" s="609">
        <v>2.1015425732564021E-2</v>
      </c>
      <c r="AL48" s="603"/>
      <c r="AM48" s="614">
        <v>1.0040805589459469</v>
      </c>
      <c r="AN48" s="998">
        <v>0</v>
      </c>
      <c r="AO48" s="998">
        <v>1.3525385186295299E-3</v>
      </c>
      <c r="AP48" s="998">
        <v>0.21404984001307237</v>
      </c>
      <c r="AQ48" s="998">
        <v>2.826886944506302E-3</v>
      </c>
      <c r="AR48" s="998">
        <v>1.76714433598985</v>
      </c>
      <c r="AS48" s="998">
        <v>5.5736956984587067E-3</v>
      </c>
      <c r="AT48" s="998">
        <v>2.6874371061297406E-4</v>
      </c>
      <c r="AU48" s="998">
        <v>1.6188765793608676E-4</v>
      </c>
      <c r="AV48" s="29" t="s">
        <v>64</v>
      </c>
      <c r="AW48" s="998">
        <v>0</v>
      </c>
      <c r="AX48" s="998">
        <v>2.9954584874790129</v>
      </c>
      <c r="AY48" s="998">
        <v>4</v>
      </c>
      <c r="AZ48" s="603"/>
      <c r="BA48" s="580">
        <v>40.7254</v>
      </c>
      <c r="BB48" s="576" t="s">
        <v>64</v>
      </c>
      <c r="BC48" s="576">
        <v>4.6546999999999998E-2</v>
      </c>
      <c r="BD48" s="576">
        <v>10.3811</v>
      </c>
      <c r="BE48" s="576">
        <v>0.13536899999999999</v>
      </c>
      <c r="BF48" s="576">
        <v>48.079300000000003</v>
      </c>
      <c r="BG48" s="576">
        <v>0.21099200000000001</v>
      </c>
      <c r="BH48" s="576">
        <v>5.6220000000000003E-3</v>
      </c>
      <c r="BI48" s="576">
        <v>5.1469999999999997E-3</v>
      </c>
      <c r="BJ48" s="576" t="s">
        <v>64</v>
      </c>
      <c r="BK48" s="576">
        <v>0.494199</v>
      </c>
      <c r="BL48" s="1001">
        <v>100.084</v>
      </c>
      <c r="BN48" s="9"/>
      <c r="BO48" s="9"/>
      <c r="BP48" s="9"/>
      <c r="BQ48" s="9"/>
      <c r="BR48" s="9"/>
      <c r="BS48" s="9"/>
      <c r="BT48" s="9"/>
      <c r="BU48" s="9"/>
      <c r="BV48" s="9"/>
      <c r="BW48" s="9"/>
      <c r="BX48" s="9"/>
    </row>
    <row r="49" spans="1:76" ht="13.15" customHeight="1">
      <c r="A49" s="846" t="s">
        <v>228</v>
      </c>
      <c r="B49" s="41" t="s">
        <v>678</v>
      </c>
      <c r="C49" s="41" t="s">
        <v>1486</v>
      </c>
      <c r="D49" s="34" t="s">
        <v>160</v>
      </c>
      <c r="E49" s="535">
        <v>19.389810000000001</v>
      </c>
      <c r="F49" s="537">
        <v>-155.29229000000001</v>
      </c>
      <c r="G49" s="34" t="s">
        <v>65</v>
      </c>
      <c r="H49" s="7">
        <v>2021</v>
      </c>
      <c r="I49" s="34" t="s">
        <v>584</v>
      </c>
      <c r="J49" s="624" t="s">
        <v>132</v>
      </c>
      <c r="K49" s="21">
        <f t="shared" si="26"/>
        <v>89.111057685559615</v>
      </c>
      <c r="L49" s="623" t="s">
        <v>423</v>
      </c>
      <c r="M49" s="552" t="s">
        <v>423</v>
      </c>
      <c r="N49" s="8">
        <v>40.93056868681964</v>
      </c>
      <c r="O49" s="9" t="s">
        <v>64</v>
      </c>
      <c r="P49" s="9">
        <v>5.7836565255435547E-2</v>
      </c>
      <c r="Q49" s="9">
        <v>10.413539630350211</v>
      </c>
      <c r="R49" s="9">
        <v>0.13456984281643636</v>
      </c>
      <c r="S49" s="9">
        <v>47.799411448505353</v>
      </c>
      <c r="T49" s="9">
        <v>0.22690844188537374</v>
      </c>
      <c r="U49" s="9">
        <v>-1.3499069616329841E-3</v>
      </c>
      <c r="V49" s="9">
        <v>-8.933207834335923E-5</v>
      </c>
      <c r="W49" s="9" t="s">
        <v>64</v>
      </c>
      <c r="X49" s="9">
        <v>0.43860462340752171</v>
      </c>
      <c r="Y49" s="9">
        <v>100.74768400000001</v>
      </c>
      <c r="Z49" s="603"/>
      <c r="AA49" s="608">
        <v>0.1056274720816411</v>
      </c>
      <c r="AB49" s="600" t="s">
        <v>64</v>
      </c>
      <c r="AC49" s="600">
        <v>8.7836391653429973E-3</v>
      </c>
      <c r="AD49" s="600">
        <v>9.2933031046152872E-2</v>
      </c>
      <c r="AE49" s="600">
        <v>7.2983550541965807E-3</v>
      </c>
      <c r="AF49" s="600">
        <v>6.0003557179537745E-2</v>
      </c>
      <c r="AG49" s="600">
        <v>3.9366572491135376E-3</v>
      </c>
      <c r="AH49" s="600">
        <v>6.9494560291827644E-3</v>
      </c>
      <c r="AI49" s="600">
        <v>4.9877672622231188E-3</v>
      </c>
      <c r="AJ49" s="600" t="s">
        <v>64</v>
      </c>
      <c r="AK49" s="609">
        <v>2.060818911450113E-2</v>
      </c>
      <c r="AL49" s="603"/>
      <c r="AM49" s="614">
        <v>1.0088501088923572</v>
      </c>
      <c r="AN49" s="998">
        <v>0</v>
      </c>
      <c r="AO49" s="998">
        <v>1.680103772211097E-3</v>
      </c>
      <c r="AP49" s="998">
        <v>0.21465725622687551</v>
      </c>
      <c r="AQ49" s="998">
        <v>2.8093938752730392E-3</v>
      </c>
      <c r="AR49" s="998">
        <v>1.7563541974174037</v>
      </c>
      <c r="AS49" s="998">
        <v>5.9924385029021913E-3</v>
      </c>
      <c r="AT49" s="998">
        <v>-6.4509989587030323E-5</v>
      </c>
      <c r="AU49" s="998">
        <v>-2.8089413845419758E-6</v>
      </c>
      <c r="AV49" s="29" t="s">
        <v>64</v>
      </c>
      <c r="AW49" s="998">
        <v>0</v>
      </c>
      <c r="AX49" s="998">
        <v>2.9902761797560511</v>
      </c>
      <c r="AY49" s="998">
        <v>4</v>
      </c>
      <c r="AZ49" s="603"/>
      <c r="BA49" s="580">
        <v>41.236600000000003</v>
      </c>
      <c r="BB49" s="576" t="s">
        <v>64</v>
      </c>
      <c r="BC49" s="576">
        <v>5.8269000000000001E-2</v>
      </c>
      <c r="BD49" s="576">
        <v>10.491400000000001</v>
      </c>
      <c r="BE49" s="576">
        <v>0.135576</v>
      </c>
      <c r="BF49" s="576">
        <v>48.156799999999997</v>
      </c>
      <c r="BG49" s="576">
        <v>0.228605</v>
      </c>
      <c r="BH49" s="576">
        <v>-1.3600000000000001E-3</v>
      </c>
      <c r="BI49" s="576">
        <v>-9.0000000000000006E-5</v>
      </c>
      <c r="BJ49" s="576" t="s">
        <v>64</v>
      </c>
      <c r="BK49" s="576">
        <v>0.441884</v>
      </c>
      <c r="BL49" s="1001">
        <v>100.748</v>
      </c>
      <c r="BN49" s="9"/>
      <c r="BO49" s="9"/>
      <c r="BP49" s="9"/>
      <c r="BQ49" s="9"/>
      <c r="BR49" s="9"/>
      <c r="BS49" s="9"/>
      <c r="BT49" s="9"/>
      <c r="BU49" s="9"/>
      <c r="BV49" s="9"/>
      <c r="BW49" s="9"/>
      <c r="BX49" s="9"/>
    </row>
    <row r="50" spans="1:76" ht="13.15" customHeight="1">
      <c r="A50" s="846" t="s">
        <v>229</v>
      </c>
      <c r="B50" s="41" t="s">
        <v>678</v>
      </c>
      <c r="C50" s="41" t="s">
        <v>1486</v>
      </c>
      <c r="D50" s="34" t="s">
        <v>160</v>
      </c>
      <c r="E50" s="535">
        <v>19.389810000000001</v>
      </c>
      <c r="F50" s="537">
        <v>-155.29229000000001</v>
      </c>
      <c r="G50" s="34" t="s">
        <v>65</v>
      </c>
      <c r="H50" s="7">
        <v>2021</v>
      </c>
      <c r="I50" s="34" t="s">
        <v>842</v>
      </c>
      <c r="J50" s="624" t="s">
        <v>132</v>
      </c>
      <c r="K50" s="21">
        <f t="shared" si="26"/>
        <v>88.981997909971113</v>
      </c>
      <c r="L50" s="623" t="s">
        <v>423</v>
      </c>
      <c r="M50" s="552" t="s">
        <v>423</v>
      </c>
      <c r="N50" s="8">
        <v>41.858921637772511</v>
      </c>
      <c r="O50" s="9" t="s">
        <v>64</v>
      </c>
      <c r="P50" s="9">
        <v>3.3957506508905666E-2</v>
      </c>
      <c r="Q50" s="9">
        <v>10.36089328465996</v>
      </c>
      <c r="R50" s="9">
        <v>0.13842534205236767</v>
      </c>
      <c r="S50" s="9">
        <v>46.932617545828826</v>
      </c>
      <c r="T50" s="9">
        <v>0.22634583441887729</v>
      </c>
      <c r="U50" s="9">
        <v>-4.407140405793427E-3</v>
      </c>
      <c r="V50" s="9">
        <v>-8.4225349977385486E-3</v>
      </c>
      <c r="W50" s="9" t="s">
        <v>64</v>
      </c>
      <c r="X50" s="9">
        <v>0.46166852416208842</v>
      </c>
      <c r="Y50" s="9">
        <v>102.107026</v>
      </c>
      <c r="AA50" s="608">
        <v>0.10557196767340968</v>
      </c>
      <c r="AB50" s="600" t="s">
        <v>64</v>
      </c>
      <c r="AC50" s="600">
        <v>8.5614684135448225E-3</v>
      </c>
      <c r="AD50" s="600">
        <v>9.1704266462525302E-2</v>
      </c>
      <c r="AE50" s="600">
        <v>7.1851888597754283E-3</v>
      </c>
      <c r="AF50" s="600">
        <v>5.9337377689366838E-2</v>
      </c>
      <c r="AG50" s="600">
        <v>3.8915186619968727E-3</v>
      </c>
      <c r="AH50" s="600">
        <v>6.9747404062086779E-3</v>
      </c>
      <c r="AI50" s="600">
        <v>4.9838666342118315E-3</v>
      </c>
      <c r="AJ50" s="600" t="s">
        <v>64</v>
      </c>
      <c r="AK50" s="609">
        <v>2.0025934073136156E-2</v>
      </c>
      <c r="AM50" s="614">
        <v>1.0287358261168655</v>
      </c>
      <c r="AN50" s="998">
        <v>0</v>
      </c>
      <c r="AO50" s="998">
        <v>9.8357247838995465E-4</v>
      </c>
      <c r="AP50" s="998">
        <v>0.21295182310202324</v>
      </c>
      <c r="AQ50" s="998">
        <v>2.8814922355276011E-3</v>
      </c>
      <c r="AR50" s="998">
        <v>1.7194964854115711</v>
      </c>
      <c r="AS50" s="998">
        <v>5.9602215124412656E-3</v>
      </c>
      <c r="AT50" s="998">
        <v>-2.0999888252147428E-4</v>
      </c>
      <c r="AU50" s="998">
        <v>-2.6406754323671846E-4</v>
      </c>
      <c r="AV50" s="29" t="s">
        <v>64</v>
      </c>
      <c r="AW50" s="998">
        <v>0</v>
      </c>
      <c r="AX50" s="998">
        <v>2.9705353544310604</v>
      </c>
      <c r="AY50" s="998">
        <v>4</v>
      </c>
      <c r="BA50" s="580">
        <v>42.740900000000003</v>
      </c>
      <c r="BB50" s="576" t="s">
        <v>64</v>
      </c>
      <c r="BC50" s="576">
        <v>3.4673000000000002E-2</v>
      </c>
      <c r="BD50" s="576">
        <v>10.5792</v>
      </c>
      <c r="BE50" s="576">
        <v>0.141342</v>
      </c>
      <c r="BF50" s="576">
        <v>47.921500000000002</v>
      </c>
      <c r="BG50" s="576">
        <v>0.23111499999999999</v>
      </c>
      <c r="BH50" s="576">
        <v>-4.4999999999999997E-3</v>
      </c>
      <c r="BI50" s="576">
        <v>-8.6E-3</v>
      </c>
      <c r="BJ50" s="576" t="s">
        <v>64</v>
      </c>
      <c r="BK50" s="576">
        <v>0.47139599999999998</v>
      </c>
      <c r="BL50" s="1001">
        <v>102.107</v>
      </c>
      <c r="BN50" s="9"/>
      <c r="BO50" s="9"/>
      <c r="BP50" s="9"/>
      <c r="BQ50" s="9"/>
      <c r="BR50" s="9"/>
      <c r="BS50" s="9"/>
      <c r="BT50" s="9"/>
      <c r="BU50" s="9"/>
      <c r="BV50" s="9"/>
      <c r="BW50" s="9"/>
      <c r="BX50" s="9"/>
    </row>
    <row r="51" spans="1:76" ht="13.15" customHeight="1">
      <c r="A51" s="846" t="s">
        <v>230</v>
      </c>
      <c r="B51" s="41" t="s">
        <v>678</v>
      </c>
      <c r="C51" s="41" t="s">
        <v>1486</v>
      </c>
      <c r="D51" s="34" t="s">
        <v>160</v>
      </c>
      <c r="E51" s="535">
        <v>19.389810000000001</v>
      </c>
      <c r="F51" s="537">
        <v>-155.29229000000001</v>
      </c>
      <c r="G51" s="34" t="s">
        <v>65</v>
      </c>
      <c r="H51" s="7">
        <v>2021</v>
      </c>
      <c r="I51" s="34" t="s">
        <v>843</v>
      </c>
      <c r="J51" s="624" t="s">
        <v>132</v>
      </c>
      <c r="K51" s="21">
        <f t="shared" si="26"/>
        <v>89.028626413096376</v>
      </c>
      <c r="L51" s="623" t="s">
        <v>423</v>
      </c>
      <c r="M51" s="552" t="s">
        <v>423</v>
      </c>
      <c r="N51" s="8">
        <v>40.394165057555959</v>
      </c>
      <c r="O51" s="9" t="s">
        <v>64</v>
      </c>
      <c r="P51" s="9">
        <v>5.0974925745366023E-2</v>
      </c>
      <c r="Q51" s="9">
        <v>10.571558514874395</v>
      </c>
      <c r="R51" s="9">
        <v>0.13862357803039288</v>
      </c>
      <c r="S51" s="9">
        <v>48.115606121518553</v>
      </c>
      <c r="T51" s="9">
        <v>0.22341035453242339</v>
      </c>
      <c r="U51" s="9">
        <v>2.8312018732106819E-3</v>
      </c>
      <c r="V51" s="9">
        <v>1.2824761681358461E-2</v>
      </c>
      <c r="W51" s="9" t="s">
        <v>64</v>
      </c>
      <c r="X51" s="9">
        <v>0.49000548418833051</v>
      </c>
      <c r="Y51" s="9">
        <v>97.802987000000016</v>
      </c>
      <c r="Z51" s="842"/>
      <c r="AA51" s="608">
        <v>0.10652304873163027</v>
      </c>
      <c r="AB51" s="600" t="s">
        <v>64</v>
      </c>
      <c r="AC51" s="600">
        <v>8.9370259315290617E-3</v>
      </c>
      <c r="AD51" s="600">
        <v>9.4992641915936565E-2</v>
      </c>
      <c r="AE51" s="600">
        <v>7.5648411390543732E-3</v>
      </c>
      <c r="AF51" s="600">
        <v>6.1089498156124807E-2</v>
      </c>
      <c r="AG51" s="600">
        <v>4.0032678018310421E-3</v>
      </c>
      <c r="AH51" s="600">
        <v>7.150030458681185E-3</v>
      </c>
      <c r="AI51" s="600">
        <v>5.204365238865351E-3</v>
      </c>
      <c r="AJ51" s="600" t="s">
        <v>64</v>
      </c>
      <c r="AK51" s="609">
        <v>2.1502763660991252E-2</v>
      </c>
      <c r="AL51" s="842"/>
      <c r="AM51" s="614">
        <v>0.99851726744147595</v>
      </c>
      <c r="AN51" s="998">
        <v>0</v>
      </c>
      <c r="AO51" s="998">
        <v>1.4850746763257231E-3</v>
      </c>
      <c r="AP51" s="998">
        <v>0.21854672110501888</v>
      </c>
      <c r="AQ51" s="998">
        <v>2.9024187286368079E-3</v>
      </c>
      <c r="AR51" s="998">
        <v>1.7731014794082807</v>
      </c>
      <c r="AS51" s="998">
        <v>5.9171735498958411E-3</v>
      </c>
      <c r="AT51" s="998">
        <v>1.356913143059009E-4</v>
      </c>
      <c r="AU51" s="998">
        <v>4.0442930714851256E-4</v>
      </c>
      <c r="AV51" s="29" t="s">
        <v>64</v>
      </c>
      <c r="AW51" s="998">
        <v>0</v>
      </c>
      <c r="AX51" s="998">
        <v>3.0010102555310887</v>
      </c>
      <c r="AY51" s="998">
        <v>4</v>
      </c>
      <c r="AZ51" s="842"/>
      <c r="BA51" s="580">
        <v>39.506700000000002</v>
      </c>
      <c r="BB51" s="576" t="s">
        <v>64</v>
      </c>
      <c r="BC51" s="576">
        <v>4.9854999999999997E-2</v>
      </c>
      <c r="BD51" s="576">
        <v>10.3393</v>
      </c>
      <c r="BE51" s="576">
        <v>0.135578</v>
      </c>
      <c r="BF51" s="576">
        <v>47.058500000000002</v>
      </c>
      <c r="BG51" s="576">
        <v>0.218502</v>
      </c>
      <c r="BH51" s="576">
        <v>2.7690000000000002E-3</v>
      </c>
      <c r="BI51" s="576">
        <v>1.2543E-2</v>
      </c>
      <c r="BJ51" s="576" t="s">
        <v>64</v>
      </c>
      <c r="BK51" s="576">
        <v>0.47924</v>
      </c>
      <c r="BL51" s="1001">
        <v>97.802899999999994</v>
      </c>
      <c r="BN51" s="9"/>
      <c r="BO51" s="9"/>
      <c r="BP51" s="9"/>
      <c r="BQ51" s="9"/>
      <c r="BR51" s="9"/>
      <c r="BS51" s="9"/>
      <c r="BT51" s="9"/>
      <c r="BU51" s="9"/>
      <c r="BV51" s="9"/>
      <c r="BW51" s="9"/>
      <c r="BX51" s="9"/>
    </row>
    <row r="52" spans="1:76" ht="13.15" customHeight="1">
      <c r="A52" s="846" t="s">
        <v>231</v>
      </c>
      <c r="B52" s="41" t="s">
        <v>678</v>
      </c>
      <c r="C52" s="41" t="s">
        <v>1486</v>
      </c>
      <c r="D52" s="34" t="s">
        <v>160</v>
      </c>
      <c r="E52" s="535">
        <v>19.389810000000001</v>
      </c>
      <c r="F52" s="537">
        <v>-155.29229000000001</v>
      </c>
      <c r="G52" s="34" t="s">
        <v>65</v>
      </c>
      <c r="H52" s="7">
        <v>2021</v>
      </c>
      <c r="I52" s="34" t="s">
        <v>839</v>
      </c>
      <c r="J52" s="624" t="s">
        <v>132</v>
      </c>
      <c r="K52" s="21">
        <f t="shared" si="26"/>
        <v>88.645448815760545</v>
      </c>
      <c r="L52" s="623" t="s">
        <v>423</v>
      </c>
      <c r="M52" s="552" t="s">
        <v>423</v>
      </c>
      <c r="N52" s="8">
        <v>40.456190392546695</v>
      </c>
      <c r="O52" s="9" t="s">
        <v>64</v>
      </c>
      <c r="P52" s="9">
        <v>4.0270976443919498E-2</v>
      </c>
      <c r="Q52" s="9">
        <v>10.905224535954687</v>
      </c>
      <c r="R52" s="9">
        <v>0.1512697762093205</v>
      </c>
      <c r="S52" s="9">
        <v>47.752856613789213</v>
      </c>
      <c r="T52" s="9">
        <v>0.22178064609857059</v>
      </c>
      <c r="U52" s="9">
        <v>5.4620035392336569E-3</v>
      </c>
      <c r="V52" s="9">
        <v>2.8706153209139005E-3</v>
      </c>
      <c r="W52" s="9" t="s">
        <v>64</v>
      </c>
      <c r="X52" s="9">
        <v>0.46407444009742965</v>
      </c>
      <c r="Y52" s="9">
        <v>99.560536000000013</v>
      </c>
      <c r="Z52" s="603"/>
      <c r="AA52" s="608">
        <v>0.10569503389575964</v>
      </c>
      <c r="AB52" s="600" t="s">
        <v>64</v>
      </c>
      <c r="AC52" s="600">
        <v>8.6713882737634099E-3</v>
      </c>
      <c r="AD52" s="600">
        <v>9.559378060298912E-2</v>
      </c>
      <c r="AE52" s="600">
        <v>7.4589916490606272E-3</v>
      </c>
      <c r="AF52" s="600">
        <v>6.0434105216147074E-2</v>
      </c>
      <c r="AG52" s="600">
        <v>3.9475846102315073E-3</v>
      </c>
      <c r="AH52" s="600">
        <v>7.1025163022424851E-3</v>
      </c>
      <c r="AI52" s="600">
        <v>5.0996194114503344E-3</v>
      </c>
      <c r="AJ52" s="600" t="s">
        <v>64</v>
      </c>
      <c r="AK52" s="609">
        <v>2.1146247974699529E-2</v>
      </c>
      <c r="AL52" s="603"/>
      <c r="AM52" s="614">
        <v>1.0009872501301176</v>
      </c>
      <c r="AN52" s="998">
        <v>0</v>
      </c>
      <c r="AO52" s="998">
        <v>1.1743308448809416E-3</v>
      </c>
      <c r="AP52" s="998">
        <v>0.22565580309950592</v>
      </c>
      <c r="AQ52" s="998">
        <v>3.1701641132584469E-3</v>
      </c>
      <c r="AR52" s="998">
        <v>1.7613822078985637</v>
      </c>
      <c r="AS52" s="998">
        <v>5.8795118678834348E-3</v>
      </c>
      <c r="AT52" s="998">
        <v>2.6202323653667789E-4</v>
      </c>
      <c r="AU52" s="998">
        <v>9.0609749927620951E-5</v>
      </c>
      <c r="AV52" s="29" t="s">
        <v>64</v>
      </c>
      <c r="AW52" s="998">
        <v>0</v>
      </c>
      <c r="AX52" s="998">
        <v>2.9986019009406739</v>
      </c>
      <c r="AY52" s="998">
        <v>4</v>
      </c>
      <c r="AZ52" s="603"/>
      <c r="BA52" s="580">
        <v>40.278399999999998</v>
      </c>
      <c r="BB52" s="576" t="s">
        <v>64</v>
      </c>
      <c r="BC52" s="576">
        <v>4.0093999999999998E-2</v>
      </c>
      <c r="BD52" s="576">
        <v>10.8573</v>
      </c>
      <c r="BE52" s="576">
        <v>0.15060499999999999</v>
      </c>
      <c r="BF52" s="576">
        <v>47.542999999999999</v>
      </c>
      <c r="BG52" s="576">
        <v>0.220806</v>
      </c>
      <c r="BH52" s="576">
        <v>5.4380000000000001E-3</v>
      </c>
      <c r="BI52" s="576">
        <v>2.8579999999999999E-3</v>
      </c>
      <c r="BJ52" s="576" t="s">
        <v>64</v>
      </c>
      <c r="BK52" s="576">
        <v>0.46203499999999997</v>
      </c>
      <c r="BL52" s="1001">
        <v>99.560500000000005</v>
      </c>
      <c r="BN52" s="9"/>
      <c r="BO52" s="9"/>
      <c r="BP52" s="9"/>
      <c r="BQ52" s="9"/>
      <c r="BR52" s="9"/>
      <c r="BS52" s="9"/>
      <c r="BT52" s="9"/>
      <c r="BU52" s="9"/>
      <c r="BV52" s="9"/>
      <c r="BW52" s="9"/>
      <c r="BX52" s="9"/>
    </row>
    <row r="53" spans="1:76" ht="13.15" customHeight="1">
      <c r="A53" s="846" t="s">
        <v>232</v>
      </c>
      <c r="B53" s="41" t="s">
        <v>678</v>
      </c>
      <c r="C53" s="41" t="s">
        <v>1486</v>
      </c>
      <c r="D53" s="34" t="s">
        <v>160</v>
      </c>
      <c r="E53" s="535">
        <v>19.389810000000001</v>
      </c>
      <c r="F53" s="537">
        <v>-155.29229000000001</v>
      </c>
      <c r="G53" s="34" t="s">
        <v>65</v>
      </c>
      <c r="H53" s="7">
        <v>2021</v>
      </c>
      <c r="I53" s="34" t="s">
        <v>844</v>
      </c>
      <c r="J53" s="624" t="s">
        <v>132</v>
      </c>
      <c r="K53" s="21">
        <f t="shared" si="26"/>
        <v>88.281313681103867</v>
      </c>
      <c r="L53" s="623" t="s">
        <v>423</v>
      </c>
      <c r="M53" s="552" t="s">
        <v>423</v>
      </c>
      <c r="N53" s="8">
        <v>41.116497868060257</v>
      </c>
      <c r="O53" s="9" t="s">
        <v>64</v>
      </c>
      <c r="P53" s="9">
        <v>3.1270168723225529E-2</v>
      </c>
      <c r="Q53" s="9">
        <v>11.101222330631821</v>
      </c>
      <c r="R53" s="9">
        <v>0.1501091088562311</v>
      </c>
      <c r="S53" s="9">
        <v>46.907137606694931</v>
      </c>
      <c r="T53" s="9">
        <v>0.22542848819788433</v>
      </c>
      <c r="U53" s="9">
        <v>2.174143110391422E-3</v>
      </c>
      <c r="V53" s="9">
        <v>2.8208316632998198E-3</v>
      </c>
      <c r="W53" s="9" t="s">
        <v>64</v>
      </c>
      <c r="X53" s="9">
        <v>0.46333945406195293</v>
      </c>
      <c r="Y53" s="9">
        <v>100.82133</v>
      </c>
      <c r="Z53" s="603"/>
      <c r="AA53" s="608">
        <v>0.10568296796521132</v>
      </c>
      <c r="AB53" s="600" t="s">
        <v>64</v>
      </c>
      <c r="AC53" s="600">
        <v>8.4271541200656632E-3</v>
      </c>
      <c r="AD53" s="600">
        <v>9.5755813457330891E-2</v>
      </c>
      <c r="AE53" s="600">
        <v>7.3672049535549664E-3</v>
      </c>
      <c r="AF53" s="600">
        <v>5.9537353478673616E-2</v>
      </c>
      <c r="AG53" s="600">
        <v>3.9278434355111171E-3</v>
      </c>
      <c r="AH53" s="600">
        <v>6.9668676658004814E-3</v>
      </c>
      <c r="AI53" s="600">
        <v>5.1528131993497798E-3</v>
      </c>
      <c r="AJ53" s="600" t="s">
        <v>64</v>
      </c>
      <c r="AK53" s="609">
        <v>2.066804402550532E-2</v>
      </c>
      <c r="AL53" s="603"/>
      <c r="AM53" s="614">
        <v>1.0160205017089705</v>
      </c>
      <c r="AN53" s="998">
        <v>0</v>
      </c>
      <c r="AO53" s="998">
        <v>9.1069159143667864E-4</v>
      </c>
      <c r="AP53" s="998">
        <v>0.22941694334860002</v>
      </c>
      <c r="AQ53" s="998">
        <v>3.1418064116896884E-3</v>
      </c>
      <c r="AR53" s="998">
        <v>1.727969109945207</v>
      </c>
      <c r="AS53" s="998">
        <v>5.9685552643439993E-3</v>
      </c>
      <c r="AT53" s="998">
        <v>1.0416426437300046E-4</v>
      </c>
      <c r="AU53" s="998">
        <v>8.8924185753142568E-5</v>
      </c>
      <c r="AV53" s="29" t="s">
        <v>64</v>
      </c>
      <c r="AW53" s="998">
        <v>0</v>
      </c>
      <c r="AX53" s="998">
        <v>2.9836206967203744</v>
      </c>
      <c r="AY53" s="998">
        <v>4</v>
      </c>
      <c r="AZ53" s="603"/>
      <c r="BA53" s="580">
        <v>41.4542</v>
      </c>
      <c r="BB53" s="576" t="s">
        <v>64</v>
      </c>
      <c r="BC53" s="576">
        <v>3.1526999999999999E-2</v>
      </c>
      <c r="BD53" s="576">
        <v>11.192399999999999</v>
      </c>
      <c r="BE53" s="576">
        <v>0.151342</v>
      </c>
      <c r="BF53" s="576">
        <v>47.292400000000001</v>
      </c>
      <c r="BG53" s="576">
        <v>0.22728000000000001</v>
      </c>
      <c r="BH53" s="576">
        <v>2.1919999999999999E-3</v>
      </c>
      <c r="BI53" s="576">
        <v>2.8440000000000002E-3</v>
      </c>
      <c r="BJ53" s="576" t="s">
        <v>64</v>
      </c>
      <c r="BK53" s="576">
        <v>0.46714499999999998</v>
      </c>
      <c r="BL53" s="1001">
        <v>100.821</v>
      </c>
      <c r="BN53" s="9"/>
      <c r="BO53" s="9"/>
      <c r="BP53" s="9"/>
      <c r="BQ53" s="9"/>
      <c r="BR53" s="9"/>
      <c r="BS53" s="9"/>
      <c r="BT53" s="9"/>
      <c r="BU53" s="9"/>
      <c r="BV53" s="9"/>
      <c r="BW53" s="9"/>
      <c r="BX53" s="9"/>
    </row>
    <row r="54" spans="1:76" ht="13.15" customHeight="1">
      <c r="A54" s="846" t="s">
        <v>233</v>
      </c>
      <c r="B54" s="41" t="s">
        <v>678</v>
      </c>
      <c r="C54" s="41" t="s">
        <v>1486</v>
      </c>
      <c r="D54" s="34" t="s">
        <v>160</v>
      </c>
      <c r="E54" s="535">
        <v>19.389810000000001</v>
      </c>
      <c r="F54" s="537">
        <v>-155.29229000000001</v>
      </c>
      <c r="G54" s="34" t="s">
        <v>65</v>
      </c>
      <c r="H54" s="7">
        <v>2021</v>
      </c>
      <c r="I54" s="34" t="s">
        <v>246</v>
      </c>
      <c r="J54" s="624" t="s">
        <v>132</v>
      </c>
      <c r="K54" s="21">
        <f t="shared" si="26"/>
        <v>89.034474837007977</v>
      </c>
      <c r="L54" s="623" t="s">
        <v>423</v>
      </c>
      <c r="M54" s="552" t="s">
        <v>423</v>
      </c>
      <c r="N54" s="8">
        <v>41.82123571219779</v>
      </c>
      <c r="O54" s="9" t="s">
        <v>64</v>
      </c>
      <c r="P54" s="9">
        <v>4.4701499039827459E-2</v>
      </c>
      <c r="Q54" s="9">
        <v>10.331230478307607</v>
      </c>
      <c r="R54" s="9">
        <v>0.13059586961278957</v>
      </c>
      <c r="S54" s="9">
        <v>47.049941688508461</v>
      </c>
      <c r="T54" s="9">
        <v>0.22406895385228523</v>
      </c>
      <c r="U54" s="9">
        <v>-6.4362333409642156E-3</v>
      </c>
      <c r="V54" s="9">
        <v>4.3909196759252837E-3</v>
      </c>
      <c r="W54" s="9" t="s">
        <v>64</v>
      </c>
      <c r="X54" s="9">
        <v>0.40027111214629923</v>
      </c>
      <c r="Y54" s="9">
        <v>102.23370799999998</v>
      </c>
      <c r="Z54" s="603"/>
      <c r="AA54" s="608">
        <v>0.10547064719202009</v>
      </c>
      <c r="AB54" s="600" t="s">
        <v>64</v>
      </c>
      <c r="AC54" s="600">
        <v>8.6888985773655013E-3</v>
      </c>
      <c r="AD54" s="600">
        <v>9.1528709924127968E-2</v>
      </c>
      <c r="AE54" s="600">
        <v>7.2806152542173284E-3</v>
      </c>
      <c r="AF54" s="600">
        <v>5.9346914448217034E-2</v>
      </c>
      <c r="AG54" s="600">
        <v>3.8767738188660835E-3</v>
      </c>
      <c r="AH54" s="600">
        <v>6.921525334872918E-3</v>
      </c>
      <c r="AI54" s="600">
        <v>5.0009062373048236E-3</v>
      </c>
      <c r="AJ54" s="600" t="s">
        <v>64</v>
      </c>
      <c r="AK54" s="609">
        <v>2.0396294844749252E-2</v>
      </c>
      <c r="AL54" s="603"/>
      <c r="AM54" s="614">
        <v>1.0272362374133472</v>
      </c>
      <c r="AN54" s="998">
        <v>0</v>
      </c>
      <c r="AO54" s="998">
        <v>1.2940477576095866E-3</v>
      </c>
      <c r="AP54" s="998">
        <v>0.21222368633966643</v>
      </c>
      <c r="AQ54" s="998">
        <v>2.7169955790839837E-3</v>
      </c>
      <c r="AR54" s="998">
        <v>1.7228332594488467</v>
      </c>
      <c r="AS54" s="998">
        <v>5.8969741315705983E-3</v>
      </c>
      <c r="AT54" s="998">
        <v>-3.0651343806317548E-4</v>
      </c>
      <c r="AU54" s="998">
        <v>1.3758951350933098E-4</v>
      </c>
      <c r="AV54" s="29" t="s">
        <v>64</v>
      </c>
      <c r="AW54" s="998">
        <v>0</v>
      </c>
      <c r="AX54" s="998">
        <v>2.97203227674557</v>
      </c>
      <c r="AY54" s="998">
        <v>4</v>
      </c>
      <c r="AZ54" s="603"/>
      <c r="BA54" s="580">
        <v>42.755400000000002</v>
      </c>
      <c r="BB54" s="576" t="s">
        <v>64</v>
      </c>
      <c r="BC54" s="576">
        <v>4.5699999999999998E-2</v>
      </c>
      <c r="BD54" s="576">
        <v>10.561999999999999</v>
      </c>
      <c r="BE54" s="576">
        <v>0.13351299999999999</v>
      </c>
      <c r="BF54" s="576">
        <v>48.100900000000003</v>
      </c>
      <c r="BG54" s="576">
        <v>0.229074</v>
      </c>
      <c r="BH54" s="576">
        <v>-6.5799999999999999E-3</v>
      </c>
      <c r="BI54" s="576">
        <v>4.4889999999999999E-3</v>
      </c>
      <c r="BJ54" s="576" t="s">
        <v>64</v>
      </c>
      <c r="BK54" s="576">
        <v>0.40921200000000002</v>
      </c>
      <c r="BL54" s="1001">
        <v>102.23399999999999</v>
      </c>
      <c r="BN54" s="9"/>
      <c r="BO54" s="9"/>
      <c r="BP54" s="9"/>
      <c r="BQ54" s="9"/>
      <c r="BR54" s="9"/>
      <c r="BS54" s="9"/>
      <c r="BT54" s="9"/>
      <c r="BU54" s="9"/>
      <c r="BV54" s="9"/>
      <c r="BW54" s="9"/>
      <c r="BX54" s="9"/>
    </row>
    <row r="55" spans="1:76" ht="13.15" customHeight="1">
      <c r="A55" s="846" t="s">
        <v>234</v>
      </c>
      <c r="B55" s="41" t="s">
        <v>678</v>
      </c>
      <c r="C55" s="41" t="s">
        <v>1486</v>
      </c>
      <c r="D55" s="34" t="s">
        <v>160</v>
      </c>
      <c r="E55" s="535">
        <v>19.389810000000001</v>
      </c>
      <c r="F55" s="537">
        <v>-155.29229000000001</v>
      </c>
      <c r="G55" s="34" t="s">
        <v>65</v>
      </c>
      <c r="H55" s="7">
        <v>2021</v>
      </c>
      <c r="I55" s="34" t="s">
        <v>247</v>
      </c>
      <c r="J55" s="624" t="s">
        <v>132</v>
      </c>
      <c r="K55" s="21">
        <f t="shared" si="26"/>
        <v>88.469006643741707</v>
      </c>
      <c r="L55" s="623" t="s">
        <v>423</v>
      </c>
      <c r="M55" s="552" t="s">
        <v>423</v>
      </c>
      <c r="N55" s="8">
        <v>41.811930985796941</v>
      </c>
      <c r="O55" s="9" t="s">
        <v>64</v>
      </c>
      <c r="P55" s="9">
        <v>3.2379636301611649E-2</v>
      </c>
      <c r="Q55" s="9">
        <v>10.812980128036534</v>
      </c>
      <c r="R55" s="9">
        <v>0.13945983387021693</v>
      </c>
      <c r="S55" s="9">
        <v>46.531613008303367</v>
      </c>
      <c r="T55" s="9">
        <v>0.23021864462816993</v>
      </c>
      <c r="U55" s="9">
        <v>2.5773711350515673E-3</v>
      </c>
      <c r="V55" s="9">
        <v>-1.8262515471222536E-3</v>
      </c>
      <c r="W55" s="9" t="s">
        <v>64</v>
      </c>
      <c r="X55" s="9">
        <v>0.44066664347523576</v>
      </c>
      <c r="Y55" s="9">
        <v>101.84796299999999</v>
      </c>
      <c r="Z55" s="603"/>
      <c r="AA55" s="608">
        <v>0.10564202482871454</v>
      </c>
      <c r="AB55" s="600" t="s">
        <v>64</v>
      </c>
      <c r="AC55" s="600">
        <v>8.5783370453859746E-3</v>
      </c>
      <c r="AD55" s="600">
        <v>9.3652085927334663E-2</v>
      </c>
      <c r="AE55" s="600">
        <v>7.2667080496249111E-3</v>
      </c>
      <c r="AF55" s="600">
        <v>5.920728970789528E-2</v>
      </c>
      <c r="AG55" s="600">
        <v>3.9178148505532705E-3</v>
      </c>
      <c r="AH55" s="600">
        <v>7.0518936151918923E-3</v>
      </c>
      <c r="AI55" s="600">
        <v>4.9688652094102273E-3</v>
      </c>
      <c r="AJ55" s="600" t="s">
        <v>64</v>
      </c>
      <c r="AK55" s="609">
        <v>2.0250879667568805E-2</v>
      </c>
      <c r="AL55" s="603"/>
      <c r="AM55" s="614">
        <v>1.0294816091277019</v>
      </c>
      <c r="AN55" s="998">
        <v>0</v>
      </c>
      <c r="AO55" s="998">
        <v>9.3960448473342552E-4</v>
      </c>
      <c r="AP55" s="998">
        <v>0.22265482246182383</v>
      </c>
      <c r="AQ55" s="998">
        <v>2.9083959487716561E-3</v>
      </c>
      <c r="AR55" s="998">
        <v>1.707957904729573</v>
      </c>
      <c r="AS55" s="998">
        <v>6.0734145599531421E-3</v>
      </c>
      <c r="AT55" s="998">
        <v>1.2303809447457707E-4</v>
      </c>
      <c r="AU55" s="998">
        <v>-5.7363459723648363E-5</v>
      </c>
      <c r="AV55" s="29" t="s">
        <v>64</v>
      </c>
      <c r="AW55" s="998">
        <v>0</v>
      </c>
      <c r="AX55" s="998">
        <v>2.9700814259473081</v>
      </c>
      <c r="AY55" s="998">
        <v>4</v>
      </c>
      <c r="AZ55" s="603"/>
      <c r="BA55" s="580">
        <v>42.584600000000002</v>
      </c>
      <c r="BB55" s="576" t="s">
        <v>64</v>
      </c>
      <c r="BC55" s="576">
        <v>3.2978E-2</v>
      </c>
      <c r="BD55" s="576">
        <v>11.0128</v>
      </c>
      <c r="BE55" s="576">
        <v>0.142037</v>
      </c>
      <c r="BF55" s="576">
        <v>47.391500000000001</v>
      </c>
      <c r="BG55" s="576">
        <v>0.23447299999999999</v>
      </c>
      <c r="BH55" s="576">
        <v>2.6250000000000002E-3</v>
      </c>
      <c r="BI55" s="576">
        <v>-1.8600000000000001E-3</v>
      </c>
      <c r="BJ55" s="576" t="s">
        <v>64</v>
      </c>
      <c r="BK55" s="576">
        <v>0.44880999999999999</v>
      </c>
      <c r="BL55" s="1001">
        <v>101.848</v>
      </c>
      <c r="BN55" s="9"/>
      <c r="BO55" s="9"/>
      <c r="BP55" s="9"/>
      <c r="BQ55" s="9"/>
      <c r="BR55" s="9"/>
      <c r="BS55" s="9"/>
      <c r="BT55" s="9"/>
      <c r="BU55" s="9"/>
      <c r="BV55" s="9"/>
      <c r="BW55" s="9"/>
      <c r="BX55" s="9"/>
    </row>
    <row r="56" spans="1:76" ht="13.15" customHeight="1">
      <c r="A56" s="846" t="s">
        <v>235</v>
      </c>
      <c r="B56" s="41" t="s">
        <v>678</v>
      </c>
      <c r="C56" s="41" t="s">
        <v>1486</v>
      </c>
      <c r="D56" s="34" t="s">
        <v>160</v>
      </c>
      <c r="E56" s="535">
        <v>19.389810000000001</v>
      </c>
      <c r="F56" s="537">
        <v>-155.29229000000001</v>
      </c>
      <c r="G56" s="34" t="s">
        <v>65</v>
      </c>
      <c r="H56" s="7">
        <v>2021</v>
      </c>
      <c r="I56" s="34" t="s">
        <v>845</v>
      </c>
      <c r="J56" s="624" t="s">
        <v>132</v>
      </c>
      <c r="K56" s="21">
        <f t="shared" si="26"/>
        <v>88.892319232465653</v>
      </c>
      <c r="L56" s="623" t="s">
        <v>423</v>
      </c>
      <c r="M56" s="552" t="s">
        <v>423</v>
      </c>
      <c r="N56" s="8">
        <v>42.033397901136681</v>
      </c>
      <c r="O56" s="9" t="s">
        <v>64</v>
      </c>
      <c r="P56" s="9">
        <v>3.7409621788182475E-2</v>
      </c>
      <c r="Q56" s="9">
        <v>10.410335577346435</v>
      </c>
      <c r="R56" s="9">
        <v>0.14863866666774259</v>
      </c>
      <c r="S56" s="9">
        <v>46.728716286983193</v>
      </c>
      <c r="T56" s="9">
        <v>0.22665812305629141</v>
      </c>
      <c r="U56" s="9">
        <v>-2.2240101339285122E-3</v>
      </c>
      <c r="V56" s="9">
        <v>-7.1345457836202277E-3</v>
      </c>
      <c r="W56" s="9" t="s">
        <v>64</v>
      </c>
      <c r="X56" s="9">
        <v>0.42420237893900975</v>
      </c>
      <c r="Y56" s="9">
        <v>101.61824200000001</v>
      </c>
      <c r="Z56" s="603"/>
      <c r="AA56" s="608">
        <v>0.1060342902133654</v>
      </c>
      <c r="AB56" s="600" t="s">
        <v>64</v>
      </c>
      <c r="AC56" s="600">
        <v>8.6514987732222316E-3</v>
      </c>
      <c r="AD56" s="600">
        <v>9.2069632466186518E-2</v>
      </c>
      <c r="AE56" s="600">
        <v>7.2642837812525816E-3</v>
      </c>
      <c r="AF56" s="600">
        <v>5.9317432454696464E-2</v>
      </c>
      <c r="AG56" s="600">
        <v>3.90599943462907E-3</v>
      </c>
      <c r="AH56" s="600">
        <v>7.0243136069998123E-3</v>
      </c>
      <c r="AI56" s="600">
        <v>5.1247442363744093E-3</v>
      </c>
      <c r="AJ56" s="600" t="s">
        <v>64</v>
      </c>
      <c r="AK56" s="609">
        <v>2.0311658308357666E-2</v>
      </c>
      <c r="AL56" s="603"/>
      <c r="AM56" s="614">
        <v>1.032361868792355</v>
      </c>
      <c r="AN56" s="998">
        <v>0</v>
      </c>
      <c r="AO56" s="998">
        <v>1.0828680012682154E-3</v>
      </c>
      <c r="AP56" s="998">
        <v>0.21383092695271619</v>
      </c>
      <c r="AQ56" s="998">
        <v>3.0921124310963936E-3</v>
      </c>
      <c r="AR56" s="998">
        <v>1.7109290246349129</v>
      </c>
      <c r="AS56" s="998">
        <v>5.9646204050309059E-3</v>
      </c>
      <c r="AT56" s="998">
        <v>-1.0590549299739892E-4</v>
      </c>
      <c r="AU56" s="998">
        <v>-2.2354252773928909E-4</v>
      </c>
      <c r="AV56" s="29" t="s">
        <v>64</v>
      </c>
      <c r="AW56" s="998">
        <v>0</v>
      </c>
      <c r="AX56" s="998">
        <v>2.966931973196643</v>
      </c>
      <c r="AY56" s="998">
        <v>4</v>
      </c>
      <c r="AZ56" s="603"/>
      <c r="BA56" s="580">
        <v>42.7136</v>
      </c>
      <c r="BB56" s="576" t="s">
        <v>64</v>
      </c>
      <c r="BC56" s="576">
        <v>3.8015E-2</v>
      </c>
      <c r="BD56" s="576">
        <v>10.578799999999999</v>
      </c>
      <c r="BE56" s="576">
        <v>0.15104400000000001</v>
      </c>
      <c r="BF56" s="576">
        <v>47.484900000000003</v>
      </c>
      <c r="BG56" s="576">
        <v>0.230326</v>
      </c>
      <c r="BH56" s="576">
        <v>-2.2599999999999999E-3</v>
      </c>
      <c r="BI56" s="576">
        <v>-7.2500000000000004E-3</v>
      </c>
      <c r="BJ56" s="576" t="s">
        <v>64</v>
      </c>
      <c r="BK56" s="576">
        <v>0.43106699999999998</v>
      </c>
      <c r="BL56" s="1001">
        <v>101.61799999999999</v>
      </c>
      <c r="BN56" s="9"/>
      <c r="BO56" s="9"/>
      <c r="BP56" s="9"/>
      <c r="BQ56" s="9"/>
      <c r="BR56" s="9"/>
      <c r="BS56" s="9"/>
      <c r="BT56" s="9"/>
      <c r="BU56" s="9"/>
      <c r="BV56" s="9"/>
      <c r="BW56" s="9"/>
      <c r="BX56" s="9"/>
    </row>
    <row r="57" spans="1:76" ht="13.15" customHeight="1">
      <c r="A57" s="846" t="s">
        <v>236</v>
      </c>
      <c r="B57" s="41" t="s">
        <v>678</v>
      </c>
      <c r="C57" s="41" t="s">
        <v>1486</v>
      </c>
      <c r="D57" s="34" t="s">
        <v>160</v>
      </c>
      <c r="E57" s="535">
        <v>19.389810000000001</v>
      </c>
      <c r="F57" s="537">
        <v>-155.29229000000001</v>
      </c>
      <c r="G57" s="34" t="s">
        <v>65</v>
      </c>
      <c r="H57" s="7">
        <v>2021</v>
      </c>
      <c r="I57" s="34" t="s">
        <v>846</v>
      </c>
      <c r="J57" s="624" t="s">
        <v>132</v>
      </c>
      <c r="K57" s="21">
        <f t="shared" si="26"/>
        <v>88.949695033339694</v>
      </c>
      <c r="L57" s="623" t="s">
        <v>423</v>
      </c>
      <c r="M57" s="552" t="s">
        <v>423</v>
      </c>
      <c r="N57" s="8">
        <v>41.754362276229315</v>
      </c>
      <c r="O57" s="9" t="s">
        <v>64</v>
      </c>
      <c r="P57" s="9">
        <v>6.1236401260287752E-2</v>
      </c>
      <c r="Q57" s="9">
        <v>10.404593289586989</v>
      </c>
      <c r="R57" s="9">
        <v>0.13527721534090192</v>
      </c>
      <c r="S57" s="9">
        <v>46.975734762576671</v>
      </c>
      <c r="T57" s="9">
        <v>0.22512049589636368</v>
      </c>
      <c r="U57" s="9">
        <v>1.5604825023696816E-3</v>
      </c>
      <c r="V57" s="9">
        <v>-5.4375981336511276E-3</v>
      </c>
      <c r="W57" s="9" t="s">
        <v>64</v>
      </c>
      <c r="X57" s="9">
        <v>0.44755267474075588</v>
      </c>
      <c r="Y57" s="9">
        <v>101.699314</v>
      </c>
      <c r="Z57" s="603"/>
      <c r="AA57" s="608">
        <v>0.10575795403497018</v>
      </c>
      <c r="AB57" s="600" t="s">
        <v>64</v>
      </c>
      <c r="AC57" s="600">
        <v>8.9634169980733602E-3</v>
      </c>
      <c r="AD57" s="600">
        <v>9.2000847382313733E-2</v>
      </c>
      <c r="AE57" s="600">
        <v>7.3035356899260892E-3</v>
      </c>
      <c r="AF57" s="600">
        <v>5.9449671371431277E-2</v>
      </c>
      <c r="AG57" s="600">
        <v>3.8978488261975888E-3</v>
      </c>
      <c r="AH57" s="600">
        <v>7.0152115087029985E-3</v>
      </c>
      <c r="AI57" s="600">
        <v>5.2525022931816431E-3</v>
      </c>
      <c r="AJ57" s="600" t="s">
        <v>64</v>
      </c>
      <c r="AK57" s="609">
        <v>1.9968681465245677E-2</v>
      </c>
      <c r="AL57" s="603"/>
      <c r="AM57" s="614">
        <v>1.0265216062241969</v>
      </c>
      <c r="AN57" s="998">
        <v>0</v>
      </c>
      <c r="AO57" s="998">
        <v>1.7743146846188305E-3</v>
      </c>
      <c r="AP57" s="998">
        <v>0.21392408427142237</v>
      </c>
      <c r="AQ57" s="998">
        <v>2.8169355737368623E-3</v>
      </c>
      <c r="AR57" s="998">
        <v>1.7216723663648383</v>
      </c>
      <c r="AS57" s="998">
        <v>5.9300088606695136E-3</v>
      </c>
      <c r="AT57" s="998">
        <v>7.4382267153123605E-5</v>
      </c>
      <c r="AU57" s="998">
        <v>-1.705413591320083E-4</v>
      </c>
      <c r="AV57" s="29" t="s">
        <v>64</v>
      </c>
      <c r="AW57" s="998">
        <v>0</v>
      </c>
      <c r="AX57" s="998">
        <v>2.9725431568875034</v>
      </c>
      <c r="AY57" s="998">
        <v>4</v>
      </c>
      <c r="AZ57" s="603"/>
      <c r="BA57" s="580">
        <v>42.463900000000002</v>
      </c>
      <c r="BB57" s="576" t="s">
        <v>64</v>
      </c>
      <c r="BC57" s="576">
        <v>6.2276999999999999E-2</v>
      </c>
      <c r="BD57" s="576">
        <v>10.5814</v>
      </c>
      <c r="BE57" s="576">
        <v>0.137576</v>
      </c>
      <c r="BF57" s="576">
        <v>47.774000000000001</v>
      </c>
      <c r="BG57" s="576">
        <v>0.22894600000000001</v>
      </c>
      <c r="BH57" s="576">
        <v>1.5870000000000001E-3</v>
      </c>
      <c r="BI57" s="576">
        <v>-5.5300000000000002E-3</v>
      </c>
      <c r="BJ57" s="576" t="s">
        <v>64</v>
      </c>
      <c r="BK57" s="576">
        <v>0.45515800000000001</v>
      </c>
      <c r="BL57" s="1001">
        <v>101.699</v>
      </c>
      <c r="BN57" s="9"/>
      <c r="BO57" s="9"/>
      <c r="BP57" s="9"/>
      <c r="BQ57" s="9"/>
      <c r="BR57" s="9"/>
      <c r="BS57" s="9"/>
      <c r="BT57" s="9"/>
      <c r="BU57" s="9"/>
      <c r="BV57" s="9"/>
      <c r="BW57" s="9"/>
      <c r="BX57" s="9"/>
    </row>
    <row r="58" spans="1:76" ht="13.15" customHeight="1">
      <c r="A58" s="846" t="s">
        <v>190</v>
      </c>
      <c r="B58" s="41" t="s">
        <v>678</v>
      </c>
      <c r="C58" s="41" t="s">
        <v>1486</v>
      </c>
      <c r="D58" s="34" t="s">
        <v>160</v>
      </c>
      <c r="E58" s="535">
        <v>19.389810000000001</v>
      </c>
      <c r="F58" s="537">
        <v>-155.29229000000001</v>
      </c>
      <c r="G58" s="7" t="s">
        <v>874</v>
      </c>
      <c r="H58" s="7">
        <v>2021</v>
      </c>
      <c r="I58" s="7" t="s">
        <v>847</v>
      </c>
      <c r="J58" s="624" t="s">
        <v>132</v>
      </c>
      <c r="K58" s="21">
        <f t="shared" si="26"/>
        <v>88.688592004288807</v>
      </c>
      <c r="L58" s="623" t="s">
        <v>423</v>
      </c>
      <c r="M58" s="552" t="s">
        <v>423</v>
      </c>
      <c r="N58" s="8">
        <v>40.806564199555183</v>
      </c>
      <c r="O58" s="9" t="s">
        <v>64</v>
      </c>
      <c r="P58" s="9">
        <v>4.0906131864669321E-2</v>
      </c>
      <c r="Q58" s="9">
        <v>10.804190204819724</v>
      </c>
      <c r="R58" s="9">
        <v>0.15234302165163791</v>
      </c>
      <c r="S58" s="9">
        <v>47.513999380992715</v>
      </c>
      <c r="T58" s="9">
        <v>0.22520617959273415</v>
      </c>
      <c r="U58" s="9">
        <v>1.252834863447167E-3</v>
      </c>
      <c r="V58" s="9">
        <v>-7.5000317453074701E-4</v>
      </c>
      <c r="W58" s="9" t="s">
        <v>64</v>
      </c>
      <c r="X58" s="9">
        <v>0.4562880498344053</v>
      </c>
      <c r="Y58" s="9">
        <v>100.13290950000001</v>
      </c>
      <c r="Z58" s="603"/>
      <c r="AA58" s="608">
        <v>0.10571756587178761</v>
      </c>
      <c r="AB58" s="600" t="s">
        <v>64</v>
      </c>
      <c r="AC58" s="600">
        <v>9.3508963074722187E-3</v>
      </c>
      <c r="AD58" s="600">
        <v>9.5688066842300232E-2</v>
      </c>
      <c r="AE58" s="600">
        <v>7.220815477452994E-3</v>
      </c>
      <c r="AF58" s="600">
        <v>6.0342779213860755E-2</v>
      </c>
      <c r="AG58" s="600">
        <v>3.9341717925413912E-3</v>
      </c>
      <c r="AH58" s="600">
        <v>-1.5392329132311894E-3</v>
      </c>
      <c r="AI58" s="600">
        <v>2.3280848540608921E-3</v>
      </c>
      <c r="AJ58" s="600" t="s">
        <v>64</v>
      </c>
      <c r="AK58" s="609">
        <v>2.0406524823939128E-2</v>
      </c>
      <c r="AL58" s="603"/>
      <c r="AM58" s="614">
        <v>1.0080384105431732</v>
      </c>
      <c r="AN58" s="998">
        <v>0</v>
      </c>
      <c r="AO58" s="998">
        <v>1.1909409042314425E-3</v>
      </c>
      <c r="AP58" s="998">
        <v>0.22320689466511442</v>
      </c>
      <c r="AQ58" s="998">
        <v>3.187539946107364E-3</v>
      </c>
      <c r="AR58" s="998">
        <v>1.7497633913675905</v>
      </c>
      <c r="AS58" s="998">
        <v>5.9607570338255011E-3</v>
      </c>
      <c r="AT58" s="998">
        <v>6.0004683522390005E-5</v>
      </c>
      <c r="AU58" s="998">
        <v>-2.3635594185495385E-5</v>
      </c>
      <c r="AV58" s="29" t="s">
        <v>64</v>
      </c>
      <c r="AW58" s="998">
        <v>0</v>
      </c>
      <c r="AX58" s="998">
        <v>2.9913843035493795</v>
      </c>
      <c r="AY58" s="998">
        <v>4</v>
      </c>
      <c r="AZ58" s="603"/>
      <c r="BA58" s="580">
        <v>40.860799999999998</v>
      </c>
      <c r="BB58" s="576" t="s">
        <v>64</v>
      </c>
      <c r="BC58" s="576">
        <v>4.0960499999999997E-2</v>
      </c>
      <c r="BD58" s="576">
        <v>10.81855</v>
      </c>
      <c r="BE58" s="576">
        <v>0.1525455</v>
      </c>
      <c r="BF58" s="576">
        <v>47.577150000000003</v>
      </c>
      <c r="BG58" s="576">
        <v>0.2255055</v>
      </c>
      <c r="BH58" s="576">
        <v>1.2545000000000004E-3</v>
      </c>
      <c r="BI58" s="576">
        <v>-7.5100000000000004E-4</v>
      </c>
      <c r="BJ58" s="576" t="s">
        <v>64</v>
      </c>
      <c r="BK58" s="576">
        <v>0.45689449999999998</v>
      </c>
      <c r="BL58" s="1001">
        <v>100.13290950000001</v>
      </c>
      <c r="BN58" s="9"/>
      <c r="BO58" s="9"/>
      <c r="BP58" s="9"/>
      <c r="BQ58" s="9"/>
      <c r="BR58" s="9"/>
      <c r="BS58" s="9"/>
      <c r="BT58" s="9"/>
      <c r="BU58" s="9"/>
      <c r="BV58" s="9"/>
      <c r="BW58" s="9"/>
      <c r="BX58" s="9"/>
    </row>
    <row r="59" spans="1:76" ht="13.15" customHeight="1">
      <c r="A59" s="846" t="s">
        <v>237</v>
      </c>
      <c r="B59" s="41" t="s">
        <v>678</v>
      </c>
      <c r="C59" s="41" t="s">
        <v>1486</v>
      </c>
      <c r="D59" s="34" t="s">
        <v>160</v>
      </c>
      <c r="E59" s="535">
        <v>19.389810000000001</v>
      </c>
      <c r="F59" s="537">
        <v>-155.29229000000001</v>
      </c>
      <c r="G59" s="34" t="s">
        <v>65</v>
      </c>
      <c r="H59" s="7">
        <v>2021</v>
      </c>
      <c r="I59" s="34" t="s">
        <v>848</v>
      </c>
      <c r="J59" s="624" t="s">
        <v>132</v>
      </c>
      <c r="K59" s="21">
        <f t="shared" si="26"/>
        <v>88.484558557351974</v>
      </c>
      <c r="L59" s="623" t="s">
        <v>423</v>
      </c>
      <c r="M59" s="552" t="s">
        <v>423</v>
      </c>
      <c r="N59" s="8">
        <v>40.379386910059743</v>
      </c>
      <c r="O59" s="9" t="s">
        <v>64</v>
      </c>
      <c r="P59" s="9">
        <v>4.3967726885539654E-2</v>
      </c>
      <c r="Q59" s="9">
        <v>11.064465405672488</v>
      </c>
      <c r="R59" s="9">
        <v>0.1407253590685181</v>
      </c>
      <c r="S59" s="9">
        <v>47.686517365680309</v>
      </c>
      <c r="T59" s="9">
        <v>0.2346086750666847</v>
      </c>
      <c r="U59" s="9">
        <v>5.4022327179536842E-3</v>
      </c>
      <c r="V59" s="9">
        <v>-2.9033496816281848E-3</v>
      </c>
      <c r="W59" s="9" t="s">
        <v>64</v>
      </c>
      <c r="X59" s="9">
        <v>0.44782967453039596</v>
      </c>
      <c r="Y59" s="9">
        <v>99.884626999999995</v>
      </c>
      <c r="Z59" s="603"/>
      <c r="AA59" s="608">
        <v>0.10538414292721944</v>
      </c>
      <c r="AB59" s="600" t="s">
        <v>64</v>
      </c>
      <c r="AC59" s="600">
        <v>8.6731177731684365E-3</v>
      </c>
      <c r="AD59" s="600">
        <v>9.6105614579709051E-2</v>
      </c>
      <c r="AE59" s="600">
        <v>7.4078532640463272E-3</v>
      </c>
      <c r="AF59" s="600">
        <v>6.0277665410914533E-2</v>
      </c>
      <c r="AG59" s="600">
        <v>3.9984356491615074E-3</v>
      </c>
      <c r="AH59" s="600">
        <v>7.0724410073634246E-3</v>
      </c>
      <c r="AI59" s="600">
        <v>5.4466840027344744E-3</v>
      </c>
      <c r="AJ59" s="600" t="s">
        <v>64</v>
      </c>
      <c r="AK59" s="609">
        <v>2.0340871646845112E-2</v>
      </c>
      <c r="AL59" s="603"/>
      <c r="AM59" s="614">
        <v>0.99977784837189865</v>
      </c>
      <c r="AN59" s="998">
        <v>0</v>
      </c>
      <c r="AO59" s="998">
        <v>1.2830174100226049E-3</v>
      </c>
      <c r="AP59" s="998">
        <v>0.22910921532128845</v>
      </c>
      <c r="AQ59" s="998">
        <v>2.9512240036365482E-3</v>
      </c>
      <c r="AR59" s="998">
        <v>1.7601516332436151</v>
      </c>
      <c r="AS59" s="998">
        <v>6.2238901944160936E-3</v>
      </c>
      <c r="AT59" s="998">
        <v>2.5933512728108359E-4</v>
      </c>
      <c r="AU59" s="998">
        <v>-9.1706370855418497E-5</v>
      </c>
      <c r="AV59" s="29" t="s">
        <v>64</v>
      </c>
      <c r="AW59" s="998">
        <v>0</v>
      </c>
      <c r="AX59" s="998">
        <v>2.9996644573013036</v>
      </c>
      <c r="AY59" s="998">
        <v>4</v>
      </c>
      <c r="AZ59" s="603"/>
      <c r="BA59" s="580">
        <v>40.332799999999999</v>
      </c>
      <c r="BB59" s="576" t="s">
        <v>64</v>
      </c>
      <c r="BC59" s="576">
        <v>4.3916999999999998E-2</v>
      </c>
      <c r="BD59" s="576">
        <v>11.0517</v>
      </c>
      <c r="BE59" s="576">
        <v>0.14056299999999999</v>
      </c>
      <c r="BF59" s="576">
        <v>47.631500000000003</v>
      </c>
      <c r="BG59" s="576">
        <v>0.23433799999999999</v>
      </c>
      <c r="BH59" s="576">
        <v>5.3959999999999998E-3</v>
      </c>
      <c r="BI59" s="576">
        <v>-2.8999999999999998E-3</v>
      </c>
      <c r="BJ59" s="576" t="s">
        <v>64</v>
      </c>
      <c r="BK59" s="576">
        <v>0.44731300000000002</v>
      </c>
      <c r="BL59" s="1001">
        <v>99.884699999999995</v>
      </c>
      <c r="BN59" s="9"/>
      <c r="BO59" s="9"/>
      <c r="BP59" s="9"/>
      <c r="BQ59" s="9"/>
      <c r="BR59" s="9"/>
      <c r="BS59" s="9"/>
      <c r="BT59" s="9"/>
      <c r="BU59" s="9"/>
      <c r="BV59" s="9"/>
      <c r="BW59" s="9"/>
      <c r="BX59" s="9"/>
    </row>
    <row r="60" spans="1:76" ht="13.15" customHeight="1">
      <c r="A60" s="846" t="s">
        <v>238</v>
      </c>
      <c r="B60" s="41" t="s">
        <v>678</v>
      </c>
      <c r="C60" s="41" t="s">
        <v>1486</v>
      </c>
      <c r="D60" s="34" t="s">
        <v>160</v>
      </c>
      <c r="E60" s="535">
        <v>19.389810000000001</v>
      </c>
      <c r="F60" s="537">
        <v>-155.29229000000001</v>
      </c>
      <c r="G60" s="34" t="s">
        <v>65</v>
      </c>
      <c r="H60" s="7">
        <v>2021</v>
      </c>
      <c r="I60" s="34" t="s">
        <v>850</v>
      </c>
      <c r="J60" s="624" t="s">
        <v>132</v>
      </c>
      <c r="K60" s="21">
        <f t="shared" si="26"/>
        <v>88.53271504461533</v>
      </c>
      <c r="L60" s="623" t="s">
        <v>423</v>
      </c>
      <c r="M60" s="552" t="s">
        <v>423</v>
      </c>
      <c r="N60" s="8">
        <v>40.73358405994513</v>
      </c>
      <c r="O60" s="9" t="s">
        <v>64</v>
      </c>
      <c r="P60" s="9">
        <v>4.9365344790286265E-2</v>
      </c>
      <c r="Q60" s="9">
        <v>10.951685371492763</v>
      </c>
      <c r="R60" s="9">
        <v>0.15651861991141058</v>
      </c>
      <c r="S60" s="9">
        <v>47.424461761163549</v>
      </c>
      <c r="T60" s="9">
        <v>0.23250378124575871</v>
      </c>
      <c r="U60" s="9">
        <v>-2.6576364693042835E-3</v>
      </c>
      <c r="V60" s="9">
        <v>1.0660861122114141E-3</v>
      </c>
      <c r="W60" s="9" t="s">
        <v>64</v>
      </c>
      <c r="X60" s="9">
        <v>0.45347261180820625</v>
      </c>
      <c r="Y60" s="9">
        <v>98.960110999999998</v>
      </c>
      <c r="Z60" s="603"/>
      <c r="AA60" s="608">
        <v>0.10626251540886006</v>
      </c>
      <c r="AB60" s="600" t="s">
        <v>64</v>
      </c>
      <c r="AC60" s="600">
        <v>8.8052965502433619E-3</v>
      </c>
      <c r="AD60" s="600">
        <v>9.6080449966350595E-2</v>
      </c>
      <c r="AE60" s="600">
        <v>7.4916541790257295E-3</v>
      </c>
      <c r="AF60" s="600">
        <v>6.0370865577343578E-2</v>
      </c>
      <c r="AG60" s="600">
        <v>4.014573039636142E-3</v>
      </c>
      <c r="AH60" s="600">
        <v>7.0783489723450282E-3</v>
      </c>
      <c r="AI60" s="600">
        <v>5.191231697385626E-3</v>
      </c>
      <c r="AJ60" s="600" t="s">
        <v>64</v>
      </c>
      <c r="AK60" s="609">
        <v>2.108316609901539E-2</v>
      </c>
      <c r="AL60" s="603"/>
      <c r="AM60" s="614">
        <v>1.0070590938569486</v>
      </c>
      <c r="AN60" s="998">
        <v>0</v>
      </c>
      <c r="AO60" s="998">
        <v>1.4383986033182953E-3</v>
      </c>
      <c r="AP60" s="998">
        <v>0.22643920577751428</v>
      </c>
      <c r="AQ60" s="998">
        <v>3.2775879987194806E-3</v>
      </c>
      <c r="AR60" s="998">
        <v>1.7478953582502854</v>
      </c>
      <c r="AS60" s="998">
        <v>6.1589462948763701E-3</v>
      </c>
      <c r="AT60" s="998">
        <v>-1.273920053527636E-4</v>
      </c>
      <c r="AU60" s="998">
        <v>3.362412481347313E-5</v>
      </c>
      <c r="AV60" s="29" t="s">
        <v>64</v>
      </c>
      <c r="AW60" s="998">
        <v>0</v>
      </c>
      <c r="AX60" s="998">
        <v>2.9921748229011236</v>
      </c>
      <c r="AY60" s="998">
        <v>4</v>
      </c>
      <c r="AZ60" s="603"/>
      <c r="BA60" s="580">
        <v>40.31</v>
      </c>
      <c r="BB60" s="576" t="s">
        <v>64</v>
      </c>
      <c r="BC60" s="576">
        <v>4.8852E-2</v>
      </c>
      <c r="BD60" s="576">
        <v>10.8378</v>
      </c>
      <c r="BE60" s="576">
        <v>0.154891</v>
      </c>
      <c r="BF60" s="576">
        <v>46.9313</v>
      </c>
      <c r="BG60" s="576">
        <v>0.23008600000000001</v>
      </c>
      <c r="BH60" s="576">
        <v>-2.63E-3</v>
      </c>
      <c r="BI60" s="576">
        <v>1.0549999999999999E-3</v>
      </c>
      <c r="BJ60" s="576" t="s">
        <v>64</v>
      </c>
      <c r="BK60" s="576">
        <v>0.44875700000000002</v>
      </c>
      <c r="BL60" s="1001">
        <v>98.960099999999997</v>
      </c>
      <c r="BN60" s="9"/>
      <c r="BO60" s="9"/>
      <c r="BP60" s="9"/>
      <c r="BQ60" s="9"/>
      <c r="BR60" s="9"/>
      <c r="BS60" s="9"/>
      <c r="BT60" s="9"/>
      <c r="BU60" s="9"/>
      <c r="BV60" s="9"/>
      <c r="BW60" s="9"/>
      <c r="BX60" s="9"/>
    </row>
    <row r="61" spans="1:76" ht="13.15" customHeight="1">
      <c r="A61" s="846" t="s">
        <v>239</v>
      </c>
      <c r="B61" s="41" t="s">
        <v>678</v>
      </c>
      <c r="C61" s="41" t="s">
        <v>1486</v>
      </c>
      <c r="D61" s="34" t="s">
        <v>160</v>
      </c>
      <c r="E61" s="535">
        <v>19.389810000000001</v>
      </c>
      <c r="F61" s="537">
        <v>-155.29229000000001</v>
      </c>
      <c r="G61" s="34" t="s">
        <v>65</v>
      </c>
      <c r="H61" s="7">
        <v>2021</v>
      </c>
      <c r="I61" s="34" t="s">
        <v>849</v>
      </c>
      <c r="J61" s="624" t="s">
        <v>132</v>
      </c>
      <c r="K61" s="21">
        <f t="shared" si="26"/>
        <v>88.426821431725955</v>
      </c>
      <c r="L61" s="623" t="s">
        <v>423</v>
      </c>
      <c r="M61" s="552" t="s">
        <v>423</v>
      </c>
      <c r="N61" s="8">
        <v>40.608159492516478</v>
      </c>
      <c r="O61" s="9" t="s">
        <v>64</v>
      </c>
      <c r="P61" s="9">
        <v>3.5550666556092819E-2</v>
      </c>
      <c r="Q61" s="9">
        <v>11.070222876030675</v>
      </c>
      <c r="R61" s="9">
        <v>0.14700708285955044</v>
      </c>
      <c r="S61" s="9">
        <v>47.442328725445734</v>
      </c>
      <c r="T61" s="9">
        <v>0.23138534320196474</v>
      </c>
      <c r="U61" s="9">
        <v>2.0972060023447367E-3</v>
      </c>
      <c r="V61" s="9">
        <v>5.9457806710706317E-3</v>
      </c>
      <c r="W61" s="9" t="s">
        <v>64</v>
      </c>
      <c r="X61" s="9">
        <v>0.45730282671608541</v>
      </c>
      <c r="Y61" s="9">
        <v>99.179575</v>
      </c>
      <c r="Z61" s="603"/>
      <c r="AA61" s="608">
        <v>0.10602506186379605</v>
      </c>
      <c r="AB61" s="600" t="s">
        <v>64</v>
      </c>
      <c r="AC61" s="600">
        <v>8.6833214076587825E-3</v>
      </c>
      <c r="AD61" s="600">
        <v>9.6363854686814299E-2</v>
      </c>
      <c r="AE61" s="600">
        <v>7.4725758316669518E-3</v>
      </c>
      <c r="AF61" s="600">
        <v>6.0413535822269854E-2</v>
      </c>
      <c r="AG61" s="600">
        <v>4.0046555503993643E-3</v>
      </c>
      <c r="AH61" s="600">
        <v>7.1030689534614354E-3</v>
      </c>
      <c r="AI61" s="600">
        <v>5.3653951824254136E-3</v>
      </c>
      <c r="AJ61" s="600" t="s">
        <v>64</v>
      </c>
      <c r="AK61" s="609">
        <v>2.0687053702438229E-2</v>
      </c>
      <c r="AL61" s="603"/>
      <c r="AM61" s="614">
        <v>1.004896291925875</v>
      </c>
      <c r="AN61" s="998">
        <v>0</v>
      </c>
      <c r="AO61" s="998">
        <v>1.0368368699695213E-3</v>
      </c>
      <c r="AP61" s="998">
        <v>0.22910398081126016</v>
      </c>
      <c r="AQ61" s="998">
        <v>3.0812874633149522E-3</v>
      </c>
      <c r="AR61" s="998">
        <v>1.7501876832392789</v>
      </c>
      <c r="AS61" s="998">
        <v>6.1350463605938108E-3</v>
      </c>
      <c r="AT61" s="998">
        <v>1.0062208168281943E-4</v>
      </c>
      <c r="AU61" s="998">
        <v>1.8770385601285633E-4</v>
      </c>
      <c r="AV61" s="29" t="s">
        <v>64</v>
      </c>
      <c r="AW61" s="998">
        <v>0</v>
      </c>
      <c r="AX61" s="998">
        <v>2.9947294526079884</v>
      </c>
      <c r="AY61" s="998">
        <v>4</v>
      </c>
      <c r="AZ61" s="603"/>
      <c r="BA61" s="580">
        <v>40.274999999999999</v>
      </c>
      <c r="BB61" s="576" t="s">
        <v>64</v>
      </c>
      <c r="BC61" s="576">
        <v>3.5258999999999999E-2</v>
      </c>
      <c r="BD61" s="576">
        <v>10.9794</v>
      </c>
      <c r="BE61" s="576">
        <v>0.14580099999999999</v>
      </c>
      <c r="BF61" s="576">
        <v>47.053100000000001</v>
      </c>
      <c r="BG61" s="576">
        <v>0.229487</v>
      </c>
      <c r="BH61" s="576">
        <v>2.0799999999999998E-3</v>
      </c>
      <c r="BI61" s="576">
        <v>5.8970000000000003E-3</v>
      </c>
      <c r="BJ61" s="576" t="s">
        <v>64</v>
      </c>
      <c r="BK61" s="576">
        <v>0.45355099999999998</v>
      </c>
      <c r="BL61" s="1001">
        <v>99.179599999999994</v>
      </c>
      <c r="BN61" s="9"/>
      <c r="BO61" s="9"/>
      <c r="BP61" s="9"/>
      <c r="BQ61" s="9"/>
      <c r="BR61" s="9"/>
      <c r="BS61" s="9"/>
      <c r="BT61" s="9"/>
      <c r="BU61" s="9"/>
      <c r="BV61" s="9"/>
      <c r="BW61" s="9"/>
      <c r="BX61" s="9"/>
    </row>
    <row r="62" spans="1:76" ht="13.15" customHeight="1">
      <c r="A62" s="846" t="s">
        <v>240</v>
      </c>
      <c r="B62" s="41" t="s">
        <v>678</v>
      </c>
      <c r="C62" s="41" t="s">
        <v>1486</v>
      </c>
      <c r="D62" s="34" t="s">
        <v>160</v>
      </c>
      <c r="E62" s="535">
        <v>19.389810000000001</v>
      </c>
      <c r="F62" s="537">
        <v>-155.29229000000001</v>
      </c>
      <c r="G62" s="34" t="s">
        <v>65</v>
      </c>
      <c r="H62" s="7">
        <v>2021</v>
      </c>
      <c r="I62" s="34" t="s">
        <v>851</v>
      </c>
      <c r="J62" s="624" t="s">
        <v>132</v>
      </c>
      <c r="K62" s="21">
        <f t="shared" si="26"/>
        <v>89.039670038900226</v>
      </c>
      <c r="L62" s="623" t="s">
        <v>423</v>
      </c>
      <c r="M62" s="552" t="s">
        <v>423</v>
      </c>
      <c r="N62" s="8">
        <v>42.078162866254068</v>
      </c>
      <c r="O62" s="9" t="s">
        <v>64</v>
      </c>
      <c r="P62" s="9">
        <v>4.6342913216426557E-2</v>
      </c>
      <c r="Q62" s="9">
        <v>10.270724320834134</v>
      </c>
      <c r="R62" s="9">
        <v>0.1400051450869228</v>
      </c>
      <c r="S62" s="9">
        <v>46.799289440097589</v>
      </c>
      <c r="T62" s="9">
        <v>0.21587499094934043</v>
      </c>
      <c r="U62" s="9">
        <v>-5.2061859351193521E-3</v>
      </c>
      <c r="V62" s="9">
        <v>4.4105235563558281E-3</v>
      </c>
      <c r="W62" s="9" t="s">
        <v>64</v>
      </c>
      <c r="X62" s="9">
        <v>0.45039598594027241</v>
      </c>
      <c r="Y62" s="9">
        <v>101.801973</v>
      </c>
      <c r="Z62" s="603"/>
      <c r="AA62" s="608">
        <v>0.10611271111611952</v>
      </c>
      <c r="AB62" s="600" t="s">
        <v>64</v>
      </c>
      <c r="AC62" s="600">
        <v>8.7667815789778444E-3</v>
      </c>
      <c r="AD62" s="600">
        <v>9.1380174891109403E-2</v>
      </c>
      <c r="AE62" s="600">
        <v>7.2421721445418341E-3</v>
      </c>
      <c r="AF62" s="600">
        <v>5.9291891763237244E-2</v>
      </c>
      <c r="AG62" s="600">
        <v>3.8515768260208474E-3</v>
      </c>
      <c r="AH62" s="600">
        <v>6.9523406977583828E-3</v>
      </c>
      <c r="AI62" s="600">
        <v>5.1016967028723508E-3</v>
      </c>
      <c r="AJ62" s="600" t="s">
        <v>64</v>
      </c>
      <c r="AK62" s="609">
        <v>2.0172875893476046E-2</v>
      </c>
      <c r="AL62" s="603"/>
      <c r="AM62" s="614">
        <v>1.0329578564398716</v>
      </c>
      <c r="AN62" s="998">
        <v>0</v>
      </c>
      <c r="AO62" s="998">
        <v>1.3407997205495206E-3</v>
      </c>
      <c r="AP62" s="998">
        <v>0.21086050315952343</v>
      </c>
      <c r="AQ62" s="998">
        <v>2.9110914488532863E-3</v>
      </c>
      <c r="AR62" s="998">
        <v>1.7126782376697394</v>
      </c>
      <c r="AS62" s="998">
        <v>5.6780894634855007E-3</v>
      </c>
      <c r="AT62" s="998">
        <v>-2.4779342339292202E-4</v>
      </c>
      <c r="AU62" s="998">
        <v>1.3812501905346679E-4</v>
      </c>
      <c r="AV62" s="29" t="s">
        <v>64</v>
      </c>
      <c r="AW62" s="998">
        <v>0</v>
      </c>
      <c r="AX62" s="998">
        <v>2.9663169094976829</v>
      </c>
      <c r="AY62" s="998">
        <v>4</v>
      </c>
      <c r="AZ62" s="603"/>
      <c r="BA62" s="580">
        <v>42.836399999999998</v>
      </c>
      <c r="BB62" s="576" t="s">
        <v>64</v>
      </c>
      <c r="BC62" s="576">
        <v>4.7177999999999998E-2</v>
      </c>
      <c r="BD62" s="576">
        <v>10.4558</v>
      </c>
      <c r="BE62" s="576">
        <v>0.14252799999999999</v>
      </c>
      <c r="BF62" s="576">
        <v>47.642600000000002</v>
      </c>
      <c r="BG62" s="576">
        <v>0.21976499999999999</v>
      </c>
      <c r="BH62" s="576">
        <v>-5.3E-3</v>
      </c>
      <c r="BI62" s="576">
        <v>4.4900000000000001E-3</v>
      </c>
      <c r="BJ62" s="576" t="s">
        <v>64</v>
      </c>
      <c r="BK62" s="576">
        <v>0.45851199999999998</v>
      </c>
      <c r="BL62" s="1001">
        <v>101.80200000000001</v>
      </c>
      <c r="BN62" s="9"/>
      <c r="BO62" s="9"/>
      <c r="BP62" s="9"/>
      <c r="BQ62" s="9"/>
      <c r="BR62" s="9"/>
      <c r="BS62" s="9"/>
      <c r="BT62" s="9"/>
      <c r="BU62" s="9"/>
      <c r="BV62" s="9"/>
      <c r="BW62" s="9"/>
      <c r="BX62" s="9"/>
    </row>
    <row r="63" spans="1:76" ht="13.15" customHeight="1">
      <c r="A63" s="846"/>
      <c r="B63" s="41"/>
      <c r="C63" s="12"/>
      <c r="E63" s="535"/>
      <c r="F63" s="537"/>
      <c r="K63" s="21"/>
      <c r="M63" s="552"/>
      <c r="N63" s="8"/>
      <c r="O63" s="9"/>
      <c r="P63" s="9"/>
      <c r="Q63" s="9"/>
      <c r="R63" s="9"/>
      <c r="S63" s="9"/>
      <c r="T63" s="9"/>
      <c r="U63" s="9"/>
      <c r="V63" s="9"/>
      <c r="W63" s="9"/>
      <c r="X63" s="9"/>
      <c r="Y63" s="9"/>
      <c r="Z63" s="603"/>
      <c r="AL63" s="603"/>
      <c r="AM63" s="614"/>
      <c r="AN63" s="998"/>
      <c r="AO63" s="998"/>
      <c r="AP63" s="998"/>
      <c r="AQ63" s="998"/>
      <c r="AR63" s="998"/>
      <c r="AS63" s="998"/>
      <c r="AT63" s="998"/>
      <c r="AU63" s="998"/>
      <c r="AV63" s="998"/>
      <c r="AW63" s="998"/>
      <c r="AX63" s="998"/>
      <c r="AY63" s="998"/>
      <c r="AZ63" s="603"/>
      <c r="BA63" s="580"/>
      <c r="BB63" s="576"/>
      <c r="BC63" s="576"/>
      <c r="BD63" s="576"/>
      <c r="BE63" s="576"/>
      <c r="BF63" s="576"/>
      <c r="BG63" s="576"/>
      <c r="BH63" s="576"/>
      <c r="BI63" s="576"/>
      <c r="BJ63" s="576"/>
      <c r="BK63" s="576"/>
      <c r="BL63" s="1001"/>
      <c r="BN63" s="9"/>
      <c r="BO63" s="9"/>
      <c r="BP63" s="9"/>
      <c r="BQ63" s="9"/>
      <c r="BR63" s="9"/>
      <c r="BS63" s="9"/>
      <c r="BT63" s="9"/>
      <c r="BU63" s="9"/>
      <c r="BV63" s="9"/>
      <c r="BW63" s="9"/>
      <c r="BX63" s="9"/>
    </row>
    <row r="64" spans="1:76" ht="13.15" customHeight="1">
      <c r="A64" s="837" t="s">
        <v>1487</v>
      </c>
      <c r="B64" s="41"/>
      <c r="C64" s="12"/>
      <c r="E64" s="535"/>
      <c r="F64" s="537"/>
      <c r="K64" s="21"/>
      <c r="M64" s="552"/>
      <c r="N64" s="8"/>
      <c r="O64" s="9"/>
      <c r="P64" s="9"/>
      <c r="Q64" s="9"/>
      <c r="R64" s="9"/>
      <c r="S64" s="9"/>
      <c r="T64" s="9"/>
      <c r="U64" s="9"/>
      <c r="V64" s="9"/>
      <c r="W64" s="9"/>
      <c r="X64" s="9"/>
      <c r="Y64" s="9"/>
      <c r="Z64" s="605"/>
      <c r="AL64" s="605"/>
      <c r="AM64" s="614"/>
      <c r="AN64" s="998"/>
      <c r="AO64" s="998"/>
      <c r="AP64" s="998"/>
      <c r="AQ64" s="998"/>
      <c r="AR64" s="998"/>
      <c r="AS64" s="998"/>
      <c r="AT64" s="998"/>
      <c r="AU64" s="998"/>
      <c r="AV64" s="998"/>
      <c r="AW64" s="998"/>
      <c r="AX64" s="998"/>
      <c r="AY64" s="998"/>
      <c r="AZ64" s="605"/>
      <c r="BA64" s="580"/>
      <c r="BB64" s="576"/>
      <c r="BC64" s="576"/>
      <c r="BD64" s="576"/>
      <c r="BE64" s="576"/>
      <c r="BF64" s="576"/>
      <c r="BG64" s="576"/>
      <c r="BH64" s="576"/>
      <c r="BI64" s="576"/>
      <c r="BJ64" s="576"/>
      <c r="BK64" s="576"/>
      <c r="BL64" s="1001"/>
      <c r="BN64" s="9"/>
      <c r="BO64" s="9"/>
      <c r="BP64" s="9"/>
      <c r="BQ64" s="9"/>
      <c r="BR64" s="9"/>
      <c r="BS64" s="9"/>
      <c r="BT64" s="9"/>
      <c r="BU64" s="9"/>
      <c r="BV64" s="9"/>
      <c r="BW64" s="9"/>
      <c r="BX64" s="9"/>
    </row>
    <row r="65" spans="1:76" s="960" customFormat="1" ht="13.15" customHeight="1">
      <c r="A65" s="846" t="s">
        <v>66</v>
      </c>
      <c r="B65" s="41" t="s">
        <v>679</v>
      </c>
      <c r="C65" s="41" t="s">
        <v>1488</v>
      </c>
      <c r="D65" s="34" t="s">
        <v>160</v>
      </c>
      <c r="E65" s="535">
        <v>19.389810000000001</v>
      </c>
      <c r="F65" s="537">
        <v>-155.29229000000001</v>
      </c>
      <c r="G65" s="7" t="s">
        <v>875</v>
      </c>
      <c r="H65" s="7">
        <v>2001</v>
      </c>
      <c r="I65" s="7" t="s">
        <v>113</v>
      </c>
      <c r="J65" s="11" t="s">
        <v>132</v>
      </c>
      <c r="K65" s="21">
        <v>89.726937942763243</v>
      </c>
      <c r="L65" s="9">
        <v>1.21</v>
      </c>
      <c r="M65" s="847">
        <v>1.41</v>
      </c>
      <c r="N65" s="8">
        <f t="shared" ref="N65:N75" si="27">100*(BA65/$BL65)</f>
        <v>40.562568135707707</v>
      </c>
      <c r="O65" s="9">
        <f t="shared" ref="O65:O75" si="28">100*(BB65/$BL65)</f>
        <v>2.085977019486502E-2</v>
      </c>
      <c r="P65" s="20" t="s">
        <v>64</v>
      </c>
      <c r="Q65" s="9">
        <f t="shared" ref="Q65:Q75" si="29">100*(BD65/$BL65)</f>
        <v>9.9118674709266976</v>
      </c>
      <c r="R65" s="9">
        <f t="shared" ref="R65:R75" si="30">100*(BE65/$BL65)</f>
        <v>0.16141488841264598</v>
      </c>
      <c r="S65" s="9">
        <f t="shared" ref="S65:S75" si="31">100*(BF65/$BL65)</f>
        <v>48.58240478384063</v>
      </c>
      <c r="T65" s="9">
        <f t="shared" ref="T65:T75" si="32">100*(BG65/$BL65)</f>
        <v>0.21132933852178729</v>
      </c>
      <c r="U65" s="20" t="s">
        <v>64</v>
      </c>
      <c r="V65" s="20" t="s">
        <v>64</v>
      </c>
      <c r="W65" s="9">
        <f t="shared" ref="W65:W75" si="33">100*(BJ65/$BL65)</f>
        <v>9.6352271852471763E-2</v>
      </c>
      <c r="X65" s="9">
        <f t="shared" ref="X65:X75" si="34">100*(BK65/$BL65)</f>
        <v>0.45320334054319844</v>
      </c>
      <c r="Y65" s="9">
        <f t="shared" ref="Y65:Y75" si="35">BL65</f>
        <v>100.67224999999999</v>
      </c>
      <c r="Z65" s="605"/>
      <c r="AA65" s="608">
        <v>0.10501575532498736</v>
      </c>
      <c r="AB65" s="600" t="s">
        <v>309</v>
      </c>
      <c r="AC65" s="600" t="s">
        <v>64</v>
      </c>
      <c r="AD65" s="600">
        <v>7.9459605410817286E-2</v>
      </c>
      <c r="AE65" s="600">
        <v>6.9826312032256737E-3</v>
      </c>
      <c r="AF65" s="600">
        <v>6.3547036195769666E-2</v>
      </c>
      <c r="AG65" s="600">
        <v>3.5433333896920504E-3</v>
      </c>
      <c r="AH65" s="600" t="s">
        <v>64</v>
      </c>
      <c r="AI65" s="600" t="s">
        <v>64</v>
      </c>
      <c r="AJ65" s="600" t="s">
        <v>309</v>
      </c>
      <c r="AK65" s="609">
        <v>2.8178301474719183E-2</v>
      </c>
      <c r="AL65" s="605"/>
      <c r="AM65" s="614">
        <v>0.99939463619504276</v>
      </c>
      <c r="AN65" s="998">
        <v>3.8664998159205284E-4</v>
      </c>
      <c r="AO65" s="999" t="s">
        <v>64</v>
      </c>
      <c r="AP65" s="998">
        <v>0.20423745513995115</v>
      </c>
      <c r="AQ65" s="998">
        <v>3.3685359023113873E-3</v>
      </c>
      <c r="AR65" s="998">
        <v>1.7844371904544498</v>
      </c>
      <c r="AS65" s="998">
        <v>5.5788595746295465E-3</v>
      </c>
      <c r="AT65" s="999" t="s">
        <v>64</v>
      </c>
      <c r="AU65" s="999" t="s">
        <v>64</v>
      </c>
      <c r="AV65" s="998">
        <v>1.8769243835918975E-3</v>
      </c>
      <c r="AW65" s="998">
        <v>0</v>
      </c>
      <c r="AX65" s="998">
        <v>2.9992802516315686</v>
      </c>
      <c r="AY65" s="998">
        <v>4</v>
      </c>
      <c r="AZ65" s="605"/>
      <c r="BA65" s="580">
        <v>40.835250000000002</v>
      </c>
      <c r="BB65" s="576">
        <v>2.0999999999999998E-2</v>
      </c>
      <c r="BC65" s="1000" t="s">
        <v>64</v>
      </c>
      <c r="BD65" s="576">
        <v>9.9785000000000004</v>
      </c>
      <c r="BE65" s="576">
        <v>0.16249999999999998</v>
      </c>
      <c r="BF65" s="576">
        <v>48.908999999999999</v>
      </c>
      <c r="BG65" s="576">
        <v>0.21274999999999999</v>
      </c>
      <c r="BH65" s="1000" t="s">
        <v>64</v>
      </c>
      <c r="BI65" s="1000" t="s">
        <v>64</v>
      </c>
      <c r="BJ65" s="576">
        <v>9.7000000000000003E-2</v>
      </c>
      <c r="BK65" s="576">
        <v>0.45625000000000004</v>
      </c>
      <c r="BL65" s="1001">
        <f t="shared" ref="BL65:BL75" si="36">SUM(BA65:BK65)</f>
        <v>100.67224999999999</v>
      </c>
      <c r="BN65" s="9"/>
      <c r="BO65" s="9"/>
      <c r="BP65" s="9"/>
      <c r="BQ65" s="9"/>
      <c r="BR65" s="9"/>
      <c r="BS65" s="9"/>
      <c r="BT65" s="9"/>
      <c r="BU65" s="9"/>
      <c r="BV65" s="9"/>
      <c r="BW65" s="9"/>
      <c r="BX65" s="9"/>
    </row>
    <row r="66" spans="1:76" s="960" customFormat="1" ht="13.15" customHeight="1">
      <c r="A66" s="846" t="s">
        <v>72</v>
      </c>
      <c r="B66" s="41" t="s">
        <v>679</v>
      </c>
      <c r="C66" s="41" t="s">
        <v>1488</v>
      </c>
      <c r="D66" s="34" t="s">
        <v>160</v>
      </c>
      <c r="E66" s="535">
        <v>19.389810000000001</v>
      </c>
      <c r="F66" s="537">
        <v>-155.29229000000001</v>
      </c>
      <c r="G66" s="7" t="s">
        <v>873</v>
      </c>
      <c r="H66" s="7">
        <v>2001</v>
      </c>
      <c r="I66" s="7" t="s">
        <v>112</v>
      </c>
      <c r="J66" s="11" t="s">
        <v>132</v>
      </c>
      <c r="K66" s="21">
        <v>82.107372029557112</v>
      </c>
      <c r="L66" s="9">
        <v>1.57</v>
      </c>
      <c r="M66" s="847">
        <v>1.1499999999999999</v>
      </c>
      <c r="N66" s="8">
        <f t="shared" si="27"/>
        <v>39.208522687894181</v>
      </c>
      <c r="O66" s="9">
        <f t="shared" si="28"/>
        <v>1.4521308369884129E-2</v>
      </c>
      <c r="P66" s="20" t="s">
        <v>64</v>
      </c>
      <c r="Q66" s="9">
        <f t="shared" si="29"/>
        <v>16.784652297171974</v>
      </c>
      <c r="R66" s="9">
        <f t="shared" si="30"/>
        <v>0.24026164757444649</v>
      </c>
      <c r="S66" s="9">
        <f t="shared" si="31"/>
        <v>43.223004392695778</v>
      </c>
      <c r="T66" s="9">
        <f t="shared" si="32"/>
        <v>0.21220912004171583</v>
      </c>
      <c r="U66" s="20" t="s">
        <v>64</v>
      </c>
      <c r="V66" s="20" t="s">
        <v>64</v>
      </c>
      <c r="W66" s="9">
        <f t="shared" si="33"/>
        <v>2.0461843612109454E-2</v>
      </c>
      <c r="X66" s="9">
        <f t="shared" si="34"/>
        <v>0.29636670263990789</v>
      </c>
      <c r="Y66" s="9">
        <f t="shared" si="35"/>
        <v>101.00099999999999</v>
      </c>
      <c r="Z66" s="605"/>
      <c r="AA66" s="608">
        <v>0.10151015614865411</v>
      </c>
      <c r="AB66" s="600" t="s">
        <v>309</v>
      </c>
      <c r="AC66" s="600" t="s">
        <v>64</v>
      </c>
      <c r="AD66" s="600">
        <v>0.13455606144886845</v>
      </c>
      <c r="AE66" s="600">
        <v>1.0393455608648208E-2</v>
      </c>
      <c r="AF66" s="600">
        <v>5.653680250809958E-2</v>
      </c>
      <c r="AG66" s="600">
        <v>3.5580845797397848E-3</v>
      </c>
      <c r="AH66" s="600" t="s">
        <v>64</v>
      </c>
      <c r="AI66" s="600" t="s">
        <v>64</v>
      </c>
      <c r="AJ66" s="600" t="s">
        <v>309</v>
      </c>
      <c r="AK66" s="609">
        <v>1.8426850702482338E-2</v>
      </c>
      <c r="AL66" s="605"/>
      <c r="AM66" s="614">
        <v>0.99661480949256509</v>
      </c>
      <c r="AN66" s="998">
        <v>2.776831383088226E-4</v>
      </c>
      <c r="AO66" s="999" t="s">
        <v>64</v>
      </c>
      <c r="AP66" s="998">
        <v>0.35680221320321587</v>
      </c>
      <c r="AQ66" s="998">
        <v>5.1727004338028258E-3</v>
      </c>
      <c r="AR66" s="998">
        <v>1.6378438549389915</v>
      </c>
      <c r="AS66" s="998">
        <v>5.7794294614559498E-3</v>
      </c>
      <c r="AT66" s="999" t="s">
        <v>64</v>
      </c>
      <c r="AU66" s="999" t="s">
        <v>64</v>
      </c>
      <c r="AV66" s="998">
        <v>4.1121113385740127E-4</v>
      </c>
      <c r="AW66" s="998">
        <v>0</v>
      </c>
      <c r="AX66" s="998">
        <v>3.0029019018021978</v>
      </c>
      <c r="AY66" s="998">
        <v>4</v>
      </c>
      <c r="AZ66" s="605"/>
      <c r="BA66" s="580">
        <v>39.600999999999999</v>
      </c>
      <c r="BB66" s="576">
        <v>1.4666666666666668E-2</v>
      </c>
      <c r="BC66" s="1000" t="s">
        <v>64</v>
      </c>
      <c r="BD66" s="576">
        <v>16.952666666666662</v>
      </c>
      <c r="BE66" s="576">
        <v>0.24266666666666667</v>
      </c>
      <c r="BF66" s="576">
        <v>43.655666666666662</v>
      </c>
      <c r="BG66" s="576">
        <v>0.21433333333333335</v>
      </c>
      <c r="BH66" s="1000" t="s">
        <v>64</v>
      </c>
      <c r="BI66" s="1000" t="s">
        <v>64</v>
      </c>
      <c r="BJ66" s="576">
        <v>2.0666666666666667E-2</v>
      </c>
      <c r="BK66" s="576">
        <v>0.29933333333333334</v>
      </c>
      <c r="BL66" s="1001">
        <f t="shared" si="36"/>
        <v>101.00099999999999</v>
      </c>
      <c r="BN66" s="9"/>
      <c r="BO66" s="9"/>
      <c r="BP66" s="9"/>
      <c r="BQ66" s="9"/>
      <c r="BR66" s="9"/>
      <c r="BS66" s="9"/>
      <c r="BT66" s="9"/>
      <c r="BU66" s="9"/>
      <c r="BV66" s="9"/>
      <c r="BW66" s="9"/>
      <c r="BX66" s="9"/>
    </row>
    <row r="67" spans="1:76" s="960" customFormat="1" ht="13.15" customHeight="1">
      <c r="A67" s="846" t="s">
        <v>67</v>
      </c>
      <c r="B67" s="41" t="s">
        <v>679</v>
      </c>
      <c r="C67" s="41" t="s">
        <v>1488</v>
      </c>
      <c r="D67" s="34" t="s">
        <v>160</v>
      </c>
      <c r="E67" s="535">
        <v>19.389810000000001</v>
      </c>
      <c r="F67" s="537">
        <v>-155.29229000000001</v>
      </c>
      <c r="G67" s="7" t="s">
        <v>873</v>
      </c>
      <c r="H67" s="7">
        <v>2001</v>
      </c>
      <c r="I67" s="7" t="s">
        <v>2</v>
      </c>
      <c r="J67" s="11" t="s">
        <v>132</v>
      </c>
      <c r="K67" s="21">
        <v>88.491433846700886</v>
      </c>
      <c r="L67" s="9">
        <v>1.1499999999999999</v>
      </c>
      <c r="M67" s="9">
        <v>1.57</v>
      </c>
      <c r="N67" s="8">
        <f t="shared" si="27"/>
        <v>40.288087984341317</v>
      </c>
      <c r="O67" s="9">
        <f t="shared" si="28"/>
        <v>2.4425424886867372E-2</v>
      </c>
      <c r="P67" s="20" t="s">
        <v>64</v>
      </c>
      <c r="Q67" s="9">
        <f t="shared" si="29"/>
        <v>11.06636784029733</v>
      </c>
      <c r="R67" s="9">
        <f t="shared" si="30"/>
        <v>0.1125549984651591</v>
      </c>
      <c r="S67" s="9">
        <f t="shared" si="31"/>
        <v>47.750055287279309</v>
      </c>
      <c r="T67" s="9">
        <f t="shared" si="32"/>
        <v>0.21850853074467841</v>
      </c>
      <c r="U67" s="20" t="s">
        <v>64</v>
      </c>
      <c r="V67" s="20" t="s">
        <v>64</v>
      </c>
      <c r="W67" s="9">
        <f t="shared" si="33"/>
        <v>0.10727382551664726</v>
      </c>
      <c r="X67" s="9">
        <f t="shared" si="34"/>
        <v>0.43272610846869092</v>
      </c>
      <c r="Y67" s="9">
        <f t="shared" si="35"/>
        <v>100.98766666666667</v>
      </c>
      <c r="Z67" s="605"/>
      <c r="AA67" s="608">
        <v>0.10430513117710251</v>
      </c>
      <c r="AB67" s="600" t="s">
        <v>309</v>
      </c>
      <c r="AC67" s="600" t="s">
        <v>64</v>
      </c>
      <c r="AD67" s="600">
        <v>8.8714788055854865E-2</v>
      </c>
      <c r="AE67" s="600">
        <v>4.8690059020619087E-3</v>
      </c>
      <c r="AF67" s="600">
        <v>6.2458301625695316E-2</v>
      </c>
      <c r="AG67" s="600">
        <v>3.6637060350252731E-3</v>
      </c>
      <c r="AH67" s="600" t="s">
        <v>64</v>
      </c>
      <c r="AI67" s="600" t="s">
        <v>64</v>
      </c>
      <c r="AJ67" s="600" t="s">
        <v>309</v>
      </c>
      <c r="AK67" s="609">
        <v>2.6905112230192284E-2</v>
      </c>
      <c r="AL67" s="605"/>
      <c r="AM67" s="614">
        <v>0.99779240702786265</v>
      </c>
      <c r="AN67" s="998">
        <v>4.5509552871500416E-4</v>
      </c>
      <c r="AO67" s="999" t="s">
        <v>64</v>
      </c>
      <c r="AP67" s="998">
        <v>0.22921180066837968</v>
      </c>
      <c r="AQ67" s="998">
        <v>2.3610997973946826E-3</v>
      </c>
      <c r="AR67" s="998">
        <v>1.7629829163357931</v>
      </c>
      <c r="AS67" s="998">
        <v>5.7983710107543662E-3</v>
      </c>
      <c r="AT67" s="999" t="s">
        <v>64</v>
      </c>
      <c r="AU67" s="999" t="s">
        <v>64</v>
      </c>
      <c r="AV67" s="998">
        <v>2.1005380496819676E-3</v>
      </c>
      <c r="AW67" s="998">
        <v>0</v>
      </c>
      <c r="AX67" s="998">
        <v>3.0007022284185818</v>
      </c>
      <c r="AY67" s="998">
        <v>4</v>
      </c>
      <c r="AZ67" s="605"/>
      <c r="BA67" s="580">
        <v>40.686</v>
      </c>
      <c r="BB67" s="576">
        <v>2.4666666666666667E-2</v>
      </c>
      <c r="BC67" s="1000" t="s">
        <v>64</v>
      </c>
      <c r="BD67" s="576">
        <v>11.175666666666666</v>
      </c>
      <c r="BE67" s="576">
        <v>0.11366666666666665</v>
      </c>
      <c r="BF67" s="576">
        <v>48.221666666666671</v>
      </c>
      <c r="BG67" s="576">
        <v>0.22066666666666668</v>
      </c>
      <c r="BH67" s="1000" t="s">
        <v>64</v>
      </c>
      <c r="BI67" s="1000" t="s">
        <v>64</v>
      </c>
      <c r="BJ67" s="576">
        <v>0.10833333333333334</v>
      </c>
      <c r="BK67" s="576">
        <v>0.437</v>
      </c>
      <c r="BL67" s="1001">
        <f t="shared" si="36"/>
        <v>100.98766666666667</v>
      </c>
      <c r="BN67" s="9"/>
      <c r="BO67" s="9"/>
      <c r="BP67" s="9"/>
      <c r="BQ67" s="9"/>
      <c r="BR67" s="9"/>
      <c r="BS67" s="9"/>
      <c r="BT67" s="9"/>
      <c r="BU67" s="9"/>
      <c r="BV67" s="9"/>
      <c r="BW67" s="9"/>
      <c r="BX67" s="9"/>
    </row>
    <row r="68" spans="1:76" s="960" customFormat="1" ht="13.15" customHeight="1">
      <c r="A68" s="846" t="s">
        <v>73</v>
      </c>
      <c r="B68" s="41" t="s">
        <v>679</v>
      </c>
      <c r="C68" s="41" t="s">
        <v>1488</v>
      </c>
      <c r="D68" s="34" t="s">
        <v>160</v>
      </c>
      <c r="E68" s="535">
        <v>19.389810000000001</v>
      </c>
      <c r="F68" s="537">
        <v>-155.29229000000001</v>
      </c>
      <c r="G68" s="7" t="s">
        <v>874</v>
      </c>
      <c r="H68" s="7">
        <v>2001</v>
      </c>
      <c r="I68" s="7" t="s">
        <v>9</v>
      </c>
      <c r="J68" s="11" t="s">
        <v>132</v>
      </c>
      <c r="K68" s="21">
        <v>88.478168142973033</v>
      </c>
      <c r="L68" s="9">
        <v>0.96499999999999997</v>
      </c>
      <c r="M68" s="9">
        <v>1.1950000000000001</v>
      </c>
      <c r="N68" s="8">
        <f t="shared" si="27"/>
        <v>40.113642518452139</v>
      </c>
      <c r="O68" s="9">
        <f t="shared" si="28"/>
        <v>0</v>
      </c>
      <c r="P68" s="20" t="s">
        <v>64</v>
      </c>
      <c r="Q68" s="9">
        <f t="shared" si="29"/>
        <v>11.08851609853614</v>
      </c>
      <c r="R68" s="9">
        <f t="shared" si="30"/>
        <v>0.16248713643503224</v>
      </c>
      <c r="S68" s="9">
        <f t="shared" si="31"/>
        <v>47.784020128709514</v>
      </c>
      <c r="T68" s="9">
        <f t="shared" si="32"/>
        <v>0.21960382681825569</v>
      </c>
      <c r="U68" s="20" t="s">
        <v>64</v>
      </c>
      <c r="V68" s="20" t="s">
        <v>64</v>
      </c>
      <c r="W68" s="9">
        <f t="shared" si="33"/>
        <v>0.12605062705263106</v>
      </c>
      <c r="X68" s="9">
        <f t="shared" si="34"/>
        <v>0.50567966399629749</v>
      </c>
      <c r="Y68" s="9">
        <f t="shared" si="35"/>
        <v>101.54649999999998</v>
      </c>
      <c r="Z68" s="605"/>
      <c r="AA68" s="608">
        <v>0.10385349502078024</v>
      </c>
      <c r="AB68" s="600" t="s">
        <v>309</v>
      </c>
      <c r="AC68" s="600" t="s">
        <v>64</v>
      </c>
      <c r="AD68" s="600">
        <v>8.8892342070308217E-2</v>
      </c>
      <c r="AE68" s="600">
        <v>7.0290154777640354E-3</v>
      </c>
      <c r="AF68" s="600">
        <v>6.2502728512700029E-2</v>
      </c>
      <c r="AG68" s="600">
        <v>3.6820707314571643E-3</v>
      </c>
      <c r="AH68" s="600" t="s">
        <v>64</v>
      </c>
      <c r="AI68" s="600" t="s">
        <v>64</v>
      </c>
      <c r="AJ68" s="600" t="s">
        <v>309</v>
      </c>
      <c r="AK68" s="609">
        <v>3.1441061322812922E-2</v>
      </c>
      <c r="AL68" s="605"/>
      <c r="AM68" s="614">
        <v>0.99501682811871495</v>
      </c>
      <c r="AN68" s="998">
        <v>0</v>
      </c>
      <c r="AO68" s="999" t="s">
        <v>64</v>
      </c>
      <c r="AP68" s="998">
        <v>0.23002767534382784</v>
      </c>
      <c r="AQ68" s="998">
        <v>3.413841319736721E-3</v>
      </c>
      <c r="AR68" s="998">
        <v>1.7669802604117799</v>
      </c>
      <c r="AS68" s="998">
        <v>5.8364973873792064E-3</v>
      </c>
      <c r="AT68" s="999" t="s">
        <v>64</v>
      </c>
      <c r="AU68" s="999" t="s">
        <v>64</v>
      </c>
      <c r="AV68" s="998">
        <v>2.4720461998977337E-3</v>
      </c>
      <c r="AW68" s="998">
        <v>0</v>
      </c>
      <c r="AX68" s="998">
        <v>3.0037471487813363</v>
      </c>
      <c r="AY68" s="998">
        <v>4</v>
      </c>
      <c r="AZ68" s="605"/>
      <c r="BA68" s="580">
        <v>40.733999999999995</v>
      </c>
      <c r="BB68" s="576">
        <v>0</v>
      </c>
      <c r="BC68" s="1000" t="s">
        <v>64</v>
      </c>
      <c r="BD68" s="576">
        <v>11.26</v>
      </c>
      <c r="BE68" s="576">
        <v>0.16499999999999998</v>
      </c>
      <c r="BF68" s="576">
        <v>48.522999999999996</v>
      </c>
      <c r="BG68" s="576">
        <v>0.22299999999999998</v>
      </c>
      <c r="BH68" s="1000" t="s">
        <v>64</v>
      </c>
      <c r="BI68" s="1000" t="s">
        <v>64</v>
      </c>
      <c r="BJ68" s="576">
        <v>0.128</v>
      </c>
      <c r="BK68" s="576">
        <v>0.51350000000000007</v>
      </c>
      <c r="BL68" s="1001">
        <f t="shared" si="36"/>
        <v>101.54649999999998</v>
      </c>
      <c r="BN68" s="9"/>
      <c r="BO68" s="9"/>
      <c r="BP68" s="9"/>
      <c r="BQ68" s="9"/>
      <c r="BR68" s="9"/>
      <c r="BS68" s="9"/>
      <c r="BT68" s="9"/>
      <c r="BU68" s="9"/>
      <c r="BV68" s="9"/>
      <c r="BW68" s="9"/>
      <c r="BX68" s="9"/>
    </row>
    <row r="69" spans="1:76" s="960" customFormat="1" ht="13.15" customHeight="1">
      <c r="A69" s="846" t="s">
        <v>68</v>
      </c>
      <c r="B69" s="41" t="s">
        <v>679</v>
      </c>
      <c r="C69" s="41" t="s">
        <v>1488</v>
      </c>
      <c r="D69" s="34" t="s">
        <v>160</v>
      </c>
      <c r="E69" s="535">
        <v>19.389810000000001</v>
      </c>
      <c r="F69" s="537">
        <v>-155.29229000000001</v>
      </c>
      <c r="G69" s="7" t="s">
        <v>873</v>
      </c>
      <c r="H69" s="7">
        <v>2001</v>
      </c>
      <c r="I69" s="7" t="s">
        <v>3</v>
      </c>
      <c r="J69" s="11" t="s">
        <v>132</v>
      </c>
      <c r="K69" s="21">
        <v>82.239637106904368</v>
      </c>
      <c r="L69" s="9">
        <v>1.52</v>
      </c>
      <c r="M69" s="9">
        <v>0.92500000000000004</v>
      </c>
      <c r="N69" s="8">
        <f t="shared" si="27"/>
        <v>39.002501200907716</v>
      </c>
      <c r="O69" s="9">
        <f t="shared" si="28"/>
        <v>1.7226814198870323E-2</v>
      </c>
      <c r="P69" s="20" t="s">
        <v>64</v>
      </c>
      <c r="Q69" s="9">
        <f t="shared" si="29"/>
        <v>16.725580162660876</v>
      </c>
      <c r="R69" s="9">
        <f t="shared" si="30"/>
        <v>0.21666031703963823</v>
      </c>
      <c r="S69" s="9">
        <f t="shared" si="31"/>
        <v>43.459608089976975</v>
      </c>
      <c r="T69" s="9">
        <f t="shared" si="32"/>
        <v>0.21964188103559659</v>
      </c>
      <c r="U69" s="20" t="s">
        <v>64</v>
      </c>
      <c r="V69" s="20" t="s">
        <v>64</v>
      </c>
      <c r="W69" s="9">
        <f t="shared" si="33"/>
        <v>5.3668151927249837E-2</v>
      </c>
      <c r="X69" s="9">
        <f t="shared" si="34"/>
        <v>0.30511338225306855</v>
      </c>
      <c r="Y69" s="9">
        <f t="shared" si="35"/>
        <v>100.61833333333333</v>
      </c>
      <c r="Z69" s="605"/>
      <c r="AA69" s="608">
        <v>0.10097677024476666</v>
      </c>
      <c r="AB69" s="600" t="s">
        <v>309</v>
      </c>
      <c r="AC69" s="600" t="s">
        <v>64</v>
      </c>
      <c r="AD69" s="600">
        <v>0.13408250300866587</v>
      </c>
      <c r="AE69" s="600">
        <v>9.3724879107447978E-3</v>
      </c>
      <c r="AF69" s="600">
        <v>5.684628623543006E-2</v>
      </c>
      <c r="AG69" s="600">
        <v>3.682708781904233E-3</v>
      </c>
      <c r="AH69" s="600" t="s">
        <v>64</v>
      </c>
      <c r="AI69" s="600" t="s">
        <v>64</v>
      </c>
      <c r="AJ69" s="600" t="s">
        <v>309</v>
      </c>
      <c r="AK69" s="609">
        <v>1.8970682914193338E-2</v>
      </c>
      <c r="AL69" s="605"/>
      <c r="AM69" s="614">
        <v>0.99186529580505345</v>
      </c>
      <c r="AN69" s="998">
        <v>3.2958095621888353E-4</v>
      </c>
      <c r="AO69" s="999" t="s">
        <v>64</v>
      </c>
      <c r="AP69" s="998">
        <v>0.35572120971750587</v>
      </c>
      <c r="AQ69" s="998">
        <v>4.6668692134984304E-3</v>
      </c>
      <c r="AR69" s="998">
        <v>1.6476187632209469</v>
      </c>
      <c r="AS69" s="998">
        <v>5.9847974442206464E-3</v>
      </c>
      <c r="AT69" s="999" t="s">
        <v>64</v>
      </c>
      <c r="AU69" s="999" t="s">
        <v>64</v>
      </c>
      <c r="AV69" s="998">
        <v>1.0790712541889416E-3</v>
      </c>
      <c r="AW69" s="998">
        <v>0</v>
      </c>
      <c r="AX69" s="998">
        <v>3.0072655876116334</v>
      </c>
      <c r="AY69" s="998">
        <v>4</v>
      </c>
      <c r="AZ69" s="605"/>
      <c r="BA69" s="580">
        <v>39.243666666666662</v>
      </c>
      <c r="BB69" s="576">
        <v>1.7333333333333336E-2</v>
      </c>
      <c r="BC69" s="1000" t="s">
        <v>64</v>
      </c>
      <c r="BD69" s="576">
        <v>16.828999999999997</v>
      </c>
      <c r="BE69" s="576">
        <v>0.218</v>
      </c>
      <c r="BF69" s="576">
        <v>43.728333333333332</v>
      </c>
      <c r="BG69" s="576">
        <v>0.221</v>
      </c>
      <c r="BH69" s="1000" t="s">
        <v>64</v>
      </c>
      <c r="BI69" s="1000" t="s">
        <v>64</v>
      </c>
      <c r="BJ69" s="576">
        <v>5.3999999999999999E-2</v>
      </c>
      <c r="BK69" s="576">
        <v>0.307</v>
      </c>
      <c r="BL69" s="1001">
        <f t="shared" si="36"/>
        <v>100.61833333333333</v>
      </c>
      <c r="BN69" s="9"/>
      <c r="BO69" s="9"/>
      <c r="BP69" s="9"/>
      <c r="BQ69" s="9"/>
      <c r="BR69" s="9"/>
      <c r="BS69" s="9"/>
      <c r="BT69" s="9"/>
      <c r="BU69" s="9"/>
      <c r="BV69" s="9"/>
      <c r="BW69" s="9"/>
      <c r="BX69" s="9"/>
    </row>
    <row r="70" spans="1:76" s="960" customFormat="1" ht="13.15" customHeight="1">
      <c r="A70" s="846" t="s">
        <v>74</v>
      </c>
      <c r="B70" s="41" t="s">
        <v>679</v>
      </c>
      <c r="C70" s="41" t="s">
        <v>1488</v>
      </c>
      <c r="D70" s="34" t="s">
        <v>160</v>
      </c>
      <c r="E70" s="535">
        <v>19.389810000000001</v>
      </c>
      <c r="F70" s="537">
        <v>-155.29229000000001</v>
      </c>
      <c r="G70" s="7" t="s">
        <v>873</v>
      </c>
      <c r="H70" s="7">
        <v>2001</v>
      </c>
      <c r="I70" s="7" t="s">
        <v>10</v>
      </c>
      <c r="J70" s="11" t="s">
        <v>132</v>
      </c>
      <c r="K70" s="21">
        <v>83.998788346167728</v>
      </c>
      <c r="L70" s="9">
        <v>0.82</v>
      </c>
      <c r="M70" s="9">
        <v>1.02</v>
      </c>
      <c r="N70" s="8">
        <f t="shared" si="27"/>
        <v>39.395563211740267</v>
      </c>
      <c r="O70" s="9">
        <f t="shared" si="28"/>
        <v>1.6108671067511765E-2</v>
      </c>
      <c r="P70" s="20" t="s">
        <v>64</v>
      </c>
      <c r="Q70" s="9">
        <f t="shared" si="29"/>
        <v>15.167464429424296</v>
      </c>
      <c r="R70" s="9">
        <f t="shared" si="30"/>
        <v>0.20974147226678588</v>
      </c>
      <c r="S70" s="9">
        <f t="shared" si="31"/>
        <v>44.681837308997189</v>
      </c>
      <c r="T70" s="9">
        <f t="shared" si="32"/>
        <v>0.20086526576019778</v>
      </c>
      <c r="U70" s="20" t="s">
        <v>64</v>
      </c>
      <c r="V70" s="20" t="s">
        <v>64</v>
      </c>
      <c r="W70" s="9">
        <f t="shared" si="33"/>
        <v>2.6628619519764356E-2</v>
      </c>
      <c r="X70" s="9">
        <f t="shared" si="34"/>
        <v>0.30179102122399598</v>
      </c>
      <c r="Y70" s="9">
        <f t="shared" si="35"/>
        <v>101.39466666666667</v>
      </c>
      <c r="Z70" s="605"/>
      <c r="AA70" s="608">
        <v>0.10199440068224386</v>
      </c>
      <c r="AB70" s="600" t="s">
        <v>309</v>
      </c>
      <c r="AC70" s="600" t="s">
        <v>64</v>
      </c>
      <c r="AD70" s="600">
        <v>0.12159169219924838</v>
      </c>
      <c r="AE70" s="600">
        <v>9.0731862671585631E-3</v>
      </c>
      <c r="AF70" s="600">
        <v>5.8444993519809668E-2</v>
      </c>
      <c r="AG70" s="600">
        <v>3.3678835507456014E-3</v>
      </c>
      <c r="AH70" s="600" t="s">
        <v>64</v>
      </c>
      <c r="AI70" s="600" t="s">
        <v>64</v>
      </c>
      <c r="AJ70" s="600" t="s">
        <v>309</v>
      </c>
      <c r="AK70" s="609">
        <v>1.8764112303807156E-2</v>
      </c>
      <c r="AL70" s="605"/>
      <c r="AM70" s="614">
        <v>0.99399095604749887</v>
      </c>
      <c r="AN70" s="998">
        <v>3.0576779145444314E-4</v>
      </c>
      <c r="AO70" s="999" t="s">
        <v>64</v>
      </c>
      <c r="AP70" s="998">
        <v>0.32004897277293864</v>
      </c>
      <c r="AQ70" s="998">
        <v>4.4823467606374956E-3</v>
      </c>
      <c r="AR70" s="998">
        <v>1.6806482571771533</v>
      </c>
      <c r="AS70" s="998">
        <v>5.4301775343653371E-3</v>
      </c>
      <c r="AT70" s="999" t="s">
        <v>64</v>
      </c>
      <c r="AU70" s="999" t="s">
        <v>64</v>
      </c>
      <c r="AV70" s="998">
        <v>5.3119871799907012E-4</v>
      </c>
      <c r="AW70" s="998">
        <v>0</v>
      </c>
      <c r="AX70" s="998">
        <v>3.005437676802047</v>
      </c>
      <c r="AY70" s="998">
        <v>4</v>
      </c>
      <c r="AZ70" s="605"/>
      <c r="BA70" s="580">
        <v>39.945</v>
      </c>
      <c r="BB70" s="576">
        <v>1.6333333333333332E-2</v>
      </c>
      <c r="BC70" s="1000" t="s">
        <v>64</v>
      </c>
      <c r="BD70" s="576">
        <v>15.379</v>
      </c>
      <c r="BE70" s="576">
        <v>0.21266666666666667</v>
      </c>
      <c r="BF70" s="576">
        <v>45.305000000000007</v>
      </c>
      <c r="BG70" s="576">
        <v>0.20366666666666666</v>
      </c>
      <c r="BH70" s="1000" t="s">
        <v>64</v>
      </c>
      <c r="BI70" s="1000" t="s">
        <v>64</v>
      </c>
      <c r="BJ70" s="576">
        <v>2.7E-2</v>
      </c>
      <c r="BK70" s="576">
        <v>0.30599999999999999</v>
      </c>
      <c r="BL70" s="1001">
        <f t="shared" si="36"/>
        <v>101.39466666666667</v>
      </c>
      <c r="BN70" s="9"/>
      <c r="BO70" s="9"/>
      <c r="BP70" s="9"/>
      <c r="BQ70" s="9"/>
      <c r="BR70" s="9"/>
      <c r="BS70" s="9"/>
      <c r="BT70" s="9"/>
      <c r="BU70" s="9"/>
      <c r="BV70" s="9"/>
      <c r="BW70" s="9"/>
      <c r="BX70" s="9"/>
    </row>
    <row r="71" spans="1:76" s="960" customFormat="1" ht="13.15" customHeight="1">
      <c r="A71" s="846" t="s">
        <v>69</v>
      </c>
      <c r="B71" s="41" t="s">
        <v>679</v>
      </c>
      <c r="C71" s="41" t="s">
        <v>1488</v>
      </c>
      <c r="D71" s="34" t="s">
        <v>160</v>
      </c>
      <c r="E71" s="535">
        <v>19.389810000000001</v>
      </c>
      <c r="F71" s="537">
        <v>-155.29229000000001</v>
      </c>
      <c r="G71" s="7" t="s">
        <v>873</v>
      </c>
      <c r="H71" s="7">
        <v>2001</v>
      </c>
      <c r="I71" s="7" t="s">
        <v>4</v>
      </c>
      <c r="J71" s="11" t="s">
        <v>132</v>
      </c>
      <c r="K71" s="21">
        <v>86.421387051747502</v>
      </c>
      <c r="L71" s="9">
        <v>1.02</v>
      </c>
      <c r="M71" s="9">
        <v>0.7</v>
      </c>
      <c r="N71" s="8">
        <f t="shared" si="27"/>
        <v>40.001060420788228</v>
      </c>
      <c r="O71" s="9">
        <f t="shared" si="28"/>
        <v>1.1929733867520307E-2</v>
      </c>
      <c r="P71" s="20" t="s">
        <v>64</v>
      </c>
      <c r="Q71" s="9">
        <f t="shared" si="29"/>
        <v>12.94608091673377</v>
      </c>
      <c r="R71" s="9">
        <f t="shared" si="30"/>
        <v>0.18789330841344484</v>
      </c>
      <c r="S71" s="9">
        <f t="shared" si="31"/>
        <v>46.236666037041815</v>
      </c>
      <c r="T71" s="9">
        <f t="shared" si="32"/>
        <v>0.25880894862592663</v>
      </c>
      <c r="U71" s="20" t="s">
        <v>64</v>
      </c>
      <c r="V71" s="20" t="s">
        <v>64</v>
      </c>
      <c r="W71" s="9">
        <f t="shared" si="33"/>
        <v>3.6783346091520945E-2</v>
      </c>
      <c r="X71" s="9">
        <f t="shared" si="34"/>
        <v>0.3207772884377682</v>
      </c>
      <c r="Y71" s="9">
        <f t="shared" si="35"/>
        <v>100.589</v>
      </c>
      <c r="Z71" s="605"/>
      <c r="AA71" s="608">
        <v>0.10356202200598759</v>
      </c>
      <c r="AB71" s="600" t="s">
        <v>309</v>
      </c>
      <c r="AC71" s="600" t="s">
        <v>64</v>
      </c>
      <c r="AD71" s="600">
        <v>0.10378372030069132</v>
      </c>
      <c r="AE71" s="600">
        <v>8.1280586388723583E-3</v>
      </c>
      <c r="AF71" s="600">
        <v>6.0478749524661424E-2</v>
      </c>
      <c r="AG71" s="600">
        <v>4.3394182541426742E-3</v>
      </c>
      <c r="AH71" s="600" t="s">
        <v>64</v>
      </c>
      <c r="AI71" s="600" t="s">
        <v>64</v>
      </c>
      <c r="AJ71" s="600" t="s">
        <v>309</v>
      </c>
      <c r="AK71" s="609">
        <v>1.9944599545556104E-2</v>
      </c>
      <c r="AL71" s="605"/>
      <c r="AM71" s="614">
        <v>0.998433093926826</v>
      </c>
      <c r="AN71" s="998">
        <v>2.2401397999817816E-4</v>
      </c>
      <c r="AO71" s="999" t="s">
        <v>64</v>
      </c>
      <c r="AP71" s="998">
        <v>0.27024278849162503</v>
      </c>
      <c r="AQ71" s="998">
        <v>3.9723252081835759E-3</v>
      </c>
      <c r="AR71" s="998">
        <v>1.7204603231866826</v>
      </c>
      <c r="AS71" s="998">
        <v>6.9215094677474425E-3</v>
      </c>
      <c r="AT71" s="999" t="s">
        <v>64</v>
      </c>
      <c r="AU71" s="999" t="s">
        <v>64</v>
      </c>
      <c r="AV71" s="998">
        <v>7.2589188807543339E-4</v>
      </c>
      <c r="AW71" s="998">
        <v>0</v>
      </c>
      <c r="AX71" s="998">
        <v>3.0009799461491382</v>
      </c>
      <c r="AY71" s="998">
        <v>4</v>
      </c>
      <c r="AZ71" s="605"/>
      <c r="BA71" s="580">
        <v>40.236666666666672</v>
      </c>
      <c r="BB71" s="576">
        <v>1.2000000000000002E-2</v>
      </c>
      <c r="BC71" s="1000" t="s">
        <v>64</v>
      </c>
      <c r="BD71" s="576">
        <v>13.022333333333334</v>
      </c>
      <c r="BE71" s="576">
        <v>0.18900000000000003</v>
      </c>
      <c r="BF71" s="576">
        <v>46.508999999999993</v>
      </c>
      <c r="BG71" s="576">
        <v>0.26033333333333336</v>
      </c>
      <c r="BH71" s="1000" t="s">
        <v>64</v>
      </c>
      <c r="BI71" s="1000" t="s">
        <v>64</v>
      </c>
      <c r="BJ71" s="576">
        <v>3.7000000000000005E-2</v>
      </c>
      <c r="BK71" s="576">
        <v>0.32266666666666666</v>
      </c>
      <c r="BL71" s="1001">
        <f t="shared" si="36"/>
        <v>100.589</v>
      </c>
      <c r="BN71" s="9"/>
      <c r="BO71" s="9"/>
      <c r="BP71" s="9"/>
      <c r="BQ71" s="9"/>
      <c r="BR71" s="9"/>
      <c r="BS71" s="9"/>
      <c r="BT71" s="9"/>
      <c r="BU71" s="9"/>
      <c r="BV71" s="9"/>
      <c r="BW71" s="9"/>
      <c r="BX71" s="9"/>
    </row>
    <row r="72" spans="1:76" s="960" customFormat="1" ht="13.15" customHeight="1">
      <c r="A72" s="846" t="s">
        <v>75</v>
      </c>
      <c r="B72" s="41" t="s">
        <v>679</v>
      </c>
      <c r="C72" s="41" t="s">
        <v>1488</v>
      </c>
      <c r="D72" s="34" t="s">
        <v>160</v>
      </c>
      <c r="E72" s="535">
        <v>19.389810000000001</v>
      </c>
      <c r="F72" s="537">
        <v>-155.29229000000001</v>
      </c>
      <c r="G72" s="7" t="s">
        <v>873</v>
      </c>
      <c r="H72" s="7">
        <v>2001</v>
      </c>
      <c r="I72" s="7" t="s">
        <v>114</v>
      </c>
      <c r="J72" s="11" t="s">
        <v>132</v>
      </c>
      <c r="K72" s="21">
        <v>88.566118656764885</v>
      </c>
      <c r="L72" s="9">
        <v>1.6</v>
      </c>
      <c r="M72" s="847">
        <v>1.07</v>
      </c>
      <c r="N72" s="8">
        <f t="shared" si="27"/>
        <v>40.210609830862992</v>
      </c>
      <c r="O72" s="9">
        <f t="shared" si="28"/>
        <v>2.0654451034197871E-2</v>
      </c>
      <c r="P72" s="20" t="s">
        <v>64</v>
      </c>
      <c r="Q72" s="9">
        <f t="shared" si="29"/>
        <v>11.025870519541405</v>
      </c>
      <c r="R72" s="9">
        <f t="shared" si="30"/>
        <v>0.14523685409761361</v>
      </c>
      <c r="S72" s="9">
        <f t="shared" si="31"/>
        <v>47.928161852212483</v>
      </c>
      <c r="T72" s="9">
        <f t="shared" si="32"/>
        <v>0.23014959723820483</v>
      </c>
      <c r="U72" s="20" t="s">
        <v>64</v>
      </c>
      <c r="V72" s="20" t="s">
        <v>64</v>
      </c>
      <c r="W72" s="9">
        <f t="shared" si="33"/>
        <v>5.4094990803851557E-2</v>
      </c>
      <c r="X72" s="9">
        <f t="shared" si="34"/>
        <v>0.38522190420924596</v>
      </c>
      <c r="Y72" s="9">
        <f t="shared" si="35"/>
        <v>101.673</v>
      </c>
      <c r="Z72" s="605"/>
      <c r="AA72" s="608">
        <v>0.10410454163894778</v>
      </c>
      <c r="AB72" s="600" t="s">
        <v>309</v>
      </c>
      <c r="AC72" s="600" t="s">
        <v>64</v>
      </c>
      <c r="AD72" s="600">
        <v>8.8390136708679387E-2</v>
      </c>
      <c r="AE72" s="600">
        <v>6.2827871657524211E-3</v>
      </c>
      <c r="AF72" s="600">
        <v>6.2691269597924579E-2</v>
      </c>
      <c r="AG72" s="600">
        <v>3.8588903851333152E-3</v>
      </c>
      <c r="AH72" s="600" t="s">
        <v>64</v>
      </c>
      <c r="AI72" s="600" t="s">
        <v>64</v>
      </c>
      <c r="AJ72" s="600" t="s">
        <v>309</v>
      </c>
      <c r="AK72" s="609">
        <v>2.3951498103396834E-2</v>
      </c>
      <c r="AL72" s="605"/>
      <c r="AM72" s="614">
        <v>0.99557702057099651</v>
      </c>
      <c r="AN72" s="998">
        <v>3.8472000030863242E-4</v>
      </c>
      <c r="AO72" s="999" t="s">
        <v>64</v>
      </c>
      <c r="AP72" s="998">
        <v>0.22830500143920698</v>
      </c>
      <c r="AQ72" s="998">
        <v>3.0457696673573337E-3</v>
      </c>
      <c r="AR72" s="998">
        <v>1.7690319014191633</v>
      </c>
      <c r="AS72" s="998">
        <v>6.1054613897794626E-3</v>
      </c>
      <c r="AT72" s="999" t="s">
        <v>64</v>
      </c>
      <c r="AU72" s="999" t="s">
        <v>64</v>
      </c>
      <c r="AV72" s="998">
        <v>1.0589232945881709E-3</v>
      </c>
      <c r="AW72" s="998">
        <v>0</v>
      </c>
      <c r="AX72" s="998">
        <v>3.0035087977814006</v>
      </c>
      <c r="AY72" s="998">
        <v>4</v>
      </c>
      <c r="AZ72" s="605"/>
      <c r="BA72" s="580">
        <v>40.883333333333333</v>
      </c>
      <c r="BB72" s="576">
        <v>2.1000000000000001E-2</v>
      </c>
      <c r="BC72" s="1000" t="s">
        <v>64</v>
      </c>
      <c r="BD72" s="576">
        <v>11.210333333333333</v>
      </c>
      <c r="BE72" s="576">
        <v>0.1476666666666667</v>
      </c>
      <c r="BF72" s="576">
        <v>48.73</v>
      </c>
      <c r="BG72" s="576">
        <v>0.23399999999999999</v>
      </c>
      <c r="BH72" s="1000" t="s">
        <v>64</v>
      </c>
      <c r="BI72" s="1000" t="s">
        <v>64</v>
      </c>
      <c r="BJ72" s="576">
        <v>5.4999999999999993E-2</v>
      </c>
      <c r="BK72" s="576">
        <v>0.39166666666666666</v>
      </c>
      <c r="BL72" s="1001">
        <f t="shared" si="36"/>
        <v>101.673</v>
      </c>
      <c r="BN72" s="9"/>
      <c r="BO72" s="9"/>
      <c r="BP72" s="9"/>
      <c r="BQ72" s="9"/>
      <c r="BR72" s="9"/>
      <c r="BS72" s="9"/>
      <c r="BT72" s="9"/>
      <c r="BU72" s="9"/>
      <c r="BV72" s="9"/>
      <c r="BW72" s="9"/>
      <c r="BX72" s="9"/>
    </row>
    <row r="73" spans="1:76" s="960" customFormat="1" ht="13.15" customHeight="1">
      <c r="A73" s="846" t="s">
        <v>71</v>
      </c>
      <c r="B73" s="41" t="s">
        <v>679</v>
      </c>
      <c r="C73" s="41" t="s">
        <v>1488</v>
      </c>
      <c r="D73" s="34" t="s">
        <v>160</v>
      </c>
      <c r="E73" s="535">
        <v>19.389810000000001</v>
      </c>
      <c r="F73" s="537">
        <v>-155.29229000000001</v>
      </c>
      <c r="G73" s="7" t="s">
        <v>873</v>
      </c>
      <c r="H73" s="7">
        <v>2001</v>
      </c>
      <c r="I73" s="7" t="s">
        <v>6</v>
      </c>
      <c r="J73" s="11" t="s">
        <v>132</v>
      </c>
      <c r="K73" s="21">
        <v>87.402334086085787</v>
      </c>
      <c r="L73" s="9">
        <v>0.94499999999999995</v>
      </c>
      <c r="M73" s="9">
        <v>0.64500000000000002</v>
      </c>
      <c r="N73" s="8">
        <f t="shared" si="27"/>
        <v>40.085086811544215</v>
      </c>
      <c r="O73" s="9">
        <f t="shared" si="28"/>
        <v>2.3324956060382072E-2</v>
      </c>
      <c r="P73" s="20" t="s">
        <v>64</v>
      </c>
      <c r="Q73" s="9">
        <f t="shared" si="29"/>
        <v>12.068200857438525</v>
      </c>
      <c r="R73" s="9">
        <f t="shared" si="30"/>
        <v>0.14126381839386326</v>
      </c>
      <c r="S73" s="9">
        <f t="shared" si="31"/>
        <v>46.986317120846273</v>
      </c>
      <c r="T73" s="9">
        <f t="shared" si="32"/>
        <v>0.23127843755646449</v>
      </c>
      <c r="U73" s="20" t="s">
        <v>64</v>
      </c>
      <c r="V73" s="20" t="s">
        <v>64</v>
      </c>
      <c r="W73" s="9">
        <f t="shared" si="33"/>
        <v>6.537558107064835E-2</v>
      </c>
      <c r="X73" s="9">
        <f t="shared" si="34"/>
        <v>0.39915241708963689</v>
      </c>
      <c r="Y73" s="9">
        <f t="shared" si="35"/>
        <v>101.46499999999999</v>
      </c>
      <c r="Z73" s="605"/>
      <c r="AA73" s="608">
        <v>0.10377956481202863</v>
      </c>
      <c r="AB73" s="600" t="s">
        <v>309</v>
      </c>
      <c r="AC73" s="600" t="s">
        <v>64</v>
      </c>
      <c r="AD73" s="600">
        <v>9.6746095623582593E-2</v>
      </c>
      <c r="AE73" s="600">
        <v>6.1109179946409195E-3</v>
      </c>
      <c r="AF73" s="600">
        <v>6.1459312441805559E-2</v>
      </c>
      <c r="AG73" s="600">
        <v>3.8778175138476641E-3</v>
      </c>
      <c r="AH73" s="600" t="s">
        <v>64</v>
      </c>
      <c r="AI73" s="600" t="s">
        <v>64</v>
      </c>
      <c r="AJ73" s="600" t="s">
        <v>309</v>
      </c>
      <c r="AK73" s="609">
        <v>2.4817639538212005E-2</v>
      </c>
      <c r="AL73" s="605"/>
      <c r="AM73" s="614">
        <v>0.99721069389499561</v>
      </c>
      <c r="AN73" s="998">
        <v>4.3653778107242318E-4</v>
      </c>
      <c r="AO73" s="999" t="s">
        <v>64</v>
      </c>
      <c r="AP73" s="998">
        <v>0.25108164288542351</v>
      </c>
      <c r="AQ73" s="998">
        <v>2.9766039896035436E-3</v>
      </c>
      <c r="AR73" s="998">
        <v>1.7425537838979273</v>
      </c>
      <c r="AS73" s="998">
        <v>6.1647193363359859E-3</v>
      </c>
      <c r="AT73" s="999" t="s">
        <v>64</v>
      </c>
      <c r="AU73" s="999" t="s">
        <v>64</v>
      </c>
      <c r="AV73" s="998">
        <v>1.2858576923821499E-3</v>
      </c>
      <c r="AW73" s="998">
        <v>0</v>
      </c>
      <c r="AX73" s="998">
        <v>3.0017098394777406</v>
      </c>
      <c r="AY73" s="998">
        <v>4</v>
      </c>
      <c r="AZ73" s="605"/>
      <c r="BA73" s="580">
        <v>40.672333333333334</v>
      </c>
      <c r="BB73" s="576">
        <v>2.3666666666666666E-2</v>
      </c>
      <c r="BC73" s="1000" t="s">
        <v>64</v>
      </c>
      <c r="BD73" s="576">
        <v>12.244999999999999</v>
      </c>
      <c r="BE73" s="576">
        <v>0.14333333333333334</v>
      </c>
      <c r="BF73" s="576">
        <v>47.674666666666667</v>
      </c>
      <c r="BG73" s="576">
        <v>0.23466666666666666</v>
      </c>
      <c r="BH73" s="1000" t="s">
        <v>64</v>
      </c>
      <c r="BI73" s="1000" t="s">
        <v>64</v>
      </c>
      <c r="BJ73" s="576">
        <v>6.6333333333333341E-2</v>
      </c>
      <c r="BK73" s="576">
        <v>0.40500000000000003</v>
      </c>
      <c r="BL73" s="1001">
        <f t="shared" si="36"/>
        <v>101.46499999999999</v>
      </c>
      <c r="BN73" s="9"/>
      <c r="BO73" s="9"/>
      <c r="BP73" s="9"/>
      <c r="BQ73" s="9"/>
      <c r="BR73" s="9"/>
      <c r="BS73" s="9"/>
      <c r="BT73" s="9"/>
      <c r="BU73" s="9"/>
      <c r="BV73" s="9"/>
      <c r="BW73" s="9"/>
      <c r="BX73" s="9"/>
    </row>
    <row r="74" spans="1:76" s="960" customFormat="1" ht="13.15" customHeight="1">
      <c r="A74" s="846" t="s">
        <v>70</v>
      </c>
      <c r="B74" s="41" t="s">
        <v>679</v>
      </c>
      <c r="C74" s="41" t="s">
        <v>1488</v>
      </c>
      <c r="D74" s="34" t="s">
        <v>160</v>
      </c>
      <c r="E74" s="535">
        <v>19.389810000000001</v>
      </c>
      <c r="F74" s="537">
        <v>-155.29229000000001</v>
      </c>
      <c r="G74" s="7" t="s">
        <v>874</v>
      </c>
      <c r="H74" s="7">
        <v>2001</v>
      </c>
      <c r="I74" s="7" t="s">
        <v>5</v>
      </c>
      <c r="J74" s="11" t="s">
        <v>132</v>
      </c>
      <c r="K74" s="21">
        <v>88.533944072024127</v>
      </c>
      <c r="L74" s="9">
        <v>1.68</v>
      </c>
      <c r="M74" s="9">
        <v>1.37</v>
      </c>
      <c r="N74" s="8">
        <f t="shared" si="27"/>
        <v>40.370722386648481</v>
      </c>
      <c r="O74" s="9">
        <f t="shared" si="28"/>
        <v>2.8562564327326984E-2</v>
      </c>
      <c r="P74" s="20" t="s">
        <v>64</v>
      </c>
      <c r="Q74" s="9">
        <f t="shared" si="29"/>
        <v>11.010376090178909</v>
      </c>
      <c r="R74" s="9">
        <f t="shared" si="30"/>
        <v>0.13000891348990212</v>
      </c>
      <c r="S74" s="9">
        <f t="shared" si="31"/>
        <v>47.707361754726364</v>
      </c>
      <c r="T74" s="9">
        <f t="shared" si="32"/>
        <v>0.23588738470326939</v>
      </c>
      <c r="U74" s="20" t="s">
        <v>64</v>
      </c>
      <c r="V74" s="20" t="s">
        <v>64</v>
      </c>
      <c r="W74" s="9">
        <f t="shared" si="33"/>
        <v>0.10637092921901081</v>
      </c>
      <c r="X74" s="9">
        <f t="shared" si="34"/>
        <v>0.41070997670673631</v>
      </c>
      <c r="Y74" s="9">
        <f t="shared" si="35"/>
        <v>101.53150000000001</v>
      </c>
      <c r="Z74" s="605"/>
      <c r="AA74" s="608">
        <v>0.10451907015022381</v>
      </c>
      <c r="AB74" s="600" t="s">
        <v>309</v>
      </c>
      <c r="AC74" s="600" t="s">
        <v>64</v>
      </c>
      <c r="AD74" s="600">
        <v>8.8265923865154083E-2</v>
      </c>
      <c r="AE74" s="600">
        <v>5.6240431409977434E-3</v>
      </c>
      <c r="AF74" s="600">
        <v>6.2402457385984697E-2</v>
      </c>
      <c r="AG74" s="600">
        <v>3.9550951717007218E-3</v>
      </c>
      <c r="AH74" s="600" t="s">
        <v>64</v>
      </c>
      <c r="AI74" s="600" t="s">
        <v>64</v>
      </c>
      <c r="AJ74" s="600" t="s">
        <v>309</v>
      </c>
      <c r="AK74" s="609">
        <v>2.5536240594445009E-2</v>
      </c>
      <c r="AL74" s="605"/>
      <c r="AM74" s="614">
        <v>0.99926138068194226</v>
      </c>
      <c r="AN74" s="998">
        <v>5.3187145359042168E-4</v>
      </c>
      <c r="AO74" s="999" t="s">
        <v>64</v>
      </c>
      <c r="AP74" s="998">
        <v>0.22792033235981976</v>
      </c>
      <c r="AQ74" s="998">
        <v>2.725660315220813E-3</v>
      </c>
      <c r="AR74" s="998">
        <v>1.7603890977982677</v>
      </c>
      <c r="AS74" s="998">
        <v>6.2559225524462985E-3</v>
      </c>
      <c r="AT74" s="999" t="s">
        <v>64</v>
      </c>
      <c r="AU74" s="999" t="s">
        <v>64</v>
      </c>
      <c r="AV74" s="998">
        <v>2.0816551354535524E-3</v>
      </c>
      <c r="AW74" s="998">
        <v>0</v>
      </c>
      <c r="AX74" s="998">
        <v>2.9991659202967411</v>
      </c>
      <c r="AY74" s="998">
        <v>4</v>
      </c>
      <c r="AZ74" s="605"/>
      <c r="BA74" s="580">
        <v>40.989000000000004</v>
      </c>
      <c r="BB74" s="576">
        <v>2.8999999999999998E-2</v>
      </c>
      <c r="BC74" s="1000" t="s">
        <v>64</v>
      </c>
      <c r="BD74" s="576">
        <v>11.178999999999998</v>
      </c>
      <c r="BE74" s="576">
        <v>0.13200000000000001</v>
      </c>
      <c r="BF74" s="576">
        <v>48.438000000000002</v>
      </c>
      <c r="BG74" s="576">
        <v>0.23949999999999999</v>
      </c>
      <c r="BH74" s="1000" t="s">
        <v>64</v>
      </c>
      <c r="BI74" s="1000" t="s">
        <v>64</v>
      </c>
      <c r="BJ74" s="576">
        <v>0.10799999999999998</v>
      </c>
      <c r="BK74" s="576">
        <v>0.41700000000000004</v>
      </c>
      <c r="BL74" s="1001">
        <f t="shared" si="36"/>
        <v>101.53150000000001</v>
      </c>
      <c r="BN74" s="9"/>
      <c r="BO74" s="9"/>
      <c r="BP74" s="9"/>
      <c r="BQ74" s="9"/>
      <c r="BR74" s="9"/>
      <c r="BS74" s="9"/>
      <c r="BT74" s="9"/>
      <c r="BU74" s="9"/>
      <c r="BV74" s="9"/>
      <c r="BW74" s="9"/>
      <c r="BX74" s="9"/>
    </row>
    <row r="75" spans="1:76" s="960" customFormat="1" ht="13.15" customHeight="1">
      <c r="A75" s="846" t="s">
        <v>76</v>
      </c>
      <c r="B75" s="41" t="s">
        <v>679</v>
      </c>
      <c r="C75" s="41" t="s">
        <v>1488</v>
      </c>
      <c r="D75" s="34" t="s">
        <v>160</v>
      </c>
      <c r="E75" s="535">
        <v>19.389810000000001</v>
      </c>
      <c r="F75" s="537">
        <v>-155.29229000000001</v>
      </c>
      <c r="G75" s="7" t="s">
        <v>873</v>
      </c>
      <c r="H75" s="7">
        <v>2001</v>
      </c>
      <c r="I75" s="7" t="s">
        <v>115</v>
      </c>
      <c r="J75" s="11" t="s">
        <v>132</v>
      </c>
      <c r="K75" s="21">
        <v>87.667383694742156</v>
      </c>
      <c r="L75" s="9">
        <v>1.03</v>
      </c>
      <c r="M75" s="847">
        <v>0.78</v>
      </c>
      <c r="N75" s="8">
        <f t="shared" si="27"/>
        <v>40.00124662509063</v>
      </c>
      <c r="O75" s="9">
        <f t="shared" si="28"/>
        <v>1.8371317125020093E-2</v>
      </c>
      <c r="P75" s="20" t="s">
        <v>64</v>
      </c>
      <c r="Q75" s="9">
        <f t="shared" si="29"/>
        <v>11.857701026497345</v>
      </c>
      <c r="R75" s="9">
        <f t="shared" si="30"/>
        <v>0.13056757528139282</v>
      </c>
      <c r="S75" s="9">
        <f t="shared" si="31"/>
        <v>47.302204886114239</v>
      </c>
      <c r="T75" s="9">
        <f t="shared" si="32"/>
        <v>0.23456235257838157</v>
      </c>
      <c r="U75" s="20" t="s">
        <v>64</v>
      </c>
      <c r="V75" s="20" t="s">
        <v>64</v>
      </c>
      <c r="W75" s="9">
        <f t="shared" si="33"/>
        <v>6.5283787640696408E-2</v>
      </c>
      <c r="X75" s="9">
        <f t="shared" si="34"/>
        <v>0.3900624296723017</v>
      </c>
      <c r="Y75" s="9">
        <f t="shared" si="35"/>
        <v>101.60766666666666</v>
      </c>
      <c r="Z75" s="605"/>
      <c r="AA75" s="608">
        <v>0.10356250408555898</v>
      </c>
      <c r="AB75" s="600" t="s">
        <v>309</v>
      </c>
      <c r="AC75" s="600" t="s">
        <v>64</v>
      </c>
      <c r="AD75" s="600">
        <v>9.5058599946840447E-2</v>
      </c>
      <c r="AE75" s="600">
        <v>5.6482102379469441E-3</v>
      </c>
      <c r="AF75" s="600">
        <v>6.1872501771205755E-2</v>
      </c>
      <c r="AG75" s="600">
        <v>3.9328785187581136E-3</v>
      </c>
      <c r="AH75" s="600" t="s">
        <v>64</v>
      </c>
      <c r="AI75" s="600" t="s">
        <v>64</v>
      </c>
      <c r="AJ75" s="600" t="s">
        <v>309</v>
      </c>
      <c r="AK75" s="609">
        <v>2.4252461873060484E-2</v>
      </c>
      <c r="AL75" s="605"/>
      <c r="AM75" s="614">
        <v>0.99441937580077655</v>
      </c>
      <c r="AN75" s="998">
        <v>3.4358425140003677E-4</v>
      </c>
      <c r="AO75" s="999" t="s">
        <v>64</v>
      </c>
      <c r="AP75" s="998">
        <v>0.246527221449447</v>
      </c>
      <c r="AQ75" s="998">
        <v>2.7492701092119731E-3</v>
      </c>
      <c r="AR75" s="998">
        <v>1.7530250568802122</v>
      </c>
      <c r="AS75" s="998">
        <v>6.2478188068432272E-3</v>
      </c>
      <c r="AT75" s="999" t="s">
        <v>64</v>
      </c>
      <c r="AU75" s="999" t="s">
        <v>64</v>
      </c>
      <c r="AV75" s="998">
        <v>1.2831417666215963E-3</v>
      </c>
      <c r="AW75" s="998">
        <v>0</v>
      </c>
      <c r="AX75" s="998">
        <v>3.0045954690645127</v>
      </c>
      <c r="AY75" s="998">
        <v>4</v>
      </c>
      <c r="AZ75" s="605"/>
      <c r="BA75" s="580">
        <v>40.644333333333336</v>
      </c>
      <c r="BB75" s="576">
        <v>1.8666666666666665E-2</v>
      </c>
      <c r="BC75" s="1000" t="s">
        <v>64</v>
      </c>
      <c r="BD75" s="576">
        <v>12.048333333333334</v>
      </c>
      <c r="BE75" s="576">
        <v>0.13266666666666668</v>
      </c>
      <c r="BF75" s="576">
        <v>48.062666666666665</v>
      </c>
      <c r="BG75" s="576">
        <v>0.23833333333333331</v>
      </c>
      <c r="BH75" s="1000" t="s">
        <v>64</v>
      </c>
      <c r="BI75" s="1000" t="s">
        <v>64</v>
      </c>
      <c r="BJ75" s="576">
        <v>6.6333333333333341E-2</v>
      </c>
      <c r="BK75" s="576">
        <v>0.39633333333333337</v>
      </c>
      <c r="BL75" s="1001">
        <f t="shared" si="36"/>
        <v>101.60766666666666</v>
      </c>
      <c r="BN75" s="9"/>
      <c r="BO75" s="9"/>
      <c r="BP75" s="9"/>
      <c r="BQ75" s="9"/>
      <c r="BR75" s="9"/>
      <c r="BS75" s="9"/>
      <c r="BT75" s="9"/>
      <c r="BU75" s="9"/>
      <c r="BV75" s="9"/>
      <c r="BW75" s="9"/>
      <c r="BX75" s="9"/>
    </row>
    <row r="76" spans="1:76" ht="13.15" customHeight="1">
      <c r="A76" s="846" t="s">
        <v>215</v>
      </c>
      <c r="B76" s="41" t="s">
        <v>679</v>
      </c>
      <c r="C76" s="41" t="s">
        <v>1488</v>
      </c>
      <c r="D76" s="34" t="s">
        <v>160</v>
      </c>
      <c r="E76" s="535">
        <v>19.389810000000001</v>
      </c>
      <c r="F76" s="537">
        <v>-155.29229000000001</v>
      </c>
      <c r="G76" s="34" t="s">
        <v>65</v>
      </c>
      <c r="H76" s="7">
        <v>2021</v>
      </c>
      <c r="I76" s="34" t="s">
        <v>258</v>
      </c>
      <c r="J76" s="624" t="s">
        <v>132</v>
      </c>
      <c r="K76" s="21">
        <f t="shared" ref="K76:K86" si="37">100*(S76/40.3)/((S76/40.3)+(Q76/71.85))</f>
        <v>83.030159717188369</v>
      </c>
      <c r="L76" s="623" t="s">
        <v>423</v>
      </c>
      <c r="M76" s="552" t="s">
        <v>423</v>
      </c>
      <c r="N76" s="8">
        <v>40.593637709577635</v>
      </c>
      <c r="O76" s="9" t="s">
        <v>64</v>
      </c>
      <c r="P76" s="9">
        <v>3.0231900699275224E-2</v>
      </c>
      <c r="Q76" s="9">
        <v>15.649684151212057</v>
      </c>
      <c r="R76" s="9">
        <v>0.20924551495228694</v>
      </c>
      <c r="S76" s="9">
        <v>42.947903539894753</v>
      </c>
      <c r="T76" s="9">
        <v>0.27099289343399463</v>
      </c>
      <c r="U76" s="9">
        <v>-7.6038520743689142E-3</v>
      </c>
      <c r="V76" s="9">
        <v>1.2116382002457167E-2</v>
      </c>
      <c r="W76" s="9" t="s">
        <v>64</v>
      </c>
      <c r="X76" s="9">
        <v>0.29379176030190662</v>
      </c>
      <c r="Y76" s="9">
        <v>102.44807400000001</v>
      </c>
      <c r="Z76" s="605"/>
      <c r="AA76" s="608">
        <v>0.10347115283982791</v>
      </c>
      <c r="AB76" s="600" t="s">
        <v>64</v>
      </c>
      <c r="AC76" s="600">
        <v>8.5555674340934904E-3</v>
      </c>
      <c r="AD76" s="600">
        <v>0.11174938662487691</v>
      </c>
      <c r="AE76" s="600">
        <v>7.5669874063225432E-3</v>
      </c>
      <c r="AF76" s="600">
        <v>5.7689771429963628E-2</v>
      </c>
      <c r="AG76" s="600">
        <v>4.0997972861842175E-3</v>
      </c>
      <c r="AH76" s="600">
        <v>7.2403879452140798E-3</v>
      </c>
      <c r="AI76" s="600">
        <v>5.0570749382755596E-3</v>
      </c>
      <c r="AJ76" s="600" t="s">
        <v>64</v>
      </c>
      <c r="AK76" s="609">
        <v>1.9126548695878844E-2</v>
      </c>
      <c r="AL76" s="605"/>
      <c r="AM76" s="614">
        <v>1.0223672382948052</v>
      </c>
      <c r="AN76" s="998">
        <v>0</v>
      </c>
      <c r="AO76" s="998">
        <v>8.9736505221488239E-4</v>
      </c>
      <c r="AP76" s="998">
        <v>0.32962706444905832</v>
      </c>
      <c r="AQ76" s="998">
        <v>4.4636602428164288E-3</v>
      </c>
      <c r="AR76" s="998">
        <v>1.6125070014448888</v>
      </c>
      <c r="AS76" s="998">
        <v>7.3127532645871603E-3</v>
      </c>
      <c r="AT76" s="998">
        <v>-3.7130165110728938E-4</v>
      </c>
      <c r="AU76" s="998">
        <v>3.8929451254096821E-4</v>
      </c>
      <c r="AV76" s="29" t="s">
        <v>64</v>
      </c>
      <c r="AW76" s="998">
        <v>0</v>
      </c>
      <c r="AX76" s="998">
        <v>2.9771930756098048</v>
      </c>
      <c r="AY76" s="998">
        <v>4</v>
      </c>
      <c r="AZ76" s="605"/>
      <c r="BA76" s="580">
        <v>41.587400000000002</v>
      </c>
      <c r="BB76" s="576" t="s">
        <v>64</v>
      </c>
      <c r="BC76" s="576">
        <v>3.0972E-2</v>
      </c>
      <c r="BD76" s="576">
        <v>16.032800000000002</v>
      </c>
      <c r="BE76" s="576">
        <v>0.214368</v>
      </c>
      <c r="BF76" s="576">
        <v>43.999299999999998</v>
      </c>
      <c r="BG76" s="576">
        <v>0.27762700000000001</v>
      </c>
      <c r="BH76" s="576">
        <v>-7.79E-3</v>
      </c>
      <c r="BI76" s="576">
        <v>1.2413E-2</v>
      </c>
      <c r="BJ76" s="576" t="s">
        <v>64</v>
      </c>
      <c r="BK76" s="576">
        <v>0.30098399999999997</v>
      </c>
      <c r="BL76" s="1001">
        <v>102.44799999999999</v>
      </c>
      <c r="BN76" s="9"/>
      <c r="BO76" s="9"/>
      <c r="BP76" s="9"/>
      <c r="BQ76" s="9"/>
      <c r="BR76" s="9"/>
      <c r="BS76" s="9"/>
      <c r="BT76" s="9"/>
      <c r="BU76" s="9"/>
      <c r="BV76" s="9"/>
      <c r="BW76" s="9"/>
      <c r="BX76" s="9"/>
    </row>
    <row r="77" spans="1:76" ht="13.15" customHeight="1">
      <c r="A77" s="846" t="s">
        <v>216</v>
      </c>
      <c r="B77" s="41" t="s">
        <v>679</v>
      </c>
      <c r="C77" s="41" t="s">
        <v>1488</v>
      </c>
      <c r="D77" s="34" t="s">
        <v>160</v>
      </c>
      <c r="E77" s="535">
        <v>19.389810000000001</v>
      </c>
      <c r="F77" s="537">
        <v>-155.29229000000001</v>
      </c>
      <c r="G77" s="34" t="s">
        <v>65</v>
      </c>
      <c r="H77" s="7">
        <v>2021</v>
      </c>
      <c r="I77" s="34" t="s">
        <v>259</v>
      </c>
      <c r="J77" s="624" t="s">
        <v>132</v>
      </c>
      <c r="K77" s="21">
        <f t="shared" si="37"/>
        <v>87.539266669886345</v>
      </c>
      <c r="L77" s="623" t="s">
        <v>423</v>
      </c>
      <c r="M77" s="552" t="s">
        <v>423</v>
      </c>
      <c r="N77" s="8">
        <v>40.419804563973486</v>
      </c>
      <c r="O77" s="9" t="s">
        <v>64</v>
      </c>
      <c r="P77" s="9">
        <v>1.9183364051552226E-2</v>
      </c>
      <c r="Q77" s="9">
        <v>11.899356860576004</v>
      </c>
      <c r="R77" s="9">
        <v>0.16300831829800219</v>
      </c>
      <c r="S77" s="9">
        <v>46.887930551918487</v>
      </c>
      <c r="T77" s="9">
        <v>0.22580824501147811</v>
      </c>
      <c r="U77" s="9">
        <v>-2.3529233609724397E-3</v>
      </c>
      <c r="V77" s="9">
        <v>1.2136660242280917E-3</v>
      </c>
      <c r="W77" s="9" t="s">
        <v>64</v>
      </c>
      <c r="X77" s="9">
        <v>0.38604735350772051</v>
      </c>
      <c r="Y77" s="9">
        <v>99.45075300000002</v>
      </c>
      <c r="Z77" s="605"/>
      <c r="AA77" s="608">
        <v>0.10562745847484935</v>
      </c>
      <c r="AB77" s="600" t="s">
        <v>64</v>
      </c>
      <c r="AC77" s="600">
        <v>8.4416393508855575E-3</v>
      </c>
      <c r="AD77" s="600">
        <v>9.9694596681434836E-2</v>
      </c>
      <c r="AE77" s="600">
        <v>7.4699539909969291E-3</v>
      </c>
      <c r="AF77" s="600">
        <v>6.0118297915753328E-2</v>
      </c>
      <c r="AG77" s="600">
        <v>3.9728025202584423E-3</v>
      </c>
      <c r="AH77" s="600">
        <v>7.1279460297299082E-3</v>
      </c>
      <c r="AI77" s="600">
        <v>5.1701808532309441E-3</v>
      </c>
      <c r="AJ77" s="600" t="s">
        <v>64</v>
      </c>
      <c r="AK77" s="609">
        <v>2.0850301748745931E-2</v>
      </c>
      <c r="AL77" s="605"/>
      <c r="AM77" s="614">
        <v>1.0035783882777605</v>
      </c>
      <c r="AN77" s="998">
        <v>0</v>
      </c>
      <c r="AO77" s="998">
        <v>5.6135372209314754E-4</v>
      </c>
      <c r="AP77" s="998">
        <v>0.24708644075126682</v>
      </c>
      <c r="AQ77" s="998">
        <v>3.4280952293198426E-3</v>
      </c>
      <c r="AR77" s="998">
        <v>1.7355168855907221</v>
      </c>
      <c r="AS77" s="998">
        <v>6.0071842431685171E-3</v>
      </c>
      <c r="AT77" s="998">
        <v>-1.132684978415879E-4</v>
      </c>
      <c r="AU77" s="998">
        <v>3.8442591565135319E-5</v>
      </c>
      <c r="AV77" s="29" t="s">
        <v>64</v>
      </c>
      <c r="AW77" s="998">
        <v>0</v>
      </c>
      <c r="AX77" s="998">
        <v>2.9961035219080552</v>
      </c>
      <c r="AY77" s="998">
        <v>4</v>
      </c>
      <c r="AZ77" s="605"/>
      <c r="BA77" s="580">
        <v>40.197800000000001</v>
      </c>
      <c r="BB77" s="576" t="s">
        <v>64</v>
      </c>
      <c r="BC77" s="576">
        <v>1.9078000000000001E-2</v>
      </c>
      <c r="BD77" s="576">
        <v>11.834</v>
      </c>
      <c r="BE77" s="576">
        <v>0.16211300000000001</v>
      </c>
      <c r="BF77" s="576">
        <v>46.630400000000002</v>
      </c>
      <c r="BG77" s="576">
        <v>0.22456799999999999</v>
      </c>
      <c r="BH77" s="576">
        <v>-2.3400000000000001E-3</v>
      </c>
      <c r="BI77" s="576">
        <v>1.207E-3</v>
      </c>
      <c r="BJ77" s="576" t="s">
        <v>64</v>
      </c>
      <c r="BK77" s="576">
        <v>0.38392700000000002</v>
      </c>
      <c r="BL77" s="1001">
        <v>99.450699999999998</v>
      </c>
      <c r="BN77" s="9"/>
      <c r="BO77" s="9"/>
      <c r="BP77" s="9"/>
      <c r="BQ77" s="9"/>
      <c r="BR77" s="9"/>
      <c r="BS77" s="9"/>
      <c r="BT77" s="9"/>
      <c r="BU77" s="9"/>
      <c r="BV77" s="9"/>
      <c r="BW77" s="9"/>
      <c r="BX77" s="9"/>
    </row>
    <row r="78" spans="1:76" ht="13.15" customHeight="1">
      <c r="A78" s="846" t="s">
        <v>217</v>
      </c>
      <c r="B78" s="41" t="s">
        <v>679</v>
      </c>
      <c r="C78" s="41" t="s">
        <v>1488</v>
      </c>
      <c r="D78" s="34" t="s">
        <v>160</v>
      </c>
      <c r="E78" s="535">
        <v>19.389810000000001</v>
      </c>
      <c r="F78" s="537">
        <v>-155.29229000000001</v>
      </c>
      <c r="G78" s="34" t="s">
        <v>65</v>
      </c>
      <c r="H78" s="7">
        <v>2021</v>
      </c>
      <c r="I78" s="34" t="s">
        <v>852</v>
      </c>
      <c r="J78" s="624" t="s">
        <v>132</v>
      </c>
      <c r="K78" s="21">
        <f t="shared" si="37"/>
        <v>87.349154070519049</v>
      </c>
      <c r="L78" s="623" t="s">
        <v>423</v>
      </c>
      <c r="M78" s="552" t="s">
        <v>423</v>
      </c>
      <c r="N78" s="8">
        <v>39.881933512102179</v>
      </c>
      <c r="O78" s="9" t="s">
        <v>64</v>
      </c>
      <c r="P78" s="9">
        <v>7.8788949897521846E-2</v>
      </c>
      <c r="Q78" s="9">
        <v>12.162157538784639</v>
      </c>
      <c r="R78" s="9">
        <v>0.16637319237307602</v>
      </c>
      <c r="S78" s="9">
        <v>47.100773045144855</v>
      </c>
      <c r="T78" s="9">
        <v>0.23511679881988659</v>
      </c>
      <c r="U78" s="9">
        <v>3.8226637389195211E-3</v>
      </c>
      <c r="V78" s="9">
        <v>-6.1685516919780681E-3</v>
      </c>
      <c r="W78" s="9" t="s">
        <v>64</v>
      </c>
      <c r="X78" s="9">
        <v>0.37720285083088806</v>
      </c>
      <c r="Y78" s="9">
        <v>97.916015000000016</v>
      </c>
      <c r="Z78" s="605"/>
      <c r="AA78" s="608">
        <v>0.10574375615265795</v>
      </c>
      <c r="AB78" s="600" t="s">
        <v>64</v>
      </c>
      <c r="AC78" s="600">
        <v>9.267156286946519E-3</v>
      </c>
      <c r="AD78" s="600">
        <v>0.10165909648998683</v>
      </c>
      <c r="AE78" s="600">
        <v>7.6719004706227046E-3</v>
      </c>
      <c r="AF78" s="600">
        <v>6.0653078473424382E-2</v>
      </c>
      <c r="AG78" s="600">
        <v>4.0602084871407393E-3</v>
      </c>
      <c r="AH78" s="600">
        <v>7.2229613613258243E-3</v>
      </c>
      <c r="AI78" s="600">
        <v>5.4187025483012135E-3</v>
      </c>
      <c r="AJ78" s="600" t="s">
        <v>64</v>
      </c>
      <c r="AK78" s="609">
        <v>2.143142121480332E-2</v>
      </c>
      <c r="AL78" s="605"/>
      <c r="AM78" s="614">
        <v>0.9928069040737928</v>
      </c>
      <c r="AN78" s="998">
        <v>0</v>
      </c>
      <c r="AO78" s="998">
        <v>2.3115784794915445E-3</v>
      </c>
      <c r="AP78" s="998">
        <v>0.25320223879149495</v>
      </c>
      <c r="AQ78" s="998">
        <v>3.5079868210704719E-3</v>
      </c>
      <c r="AR78" s="998">
        <v>1.747943159259183</v>
      </c>
      <c r="AS78" s="998">
        <v>6.2711372992221995E-3</v>
      </c>
      <c r="AT78" s="998">
        <v>1.8450109529177564E-4</v>
      </c>
      <c r="AU78" s="998">
        <v>-1.9589717087857626E-4</v>
      </c>
      <c r="AV78" s="29" t="s">
        <v>64</v>
      </c>
      <c r="AW78" s="998">
        <v>0</v>
      </c>
      <c r="AX78" s="998">
        <v>3.006031608648668</v>
      </c>
      <c r="AY78" s="998">
        <v>4</v>
      </c>
      <c r="AZ78" s="605"/>
      <c r="BA78" s="580">
        <v>39.050800000000002</v>
      </c>
      <c r="BB78" s="576" t="s">
        <v>64</v>
      </c>
      <c r="BC78" s="576">
        <v>7.7146999999999993E-2</v>
      </c>
      <c r="BD78" s="576">
        <v>11.9087</v>
      </c>
      <c r="BE78" s="576">
        <v>0.162906</v>
      </c>
      <c r="BF78" s="576">
        <v>46.119199999999999</v>
      </c>
      <c r="BG78" s="576">
        <v>0.230217</v>
      </c>
      <c r="BH78" s="576">
        <v>3.7429999999999998E-3</v>
      </c>
      <c r="BI78" s="576">
        <v>-6.0400000000000002E-3</v>
      </c>
      <c r="BJ78" s="576" t="s">
        <v>64</v>
      </c>
      <c r="BK78" s="576">
        <v>0.369342</v>
      </c>
      <c r="BL78" s="1001">
        <v>97.915999999999997</v>
      </c>
      <c r="BN78" s="9"/>
      <c r="BO78" s="9"/>
      <c r="BP78" s="9"/>
      <c r="BQ78" s="9"/>
      <c r="BR78" s="9"/>
      <c r="BS78" s="9"/>
      <c r="BT78" s="9"/>
      <c r="BU78" s="9"/>
      <c r="BV78" s="9"/>
      <c r="BW78" s="9"/>
      <c r="BX78" s="9"/>
    </row>
    <row r="79" spans="1:76" ht="13.15" customHeight="1">
      <c r="A79" s="846" t="s">
        <v>218</v>
      </c>
      <c r="B79" s="41" t="s">
        <v>679</v>
      </c>
      <c r="C79" s="41" t="s">
        <v>1488</v>
      </c>
      <c r="D79" s="34" t="s">
        <v>160</v>
      </c>
      <c r="E79" s="535">
        <v>19.389810000000001</v>
      </c>
      <c r="F79" s="537">
        <v>-155.29229000000001</v>
      </c>
      <c r="G79" s="34" t="s">
        <v>65</v>
      </c>
      <c r="H79" s="7">
        <v>2021</v>
      </c>
      <c r="I79" s="34" t="s">
        <v>262</v>
      </c>
      <c r="J79" s="624" t="s">
        <v>132</v>
      </c>
      <c r="K79" s="21">
        <f t="shared" si="37"/>
        <v>87.659909955862531</v>
      </c>
      <c r="L79" s="623" t="s">
        <v>423</v>
      </c>
      <c r="M79" s="552" t="s">
        <v>423</v>
      </c>
      <c r="N79" s="8">
        <v>40.999130033397854</v>
      </c>
      <c r="O79" s="9" t="s">
        <v>64</v>
      </c>
      <c r="P79" s="9">
        <v>2.091506428420134E-2</v>
      </c>
      <c r="Q79" s="9">
        <v>11.680813222531661</v>
      </c>
      <c r="R79" s="9">
        <v>0.15477247642386907</v>
      </c>
      <c r="S79" s="9">
        <v>46.5408214920879</v>
      </c>
      <c r="T79" s="9">
        <v>0.23778026361266966</v>
      </c>
      <c r="U79" s="9">
        <v>-7.3452905189491787E-3</v>
      </c>
      <c r="V79" s="9">
        <v>-5.3638633762353675E-3</v>
      </c>
      <c r="W79" s="9" t="s">
        <v>64</v>
      </c>
      <c r="X79" s="9">
        <v>0.3784766015570375</v>
      </c>
      <c r="Y79" s="9">
        <v>99.927973999999992</v>
      </c>
      <c r="Z79" s="605"/>
      <c r="AA79" s="608">
        <v>0.10607827910931128</v>
      </c>
      <c r="AB79" s="600" t="s">
        <v>64</v>
      </c>
      <c r="AC79" s="600">
        <v>8.6310614082899355E-3</v>
      </c>
      <c r="AD79" s="600">
        <v>9.8198494215443632E-2</v>
      </c>
      <c r="AE79" s="600">
        <v>7.5453749071306107E-3</v>
      </c>
      <c r="AF79" s="600">
        <v>5.9930615835361585E-2</v>
      </c>
      <c r="AG79" s="600">
        <v>4.0184864550541167E-3</v>
      </c>
      <c r="AH79" s="600">
        <v>7.1040711783068866E-3</v>
      </c>
      <c r="AI79" s="600">
        <v>5.3436952499407216E-3</v>
      </c>
      <c r="AJ79" s="600" t="s">
        <v>64</v>
      </c>
      <c r="AK79" s="609">
        <v>2.0412984114338194E-2</v>
      </c>
      <c r="AL79" s="605"/>
      <c r="AM79" s="614">
        <v>1.0150747478081334</v>
      </c>
      <c r="AN79" s="998">
        <v>0</v>
      </c>
      <c r="AO79" s="998">
        <v>6.1029151661058049E-4</v>
      </c>
      <c r="AP79" s="998">
        <v>0.2418604158505922</v>
      </c>
      <c r="AQ79" s="998">
        <v>3.2456608252629539E-3</v>
      </c>
      <c r="AR79" s="998">
        <v>1.7177822644385228</v>
      </c>
      <c r="AS79" s="998">
        <v>6.3077322814124193E-3</v>
      </c>
      <c r="AT79" s="998">
        <v>-3.525953887348203E-4</v>
      </c>
      <c r="AU79" s="998">
        <v>-1.6941718521083508E-4</v>
      </c>
      <c r="AV79" s="29" t="s">
        <v>64</v>
      </c>
      <c r="AW79" s="998">
        <v>0</v>
      </c>
      <c r="AX79" s="998">
        <v>2.9843591001465892</v>
      </c>
      <c r="AY79" s="998">
        <v>4</v>
      </c>
      <c r="AZ79" s="605"/>
      <c r="BA79" s="580">
        <v>40.9696</v>
      </c>
      <c r="BB79" s="576" t="s">
        <v>64</v>
      </c>
      <c r="BC79" s="576">
        <v>2.0899999999999998E-2</v>
      </c>
      <c r="BD79" s="576">
        <v>11.6724</v>
      </c>
      <c r="BE79" s="576">
        <v>0.15466099999999999</v>
      </c>
      <c r="BF79" s="576">
        <v>46.507300000000001</v>
      </c>
      <c r="BG79" s="576">
        <v>0.23760899999999999</v>
      </c>
      <c r="BH79" s="576">
        <v>-7.3400000000000002E-3</v>
      </c>
      <c r="BI79" s="576">
        <v>-5.3600000000000002E-3</v>
      </c>
      <c r="BJ79" s="576" t="s">
        <v>64</v>
      </c>
      <c r="BK79" s="576">
        <v>0.37820399999999998</v>
      </c>
      <c r="BL79" s="1001">
        <v>99.927999999999997</v>
      </c>
      <c r="BN79" s="9"/>
      <c r="BO79" s="9"/>
      <c r="BP79" s="9"/>
      <c r="BQ79" s="9"/>
      <c r="BR79" s="9"/>
      <c r="BS79" s="9"/>
      <c r="BT79" s="9"/>
      <c r="BU79" s="9"/>
      <c r="BV79" s="9"/>
      <c r="BW79" s="9"/>
      <c r="BX79" s="9"/>
    </row>
    <row r="80" spans="1:76" ht="13.15" customHeight="1">
      <c r="A80" s="846" t="s">
        <v>219</v>
      </c>
      <c r="B80" s="41" t="s">
        <v>679</v>
      </c>
      <c r="C80" s="41" t="s">
        <v>1488</v>
      </c>
      <c r="D80" s="34" t="s">
        <v>160</v>
      </c>
      <c r="E80" s="535">
        <v>19.389810000000001</v>
      </c>
      <c r="F80" s="537">
        <v>-155.29229000000001</v>
      </c>
      <c r="G80" s="34" t="s">
        <v>65</v>
      </c>
      <c r="H80" s="7">
        <v>2021</v>
      </c>
      <c r="I80" s="34" t="s">
        <v>263</v>
      </c>
      <c r="J80" s="624" t="s">
        <v>132</v>
      </c>
      <c r="K80" s="21">
        <f t="shared" si="37"/>
        <v>87.448579702346734</v>
      </c>
      <c r="L80" s="623" t="s">
        <v>423</v>
      </c>
      <c r="M80" s="552" t="s">
        <v>423</v>
      </c>
      <c r="N80" s="8">
        <v>41.721619861446008</v>
      </c>
      <c r="O80" s="9" t="s">
        <v>64</v>
      </c>
      <c r="P80" s="9">
        <v>2.4036526907059475E-2</v>
      </c>
      <c r="Q80" s="9">
        <v>11.705032935112282</v>
      </c>
      <c r="R80" s="9">
        <v>0.16013910254092401</v>
      </c>
      <c r="S80" s="9">
        <v>45.741542027186021</v>
      </c>
      <c r="T80" s="9">
        <v>0.22042716772795365</v>
      </c>
      <c r="U80" s="9">
        <v>-7.9580128585434728E-3</v>
      </c>
      <c r="V80" s="9">
        <v>3.732337396017991E-3</v>
      </c>
      <c r="W80" s="9" t="s">
        <v>64</v>
      </c>
      <c r="X80" s="9">
        <v>0.431428054542282</v>
      </c>
      <c r="Y80" s="9">
        <v>102.161182</v>
      </c>
      <c r="Z80" s="605"/>
      <c r="AA80" s="608">
        <v>0.10530077915210495</v>
      </c>
      <c r="AB80" s="600" t="s">
        <v>64</v>
      </c>
      <c r="AC80" s="600">
        <v>8.4371334192276676E-3</v>
      </c>
      <c r="AD80" s="600">
        <v>9.739640854977577E-2</v>
      </c>
      <c r="AE80" s="600">
        <v>7.2657352770252792E-3</v>
      </c>
      <c r="AF80" s="600">
        <v>5.8926084101102116E-2</v>
      </c>
      <c r="AG80" s="600">
        <v>3.8690258188281337E-3</v>
      </c>
      <c r="AH80" s="600">
        <v>7.0132375719771916E-3</v>
      </c>
      <c r="AI80" s="600">
        <v>5.1382342463500482E-3</v>
      </c>
      <c r="AJ80" s="600" t="s">
        <v>64</v>
      </c>
      <c r="AK80" s="609">
        <v>2.0001953750300186E-2</v>
      </c>
      <c r="AL80" s="605"/>
      <c r="AM80" s="614">
        <v>1.0312367020934154</v>
      </c>
      <c r="AN80" s="998">
        <v>0</v>
      </c>
      <c r="AO80" s="998">
        <v>7.0020250814084866E-4</v>
      </c>
      <c r="AP80" s="998">
        <v>0.24195698982829369</v>
      </c>
      <c r="AQ80" s="998">
        <v>3.3525912679305929E-3</v>
      </c>
      <c r="AR80" s="998">
        <v>1.6854609238716014</v>
      </c>
      <c r="AS80" s="998">
        <v>5.8376275879945105E-3</v>
      </c>
      <c r="AT80" s="998">
        <v>-3.8136962903517849E-4</v>
      </c>
      <c r="AU80" s="998">
        <v>1.1768861931156487E-4</v>
      </c>
      <c r="AV80" s="29" t="s">
        <v>64</v>
      </c>
      <c r="AW80" s="998">
        <v>0</v>
      </c>
      <c r="AX80" s="998">
        <v>2.9682813561476529</v>
      </c>
      <c r="AY80" s="998">
        <v>4</v>
      </c>
      <c r="AZ80" s="605"/>
      <c r="BA80" s="580">
        <v>42.6233</v>
      </c>
      <c r="BB80" s="576" t="s">
        <v>64</v>
      </c>
      <c r="BC80" s="576">
        <v>2.4556000000000001E-2</v>
      </c>
      <c r="BD80" s="576">
        <v>11.958</v>
      </c>
      <c r="BE80" s="576">
        <v>0.1636</v>
      </c>
      <c r="BF80" s="576">
        <v>46.7301</v>
      </c>
      <c r="BG80" s="576">
        <v>0.225191</v>
      </c>
      <c r="BH80" s="576">
        <v>-8.1300000000000001E-3</v>
      </c>
      <c r="BI80" s="576">
        <v>3.813E-3</v>
      </c>
      <c r="BJ80" s="576" t="s">
        <v>64</v>
      </c>
      <c r="BK80" s="576">
        <v>0.44075199999999998</v>
      </c>
      <c r="BL80" s="1001">
        <v>102.161</v>
      </c>
      <c r="BN80" s="9"/>
      <c r="BO80" s="9"/>
      <c r="BP80" s="9"/>
      <c r="BQ80" s="9"/>
      <c r="BR80" s="9"/>
      <c r="BS80" s="9"/>
      <c r="BT80" s="9"/>
      <c r="BU80" s="9"/>
      <c r="BV80" s="9"/>
      <c r="BW80" s="9"/>
      <c r="BX80" s="9"/>
    </row>
    <row r="81" spans="1:76" ht="13.15" customHeight="1">
      <c r="A81" s="846" t="s">
        <v>189</v>
      </c>
      <c r="B81" s="41" t="s">
        <v>679</v>
      </c>
      <c r="C81" s="41" t="s">
        <v>1488</v>
      </c>
      <c r="D81" s="34" t="s">
        <v>160</v>
      </c>
      <c r="E81" s="535">
        <v>19.389810000000001</v>
      </c>
      <c r="F81" s="537">
        <v>-155.29229000000001</v>
      </c>
      <c r="G81" s="34" t="s">
        <v>65</v>
      </c>
      <c r="H81" s="7">
        <v>2021</v>
      </c>
      <c r="I81" s="34" t="s">
        <v>853</v>
      </c>
      <c r="J81" s="624" t="s">
        <v>132</v>
      </c>
      <c r="K81" s="21">
        <f t="shared" si="37"/>
        <v>83.329701216796323</v>
      </c>
      <c r="L81" s="623" t="s">
        <v>423</v>
      </c>
      <c r="M81" s="552" t="s">
        <v>423</v>
      </c>
      <c r="N81" s="8">
        <v>40.251975387496621</v>
      </c>
      <c r="O81" s="9" t="s">
        <v>64</v>
      </c>
      <c r="P81" s="9">
        <v>1.6856900273155041E-2</v>
      </c>
      <c r="Q81" s="9">
        <v>15.504000940146289</v>
      </c>
      <c r="R81" s="9">
        <v>0.19466092024586981</v>
      </c>
      <c r="S81" s="9">
        <v>43.468885010993411</v>
      </c>
      <c r="T81" s="9">
        <v>0.25305074321460452</v>
      </c>
      <c r="U81" s="9">
        <v>-4.0051616671934256E-3</v>
      </c>
      <c r="V81" s="9">
        <v>8.5245538901496248E-3</v>
      </c>
      <c r="W81" s="9" t="s">
        <v>64</v>
      </c>
      <c r="X81" s="9">
        <v>0.30605070540708601</v>
      </c>
      <c r="Y81" s="9">
        <v>99.371769</v>
      </c>
      <c r="Z81" s="605"/>
      <c r="AA81" s="608">
        <v>0.10524241232839479</v>
      </c>
      <c r="AB81" s="600" t="s">
        <v>64</v>
      </c>
      <c r="AC81" s="600">
        <v>8.4743683329215943E-3</v>
      </c>
      <c r="AD81" s="600">
        <v>0.11332416927185827</v>
      </c>
      <c r="AE81" s="600">
        <v>7.796383982859356E-3</v>
      </c>
      <c r="AF81" s="600">
        <v>5.8627354592027024E-2</v>
      </c>
      <c r="AG81" s="600">
        <v>4.1153389318247923E-3</v>
      </c>
      <c r="AH81" s="600">
        <v>7.3166293336289498E-3</v>
      </c>
      <c r="AI81" s="600">
        <v>5.2022965516493923E-3</v>
      </c>
      <c r="AJ81" s="600" t="s">
        <v>64</v>
      </c>
      <c r="AK81" s="609">
        <v>2.024534597789036E-2</v>
      </c>
      <c r="AL81" s="605"/>
      <c r="AM81" s="614">
        <v>1.0142893495478373</v>
      </c>
      <c r="AN81" s="998">
        <v>0</v>
      </c>
      <c r="AO81" s="998">
        <v>5.0061877266183836E-4</v>
      </c>
      <c r="AP81" s="998">
        <v>0.3267283248120943</v>
      </c>
      <c r="AQ81" s="998">
        <v>4.1546979778423459E-3</v>
      </c>
      <c r="AR81" s="998">
        <v>1.632916038237811</v>
      </c>
      <c r="AS81" s="998">
        <v>6.832133590681291E-3</v>
      </c>
      <c r="AT81" s="998">
        <v>-1.9567664161774251E-4</v>
      </c>
      <c r="AU81" s="998">
        <v>2.7403289542500916E-4</v>
      </c>
      <c r="AV81" s="29" t="s">
        <v>64</v>
      </c>
      <c r="AW81" s="998">
        <v>0</v>
      </c>
      <c r="AX81" s="998">
        <v>2.9854995191927358</v>
      </c>
      <c r="AY81" s="998">
        <v>4</v>
      </c>
      <c r="AZ81" s="605"/>
      <c r="BA81" s="580">
        <v>39.999099999999999</v>
      </c>
      <c r="BB81" s="576" t="s">
        <v>64</v>
      </c>
      <c r="BC81" s="576">
        <v>1.6750999999999999E-2</v>
      </c>
      <c r="BD81" s="576">
        <v>15.406599999999999</v>
      </c>
      <c r="BE81" s="576">
        <v>0.193438</v>
      </c>
      <c r="BF81" s="576">
        <v>43.195799999999998</v>
      </c>
      <c r="BG81" s="576">
        <v>0.25146099999999999</v>
      </c>
      <c r="BH81" s="576">
        <v>-3.98E-3</v>
      </c>
      <c r="BI81" s="576">
        <v>8.4709999999999994E-3</v>
      </c>
      <c r="BJ81" s="576" t="s">
        <v>64</v>
      </c>
      <c r="BK81" s="576">
        <v>0.30412800000000001</v>
      </c>
      <c r="BL81" s="1001">
        <v>99.371799999999993</v>
      </c>
      <c r="BN81" s="9"/>
      <c r="BO81" s="9"/>
      <c r="BP81" s="9"/>
      <c r="BQ81" s="9"/>
      <c r="BR81" s="9"/>
      <c r="BS81" s="9"/>
      <c r="BT81" s="9"/>
      <c r="BU81" s="9"/>
      <c r="BV81" s="9"/>
      <c r="BW81" s="9"/>
      <c r="BX81" s="9"/>
    </row>
    <row r="82" spans="1:76" ht="13.15" customHeight="1">
      <c r="A82" s="846" t="s">
        <v>220</v>
      </c>
      <c r="B82" s="41" t="s">
        <v>679</v>
      </c>
      <c r="C82" s="41" t="s">
        <v>1488</v>
      </c>
      <c r="D82" s="34" t="s">
        <v>160</v>
      </c>
      <c r="E82" s="535">
        <v>19.389810000000001</v>
      </c>
      <c r="F82" s="537">
        <v>-155.29229000000001</v>
      </c>
      <c r="G82" s="34" t="s">
        <v>65</v>
      </c>
      <c r="H82" s="7">
        <v>2021</v>
      </c>
      <c r="I82" s="34" t="s">
        <v>854</v>
      </c>
      <c r="J82" s="624" t="s">
        <v>132</v>
      </c>
      <c r="K82" s="21">
        <f t="shared" si="37"/>
        <v>88.957986360992024</v>
      </c>
      <c r="L82" s="623" t="s">
        <v>423</v>
      </c>
      <c r="M82" s="552" t="s">
        <v>423</v>
      </c>
      <c r="N82" s="8">
        <v>40.738969092039746</v>
      </c>
      <c r="O82" s="9" t="s">
        <v>64</v>
      </c>
      <c r="P82" s="9">
        <v>3.4488052982938715E-2</v>
      </c>
      <c r="Q82" s="9">
        <v>10.576362758764285</v>
      </c>
      <c r="R82" s="9">
        <v>0.13761718342709225</v>
      </c>
      <c r="S82" s="9">
        <v>47.791567652653896</v>
      </c>
      <c r="T82" s="9">
        <v>0.23662854512847875</v>
      </c>
      <c r="U82" s="9">
        <v>-2.1075977147914466E-3</v>
      </c>
      <c r="V82" s="9">
        <v>5.5930871431210749E-3</v>
      </c>
      <c r="W82" s="9" t="s">
        <v>64</v>
      </c>
      <c r="X82" s="9">
        <v>0.480881225575229</v>
      </c>
      <c r="Y82" s="9">
        <v>100.58845600000001</v>
      </c>
      <c r="Z82" s="605"/>
      <c r="AA82" s="608">
        <v>0.10548744961847313</v>
      </c>
      <c r="AB82" s="600" t="s">
        <v>64</v>
      </c>
      <c r="AC82" s="600">
        <v>8.5087544797387091E-3</v>
      </c>
      <c r="AD82" s="600">
        <v>9.3685632844389202E-2</v>
      </c>
      <c r="AE82" s="600">
        <v>7.2806370892103157E-3</v>
      </c>
      <c r="AF82" s="600">
        <v>6.0095028829153109E-2</v>
      </c>
      <c r="AG82" s="600">
        <v>3.988421453849535E-3</v>
      </c>
      <c r="AH82" s="600">
        <v>6.962659810585024E-3</v>
      </c>
      <c r="AI82" s="600">
        <v>5.0015286883417316E-3</v>
      </c>
      <c r="AJ82" s="600" t="s">
        <v>64</v>
      </c>
      <c r="AK82" s="609">
        <v>2.0704341167141486E-2</v>
      </c>
      <c r="AL82" s="605"/>
      <c r="AM82" s="614">
        <v>1.0058885912644673</v>
      </c>
      <c r="AN82" s="998">
        <v>0</v>
      </c>
      <c r="AO82" s="998">
        <v>1.0036060517608883E-3</v>
      </c>
      <c r="AP82" s="998">
        <v>0.2183959191432514</v>
      </c>
      <c r="AQ82" s="998">
        <v>2.8780513097257233E-3</v>
      </c>
      <c r="AR82" s="998">
        <v>1.7591457007084241</v>
      </c>
      <c r="AS82" s="998">
        <v>6.2600967713815278E-3</v>
      </c>
      <c r="AT82" s="998">
        <v>-1.008955088158209E-4</v>
      </c>
      <c r="AU82" s="998">
        <v>1.7617643009857991E-4</v>
      </c>
      <c r="AV82" s="29" t="s">
        <v>64</v>
      </c>
      <c r="AW82" s="998">
        <v>0</v>
      </c>
      <c r="AX82" s="998">
        <v>2.9936472461702941</v>
      </c>
      <c r="AY82" s="998">
        <v>4</v>
      </c>
      <c r="AZ82" s="605"/>
      <c r="BA82" s="580">
        <v>40.978700000000003</v>
      </c>
      <c r="BB82" s="576" t="s">
        <v>64</v>
      </c>
      <c r="BC82" s="576">
        <v>3.4691E-2</v>
      </c>
      <c r="BD82" s="576">
        <v>10.6386</v>
      </c>
      <c r="BE82" s="576">
        <v>0.13842699999999999</v>
      </c>
      <c r="BF82" s="576">
        <v>48.072800000000001</v>
      </c>
      <c r="BG82" s="576">
        <v>0.23802100000000001</v>
      </c>
      <c r="BH82" s="576">
        <v>-2.1199999999999999E-3</v>
      </c>
      <c r="BI82" s="576">
        <v>5.6259999999999999E-3</v>
      </c>
      <c r="BJ82" s="576" t="s">
        <v>64</v>
      </c>
      <c r="BK82" s="576">
        <v>0.483711</v>
      </c>
      <c r="BL82" s="1001">
        <v>100.58799999999999</v>
      </c>
      <c r="BN82" s="9"/>
      <c r="BO82" s="9"/>
      <c r="BP82" s="9"/>
      <c r="BQ82" s="9"/>
      <c r="BR82" s="9"/>
      <c r="BS82" s="9"/>
      <c r="BT82" s="9"/>
      <c r="BU82" s="9"/>
      <c r="BV82" s="9"/>
      <c r="BW82" s="9"/>
      <c r="BX82" s="9"/>
    </row>
    <row r="83" spans="1:76" ht="13.15" customHeight="1">
      <c r="A83" s="846" t="s">
        <v>221</v>
      </c>
      <c r="B83" s="41" t="s">
        <v>679</v>
      </c>
      <c r="C83" s="41" t="s">
        <v>1488</v>
      </c>
      <c r="D83" s="34" t="s">
        <v>160</v>
      </c>
      <c r="E83" s="535">
        <v>19.389810000000001</v>
      </c>
      <c r="F83" s="537">
        <v>-155.29229000000001</v>
      </c>
      <c r="G83" s="34" t="s">
        <v>65</v>
      </c>
      <c r="H83" s="7">
        <v>2021</v>
      </c>
      <c r="I83" s="34" t="s">
        <v>855</v>
      </c>
      <c r="J83" s="624" t="s">
        <v>132</v>
      </c>
      <c r="K83" s="21">
        <f t="shared" si="37"/>
        <v>89.131301862899505</v>
      </c>
      <c r="L83" s="623" t="s">
        <v>423</v>
      </c>
      <c r="M83" s="552" t="s">
        <v>423</v>
      </c>
      <c r="N83" s="8">
        <v>40.666175807051225</v>
      </c>
      <c r="O83" s="9" t="s">
        <v>64</v>
      </c>
      <c r="P83" s="9">
        <v>6.0832638337878053E-2</v>
      </c>
      <c r="Q83" s="9">
        <v>10.436307554701575</v>
      </c>
      <c r="R83" s="9">
        <v>0.14914257246793727</v>
      </c>
      <c r="S83" s="9">
        <v>48.004048487045146</v>
      </c>
      <c r="T83" s="9">
        <v>0.22219440480372626</v>
      </c>
      <c r="U83" s="9">
        <v>-4.2375208315767384E-4</v>
      </c>
      <c r="V83" s="9">
        <v>2.1429748205402358E-3</v>
      </c>
      <c r="W83" s="9" t="s">
        <v>64</v>
      </c>
      <c r="X83" s="9">
        <v>0.45957931285512382</v>
      </c>
      <c r="Y83" s="9">
        <v>99.114557000000005</v>
      </c>
      <c r="Z83" s="605"/>
      <c r="AA83" s="608">
        <v>0.10619036489967866</v>
      </c>
      <c r="AB83" s="600" t="s">
        <v>64</v>
      </c>
      <c r="AC83" s="600">
        <v>8.9766466110522986E-3</v>
      </c>
      <c r="AD83" s="600">
        <v>9.3772519366655691E-2</v>
      </c>
      <c r="AE83" s="600">
        <v>7.4253314269466996E-3</v>
      </c>
      <c r="AF83" s="600">
        <v>6.0642074332229519E-2</v>
      </c>
      <c r="AG83" s="600">
        <v>3.9606374850669011E-3</v>
      </c>
      <c r="AH83" s="600">
        <v>7.145731378287854E-3</v>
      </c>
      <c r="AI83" s="600">
        <v>5.2553885903964632E-3</v>
      </c>
      <c r="AJ83" s="600" t="s">
        <v>64</v>
      </c>
      <c r="AK83" s="609">
        <v>2.1573434230251366E-2</v>
      </c>
      <c r="AL83" s="605"/>
      <c r="AM83" s="614">
        <v>1.0035068342550661</v>
      </c>
      <c r="AN83" s="998">
        <v>0</v>
      </c>
      <c r="AO83" s="998">
        <v>1.7692059854583614E-3</v>
      </c>
      <c r="AP83" s="998">
        <v>0.21537842813148336</v>
      </c>
      <c r="AQ83" s="998">
        <v>3.1172716514645676E-3</v>
      </c>
      <c r="AR83" s="998">
        <v>1.7659384138562815</v>
      </c>
      <c r="AS83" s="998">
        <v>5.8748148627510276E-3</v>
      </c>
      <c r="AT83" s="998">
        <v>-2.0274171466207107E-5</v>
      </c>
      <c r="AU83" s="998">
        <v>6.7462190864888671E-5</v>
      </c>
      <c r="AV83" s="29" t="s">
        <v>64</v>
      </c>
      <c r="AW83" s="998">
        <v>0</v>
      </c>
      <c r="AX83" s="998">
        <v>2.9956321567619035</v>
      </c>
      <c r="AY83" s="998">
        <v>4</v>
      </c>
      <c r="AZ83" s="605"/>
      <c r="BA83" s="580">
        <v>40.306100000000001</v>
      </c>
      <c r="BB83" s="576" t="s">
        <v>64</v>
      </c>
      <c r="BC83" s="576">
        <v>6.0294E-2</v>
      </c>
      <c r="BD83" s="576">
        <v>10.3439</v>
      </c>
      <c r="BE83" s="576">
        <v>0.14782200000000001</v>
      </c>
      <c r="BF83" s="576">
        <v>47.579000000000001</v>
      </c>
      <c r="BG83" s="576">
        <v>0.22022700000000001</v>
      </c>
      <c r="BH83" s="576">
        <v>-4.2000000000000002E-4</v>
      </c>
      <c r="BI83" s="576">
        <v>2.124E-3</v>
      </c>
      <c r="BJ83" s="576" t="s">
        <v>64</v>
      </c>
      <c r="BK83" s="576">
        <v>0.45551000000000003</v>
      </c>
      <c r="BL83" s="1001">
        <v>99.114699999999999</v>
      </c>
      <c r="BN83" s="9"/>
      <c r="BO83" s="9"/>
      <c r="BP83" s="9"/>
      <c r="BQ83" s="9"/>
      <c r="BR83" s="9"/>
      <c r="BS83" s="9"/>
      <c r="BT83" s="9"/>
      <c r="BU83" s="9"/>
      <c r="BV83" s="9"/>
      <c r="BW83" s="9"/>
      <c r="BX83" s="9"/>
    </row>
    <row r="84" spans="1:76" ht="13.15" customHeight="1">
      <c r="A84" s="846" t="s">
        <v>223</v>
      </c>
      <c r="B84" s="41" t="s">
        <v>679</v>
      </c>
      <c r="C84" s="41" t="s">
        <v>1488</v>
      </c>
      <c r="D84" s="34" t="s">
        <v>160</v>
      </c>
      <c r="E84" s="535">
        <v>19.389810000000001</v>
      </c>
      <c r="F84" s="537">
        <v>-155.29229000000001</v>
      </c>
      <c r="G84" s="34" t="s">
        <v>65</v>
      </c>
      <c r="H84" s="7">
        <v>2021</v>
      </c>
      <c r="I84" s="34" t="s">
        <v>267</v>
      </c>
      <c r="J84" s="624" t="s">
        <v>132</v>
      </c>
      <c r="K84" s="21">
        <f t="shared" si="37"/>
        <v>88.338346223606436</v>
      </c>
      <c r="L84" s="623" t="s">
        <v>423</v>
      </c>
      <c r="M84" s="552" t="s">
        <v>423</v>
      </c>
      <c r="N84" s="8">
        <v>41.845850204337673</v>
      </c>
      <c r="O84" s="9" t="s">
        <v>64</v>
      </c>
      <c r="P84" s="9">
        <v>3.6626657524154324E-2</v>
      </c>
      <c r="Q84" s="9">
        <v>10.926260841052752</v>
      </c>
      <c r="R84" s="9">
        <v>0.16199201679104283</v>
      </c>
      <c r="S84" s="9">
        <v>46.423615327136339</v>
      </c>
      <c r="T84" s="9">
        <v>0.23252044816614442</v>
      </c>
      <c r="U84" s="9">
        <v>-4.6943345220650688E-3</v>
      </c>
      <c r="V84" s="9">
        <v>-4.9310236576313748E-4</v>
      </c>
      <c r="W84" s="9" t="s">
        <v>64</v>
      </c>
      <c r="X84" s="9">
        <v>0.3783219418797204</v>
      </c>
      <c r="Y84" s="9">
        <v>101.398824</v>
      </c>
      <c r="Z84" s="605"/>
      <c r="AA84" s="608">
        <v>0.105886320898554</v>
      </c>
      <c r="AB84" s="600" t="s">
        <v>64</v>
      </c>
      <c r="AC84" s="600">
        <v>8.646491668384635E-3</v>
      </c>
      <c r="AD84" s="600">
        <v>9.4596507008799235E-2</v>
      </c>
      <c r="AE84" s="600">
        <v>7.3259107681564418E-3</v>
      </c>
      <c r="AF84" s="600">
        <v>5.9412478659515815E-2</v>
      </c>
      <c r="AG84" s="600">
        <v>3.9446861510938243E-3</v>
      </c>
      <c r="AH84" s="600">
        <v>7.0757704251086777E-3</v>
      </c>
      <c r="AI84" s="600">
        <v>5.1829989665363374E-3</v>
      </c>
      <c r="AJ84" s="600" t="s">
        <v>64</v>
      </c>
      <c r="AK84" s="609">
        <v>2.0099601624768346E-2</v>
      </c>
      <c r="AL84" s="605"/>
      <c r="AM84" s="614">
        <v>1.0301618014781611</v>
      </c>
      <c r="AN84" s="998">
        <v>0</v>
      </c>
      <c r="AO84" s="998">
        <v>1.0626862971174901E-3</v>
      </c>
      <c r="AP84" s="998">
        <v>0.22495359781395571</v>
      </c>
      <c r="AQ84" s="998">
        <v>3.3777902529948172E-3</v>
      </c>
      <c r="AR84" s="998">
        <v>1.7037375384258477</v>
      </c>
      <c r="AS84" s="998">
        <v>6.1332160446293778E-3</v>
      </c>
      <c r="AT84" s="998">
        <v>-2.2406362035170752E-4</v>
      </c>
      <c r="AU84" s="998">
        <v>-1.5486258499819522E-5</v>
      </c>
      <c r="AV84" s="29" t="s">
        <v>64</v>
      </c>
      <c r="AW84" s="998">
        <v>0</v>
      </c>
      <c r="AX84" s="998">
        <v>2.9691870804338545</v>
      </c>
      <c r="AY84" s="998">
        <v>4</v>
      </c>
      <c r="AZ84" s="605"/>
      <c r="BA84" s="580">
        <v>42.431199999999997</v>
      </c>
      <c r="BB84" s="576" t="s">
        <v>64</v>
      </c>
      <c r="BC84" s="576">
        <v>3.7138999999999998E-2</v>
      </c>
      <c r="BD84" s="576">
        <v>11.0791</v>
      </c>
      <c r="BE84" s="576">
        <v>0.16425799999999999</v>
      </c>
      <c r="BF84" s="576">
        <v>47.073</v>
      </c>
      <c r="BG84" s="576">
        <v>0.23577300000000001</v>
      </c>
      <c r="BH84" s="576">
        <v>-4.7600000000000003E-3</v>
      </c>
      <c r="BI84" s="576">
        <v>-5.0000000000000001E-4</v>
      </c>
      <c r="BJ84" s="576" t="s">
        <v>64</v>
      </c>
      <c r="BK84" s="576">
        <v>0.38361400000000001</v>
      </c>
      <c r="BL84" s="1001">
        <v>101.399</v>
      </c>
      <c r="BN84" s="9"/>
      <c r="BO84" s="9"/>
      <c r="BP84" s="9"/>
      <c r="BQ84" s="9"/>
      <c r="BR84" s="9"/>
      <c r="BS84" s="9"/>
      <c r="BT84" s="9"/>
      <c r="BU84" s="9"/>
      <c r="BV84" s="9"/>
      <c r="BW84" s="9"/>
      <c r="BX84" s="9"/>
    </row>
    <row r="85" spans="1:76" ht="13.15" customHeight="1">
      <c r="A85" s="846" t="s">
        <v>224</v>
      </c>
      <c r="B85" s="41" t="s">
        <v>679</v>
      </c>
      <c r="C85" s="41" t="s">
        <v>1488</v>
      </c>
      <c r="D85" s="34" t="s">
        <v>160</v>
      </c>
      <c r="E85" s="535">
        <v>19.389810000000001</v>
      </c>
      <c r="F85" s="537">
        <v>-155.29229000000001</v>
      </c>
      <c r="G85" s="34" t="s">
        <v>65</v>
      </c>
      <c r="H85" s="7">
        <v>2021</v>
      </c>
      <c r="I85" s="34" t="s">
        <v>857</v>
      </c>
      <c r="J85" s="624" t="s">
        <v>132</v>
      </c>
      <c r="K85" s="21">
        <f t="shared" si="37"/>
        <v>87.146171949955715</v>
      </c>
      <c r="L85" s="623" t="s">
        <v>423</v>
      </c>
      <c r="M85" s="552" t="s">
        <v>423</v>
      </c>
      <c r="N85" s="8">
        <v>41.799691731878056</v>
      </c>
      <c r="O85" s="9" t="s">
        <v>64</v>
      </c>
      <c r="P85" s="9">
        <v>3.5496707841446339E-2</v>
      </c>
      <c r="Q85" s="9">
        <v>11.941632394734079</v>
      </c>
      <c r="R85" s="9">
        <v>0.17466922472954338</v>
      </c>
      <c r="S85" s="9">
        <v>45.410658580039346</v>
      </c>
      <c r="T85" s="9">
        <v>0.23236512729394873</v>
      </c>
      <c r="U85" s="9">
        <v>1.3672755048845794E-2</v>
      </c>
      <c r="V85" s="9">
        <v>-4.53826627815702E-3</v>
      </c>
      <c r="W85" s="9" t="s">
        <v>64</v>
      </c>
      <c r="X85" s="9">
        <v>0.39635174471289525</v>
      </c>
      <c r="Y85" s="9">
        <v>101.80099</v>
      </c>
      <c r="Z85" s="605"/>
      <c r="AA85" s="608">
        <v>0.10544641034433949</v>
      </c>
      <c r="AB85" s="600" t="s">
        <v>64</v>
      </c>
      <c r="AC85" s="600">
        <v>8.6156544371523303E-3</v>
      </c>
      <c r="AD85" s="600">
        <v>9.831187701612723E-2</v>
      </c>
      <c r="AE85" s="600">
        <v>7.3662902806740866E-3</v>
      </c>
      <c r="AF85" s="600">
        <v>5.8750039537925902E-2</v>
      </c>
      <c r="AG85" s="600">
        <v>3.9307117298171658E-3</v>
      </c>
      <c r="AH85" s="600">
        <v>7.3351322830946938E-3</v>
      </c>
      <c r="AI85" s="600">
        <v>5.1445786529187975E-3</v>
      </c>
      <c r="AJ85" s="600" t="s">
        <v>64</v>
      </c>
      <c r="AK85" s="609">
        <v>2.0062294802830508E-2</v>
      </c>
      <c r="AL85" s="605"/>
      <c r="AM85" s="614">
        <v>1.0336659270041231</v>
      </c>
      <c r="AN85" s="998">
        <v>0</v>
      </c>
      <c r="AO85" s="998">
        <v>1.0345463309082397E-3</v>
      </c>
      <c r="AP85" s="998">
        <v>0.2469671289736296</v>
      </c>
      <c r="AQ85" s="998">
        <v>3.6585545440875594E-3</v>
      </c>
      <c r="AR85" s="998">
        <v>1.67407769322595</v>
      </c>
      <c r="AS85" s="998">
        <v>6.1567587806932141E-3</v>
      </c>
      <c r="AT85" s="998">
        <v>6.5555241778002325E-4</v>
      </c>
      <c r="AU85" s="998">
        <v>-1.4317047571774674E-4</v>
      </c>
      <c r="AV85" s="29" t="s">
        <v>64</v>
      </c>
      <c r="AW85" s="998">
        <v>0</v>
      </c>
      <c r="AX85" s="998">
        <v>2.9660729908014547</v>
      </c>
      <c r="AY85" s="998">
        <v>4</v>
      </c>
      <c r="AZ85" s="605"/>
      <c r="BA85" s="580">
        <v>42.552500000000002</v>
      </c>
      <c r="BB85" s="576" t="s">
        <v>64</v>
      </c>
      <c r="BC85" s="576">
        <v>3.6136000000000001E-2</v>
      </c>
      <c r="BD85" s="576">
        <v>12.156700000000001</v>
      </c>
      <c r="BE85" s="576">
        <v>0.177815</v>
      </c>
      <c r="BF85" s="576">
        <v>46.228499999999997</v>
      </c>
      <c r="BG85" s="576">
        <v>0.23655000000000001</v>
      </c>
      <c r="BH85" s="576">
        <v>1.3919000000000001E-2</v>
      </c>
      <c r="BI85" s="576">
        <v>-4.62E-3</v>
      </c>
      <c r="BJ85" s="576" t="s">
        <v>64</v>
      </c>
      <c r="BK85" s="576">
        <v>0.40349000000000002</v>
      </c>
      <c r="BL85" s="1001">
        <v>101.801</v>
      </c>
      <c r="BN85" s="9"/>
      <c r="BO85" s="9"/>
      <c r="BP85" s="9"/>
      <c r="BQ85" s="9"/>
      <c r="BR85" s="9"/>
      <c r="BS85" s="9"/>
      <c r="BT85" s="9"/>
      <c r="BU85" s="9"/>
      <c r="BV85" s="9"/>
      <c r="BW85" s="9"/>
      <c r="BX85" s="9"/>
    </row>
    <row r="86" spans="1:76" ht="13.15" customHeight="1">
      <c r="A86" s="846" t="s">
        <v>225</v>
      </c>
      <c r="B86" s="41" t="s">
        <v>679</v>
      </c>
      <c r="C86" s="41" t="s">
        <v>1488</v>
      </c>
      <c r="D86" s="34" t="s">
        <v>160</v>
      </c>
      <c r="E86" s="535">
        <v>19.389810000000001</v>
      </c>
      <c r="F86" s="537">
        <v>-155.29229000000001</v>
      </c>
      <c r="G86" s="34" t="s">
        <v>65</v>
      </c>
      <c r="H86" s="7">
        <v>2021</v>
      </c>
      <c r="I86" s="34" t="s">
        <v>858</v>
      </c>
      <c r="J86" s="624" t="s">
        <v>132</v>
      </c>
      <c r="K86" s="21">
        <f t="shared" si="37"/>
        <v>88.801176206524786</v>
      </c>
      <c r="L86" s="623" t="s">
        <v>423</v>
      </c>
      <c r="M86" s="552" t="s">
        <v>423</v>
      </c>
      <c r="N86" s="8">
        <v>40.660247495622087</v>
      </c>
      <c r="O86" s="9" t="s">
        <v>64</v>
      </c>
      <c r="P86" s="9">
        <v>4.6873016808295184E-2</v>
      </c>
      <c r="Q86" s="9">
        <v>10.731691702270558</v>
      </c>
      <c r="R86" s="9">
        <v>0.15193539808591541</v>
      </c>
      <c r="S86" s="9">
        <v>47.730146614084397</v>
      </c>
      <c r="T86" s="9">
        <v>0.22561098578803632</v>
      </c>
      <c r="U86" s="9">
        <v>-8.5306757922149173E-4</v>
      </c>
      <c r="V86" s="9">
        <v>8.6941804115657027E-3</v>
      </c>
      <c r="W86" s="9" t="s">
        <v>64</v>
      </c>
      <c r="X86" s="9">
        <v>0.44565367450836851</v>
      </c>
      <c r="Y86" s="9">
        <v>98.468165999999997</v>
      </c>
      <c r="Z86" s="605"/>
      <c r="AA86" s="608">
        <v>0.10653350786080447</v>
      </c>
      <c r="AB86" s="600" t="s">
        <v>64</v>
      </c>
      <c r="AC86" s="600">
        <v>8.8470944304984821E-3</v>
      </c>
      <c r="AD86" s="600">
        <v>9.5403022162512896E-2</v>
      </c>
      <c r="AE86" s="600">
        <v>7.5082523413709168E-3</v>
      </c>
      <c r="AF86" s="600">
        <v>6.0731361250294845E-2</v>
      </c>
      <c r="AG86" s="600">
        <v>3.9979620347554761E-3</v>
      </c>
      <c r="AH86" s="600">
        <v>7.167132573587285E-3</v>
      </c>
      <c r="AI86" s="600">
        <v>5.2939125351435913E-3</v>
      </c>
      <c r="AJ86" s="600" t="s">
        <v>64</v>
      </c>
      <c r="AK86" s="609">
        <v>2.0767372101355069E-2</v>
      </c>
      <c r="AL86" s="605"/>
      <c r="AM86" s="614">
        <v>1.0045258309796861</v>
      </c>
      <c r="AN86" s="998">
        <v>0</v>
      </c>
      <c r="AO86" s="998">
        <v>1.3647991525748426E-3</v>
      </c>
      <c r="AP86" s="998">
        <v>0.22173161091395649</v>
      </c>
      <c r="AQ86" s="998">
        <v>3.1793334468708011E-3</v>
      </c>
      <c r="AR86" s="998">
        <v>1.757901540834004</v>
      </c>
      <c r="AS86" s="998">
        <v>5.9720770186550143E-3</v>
      </c>
      <c r="AT86" s="998">
        <v>-4.0861922552380532E-5</v>
      </c>
      <c r="AU86" s="998">
        <v>2.7401611911155935E-4</v>
      </c>
      <c r="AV86" s="29" t="s">
        <v>64</v>
      </c>
      <c r="AW86" s="998">
        <v>0</v>
      </c>
      <c r="AX86" s="998">
        <v>2.9949083465423061</v>
      </c>
      <c r="AY86" s="998">
        <v>4</v>
      </c>
      <c r="AZ86" s="605"/>
      <c r="BA86" s="580">
        <v>40.037399999999998</v>
      </c>
      <c r="BB86" s="576" t="s">
        <v>64</v>
      </c>
      <c r="BC86" s="576">
        <v>4.6155000000000002E-2</v>
      </c>
      <c r="BD86" s="576">
        <v>10.567299999999999</v>
      </c>
      <c r="BE86" s="576">
        <v>0.14960799999999999</v>
      </c>
      <c r="BF86" s="576">
        <v>46.999000000000002</v>
      </c>
      <c r="BG86" s="576">
        <v>0.22215499999999999</v>
      </c>
      <c r="BH86" s="576">
        <v>-8.4000000000000003E-4</v>
      </c>
      <c r="BI86" s="576">
        <v>8.5609999999999992E-3</v>
      </c>
      <c r="BJ86" s="576" t="s">
        <v>64</v>
      </c>
      <c r="BK86" s="576">
        <v>0.43882700000000002</v>
      </c>
      <c r="BL86" s="1001">
        <v>98.468199999999996</v>
      </c>
      <c r="BN86" s="9"/>
      <c r="BO86" s="9"/>
      <c r="BP86" s="9"/>
      <c r="BQ86" s="9"/>
      <c r="BR86" s="9"/>
      <c r="BS86" s="9"/>
      <c r="BT86" s="9"/>
      <c r="BU86" s="9"/>
      <c r="BV86" s="9"/>
      <c r="BW86" s="9"/>
      <c r="BX86" s="9"/>
    </row>
    <row r="87" spans="1:76" ht="13.15" customHeight="1">
      <c r="A87" s="846"/>
      <c r="B87" s="41"/>
      <c r="C87" s="12"/>
      <c r="E87" s="535"/>
      <c r="F87" s="537"/>
      <c r="K87" s="21"/>
      <c r="M87" s="552"/>
      <c r="N87" s="8"/>
      <c r="O87" s="9"/>
      <c r="P87" s="9"/>
      <c r="Q87" s="9"/>
      <c r="R87" s="9"/>
      <c r="S87" s="9"/>
      <c r="T87" s="9"/>
      <c r="U87" s="9"/>
      <c r="V87" s="9"/>
      <c r="W87" s="9"/>
      <c r="X87" s="9"/>
      <c r="Y87" s="9"/>
      <c r="Z87" s="605"/>
      <c r="AL87" s="605"/>
      <c r="AM87" s="614"/>
      <c r="AN87" s="998"/>
      <c r="AO87" s="998"/>
      <c r="AP87" s="998"/>
      <c r="AQ87" s="998"/>
      <c r="AR87" s="998"/>
      <c r="AS87" s="998"/>
      <c r="AT87" s="998"/>
      <c r="AU87" s="998"/>
      <c r="AV87" s="998"/>
      <c r="AW87" s="998"/>
      <c r="AX87" s="998"/>
      <c r="AY87" s="998"/>
      <c r="AZ87" s="605"/>
      <c r="BA87" s="580"/>
      <c r="BB87" s="576"/>
      <c r="BC87" s="576"/>
      <c r="BD87" s="576"/>
      <c r="BE87" s="576"/>
      <c r="BF87" s="576"/>
      <c r="BG87" s="576"/>
      <c r="BH87" s="576"/>
      <c r="BI87" s="576"/>
      <c r="BJ87" s="576"/>
      <c r="BK87" s="576"/>
      <c r="BL87" s="1001"/>
      <c r="BN87" s="9"/>
      <c r="BO87" s="9"/>
      <c r="BP87" s="9"/>
      <c r="BQ87" s="9"/>
      <c r="BR87" s="9"/>
      <c r="BS87" s="9"/>
      <c r="BT87" s="9"/>
      <c r="BU87" s="9"/>
      <c r="BV87" s="9"/>
      <c r="BW87" s="9"/>
      <c r="BX87" s="9"/>
    </row>
    <row r="88" spans="1:76" ht="13.15" customHeight="1">
      <c r="A88" s="837" t="s">
        <v>1489</v>
      </c>
      <c r="B88" s="41"/>
      <c r="C88" s="12"/>
      <c r="E88" s="535"/>
      <c r="F88" s="537"/>
      <c r="K88" s="21"/>
      <c r="M88" s="552"/>
      <c r="N88" s="8"/>
      <c r="O88" s="9"/>
      <c r="P88" s="9"/>
      <c r="Q88" s="9"/>
      <c r="R88" s="9"/>
      <c r="S88" s="9"/>
      <c r="T88" s="9"/>
      <c r="U88" s="9"/>
      <c r="V88" s="9"/>
      <c r="W88" s="9"/>
      <c r="X88" s="9"/>
      <c r="Y88" s="9"/>
      <c r="Z88" s="605"/>
      <c r="AL88" s="605"/>
      <c r="AM88" s="614"/>
      <c r="AN88" s="998"/>
      <c r="AO88" s="998"/>
      <c r="AP88" s="998"/>
      <c r="AQ88" s="998"/>
      <c r="AR88" s="998"/>
      <c r="AS88" s="998"/>
      <c r="AT88" s="998"/>
      <c r="AU88" s="998"/>
      <c r="AV88" s="998"/>
      <c r="AW88" s="998"/>
      <c r="AX88" s="998"/>
      <c r="AY88" s="998"/>
      <c r="AZ88" s="605"/>
      <c r="BA88" s="580"/>
      <c r="BB88" s="576"/>
      <c r="BC88" s="576"/>
      <c r="BD88" s="576"/>
      <c r="BE88" s="576"/>
      <c r="BF88" s="576"/>
      <c r="BG88" s="576"/>
      <c r="BH88" s="576"/>
      <c r="BI88" s="576"/>
      <c r="BJ88" s="576"/>
      <c r="BK88" s="576"/>
      <c r="BL88" s="1001"/>
      <c r="BN88" s="9"/>
      <c r="BO88" s="9"/>
      <c r="BP88" s="9"/>
      <c r="BQ88" s="9"/>
      <c r="BR88" s="9"/>
      <c r="BS88" s="9"/>
      <c r="BT88" s="9"/>
      <c r="BU88" s="9"/>
      <c r="BV88" s="9"/>
      <c r="BW88" s="9"/>
      <c r="BX88" s="9"/>
    </row>
    <row r="89" spans="1:76" s="960" customFormat="1" ht="13.15" customHeight="1">
      <c r="A89" s="846" t="s">
        <v>88</v>
      </c>
      <c r="B89" s="41" t="s">
        <v>156</v>
      </c>
      <c r="C89" s="12" t="s">
        <v>1491</v>
      </c>
      <c r="D89" s="34">
        <v>1500</v>
      </c>
      <c r="E89" s="535">
        <v>19.42567</v>
      </c>
      <c r="F89" s="537">
        <v>-155.25163000000001</v>
      </c>
      <c r="G89" s="7" t="s">
        <v>873</v>
      </c>
      <c r="H89" s="7">
        <v>2001</v>
      </c>
      <c r="I89" s="7" t="s">
        <v>117</v>
      </c>
      <c r="J89" s="11" t="s">
        <v>132</v>
      </c>
      <c r="K89" s="21">
        <v>84.160486013673037</v>
      </c>
      <c r="L89" s="9">
        <v>0.85</v>
      </c>
      <c r="M89" s="847">
        <v>0.27</v>
      </c>
      <c r="N89" s="8">
        <f t="shared" ref="N89:O92" si="38">100*(BA89/$BL89)</f>
        <v>39.709093307826784</v>
      </c>
      <c r="O89" s="9">
        <f t="shared" si="38"/>
        <v>1.7810613806523962E-2</v>
      </c>
      <c r="P89" s="20" t="s">
        <v>64</v>
      </c>
      <c r="Q89" s="9">
        <f t="shared" ref="Q89:T92" si="39">100*(BD89/$BL89)</f>
        <v>14.948052376397639</v>
      </c>
      <c r="R89" s="9">
        <f t="shared" si="39"/>
        <v>0.19459744714535437</v>
      </c>
      <c r="S89" s="9">
        <f t="shared" si="39"/>
        <v>44.575678617368645</v>
      </c>
      <c r="T89" s="9">
        <f t="shared" si="39"/>
        <v>0.25198720274415382</v>
      </c>
      <c r="U89" s="20" t="s">
        <v>64</v>
      </c>
      <c r="V89" s="20" t="s">
        <v>64</v>
      </c>
      <c r="W89" s="9">
        <f t="shared" ref="W89:X92" si="40">100*(BJ89/$BL89)</f>
        <v>5.1123058148355813E-2</v>
      </c>
      <c r="X89" s="9">
        <f t="shared" si="40"/>
        <v>0.25165737656255155</v>
      </c>
      <c r="Y89" s="9">
        <f t="shared" ref="Y89:Y92" si="41">BL89</f>
        <v>101.06333333333333</v>
      </c>
      <c r="Z89" s="605"/>
      <c r="AA89" s="608">
        <v>0.10280612443078671</v>
      </c>
      <c r="AB89" s="600" t="s">
        <v>309</v>
      </c>
      <c r="AC89" s="600" t="s">
        <v>64</v>
      </c>
      <c r="AD89" s="600">
        <v>0.11983275068726654</v>
      </c>
      <c r="AE89" s="600">
        <v>8.4180723343904099E-3</v>
      </c>
      <c r="AF89" s="600">
        <v>5.8306135218137899E-2</v>
      </c>
      <c r="AG89" s="600">
        <v>4.2250388682611066E-3</v>
      </c>
      <c r="AH89" s="600" t="s">
        <v>64</v>
      </c>
      <c r="AI89" s="600" t="s">
        <v>64</v>
      </c>
      <c r="AJ89" s="600" t="s">
        <v>309</v>
      </c>
      <c r="AK89" s="609">
        <v>1.5647010493384881E-2</v>
      </c>
      <c r="AL89" s="605"/>
      <c r="AM89" s="614">
        <v>0.99963884384246426</v>
      </c>
      <c r="AN89" s="998">
        <v>3.3730978763871455E-4</v>
      </c>
      <c r="AO89" s="999" t="s">
        <v>64</v>
      </c>
      <c r="AP89" s="998">
        <v>0.31470677821062604</v>
      </c>
      <c r="AQ89" s="998">
        <v>4.1493140926655856E-3</v>
      </c>
      <c r="AR89" s="998">
        <v>1.6728685004986021</v>
      </c>
      <c r="AS89" s="998">
        <v>6.7968189881964314E-3</v>
      </c>
      <c r="AT89" s="999" t="s">
        <v>64</v>
      </c>
      <c r="AU89" s="999" t="s">
        <v>64</v>
      </c>
      <c r="AV89" s="998">
        <v>1.0175206331360456E-3</v>
      </c>
      <c r="AW89" s="998">
        <v>0</v>
      </c>
      <c r="AX89" s="998">
        <v>2.9995150860533291</v>
      </c>
      <c r="AY89" s="998">
        <v>4</v>
      </c>
      <c r="AZ89" s="605"/>
      <c r="BA89" s="580">
        <v>40.131333333333338</v>
      </c>
      <c r="BB89" s="576">
        <v>1.7999999999999999E-2</v>
      </c>
      <c r="BC89" s="1000" t="s">
        <v>64</v>
      </c>
      <c r="BD89" s="576">
        <v>15.106999999999999</v>
      </c>
      <c r="BE89" s="576">
        <v>0.19666666666666666</v>
      </c>
      <c r="BF89" s="576">
        <v>45.049666666666667</v>
      </c>
      <c r="BG89" s="576">
        <v>0.25466666666666665</v>
      </c>
      <c r="BH89" s="1000" t="s">
        <v>64</v>
      </c>
      <c r="BI89" s="1000" t="s">
        <v>64</v>
      </c>
      <c r="BJ89" s="576">
        <v>5.1666666666666666E-2</v>
      </c>
      <c r="BK89" s="576">
        <v>0.25433333333333336</v>
      </c>
      <c r="BL89" s="1001">
        <f>SUM(BA89:BK89)</f>
        <v>101.06333333333333</v>
      </c>
      <c r="BN89" s="9"/>
      <c r="BO89" s="9"/>
      <c r="BP89" s="9"/>
      <c r="BQ89" s="9"/>
      <c r="BR89" s="9"/>
      <c r="BS89" s="9"/>
      <c r="BT89" s="9"/>
      <c r="BU89" s="9"/>
      <c r="BV89" s="9"/>
      <c r="BW89" s="9"/>
      <c r="BX89" s="9"/>
    </row>
    <row r="90" spans="1:76" s="960" customFormat="1" ht="13.15" customHeight="1">
      <c r="A90" s="846" t="s">
        <v>89</v>
      </c>
      <c r="B90" s="41" t="s">
        <v>156</v>
      </c>
      <c r="C90" s="12" t="s">
        <v>1491</v>
      </c>
      <c r="D90" s="34">
        <v>1500</v>
      </c>
      <c r="E90" s="535">
        <v>19.42567</v>
      </c>
      <c r="F90" s="537">
        <v>-155.25163000000001</v>
      </c>
      <c r="G90" s="7" t="s">
        <v>873</v>
      </c>
      <c r="H90" s="7">
        <v>2001</v>
      </c>
      <c r="I90" s="7" t="s">
        <v>118</v>
      </c>
      <c r="J90" s="11" t="s">
        <v>132</v>
      </c>
      <c r="K90" s="21">
        <v>83.890154167521231</v>
      </c>
      <c r="L90" s="9">
        <v>0.91</v>
      </c>
      <c r="M90" s="847">
        <v>0.3</v>
      </c>
      <c r="N90" s="8">
        <f t="shared" si="38"/>
        <v>39.214914832839611</v>
      </c>
      <c r="O90" s="9">
        <f t="shared" si="38"/>
        <v>1.5208421498095641E-2</v>
      </c>
      <c r="P90" s="20" t="s">
        <v>64</v>
      </c>
      <c r="Q90" s="9">
        <f t="shared" si="39"/>
        <v>15.301986352094795</v>
      </c>
      <c r="R90" s="9">
        <f t="shared" si="39"/>
        <v>0.18250105797714772</v>
      </c>
      <c r="S90" s="9">
        <f t="shared" si="39"/>
        <v>44.716065382987729</v>
      </c>
      <c r="T90" s="9">
        <f t="shared" si="39"/>
        <v>0.2585431654676259</v>
      </c>
      <c r="U90" s="20" t="s">
        <v>64</v>
      </c>
      <c r="V90" s="20" t="s">
        <v>64</v>
      </c>
      <c r="W90" s="9">
        <f t="shared" si="40"/>
        <v>4.4302793059669915E-2</v>
      </c>
      <c r="X90" s="9">
        <f t="shared" si="40"/>
        <v>0.26647799407532802</v>
      </c>
      <c r="Y90" s="9">
        <f t="shared" si="41"/>
        <v>100.82133333333333</v>
      </c>
      <c r="Z90" s="605"/>
      <c r="AA90" s="608">
        <v>0.1015267052963152</v>
      </c>
      <c r="AB90" s="600" t="s">
        <v>309</v>
      </c>
      <c r="AC90" s="600" t="s">
        <v>64</v>
      </c>
      <c r="AD90" s="600">
        <v>0.12267010239045154</v>
      </c>
      <c r="AE90" s="600">
        <v>7.8947957935278784E-3</v>
      </c>
      <c r="AF90" s="600">
        <v>5.8489764721780142E-2</v>
      </c>
      <c r="AG90" s="600">
        <v>4.3349619001607229E-3</v>
      </c>
      <c r="AH90" s="600" t="s">
        <v>64</v>
      </c>
      <c r="AI90" s="600" t="s">
        <v>64</v>
      </c>
      <c r="AJ90" s="600" t="s">
        <v>309</v>
      </c>
      <c r="AK90" s="609">
        <v>1.6568494937466798E-2</v>
      </c>
      <c r="AL90" s="605"/>
      <c r="AM90" s="614">
        <v>0.99030400878884384</v>
      </c>
      <c r="AN90" s="998">
        <v>2.8893377046493204E-4</v>
      </c>
      <c r="AO90" s="999" t="s">
        <v>64</v>
      </c>
      <c r="AP90" s="998">
        <v>0.32317176078565352</v>
      </c>
      <c r="AQ90" s="998">
        <v>3.9036301809130237E-3</v>
      </c>
      <c r="AR90" s="998">
        <v>1.6834163106270297</v>
      </c>
      <c r="AS90" s="998">
        <v>6.9955906468460944E-3</v>
      </c>
      <c r="AT90" s="999" t="s">
        <v>64</v>
      </c>
      <c r="AU90" s="999" t="s">
        <v>64</v>
      </c>
      <c r="AV90" s="998">
        <v>8.8454842729322508E-4</v>
      </c>
      <c r="AW90" s="998">
        <v>0</v>
      </c>
      <c r="AX90" s="998">
        <v>3.0089647832270439</v>
      </c>
      <c r="AY90" s="998">
        <v>4</v>
      </c>
      <c r="AZ90" s="605"/>
      <c r="BA90" s="580">
        <v>39.536999999999999</v>
      </c>
      <c r="BB90" s="576">
        <v>1.5333333333333332E-2</v>
      </c>
      <c r="BC90" s="1000" t="s">
        <v>64</v>
      </c>
      <c r="BD90" s="576">
        <v>15.427666666666667</v>
      </c>
      <c r="BE90" s="576">
        <v>0.18400000000000002</v>
      </c>
      <c r="BF90" s="576">
        <v>45.083333333333336</v>
      </c>
      <c r="BG90" s="576">
        <v>0.26066666666666666</v>
      </c>
      <c r="BH90" s="1000" t="s">
        <v>64</v>
      </c>
      <c r="BI90" s="1000" t="s">
        <v>64</v>
      </c>
      <c r="BJ90" s="576">
        <v>4.4666666666666667E-2</v>
      </c>
      <c r="BK90" s="576">
        <v>0.26866666666666666</v>
      </c>
      <c r="BL90" s="1001">
        <f>SUM(BA90:BK90)</f>
        <v>100.82133333333333</v>
      </c>
      <c r="BN90" s="9"/>
      <c r="BO90" s="9"/>
      <c r="BP90" s="9"/>
      <c r="BQ90" s="9"/>
      <c r="BR90" s="9"/>
      <c r="BS90" s="9"/>
      <c r="BT90" s="9"/>
      <c r="BU90" s="9"/>
      <c r="BV90" s="9"/>
      <c r="BW90" s="9"/>
      <c r="BX90" s="9"/>
    </row>
    <row r="91" spans="1:76" s="960" customFormat="1" ht="13.15" customHeight="1">
      <c r="A91" s="846" t="s">
        <v>86</v>
      </c>
      <c r="B91" s="41" t="s">
        <v>156</v>
      </c>
      <c r="C91" s="12" t="s">
        <v>1491</v>
      </c>
      <c r="D91" s="34">
        <v>1500</v>
      </c>
      <c r="E91" s="535">
        <v>19.42567</v>
      </c>
      <c r="F91" s="537">
        <v>-155.25163000000001</v>
      </c>
      <c r="G91" s="7" t="s">
        <v>874</v>
      </c>
      <c r="H91" s="7">
        <v>2001</v>
      </c>
      <c r="I91" s="7" t="s">
        <v>293</v>
      </c>
      <c r="J91" s="11" t="s">
        <v>132</v>
      </c>
      <c r="K91" s="21">
        <v>84.040474515707672</v>
      </c>
      <c r="L91" s="9">
        <v>0.54</v>
      </c>
      <c r="M91" s="847">
        <v>0.40200000000000002</v>
      </c>
      <c r="N91" s="8">
        <f t="shared" si="38"/>
        <v>39.682294264339149</v>
      </c>
      <c r="O91" s="9">
        <f t="shared" si="38"/>
        <v>1.7456359102244391E-2</v>
      </c>
      <c r="P91" s="20" t="s">
        <v>64</v>
      </c>
      <c r="Q91" s="9">
        <f t="shared" si="39"/>
        <v>15.039900249376558</v>
      </c>
      <c r="R91" s="9">
        <f t="shared" si="39"/>
        <v>0.23790523690773063</v>
      </c>
      <c r="S91" s="9">
        <f t="shared" si="39"/>
        <v>44.443391521197007</v>
      </c>
      <c r="T91" s="9">
        <f t="shared" si="39"/>
        <v>0.27431421446384041</v>
      </c>
      <c r="U91" s="20" t="s">
        <v>64</v>
      </c>
      <c r="V91" s="20" t="s">
        <v>64</v>
      </c>
      <c r="W91" s="9">
        <f t="shared" si="40"/>
        <v>6.832917705735661E-2</v>
      </c>
      <c r="X91" s="9">
        <f t="shared" si="40"/>
        <v>0.23640897755610973</v>
      </c>
      <c r="Y91" s="9">
        <f t="shared" si="41"/>
        <v>100.25</v>
      </c>
      <c r="Z91" s="605"/>
      <c r="AA91" s="608">
        <v>0.10273674219186077</v>
      </c>
      <c r="AB91" s="600" t="s">
        <v>309</v>
      </c>
      <c r="AC91" s="600" t="s">
        <v>64</v>
      </c>
      <c r="AD91" s="600">
        <v>0.12056905953785747</v>
      </c>
      <c r="AE91" s="600">
        <v>1.0291519865230534E-2</v>
      </c>
      <c r="AF91" s="600">
        <v>5.8133100290656325E-2</v>
      </c>
      <c r="AG91" s="600">
        <v>4.5993931660211181E-3</v>
      </c>
      <c r="AH91" s="600" t="s">
        <v>64</v>
      </c>
      <c r="AI91" s="600" t="s">
        <v>64</v>
      </c>
      <c r="AJ91" s="600" t="s">
        <v>309</v>
      </c>
      <c r="AK91" s="609">
        <v>1.4698928372685308E-2</v>
      </c>
      <c r="AL91" s="605"/>
      <c r="AM91" s="614">
        <v>0.99955249327780937</v>
      </c>
      <c r="AN91" s="998">
        <v>3.3079535646601891E-4</v>
      </c>
      <c r="AO91" s="999" t="s">
        <v>64</v>
      </c>
      <c r="AP91" s="998">
        <v>0.31682695442748043</v>
      </c>
      <c r="AQ91" s="998">
        <v>5.0757340115268005E-3</v>
      </c>
      <c r="AR91" s="998">
        <v>1.6688861626837799</v>
      </c>
      <c r="AS91" s="998">
        <v>7.4033999509517711E-3</v>
      </c>
      <c r="AT91" s="999" t="s">
        <v>64</v>
      </c>
      <c r="AU91" s="999" t="s">
        <v>64</v>
      </c>
      <c r="AV91" s="998">
        <v>1.3607811051402614E-3</v>
      </c>
      <c r="AW91" s="998">
        <v>0</v>
      </c>
      <c r="AX91" s="998">
        <v>2.9994363208131549</v>
      </c>
      <c r="AY91" s="998">
        <v>4</v>
      </c>
      <c r="AZ91" s="605"/>
      <c r="BA91" s="580">
        <v>39.781500000000001</v>
      </c>
      <c r="BB91" s="576">
        <v>1.7500000000000002E-2</v>
      </c>
      <c r="BC91" s="1000" t="s">
        <v>64</v>
      </c>
      <c r="BD91" s="576">
        <v>15.077500000000001</v>
      </c>
      <c r="BE91" s="576">
        <v>0.23849999999999999</v>
      </c>
      <c r="BF91" s="576">
        <v>44.554499999999997</v>
      </c>
      <c r="BG91" s="576">
        <v>0.27500000000000002</v>
      </c>
      <c r="BH91" s="1000" t="s">
        <v>64</v>
      </c>
      <c r="BI91" s="1000" t="s">
        <v>64</v>
      </c>
      <c r="BJ91" s="576">
        <v>6.8500000000000005E-2</v>
      </c>
      <c r="BK91" s="576">
        <v>0.23699999999999999</v>
      </c>
      <c r="BL91" s="1001">
        <f>SUM(BA91:BK91)</f>
        <v>100.25</v>
      </c>
      <c r="BN91" s="9"/>
      <c r="BO91" s="9"/>
      <c r="BP91" s="9"/>
      <c r="BQ91" s="9"/>
      <c r="BR91" s="9"/>
      <c r="BS91" s="9"/>
      <c r="BT91" s="9"/>
      <c r="BU91" s="9"/>
      <c r="BV91" s="9"/>
      <c r="BW91" s="9"/>
      <c r="BX91" s="9"/>
    </row>
    <row r="92" spans="1:76" s="960" customFormat="1" ht="13.15" customHeight="1">
      <c r="A92" s="846" t="s">
        <v>87</v>
      </c>
      <c r="B92" s="41" t="s">
        <v>156</v>
      </c>
      <c r="C92" s="12" t="s">
        <v>1491</v>
      </c>
      <c r="D92" s="34">
        <v>1500</v>
      </c>
      <c r="E92" s="535">
        <v>19.42567</v>
      </c>
      <c r="F92" s="537">
        <v>-155.25163000000001</v>
      </c>
      <c r="G92" s="7" t="s">
        <v>873</v>
      </c>
      <c r="H92" s="7">
        <v>2001</v>
      </c>
      <c r="I92" s="7" t="s">
        <v>25</v>
      </c>
      <c r="J92" s="11" t="s">
        <v>132</v>
      </c>
      <c r="K92" s="21">
        <v>84.037960046312506</v>
      </c>
      <c r="L92" s="9">
        <v>0.59</v>
      </c>
      <c r="M92" s="9">
        <v>0.51</v>
      </c>
      <c r="N92" s="8">
        <f t="shared" si="38"/>
        <v>39.717468619593568</v>
      </c>
      <c r="O92" s="9">
        <f t="shared" si="38"/>
        <v>1.7898515417582313E-2</v>
      </c>
      <c r="P92" s="20" t="s">
        <v>64</v>
      </c>
      <c r="Q92" s="9">
        <f t="shared" si="39"/>
        <v>15.045690932413219</v>
      </c>
      <c r="R92" s="9">
        <f t="shared" si="39"/>
        <v>0.20119257145319375</v>
      </c>
      <c r="S92" s="9">
        <f t="shared" si="39"/>
        <v>44.453283217490167</v>
      </c>
      <c r="T92" s="9">
        <f t="shared" si="39"/>
        <v>0.25356230174908273</v>
      </c>
      <c r="U92" s="20" t="s">
        <v>64</v>
      </c>
      <c r="V92" s="20" t="s">
        <v>64</v>
      </c>
      <c r="W92" s="9">
        <f t="shared" si="40"/>
        <v>5.0381006360602054E-2</v>
      </c>
      <c r="X92" s="9">
        <f t="shared" si="40"/>
        <v>0.26052283552258698</v>
      </c>
      <c r="Y92" s="9">
        <f t="shared" si="41"/>
        <v>100.56699999999999</v>
      </c>
      <c r="Z92" s="605"/>
      <c r="AA92" s="608">
        <v>0.10282780796148251</v>
      </c>
      <c r="AB92" s="600" t="s">
        <v>309</v>
      </c>
      <c r="AC92" s="600" t="s">
        <v>64</v>
      </c>
      <c r="AD92" s="600">
        <v>0.12061548120264484</v>
      </c>
      <c r="AE92" s="600">
        <v>8.7033701853751599E-3</v>
      </c>
      <c r="AF92" s="600">
        <v>5.8146038884066345E-2</v>
      </c>
      <c r="AG92" s="600">
        <v>4.2514483622541049E-3</v>
      </c>
      <c r="AH92" s="600" t="s">
        <v>64</v>
      </c>
      <c r="AI92" s="600" t="s">
        <v>64</v>
      </c>
      <c r="AJ92" s="600" t="s">
        <v>309</v>
      </c>
      <c r="AK92" s="609">
        <v>1.6198227911571179E-2</v>
      </c>
      <c r="AL92" s="605"/>
      <c r="AM92" s="614">
        <v>1.0003377885119373</v>
      </c>
      <c r="AN92" s="998">
        <v>3.3914000920448942E-4</v>
      </c>
      <c r="AO92" s="999" t="s">
        <v>64</v>
      </c>
      <c r="AP92" s="998">
        <v>0.31691703448492392</v>
      </c>
      <c r="AQ92" s="998">
        <v>4.2920332222022069E-3</v>
      </c>
      <c r="AR92" s="998">
        <v>1.6690895712767986</v>
      </c>
      <c r="AS92" s="998">
        <v>6.8426427290026468E-3</v>
      </c>
      <c r="AT92" s="999" t="s">
        <v>64</v>
      </c>
      <c r="AU92" s="999" t="s">
        <v>64</v>
      </c>
      <c r="AV92" s="998">
        <v>1.0032408298593309E-3</v>
      </c>
      <c r="AW92" s="998">
        <v>0</v>
      </c>
      <c r="AX92" s="998">
        <v>2.9988214510639288</v>
      </c>
      <c r="AY92" s="998">
        <v>4</v>
      </c>
      <c r="AZ92" s="605"/>
      <c r="BA92" s="580">
        <v>39.942666666666661</v>
      </c>
      <c r="BB92" s="576">
        <v>1.8000000000000002E-2</v>
      </c>
      <c r="BC92" s="1000" t="s">
        <v>64</v>
      </c>
      <c r="BD92" s="576">
        <v>15.131</v>
      </c>
      <c r="BE92" s="576">
        <v>0.20233333333333334</v>
      </c>
      <c r="BF92" s="576">
        <v>44.705333333333328</v>
      </c>
      <c r="BG92" s="576">
        <v>0.255</v>
      </c>
      <c r="BH92" s="1000" t="s">
        <v>64</v>
      </c>
      <c r="BI92" s="1000" t="s">
        <v>64</v>
      </c>
      <c r="BJ92" s="576">
        <v>5.0666666666666665E-2</v>
      </c>
      <c r="BK92" s="576">
        <v>0.26200000000000001</v>
      </c>
      <c r="BL92" s="1001">
        <f>SUM(BA92:BK92)</f>
        <v>100.56699999999999</v>
      </c>
      <c r="BN92" s="9"/>
      <c r="BO92" s="9"/>
      <c r="BP92" s="9"/>
      <c r="BQ92" s="9"/>
      <c r="BR92" s="9"/>
      <c r="BS92" s="9"/>
      <c r="BT92" s="9"/>
      <c r="BU92" s="9"/>
      <c r="BV92" s="9"/>
      <c r="BW92" s="9"/>
      <c r="BX92" s="9"/>
    </row>
    <row r="93" spans="1:76" ht="13.15" customHeight="1">
      <c r="A93" s="846" t="s">
        <v>195</v>
      </c>
      <c r="B93" s="41" t="s">
        <v>156</v>
      </c>
      <c r="C93" s="12" t="s">
        <v>1491</v>
      </c>
      <c r="D93" s="34">
        <v>1500</v>
      </c>
      <c r="E93" s="535">
        <v>19.42567</v>
      </c>
      <c r="F93" s="537">
        <v>-155.25163000000001</v>
      </c>
      <c r="G93" s="34" t="s">
        <v>65</v>
      </c>
      <c r="H93" s="7">
        <v>2021</v>
      </c>
      <c r="I93" s="34" t="s">
        <v>859</v>
      </c>
      <c r="J93" s="624" t="s">
        <v>132</v>
      </c>
      <c r="K93" s="21">
        <f t="shared" ref="K93:K112" si="42">100*(S93/40.3)/((S93/40.3)+(Q93/71.85))</f>
        <v>82.782002950574778</v>
      </c>
      <c r="L93" s="623" t="s">
        <v>423</v>
      </c>
      <c r="M93" s="552" t="s">
        <v>423</v>
      </c>
      <c r="N93" s="8">
        <v>40.04363407923767</v>
      </c>
      <c r="O93" s="9" t="s">
        <v>64</v>
      </c>
      <c r="P93" s="9">
        <v>2.0269664745240539E-2</v>
      </c>
      <c r="Q93" s="9">
        <v>16.029128894173088</v>
      </c>
      <c r="R93" s="9">
        <v>0.2122089669075555</v>
      </c>
      <c r="S93" s="9">
        <v>43.225646348569711</v>
      </c>
      <c r="T93" s="9">
        <v>0.27454782312315529</v>
      </c>
      <c r="U93" s="9">
        <v>-1.3708368530223751E-2</v>
      </c>
      <c r="V93" s="9">
        <v>-4.9821163160504835E-3</v>
      </c>
      <c r="W93" s="9" t="s">
        <v>64</v>
      </c>
      <c r="X93" s="9">
        <v>0.21325470808985381</v>
      </c>
      <c r="Y93" s="9">
        <v>99.355367999999999</v>
      </c>
      <c r="Z93" s="605"/>
      <c r="AA93" s="608">
        <v>0.10490591212444607</v>
      </c>
      <c r="AB93" s="600" t="s">
        <v>64</v>
      </c>
      <c r="AC93" s="600">
        <v>8.6759029829168357E-3</v>
      </c>
      <c r="AD93" s="600">
        <v>0.1147627923958774</v>
      </c>
      <c r="AE93" s="600">
        <v>7.8958500197996353E-3</v>
      </c>
      <c r="AF93" s="600">
        <v>5.8632131220126935E-2</v>
      </c>
      <c r="AG93" s="600">
        <v>4.2124970693078207E-3</v>
      </c>
      <c r="AH93" s="600">
        <v>7.2524123709148758E-3</v>
      </c>
      <c r="AI93" s="600">
        <v>5.3702231770708167E-3</v>
      </c>
      <c r="AJ93" s="600" t="s">
        <v>64</v>
      </c>
      <c r="AK93" s="609">
        <v>1.939562232812625E-2</v>
      </c>
      <c r="AL93" s="605"/>
      <c r="AM93" s="614">
        <v>1.0110407648204824</v>
      </c>
      <c r="AN93" s="998">
        <v>0</v>
      </c>
      <c r="AO93" s="998">
        <v>6.0316550312914914E-4</v>
      </c>
      <c r="AP93" s="998">
        <v>0.33846474364922224</v>
      </c>
      <c r="AQ93" s="998">
        <v>4.5382136028097519E-3</v>
      </c>
      <c r="AR93" s="998">
        <v>1.6269992984846515</v>
      </c>
      <c r="AS93" s="998">
        <v>7.4272364937573972E-3</v>
      </c>
      <c r="AT93" s="998">
        <v>-6.7106597908086682E-4</v>
      </c>
      <c r="AU93" s="998">
        <v>-1.6047427311979715E-4</v>
      </c>
      <c r="AV93" s="29" t="s">
        <v>64</v>
      </c>
      <c r="AW93" s="998">
        <v>0</v>
      </c>
      <c r="AX93" s="998">
        <v>2.9882418823018519</v>
      </c>
      <c r="AY93" s="998">
        <v>4</v>
      </c>
      <c r="AZ93" s="605"/>
      <c r="BA93" s="580">
        <v>39.785499999999999</v>
      </c>
      <c r="BB93" s="576" t="s">
        <v>64</v>
      </c>
      <c r="BC93" s="576">
        <v>2.0139000000000001E-2</v>
      </c>
      <c r="BD93" s="576">
        <v>15.925800000000001</v>
      </c>
      <c r="BE93" s="576">
        <v>0.210841</v>
      </c>
      <c r="BF93" s="576">
        <v>42.947000000000003</v>
      </c>
      <c r="BG93" s="576">
        <v>0.27277800000000002</v>
      </c>
      <c r="BH93" s="576">
        <v>-1.362E-2</v>
      </c>
      <c r="BI93" s="576">
        <v>-4.9500000000000004E-3</v>
      </c>
      <c r="BJ93" s="576" t="s">
        <v>64</v>
      </c>
      <c r="BK93" s="576">
        <v>0.21188000000000001</v>
      </c>
      <c r="BL93" s="1001">
        <v>99.355400000000003</v>
      </c>
      <c r="BN93" s="9"/>
      <c r="BO93" s="9"/>
      <c r="BP93" s="9"/>
      <c r="BQ93" s="9"/>
      <c r="BR93" s="9"/>
      <c r="BS93" s="9"/>
      <c r="BT93" s="9"/>
      <c r="BU93" s="9"/>
      <c r="BV93" s="9"/>
      <c r="BW93" s="9"/>
      <c r="BX93" s="9"/>
    </row>
    <row r="94" spans="1:76" ht="13.15" customHeight="1">
      <c r="A94" s="846" t="s">
        <v>196</v>
      </c>
      <c r="B94" s="41" t="s">
        <v>156</v>
      </c>
      <c r="C94" s="12" t="s">
        <v>1491</v>
      </c>
      <c r="D94" s="34">
        <v>1500</v>
      </c>
      <c r="E94" s="535">
        <v>19.42567</v>
      </c>
      <c r="F94" s="537">
        <v>-155.25163000000001</v>
      </c>
      <c r="G94" s="34" t="s">
        <v>65</v>
      </c>
      <c r="H94" s="7">
        <v>2021</v>
      </c>
      <c r="I94" s="34" t="s">
        <v>860</v>
      </c>
      <c r="J94" s="624" t="s">
        <v>132</v>
      </c>
      <c r="K94" s="21">
        <f t="shared" si="42"/>
        <v>83.780760588423277</v>
      </c>
      <c r="L94" s="623" t="s">
        <v>423</v>
      </c>
      <c r="M94" s="552" t="s">
        <v>423</v>
      </c>
      <c r="N94" s="8">
        <v>40.100239884785125</v>
      </c>
      <c r="O94" s="9" t="s">
        <v>64</v>
      </c>
      <c r="P94" s="9">
        <v>1.5535148797441334E-2</v>
      </c>
      <c r="Q94" s="9">
        <v>15.18359952367914</v>
      </c>
      <c r="R94" s="9">
        <v>0.21675449750332235</v>
      </c>
      <c r="S94" s="9">
        <v>43.991303267016072</v>
      </c>
      <c r="T94" s="9">
        <v>0.25707651145505411</v>
      </c>
      <c r="U94" s="9">
        <v>-4.8142415431567847E-3</v>
      </c>
      <c r="V94" s="9">
        <v>-9.2995597510668326E-3</v>
      </c>
      <c r="W94" s="9" t="s">
        <v>64</v>
      </c>
      <c r="X94" s="9">
        <v>0.24960496805805552</v>
      </c>
      <c r="Y94" s="9">
        <v>100.32733</v>
      </c>
      <c r="Z94" s="605"/>
      <c r="AA94" s="608">
        <v>0.10453410733645557</v>
      </c>
      <c r="AB94" s="600" t="s">
        <v>64</v>
      </c>
      <c r="AC94" s="600">
        <v>8.5180929722738549E-3</v>
      </c>
      <c r="AD94" s="600">
        <v>0.11126739117745882</v>
      </c>
      <c r="AE94" s="600">
        <v>7.7120599948189575E-3</v>
      </c>
      <c r="AF94" s="600">
        <v>5.8707713948930949E-2</v>
      </c>
      <c r="AG94" s="600">
        <v>4.1028639998692273E-3</v>
      </c>
      <c r="AH94" s="600">
        <v>7.2983901794256853E-3</v>
      </c>
      <c r="AI94" s="600">
        <v>5.4013702946146373E-3</v>
      </c>
      <c r="AJ94" s="600" t="s">
        <v>64</v>
      </c>
      <c r="AK94" s="609">
        <v>1.8757189337142727E-2</v>
      </c>
      <c r="AL94" s="605"/>
      <c r="AM94" s="614">
        <v>1.0090932877148053</v>
      </c>
      <c r="AN94" s="998">
        <v>0</v>
      </c>
      <c r="AO94" s="998">
        <v>4.6073850726877454E-4</v>
      </c>
      <c r="AP94" s="998">
        <v>0.31954161101954309</v>
      </c>
      <c r="AQ94" s="998">
        <v>4.6199628566194837E-3</v>
      </c>
      <c r="AR94" s="998">
        <v>1.6502960583807886</v>
      </c>
      <c r="AS94" s="998">
        <v>6.931397578380071E-3</v>
      </c>
      <c r="AT94" s="998">
        <v>-2.3488565333867854E-4</v>
      </c>
      <c r="AU94" s="998">
        <v>-2.9854039835232186E-4</v>
      </c>
      <c r="AV94" s="29" t="s">
        <v>64</v>
      </c>
      <c r="AW94" s="998">
        <v>0</v>
      </c>
      <c r="AX94" s="998">
        <v>2.9904096300057152</v>
      </c>
      <c r="AY94" s="998">
        <v>4</v>
      </c>
      <c r="AZ94" s="605"/>
      <c r="BA94" s="580">
        <v>40.231499999999997</v>
      </c>
      <c r="BB94" s="576" t="s">
        <v>64</v>
      </c>
      <c r="BC94" s="576">
        <v>1.5585999999999999E-2</v>
      </c>
      <c r="BD94" s="576">
        <v>15.2333</v>
      </c>
      <c r="BE94" s="576">
        <v>0.21746399999999999</v>
      </c>
      <c r="BF94" s="576">
        <v>44.135300000000001</v>
      </c>
      <c r="BG94" s="576">
        <v>0.25791799999999998</v>
      </c>
      <c r="BH94" s="576">
        <v>-4.8300000000000001E-3</v>
      </c>
      <c r="BI94" s="576">
        <v>-9.3299999999999998E-3</v>
      </c>
      <c r="BJ94" s="576" t="s">
        <v>64</v>
      </c>
      <c r="BK94" s="576">
        <v>0.25042199999999998</v>
      </c>
      <c r="BL94" s="1001">
        <v>100.327</v>
      </c>
      <c r="BN94" s="9"/>
      <c r="BO94" s="9"/>
      <c r="BP94" s="9"/>
      <c r="BQ94" s="9"/>
      <c r="BR94" s="9"/>
      <c r="BS94" s="9"/>
      <c r="BT94" s="9"/>
      <c r="BU94" s="9"/>
      <c r="BV94" s="9"/>
      <c r="BW94" s="9"/>
      <c r="BX94" s="9"/>
    </row>
    <row r="95" spans="1:76" ht="13.15" customHeight="1">
      <c r="A95" s="846" t="s">
        <v>198</v>
      </c>
      <c r="B95" s="41" t="s">
        <v>156</v>
      </c>
      <c r="C95" s="12" t="s">
        <v>1491</v>
      </c>
      <c r="D95" s="34">
        <v>1500</v>
      </c>
      <c r="E95" s="535">
        <v>19.42567</v>
      </c>
      <c r="F95" s="537">
        <v>-155.25163000000001</v>
      </c>
      <c r="G95" s="34" t="s">
        <v>65</v>
      </c>
      <c r="H95" s="7">
        <v>2021</v>
      </c>
      <c r="I95" s="34" t="s">
        <v>681</v>
      </c>
      <c r="J95" s="624" t="s">
        <v>132</v>
      </c>
      <c r="K95" s="21">
        <f t="shared" si="42"/>
        <v>83.479820015687281</v>
      </c>
      <c r="L95" s="623" t="s">
        <v>423</v>
      </c>
      <c r="M95" s="552" t="s">
        <v>423</v>
      </c>
      <c r="N95" s="8">
        <v>40.14012704756626</v>
      </c>
      <c r="O95" s="9" t="s">
        <v>64</v>
      </c>
      <c r="P95" s="9">
        <v>2.2857180074887237E-2</v>
      </c>
      <c r="Q95" s="9">
        <v>15.421284383755657</v>
      </c>
      <c r="R95" s="9">
        <v>0.21581495938259695</v>
      </c>
      <c r="S95" s="9">
        <v>43.708464442661665</v>
      </c>
      <c r="T95" s="9">
        <v>0.26428130752960294</v>
      </c>
      <c r="U95" s="9">
        <v>-3.9902820851019007E-3</v>
      </c>
      <c r="V95" s="9">
        <v>-1.417203460955587E-3</v>
      </c>
      <c r="W95" s="9" t="s">
        <v>64</v>
      </c>
      <c r="X95" s="9">
        <v>0.2325781645753752</v>
      </c>
      <c r="Y95" s="9">
        <v>99.491713000000018</v>
      </c>
      <c r="Z95" s="605"/>
      <c r="AA95" s="608">
        <v>0.10499693872594192</v>
      </c>
      <c r="AB95" s="600" t="s">
        <v>64</v>
      </c>
      <c r="AC95" s="600">
        <v>8.6721284063125924E-3</v>
      </c>
      <c r="AD95" s="600">
        <v>0.11261485448943871</v>
      </c>
      <c r="AE95" s="600">
        <v>7.8423487385326229E-3</v>
      </c>
      <c r="AF95" s="600">
        <v>5.8797500537557328E-2</v>
      </c>
      <c r="AG95" s="600">
        <v>4.160871333876822E-3</v>
      </c>
      <c r="AH95" s="600">
        <v>7.382420885647026E-3</v>
      </c>
      <c r="AI95" s="600">
        <v>5.2250874401971537E-3</v>
      </c>
      <c r="AJ95" s="600" t="s">
        <v>64</v>
      </c>
      <c r="AK95" s="609">
        <v>1.9642388889213311E-2</v>
      </c>
      <c r="AL95" s="605"/>
      <c r="AM95" s="614">
        <v>1.0108435987702291</v>
      </c>
      <c r="AN95" s="998">
        <v>0</v>
      </c>
      <c r="AO95" s="998">
        <v>6.7839497001365287E-4</v>
      </c>
      <c r="AP95" s="998">
        <v>0.32478360782159482</v>
      </c>
      <c r="AQ95" s="998">
        <v>4.6033371829179654E-3</v>
      </c>
      <c r="AR95" s="998">
        <v>1.6408975213792296</v>
      </c>
      <c r="AS95" s="998">
        <v>7.1309228039831861E-3</v>
      </c>
      <c r="AT95" s="998">
        <v>-1.9482877018092782E-4</v>
      </c>
      <c r="AU95" s="998">
        <v>-4.552959622679581E-5</v>
      </c>
      <c r="AV95" s="29" t="s">
        <v>64</v>
      </c>
      <c r="AW95" s="998">
        <v>0</v>
      </c>
      <c r="AX95" s="998">
        <v>2.9886970245615605</v>
      </c>
      <c r="AY95" s="998">
        <v>4</v>
      </c>
      <c r="AZ95" s="605"/>
      <c r="BA95" s="580">
        <v>39.936100000000003</v>
      </c>
      <c r="BB95" s="576" t="s">
        <v>64</v>
      </c>
      <c r="BC95" s="576">
        <v>2.2741000000000001E-2</v>
      </c>
      <c r="BD95" s="576">
        <v>15.3429</v>
      </c>
      <c r="BE95" s="576">
        <v>0.21471799999999999</v>
      </c>
      <c r="BF95" s="576">
        <v>43.4863</v>
      </c>
      <c r="BG95" s="576">
        <v>0.26293800000000001</v>
      </c>
      <c r="BH95" s="576">
        <v>-3.9699999999999996E-3</v>
      </c>
      <c r="BI95" s="576">
        <v>-1.41E-3</v>
      </c>
      <c r="BJ95" s="576" t="s">
        <v>64</v>
      </c>
      <c r="BK95" s="576">
        <v>0.23139599999999999</v>
      </c>
      <c r="BL95" s="1001">
        <v>99.491699999999994</v>
      </c>
      <c r="BN95" s="9"/>
      <c r="BO95" s="9"/>
      <c r="BP95" s="9"/>
      <c r="BQ95" s="9"/>
      <c r="BR95" s="9"/>
      <c r="BS95" s="9"/>
      <c r="BT95" s="9"/>
      <c r="BU95" s="9"/>
      <c r="BV95" s="9"/>
      <c r="BW95" s="9"/>
      <c r="BX95" s="9"/>
    </row>
    <row r="96" spans="1:76" ht="13.15" customHeight="1">
      <c r="A96" s="846" t="s">
        <v>199</v>
      </c>
      <c r="B96" s="41" t="s">
        <v>156</v>
      </c>
      <c r="C96" s="12" t="s">
        <v>1491</v>
      </c>
      <c r="D96" s="34">
        <v>1500</v>
      </c>
      <c r="E96" s="535">
        <v>19.42567</v>
      </c>
      <c r="F96" s="537">
        <v>-155.25163000000001</v>
      </c>
      <c r="G96" s="34" t="s">
        <v>65</v>
      </c>
      <c r="H96" s="7">
        <v>2021</v>
      </c>
      <c r="I96" s="34" t="s">
        <v>861</v>
      </c>
      <c r="J96" s="624" t="s">
        <v>132</v>
      </c>
      <c r="K96" s="21">
        <f t="shared" si="42"/>
        <v>83.238780345356503</v>
      </c>
      <c r="L96" s="623" t="s">
        <v>423</v>
      </c>
      <c r="M96" s="552" t="s">
        <v>423</v>
      </c>
      <c r="N96" s="8">
        <v>39.617750932314195</v>
      </c>
      <c r="O96" s="9" t="s">
        <v>64</v>
      </c>
      <c r="P96" s="9">
        <v>9.5767973786386636E-3</v>
      </c>
      <c r="Q96" s="9">
        <v>15.75694710342375</v>
      </c>
      <c r="R96" s="9">
        <v>0.21313417463797332</v>
      </c>
      <c r="S96" s="9">
        <v>43.890491205137153</v>
      </c>
      <c r="T96" s="9">
        <v>0.27245228321204418</v>
      </c>
      <c r="U96" s="9">
        <v>-5.8233924083036809E-3</v>
      </c>
      <c r="V96" s="9">
        <v>6.7078325522269364E-3</v>
      </c>
      <c r="W96" s="9" t="s">
        <v>64</v>
      </c>
      <c r="X96" s="9">
        <v>0.23876306375233375</v>
      </c>
      <c r="Y96" s="9">
        <v>100.62862999999999</v>
      </c>
      <c r="Z96" s="605"/>
      <c r="AA96" s="608">
        <v>0.10379414949006065</v>
      </c>
      <c r="AB96" s="600" t="s">
        <v>64</v>
      </c>
      <c r="AC96" s="600">
        <v>8.4175739399413464E-3</v>
      </c>
      <c r="AD96" s="600">
        <v>0.11313409235522737</v>
      </c>
      <c r="AE96" s="600">
        <v>7.7084663209665083E-3</v>
      </c>
      <c r="AF96" s="600">
        <v>5.8639890774623497E-2</v>
      </c>
      <c r="AG96" s="600">
        <v>4.1651687700607672E-3</v>
      </c>
      <c r="AH96" s="600">
        <v>7.2780758318979405E-3</v>
      </c>
      <c r="AI96" s="600">
        <v>5.2446262062794654E-3</v>
      </c>
      <c r="AJ96" s="600" t="s">
        <v>64</v>
      </c>
      <c r="AK96" s="609">
        <v>1.8844661322329443E-2</v>
      </c>
      <c r="AL96" s="605"/>
      <c r="AM96" s="614">
        <v>1.0008787484310515</v>
      </c>
      <c r="AN96" s="998">
        <v>0</v>
      </c>
      <c r="AO96" s="998">
        <v>2.8514561441251836E-4</v>
      </c>
      <c r="AP96" s="998">
        <v>0.33291400161125001</v>
      </c>
      <c r="AQ96" s="998">
        <v>4.5606921900790695E-3</v>
      </c>
      <c r="AR96" s="998">
        <v>1.6529997172114173</v>
      </c>
      <c r="AS96" s="998">
        <v>7.3749005471765473E-3</v>
      </c>
      <c r="AT96" s="998">
        <v>-2.8524101612577388E-4</v>
      </c>
      <c r="AU96" s="998">
        <v>2.1618732883630878E-4</v>
      </c>
      <c r="AV96" s="29" t="s">
        <v>64</v>
      </c>
      <c r="AW96" s="998">
        <v>0</v>
      </c>
      <c r="AX96" s="998">
        <v>2.9989441519180975</v>
      </c>
      <c r="AY96" s="998">
        <v>4</v>
      </c>
      <c r="AZ96" s="605"/>
      <c r="BA96" s="580">
        <v>39.866799999999998</v>
      </c>
      <c r="BB96" s="576" t="s">
        <v>64</v>
      </c>
      <c r="BC96" s="576">
        <v>9.6369999999999997E-3</v>
      </c>
      <c r="BD96" s="576">
        <v>15.856</v>
      </c>
      <c r="BE96" s="576">
        <v>0.214474</v>
      </c>
      <c r="BF96" s="576">
        <v>44.166400000000003</v>
      </c>
      <c r="BG96" s="576">
        <v>0.27416499999999999</v>
      </c>
      <c r="BH96" s="576">
        <v>-5.8599999999999998E-3</v>
      </c>
      <c r="BI96" s="576">
        <v>6.7499999999999999E-3</v>
      </c>
      <c r="BJ96" s="576" t="s">
        <v>64</v>
      </c>
      <c r="BK96" s="576">
        <v>0.24026400000000001</v>
      </c>
      <c r="BL96" s="1001">
        <v>100.629</v>
      </c>
      <c r="BN96" s="9"/>
      <c r="BO96" s="9"/>
      <c r="BP96" s="9"/>
      <c r="BQ96" s="9"/>
      <c r="BR96" s="9"/>
      <c r="BS96" s="9"/>
      <c r="BT96" s="9"/>
      <c r="BU96" s="9"/>
      <c r="BV96" s="9"/>
      <c r="BW96" s="9"/>
      <c r="BX96" s="9"/>
    </row>
    <row r="97" spans="1:76" ht="13.15" customHeight="1">
      <c r="A97" s="846" t="s">
        <v>200</v>
      </c>
      <c r="B97" s="41" t="s">
        <v>156</v>
      </c>
      <c r="C97" s="12" t="s">
        <v>1491</v>
      </c>
      <c r="D97" s="34">
        <v>1500</v>
      </c>
      <c r="E97" s="535">
        <v>19.42567</v>
      </c>
      <c r="F97" s="537">
        <v>-155.25163000000001</v>
      </c>
      <c r="G97" s="34" t="s">
        <v>65</v>
      </c>
      <c r="H97" s="7">
        <v>2021</v>
      </c>
      <c r="I97" s="34" t="s">
        <v>862</v>
      </c>
      <c r="J97" s="624" t="s">
        <v>132</v>
      </c>
      <c r="K97" s="21">
        <f t="shared" si="42"/>
        <v>83.451015610368103</v>
      </c>
      <c r="L97" s="623" t="s">
        <v>423</v>
      </c>
      <c r="M97" s="552" t="s">
        <v>423</v>
      </c>
      <c r="N97" s="8">
        <v>40.182365205245212</v>
      </c>
      <c r="O97" s="9" t="s">
        <v>64</v>
      </c>
      <c r="P97" s="9">
        <v>1.1221554210727399E-2</v>
      </c>
      <c r="Q97" s="9">
        <v>15.428101840129527</v>
      </c>
      <c r="R97" s="9">
        <v>0.2252736823014215</v>
      </c>
      <c r="S97" s="9">
        <v>43.636614686116204</v>
      </c>
      <c r="T97" s="9">
        <v>0.26312717484935105</v>
      </c>
      <c r="U97" s="9">
        <v>3.2012687171537746E-4</v>
      </c>
      <c r="V97" s="9">
        <v>-3.8958836274795941E-3</v>
      </c>
      <c r="W97" s="9" t="s">
        <v>64</v>
      </c>
      <c r="X97" s="9">
        <v>0.25687161390331537</v>
      </c>
      <c r="Y97" s="9">
        <v>99.335616000000002</v>
      </c>
      <c r="Z97" s="605"/>
      <c r="AA97" s="608">
        <v>0.10513113120474331</v>
      </c>
      <c r="AB97" s="600" t="s">
        <v>64</v>
      </c>
      <c r="AC97" s="600">
        <v>8.5286954036707229E-3</v>
      </c>
      <c r="AD97" s="600">
        <v>0.11273422011295525</v>
      </c>
      <c r="AE97" s="600">
        <v>7.7841518729797792E-3</v>
      </c>
      <c r="AF97" s="600">
        <v>5.8807756514038224E-2</v>
      </c>
      <c r="AG97" s="600">
        <v>4.1606195141529094E-3</v>
      </c>
      <c r="AH97" s="600">
        <v>7.3968194851683402E-3</v>
      </c>
      <c r="AI97" s="600">
        <v>5.2084068215774689E-3</v>
      </c>
      <c r="AJ97" s="600" t="s">
        <v>64</v>
      </c>
      <c r="AK97" s="609">
        <v>1.9313971152099159E-2</v>
      </c>
      <c r="AL97" s="605"/>
      <c r="AM97" s="614">
        <v>1.0120865232082221</v>
      </c>
      <c r="AN97" s="998">
        <v>0</v>
      </c>
      <c r="AO97" s="998">
        <v>3.3311171325682413E-4</v>
      </c>
      <c r="AP97" s="998">
        <v>0.32498474516185766</v>
      </c>
      <c r="AQ97" s="998">
        <v>4.8059430828975742E-3</v>
      </c>
      <c r="AR97" s="998">
        <v>1.6384903332707628</v>
      </c>
      <c r="AS97" s="998">
        <v>7.1010392620404483E-3</v>
      </c>
      <c r="AT97" s="998">
        <v>1.563322377232081E-5</v>
      </c>
      <c r="AU97" s="998">
        <v>-1.2518275154878051E-4</v>
      </c>
      <c r="AV97" s="29" t="s">
        <v>64</v>
      </c>
      <c r="AW97" s="998">
        <v>0</v>
      </c>
      <c r="AX97" s="998">
        <v>2.9876921461712609</v>
      </c>
      <c r="AY97" s="998">
        <v>4</v>
      </c>
      <c r="AZ97" s="605"/>
      <c r="BA97" s="580">
        <v>39.915399999999998</v>
      </c>
      <c r="BB97" s="576" t="s">
        <v>64</v>
      </c>
      <c r="BC97" s="576">
        <v>1.1147000000000001E-2</v>
      </c>
      <c r="BD97" s="576">
        <v>15.3256</v>
      </c>
      <c r="BE97" s="576">
        <v>0.223777</v>
      </c>
      <c r="BF97" s="576">
        <v>43.346699999999998</v>
      </c>
      <c r="BG97" s="576">
        <v>0.26137899999999997</v>
      </c>
      <c r="BH97" s="576">
        <v>3.1799999999999998E-4</v>
      </c>
      <c r="BI97" s="576">
        <v>-3.8700000000000002E-3</v>
      </c>
      <c r="BJ97" s="576" t="s">
        <v>64</v>
      </c>
      <c r="BK97" s="576">
        <v>0.25516499999999998</v>
      </c>
      <c r="BL97" s="1001">
        <v>99.335599999999999</v>
      </c>
      <c r="BN97" s="9"/>
      <c r="BO97" s="9"/>
      <c r="BP97" s="9"/>
      <c r="BQ97" s="9"/>
      <c r="BR97" s="9"/>
      <c r="BS97" s="9"/>
      <c r="BT97" s="9"/>
      <c r="BU97" s="9"/>
      <c r="BV97" s="9"/>
      <c r="BW97" s="9"/>
      <c r="BX97" s="9"/>
    </row>
    <row r="98" spans="1:76" ht="13.15" customHeight="1">
      <c r="A98" s="846" t="s">
        <v>201</v>
      </c>
      <c r="B98" s="41" t="s">
        <v>156</v>
      </c>
      <c r="C98" s="12" t="s">
        <v>1491</v>
      </c>
      <c r="D98" s="34">
        <v>1500</v>
      </c>
      <c r="E98" s="535">
        <v>19.42567</v>
      </c>
      <c r="F98" s="537">
        <v>-155.25163000000001</v>
      </c>
      <c r="G98" s="34" t="s">
        <v>65</v>
      </c>
      <c r="H98" s="7">
        <v>2021</v>
      </c>
      <c r="I98" s="34" t="s">
        <v>682</v>
      </c>
      <c r="J98" s="624" t="s">
        <v>132</v>
      </c>
      <c r="K98" s="21">
        <f t="shared" si="42"/>
        <v>81.066308133192194</v>
      </c>
      <c r="L98" s="623" t="s">
        <v>423</v>
      </c>
      <c r="M98" s="552" t="s">
        <v>423</v>
      </c>
      <c r="N98" s="8">
        <v>39.574183184653911</v>
      </c>
      <c r="O98" s="9" t="s">
        <v>64</v>
      </c>
      <c r="P98" s="9">
        <v>2.4555087754694671E-2</v>
      </c>
      <c r="Q98" s="9">
        <v>17.546489824710569</v>
      </c>
      <c r="R98" s="9">
        <v>0.22785041852377433</v>
      </c>
      <c r="S98" s="9">
        <v>42.137970299041676</v>
      </c>
      <c r="T98" s="9">
        <v>0.28379122756492564</v>
      </c>
      <c r="U98" s="9">
        <v>-2.8894219711346745E-3</v>
      </c>
      <c r="V98" s="9">
        <v>4.2491499575509918E-4</v>
      </c>
      <c r="W98" s="9" t="s">
        <v>64</v>
      </c>
      <c r="X98" s="9">
        <v>0.2076244647258316</v>
      </c>
      <c r="Y98" s="9">
        <v>100.020005</v>
      </c>
      <c r="Z98" s="605"/>
      <c r="AA98" s="608">
        <v>0.10396217070974952</v>
      </c>
      <c r="AB98" s="600" t="s">
        <v>64</v>
      </c>
      <c r="AC98" s="600">
        <v>8.6825316995335078E-3</v>
      </c>
      <c r="AD98" s="600">
        <v>0.11957739804152182</v>
      </c>
      <c r="AE98" s="600">
        <v>7.9051335604312361E-3</v>
      </c>
      <c r="AF98" s="600">
        <v>5.7987325067620228E-2</v>
      </c>
      <c r="AG98" s="600">
        <v>4.2393017364876157E-3</v>
      </c>
      <c r="AH98" s="600">
        <v>7.4714673329600413E-3</v>
      </c>
      <c r="AI98" s="600">
        <v>5.3035340280176953E-3</v>
      </c>
      <c r="AJ98" s="600" t="s">
        <v>64</v>
      </c>
      <c r="AK98" s="609">
        <v>1.9520353874807342E-2</v>
      </c>
      <c r="AL98" s="605"/>
      <c r="AM98" s="614">
        <v>1.0071132946232169</v>
      </c>
      <c r="AN98" s="998">
        <v>0</v>
      </c>
      <c r="AO98" s="998">
        <v>7.3648279662278694E-4</v>
      </c>
      <c r="AP98" s="998">
        <v>0.37344354015912024</v>
      </c>
      <c r="AQ98" s="998">
        <v>4.9113650975122075E-3</v>
      </c>
      <c r="AR98" s="998">
        <v>1.5986399774551276</v>
      </c>
      <c r="AS98" s="998">
        <v>7.7381902240546653E-3</v>
      </c>
      <c r="AT98" s="998">
        <v>-1.4256785266375147E-4</v>
      </c>
      <c r="AU98" s="998">
        <v>1.3795098299800811E-5</v>
      </c>
      <c r="AV98" s="29" t="s">
        <v>64</v>
      </c>
      <c r="AW98" s="998">
        <v>0</v>
      </c>
      <c r="AX98" s="998">
        <v>2.9924540776012898</v>
      </c>
      <c r="AY98" s="998">
        <v>4</v>
      </c>
      <c r="AZ98" s="605"/>
      <c r="BA98" s="580">
        <v>39.582099999999997</v>
      </c>
      <c r="BB98" s="576" t="s">
        <v>64</v>
      </c>
      <c r="BC98" s="576">
        <v>2.4559999999999998E-2</v>
      </c>
      <c r="BD98" s="576">
        <v>17.55</v>
      </c>
      <c r="BE98" s="576">
        <v>0.22789599999999999</v>
      </c>
      <c r="BF98" s="576">
        <v>42.1464</v>
      </c>
      <c r="BG98" s="576">
        <v>0.28384799999999999</v>
      </c>
      <c r="BH98" s="576">
        <v>-2.8900000000000002E-3</v>
      </c>
      <c r="BI98" s="576">
        <v>4.2499999999999998E-4</v>
      </c>
      <c r="BJ98" s="576" t="s">
        <v>64</v>
      </c>
      <c r="BK98" s="576">
        <v>0.20766599999999999</v>
      </c>
      <c r="BL98" s="1001">
        <v>100.02</v>
      </c>
      <c r="BN98" s="9"/>
      <c r="BO98" s="9"/>
      <c r="BP98" s="9"/>
      <c r="BQ98" s="9"/>
      <c r="BR98" s="9"/>
      <c r="BS98" s="9"/>
      <c r="BT98" s="9"/>
      <c r="BU98" s="9"/>
      <c r="BV98" s="9"/>
      <c r="BW98" s="9"/>
      <c r="BX98" s="9"/>
    </row>
    <row r="99" spans="1:76" ht="13.15" customHeight="1">
      <c r="A99" s="846" t="s">
        <v>202</v>
      </c>
      <c r="B99" s="41" t="s">
        <v>156</v>
      </c>
      <c r="C99" s="12" t="s">
        <v>1491</v>
      </c>
      <c r="D99" s="34">
        <v>1500</v>
      </c>
      <c r="E99" s="535">
        <v>19.42567</v>
      </c>
      <c r="F99" s="537">
        <v>-155.25163000000001</v>
      </c>
      <c r="G99" s="34" t="s">
        <v>65</v>
      </c>
      <c r="H99" s="7">
        <v>2021</v>
      </c>
      <c r="I99" s="34" t="s">
        <v>277</v>
      </c>
      <c r="J99" s="624" t="s">
        <v>132</v>
      </c>
      <c r="K99" s="21">
        <f t="shared" si="42"/>
        <v>83.012859702744237</v>
      </c>
      <c r="L99" s="623" t="s">
        <v>423</v>
      </c>
      <c r="M99" s="552" t="s">
        <v>423</v>
      </c>
      <c r="N99" s="8">
        <v>39.796126202027231</v>
      </c>
      <c r="O99" s="9" t="s">
        <v>64</v>
      </c>
      <c r="P99" s="9">
        <v>2.085329785039395E-2</v>
      </c>
      <c r="Q99" s="9">
        <v>15.904731603511834</v>
      </c>
      <c r="R99" s="9">
        <v>0.20678739742029306</v>
      </c>
      <c r="S99" s="9">
        <v>43.594301130021499</v>
      </c>
      <c r="T99" s="9">
        <v>0.26601930487778308</v>
      </c>
      <c r="U99" s="9">
        <v>-1.1361889569262608E-2</v>
      </c>
      <c r="V99" s="9">
        <v>2.5413162573802799E-3</v>
      </c>
      <c r="W99" s="9" t="s">
        <v>64</v>
      </c>
      <c r="X99" s="9">
        <v>0.22000163760284233</v>
      </c>
      <c r="Y99" s="9">
        <v>99.279261000000005</v>
      </c>
      <c r="Z99" s="605"/>
      <c r="AA99" s="608">
        <v>0.10475096542771406</v>
      </c>
      <c r="AB99" s="600" t="s">
        <v>64</v>
      </c>
      <c r="AC99" s="600">
        <v>8.6642116040730795E-3</v>
      </c>
      <c r="AD99" s="600">
        <v>0.11453744750074236</v>
      </c>
      <c r="AE99" s="600">
        <v>7.7743583146735965E-3</v>
      </c>
      <c r="AF99" s="600">
        <v>5.8883694422342633E-2</v>
      </c>
      <c r="AG99" s="600">
        <v>4.1786046390897289E-3</v>
      </c>
      <c r="AH99" s="600">
        <v>7.2799035037136297E-3</v>
      </c>
      <c r="AI99" s="600">
        <v>5.3305633288305799E-3</v>
      </c>
      <c r="AJ99" s="600" t="s">
        <v>64</v>
      </c>
      <c r="AK99" s="609">
        <v>1.9236437188226044E-2</v>
      </c>
      <c r="AL99" s="605"/>
      <c r="AM99" s="614">
        <v>1.0051411268862205</v>
      </c>
      <c r="AN99" s="998">
        <v>0</v>
      </c>
      <c r="AO99" s="998">
        <v>6.2074858317124053E-4</v>
      </c>
      <c r="AP99" s="998">
        <v>0.3359548550408365</v>
      </c>
      <c r="AQ99" s="998">
        <v>4.4238086221714979E-3</v>
      </c>
      <c r="AR99" s="998">
        <v>1.6414461922160708</v>
      </c>
      <c r="AS99" s="998">
        <v>7.1990213861438546E-3</v>
      </c>
      <c r="AT99" s="998">
        <v>-5.5639225490361586E-4</v>
      </c>
      <c r="AU99" s="998">
        <v>8.1884430064480993E-5</v>
      </c>
      <c r="AV99" s="29" t="s">
        <v>64</v>
      </c>
      <c r="AW99" s="998">
        <v>0</v>
      </c>
      <c r="AX99" s="998">
        <v>2.9943112449097753</v>
      </c>
      <c r="AY99" s="998">
        <v>4</v>
      </c>
      <c r="AZ99" s="605"/>
      <c r="BA99" s="580">
        <v>39.509300000000003</v>
      </c>
      <c r="BB99" s="576" t="s">
        <v>64</v>
      </c>
      <c r="BC99" s="576">
        <v>2.0702999999999999E-2</v>
      </c>
      <c r="BD99" s="576">
        <v>15.790100000000001</v>
      </c>
      <c r="BE99" s="576">
        <v>0.20529700000000001</v>
      </c>
      <c r="BF99" s="576">
        <v>43.280099999999997</v>
      </c>
      <c r="BG99" s="576">
        <v>0.264102</v>
      </c>
      <c r="BH99" s="576">
        <v>-1.128E-2</v>
      </c>
      <c r="BI99" s="576">
        <v>2.5230000000000001E-3</v>
      </c>
      <c r="BJ99" s="576" t="s">
        <v>64</v>
      </c>
      <c r="BK99" s="576">
        <v>0.218416</v>
      </c>
      <c r="BL99" s="1001">
        <v>99.279300000000006</v>
      </c>
      <c r="BN99" s="9"/>
      <c r="BO99" s="9"/>
      <c r="BP99" s="9"/>
      <c r="BQ99" s="9"/>
      <c r="BR99" s="9"/>
      <c r="BS99" s="9"/>
      <c r="BT99" s="9"/>
      <c r="BU99" s="9"/>
      <c r="BV99" s="9"/>
      <c r="BW99" s="9"/>
      <c r="BX99" s="9"/>
    </row>
    <row r="100" spans="1:76" ht="13.15" customHeight="1">
      <c r="A100" s="846" t="s">
        <v>203</v>
      </c>
      <c r="B100" s="41" t="s">
        <v>156</v>
      </c>
      <c r="C100" s="12" t="s">
        <v>1491</v>
      </c>
      <c r="D100" s="34">
        <v>1500</v>
      </c>
      <c r="E100" s="535">
        <v>19.42567</v>
      </c>
      <c r="F100" s="537">
        <v>-155.25163000000001</v>
      </c>
      <c r="G100" s="34" t="s">
        <v>65</v>
      </c>
      <c r="H100" s="7">
        <v>2021</v>
      </c>
      <c r="I100" s="34" t="s">
        <v>863</v>
      </c>
      <c r="J100" s="624" t="s">
        <v>132</v>
      </c>
      <c r="K100" s="21">
        <f t="shared" si="42"/>
        <v>83.573095192325312</v>
      </c>
      <c r="L100" s="623" t="s">
        <v>423</v>
      </c>
      <c r="M100" s="552" t="s">
        <v>423</v>
      </c>
      <c r="N100" s="8">
        <v>39.812902714678586</v>
      </c>
      <c r="O100" s="9" t="s">
        <v>64</v>
      </c>
      <c r="P100" s="9">
        <v>1.5762761734498452E-2</v>
      </c>
      <c r="Q100" s="9">
        <v>15.417612989574273</v>
      </c>
      <c r="R100" s="9">
        <v>0.21975138403594127</v>
      </c>
      <c r="S100" s="9">
        <v>43.995287491611997</v>
      </c>
      <c r="T100" s="9">
        <v>0.27256726197690956</v>
      </c>
      <c r="U100" s="9">
        <v>-5.4333610150713316E-3</v>
      </c>
      <c r="V100" s="9">
        <v>5.0714711024438868E-3</v>
      </c>
      <c r="W100" s="9" t="s">
        <v>64</v>
      </c>
      <c r="X100" s="9">
        <v>0.26647728630042278</v>
      </c>
      <c r="Y100" s="9">
        <v>99.754092999999997</v>
      </c>
      <c r="Z100" s="605"/>
      <c r="AA100" s="608">
        <v>0.10454709001263739</v>
      </c>
      <c r="AB100" s="600" t="s">
        <v>64</v>
      </c>
      <c r="AC100" s="600">
        <v>8.5480984003333069E-3</v>
      </c>
      <c r="AD100" s="600">
        <v>0.11255119581810043</v>
      </c>
      <c r="AE100" s="600">
        <v>7.8276761501906485E-3</v>
      </c>
      <c r="AF100" s="600">
        <v>5.8927288066265113E-2</v>
      </c>
      <c r="AG100" s="600">
        <v>4.1928476775384043E-3</v>
      </c>
      <c r="AH100" s="600">
        <v>7.3209106317071128E-3</v>
      </c>
      <c r="AI100" s="600">
        <v>5.3000930197420575E-3</v>
      </c>
      <c r="AJ100" s="600" t="s">
        <v>64</v>
      </c>
      <c r="AK100" s="609">
        <v>1.9076655914860553E-2</v>
      </c>
      <c r="AL100" s="605"/>
      <c r="AM100" s="614">
        <v>1.004041351690141</v>
      </c>
      <c r="AN100" s="998">
        <v>0</v>
      </c>
      <c r="AO100" s="998">
        <v>4.6850563075267397E-4</v>
      </c>
      <c r="AP100" s="998">
        <v>0.32517206587827052</v>
      </c>
      <c r="AQ100" s="998">
        <v>4.6940249725661342E-3</v>
      </c>
      <c r="AR100" s="998">
        <v>1.6540346540501603</v>
      </c>
      <c r="AS100" s="998">
        <v>7.3650468586428262E-3</v>
      </c>
      <c r="AT100" s="998">
        <v>-2.6566882051301126E-4</v>
      </c>
      <c r="AU100" s="998">
        <v>1.6316164841074802E-4</v>
      </c>
      <c r="AV100" s="29" t="s">
        <v>64</v>
      </c>
      <c r="AW100" s="998">
        <v>0</v>
      </c>
      <c r="AX100" s="998">
        <v>2.9956731419084313</v>
      </c>
      <c r="AY100" s="998">
        <v>4</v>
      </c>
      <c r="AZ100" s="605"/>
      <c r="BA100" s="580">
        <v>39.715000000000003</v>
      </c>
      <c r="BB100" s="576" t="s">
        <v>64</v>
      </c>
      <c r="BC100" s="576">
        <v>1.5723999999999998E-2</v>
      </c>
      <c r="BD100" s="576">
        <v>15.3797</v>
      </c>
      <c r="BE100" s="576">
        <v>0.21921099999999999</v>
      </c>
      <c r="BF100" s="576">
        <v>43.887099999999997</v>
      </c>
      <c r="BG100" s="576">
        <v>0.271897</v>
      </c>
      <c r="BH100" s="576">
        <v>-5.4200000000000003E-3</v>
      </c>
      <c r="BI100" s="576">
        <v>5.0590000000000001E-3</v>
      </c>
      <c r="BJ100" s="576" t="s">
        <v>64</v>
      </c>
      <c r="BK100" s="576">
        <v>0.265822</v>
      </c>
      <c r="BL100" s="1001">
        <v>99.754099999999994</v>
      </c>
      <c r="BN100" s="9"/>
      <c r="BO100" s="9"/>
      <c r="BP100" s="9"/>
      <c r="BQ100" s="9"/>
      <c r="BR100" s="9"/>
      <c r="BS100" s="9"/>
      <c r="BT100" s="9"/>
      <c r="BU100" s="9"/>
      <c r="BV100" s="9"/>
      <c r="BW100" s="9"/>
      <c r="BX100" s="9"/>
    </row>
    <row r="101" spans="1:76" ht="13.15" customHeight="1">
      <c r="A101" s="846" t="s">
        <v>204</v>
      </c>
      <c r="B101" s="41" t="s">
        <v>156</v>
      </c>
      <c r="C101" s="12" t="s">
        <v>1491</v>
      </c>
      <c r="D101" s="34">
        <v>1500</v>
      </c>
      <c r="E101" s="535">
        <v>19.42567</v>
      </c>
      <c r="F101" s="537">
        <v>-155.25163000000001</v>
      </c>
      <c r="G101" s="34" t="s">
        <v>65</v>
      </c>
      <c r="H101" s="7">
        <v>2021</v>
      </c>
      <c r="I101" s="34" t="s">
        <v>632</v>
      </c>
      <c r="J101" s="624" t="s">
        <v>132</v>
      </c>
      <c r="K101" s="21">
        <f t="shared" si="42"/>
        <v>82.843565784542022</v>
      </c>
      <c r="L101" s="623" t="s">
        <v>423</v>
      </c>
      <c r="M101" s="552" t="s">
        <v>423</v>
      </c>
      <c r="N101" s="8">
        <v>39.397903480745981</v>
      </c>
      <c r="O101" s="9" t="s">
        <v>64</v>
      </c>
      <c r="P101" s="9">
        <v>2.7798032957376845E-2</v>
      </c>
      <c r="Q101" s="9">
        <v>16.141916368842573</v>
      </c>
      <c r="R101" s="9">
        <v>0.22285012999481907</v>
      </c>
      <c r="S101" s="9">
        <v>43.718486733324113</v>
      </c>
      <c r="T101" s="9">
        <v>0.26218514655118547</v>
      </c>
      <c r="U101" s="9">
        <v>-8.4520026366223457E-4</v>
      </c>
      <c r="V101" s="9">
        <v>1.8212053300341003E-3</v>
      </c>
      <c r="W101" s="9" t="s">
        <v>64</v>
      </c>
      <c r="X101" s="9">
        <v>0.22788410251755975</v>
      </c>
      <c r="Y101" s="9">
        <v>99.384730000000019</v>
      </c>
      <c r="Z101" s="605"/>
      <c r="AA101" s="608">
        <v>0.10422912355348753</v>
      </c>
      <c r="AB101" s="600" t="s">
        <v>64</v>
      </c>
      <c r="AC101" s="600">
        <v>8.7565749678044074E-3</v>
      </c>
      <c r="AD101" s="600">
        <v>0.11529767314355029</v>
      </c>
      <c r="AE101" s="600">
        <v>7.8768829798098738E-3</v>
      </c>
      <c r="AF101" s="600">
        <v>5.8978424527590896E-2</v>
      </c>
      <c r="AG101" s="600">
        <v>4.1585972649923189E-3</v>
      </c>
      <c r="AH101" s="600">
        <v>7.454581805474543E-3</v>
      </c>
      <c r="AI101" s="600">
        <v>5.3333087487383614E-3</v>
      </c>
      <c r="AJ101" s="600" t="s">
        <v>64</v>
      </c>
      <c r="AK101" s="609">
        <v>1.9414358229880982E-2</v>
      </c>
      <c r="AL101" s="605"/>
      <c r="AM101" s="614">
        <v>0.99748560473051084</v>
      </c>
      <c r="AN101" s="998">
        <v>0</v>
      </c>
      <c r="AO101" s="998">
        <v>8.2947315920324158E-4</v>
      </c>
      <c r="AP101" s="998">
        <v>0.34178811042653473</v>
      </c>
      <c r="AQ101" s="998">
        <v>4.7789494463737229E-3</v>
      </c>
      <c r="AR101" s="998">
        <v>1.6500964621919914</v>
      </c>
      <c r="AS101" s="998">
        <v>7.112391836777387E-3</v>
      </c>
      <c r="AT101" s="998">
        <v>-4.1489425103733501E-5</v>
      </c>
      <c r="AU101" s="998">
        <v>5.8823222097348937E-5</v>
      </c>
      <c r="AV101" s="29" t="s">
        <v>64</v>
      </c>
      <c r="AW101" s="998">
        <v>0</v>
      </c>
      <c r="AX101" s="998">
        <v>3.0021083255883854</v>
      </c>
      <c r="AY101" s="998">
        <v>4</v>
      </c>
      <c r="AZ101" s="605"/>
      <c r="BA101" s="580">
        <v>39.155500000000004</v>
      </c>
      <c r="BB101" s="576" t="s">
        <v>64</v>
      </c>
      <c r="BC101" s="576">
        <v>2.7626999999999999E-2</v>
      </c>
      <c r="BD101" s="576">
        <v>16.0426</v>
      </c>
      <c r="BE101" s="576">
        <v>0.22147900000000001</v>
      </c>
      <c r="BF101" s="576">
        <v>43.4495</v>
      </c>
      <c r="BG101" s="576">
        <v>0.26057200000000003</v>
      </c>
      <c r="BH101" s="576">
        <v>-8.4000000000000003E-4</v>
      </c>
      <c r="BI101" s="576">
        <v>1.81E-3</v>
      </c>
      <c r="BJ101" s="576" t="s">
        <v>64</v>
      </c>
      <c r="BK101" s="576">
        <v>0.22648199999999999</v>
      </c>
      <c r="BL101" s="1001">
        <v>99.384699999999995</v>
      </c>
      <c r="BN101" s="9"/>
      <c r="BO101" s="9"/>
      <c r="BP101" s="9"/>
      <c r="BQ101" s="9"/>
      <c r="BR101" s="9"/>
      <c r="BS101" s="9"/>
      <c r="BT101" s="9"/>
      <c r="BU101" s="9"/>
      <c r="BV101" s="9"/>
      <c r="BW101" s="9"/>
      <c r="BX101" s="9"/>
    </row>
    <row r="102" spans="1:76" ht="13.15" customHeight="1">
      <c r="A102" s="846" t="s">
        <v>205</v>
      </c>
      <c r="B102" s="41" t="s">
        <v>156</v>
      </c>
      <c r="C102" s="12" t="s">
        <v>1491</v>
      </c>
      <c r="D102" s="34">
        <v>1500</v>
      </c>
      <c r="E102" s="535">
        <v>19.42567</v>
      </c>
      <c r="F102" s="537">
        <v>-155.25163000000001</v>
      </c>
      <c r="G102" s="34" t="s">
        <v>65</v>
      </c>
      <c r="H102" s="7">
        <v>2021</v>
      </c>
      <c r="I102" s="34" t="s">
        <v>864</v>
      </c>
      <c r="J102" s="624" t="s">
        <v>132</v>
      </c>
      <c r="K102" s="21">
        <f t="shared" si="42"/>
        <v>83.21935855142624</v>
      </c>
      <c r="L102" s="623" t="s">
        <v>423</v>
      </c>
      <c r="M102" s="552" t="s">
        <v>423</v>
      </c>
      <c r="N102" s="8">
        <v>39.675895878024228</v>
      </c>
      <c r="O102" s="9" t="s">
        <v>64</v>
      </c>
      <c r="P102" s="9">
        <v>1.1286687038561465E-2</v>
      </c>
      <c r="Q102" s="9">
        <v>15.761625651396521</v>
      </c>
      <c r="R102" s="9">
        <v>0.22805168592228525</v>
      </c>
      <c r="S102" s="9">
        <v>43.842477545006695</v>
      </c>
      <c r="T102" s="9">
        <v>0.26333863794913914</v>
      </c>
      <c r="U102" s="9">
        <v>-9.9641538311624599E-3</v>
      </c>
      <c r="V102" s="9">
        <v>1.141914104719323E-3</v>
      </c>
      <c r="W102" s="9" t="s">
        <v>64</v>
      </c>
      <c r="X102" s="9">
        <v>0.22614615438901459</v>
      </c>
      <c r="Y102" s="9">
        <v>99.657233000000005</v>
      </c>
      <c r="Z102" s="605"/>
      <c r="AA102" s="608">
        <v>0.10442735470991855</v>
      </c>
      <c r="AB102" s="600" t="s">
        <v>64</v>
      </c>
      <c r="AC102" s="600">
        <v>8.5018888854760787E-3</v>
      </c>
      <c r="AD102" s="600">
        <v>0.11382904190807706</v>
      </c>
      <c r="AE102" s="600">
        <v>7.791294628860506E-3</v>
      </c>
      <c r="AF102" s="600">
        <v>5.8908944953348245E-2</v>
      </c>
      <c r="AG102" s="600">
        <v>4.1548253602425424E-3</v>
      </c>
      <c r="AH102" s="600">
        <v>7.2618753121512008E-3</v>
      </c>
      <c r="AI102" s="600">
        <v>5.1265434391500695E-3</v>
      </c>
      <c r="AJ102" s="600" t="s">
        <v>64</v>
      </c>
      <c r="AK102" s="609">
        <v>1.9060819081139848E-2</v>
      </c>
      <c r="AL102" s="605"/>
      <c r="AM102" s="614">
        <v>1.0020505244156634</v>
      </c>
      <c r="AN102" s="998">
        <v>0</v>
      </c>
      <c r="AO102" s="998">
        <v>3.3595731957613211E-4</v>
      </c>
      <c r="AP102" s="998">
        <v>0.3329141231729788</v>
      </c>
      <c r="AQ102" s="998">
        <v>4.8784536674873332E-3</v>
      </c>
      <c r="AR102" s="998">
        <v>1.650701908090153</v>
      </c>
      <c r="AS102" s="998">
        <v>7.1260936986123477E-3</v>
      </c>
      <c r="AT102" s="998">
        <v>-4.8791881975190562E-4</v>
      </c>
      <c r="AU102" s="998">
        <v>3.679193990450566E-5</v>
      </c>
      <c r="AV102" s="29" t="s">
        <v>64</v>
      </c>
      <c r="AW102" s="998">
        <v>0</v>
      </c>
      <c r="AX102" s="998">
        <v>2.9975559334846236</v>
      </c>
      <c r="AY102" s="998">
        <v>4</v>
      </c>
      <c r="AZ102" s="605"/>
      <c r="BA102" s="580">
        <v>39.539900000000003</v>
      </c>
      <c r="BB102" s="576" t="s">
        <v>64</v>
      </c>
      <c r="BC102" s="576">
        <v>1.1247999999999999E-2</v>
      </c>
      <c r="BD102" s="576">
        <v>15.707599999999999</v>
      </c>
      <c r="BE102" s="576">
        <v>0.22727</v>
      </c>
      <c r="BF102" s="576">
        <v>43.6922</v>
      </c>
      <c r="BG102" s="576">
        <v>0.262436</v>
      </c>
      <c r="BH102" s="576">
        <v>-9.9299999999999996E-3</v>
      </c>
      <c r="BI102" s="576">
        <v>1.1379999999999999E-3</v>
      </c>
      <c r="BJ102" s="576" t="s">
        <v>64</v>
      </c>
      <c r="BK102" s="576">
        <v>0.22537099999999999</v>
      </c>
      <c r="BL102" s="1001">
        <v>99.657300000000006</v>
      </c>
      <c r="BN102" s="9"/>
      <c r="BO102" s="9"/>
      <c r="BP102" s="9"/>
      <c r="BQ102" s="9"/>
      <c r="BR102" s="9"/>
      <c r="BS102" s="9"/>
      <c r="BT102" s="9"/>
      <c r="BU102" s="9"/>
      <c r="BV102" s="9"/>
      <c r="BW102" s="9"/>
      <c r="BX102" s="9"/>
    </row>
    <row r="103" spans="1:76" ht="13.15" customHeight="1">
      <c r="A103" s="846" t="s">
        <v>206</v>
      </c>
      <c r="B103" s="41" t="s">
        <v>156</v>
      </c>
      <c r="C103" s="12" t="s">
        <v>1491</v>
      </c>
      <c r="D103" s="34">
        <v>1500</v>
      </c>
      <c r="E103" s="535">
        <v>19.42567</v>
      </c>
      <c r="F103" s="537">
        <v>-155.25163000000001</v>
      </c>
      <c r="G103" s="34" t="s">
        <v>65</v>
      </c>
      <c r="H103" s="7">
        <v>2021</v>
      </c>
      <c r="I103" s="34" t="s">
        <v>280</v>
      </c>
      <c r="J103" s="624" t="s">
        <v>132</v>
      </c>
      <c r="K103" s="21">
        <f t="shared" si="42"/>
        <v>81.842871005809087</v>
      </c>
      <c r="L103" s="623" t="s">
        <v>423</v>
      </c>
      <c r="M103" s="552" t="s">
        <v>423</v>
      </c>
      <c r="N103" s="8">
        <v>39.829096448609782</v>
      </c>
      <c r="O103" s="9" t="s">
        <v>64</v>
      </c>
      <c r="P103" s="9">
        <v>8.1388965661812335E-3</v>
      </c>
      <c r="Q103" s="9">
        <v>16.857734773496933</v>
      </c>
      <c r="R103" s="9">
        <v>0.24874728934361659</v>
      </c>
      <c r="S103" s="9">
        <v>42.619776430385173</v>
      </c>
      <c r="T103" s="9">
        <v>0.15693928889076728</v>
      </c>
      <c r="U103" s="9">
        <v>-2.655299917785276E-3</v>
      </c>
      <c r="V103" s="9">
        <v>-8.3481020142491642E-4</v>
      </c>
      <c r="W103" s="9" t="s">
        <v>64</v>
      </c>
      <c r="X103" s="9">
        <v>0.28305698282675723</v>
      </c>
      <c r="Y103" s="9">
        <v>99.423797000000008</v>
      </c>
      <c r="Z103" s="605"/>
      <c r="AA103" s="608">
        <v>0.10460235942105489</v>
      </c>
      <c r="AB103" s="600" t="s">
        <v>64</v>
      </c>
      <c r="AC103" s="600">
        <v>8.4839857805873182E-3</v>
      </c>
      <c r="AD103" s="600">
        <v>0.11764692801462812</v>
      </c>
      <c r="AE103" s="600">
        <v>7.8906868883714017E-3</v>
      </c>
      <c r="AF103" s="600">
        <v>5.8347752526490215E-2</v>
      </c>
      <c r="AG103" s="600">
        <v>3.6478183613325491E-3</v>
      </c>
      <c r="AH103" s="600">
        <v>7.4866181181955848E-3</v>
      </c>
      <c r="AI103" s="600">
        <v>5.2022867322196516E-3</v>
      </c>
      <c r="AJ103" s="600" t="s">
        <v>64</v>
      </c>
      <c r="AK103" s="609">
        <v>1.9321781010435558E-2</v>
      </c>
      <c r="AL103" s="605"/>
      <c r="AM103" s="614">
        <v>1.0103590859277627</v>
      </c>
      <c r="AN103" s="998">
        <v>0</v>
      </c>
      <c r="AO103" s="998">
        <v>2.4332995354704628E-4</v>
      </c>
      <c r="AP103" s="998">
        <v>0.35763733256802849</v>
      </c>
      <c r="AQ103" s="998">
        <v>5.3446549640398218E-3</v>
      </c>
      <c r="AR103" s="998">
        <v>1.611748043131477</v>
      </c>
      <c r="AS103" s="998">
        <v>4.2656089918678705E-3</v>
      </c>
      <c r="AT103" s="998">
        <v>-1.3059698397025228E-4</v>
      </c>
      <c r="AU103" s="998">
        <v>-2.7015898545837451E-5</v>
      </c>
      <c r="AV103" s="29" t="s">
        <v>64</v>
      </c>
      <c r="AW103" s="998">
        <v>0</v>
      </c>
      <c r="AX103" s="998">
        <v>2.9894404426542072</v>
      </c>
      <c r="AY103" s="998">
        <v>4</v>
      </c>
      <c r="AZ103" s="605"/>
      <c r="BA103" s="580">
        <v>39.599600000000002</v>
      </c>
      <c r="BB103" s="576" t="s">
        <v>64</v>
      </c>
      <c r="BC103" s="576">
        <v>8.0920000000000002E-3</v>
      </c>
      <c r="BD103" s="576">
        <v>16.7606</v>
      </c>
      <c r="BE103" s="576">
        <v>0.24731400000000001</v>
      </c>
      <c r="BF103" s="576">
        <v>42.374200000000002</v>
      </c>
      <c r="BG103" s="576">
        <v>0.15603500000000001</v>
      </c>
      <c r="BH103" s="576">
        <v>-2.64E-3</v>
      </c>
      <c r="BI103" s="576">
        <v>-8.3000000000000001E-4</v>
      </c>
      <c r="BJ103" s="576" t="s">
        <v>64</v>
      </c>
      <c r="BK103" s="576">
        <v>0.28142600000000001</v>
      </c>
      <c r="BL103" s="1001">
        <v>99.4238</v>
      </c>
      <c r="BN103" s="9"/>
      <c r="BO103" s="9"/>
      <c r="BP103" s="9"/>
      <c r="BQ103" s="9"/>
      <c r="BR103" s="9"/>
      <c r="BS103" s="9"/>
      <c r="BT103" s="9"/>
      <c r="BU103" s="9"/>
      <c r="BV103" s="9"/>
      <c r="BW103" s="9"/>
      <c r="BX103" s="9"/>
    </row>
    <row r="104" spans="1:76" ht="13.15" customHeight="1">
      <c r="A104" s="846" t="s">
        <v>207</v>
      </c>
      <c r="B104" s="41" t="s">
        <v>156</v>
      </c>
      <c r="C104" s="12" t="s">
        <v>1491</v>
      </c>
      <c r="D104" s="34">
        <v>1500</v>
      </c>
      <c r="E104" s="535">
        <v>19.42567</v>
      </c>
      <c r="F104" s="537">
        <v>-155.25163000000001</v>
      </c>
      <c r="G104" s="34" t="s">
        <v>65</v>
      </c>
      <c r="H104" s="7">
        <v>2021</v>
      </c>
      <c r="I104" s="34" t="s">
        <v>865</v>
      </c>
      <c r="J104" s="624" t="s">
        <v>132</v>
      </c>
      <c r="K104" s="21">
        <f t="shared" si="42"/>
        <v>82.161312097683023</v>
      </c>
      <c r="L104" s="623" t="s">
        <v>423</v>
      </c>
      <c r="M104" s="552" t="s">
        <v>423</v>
      </c>
      <c r="N104" s="8">
        <v>40.462253184314172</v>
      </c>
      <c r="O104" s="9" t="s">
        <v>64</v>
      </c>
      <c r="P104" s="9">
        <v>2.891661765050876E-2</v>
      </c>
      <c r="Q104" s="9">
        <v>16.408317230360492</v>
      </c>
      <c r="R104" s="9">
        <v>0.22645469908466356</v>
      </c>
      <c r="S104" s="9">
        <v>42.388375844788492</v>
      </c>
      <c r="T104" s="9">
        <v>0.26322982583000659</v>
      </c>
      <c r="U104" s="9">
        <v>-8.4838993380982643E-3</v>
      </c>
      <c r="V104" s="9">
        <v>2.0763748964154052E-3</v>
      </c>
      <c r="W104" s="9" t="s">
        <v>64</v>
      </c>
      <c r="X104" s="9">
        <v>0.22886012241335102</v>
      </c>
      <c r="Y104" s="9">
        <v>100.897001</v>
      </c>
      <c r="Z104" s="605"/>
      <c r="AA104" s="608">
        <v>0.10410371272779456</v>
      </c>
      <c r="AB104" s="600" t="s">
        <v>64</v>
      </c>
      <c r="AC104" s="600">
        <v>8.665703060886815E-3</v>
      </c>
      <c r="AD104" s="600">
        <v>0.11547747050479724</v>
      </c>
      <c r="AE104" s="600">
        <v>7.743210816741718E-3</v>
      </c>
      <c r="AF104" s="600">
        <v>5.7996623598356514E-2</v>
      </c>
      <c r="AG104" s="600">
        <v>4.1152824510611568E-3</v>
      </c>
      <c r="AH104" s="600">
        <v>7.4001660366495919E-3</v>
      </c>
      <c r="AI104" s="600">
        <v>5.0468991144741763E-3</v>
      </c>
      <c r="AJ104" s="600" t="s">
        <v>64</v>
      </c>
      <c r="AK104" s="609">
        <v>1.8456127053865554E-2</v>
      </c>
      <c r="AL104" s="605"/>
      <c r="AM104" s="614">
        <v>1.022055574790363</v>
      </c>
      <c r="AN104" s="998">
        <v>0</v>
      </c>
      <c r="AO104" s="998">
        <v>8.6084842180335667E-4</v>
      </c>
      <c r="AP104" s="998">
        <v>0.34662255987722396</v>
      </c>
      <c r="AQ104" s="998">
        <v>4.8449779498479836E-3</v>
      </c>
      <c r="AR104" s="998">
        <v>1.5961801729381575</v>
      </c>
      <c r="AS104" s="998">
        <v>7.124159108265137E-3</v>
      </c>
      <c r="AT104" s="998">
        <v>-4.1549348979222513E-4</v>
      </c>
      <c r="AU104" s="998">
        <v>6.6909315941433232E-5</v>
      </c>
      <c r="AV104" s="29" t="s">
        <v>64</v>
      </c>
      <c r="AW104" s="998">
        <v>0</v>
      </c>
      <c r="AX104" s="998">
        <v>2.9773397089118099</v>
      </c>
      <c r="AY104" s="998">
        <v>4</v>
      </c>
      <c r="AZ104" s="605"/>
      <c r="BA104" s="580">
        <v>40.825200000000002</v>
      </c>
      <c r="BB104" s="576" t="s">
        <v>64</v>
      </c>
      <c r="BC104" s="576">
        <v>2.9176000000000001E-2</v>
      </c>
      <c r="BD104" s="576">
        <v>16.555499999999999</v>
      </c>
      <c r="BE104" s="576">
        <v>0.22848599999999999</v>
      </c>
      <c r="BF104" s="576">
        <v>42.768599999999999</v>
      </c>
      <c r="BG104" s="576">
        <v>0.26559100000000002</v>
      </c>
      <c r="BH104" s="576">
        <v>-8.5599999999999999E-3</v>
      </c>
      <c r="BI104" s="576">
        <v>2.0950000000000001E-3</v>
      </c>
      <c r="BJ104" s="576" t="s">
        <v>64</v>
      </c>
      <c r="BK104" s="576">
        <v>0.23091300000000001</v>
      </c>
      <c r="BL104" s="1001">
        <v>100.89700000000001</v>
      </c>
      <c r="BN104" s="9"/>
      <c r="BO104" s="9"/>
      <c r="BP104" s="9"/>
      <c r="BQ104" s="9"/>
      <c r="BR104" s="9"/>
      <c r="BS104" s="9"/>
      <c r="BT104" s="9"/>
      <c r="BU104" s="9"/>
      <c r="BV104" s="9"/>
      <c r="BW104" s="9"/>
      <c r="BX104" s="9"/>
    </row>
    <row r="105" spans="1:76" ht="13.15" customHeight="1">
      <c r="A105" s="846" t="s">
        <v>208</v>
      </c>
      <c r="B105" s="41" t="s">
        <v>156</v>
      </c>
      <c r="C105" s="12" t="s">
        <v>1491</v>
      </c>
      <c r="D105" s="34">
        <v>1500</v>
      </c>
      <c r="E105" s="535">
        <v>19.42567</v>
      </c>
      <c r="F105" s="537">
        <v>-155.25163000000001</v>
      </c>
      <c r="G105" s="34" t="s">
        <v>65</v>
      </c>
      <c r="H105" s="7">
        <v>2021</v>
      </c>
      <c r="I105" s="34" t="s">
        <v>637</v>
      </c>
      <c r="J105" s="624" t="s">
        <v>132</v>
      </c>
      <c r="K105" s="21">
        <f t="shared" si="42"/>
        <v>82.462847320409111</v>
      </c>
      <c r="L105" s="623" t="s">
        <v>423</v>
      </c>
      <c r="M105" s="552" t="s">
        <v>423</v>
      </c>
      <c r="N105" s="8">
        <v>40.884405415702922</v>
      </c>
      <c r="O105" s="9" t="s">
        <v>64</v>
      </c>
      <c r="P105" s="9">
        <v>1.2804501796639174E-2</v>
      </c>
      <c r="Q105" s="9">
        <v>16.060148605985034</v>
      </c>
      <c r="R105" s="9">
        <v>0.23591312374039625</v>
      </c>
      <c r="S105" s="9">
        <v>42.357183702346731</v>
      </c>
      <c r="T105" s="9">
        <v>0.26222068226105855</v>
      </c>
      <c r="U105" s="9">
        <v>-8.8396764125201581E-3</v>
      </c>
      <c r="V105" s="9">
        <v>3.6080311887837381E-5</v>
      </c>
      <c r="W105" s="9" t="s">
        <v>64</v>
      </c>
      <c r="X105" s="9">
        <v>0.1961275642678551</v>
      </c>
      <c r="Y105" s="9">
        <v>99.777407999999994</v>
      </c>
      <c r="Z105" s="605"/>
      <c r="AA105" s="608">
        <v>0.10518862478568294</v>
      </c>
      <c r="AB105" s="600" t="s">
        <v>64</v>
      </c>
      <c r="AC105" s="600">
        <v>8.5348278680480449E-3</v>
      </c>
      <c r="AD105" s="600">
        <v>0.11495902552609905</v>
      </c>
      <c r="AE105" s="600">
        <v>7.8379776231509261E-3</v>
      </c>
      <c r="AF105" s="600">
        <v>5.8239009731541641E-2</v>
      </c>
      <c r="AG105" s="600">
        <v>4.1429032252471428E-3</v>
      </c>
      <c r="AH105" s="600">
        <v>7.46333879509077E-3</v>
      </c>
      <c r="AI105" s="600">
        <v>5.3802239480905348E-3</v>
      </c>
      <c r="AJ105" s="600" t="s">
        <v>64</v>
      </c>
      <c r="AK105" s="609">
        <v>1.9392054078714895E-2</v>
      </c>
      <c r="AL105" s="605"/>
      <c r="AM105" s="614">
        <v>1.0295758576724012</v>
      </c>
      <c r="AN105" s="998">
        <v>0</v>
      </c>
      <c r="AO105" s="998">
        <v>3.8003018793901174E-4</v>
      </c>
      <c r="AP105" s="998">
        <v>0.338235008784671</v>
      </c>
      <c r="AQ105" s="998">
        <v>5.0319785947137933E-3</v>
      </c>
      <c r="AR105" s="998">
        <v>1.5901512242759439</v>
      </c>
      <c r="AS105" s="998">
        <v>7.0752480917408191E-3</v>
      </c>
      <c r="AT105" s="998">
        <v>-4.3159986467911012E-4</v>
      </c>
      <c r="AU105" s="998">
        <v>1.1591171171940474E-6</v>
      </c>
      <c r="AV105" s="29" t="s">
        <v>64</v>
      </c>
      <c r="AW105" s="998">
        <v>0</v>
      </c>
      <c r="AX105" s="998">
        <v>2.9700189068598482</v>
      </c>
      <c r="AY105" s="998">
        <v>4</v>
      </c>
      <c r="AZ105" s="605"/>
      <c r="BA105" s="580">
        <v>40.793399999999998</v>
      </c>
      <c r="BB105" s="576" t="s">
        <v>64</v>
      </c>
      <c r="BC105" s="576">
        <v>1.2775999999999999E-2</v>
      </c>
      <c r="BD105" s="576">
        <v>16.0244</v>
      </c>
      <c r="BE105" s="576">
        <v>0.23538799999999999</v>
      </c>
      <c r="BF105" s="576">
        <v>42.262900000000002</v>
      </c>
      <c r="BG105" s="576">
        <v>0.26163700000000001</v>
      </c>
      <c r="BH105" s="576">
        <v>-8.8199999999999997E-3</v>
      </c>
      <c r="BI105" s="576">
        <v>3.6000000000000001E-5</v>
      </c>
      <c r="BJ105" s="576" t="s">
        <v>64</v>
      </c>
      <c r="BK105" s="576">
        <v>0.195691</v>
      </c>
      <c r="BL105" s="1001">
        <v>99.7774</v>
      </c>
      <c r="BN105" s="9"/>
      <c r="BO105" s="9"/>
      <c r="BP105" s="9"/>
      <c r="BQ105" s="9"/>
      <c r="BR105" s="9"/>
      <c r="BS105" s="9"/>
      <c r="BT105" s="9"/>
      <c r="BU105" s="9"/>
      <c r="BV105" s="9"/>
      <c r="BW105" s="9"/>
      <c r="BX105" s="9"/>
    </row>
    <row r="106" spans="1:76" ht="13.15" customHeight="1">
      <c r="A106" s="846" t="s">
        <v>194</v>
      </c>
      <c r="B106" s="41" t="s">
        <v>156</v>
      </c>
      <c r="C106" s="12" t="s">
        <v>1491</v>
      </c>
      <c r="D106" s="34">
        <v>1500</v>
      </c>
      <c r="E106" s="535">
        <v>19.42567</v>
      </c>
      <c r="F106" s="537">
        <v>-155.25163000000001</v>
      </c>
      <c r="G106" s="34" t="s">
        <v>65</v>
      </c>
      <c r="H106" s="7">
        <v>2021</v>
      </c>
      <c r="I106" s="34" t="s">
        <v>866</v>
      </c>
      <c r="J106" s="624" t="s">
        <v>132</v>
      </c>
      <c r="K106" s="21">
        <f t="shared" si="42"/>
        <v>83.67802261326004</v>
      </c>
      <c r="L106" s="623" t="s">
        <v>423</v>
      </c>
      <c r="M106" s="552" t="s">
        <v>423</v>
      </c>
      <c r="N106" s="8">
        <v>39.850532533786811</v>
      </c>
      <c r="O106" s="9" t="s">
        <v>64</v>
      </c>
      <c r="P106" s="9">
        <v>3.0825833738364311E-2</v>
      </c>
      <c r="Q106" s="9">
        <v>15.311475172972644</v>
      </c>
      <c r="R106" s="9">
        <v>0.21293926461894247</v>
      </c>
      <c r="S106" s="9">
        <v>44.028505618324779</v>
      </c>
      <c r="T106" s="9">
        <v>0.25306743233909107</v>
      </c>
      <c r="U106" s="9">
        <v>3.511829245630984E-4</v>
      </c>
      <c r="V106" s="9">
        <v>4.1098435971727177E-3</v>
      </c>
      <c r="W106" s="9" t="s">
        <v>64</v>
      </c>
      <c r="X106" s="9">
        <v>0.30819311769765284</v>
      </c>
      <c r="Y106" s="9">
        <v>99.663159999999976</v>
      </c>
      <c r="Z106" s="605"/>
      <c r="AA106" s="608">
        <v>0.10459130918285153</v>
      </c>
      <c r="AB106" s="600" t="s">
        <v>64</v>
      </c>
      <c r="AC106" s="600">
        <v>8.735363113110203E-3</v>
      </c>
      <c r="AD106" s="600">
        <v>0.11218733170712229</v>
      </c>
      <c r="AE106" s="600">
        <v>7.7189631667308172E-3</v>
      </c>
      <c r="AF106" s="600">
        <v>5.8923349069004052E-2</v>
      </c>
      <c r="AG106" s="600">
        <v>4.1042982311618476E-3</v>
      </c>
      <c r="AH106" s="600">
        <v>7.3479408038035331E-3</v>
      </c>
      <c r="AI106" s="600">
        <v>5.1549768239337393E-3</v>
      </c>
      <c r="AJ106" s="600" t="s">
        <v>64</v>
      </c>
      <c r="AK106" s="609">
        <v>1.907345566807234E-2</v>
      </c>
      <c r="AL106" s="605"/>
      <c r="AM106" s="614">
        <v>1.00473076987201</v>
      </c>
      <c r="AN106" s="998">
        <v>0</v>
      </c>
      <c r="AO106" s="998">
        <v>9.1597822994029816E-4</v>
      </c>
      <c r="AP106" s="998">
        <v>0.32285011178452472</v>
      </c>
      <c r="AQ106" s="998">
        <v>4.5473391181627947E-3</v>
      </c>
      <c r="AR106" s="998">
        <v>1.6548559884176159</v>
      </c>
      <c r="AS106" s="998">
        <v>6.8363753213039101E-3</v>
      </c>
      <c r="AT106" s="998">
        <v>1.7166953581722802E-5</v>
      </c>
      <c r="AU106" s="998">
        <v>1.3218958534200371E-4</v>
      </c>
      <c r="AV106" s="29" t="s">
        <v>64</v>
      </c>
      <c r="AW106" s="998">
        <v>0</v>
      </c>
      <c r="AX106" s="998">
        <v>2.9948859192824817</v>
      </c>
      <c r="AY106" s="998">
        <v>4</v>
      </c>
      <c r="AZ106" s="605"/>
      <c r="BA106" s="580">
        <v>39.716299999999997</v>
      </c>
      <c r="BB106" s="576" t="s">
        <v>64</v>
      </c>
      <c r="BC106" s="576">
        <v>3.0721999999999999E-2</v>
      </c>
      <c r="BD106" s="576">
        <v>15.2599</v>
      </c>
      <c r="BE106" s="576">
        <v>0.21222199999999999</v>
      </c>
      <c r="BF106" s="576">
        <v>43.880200000000002</v>
      </c>
      <c r="BG106" s="576">
        <v>0.25221500000000002</v>
      </c>
      <c r="BH106" s="576">
        <v>3.5E-4</v>
      </c>
      <c r="BI106" s="576">
        <v>4.0959999999999998E-3</v>
      </c>
      <c r="BJ106" s="576" t="s">
        <v>64</v>
      </c>
      <c r="BK106" s="576">
        <v>0.30715500000000001</v>
      </c>
      <c r="BL106" s="1001">
        <v>99.663200000000003</v>
      </c>
      <c r="BN106" s="9"/>
      <c r="BO106" s="9"/>
      <c r="BP106" s="9"/>
      <c r="BQ106" s="9"/>
      <c r="BR106" s="9"/>
      <c r="BS106" s="9"/>
      <c r="BT106" s="9"/>
      <c r="BU106" s="9"/>
      <c r="BV106" s="9"/>
      <c r="BW106" s="9"/>
      <c r="BX106" s="9"/>
    </row>
    <row r="107" spans="1:76" ht="13.15" customHeight="1">
      <c r="A107" s="846" t="s">
        <v>210</v>
      </c>
      <c r="B107" s="41" t="s">
        <v>156</v>
      </c>
      <c r="C107" s="12" t="s">
        <v>1491</v>
      </c>
      <c r="D107" s="34">
        <v>1500</v>
      </c>
      <c r="E107" s="535">
        <v>19.42567</v>
      </c>
      <c r="F107" s="537">
        <v>-155.25163000000001</v>
      </c>
      <c r="G107" s="34" t="s">
        <v>65</v>
      </c>
      <c r="H107" s="7">
        <v>2021</v>
      </c>
      <c r="I107" s="34" t="s">
        <v>867</v>
      </c>
      <c r="J107" s="624" t="s">
        <v>132</v>
      </c>
      <c r="K107" s="21">
        <f t="shared" si="42"/>
        <v>83.532201377123727</v>
      </c>
      <c r="L107" s="623" t="s">
        <v>423</v>
      </c>
      <c r="M107" s="552" t="s">
        <v>423</v>
      </c>
      <c r="N107" s="8">
        <v>40.823731147827942</v>
      </c>
      <c r="O107" s="9" t="s">
        <v>64</v>
      </c>
      <c r="P107" s="9">
        <v>2.0497262602927131E-2</v>
      </c>
      <c r="Q107" s="9">
        <v>15.202548022122819</v>
      </c>
      <c r="R107" s="9">
        <v>0.21320017784709197</v>
      </c>
      <c r="S107" s="9">
        <v>43.252681461771914</v>
      </c>
      <c r="T107" s="9">
        <v>0.24727798822182842</v>
      </c>
      <c r="U107" s="9">
        <v>-4.1685999124989144E-3</v>
      </c>
      <c r="V107" s="9">
        <v>-1.0372108787023366E-2</v>
      </c>
      <c r="W107" s="9" t="s">
        <v>64</v>
      </c>
      <c r="X107" s="9">
        <v>0.25460464830500473</v>
      </c>
      <c r="Y107" s="9">
        <v>101.23303</v>
      </c>
      <c r="Z107" s="605"/>
      <c r="AA107" s="608">
        <v>0.10431034840506109</v>
      </c>
      <c r="AB107" s="600" t="s">
        <v>64</v>
      </c>
      <c r="AC107" s="600">
        <v>8.4984520368500283E-3</v>
      </c>
      <c r="AD107" s="600">
        <v>0.1109615737077118</v>
      </c>
      <c r="AE107" s="600">
        <v>7.6445482169208989E-3</v>
      </c>
      <c r="AF107" s="600">
        <v>5.8174856566083226E-2</v>
      </c>
      <c r="AG107" s="600">
        <v>4.0247212640973024E-3</v>
      </c>
      <c r="AH107" s="600">
        <v>7.364248605420582E-3</v>
      </c>
      <c r="AI107" s="600">
        <v>5.2522284475728914E-3</v>
      </c>
      <c r="AJ107" s="600" t="s">
        <v>64</v>
      </c>
      <c r="AK107" s="609">
        <v>1.9116709952868148E-2</v>
      </c>
      <c r="AL107" s="605"/>
      <c r="AM107" s="614">
        <v>1.0249978864940481</v>
      </c>
      <c r="AN107" s="998">
        <v>0</v>
      </c>
      <c r="AO107" s="998">
        <v>6.065420108358852E-4</v>
      </c>
      <c r="AP107" s="998">
        <v>0.31922360066275862</v>
      </c>
      <c r="AQ107" s="998">
        <v>4.5340244422252861E-3</v>
      </c>
      <c r="AR107" s="998">
        <v>1.6189520976290759</v>
      </c>
      <c r="AS107" s="998">
        <v>6.6522689471978525E-3</v>
      </c>
      <c r="AT107" s="998">
        <v>-2.02929300351872E-4</v>
      </c>
      <c r="AU107" s="998">
        <v>-3.322260708646957E-4</v>
      </c>
      <c r="AV107" s="29" t="s">
        <v>64</v>
      </c>
      <c r="AW107" s="998">
        <v>0</v>
      </c>
      <c r="AX107" s="998">
        <v>2.9744312648149247</v>
      </c>
      <c r="AY107" s="998">
        <v>4</v>
      </c>
      <c r="AZ107" s="605"/>
      <c r="BA107" s="580">
        <v>41.327100000000002</v>
      </c>
      <c r="BB107" s="576" t="s">
        <v>64</v>
      </c>
      <c r="BC107" s="576">
        <v>2.0750000000000001E-2</v>
      </c>
      <c r="BD107" s="576">
        <v>15.39</v>
      </c>
      <c r="BE107" s="576">
        <v>0.21582899999999999</v>
      </c>
      <c r="BF107" s="576">
        <v>43.786000000000001</v>
      </c>
      <c r="BG107" s="576">
        <v>0.25032700000000002</v>
      </c>
      <c r="BH107" s="576">
        <v>-4.2199999999999998E-3</v>
      </c>
      <c r="BI107" s="576">
        <v>-1.0500000000000001E-2</v>
      </c>
      <c r="BJ107" s="576" t="s">
        <v>64</v>
      </c>
      <c r="BK107" s="576">
        <v>0.25774399999999997</v>
      </c>
      <c r="BL107" s="1001">
        <v>101.233</v>
      </c>
      <c r="BN107" s="9"/>
      <c r="BO107" s="9"/>
      <c r="BP107" s="9"/>
      <c r="BQ107" s="9"/>
      <c r="BR107" s="9"/>
      <c r="BS107" s="9"/>
      <c r="BT107" s="9"/>
      <c r="BU107" s="9"/>
      <c r="BV107" s="9"/>
      <c r="BW107" s="9"/>
      <c r="BX107" s="9"/>
    </row>
    <row r="108" spans="1:76" ht="13.15" customHeight="1">
      <c r="A108" s="846" t="s">
        <v>193</v>
      </c>
      <c r="B108" s="41" t="s">
        <v>156</v>
      </c>
      <c r="C108" s="12" t="s">
        <v>1491</v>
      </c>
      <c r="D108" s="34">
        <v>1500</v>
      </c>
      <c r="E108" s="535">
        <v>19.42567</v>
      </c>
      <c r="F108" s="537">
        <v>-155.25163000000001</v>
      </c>
      <c r="G108" s="34" t="s">
        <v>65</v>
      </c>
      <c r="H108" s="7">
        <v>2021</v>
      </c>
      <c r="I108" s="34" t="s">
        <v>191</v>
      </c>
      <c r="J108" s="624" t="s">
        <v>132</v>
      </c>
      <c r="K108" s="21">
        <f t="shared" si="42"/>
        <v>83.722435147302065</v>
      </c>
      <c r="L108" s="623" t="s">
        <v>423</v>
      </c>
      <c r="M108" s="552" t="s">
        <v>423</v>
      </c>
      <c r="N108" s="8">
        <v>40.803649738142184</v>
      </c>
      <c r="O108" s="9" t="s">
        <v>64</v>
      </c>
      <c r="P108" s="9">
        <v>1.9879612249427879E-2</v>
      </c>
      <c r="Q108" s="9">
        <v>15.055826354889279</v>
      </c>
      <c r="R108" s="9">
        <v>0.19558932065694476</v>
      </c>
      <c r="S108" s="9">
        <v>43.43454618719381</v>
      </c>
      <c r="T108" s="9">
        <v>0.25763768806753462</v>
      </c>
      <c r="U108" s="9">
        <v>-7.1655977212375585E-3</v>
      </c>
      <c r="V108" s="9">
        <v>1.2254353245797747E-3</v>
      </c>
      <c r="W108" s="9" t="s">
        <v>64</v>
      </c>
      <c r="X108" s="9">
        <v>0.23881126119746449</v>
      </c>
      <c r="Y108" s="9">
        <v>101.59654900000001</v>
      </c>
      <c r="Z108" s="605"/>
      <c r="AA108" s="608">
        <v>0.10423945184004232</v>
      </c>
      <c r="AB108" s="600" t="s">
        <v>64</v>
      </c>
      <c r="AC108" s="600">
        <v>8.4706033814199704E-3</v>
      </c>
      <c r="AD108" s="600">
        <v>0.11036613286146166</v>
      </c>
      <c r="AE108" s="600">
        <v>7.6245998103734811E-3</v>
      </c>
      <c r="AF108" s="600">
        <v>5.8219231363852708E-2</v>
      </c>
      <c r="AG108" s="600">
        <v>4.0659607017754108E-3</v>
      </c>
      <c r="AH108" s="600">
        <v>7.2859797629543505E-3</v>
      </c>
      <c r="AI108" s="600">
        <v>5.1609453781742134E-3</v>
      </c>
      <c r="AJ108" s="600" t="s">
        <v>64</v>
      </c>
      <c r="AK108" s="609">
        <v>1.8348872205098229E-2</v>
      </c>
      <c r="AL108" s="605"/>
      <c r="AM108" s="614">
        <v>1.0238007008267673</v>
      </c>
      <c r="AN108" s="998">
        <v>0</v>
      </c>
      <c r="AO108" s="998">
        <v>5.8786698112681471E-4</v>
      </c>
      <c r="AP108" s="998">
        <v>0.31592889033570754</v>
      </c>
      <c r="AQ108" s="998">
        <v>4.1566893578117645E-3</v>
      </c>
      <c r="AR108" s="998">
        <v>1.6246596227088448</v>
      </c>
      <c r="AS108" s="998">
        <v>6.926277231209494E-3</v>
      </c>
      <c r="AT108" s="998">
        <v>-3.4858853806858637E-4</v>
      </c>
      <c r="AU108" s="998">
        <v>3.9225020471382068E-5</v>
      </c>
      <c r="AV108" s="29" t="s">
        <v>64</v>
      </c>
      <c r="AW108" s="998">
        <v>0</v>
      </c>
      <c r="AX108" s="998">
        <v>2.9757506839238701</v>
      </c>
      <c r="AY108" s="998">
        <v>4</v>
      </c>
      <c r="AZ108" s="605"/>
      <c r="BA108" s="580">
        <v>41.455100000000002</v>
      </c>
      <c r="BB108" s="576" t="s">
        <v>64</v>
      </c>
      <c r="BC108" s="576">
        <v>2.0197E-2</v>
      </c>
      <c r="BD108" s="576">
        <v>15.296200000000001</v>
      </c>
      <c r="BE108" s="576">
        <v>0.198712</v>
      </c>
      <c r="BF108" s="576">
        <v>44.128</v>
      </c>
      <c r="BG108" s="576">
        <v>0.26175100000000001</v>
      </c>
      <c r="BH108" s="576">
        <v>-7.28E-3</v>
      </c>
      <c r="BI108" s="576">
        <v>1.245E-3</v>
      </c>
      <c r="BJ108" s="576" t="s">
        <v>64</v>
      </c>
      <c r="BK108" s="576">
        <v>0.24262400000000001</v>
      </c>
      <c r="BL108" s="1001">
        <v>101.59699999999999</v>
      </c>
      <c r="BN108" s="9"/>
      <c r="BO108" s="9"/>
      <c r="BP108" s="9"/>
      <c r="BQ108" s="9"/>
      <c r="BR108" s="9"/>
      <c r="BS108" s="9"/>
      <c r="BT108" s="9"/>
      <c r="BU108" s="9"/>
      <c r="BV108" s="9"/>
      <c r="BW108" s="9"/>
      <c r="BX108" s="9"/>
    </row>
    <row r="109" spans="1:76" ht="13.15" customHeight="1">
      <c r="A109" s="846" t="s">
        <v>211</v>
      </c>
      <c r="B109" s="41" t="s">
        <v>156</v>
      </c>
      <c r="C109" s="12" t="s">
        <v>1491</v>
      </c>
      <c r="D109" s="34">
        <v>1500</v>
      </c>
      <c r="E109" s="535">
        <v>19.42567</v>
      </c>
      <c r="F109" s="537">
        <v>-155.25163000000001</v>
      </c>
      <c r="G109" s="34" t="s">
        <v>65</v>
      </c>
      <c r="H109" s="7">
        <v>2021</v>
      </c>
      <c r="I109" s="34" t="s">
        <v>285</v>
      </c>
      <c r="J109" s="624" t="s">
        <v>132</v>
      </c>
      <c r="K109" s="21">
        <f t="shared" si="42"/>
        <v>83.274445718431295</v>
      </c>
      <c r="L109" s="623" t="s">
        <v>423</v>
      </c>
      <c r="M109" s="552" t="s">
        <v>423</v>
      </c>
      <c r="N109" s="8">
        <v>40.238867348182858</v>
      </c>
      <c r="O109" s="9" t="s">
        <v>64</v>
      </c>
      <c r="P109" s="9">
        <v>2.1958661196913518E-2</v>
      </c>
      <c r="Q109" s="9">
        <v>15.567689449386215</v>
      </c>
      <c r="R109" s="9">
        <v>0.21797132030946356</v>
      </c>
      <c r="S109" s="9">
        <v>43.474406790965297</v>
      </c>
      <c r="T109" s="9">
        <v>0.26873820758700773</v>
      </c>
      <c r="U109" s="9">
        <v>-8.6985023626649574E-3</v>
      </c>
      <c r="V109" s="9">
        <v>2.2939771347121078E-3</v>
      </c>
      <c r="W109" s="9" t="s">
        <v>64</v>
      </c>
      <c r="X109" s="9">
        <v>0.21677274760018936</v>
      </c>
      <c r="Y109" s="9">
        <v>98.867594000000011</v>
      </c>
      <c r="Z109" s="605"/>
      <c r="AA109" s="608">
        <v>0.10544313516519882</v>
      </c>
      <c r="AB109" s="600" t="s">
        <v>64</v>
      </c>
      <c r="AC109" s="600">
        <v>8.6717827279179042E-3</v>
      </c>
      <c r="AD109" s="600">
        <v>0.11360505808000142</v>
      </c>
      <c r="AE109" s="600">
        <v>7.8994768222032385E-3</v>
      </c>
      <c r="AF109" s="600">
        <v>5.8826089316990959E-2</v>
      </c>
      <c r="AG109" s="600">
        <v>4.2005931751510003E-3</v>
      </c>
      <c r="AH109" s="600">
        <v>7.3218773787496012E-3</v>
      </c>
      <c r="AI109" s="600">
        <v>5.4154147616862205E-3</v>
      </c>
      <c r="AJ109" s="600" t="s">
        <v>64</v>
      </c>
      <c r="AK109" s="609">
        <v>1.9769717935686791E-2</v>
      </c>
      <c r="AL109" s="605"/>
      <c r="AM109" s="614">
        <v>1.0134972663797204</v>
      </c>
      <c r="AN109" s="998">
        <v>0</v>
      </c>
      <c r="AO109" s="998">
        <v>6.5183464409813909E-4</v>
      </c>
      <c r="AP109" s="998">
        <v>0.32792107332970877</v>
      </c>
      <c r="AQ109" s="998">
        <v>4.6500991017575499E-3</v>
      </c>
      <c r="AR109" s="998">
        <v>1.6323797028744922</v>
      </c>
      <c r="AS109" s="998">
        <v>7.2523760651257065E-3</v>
      </c>
      <c r="AT109" s="998">
        <v>-4.2478149402995513E-4</v>
      </c>
      <c r="AU109" s="998">
        <v>7.3709300685654119E-5</v>
      </c>
      <c r="AV109" s="29" t="s">
        <v>64</v>
      </c>
      <c r="AW109" s="998">
        <v>0</v>
      </c>
      <c r="AX109" s="998">
        <v>2.9860012802015583</v>
      </c>
      <c r="AY109" s="998">
        <v>4</v>
      </c>
      <c r="AZ109" s="605"/>
      <c r="BA109" s="580">
        <v>39.783200000000001</v>
      </c>
      <c r="BB109" s="576" t="s">
        <v>64</v>
      </c>
      <c r="BC109" s="576">
        <v>2.171E-2</v>
      </c>
      <c r="BD109" s="576">
        <v>15.391400000000001</v>
      </c>
      <c r="BE109" s="576">
        <v>0.215503</v>
      </c>
      <c r="BF109" s="576">
        <v>42.982100000000003</v>
      </c>
      <c r="BG109" s="576">
        <v>0.26569500000000001</v>
      </c>
      <c r="BH109" s="576">
        <v>-8.6E-3</v>
      </c>
      <c r="BI109" s="576">
        <v>2.2680000000000001E-3</v>
      </c>
      <c r="BJ109" s="576" t="s">
        <v>64</v>
      </c>
      <c r="BK109" s="576">
        <v>0.21431800000000001</v>
      </c>
      <c r="BL109" s="1001">
        <v>98.867599999999996</v>
      </c>
      <c r="BN109" s="9"/>
      <c r="BO109" s="9"/>
      <c r="BP109" s="9"/>
      <c r="BQ109" s="9"/>
      <c r="BR109" s="9"/>
      <c r="BS109" s="9"/>
      <c r="BT109" s="9"/>
      <c r="BU109" s="9"/>
      <c r="BV109" s="9"/>
      <c r="BW109" s="9"/>
      <c r="BX109" s="9"/>
    </row>
    <row r="110" spans="1:76" ht="13.15" customHeight="1">
      <c r="A110" s="846" t="s">
        <v>212</v>
      </c>
      <c r="B110" s="41" t="s">
        <v>156</v>
      </c>
      <c r="C110" s="12" t="s">
        <v>1491</v>
      </c>
      <c r="D110" s="34">
        <v>1500</v>
      </c>
      <c r="E110" s="535">
        <v>19.42567</v>
      </c>
      <c r="F110" s="537">
        <v>-155.25163000000001</v>
      </c>
      <c r="G110" s="34" t="s">
        <v>65</v>
      </c>
      <c r="H110" s="7">
        <v>2021</v>
      </c>
      <c r="I110" s="34" t="s">
        <v>868</v>
      </c>
      <c r="J110" s="624" t="s">
        <v>132</v>
      </c>
      <c r="K110" s="21">
        <f t="shared" si="42"/>
        <v>82.833954010163765</v>
      </c>
      <c r="L110" s="623" t="s">
        <v>423</v>
      </c>
      <c r="M110" s="552" t="s">
        <v>423</v>
      </c>
      <c r="N110" s="8">
        <v>39.534938913405313</v>
      </c>
      <c r="O110" s="9" t="s">
        <v>64</v>
      </c>
      <c r="P110" s="9">
        <v>1.8664001642706023E-2</v>
      </c>
      <c r="Q110" s="9">
        <v>16.103742850253035</v>
      </c>
      <c r="R110" s="9">
        <v>0.23128923011083846</v>
      </c>
      <c r="S110" s="9">
        <v>43.585619330347583</v>
      </c>
      <c r="T110" s="9">
        <v>0.2614833074338761</v>
      </c>
      <c r="U110" s="9">
        <v>-1.9533968055054861E-3</v>
      </c>
      <c r="V110" s="9">
        <v>-2.3964352562386893E-3</v>
      </c>
      <c r="W110" s="9" t="s">
        <v>64</v>
      </c>
      <c r="X110" s="9">
        <v>0.26861219886840126</v>
      </c>
      <c r="Y110" s="9">
        <v>99.314178999999996</v>
      </c>
      <c r="Z110" s="605"/>
      <c r="AA110" s="608">
        <v>0.10436868058688781</v>
      </c>
      <c r="AB110" s="600" t="s">
        <v>64</v>
      </c>
      <c r="AC110" s="600">
        <v>8.6116450139511296E-3</v>
      </c>
      <c r="AD110" s="600">
        <v>0.11519152194471648</v>
      </c>
      <c r="AE110" s="600">
        <v>7.8518992994947873E-3</v>
      </c>
      <c r="AF110" s="600">
        <v>5.8866301611374142E-2</v>
      </c>
      <c r="AG110" s="600">
        <v>4.1553358317546986E-3</v>
      </c>
      <c r="AH110" s="600">
        <v>7.4463486225869128E-3</v>
      </c>
      <c r="AI110" s="600">
        <v>5.1988266448842121E-3</v>
      </c>
      <c r="AJ110" s="600" t="s">
        <v>64</v>
      </c>
      <c r="AK110" s="609">
        <v>1.9217671739500557E-2</v>
      </c>
      <c r="AL110" s="605"/>
      <c r="AM110" s="614">
        <v>1.0007615544186628</v>
      </c>
      <c r="AN110" s="998">
        <v>0</v>
      </c>
      <c r="AO110" s="998">
        <v>5.5681259682512118E-4</v>
      </c>
      <c r="AP110" s="998">
        <v>0.34091389385851539</v>
      </c>
      <c r="AQ110" s="998">
        <v>4.9589641780579544E-3</v>
      </c>
      <c r="AR110" s="998">
        <v>1.6447634620144702</v>
      </c>
      <c r="AS110" s="998">
        <v>7.0919812089673588E-3</v>
      </c>
      <c r="AT110" s="998">
        <v>-9.5870343259685692E-5</v>
      </c>
      <c r="AU110" s="998">
        <v>-7.738764188797773E-5</v>
      </c>
      <c r="AV110" s="29" t="s">
        <v>64</v>
      </c>
      <c r="AW110" s="998">
        <v>0</v>
      </c>
      <c r="AX110" s="998">
        <v>2.9988734102903511</v>
      </c>
      <c r="AY110" s="998">
        <v>4</v>
      </c>
      <c r="AZ110" s="605"/>
      <c r="BA110" s="580">
        <v>39.263800000000003</v>
      </c>
      <c r="BB110" s="576" t="s">
        <v>64</v>
      </c>
      <c r="BC110" s="576">
        <v>1.8536E-2</v>
      </c>
      <c r="BD110" s="576">
        <v>15.9933</v>
      </c>
      <c r="BE110" s="576">
        <v>0.22970299999999999</v>
      </c>
      <c r="BF110" s="576">
        <v>43.286700000000003</v>
      </c>
      <c r="BG110" s="576">
        <v>0.25968999999999998</v>
      </c>
      <c r="BH110" s="576">
        <v>-1.9400000000000001E-3</v>
      </c>
      <c r="BI110" s="576">
        <v>-2.3800000000000002E-3</v>
      </c>
      <c r="BJ110" s="576" t="s">
        <v>64</v>
      </c>
      <c r="BK110" s="576">
        <v>0.26677000000000001</v>
      </c>
      <c r="BL110" s="1001">
        <v>99.314099999999996</v>
      </c>
      <c r="BN110" s="9"/>
      <c r="BO110" s="9"/>
      <c r="BP110" s="9"/>
      <c r="BQ110" s="9"/>
      <c r="BR110" s="9"/>
      <c r="BS110" s="9"/>
      <c r="BT110" s="9"/>
      <c r="BU110" s="9"/>
      <c r="BV110" s="9"/>
      <c r="BW110" s="9"/>
      <c r="BX110" s="9"/>
    </row>
    <row r="111" spans="1:76" ht="13.15" customHeight="1">
      <c r="A111" s="846" t="s">
        <v>213</v>
      </c>
      <c r="B111" s="41" t="s">
        <v>156</v>
      </c>
      <c r="C111" s="12" t="s">
        <v>1491</v>
      </c>
      <c r="D111" s="34">
        <v>1500</v>
      </c>
      <c r="E111" s="535">
        <v>19.42567</v>
      </c>
      <c r="F111" s="537">
        <v>-155.25163000000001</v>
      </c>
      <c r="G111" s="34" t="s">
        <v>65</v>
      </c>
      <c r="H111" s="7">
        <v>2021</v>
      </c>
      <c r="I111" s="34" t="s">
        <v>287</v>
      </c>
      <c r="J111" s="624" t="s">
        <v>132</v>
      </c>
      <c r="K111" s="21">
        <f t="shared" si="42"/>
        <v>83.27734518479339</v>
      </c>
      <c r="L111" s="623" t="s">
        <v>423</v>
      </c>
      <c r="M111" s="552" t="s">
        <v>423</v>
      </c>
      <c r="N111" s="8">
        <v>40.894679401652404</v>
      </c>
      <c r="O111" s="9" t="s">
        <v>64</v>
      </c>
      <c r="P111" s="9">
        <v>2.4934597400117945E-2</v>
      </c>
      <c r="Q111" s="9">
        <v>15.384120115248196</v>
      </c>
      <c r="R111" s="9">
        <v>0.22122973147320871</v>
      </c>
      <c r="S111" s="9">
        <v>42.970715217891772</v>
      </c>
      <c r="T111" s="9">
        <v>0.26310572325706288</v>
      </c>
      <c r="U111" s="9">
        <v>4.9026034100724042E-3</v>
      </c>
      <c r="V111" s="9">
        <v>1.5873588756068098E-3</v>
      </c>
      <c r="W111" s="9" t="s">
        <v>64</v>
      </c>
      <c r="X111" s="9">
        <v>0.23472525079156911</v>
      </c>
      <c r="Y111" s="9">
        <v>101.04835299999999</v>
      </c>
      <c r="Z111" s="605"/>
      <c r="AA111" s="608">
        <v>0.10461595095171913</v>
      </c>
      <c r="AB111" s="600" t="s">
        <v>64</v>
      </c>
      <c r="AC111" s="600">
        <v>8.5862535493280139E-3</v>
      </c>
      <c r="AD111" s="600">
        <v>0.11183839952542327</v>
      </c>
      <c r="AE111" s="600">
        <v>7.7665794449910544E-3</v>
      </c>
      <c r="AF111" s="600">
        <v>5.8148831247155502E-2</v>
      </c>
      <c r="AG111" s="600">
        <v>4.1082380052250827E-3</v>
      </c>
      <c r="AH111" s="600">
        <v>7.4873539799307776E-3</v>
      </c>
      <c r="AI111" s="600">
        <v>5.1042477060462329E-3</v>
      </c>
      <c r="AJ111" s="600" t="s">
        <v>64</v>
      </c>
      <c r="AK111" s="609">
        <v>1.9164894221680193E-2</v>
      </c>
      <c r="AL111" s="605"/>
      <c r="AM111" s="614">
        <v>1.0272859041604472</v>
      </c>
      <c r="AN111" s="998">
        <v>0</v>
      </c>
      <c r="AO111" s="998">
        <v>7.3821289723174986E-4</v>
      </c>
      <c r="AP111" s="998">
        <v>0.32319565721931892</v>
      </c>
      <c r="AQ111" s="998">
        <v>4.7071065928419413E-3</v>
      </c>
      <c r="AR111" s="998">
        <v>1.6091917254444712</v>
      </c>
      <c r="AS111" s="998">
        <v>7.0815590701286896E-3</v>
      </c>
      <c r="AT111" s="998">
        <v>2.3877868295464765E-4</v>
      </c>
      <c r="AU111" s="998">
        <v>5.0869330040108331E-5</v>
      </c>
      <c r="AV111" s="29" t="s">
        <v>64</v>
      </c>
      <c r="AW111" s="998">
        <v>0</v>
      </c>
      <c r="AX111" s="998">
        <v>2.9724898133974347</v>
      </c>
      <c r="AY111" s="998">
        <v>4</v>
      </c>
      <c r="AZ111" s="605"/>
      <c r="BA111" s="580">
        <v>41.323399999999999</v>
      </c>
      <c r="BB111" s="576" t="s">
        <v>64</v>
      </c>
      <c r="BC111" s="576">
        <v>2.5196E-2</v>
      </c>
      <c r="BD111" s="576">
        <v>15.545400000000001</v>
      </c>
      <c r="BE111" s="576">
        <v>0.223549</v>
      </c>
      <c r="BF111" s="576">
        <v>43.421199999999999</v>
      </c>
      <c r="BG111" s="576">
        <v>0.26586399999999999</v>
      </c>
      <c r="BH111" s="576">
        <v>4.9540000000000001E-3</v>
      </c>
      <c r="BI111" s="576">
        <v>1.604E-3</v>
      </c>
      <c r="BJ111" s="576" t="s">
        <v>64</v>
      </c>
      <c r="BK111" s="576">
        <v>0.23718600000000001</v>
      </c>
      <c r="BL111" s="1001">
        <v>101.048</v>
      </c>
      <c r="BN111" s="9"/>
      <c r="BO111" s="9"/>
      <c r="BP111" s="9"/>
      <c r="BQ111" s="9"/>
      <c r="BR111" s="9"/>
      <c r="BS111" s="9"/>
      <c r="BT111" s="9"/>
      <c r="BU111" s="9"/>
      <c r="BV111" s="9"/>
      <c r="BW111" s="9"/>
      <c r="BX111" s="9"/>
    </row>
    <row r="112" spans="1:76" ht="13.15" customHeight="1">
      <c r="A112" s="846" t="s">
        <v>214</v>
      </c>
      <c r="B112" s="41" t="s">
        <v>156</v>
      </c>
      <c r="C112" s="12" t="s">
        <v>1491</v>
      </c>
      <c r="D112" s="34">
        <v>1500</v>
      </c>
      <c r="E112" s="535">
        <v>19.42567</v>
      </c>
      <c r="F112" s="537">
        <v>-155.25163000000001</v>
      </c>
      <c r="G112" s="34" t="s">
        <v>65</v>
      </c>
      <c r="H112" s="7">
        <v>2021</v>
      </c>
      <c r="I112" s="34" t="s">
        <v>869</v>
      </c>
      <c r="J112" s="624" t="s">
        <v>132</v>
      </c>
      <c r="K112" s="21">
        <f t="shared" si="42"/>
        <v>83.369170454174863</v>
      </c>
      <c r="L112" s="623" t="s">
        <v>423</v>
      </c>
      <c r="M112" s="552" t="s">
        <v>423</v>
      </c>
      <c r="N112" s="8">
        <v>40.847966337837086</v>
      </c>
      <c r="O112" s="9" t="s">
        <v>64</v>
      </c>
      <c r="P112" s="9">
        <v>4.2720823412612623E-2</v>
      </c>
      <c r="Q112" s="9">
        <v>15.321574233746505</v>
      </c>
      <c r="R112" s="9">
        <v>0.22516982054857998</v>
      </c>
      <c r="S112" s="9">
        <v>43.079755637757827</v>
      </c>
      <c r="T112" s="9">
        <v>0.25666710938261356</v>
      </c>
      <c r="U112" s="9">
        <v>-1.1389195605569101E-2</v>
      </c>
      <c r="V112" s="9">
        <v>-6.863099689589691E-3</v>
      </c>
      <c r="W112" s="9" t="s">
        <v>64</v>
      </c>
      <c r="X112" s="9">
        <v>0.24439833260993041</v>
      </c>
      <c r="Y112" s="9">
        <v>101.41190300000001</v>
      </c>
      <c r="Z112" s="605"/>
      <c r="AA112" s="608">
        <v>0.10428363262150794</v>
      </c>
      <c r="AB112" s="600" t="s">
        <v>64</v>
      </c>
      <c r="AC112" s="600">
        <v>8.781094369168874E-3</v>
      </c>
      <c r="AD112" s="600">
        <v>0.11123677395739236</v>
      </c>
      <c r="AE112" s="600">
        <v>7.7152862822227088E-3</v>
      </c>
      <c r="AF112" s="600">
        <v>5.8015506917368474E-2</v>
      </c>
      <c r="AG112" s="600">
        <v>4.0635280090345997E-3</v>
      </c>
      <c r="AH112" s="600">
        <v>7.2228000691398125E-3</v>
      </c>
      <c r="AI112" s="600">
        <v>5.2228188637777539E-3</v>
      </c>
      <c r="AJ112" s="600" t="s">
        <v>64</v>
      </c>
      <c r="AK112" s="609">
        <v>1.8984642518640047E-2</v>
      </c>
      <c r="AL112" s="605"/>
      <c r="AM112" s="614">
        <v>1.0259609277861055</v>
      </c>
      <c r="AN112" s="998">
        <v>0</v>
      </c>
      <c r="AO112" s="998">
        <v>1.2646045607377083E-3</v>
      </c>
      <c r="AP112" s="998">
        <v>0.32183413486665174</v>
      </c>
      <c r="AQ112" s="998">
        <v>4.7902323951703029E-3</v>
      </c>
      <c r="AR112" s="998">
        <v>1.6130368927855858</v>
      </c>
      <c r="AS112" s="998">
        <v>6.9072419240837459E-3</v>
      </c>
      <c r="AT112" s="998">
        <v>-5.5462277851771671E-4</v>
      </c>
      <c r="AU112" s="998">
        <v>-2.1990599110067533E-4</v>
      </c>
      <c r="AV112" s="29" t="s">
        <v>64</v>
      </c>
      <c r="AW112" s="998">
        <v>0</v>
      </c>
      <c r="AX112" s="998">
        <v>2.9730195055487161</v>
      </c>
      <c r="AY112" s="998">
        <v>4</v>
      </c>
      <c r="AZ112" s="605"/>
      <c r="BA112" s="580">
        <v>41.424700000000001</v>
      </c>
      <c r="BB112" s="576" t="s">
        <v>64</v>
      </c>
      <c r="BC112" s="576">
        <v>4.3324000000000001E-2</v>
      </c>
      <c r="BD112" s="576">
        <v>15.5379</v>
      </c>
      <c r="BE112" s="576">
        <v>0.228349</v>
      </c>
      <c r="BF112" s="576">
        <v>43.688000000000002</v>
      </c>
      <c r="BG112" s="576">
        <v>0.26029099999999999</v>
      </c>
      <c r="BH112" s="576">
        <v>-1.155E-2</v>
      </c>
      <c r="BI112" s="576">
        <v>-6.96E-3</v>
      </c>
      <c r="BJ112" s="576" t="s">
        <v>64</v>
      </c>
      <c r="BK112" s="576">
        <v>0.24784900000000001</v>
      </c>
      <c r="BL112" s="1001">
        <v>101.41200000000001</v>
      </c>
      <c r="BN112" s="9"/>
      <c r="BO112" s="9"/>
      <c r="BP112" s="9"/>
      <c r="BQ112" s="9"/>
      <c r="BR112" s="9"/>
      <c r="BS112" s="9"/>
      <c r="BT112" s="9"/>
      <c r="BU112" s="9"/>
      <c r="BV112" s="9"/>
      <c r="BW112" s="9"/>
      <c r="BX112" s="9"/>
    </row>
    <row r="113" spans="1:76" ht="13.15" customHeight="1">
      <c r="A113" s="846"/>
      <c r="B113" s="41"/>
      <c r="C113" s="12"/>
      <c r="E113" s="535"/>
      <c r="F113" s="537"/>
      <c r="H113" s="7"/>
      <c r="K113" s="21"/>
      <c r="M113" s="552"/>
      <c r="N113" s="8"/>
      <c r="O113" s="9"/>
      <c r="P113" s="9"/>
      <c r="Q113" s="9"/>
      <c r="R113" s="9"/>
      <c r="S113" s="9"/>
      <c r="T113" s="9"/>
      <c r="U113" s="9"/>
      <c r="V113" s="9"/>
      <c r="W113" s="9"/>
      <c r="X113" s="9"/>
      <c r="Y113" s="9"/>
      <c r="Z113" s="605"/>
      <c r="AL113" s="605"/>
      <c r="AM113" s="614"/>
      <c r="AN113" s="998"/>
      <c r="AO113" s="998"/>
      <c r="AP113" s="998"/>
      <c r="AQ113" s="998"/>
      <c r="AR113" s="998"/>
      <c r="AS113" s="998"/>
      <c r="AT113" s="998"/>
      <c r="AU113" s="998"/>
      <c r="AV113" s="29"/>
      <c r="AW113" s="998"/>
      <c r="AX113" s="998"/>
      <c r="AY113" s="998"/>
      <c r="AZ113" s="605"/>
      <c r="BA113" s="580"/>
      <c r="BB113" s="576"/>
      <c r="BC113" s="576"/>
      <c r="BD113" s="576"/>
      <c r="BE113" s="576"/>
      <c r="BF113" s="576"/>
      <c r="BG113" s="576"/>
      <c r="BH113" s="576"/>
      <c r="BI113" s="576"/>
      <c r="BJ113" s="576"/>
      <c r="BK113" s="576"/>
      <c r="BL113" s="1001"/>
      <c r="BN113" s="9"/>
      <c r="BO113" s="9"/>
      <c r="BP113" s="9"/>
      <c r="BQ113" s="9"/>
      <c r="BR113" s="9"/>
      <c r="BS113" s="9"/>
      <c r="BT113" s="9"/>
      <c r="BU113" s="9"/>
      <c r="BV113" s="9"/>
      <c r="BW113" s="9"/>
      <c r="BX113" s="9"/>
    </row>
    <row r="114" spans="1:76" ht="13.15" customHeight="1">
      <c r="A114" s="846"/>
      <c r="B114" s="41"/>
      <c r="C114" s="12"/>
      <c r="E114" s="535"/>
      <c r="F114" s="537"/>
      <c r="K114" s="21"/>
      <c r="M114" s="552"/>
      <c r="N114" s="8"/>
      <c r="O114" s="9"/>
      <c r="P114" s="9"/>
      <c r="Q114" s="9"/>
      <c r="R114" s="9"/>
      <c r="S114" s="9"/>
      <c r="T114" s="9"/>
      <c r="U114" s="9"/>
      <c r="V114" s="9"/>
      <c r="W114" s="9"/>
      <c r="X114" s="9"/>
      <c r="Y114" s="9"/>
      <c r="Z114" s="605"/>
      <c r="AL114" s="605"/>
      <c r="AM114" s="614"/>
      <c r="AN114" s="998"/>
      <c r="AO114" s="998"/>
      <c r="AP114" s="998"/>
      <c r="AQ114" s="998"/>
      <c r="AR114" s="998"/>
      <c r="AS114" s="998"/>
      <c r="AT114" s="998"/>
      <c r="AU114" s="998"/>
      <c r="AV114" s="998"/>
      <c r="AW114" s="998"/>
      <c r="AX114" s="998"/>
      <c r="AY114" s="998"/>
      <c r="AZ114" s="605"/>
      <c r="BA114" s="580"/>
      <c r="BB114" s="576"/>
      <c r="BC114" s="576"/>
      <c r="BD114" s="576"/>
      <c r="BE114" s="576"/>
      <c r="BF114" s="576"/>
      <c r="BG114" s="576"/>
      <c r="BH114" s="576"/>
      <c r="BI114" s="576"/>
      <c r="BJ114" s="576"/>
      <c r="BK114" s="576"/>
      <c r="BL114" s="1001"/>
      <c r="BN114" s="9"/>
      <c r="BO114" s="9"/>
      <c r="BP114" s="9"/>
      <c r="BQ114" s="9"/>
      <c r="BR114" s="9"/>
      <c r="BS114" s="9"/>
      <c r="BT114" s="9"/>
      <c r="BU114" s="9"/>
      <c r="BV114" s="9"/>
      <c r="BW114" s="9"/>
      <c r="BX114" s="9"/>
    </row>
    <row r="115" spans="1:76" s="959" customFormat="1" ht="13.15" customHeight="1">
      <c r="A115" s="976" t="s">
        <v>921</v>
      </c>
      <c r="B115" s="781"/>
      <c r="C115" s="786"/>
      <c r="D115" s="781"/>
      <c r="E115" s="1003"/>
      <c r="F115" s="1004"/>
      <c r="G115" s="7"/>
      <c r="H115" s="7"/>
      <c r="I115" s="7"/>
      <c r="J115" s="11"/>
      <c r="K115" s="7"/>
      <c r="L115" s="9"/>
      <c r="M115" s="9"/>
      <c r="N115" s="11"/>
      <c r="O115" s="7"/>
      <c r="P115" s="7"/>
      <c r="Q115" s="7"/>
      <c r="R115" s="7"/>
      <c r="S115" s="7"/>
      <c r="T115" s="7"/>
      <c r="U115" s="7"/>
      <c r="V115" s="7"/>
      <c r="W115" s="7"/>
      <c r="X115" s="7"/>
      <c r="Y115" s="7"/>
      <c r="Z115" s="605"/>
      <c r="AA115" s="610"/>
      <c r="AB115" s="994"/>
      <c r="AC115" s="994"/>
      <c r="AD115" s="994"/>
      <c r="AE115" s="994"/>
      <c r="AF115" s="994"/>
      <c r="AG115" s="994"/>
      <c r="AH115" s="994"/>
      <c r="AI115" s="994"/>
      <c r="AJ115" s="994"/>
      <c r="AK115" s="611"/>
      <c r="AL115" s="605"/>
      <c r="AM115" s="614"/>
      <c r="AN115" s="998"/>
      <c r="AO115" s="998"/>
      <c r="AP115" s="998"/>
      <c r="AQ115" s="998"/>
      <c r="AR115" s="998"/>
      <c r="AS115" s="998"/>
      <c r="AT115" s="998"/>
      <c r="AU115" s="998"/>
      <c r="AV115" s="998"/>
      <c r="AW115" s="998"/>
      <c r="AX115" s="998"/>
      <c r="AY115" s="998"/>
      <c r="AZ115" s="605"/>
      <c r="BA115" s="581"/>
      <c r="BB115" s="577"/>
      <c r="BC115" s="577"/>
      <c r="BD115" s="577"/>
      <c r="BE115" s="577"/>
      <c r="BF115" s="577"/>
      <c r="BG115" s="577"/>
      <c r="BH115" s="577"/>
      <c r="BI115" s="577"/>
      <c r="BJ115" s="577"/>
      <c r="BK115" s="577"/>
      <c r="BL115" s="1007"/>
    </row>
    <row r="116" spans="1:76" s="959" customFormat="1" ht="13.15" customHeight="1">
      <c r="A116" s="837" t="s">
        <v>1478</v>
      </c>
      <c r="B116" s="3"/>
      <c r="C116" s="12"/>
      <c r="D116" s="3"/>
      <c r="E116" s="1003"/>
      <c r="F116" s="1004"/>
      <c r="G116" s="992"/>
      <c r="H116" s="992"/>
      <c r="I116" s="992"/>
      <c r="J116" s="62"/>
      <c r="K116" s="992"/>
      <c r="L116" s="993"/>
      <c r="M116" s="993"/>
      <c r="N116" s="22"/>
      <c r="O116" s="993"/>
      <c r="P116" s="992"/>
      <c r="Q116" s="993"/>
      <c r="R116" s="993"/>
      <c r="S116" s="993"/>
      <c r="T116" s="993"/>
      <c r="U116" s="992"/>
      <c r="V116" s="992"/>
      <c r="W116" s="993"/>
      <c r="X116" s="993"/>
      <c r="Y116" s="993"/>
      <c r="Z116" s="605"/>
      <c r="AA116" s="610"/>
      <c r="AB116" s="994"/>
      <c r="AC116" s="994"/>
      <c r="AD116" s="994"/>
      <c r="AE116" s="994"/>
      <c r="AF116" s="994"/>
      <c r="AG116" s="994"/>
      <c r="AH116" s="994"/>
      <c r="AI116" s="994"/>
      <c r="AJ116" s="994"/>
      <c r="AK116" s="611"/>
      <c r="AL116" s="605"/>
      <c r="AM116" s="614"/>
      <c r="AN116" s="998"/>
      <c r="AO116" s="998"/>
      <c r="AP116" s="998"/>
      <c r="AQ116" s="998"/>
      <c r="AR116" s="998"/>
      <c r="AS116" s="998"/>
      <c r="AT116" s="998"/>
      <c r="AU116" s="998"/>
      <c r="AV116" s="998"/>
      <c r="AW116" s="998"/>
      <c r="AX116" s="998"/>
      <c r="AY116" s="998"/>
      <c r="AZ116" s="605"/>
      <c r="BA116" s="607"/>
      <c r="BB116" s="996"/>
      <c r="BC116" s="957"/>
      <c r="BD116" s="996"/>
      <c r="BE116" s="996"/>
      <c r="BF116" s="996"/>
      <c r="BG116" s="996"/>
      <c r="BH116" s="957"/>
      <c r="BI116" s="957"/>
      <c r="BJ116" s="996"/>
      <c r="BK116" s="996"/>
      <c r="BL116" s="997"/>
    </row>
    <row r="117" spans="1:76" s="960" customFormat="1" ht="13.15" customHeight="1">
      <c r="A117" s="846" t="s">
        <v>871</v>
      </c>
      <c r="B117" s="41" t="s">
        <v>157</v>
      </c>
      <c r="C117" s="12" t="s">
        <v>1481</v>
      </c>
      <c r="D117" s="34" t="s">
        <v>159</v>
      </c>
      <c r="E117" s="535">
        <v>19.405619999999999</v>
      </c>
      <c r="F117" s="537">
        <v>-155.29281800000001</v>
      </c>
      <c r="G117" s="7" t="s">
        <v>873</v>
      </c>
      <c r="H117" s="7">
        <v>2001</v>
      </c>
      <c r="I117" s="861" t="s">
        <v>856</v>
      </c>
      <c r="J117" s="11" t="s">
        <v>132</v>
      </c>
      <c r="K117" s="21">
        <v>84.58511249393716</v>
      </c>
      <c r="L117" s="623" t="s">
        <v>423</v>
      </c>
      <c r="M117" s="552" t="s">
        <v>423</v>
      </c>
      <c r="N117" s="8">
        <f>100*(BA117/$BL117)</f>
        <v>39.503325145287889</v>
      </c>
      <c r="O117" s="9">
        <f>100*(BB117/$BL117)</f>
        <v>1.8639453065191491E-2</v>
      </c>
      <c r="P117" s="20" t="s">
        <v>64</v>
      </c>
      <c r="Q117" s="9">
        <f t="shared" ref="Q117:T118" si="43">100*(BD117/$BL117)</f>
        <v>14.617991066376426</v>
      </c>
      <c r="R117" s="9">
        <f t="shared" si="43"/>
        <v>0.17041785659603645</v>
      </c>
      <c r="S117" s="9">
        <f t="shared" si="43"/>
        <v>45.012947762932782</v>
      </c>
      <c r="T117" s="9">
        <f t="shared" si="43"/>
        <v>0.24397712672831001</v>
      </c>
      <c r="U117" s="20" t="s">
        <v>64</v>
      </c>
      <c r="V117" s="20" t="s">
        <v>64</v>
      </c>
      <c r="W117" s="9">
        <f>100*(BJ117/$BL117)</f>
        <v>6.4905238352006081E-2</v>
      </c>
      <c r="X117" s="9">
        <f>100*(BK117/$BL117)</f>
        <v>0.36779635066136773</v>
      </c>
      <c r="Y117" s="9">
        <f t="shared" ref="Y117:Y118" si="44">BL117</f>
        <v>100.146</v>
      </c>
      <c r="Z117" s="605"/>
      <c r="AA117" s="608">
        <v>0.10227339437931261</v>
      </c>
      <c r="AB117" s="600" t="s">
        <v>309</v>
      </c>
      <c r="AC117" s="600" t="s">
        <v>64</v>
      </c>
      <c r="AD117" s="600">
        <v>0.11718677690557602</v>
      </c>
      <c r="AE117" s="600">
        <v>7.3720897418846458E-3</v>
      </c>
      <c r="AF117" s="600">
        <v>5.8878094517890389E-2</v>
      </c>
      <c r="AG117" s="600">
        <v>4.0907348951382053E-3</v>
      </c>
      <c r="AH117" s="600" t="s">
        <v>64</v>
      </c>
      <c r="AI117" s="600" t="s">
        <v>64</v>
      </c>
      <c r="AJ117" s="600" t="s">
        <v>309</v>
      </c>
      <c r="AK117" s="609">
        <v>2.2868049555450458E-2</v>
      </c>
      <c r="AL117" s="605"/>
      <c r="AM117" s="614">
        <v>0.99475415443298465</v>
      </c>
      <c r="AN117" s="998">
        <v>3.5311175600310655E-4</v>
      </c>
      <c r="AO117" s="999" t="s">
        <v>64</v>
      </c>
      <c r="AP117" s="998">
        <v>0.30784927389555727</v>
      </c>
      <c r="AQ117" s="998">
        <v>3.6348226581663459E-3</v>
      </c>
      <c r="AR117" s="998">
        <v>1.6897803285718804</v>
      </c>
      <c r="AS117" s="998">
        <v>6.5827185417003239E-3</v>
      </c>
      <c r="AT117" s="999" t="s">
        <v>64</v>
      </c>
      <c r="AU117" s="999" t="s">
        <v>64</v>
      </c>
      <c r="AV117" s="998">
        <v>1.292215969813491E-3</v>
      </c>
      <c r="AW117" s="998">
        <v>0</v>
      </c>
      <c r="AX117" s="998">
        <v>3.0042466258261058</v>
      </c>
      <c r="AY117" s="998">
        <v>4</v>
      </c>
      <c r="AZ117" s="605"/>
      <c r="BA117" s="580">
        <v>39.561000000000007</v>
      </c>
      <c r="BB117" s="576">
        <v>1.8666666666666668E-2</v>
      </c>
      <c r="BC117" s="1000" t="s">
        <v>64</v>
      </c>
      <c r="BD117" s="576">
        <v>14.639333333333335</v>
      </c>
      <c r="BE117" s="576">
        <v>0.17066666666666666</v>
      </c>
      <c r="BF117" s="576">
        <v>45.078666666666663</v>
      </c>
      <c r="BG117" s="576">
        <v>0.24433333333333332</v>
      </c>
      <c r="BH117" s="1000" t="s">
        <v>64</v>
      </c>
      <c r="BI117" s="1000" t="s">
        <v>64</v>
      </c>
      <c r="BJ117" s="576">
        <v>6.5000000000000002E-2</v>
      </c>
      <c r="BK117" s="576">
        <v>0.36833333333333335</v>
      </c>
      <c r="BL117" s="1001">
        <f>SUM(BA117:BK117)</f>
        <v>100.146</v>
      </c>
      <c r="BN117" s="9"/>
      <c r="BO117" s="9"/>
      <c r="BP117" s="9"/>
      <c r="BQ117" s="9"/>
      <c r="BR117" s="9"/>
      <c r="BS117" s="9"/>
      <c r="BT117" s="9"/>
      <c r="BU117" s="9"/>
      <c r="BV117" s="9"/>
      <c r="BW117" s="9"/>
      <c r="BX117" s="9"/>
    </row>
    <row r="118" spans="1:76" s="960" customFormat="1" ht="13.15" customHeight="1">
      <c r="A118" s="846" t="s">
        <v>872</v>
      </c>
      <c r="B118" s="41" t="s">
        <v>157</v>
      </c>
      <c r="C118" s="12" t="s">
        <v>1481</v>
      </c>
      <c r="D118" s="34" t="s">
        <v>159</v>
      </c>
      <c r="E118" s="535">
        <v>19.405619999999999</v>
      </c>
      <c r="F118" s="537">
        <v>-155.29281800000001</v>
      </c>
      <c r="G118" s="7" t="s">
        <v>874</v>
      </c>
      <c r="H118" s="7">
        <v>2001</v>
      </c>
      <c r="I118" s="861" t="s">
        <v>856</v>
      </c>
      <c r="J118" s="11" t="s">
        <v>132</v>
      </c>
      <c r="K118" s="21">
        <v>88.979310383151883</v>
      </c>
      <c r="L118" s="623" t="s">
        <v>423</v>
      </c>
      <c r="M118" s="552" t="s">
        <v>423</v>
      </c>
      <c r="N118" s="8">
        <f>100*(BA118/$BL118)</f>
        <v>40.337734447817134</v>
      </c>
      <c r="O118" s="9">
        <f>100*(BB118/$BL118)</f>
        <v>1.9937098454376436E-2</v>
      </c>
      <c r="P118" s="20" t="s">
        <v>64</v>
      </c>
      <c r="Q118" s="9">
        <f t="shared" si="43"/>
        <v>10.626473476182641</v>
      </c>
      <c r="R118" s="9">
        <f t="shared" si="43"/>
        <v>0.12061944564897745</v>
      </c>
      <c r="S118" s="9">
        <f t="shared" si="43"/>
        <v>48.146099057473656</v>
      </c>
      <c r="T118" s="9">
        <f t="shared" si="43"/>
        <v>0.2148222358459061</v>
      </c>
      <c r="U118" s="20" t="s">
        <v>64</v>
      </c>
      <c r="V118" s="20" t="s">
        <v>64</v>
      </c>
      <c r="W118" s="9">
        <f>100*(BJ118/$BL118)</f>
        <v>9.8688637349163361E-2</v>
      </c>
      <c r="X118" s="9">
        <f>100*(BK118/$BL118)</f>
        <v>0.43562560122812516</v>
      </c>
      <c r="Y118" s="9">
        <f t="shared" si="44"/>
        <v>100.31550000000003</v>
      </c>
      <c r="Z118" s="605"/>
      <c r="AA118" s="608">
        <v>0.10443366497317982</v>
      </c>
      <c r="AB118" s="600" t="s">
        <v>309</v>
      </c>
      <c r="AC118" s="600" t="s">
        <v>64</v>
      </c>
      <c r="AD118" s="600">
        <v>8.5188325187225758E-2</v>
      </c>
      <c r="AE118" s="600">
        <v>5.2178650506587848E-3</v>
      </c>
      <c r="AF118" s="600">
        <v>6.2976337073129982E-2</v>
      </c>
      <c r="AG118" s="600">
        <v>3.6018983755188539E-3</v>
      </c>
      <c r="AH118" s="600" t="s">
        <v>64</v>
      </c>
      <c r="AI118" s="600" t="s">
        <v>64</v>
      </c>
      <c r="AJ118" s="600" t="s">
        <v>309</v>
      </c>
      <c r="AK118" s="609">
        <v>2.7085390647825253E-2</v>
      </c>
      <c r="AL118" s="605"/>
      <c r="AM118" s="614">
        <v>0.99712192541419942</v>
      </c>
      <c r="AN118" s="998">
        <v>3.7076234514501366E-4</v>
      </c>
      <c r="AO118" s="999" t="s">
        <v>64</v>
      </c>
      <c r="AP118" s="998">
        <v>0.21968189144213066</v>
      </c>
      <c r="AQ118" s="998">
        <v>2.5254577726289184E-3</v>
      </c>
      <c r="AR118" s="998">
        <v>1.7742244330329129</v>
      </c>
      <c r="AS118" s="998">
        <v>5.6897090839910149E-3</v>
      </c>
      <c r="AT118" s="999" t="s">
        <v>64</v>
      </c>
      <c r="AU118" s="999" t="s">
        <v>64</v>
      </c>
      <c r="AV118" s="998">
        <v>1.928755433098854E-3</v>
      </c>
      <c r="AW118" s="998">
        <v>0</v>
      </c>
      <c r="AX118" s="998">
        <v>3.0015429345241071</v>
      </c>
      <c r="AY118" s="998">
        <v>4</v>
      </c>
      <c r="AZ118" s="605"/>
      <c r="BA118" s="580">
        <v>40.465000000000003</v>
      </c>
      <c r="BB118" s="576">
        <v>0.02</v>
      </c>
      <c r="BC118" s="1000" t="s">
        <v>64</v>
      </c>
      <c r="BD118" s="576">
        <v>10.66</v>
      </c>
      <c r="BE118" s="576">
        <v>0.121</v>
      </c>
      <c r="BF118" s="576">
        <v>48.298000000000002</v>
      </c>
      <c r="BG118" s="576">
        <v>0.2155</v>
      </c>
      <c r="BH118" s="1000" t="s">
        <v>64</v>
      </c>
      <c r="BI118" s="1000" t="s">
        <v>64</v>
      </c>
      <c r="BJ118" s="576">
        <v>9.9000000000000005E-2</v>
      </c>
      <c r="BK118" s="576">
        <v>0.437</v>
      </c>
      <c r="BL118" s="1001">
        <f>SUM(BA118:BK118)</f>
        <v>100.31550000000003</v>
      </c>
      <c r="BN118" s="9"/>
      <c r="BO118" s="9"/>
      <c r="BP118" s="9"/>
      <c r="BQ118" s="9"/>
      <c r="BR118" s="9"/>
      <c r="BS118" s="9"/>
      <c r="BT118" s="9"/>
      <c r="BU118" s="9"/>
      <c r="BV118" s="9"/>
      <c r="BW118" s="9"/>
      <c r="BX118" s="9"/>
    </row>
    <row r="119" spans="1:76" s="960" customFormat="1" ht="13.15" customHeight="1">
      <c r="A119" s="846"/>
      <c r="B119"/>
      <c r="C119" s="7"/>
      <c r="D119"/>
      <c r="E119" s="619"/>
      <c r="F119" s="621"/>
      <c r="G119" s="7"/>
      <c r="H119" s="7"/>
      <c r="I119" s="7"/>
      <c r="J119" s="11"/>
      <c r="K119" s="21"/>
      <c r="L119" s="9"/>
      <c r="M119" s="9"/>
      <c r="N119" s="8"/>
      <c r="O119" s="9"/>
      <c r="P119" s="7"/>
      <c r="Q119" s="9"/>
      <c r="R119" s="9"/>
      <c r="S119" s="9"/>
      <c r="T119" s="9"/>
      <c r="U119" s="7"/>
      <c r="V119" s="7"/>
      <c r="W119" s="9"/>
      <c r="X119" s="9"/>
      <c r="Y119" s="9"/>
      <c r="Z119" s="605"/>
      <c r="AA119" s="608"/>
      <c r="AB119" s="600"/>
      <c r="AC119" s="600"/>
      <c r="AD119" s="600"/>
      <c r="AE119" s="600"/>
      <c r="AF119" s="600"/>
      <c r="AG119" s="600"/>
      <c r="AH119" s="600"/>
      <c r="AI119" s="600"/>
      <c r="AJ119" s="600"/>
      <c r="AK119" s="609"/>
      <c r="AL119" s="605"/>
      <c r="AM119" s="614"/>
      <c r="AN119" s="998"/>
      <c r="AO119" s="998"/>
      <c r="AP119" s="998"/>
      <c r="AQ119" s="998"/>
      <c r="AR119" s="998"/>
      <c r="AS119" s="998"/>
      <c r="AT119" s="998"/>
      <c r="AU119" s="998"/>
      <c r="AV119" s="998"/>
      <c r="AW119" s="998"/>
      <c r="AX119" s="998"/>
      <c r="AY119" s="998"/>
      <c r="AZ119" s="605"/>
      <c r="BA119" s="580"/>
      <c r="BB119" s="576"/>
      <c r="BC119" s="577"/>
      <c r="BD119" s="576"/>
      <c r="BE119" s="576"/>
      <c r="BF119" s="576"/>
      <c r="BG119" s="576"/>
      <c r="BH119" s="577"/>
      <c r="BI119" s="577"/>
      <c r="BJ119" s="576"/>
      <c r="BK119" s="576"/>
      <c r="BL119" s="1001"/>
    </row>
    <row r="120" spans="1:76" s="959" customFormat="1" ht="13.15" customHeight="1">
      <c r="A120" s="837" t="s">
        <v>1485</v>
      </c>
      <c r="B120" s="3"/>
      <c r="C120" s="12"/>
      <c r="D120" s="3"/>
      <c r="E120" s="1003"/>
      <c r="F120" s="1004"/>
      <c r="G120" s="992"/>
      <c r="H120" s="992"/>
      <c r="I120" s="992"/>
      <c r="J120" s="62"/>
      <c r="K120" s="992"/>
      <c r="L120" s="993"/>
      <c r="M120" s="993"/>
      <c r="N120" s="22"/>
      <c r="O120" s="993"/>
      <c r="P120" s="992"/>
      <c r="Q120" s="993"/>
      <c r="R120" s="993"/>
      <c r="S120" s="993"/>
      <c r="T120" s="993"/>
      <c r="U120" s="992"/>
      <c r="V120" s="992"/>
      <c r="W120" s="993"/>
      <c r="X120" s="993"/>
      <c r="Y120" s="993"/>
      <c r="Z120" s="605"/>
      <c r="AA120" s="610"/>
      <c r="AB120" s="994"/>
      <c r="AC120" s="994"/>
      <c r="AD120" s="994"/>
      <c r="AE120" s="994"/>
      <c r="AF120" s="994"/>
      <c r="AG120" s="994"/>
      <c r="AH120" s="994"/>
      <c r="AI120" s="994"/>
      <c r="AJ120" s="994"/>
      <c r="AK120" s="611"/>
      <c r="AL120" s="605"/>
      <c r="AM120" s="614"/>
      <c r="AN120" s="998"/>
      <c r="AO120" s="998"/>
      <c r="AP120" s="998"/>
      <c r="AQ120" s="998"/>
      <c r="AR120" s="998"/>
      <c r="AS120" s="998"/>
      <c r="AT120" s="998"/>
      <c r="AU120" s="998"/>
      <c r="AV120" s="998"/>
      <c r="AW120" s="998"/>
      <c r="AX120" s="998"/>
      <c r="AY120" s="998"/>
      <c r="AZ120" s="605"/>
      <c r="BA120" s="607"/>
      <c r="BB120" s="996"/>
      <c r="BC120" s="957"/>
      <c r="BD120" s="996"/>
      <c r="BE120" s="996"/>
      <c r="BF120" s="996"/>
      <c r="BG120" s="996"/>
      <c r="BH120" s="957"/>
      <c r="BI120" s="957"/>
      <c r="BJ120" s="996"/>
      <c r="BK120" s="996"/>
      <c r="BL120" s="997"/>
    </row>
    <row r="121" spans="1:76" ht="13.15" customHeight="1">
      <c r="A121" s="846" t="s">
        <v>125</v>
      </c>
      <c r="B121" s="41" t="s">
        <v>678</v>
      </c>
      <c r="C121" s="12" t="s">
        <v>1486</v>
      </c>
      <c r="D121" s="34" t="s">
        <v>160</v>
      </c>
      <c r="E121" s="535">
        <v>19.389810000000001</v>
      </c>
      <c r="F121" s="537">
        <v>-155.29229000000001</v>
      </c>
      <c r="G121" s="7" t="s">
        <v>873</v>
      </c>
      <c r="H121" s="7">
        <v>2001</v>
      </c>
      <c r="I121" s="861" t="s">
        <v>856</v>
      </c>
      <c r="J121" s="11" t="s">
        <v>132</v>
      </c>
      <c r="K121" s="21">
        <v>89.55073274641866</v>
      </c>
      <c r="L121" s="623" t="s">
        <v>423</v>
      </c>
      <c r="M121" s="552" t="s">
        <v>423</v>
      </c>
      <c r="N121" s="8">
        <f>100*(BA121/$BL121)</f>
        <v>40.204790049991288</v>
      </c>
      <c r="O121" s="9">
        <f>100*(BB121/$BL121)</f>
        <v>9.716805382440059E-3</v>
      </c>
      <c r="P121" s="20" t="s">
        <v>64</v>
      </c>
      <c r="Q121" s="9">
        <f>100*(BD121/$BL121)</f>
        <v>10.125916395266243</v>
      </c>
      <c r="R121" s="9">
        <f>100*(BE121/$BL121)</f>
        <v>0.14039108466353054</v>
      </c>
      <c r="S121" s="9">
        <f>100*(BF121/$BL121)</f>
        <v>48.695937705225646</v>
      </c>
      <c r="T121" s="9">
        <f>100*(BG121/$BL121)</f>
        <v>0.23487864045139589</v>
      </c>
      <c r="U121" s="20" t="s">
        <v>64</v>
      </c>
      <c r="V121" s="20" t="s">
        <v>64</v>
      </c>
      <c r="W121" s="9">
        <f>100*(BJ121/$BL121)</f>
        <v>0.10018361411550268</v>
      </c>
      <c r="X121" s="9">
        <f>100*(BK121/$BL121)</f>
        <v>0.48818570490397123</v>
      </c>
      <c r="Y121" s="9">
        <f>BL121</f>
        <v>99.48399999999998</v>
      </c>
      <c r="Z121" s="605"/>
      <c r="AA121" s="608">
        <v>0.1040894743315223</v>
      </c>
      <c r="AB121" s="600" t="s">
        <v>309</v>
      </c>
      <c r="AC121" s="600" t="s">
        <v>64</v>
      </c>
      <c r="AD121" s="600">
        <v>8.117555279575947E-2</v>
      </c>
      <c r="AE121" s="600">
        <v>6.0731644897600691E-3</v>
      </c>
      <c r="AF121" s="600">
        <v>6.3695540179810092E-2</v>
      </c>
      <c r="AG121" s="600">
        <v>3.9381816791666281E-3</v>
      </c>
      <c r="AH121" s="600" t="s">
        <v>64</v>
      </c>
      <c r="AI121" s="600" t="s">
        <v>64</v>
      </c>
      <c r="AJ121" s="600" t="s">
        <v>309</v>
      </c>
      <c r="AK121" s="609">
        <v>3.0353359602214094E-2</v>
      </c>
      <c r="AL121" s="605"/>
      <c r="AM121" s="614">
        <v>0.9928551231675965</v>
      </c>
      <c r="AN121" s="998">
        <v>1.8052131586187653E-4</v>
      </c>
      <c r="AO121" s="999" t="s">
        <v>64</v>
      </c>
      <c r="AP121" s="998">
        <v>0.20912731093851286</v>
      </c>
      <c r="AQ121" s="998">
        <v>2.9365245207329293E-3</v>
      </c>
      <c r="AR121" s="998">
        <v>1.7927160348407176</v>
      </c>
      <c r="AS121" s="998">
        <v>6.2147787581790957E-3</v>
      </c>
      <c r="AT121" s="999" t="s">
        <v>64</v>
      </c>
      <c r="AU121" s="999" t="s">
        <v>64</v>
      </c>
      <c r="AV121" s="998">
        <v>1.9560413166269768E-3</v>
      </c>
      <c r="AW121" s="998">
        <v>0</v>
      </c>
      <c r="AX121" s="998">
        <v>3.0059863348582283</v>
      </c>
      <c r="AY121" s="998">
        <v>4</v>
      </c>
      <c r="AZ121" s="605"/>
      <c r="BA121" s="580">
        <v>39.99733333333333</v>
      </c>
      <c r="BB121" s="576">
        <v>9.6666666666666654E-3</v>
      </c>
      <c r="BC121" s="1000" t="s">
        <v>64</v>
      </c>
      <c r="BD121" s="576">
        <v>10.073666666666668</v>
      </c>
      <c r="BE121" s="576">
        <v>0.13966666666666669</v>
      </c>
      <c r="BF121" s="576">
        <v>48.44466666666667</v>
      </c>
      <c r="BG121" s="576">
        <v>0.23366666666666666</v>
      </c>
      <c r="BH121" s="1000" t="s">
        <v>64</v>
      </c>
      <c r="BI121" s="1000" t="s">
        <v>64</v>
      </c>
      <c r="BJ121" s="576">
        <v>9.9666666666666667E-2</v>
      </c>
      <c r="BK121" s="576">
        <v>0.48566666666666664</v>
      </c>
      <c r="BL121" s="1001">
        <f>SUM(BA121:BK121)</f>
        <v>99.48399999999998</v>
      </c>
      <c r="BN121" s="9"/>
      <c r="BO121" s="9"/>
      <c r="BP121" s="9"/>
      <c r="BQ121" s="9"/>
      <c r="BR121" s="9"/>
      <c r="BS121" s="9"/>
      <c r="BT121" s="9"/>
      <c r="BU121" s="9"/>
      <c r="BV121" s="9"/>
      <c r="BW121" s="9"/>
      <c r="BX121" s="9"/>
    </row>
    <row r="122" spans="1:76" ht="13.15" customHeight="1">
      <c r="A122" s="846"/>
      <c r="B122" s="3"/>
      <c r="C122" s="12"/>
      <c r="D122"/>
      <c r="E122" s="535"/>
      <c r="F122" s="537"/>
      <c r="G122" s="7"/>
      <c r="H122" s="7"/>
      <c r="I122" s="7"/>
      <c r="J122" s="11"/>
      <c r="K122" s="21"/>
      <c r="L122" s="9"/>
      <c r="M122" s="9"/>
      <c r="N122" s="8"/>
      <c r="O122" s="9"/>
      <c r="P122" s="7"/>
      <c r="Q122" s="9"/>
      <c r="R122" s="9"/>
      <c r="S122" s="9"/>
      <c r="T122" s="9"/>
      <c r="U122" s="7"/>
      <c r="V122" s="7"/>
      <c r="W122" s="9"/>
      <c r="X122" s="9"/>
      <c r="Y122" s="9"/>
      <c r="Z122" s="605"/>
      <c r="AL122" s="605"/>
      <c r="AM122" s="614"/>
      <c r="AN122" s="998"/>
      <c r="AO122" s="998"/>
      <c r="AP122" s="998"/>
      <c r="AQ122" s="998"/>
      <c r="AR122" s="998"/>
      <c r="AS122" s="998"/>
      <c r="AT122" s="998"/>
      <c r="AU122" s="998"/>
      <c r="AV122" s="998"/>
      <c r="AW122" s="998"/>
      <c r="AX122" s="998"/>
      <c r="AY122" s="998"/>
      <c r="AZ122" s="605"/>
      <c r="BA122" s="580"/>
      <c r="BB122" s="576"/>
      <c r="BC122" s="577"/>
      <c r="BD122" s="576"/>
      <c r="BE122" s="576"/>
      <c r="BF122" s="576"/>
      <c r="BG122" s="576"/>
      <c r="BH122" s="577"/>
      <c r="BI122" s="577"/>
      <c r="BJ122" s="576"/>
      <c r="BK122" s="576"/>
      <c r="BL122" s="1001"/>
      <c r="BN122"/>
      <c r="BO122"/>
      <c r="BP122"/>
      <c r="BQ122"/>
      <c r="BR122"/>
      <c r="BS122"/>
      <c r="BT122"/>
      <c r="BU122"/>
      <c r="BV122"/>
      <c r="BW122"/>
      <c r="BX122"/>
    </row>
    <row r="123" spans="1:76" s="959" customFormat="1" ht="13.15" customHeight="1">
      <c r="A123" s="837" t="s">
        <v>1487</v>
      </c>
      <c r="C123" s="992"/>
      <c r="E123" s="1003"/>
      <c r="F123" s="1004"/>
      <c r="G123" s="992"/>
      <c r="H123" s="992"/>
      <c r="I123" s="992"/>
      <c r="J123" s="62"/>
      <c r="K123" s="992"/>
      <c r="L123" s="993"/>
      <c r="M123" s="993"/>
      <c r="N123" s="22"/>
      <c r="O123" s="993"/>
      <c r="P123" s="992"/>
      <c r="Q123" s="993"/>
      <c r="R123" s="993"/>
      <c r="S123" s="993"/>
      <c r="T123" s="993"/>
      <c r="U123" s="992"/>
      <c r="V123" s="992"/>
      <c r="W123" s="993"/>
      <c r="X123" s="993"/>
      <c r="Y123" s="993"/>
      <c r="Z123" s="605"/>
      <c r="AA123" s="610"/>
      <c r="AB123" s="994"/>
      <c r="AC123" s="994"/>
      <c r="AD123" s="994"/>
      <c r="AE123" s="994"/>
      <c r="AF123" s="994"/>
      <c r="AG123" s="994"/>
      <c r="AH123" s="994"/>
      <c r="AI123" s="994"/>
      <c r="AJ123" s="994"/>
      <c r="AK123" s="611"/>
      <c r="AL123" s="605"/>
      <c r="AM123" s="614"/>
      <c r="AN123" s="998"/>
      <c r="AO123" s="998"/>
      <c r="AP123" s="998"/>
      <c r="AQ123" s="998"/>
      <c r="AR123" s="998"/>
      <c r="AS123" s="998"/>
      <c r="AT123" s="998"/>
      <c r="AU123" s="998"/>
      <c r="AV123" s="998"/>
      <c r="AW123" s="998"/>
      <c r="AX123" s="998"/>
      <c r="AY123" s="998"/>
      <c r="AZ123" s="605"/>
      <c r="BA123" s="607"/>
      <c r="BB123" s="996"/>
      <c r="BC123" s="957"/>
      <c r="BD123" s="996"/>
      <c r="BE123" s="996"/>
      <c r="BF123" s="996"/>
      <c r="BG123" s="996"/>
      <c r="BH123" s="957"/>
      <c r="BI123" s="957"/>
      <c r="BJ123" s="996"/>
      <c r="BK123" s="996"/>
      <c r="BL123" s="997"/>
    </row>
    <row r="124" spans="1:76" s="960" customFormat="1" ht="13.15" customHeight="1">
      <c r="A124" s="846" t="s">
        <v>920</v>
      </c>
      <c r="B124" s="41" t="s">
        <v>679</v>
      </c>
      <c r="C124" s="12" t="s">
        <v>1488</v>
      </c>
      <c r="D124" s="34" t="s">
        <v>160</v>
      </c>
      <c r="E124" s="535">
        <v>19.389810000000001</v>
      </c>
      <c r="F124" s="537">
        <v>-155.29229000000001</v>
      </c>
      <c r="G124" s="7" t="s">
        <v>65</v>
      </c>
      <c r="H124" s="7">
        <v>2001</v>
      </c>
      <c r="I124" s="861" t="s">
        <v>856</v>
      </c>
      <c r="J124" s="11" t="s">
        <v>132</v>
      </c>
      <c r="K124" s="21">
        <v>89.6</v>
      </c>
      <c r="L124" s="623" t="s">
        <v>423</v>
      </c>
      <c r="M124" s="552" t="s">
        <v>423</v>
      </c>
      <c r="N124" s="8">
        <f>100*(BA124/$BL124)</f>
        <v>40.222589863137316</v>
      </c>
      <c r="O124" s="9">
        <f>100*(BB124/$BL124)</f>
        <v>0</v>
      </c>
      <c r="P124" s="20" t="s">
        <v>64</v>
      </c>
      <c r="Q124" s="9">
        <f>100*(BD124/$BL124)</f>
        <v>10.056650122825488</v>
      </c>
      <c r="R124" s="9">
        <f>100*(BE124/$BL124)</f>
        <v>0.12332681606256581</v>
      </c>
      <c r="S124" s="9">
        <f>100*(BF124/$BL124)</f>
        <v>48.714092344713492</v>
      </c>
      <c r="T124" s="9">
        <f>100*(BG124/$BL124)</f>
        <v>0.2296084624254274</v>
      </c>
      <c r="U124" s="20" t="s">
        <v>64</v>
      </c>
      <c r="V124" s="20" t="s">
        <v>64</v>
      </c>
      <c r="W124" s="9">
        <f>100*(BJ124/$BL124)</f>
        <v>0.10227101819822529</v>
      </c>
      <c r="X124" s="9">
        <f>100*(BK124/$BL124)</f>
        <v>0.5514613726374894</v>
      </c>
      <c r="Y124" s="9">
        <f>BL124</f>
        <v>99.734999999999999</v>
      </c>
      <c r="Z124" s="605"/>
      <c r="AA124" s="608">
        <v>0.10413555772584585</v>
      </c>
      <c r="AB124" s="600" t="s">
        <v>309</v>
      </c>
      <c r="AC124" s="600" t="s">
        <v>64</v>
      </c>
      <c r="AD124" s="600">
        <v>8.0620271897123119E-2</v>
      </c>
      <c r="AE124" s="600">
        <v>5.3349829281638872E-3</v>
      </c>
      <c r="AF124" s="600">
        <v>6.3719286915645601E-2</v>
      </c>
      <c r="AG124" s="600">
        <v>3.8498172433544644E-3</v>
      </c>
      <c r="AH124" s="600" t="s">
        <v>64</v>
      </c>
      <c r="AI124" s="600" t="s">
        <v>64</v>
      </c>
      <c r="AJ124" s="600" t="s">
        <v>309</v>
      </c>
      <c r="AK124" s="609">
        <v>3.4287577825919541E-2</v>
      </c>
      <c r="AL124" s="605"/>
      <c r="AM124" s="614">
        <v>0.99346341198438404</v>
      </c>
      <c r="AN124" s="998">
        <v>0</v>
      </c>
      <c r="AO124" s="999" t="s">
        <v>64</v>
      </c>
      <c r="AP124" s="998">
        <v>0.2077320566464331</v>
      </c>
      <c r="AQ124" s="998">
        <v>2.5800337417029536E-3</v>
      </c>
      <c r="AR124" s="998">
        <v>1.7936890171297402</v>
      </c>
      <c r="AS124" s="998">
        <v>6.0763642876580093E-3</v>
      </c>
      <c r="AT124" s="999" t="s">
        <v>64</v>
      </c>
      <c r="AU124" s="999" t="s">
        <v>64</v>
      </c>
      <c r="AV124" s="998">
        <v>1.9971361504649648E-3</v>
      </c>
      <c r="AW124" s="998">
        <v>0</v>
      </c>
      <c r="AX124" s="998">
        <v>3.0055380199403827</v>
      </c>
      <c r="AY124" s="998">
        <v>4</v>
      </c>
      <c r="AZ124" s="605"/>
      <c r="BA124" s="580">
        <v>40.116</v>
      </c>
      <c r="BB124" s="576">
        <v>0</v>
      </c>
      <c r="BC124" s="1000" t="s">
        <v>64</v>
      </c>
      <c r="BD124" s="576">
        <v>10.029999999999999</v>
      </c>
      <c r="BE124" s="576">
        <v>0.123</v>
      </c>
      <c r="BF124" s="576">
        <v>48.585000000000001</v>
      </c>
      <c r="BG124" s="576">
        <v>0.22900000000000001</v>
      </c>
      <c r="BH124" s="1000" t="s">
        <v>64</v>
      </c>
      <c r="BI124" s="1000" t="s">
        <v>64</v>
      </c>
      <c r="BJ124" s="576">
        <v>0.10199999999999999</v>
      </c>
      <c r="BK124" s="576">
        <v>0.55000000000000004</v>
      </c>
      <c r="BL124" s="1001">
        <f>SUM(BA124:BK124)</f>
        <v>99.734999999999999</v>
      </c>
      <c r="BN124" s="9"/>
      <c r="BO124" s="9"/>
      <c r="BP124" s="9"/>
      <c r="BQ124" s="9"/>
      <c r="BR124" s="9"/>
      <c r="BS124" s="9"/>
      <c r="BT124" s="9"/>
      <c r="BU124" s="9"/>
      <c r="BV124" s="9"/>
      <c r="BW124" s="9"/>
      <c r="BX124" s="9"/>
    </row>
    <row r="125" spans="1:76" ht="13.15" customHeight="1">
      <c r="A125" s="846" t="s">
        <v>222</v>
      </c>
      <c r="B125" s="41" t="s">
        <v>679</v>
      </c>
      <c r="C125" s="12" t="s">
        <v>1488</v>
      </c>
      <c r="D125" s="34" t="s">
        <v>160</v>
      </c>
      <c r="E125" s="535">
        <v>19.389810000000001</v>
      </c>
      <c r="F125" s="537">
        <v>-155.29229000000001</v>
      </c>
      <c r="G125" s="34" t="s">
        <v>65</v>
      </c>
      <c r="H125" s="7">
        <v>2021</v>
      </c>
      <c r="I125" s="861" t="s">
        <v>856</v>
      </c>
      <c r="J125" s="624" t="s">
        <v>132</v>
      </c>
      <c r="K125" s="21">
        <f>100*(S125/40.3)/((S125/40.3)+(Q125/71.85))</f>
        <v>85.490145989279696</v>
      </c>
      <c r="L125" s="623" t="s">
        <v>423</v>
      </c>
      <c r="M125" s="552" t="s">
        <v>423</v>
      </c>
      <c r="N125" s="8">
        <v>41.059505627584635</v>
      </c>
      <c r="O125" s="9" t="s">
        <v>64</v>
      </c>
      <c r="P125" s="9">
        <v>3.6489974245238123E-2</v>
      </c>
      <c r="Q125" s="9">
        <v>13.499567273586221</v>
      </c>
      <c r="R125" s="9">
        <v>0.18948540989364368</v>
      </c>
      <c r="S125" s="9">
        <v>44.611942833005862</v>
      </c>
      <c r="T125" s="9">
        <v>0.24329708426680829</v>
      </c>
      <c r="U125" s="9">
        <v>-8.4324499680923041E-3</v>
      </c>
      <c r="V125" s="9">
        <v>1.069809734766922E-2</v>
      </c>
      <c r="W125" s="9" t="s">
        <v>64</v>
      </c>
      <c r="X125" s="9">
        <v>0.35744615003802149</v>
      </c>
      <c r="Y125" s="9">
        <v>98.073513999999989</v>
      </c>
      <c r="Z125" s="605"/>
      <c r="AA125" s="608">
        <v>0.10698136310278432</v>
      </c>
      <c r="AB125" s="600" t="s">
        <v>64</v>
      </c>
      <c r="AC125" s="600">
        <v>8.7868222882275856E-3</v>
      </c>
      <c r="AD125" s="600">
        <v>0.10673797353177333</v>
      </c>
      <c r="AE125" s="600">
        <v>7.7419948774344934E-3</v>
      </c>
      <c r="AF125" s="600">
        <v>5.9401694121003962E-2</v>
      </c>
      <c r="AG125" s="600">
        <v>4.1030350182007357E-3</v>
      </c>
      <c r="AH125" s="600">
        <v>7.2126117557080724E-3</v>
      </c>
      <c r="AI125" s="600">
        <v>5.4720767933328059E-3</v>
      </c>
      <c r="AJ125" s="600" t="s">
        <v>64</v>
      </c>
      <c r="AK125" s="609">
        <v>2.1134075110228027E-2</v>
      </c>
      <c r="AL125" s="605"/>
      <c r="AM125" s="614">
        <v>1.0239319750621898</v>
      </c>
      <c r="AN125" s="998">
        <v>0</v>
      </c>
      <c r="AO125" s="998">
        <v>1.0724713344164353E-3</v>
      </c>
      <c r="AP125" s="998">
        <v>0.28154354197626386</v>
      </c>
      <c r="AQ125" s="998">
        <v>4.0023879695918587E-3</v>
      </c>
      <c r="AR125" s="998">
        <v>1.6585142737072516</v>
      </c>
      <c r="AS125" s="998">
        <v>6.5008232647147477E-3</v>
      </c>
      <c r="AT125" s="998">
        <v>-4.0771381804560714E-4</v>
      </c>
      <c r="AU125" s="998">
        <v>3.4034573039141215E-4</v>
      </c>
      <c r="AV125" s="29" t="s">
        <v>64</v>
      </c>
      <c r="AW125" s="998">
        <v>0</v>
      </c>
      <c r="AX125" s="998">
        <v>2.9754981052267739</v>
      </c>
      <c r="AY125" s="998">
        <v>4</v>
      </c>
      <c r="AZ125" s="605"/>
      <c r="BA125" s="580">
        <v>40.268500000000003</v>
      </c>
      <c r="BB125" s="576" t="s">
        <v>64</v>
      </c>
      <c r="BC125" s="576">
        <v>3.5786999999999999E-2</v>
      </c>
      <c r="BD125" s="576">
        <v>13.2395</v>
      </c>
      <c r="BE125" s="576">
        <v>0.185835</v>
      </c>
      <c r="BF125" s="576">
        <v>43.752499999999998</v>
      </c>
      <c r="BG125" s="576">
        <v>0.23860999999999999</v>
      </c>
      <c r="BH125" s="576">
        <v>-8.2699999999999996E-3</v>
      </c>
      <c r="BI125" s="576">
        <v>1.0492E-2</v>
      </c>
      <c r="BJ125" s="576" t="s">
        <v>64</v>
      </c>
      <c r="BK125" s="576">
        <v>0.35055999999999998</v>
      </c>
      <c r="BL125" s="1001">
        <v>98.073599999999999</v>
      </c>
      <c r="BN125" s="9"/>
      <c r="BO125" s="9"/>
      <c r="BP125" s="9"/>
      <c r="BQ125" s="9"/>
      <c r="BR125" s="9"/>
      <c r="BS125" s="9"/>
      <c r="BT125" s="9"/>
      <c r="BU125" s="9"/>
      <c r="BV125" s="9"/>
      <c r="BW125" s="9"/>
      <c r="BX125" s="9"/>
    </row>
    <row r="126" spans="1:76" ht="13.15" customHeight="1">
      <c r="A126" s="846"/>
      <c r="B126" s="41"/>
      <c r="C126" s="12"/>
      <c r="E126" s="535"/>
      <c r="F126" s="537"/>
      <c r="H126" s="7"/>
      <c r="I126" s="861"/>
      <c r="K126" s="21"/>
      <c r="M126" s="552"/>
      <c r="N126" s="8"/>
      <c r="O126" s="9"/>
      <c r="P126" s="9"/>
      <c r="Q126" s="9"/>
      <c r="R126" s="9"/>
      <c r="S126" s="9"/>
      <c r="T126" s="9"/>
      <c r="U126" s="9"/>
      <c r="V126" s="9"/>
      <c r="W126" s="9"/>
      <c r="X126" s="9"/>
      <c r="Y126" s="9"/>
      <c r="Z126" s="605"/>
      <c r="AL126" s="605"/>
      <c r="AM126" s="614"/>
      <c r="AN126" s="998"/>
      <c r="AO126" s="998"/>
      <c r="AP126" s="998"/>
      <c r="AQ126" s="998"/>
      <c r="AR126" s="998"/>
      <c r="AS126" s="998"/>
      <c r="AT126" s="998"/>
      <c r="AU126" s="998"/>
      <c r="AV126" s="29"/>
      <c r="AW126" s="998"/>
      <c r="AX126" s="998"/>
      <c r="AY126" s="998"/>
      <c r="AZ126" s="605"/>
      <c r="BA126" s="580"/>
      <c r="BB126" s="576"/>
      <c r="BC126" s="576"/>
      <c r="BD126" s="576"/>
      <c r="BE126" s="576"/>
      <c r="BF126" s="576"/>
      <c r="BG126" s="576"/>
      <c r="BH126" s="576"/>
      <c r="BI126" s="576"/>
      <c r="BJ126" s="576"/>
      <c r="BK126" s="576"/>
      <c r="BL126" s="1001"/>
      <c r="BN126" s="9"/>
      <c r="BO126" s="9"/>
      <c r="BP126" s="9"/>
      <c r="BQ126" s="9"/>
      <c r="BR126" s="9"/>
      <c r="BS126" s="9"/>
      <c r="BT126" s="9"/>
      <c r="BU126" s="9"/>
      <c r="BV126" s="9"/>
      <c r="BW126" s="9"/>
      <c r="BX126" s="9"/>
    </row>
    <row r="127" spans="1:76" ht="13.15" customHeight="1">
      <c r="A127" s="837" t="s">
        <v>1489</v>
      </c>
      <c r="B127" s="41"/>
      <c r="C127" s="12"/>
      <c r="E127" s="535"/>
      <c r="F127" s="537"/>
      <c r="H127" s="7"/>
      <c r="I127" s="861"/>
      <c r="K127" s="21"/>
      <c r="M127" s="552"/>
      <c r="N127" s="8"/>
      <c r="O127" s="9"/>
      <c r="P127" s="9"/>
      <c r="Q127" s="9"/>
      <c r="R127" s="9"/>
      <c r="S127" s="9"/>
      <c r="T127" s="9"/>
      <c r="U127" s="9"/>
      <c r="V127" s="9"/>
      <c r="W127" s="9"/>
      <c r="X127" s="9"/>
      <c r="Y127" s="9"/>
      <c r="Z127" s="605"/>
      <c r="AL127" s="605"/>
      <c r="AM127" s="614"/>
      <c r="AN127" s="998"/>
      <c r="AO127" s="998"/>
      <c r="AP127" s="998"/>
      <c r="AQ127" s="998"/>
      <c r="AR127" s="998"/>
      <c r="AS127" s="998"/>
      <c r="AT127" s="998"/>
      <c r="AU127" s="998"/>
      <c r="AV127" s="29"/>
      <c r="AW127" s="998"/>
      <c r="AX127" s="998"/>
      <c r="AY127" s="998"/>
      <c r="AZ127" s="605"/>
      <c r="BA127" s="580"/>
      <c r="BB127" s="576"/>
      <c r="BC127" s="576"/>
      <c r="BD127" s="576"/>
      <c r="BE127" s="576"/>
      <c r="BF127" s="576"/>
      <c r="BG127" s="576"/>
      <c r="BH127" s="576"/>
      <c r="BI127" s="576"/>
      <c r="BJ127" s="576"/>
      <c r="BK127" s="576"/>
      <c r="BL127" s="1001"/>
      <c r="BN127" s="9"/>
      <c r="BO127" s="9"/>
      <c r="BP127" s="9"/>
      <c r="BQ127" s="9"/>
      <c r="BR127" s="9"/>
      <c r="BS127" s="9"/>
      <c r="BT127" s="9"/>
      <c r="BU127" s="9"/>
      <c r="BV127" s="9"/>
      <c r="BW127" s="9"/>
      <c r="BX127" s="9"/>
    </row>
    <row r="128" spans="1:76" ht="13.15" customHeight="1">
      <c r="A128" s="846" t="s">
        <v>197</v>
      </c>
      <c r="B128" s="41" t="s">
        <v>156</v>
      </c>
      <c r="C128" s="12" t="s">
        <v>1491</v>
      </c>
      <c r="D128" s="34">
        <v>1500</v>
      </c>
      <c r="E128" s="535">
        <v>19.42567</v>
      </c>
      <c r="F128" s="537">
        <v>-155.25163000000001</v>
      </c>
      <c r="G128" s="34" t="s">
        <v>65</v>
      </c>
      <c r="H128" s="7">
        <v>2021</v>
      </c>
      <c r="I128" s="861" t="s">
        <v>856</v>
      </c>
      <c r="J128" s="624" t="s">
        <v>132</v>
      </c>
      <c r="K128" s="21">
        <f>100*(S128/40.3)/((S128/40.3)+(Q128/71.85))</f>
        <v>83.224675156880807</v>
      </c>
      <c r="L128" s="623" t="s">
        <v>423</v>
      </c>
      <c r="M128" s="552" t="s">
        <v>423</v>
      </c>
      <c r="N128" s="8">
        <v>40.470295869409647</v>
      </c>
      <c r="O128" s="9" t="s">
        <v>64</v>
      </c>
      <c r="P128" s="9">
        <v>1.2288169351124187E-2</v>
      </c>
      <c r="Q128" s="9">
        <v>15.550099468119411</v>
      </c>
      <c r="R128" s="9">
        <v>0.224647947144171</v>
      </c>
      <c r="S128" s="9">
        <v>43.270569884120874</v>
      </c>
      <c r="T128" s="9">
        <v>0.26764182775556034</v>
      </c>
      <c r="U128" s="9">
        <v>-6.6965500551085487E-3</v>
      </c>
      <c r="V128" s="9">
        <v>-7.6807399874502594E-3</v>
      </c>
      <c r="W128" s="9" t="s">
        <v>64</v>
      </c>
      <c r="X128" s="9">
        <v>0.21883412414178133</v>
      </c>
      <c r="Y128" s="9">
        <v>98.558211999999997</v>
      </c>
      <c r="Z128" s="605"/>
      <c r="AA128" s="608">
        <v>0.10585046354939961</v>
      </c>
      <c r="AB128" s="600" t="s">
        <v>64</v>
      </c>
      <c r="AC128" s="600">
        <v>8.6076291552448225E-3</v>
      </c>
      <c r="AD128" s="600">
        <v>0.11360545019120276</v>
      </c>
      <c r="AE128" s="600">
        <v>7.8148955316884195E-3</v>
      </c>
      <c r="AF128" s="600">
        <v>5.8811627763701732E-2</v>
      </c>
      <c r="AG128" s="600">
        <v>4.2044390005776481E-3</v>
      </c>
      <c r="AH128" s="600">
        <v>7.4130809110051635E-3</v>
      </c>
      <c r="AI128" s="600">
        <v>5.3219079299044103E-3</v>
      </c>
      <c r="AJ128" s="600" t="s">
        <v>64</v>
      </c>
      <c r="AK128" s="609">
        <v>1.945614807602232E-2</v>
      </c>
      <c r="AL128" s="605"/>
      <c r="AM128" s="614">
        <v>1.0185102641278159</v>
      </c>
      <c r="AN128" s="998">
        <v>0</v>
      </c>
      <c r="AO128" s="998">
        <v>3.6447770304046334E-4</v>
      </c>
      <c r="AP128" s="998">
        <v>0.32728834138184748</v>
      </c>
      <c r="AQ128" s="998">
        <v>4.7886986121844959E-3</v>
      </c>
      <c r="AR128" s="998">
        <v>1.6234253859248406</v>
      </c>
      <c r="AS128" s="998">
        <v>7.2170062819399633E-3</v>
      </c>
      <c r="AT128" s="998">
        <v>-3.2675663748557788E-4</v>
      </c>
      <c r="AU128" s="998">
        <v>-2.4659738452321214E-4</v>
      </c>
      <c r="AV128" s="29" t="s">
        <v>64</v>
      </c>
      <c r="AW128" s="998">
        <v>0</v>
      </c>
      <c r="AX128" s="998">
        <v>2.9810208200096606</v>
      </c>
      <c r="AY128" s="998">
        <v>4</v>
      </c>
      <c r="AZ128" s="605"/>
      <c r="BA128" s="580">
        <v>39.886800000000001</v>
      </c>
      <c r="BB128" s="576" t="s">
        <v>64</v>
      </c>
      <c r="BC128" s="576">
        <v>1.2111E-2</v>
      </c>
      <c r="BD128" s="576">
        <v>15.325900000000001</v>
      </c>
      <c r="BE128" s="576">
        <v>0.22140899999999999</v>
      </c>
      <c r="BF128" s="576">
        <v>42.646700000000003</v>
      </c>
      <c r="BG128" s="576">
        <v>0.26378299999999999</v>
      </c>
      <c r="BH128" s="576">
        <v>-6.6E-3</v>
      </c>
      <c r="BI128" s="576">
        <v>-7.5700000000000003E-3</v>
      </c>
      <c r="BJ128" s="576" t="s">
        <v>64</v>
      </c>
      <c r="BK128" s="576">
        <v>0.21567900000000001</v>
      </c>
      <c r="BL128" s="1001">
        <v>98.558199999999999</v>
      </c>
      <c r="BN128" s="9"/>
      <c r="BO128" s="9"/>
      <c r="BP128" s="9"/>
      <c r="BQ128" s="9"/>
      <c r="BR128" s="9"/>
      <c r="BS128" s="9"/>
      <c r="BT128" s="9"/>
      <c r="BU128" s="9"/>
      <c r="BV128" s="9"/>
      <c r="BW128" s="9"/>
      <c r="BX128" s="9"/>
    </row>
    <row r="129" spans="1:76" ht="13.15" customHeight="1" thickBot="1">
      <c r="A129" s="887" t="s">
        <v>209</v>
      </c>
      <c r="B129" s="888" t="s">
        <v>156</v>
      </c>
      <c r="C129" s="1008" t="s">
        <v>1491</v>
      </c>
      <c r="D129" s="889">
        <v>1500</v>
      </c>
      <c r="E129" s="890">
        <v>19.42567</v>
      </c>
      <c r="F129" s="891">
        <v>-155.25163000000001</v>
      </c>
      <c r="G129" s="889" t="s">
        <v>65</v>
      </c>
      <c r="H129" s="1009">
        <v>2021</v>
      </c>
      <c r="I129" s="900" t="s">
        <v>856</v>
      </c>
      <c r="J129" s="899" t="s">
        <v>132</v>
      </c>
      <c r="K129" s="901">
        <f>100*(S129/40.3)/((S129/40.3)+(Q129/71.85))</f>
        <v>83.703989908595034</v>
      </c>
      <c r="L129" s="1010" t="s">
        <v>423</v>
      </c>
      <c r="M129" s="902" t="s">
        <v>423</v>
      </c>
      <c r="N129" s="164">
        <v>39.799583759045966</v>
      </c>
      <c r="O129" s="165" t="s">
        <v>64</v>
      </c>
      <c r="P129" s="165">
        <v>3.0519895408029893E-2</v>
      </c>
      <c r="Q129" s="165">
        <v>15.319175233667284</v>
      </c>
      <c r="R129" s="165">
        <v>0.22920649000893334</v>
      </c>
      <c r="S129" s="165">
        <v>44.134532711394996</v>
      </c>
      <c r="T129" s="165">
        <v>0.25990659909693103</v>
      </c>
      <c r="U129" s="165">
        <v>-7.4920293919197606E-4</v>
      </c>
      <c r="V129" s="165">
        <v>-1.2149236851761776E-4</v>
      </c>
      <c r="W129" s="165" t="s">
        <v>64</v>
      </c>
      <c r="X129" s="165">
        <v>0.22794600668556306</v>
      </c>
      <c r="Y129" s="165">
        <v>98.771636000000001</v>
      </c>
      <c r="Z129" s="1011"/>
      <c r="AA129" s="1012">
        <v>0.10500284383565336</v>
      </c>
      <c r="AB129" s="1013" t="s">
        <v>64</v>
      </c>
      <c r="AC129" s="1013">
        <v>8.8045015068900969E-3</v>
      </c>
      <c r="AD129" s="1013">
        <v>0.11274912971979122</v>
      </c>
      <c r="AE129" s="1013">
        <v>7.8189897556217459E-3</v>
      </c>
      <c r="AF129" s="1013">
        <v>5.924001787719705E-2</v>
      </c>
      <c r="AG129" s="1013">
        <v>4.1617544180396083E-3</v>
      </c>
      <c r="AH129" s="1013">
        <v>7.4533705202574543E-3</v>
      </c>
      <c r="AI129" s="1013">
        <v>5.5213421796516575E-3</v>
      </c>
      <c r="AJ129" s="1013" t="s">
        <v>64</v>
      </c>
      <c r="AK129" s="1014">
        <v>1.9716873686287835E-2</v>
      </c>
      <c r="AL129" s="1011"/>
      <c r="AM129" s="1015">
        <v>1.0029442595510758</v>
      </c>
      <c r="AN129" s="1016">
        <v>0</v>
      </c>
      <c r="AO129" s="1016">
        <v>9.0643372318195746E-4</v>
      </c>
      <c r="AP129" s="1016">
        <v>0.32285088720673955</v>
      </c>
      <c r="AQ129" s="1016">
        <v>4.8922787847549588E-3</v>
      </c>
      <c r="AR129" s="1016">
        <v>1.6580113031311376</v>
      </c>
      <c r="AS129" s="1016">
        <v>7.0176166291103861E-3</v>
      </c>
      <c r="AT129" s="1016">
        <v>-3.6605134562481464E-5</v>
      </c>
      <c r="AU129" s="1016">
        <v>-3.9057427727717346E-6</v>
      </c>
      <c r="AV129" s="1017" t="s">
        <v>64</v>
      </c>
      <c r="AW129" s="1016">
        <v>0</v>
      </c>
      <c r="AX129" s="1016">
        <v>2.9965822681486651</v>
      </c>
      <c r="AY129" s="1016">
        <v>4</v>
      </c>
      <c r="AZ129" s="1011"/>
      <c r="BA129" s="1018">
        <v>39.310699999999997</v>
      </c>
      <c r="BB129" s="919" t="s">
        <v>64</v>
      </c>
      <c r="BC129" s="919">
        <v>3.0145000000000002E-2</v>
      </c>
      <c r="BD129" s="919">
        <v>15.131</v>
      </c>
      <c r="BE129" s="919">
        <v>0.22639100000000001</v>
      </c>
      <c r="BF129" s="919">
        <v>43.592399999999998</v>
      </c>
      <c r="BG129" s="919">
        <v>0.256714</v>
      </c>
      <c r="BH129" s="919">
        <v>-7.3999999999999999E-4</v>
      </c>
      <c r="BI129" s="919">
        <v>-1.2E-4</v>
      </c>
      <c r="BJ129" s="919" t="s">
        <v>64</v>
      </c>
      <c r="BK129" s="919">
        <v>0.22514600000000001</v>
      </c>
      <c r="BL129" s="1019">
        <v>98.771500000000003</v>
      </c>
      <c r="BN129" s="9"/>
      <c r="BO129" s="9"/>
      <c r="BP129" s="9"/>
      <c r="BQ129" s="9"/>
      <c r="BR129" s="9"/>
      <c r="BS129" s="9"/>
      <c r="BT129" s="9"/>
      <c r="BU129" s="9"/>
      <c r="BV129" s="9"/>
      <c r="BW129" s="9"/>
      <c r="BX129" s="9"/>
    </row>
    <row r="130" spans="1:76" s="960" customFormat="1" ht="13.15" customHeight="1">
      <c r="A130"/>
      <c r="B130"/>
      <c r="C130" s="7"/>
      <c r="D130"/>
      <c r="E130" s="619"/>
      <c r="F130" s="621"/>
      <c r="G130" s="7"/>
      <c r="H130" s="7"/>
      <c r="I130" s="7"/>
      <c r="J130" s="11"/>
      <c r="K130" s="21"/>
      <c r="L130" s="9"/>
      <c r="M130" s="9"/>
      <c r="N130" s="8"/>
      <c r="O130" s="9"/>
      <c r="P130" s="7"/>
      <c r="Q130" s="9"/>
      <c r="R130" s="9"/>
      <c r="S130" s="9"/>
      <c r="T130" s="9"/>
      <c r="U130" s="7"/>
      <c r="V130" s="7"/>
      <c r="W130" s="9"/>
      <c r="X130" s="9"/>
      <c r="Y130" s="9"/>
      <c r="Z130" s="605"/>
      <c r="AA130" s="608"/>
      <c r="AB130" s="600"/>
      <c r="AC130" s="600"/>
      <c r="AD130" s="600"/>
      <c r="AE130" s="600"/>
      <c r="AF130" s="600"/>
      <c r="AG130" s="600"/>
      <c r="AH130" s="600"/>
      <c r="AI130" s="600"/>
      <c r="AJ130" s="600"/>
      <c r="AK130" s="609"/>
      <c r="AL130" s="605"/>
      <c r="AM130" s="616"/>
      <c r="AN130" s="23"/>
      <c r="AO130" s="23"/>
      <c r="AP130" s="23"/>
      <c r="AQ130" s="23"/>
      <c r="AR130" s="23"/>
      <c r="AS130" s="23"/>
      <c r="AT130" s="23"/>
      <c r="AU130" s="23"/>
      <c r="AV130" s="23"/>
      <c r="AW130" s="23"/>
      <c r="AX130" s="23"/>
      <c r="AY130" s="23"/>
      <c r="AZ130" s="605"/>
      <c r="BA130" s="580"/>
      <c r="BB130" s="576"/>
      <c r="BC130" s="577"/>
      <c r="BD130" s="576"/>
      <c r="BE130" s="576"/>
      <c r="BF130" s="576"/>
      <c r="BG130" s="576"/>
      <c r="BH130" s="577"/>
      <c r="BI130" s="577"/>
      <c r="BJ130" s="576"/>
      <c r="BK130" s="576"/>
      <c r="BL130" s="576"/>
    </row>
    <row r="131" spans="1:76" ht="13.15" customHeight="1">
      <c r="B131" s="41"/>
      <c r="C131" s="12"/>
      <c r="E131" s="535"/>
      <c r="F131" s="537"/>
      <c r="K131" s="21"/>
      <c r="M131" s="40"/>
      <c r="N131" s="8"/>
      <c r="O131" s="9"/>
      <c r="P131" s="9"/>
      <c r="Q131" s="9"/>
      <c r="R131" s="9"/>
      <c r="S131" s="9"/>
      <c r="T131" s="9"/>
      <c r="U131" s="9"/>
      <c r="V131" s="9"/>
      <c r="W131" s="9"/>
      <c r="X131" s="9"/>
      <c r="Y131" s="9"/>
      <c r="Z131" s="605"/>
      <c r="AL131" s="605"/>
      <c r="AM131" s="612"/>
      <c r="AN131" s="29"/>
      <c r="AO131" s="29"/>
      <c r="AP131" s="29"/>
      <c r="AQ131" s="29"/>
      <c r="AR131" s="29"/>
      <c r="AS131" s="29"/>
      <c r="AT131" s="29"/>
      <c r="AU131" s="29"/>
      <c r="AV131" s="29"/>
      <c r="AW131" s="29"/>
      <c r="AX131" s="29"/>
      <c r="AY131" s="29"/>
      <c r="AZ131" s="605"/>
      <c r="BA131" s="580"/>
      <c r="BB131" s="576"/>
      <c r="BC131" s="576"/>
      <c r="BD131" s="576"/>
      <c r="BE131" s="576"/>
      <c r="BF131" s="576"/>
      <c r="BG131" s="576"/>
      <c r="BH131" s="576"/>
      <c r="BI131" s="576"/>
      <c r="BJ131" s="576"/>
      <c r="BK131" s="576"/>
      <c r="BL131" s="576"/>
      <c r="BN131" s="9"/>
      <c r="BO131" s="9"/>
      <c r="BP131" s="9"/>
      <c r="BQ131" s="9"/>
      <c r="BR131" s="9"/>
      <c r="BS131" s="9"/>
      <c r="BT131" s="9"/>
      <c r="BU131" s="9"/>
      <c r="BV131" s="9"/>
      <c r="BW131" s="9"/>
      <c r="BX131" s="9"/>
    </row>
    <row r="132" spans="1:76" ht="13.15" customHeight="1">
      <c r="B132"/>
      <c r="D132"/>
      <c r="E132" s="620"/>
      <c r="F132" s="622"/>
      <c r="G132" s="7"/>
      <c r="H132" s="7"/>
      <c r="I132" s="7"/>
      <c r="J132" s="11"/>
      <c r="K132" s="7"/>
      <c r="L132" s="9"/>
      <c r="M132" s="9"/>
      <c r="N132" s="11"/>
      <c r="O132" s="7"/>
      <c r="P132" s="7"/>
      <c r="Q132" s="7"/>
      <c r="R132" s="7"/>
      <c r="S132" s="7"/>
      <c r="T132" s="7"/>
      <c r="U132" s="7"/>
      <c r="V132" s="7"/>
      <c r="W132" s="7"/>
      <c r="X132" s="7"/>
      <c r="Y132" s="7"/>
      <c r="AM132" s="616"/>
      <c r="AN132" s="23"/>
      <c r="AO132" s="23"/>
      <c r="AP132" s="23"/>
      <c r="AQ132" s="23"/>
      <c r="AR132" s="23"/>
      <c r="AS132" s="23"/>
      <c r="AT132" s="23"/>
      <c r="AU132" s="23"/>
      <c r="AV132" s="23"/>
      <c r="AW132" s="23"/>
      <c r="AX132" s="23"/>
      <c r="AY132" s="23"/>
      <c r="BA132" s="581"/>
      <c r="BB132" s="577"/>
      <c r="BC132" s="577"/>
      <c r="BD132" s="577"/>
      <c r="BE132" s="577"/>
      <c r="BF132" s="577"/>
      <c r="BG132" s="577"/>
      <c r="BH132" s="577"/>
      <c r="BI132" s="577"/>
      <c r="BJ132" s="577"/>
      <c r="BK132" s="577"/>
      <c r="BL132" s="577"/>
      <c r="BN132" s="7"/>
      <c r="BO132" s="7"/>
      <c r="BP132" s="7"/>
      <c r="BQ132" s="7"/>
      <c r="BR132" s="7"/>
      <c r="BS132" s="7"/>
      <c r="BT132" s="7"/>
      <c r="BU132" s="10"/>
      <c r="BV132" s="7"/>
      <c r="BW132" s="7"/>
      <c r="BX132" s="6"/>
    </row>
    <row r="133" spans="1:76" ht="13.15" customHeight="1">
      <c r="B133"/>
      <c r="D133"/>
      <c r="E133" s="620"/>
      <c r="F133" s="622"/>
      <c r="G133" s="7"/>
      <c r="H133" s="7"/>
      <c r="I133" s="7"/>
      <c r="J133" s="11"/>
      <c r="K133" s="7"/>
      <c r="L133" s="9"/>
      <c r="M133" s="9"/>
      <c r="N133" s="11"/>
      <c r="O133" s="7"/>
      <c r="P133" s="7"/>
      <c r="Q133" s="7"/>
      <c r="R133" s="7"/>
      <c r="S133" s="7"/>
      <c r="T133" s="7"/>
      <c r="U133" s="7"/>
      <c r="V133" s="7"/>
      <c r="W133" s="7"/>
      <c r="X133" s="7"/>
      <c r="Y133" s="7"/>
      <c r="AM133" s="616"/>
      <c r="AN133" s="23"/>
      <c r="AO133" s="23"/>
      <c r="AP133" s="23"/>
      <c r="AQ133" s="23"/>
      <c r="AR133" s="23"/>
      <c r="AS133" s="23"/>
      <c r="AT133" s="23"/>
      <c r="AU133" s="23"/>
      <c r="AV133" s="23"/>
      <c r="AW133" s="23"/>
      <c r="AX133" s="23"/>
      <c r="AY133" s="23"/>
      <c r="BA133" s="581"/>
      <c r="BB133" s="577"/>
      <c r="BC133" s="577"/>
      <c r="BD133" s="577"/>
      <c r="BE133" s="577"/>
      <c r="BF133" s="577"/>
      <c r="BG133" s="577"/>
      <c r="BH133" s="577"/>
      <c r="BI133" s="577"/>
      <c r="BJ133" s="577"/>
      <c r="BK133" s="577"/>
      <c r="BL133" s="577"/>
      <c r="BN133" s="7"/>
      <c r="BO133" s="7"/>
      <c r="BP133" s="7"/>
      <c r="BQ133" s="7"/>
      <c r="BR133" s="7"/>
      <c r="BS133" s="7"/>
      <c r="BT133" s="7"/>
      <c r="BU133" s="10"/>
      <c r="BV133" s="9"/>
      <c r="BW133" s="7"/>
      <c r="BX133" s="6"/>
    </row>
    <row r="134" spans="1:76" ht="13.15" customHeight="1"/>
    <row r="135" spans="1:76" ht="13.15" customHeight="1"/>
    <row r="136" spans="1:76" ht="13.15" customHeight="1"/>
    <row r="137" spans="1:76" ht="13.15" customHeight="1"/>
    <row r="138" spans="1:76" ht="13.15" customHeight="1"/>
    <row r="139" spans="1:76" ht="13.15" customHeight="1"/>
    <row r="140" spans="1:76" ht="13.15" customHeight="1"/>
    <row r="141" spans="1:76" ht="13.15" customHeight="1"/>
    <row r="142" spans="1:76" ht="13.15" customHeight="1"/>
    <row r="143" spans="1:76" ht="13.15" customHeight="1"/>
    <row r="144" spans="1:76" ht="13.15" customHeight="1"/>
    <row r="145" ht="13.15" customHeight="1"/>
    <row r="146" ht="13.15" customHeight="1"/>
    <row r="147" ht="13.15" customHeight="1"/>
    <row r="148" ht="13.15" customHeight="1"/>
    <row r="149" ht="13.15" customHeight="1"/>
    <row r="150" ht="13.15" customHeight="1"/>
    <row r="151" ht="13.15" customHeight="1"/>
    <row r="152" ht="13.15" customHeight="1"/>
    <row r="153" ht="13.15" customHeight="1"/>
    <row r="154" ht="13.15" customHeight="1"/>
    <row r="155" ht="13.15" customHeight="1"/>
    <row r="156" ht="13.15" customHeight="1"/>
    <row r="157" ht="13.15" customHeight="1"/>
    <row r="158" ht="13.15" customHeight="1"/>
    <row r="159" ht="13.15" customHeight="1"/>
    <row r="160" ht="13.15" customHeight="1"/>
    <row r="161" ht="13.15" customHeight="1"/>
    <row r="162" ht="13.15" customHeight="1"/>
    <row r="163" ht="13.15" customHeight="1"/>
    <row r="164" ht="13.15" customHeight="1"/>
    <row r="165" ht="13.15" customHeight="1"/>
    <row r="166" ht="13.15" customHeight="1"/>
    <row r="167" ht="13.15" customHeight="1"/>
    <row r="168" ht="13.15" customHeight="1"/>
    <row r="169" ht="13.15" customHeight="1"/>
    <row r="170" ht="13.15" customHeight="1"/>
    <row r="171" ht="13.15" customHeight="1"/>
    <row r="172" ht="13.15" customHeight="1"/>
    <row r="173" ht="13.15" customHeight="1"/>
    <row r="174" ht="13.15" customHeight="1"/>
    <row r="175" ht="13.15" customHeight="1"/>
    <row r="176" ht="13.15" customHeight="1"/>
    <row r="177" ht="13.15" customHeight="1"/>
    <row r="178" ht="13.15" customHeight="1"/>
    <row r="179" ht="13.15" customHeight="1"/>
    <row r="180" ht="13.15" customHeight="1"/>
    <row r="181" ht="13.15" customHeight="1"/>
    <row r="182" ht="13.15" customHeight="1"/>
    <row r="183" ht="13.15" customHeight="1"/>
    <row r="184" ht="13.15" customHeight="1"/>
    <row r="185" ht="13.15" customHeight="1"/>
    <row r="186" ht="13.15" customHeight="1"/>
    <row r="187" ht="13.15" customHeight="1"/>
    <row r="188" ht="13.15" customHeight="1"/>
    <row r="189" ht="13.15" customHeight="1"/>
    <row r="190" ht="13.15" customHeight="1"/>
    <row r="191" ht="13.15" customHeight="1"/>
    <row r="192" ht="13.15" customHeight="1"/>
    <row r="193" ht="13.15" customHeight="1"/>
    <row r="194" ht="13.15" customHeight="1"/>
    <row r="195" ht="13.15" customHeight="1"/>
    <row r="196" ht="13.15" customHeight="1"/>
    <row r="197" ht="13.15" customHeight="1"/>
    <row r="198" ht="13.15" customHeight="1"/>
    <row r="199" ht="13.15" customHeight="1"/>
    <row r="200" ht="13.15" customHeight="1"/>
    <row r="201" ht="13.15" customHeight="1"/>
    <row r="202" ht="13.15" customHeight="1"/>
    <row r="203" ht="13.15" customHeight="1"/>
    <row r="204" ht="13.15" customHeight="1"/>
    <row r="205" ht="13.15" customHeight="1"/>
    <row r="206" ht="13.15" customHeight="1"/>
    <row r="207" ht="13.15" customHeight="1"/>
    <row r="208" ht="13.15" customHeight="1"/>
    <row r="209" ht="13.15" customHeight="1"/>
    <row r="210" ht="13.15" customHeight="1"/>
    <row r="211" ht="13.15" customHeight="1"/>
    <row r="212" ht="13.15" customHeight="1"/>
    <row r="213" ht="13.15" customHeight="1"/>
    <row r="214" ht="13.15" customHeight="1"/>
    <row r="215" ht="13.15" customHeight="1"/>
    <row r="216" ht="13.15" customHeight="1"/>
    <row r="217" ht="13.15" customHeight="1"/>
    <row r="218" ht="13.15" customHeight="1"/>
    <row r="219" ht="13.15" customHeight="1"/>
    <row r="220" ht="13.15" customHeight="1"/>
    <row r="221" ht="13.15" customHeight="1"/>
    <row r="222" ht="13.15" customHeight="1"/>
    <row r="223" ht="13.15" customHeight="1"/>
    <row r="224" ht="13.15" customHeight="1"/>
    <row r="225" ht="13.15" customHeight="1"/>
    <row r="279" spans="26:52">
      <c r="Z279" s="603"/>
      <c r="AL279" s="603"/>
      <c r="AZ279" s="603"/>
    </row>
    <row r="284" spans="26:52">
      <c r="Z284" s="603"/>
      <c r="AL284" s="603"/>
      <c r="AZ284" s="603"/>
    </row>
    <row r="285" spans="26:52">
      <c r="Z285" s="603"/>
      <c r="AL285" s="603"/>
      <c r="AZ285" s="603"/>
    </row>
    <row r="288" spans="26:52">
      <c r="Z288" s="603"/>
      <c r="AL288" s="603"/>
      <c r="AZ288" s="603"/>
    </row>
    <row r="289" spans="26:52">
      <c r="Z289" s="603"/>
      <c r="AL289" s="603"/>
      <c r="AZ289" s="603"/>
    </row>
    <row r="293" spans="26:52">
      <c r="Z293" s="603"/>
      <c r="AL293" s="603"/>
      <c r="AZ293" s="603"/>
    </row>
    <row r="294" spans="26:52">
      <c r="Z294" s="603"/>
      <c r="AL294" s="603"/>
      <c r="AZ294" s="603"/>
    </row>
    <row r="295" spans="26:52">
      <c r="Z295" s="603"/>
      <c r="AL295" s="603"/>
      <c r="AZ295" s="603"/>
    </row>
    <row r="296" spans="26:52">
      <c r="Z296" s="603"/>
      <c r="AL296" s="603"/>
      <c r="AZ296" s="603"/>
    </row>
    <row r="297" spans="26:52">
      <c r="Z297" s="603"/>
      <c r="AL297" s="603"/>
      <c r="AZ297" s="603"/>
    </row>
    <row r="308" spans="26:52">
      <c r="Z308" s="603"/>
      <c r="AL308" s="603"/>
      <c r="AZ308" s="603"/>
    </row>
    <row r="309" spans="26:52">
      <c r="Z309" s="603"/>
      <c r="AL309" s="603"/>
      <c r="AZ309" s="603"/>
    </row>
    <row r="319" spans="26:52">
      <c r="Z319" s="605"/>
      <c r="AL319" s="605"/>
      <c r="AZ319" s="605"/>
    </row>
    <row r="320" spans="26:52">
      <c r="Z320" s="605"/>
      <c r="AL320" s="605"/>
      <c r="AZ320" s="605"/>
    </row>
  </sheetData>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0D35B-1C8D-4CB5-B56A-711EC11C79F9}">
  <sheetPr codeName="Sheet4"/>
  <dimension ref="A1:S264"/>
  <sheetViews>
    <sheetView zoomScale="90" zoomScaleNormal="90" workbookViewId="0"/>
  </sheetViews>
  <sheetFormatPr defaultColWidth="9" defaultRowHeight="15"/>
  <cols>
    <col min="1" max="1" width="19.5703125" style="78" customWidth="1"/>
    <col min="2" max="2" width="21.140625" style="78" customWidth="1"/>
    <col min="3" max="6" width="12.140625" style="78" customWidth="1"/>
    <col min="7" max="7" width="24" style="78" bestFit="1" customWidth="1"/>
    <col min="8" max="8" width="12.42578125" style="78" customWidth="1"/>
    <col min="9" max="9" width="12.28515625" style="78" customWidth="1"/>
    <col min="10" max="10" width="10" style="78" customWidth="1"/>
    <col min="11" max="11" width="11.42578125" style="78" customWidth="1"/>
    <col min="12" max="12" width="12.85546875" style="78" customWidth="1"/>
    <col min="13" max="13" width="10" style="78" customWidth="1"/>
    <col min="14" max="14" width="11.140625" style="78" customWidth="1"/>
    <col min="15" max="15" width="12.28515625" style="78" customWidth="1"/>
    <col min="16" max="16" width="10" style="78" customWidth="1"/>
    <col min="17" max="17" width="24" style="78" bestFit="1" customWidth="1"/>
    <col min="18" max="18" width="10" style="71" customWidth="1"/>
    <col min="19" max="19" width="14.42578125" style="71" customWidth="1"/>
    <col min="20" max="16384" width="9" style="71"/>
  </cols>
  <sheetData>
    <row r="1" spans="1:19" ht="15.75">
      <c r="A1" s="76" t="s">
        <v>1494</v>
      </c>
    </row>
    <row r="3" spans="1:19" ht="15.75">
      <c r="A3" s="1106" t="s">
        <v>717</v>
      </c>
      <c r="B3" s="1107"/>
      <c r="C3" s="1107"/>
      <c r="D3" s="1107"/>
      <c r="E3" s="1107"/>
      <c r="F3" s="1107"/>
      <c r="G3" s="1107"/>
      <c r="H3" s="1107"/>
      <c r="I3" s="1107"/>
      <c r="J3" s="1107"/>
      <c r="K3" s="1107"/>
      <c r="L3" s="1107"/>
      <c r="M3" s="1107"/>
      <c r="N3" s="1107"/>
      <c r="O3" s="1107"/>
      <c r="P3" s="1107"/>
      <c r="Q3" s="1108"/>
      <c r="R3" s="77"/>
      <c r="S3" s="77"/>
    </row>
    <row r="4" spans="1:19">
      <c r="A4" s="532"/>
      <c r="B4" s="532"/>
      <c r="C4" s="532"/>
      <c r="D4" s="532"/>
      <c r="E4" s="532"/>
      <c r="F4" s="532"/>
      <c r="G4" s="532"/>
      <c r="H4" s="532"/>
      <c r="I4" s="532"/>
      <c r="J4" s="532"/>
      <c r="K4" s="532"/>
      <c r="L4" s="532"/>
      <c r="M4" s="532"/>
      <c r="N4" s="532"/>
      <c r="O4" s="532"/>
      <c r="P4" s="532"/>
      <c r="Q4" s="532"/>
      <c r="R4" s="80"/>
      <c r="S4" s="77"/>
    </row>
    <row r="5" spans="1:19">
      <c r="A5" s="1103" t="s">
        <v>316</v>
      </c>
      <c r="B5" s="1104"/>
      <c r="C5" s="1104"/>
      <c r="D5" s="1104"/>
      <c r="E5" s="1104"/>
      <c r="F5" s="1104"/>
      <c r="G5" s="1105"/>
      <c r="H5" s="687"/>
      <c r="I5" s="687"/>
      <c r="J5" s="687"/>
      <c r="K5" s="1100" t="s">
        <v>350</v>
      </c>
      <c r="L5" s="1101"/>
      <c r="M5" s="1101"/>
      <c r="N5" s="1101"/>
      <c r="O5" s="1101"/>
      <c r="P5" s="1101"/>
      <c r="Q5" s="1102"/>
    </row>
    <row r="6" spans="1:19" ht="36">
      <c r="A6" s="688" t="s">
        <v>317</v>
      </c>
      <c r="B6" s="688" t="s">
        <v>318</v>
      </c>
      <c r="C6" s="689" t="s">
        <v>319</v>
      </c>
      <c r="D6" s="690" t="s">
        <v>320</v>
      </c>
      <c r="E6" s="690" t="s">
        <v>321</v>
      </c>
      <c r="F6" s="690" t="s">
        <v>322</v>
      </c>
      <c r="G6" s="691" t="s">
        <v>323</v>
      </c>
      <c r="H6" s="687"/>
      <c r="I6" s="687"/>
      <c r="J6" s="687"/>
      <c r="K6" s="692" t="s">
        <v>317</v>
      </c>
      <c r="L6" s="693" t="s">
        <v>318</v>
      </c>
      <c r="M6" s="694" t="s">
        <v>319</v>
      </c>
      <c r="N6" s="694" t="s">
        <v>320</v>
      </c>
      <c r="O6" s="694" t="s">
        <v>321</v>
      </c>
      <c r="P6" s="694" t="s">
        <v>322</v>
      </c>
      <c r="Q6" s="695" t="s">
        <v>323</v>
      </c>
    </row>
    <row r="7" spans="1:19">
      <c r="A7" s="696" t="s">
        <v>172</v>
      </c>
      <c r="B7" s="697" t="s">
        <v>324</v>
      </c>
      <c r="C7" s="698" t="s">
        <v>1011</v>
      </c>
      <c r="D7" s="698">
        <v>20</v>
      </c>
      <c r="E7" s="698">
        <v>40</v>
      </c>
      <c r="F7" s="698">
        <v>0</v>
      </c>
      <c r="G7" s="699" t="s">
        <v>325</v>
      </c>
      <c r="H7" s="687"/>
      <c r="I7" s="687"/>
      <c r="J7" s="687"/>
      <c r="K7" s="700" t="s">
        <v>172</v>
      </c>
      <c r="L7" s="701" t="s">
        <v>324</v>
      </c>
      <c r="M7" s="702" t="s">
        <v>1011</v>
      </c>
      <c r="N7" s="702">
        <v>30</v>
      </c>
      <c r="O7" s="702">
        <v>40</v>
      </c>
      <c r="P7" s="702">
        <v>0</v>
      </c>
      <c r="Q7" s="703" t="s">
        <v>325</v>
      </c>
    </row>
    <row r="8" spans="1:19">
      <c r="A8" s="704" t="s">
        <v>165</v>
      </c>
      <c r="B8" s="697" t="s">
        <v>324</v>
      </c>
      <c r="C8" s="705" t="s">
        <v>1012</v>
      </c>
      <c r="D8" s="705">
        <v>20</v>
      </c>
      <c r="E8" s="705">
        <v>30</v>
      </c>
      <c r="F8" s="705">
        <v>0</v>
      </c>
      <c r="G8" s="706" t="s">
        <v>325</v>
      </c>
      <c r="H8" s="687"/>
      <c r="I8" s="687"/>
      <c r="J8" s="687"/>
      <c r="K8" s="707" t="s">
        <v>165</v>
      </c>
      <c r="L8" s="708" t="s">
        <v>324</v>
      </c>
      <c r="M8" s="709" t="s">
        <v>1012</v>
      </c>
      <c r="N8" s="709">
        <v>30</v>
      </c>
      <c r="O8" s="709">
        <v>30</v>
      </c>
      <c r="P8" s="709">
        <v>0</v>
      </c>
      <c r="Q8" s="710" t="s">
        <v>325</v>
      </c>
    </row>
    <row r="9" spans="1:19">
      <c r="A9" s="704" t="s">
        <v>171</v>
      </c>
      <c r="B9" s="697" t="s">
        <v>326</v>
      </c>
      <c r="C9" s="705" t="s">
        <v>1012</v>
      </c>
      <c r="D9" s="705">
        <v>50</v>
      </c>
      <c r="E9" s="705">
        <v>40</v>
      </c>
      <c r="F9" s="705">
        <v>0</v>
      </c>
      <c r="G9" s="706" t="s">
        <v>325</v>
      </c>
      <c r="H9" s="687"/>
      <c r="I9" s="687"/>
      <c r="J9" s="687"/>
      <c r="K9" s="707" t="s">
        <v>171</v>
      </c>
      <c r="L9" s="708" t="s">
        <v>326</v>
      </c>
      <c r="M9" s="709" t="s">
        <v>1012</v>
      </c>
      <c r="N9" s="709">
        <v>30</v>
      </c>
      <c r="O9" s="709">
        <v>80</v>
      </c>
      <c r="P9" s="709">
        <v>0</v>
      </c>
      <c r="Q9" s="710" t="s">
        <v>325</v>
      </c>
    </row>
    <row r="10" spans="1:19">
      <c r="A10" s="704" t="s">
        <v>173</v>
      </c>
      <c r="B10" s="697" t="s">
        <v>347</v>
      </c>
      <c r="C10" s="705" t="s">
        <v>1012</v>
      </c>
      <c r="D10" s="705">
        <v>20</v>
      </c>
      <c r="E10" s="705">
        <v>20</v>
      </c>
      <c r="F10" s="705">
        <v>12</v>
      </c>
      <c r="G10" s="706" t="s">
        <v>328</v>
      </c>
      <c r="H10" s="687"/>
      <c r="I10" s="687"/>
      <c r="J10" s="687"/>
      <c r="K10" s="707" t="s">
        <v>173</v>
      </c>
      <c r="L10" s="708" t="s">
        <v>347</v>
      </c>
      <c r="M10" s="709" t="s">
        <v>1012</v>
      </c>
      <c r="N10" s="709">
        <v>30</v>
      </c>
      <c r="O10" s="709">
        <v>20</v>
      </c>
      <c r="P10" s="709">
        <v>12</v>
      </c>
      <c r="Q10" s="710" t="s">
        <v>328</v>
      </c>
    </row>
    <row r="11" spans="1:19">
      <c r="A11" s="704" t="s">
        <v>167</v>
      </c>
      <c r="B11" s="697" t="s">
        <v>347</v>
      </c>
      <c r="C11" s="705" t="s">
        <v>1011</v>
      </c>
      <c r="D11" s="705">
        <v>20</v>
      </c>
      <c r="E11" s="705">
        <v>30</v>
      </c>
      <c r="F11" s="705">
        <v>0</v>
      </c>
      <c r="G11" s="706" t="s">
        <v>325</v>
      </c>
      <c r="H11" s="687"/>
      <c r="I11" s="687"/>
      <c r="J11" s="687"/>
      <c r="K11" s="707" t="s">
        <v>167</v>
      </c>
      <c r="L11" s="708" t="s">
        <v>324</v>
      </c>
      <c r="M11" s="709" t="s">
        <v>1011</v>
      </c>
      <c r="N11" s="709">
        <v>30</v>
      </c>
      <c r="O11" s="709">
        <v>30</v>
      </c>
      <c r="P11" s="709">
        <v>0</v>
      </c>
      <c r="Q11" s="710" t="s">
        <v>325</v>
      </c>
    </row>
    <row r="12" spans="1:19">
      <c r="A12" s="704" t="s">
        <v>168</v>
      </c>
      <c r="B12" s="697" t="s">
        <v>728</v>
      </c>
      <c r="C12" s="705" t="s">
        <v>1013</v>
      </c>
      <c r="D12" s="705">
        <v>20</v>
      </c>
      <c r="E12" s="705">
        <v>30</v>
      </c>
      <c r="F12" s="705">
        <v>0</v>
      </c>
      <c r="G12" s="706" t="s">
        <v>325</v>
      </c>
      <c r="H12" s="687"/>
      <c r="I12" s="687"/>
      <c r="J12" s="687"/>
      <c r="K12" s="707" t="s">
        <v>168</v>
      </c>
      <c r="L12" s="708" t="s">
        <v>728</v>
      </c>
      <c r="M12" s="709" t="s">
        <v>1013</v>
      </c>
      <c r="N12" s="709">
        <v>30</v>
      </c>
      <c r="O12" s="709">
        <v>30</v>
      </c>
      <c r="P12" s="709">
        <v>0</v>
      </c>
      <c r="Q12" s="710" t="s">
        <v>325</v>
      </c>
    </row>
    <row r="13" spans="1:19">
      <c r="A13" s="704" t="s">
        <v>174</v>
      </c>
      <c r="B13" s="697" t="s">
        <v>724</v>
      </c>
      <c r="C13" s="705" t="s">
        <v>1011</v>
      </c>
      <c r="D13" s="705">
        <v>50</v>
      </c>
      <c r="E13" s="705">
        <v>200</v>
      </c>
      <c r="F13" s="705">
        <v>50</v>
      </c>
      <c r="G13" s="706" t="s">
        <v>328</v>
      </c>
      <c r="H13" s="687"/>
      <c r="I13" s="687"/>
      <c r="J13" s="687"/>
      <c r="K13" s="707" t="s">
        <v>170</v>
      </c>
      <c r="L13" s="711" t="s">
        <v>698</v>
      </c>
      <c r="M13" s="709" t="s">
        <v>1011</v>
      </c>
      <c r="N13" s="709">
        <v>30</v>
      </c>
      <c r="O13" s="709">
        <v>90</v>
      </c>
      <c r="P13" s="709">
        <v>0</v>
      </c>
      <c r="Q13" s="710" t="s">
        <v>325</v>
      </c>
    </row>
    <row r="14" spans="1:19">
      <c r="A14" s="704" t="s">
        <v>170</v>
      </c>
      <c r="B14" s="697" t="s">
        <v>698</v>
      </c>
      <c r="C14" s="705" t="s">
        <v>1011</v>
      </c>
      <c r="D14" s="705">
        <v>50</v>
      </c>
      <c r="E14" s="705">
        <v>90</v>
      </c>
      <c r="F14" s="705">
        <v>0</v>
      </c>
      <c r="G14" s="706" t="s">
        <v>325</v>
      </c>
      <c r="H14" s="687"/>
      <c r="I14" s="687"/>
      <c r="J14" s="687"/>
      <c r="K14" s="707" t="s">
        <v>169</v>
      </c>
      <c r="L14" s="711" t="s">
        <v>333</v>
      </c>
      <c r="M14" s="709" t="s">
        <v>1012</v>
      </c>
      <c r="N14" s="709">
        <v>30</v>
      </c>
      <c r="O14" s="709">
        <v>45</v>
      </c>
      <c r="P14" s="709">
        <v>30</v>
      </c>
      <c r="Q14" s="710" t="s">
        <v>328</v>
      </c>
    </row>
    <row r="15" spans="1:19">
      <c r="A15" s="704" t="s">
        <v>61</v>
      </c>
      <c r="B15" s="697" t="s">
        <v>724</v>
      </c>
      <c r="C15" s="705" t="s">
        <v>1012</v>
      </c>
      <c r="D15" s="705">
        <v>50</v>
      </c>
      <c r="E15" s="705">
        <v>100</v>
      </c>
      <c r="F15" s="705">
        <v>50</v>
      </c>
      <c r="G15" s="706" t="s">
        <v>328</v>
      </c>
      <c r="H15" s="687"/>
      <c r="I15" s="687"/>
      <c r="J15" s="687"/>
      <c r="K15" s="712" t="s">
        <v>175</v>
      </c>
      <c r="L15" s="713" t="s">
        <v>353</v>
      </c>
      <c r="M15" s="714" t="s">
        <v>1013</v>
      </c>
      <c r="N15" s="714">
        <v>30</v>
      </c>
      <c r="O15" s="714">
        <v>75</v>
      </c>
      <c r="P15" s="714">
        <v>30</v>
      </c>
      <c r="Q15" s="715" t="s">
        <v>328</v>
      </c>
    </row>
    <row r="16" spans="1:19">
      <c r="A16" s="704" t="s">
        <v>166</v>
      </c>
      <c r="B16" s="697" t="s">
        <v>331</v>
      </c>
      <c r="C16" s="705" t="s">
        <v>1013</v>
      </c>
      <c r="D16" s="705">
        <v>50</v>
      </c>
      <c r="E16" s="705">
        <v>200</v>
      </c>
      <c r="F16" s="705">
        <v>50</v>
      </c>
      <c r="G16" s="706" t="s">
        <v>328</v>
      </c>
      <c r="H16" s="687"/>
      <c r="I16" s="687"/>
      <c r="J16" s="687"/>
      <c r="K16" s="687"/>
      <c r="L16" s="687"/>
      <c r="M16" s="687"/>
      <c r="N16" s="687"/>
      <c r="O16" s="687"/>
      <c r="P16" s="687"/>
      <c r="Q16" s="687"/>
    </row>
    <row r="17" spans="1:19">
      <c r="A17" s="704" t="s">
        <v>60</v>
      </c>
      <c r="B17" s="697" t="s">
        <v>729</v>
      </c>
      <c r="C17" s="705" t="s">
        <v>1012</v>
      </c>
      <c r="D17" s="705">
        <v>50</v>
      </c>
      <c r="E17" s="705">
        <v>160</v>
      </c>
      <c r="F17" s="705">
        <v>40</v>
      </c>
      <c r="G17" s="706" t="s">
        <v>328</v>
      </c>
      <c r="H17" s="687"/>
      <c r="I17" s="687"/>
      <c r="J17" s="687"/>
      <c r="K17" s="687"/>
      <c r="L17" s="687"/>
      <c r="M17" s="687"/>
      <c r="N17" s="687"/>
      <c r="O17" s="687"/>
      <c r="P17" s="687"/>
      <c r="Q17" s="687"/>
    </row>
    <row r="18" spans="1:19">
      <c r="A18" s="716" t="s">
        <v>169</v>
      </c>
      <c r="B18" s="717" t="s">
        <v>333</v>
      </c>
      <c r="C18" s="718" t="s">
        <v>1012</v>
      </c>
      <c r="D18" s="718">
        <v>50</v>
      </c>
      <c r="E18" s="718">
        <v>45</v>
      </c>
      <c r="F18" s="718">
        <v>30</v>
      </c>
      <c r="G18" s="719" t="s">
        <v>328</v>
      </c>
      <c r="H18" s="687"/>
      <c r="I18" s="687"/>
      <c r="J18" s="687"/>
      <c r="K18" s="687"/>
      <c r="L18" s="687"/>
      <c r="M18" s="687"/>
      <c r="N18" s="687"/>
      <c r="O18" s="687"/>
      <c r="P18" s="687"/>
      <c r="Q18" s="687"/>
    </row>
    <row r="19" spans="1:19">
      <c r="A19" s="687"/>
      <c r="B19" s="687"/>
      <c r="C19" s="687"/>
      <c r="D19" s="687"/>
      <c r="E19" s="687"/>
      <c r="F19" s="687"/>
      <c r="G19" s="687"/>
      <c r="H19" s="687"/>
      <c r="I19" s="687"/>
      <c r="J19" s="687"/>
      <c r="K19" s="687"/>
      <c r="L19" s="687"/>
      <c r="M19" s="687"/>
      <c r="N19" s="687"/>
      <c r="O19" s="687"/>
      <c r="P19" s="687"/>
      <c r="Q19" s="687"/>
    </row>
    <row r="20" spans="1:19">
      <c r="A20" s="687"/>
      <c r="B20" s="687"/>
      <c r="C20" s="687"/>
      <c r="D20" s="687"/>
      <c r="E20" s="687"/>
      <c r="F20" s="687"/>
      <c r="G20" s="687"/>
      <c r="H20" s="687"/>
      <c r="I20" s="687"/>
      <c r="J20" s="687"/>
      <c r="K20" s="687"/>
      <c r="L20" s="687"/>
      <c r="M20" s="687"/>
      <c r="N20" s="687"/>
      <c r="O20" s="687"/>
      <c r="P20" s="687"/>
      <c r="Q20" s="687"/>
    </row>
    <row r="21" spans="1:19" customFormat="1" ht="26.45" customHeight="1">
      <c r="A21" s="720"/>
      <c r="B21" s="721" t="s">
        <v>704</v>
      </c>
      <c r="C21" s="722" t="s">
        <v>725</v>
      </c>
      <c r="D21" s="722" t="s">
        <v>725</v>
      </c>
      <c r="E21" s="722" t="s">
        <v>725</v>
      </c>
      <c r="F21" s="722" t="s">
        <v>725</v>
      </c>
      <c r="G21" s="722" t="s">
        <v>705</v>
      </c>
      <c r="H21" s="722" t="s">
        <v>726</v>
      </c>
      <c r="I21" s="722" t="s">
        <v>725</v>
      </c>
      <c r="J21" s="722" t="s">
        <v>705</v>
      </c>
      <c r="K21" s="722" t="s">
        <v>725</v>
      </c>
      <c r="L21" s="722" t="s">
        <v>705</v>
      </c>
      <c r="M21" s="722" t="s">
        <v>705</v>
      </c>
      <c r="N21" s="722" t="s">
        <v>705</v>
      </c>
      <c r="O21" s="722" t="s">
        <v>725</v>
      </c>
      <c r="P21" s="723" t="s">
        <v>726</v>
      </c>
      <c r="Q21" s="724"/>
    </row>
    <row r="22" spans="1:19" customFormat="1" ht="12">
      <c r="A22" s="725"/>
      <c r="B22" s="726"/>
      <c r="C22" s="727" t="s">
        <v>706</v>
      </c>
      <c r="D22" s="727" t="s">
        <v>707</v>
      </c>
      <c r="E22" s="727" t="s">
        <v>708</v>
      </c>
      <c r="F22" s="727" t="s">
        <v>709</v>
      </c>
      <c r="G22" s="727" t="s">
        <v>710</v>
      </c>
      <c r="H22" s="727" t="s">
        <v>710</v>
      </c>
      <c r="I22" s="727" t="s">
        <v>711</v>
      </c>
      <c r="J22" s="727" t="s">
        <v>715</v>
      </c>
      <c r="K22" s="727" t="s">
        <v>712</v>
      </c>
      <c r="L22" s="727" t="s">
        <v>61</v>
      </c>
      <c r="M22" s="727" t="s">
        <v>713</v>
      </c>
      <c r="N22" s="727" t="s">
        <v>60</v>
      </c>
      <c r="O22" s="727" t="s">
        <v>714</v>
      </c>
      <c r="P22" s="728" t="s">
        <v>154</v>
      </c>
      <c r="Q22" s="724"/>
    </row>
    <row r="23" spans="1:19" customFormat="1" ht="12">
      <c r="A23" s="725"/>
      <c r="B23" s="729" t="s">
        <v>344</v>
      </c>
      <c r="C23" s="65">
        <f t="shared" ref="C23:D25" si="0">C117</f>
        <v>0.24912224028789665</v>
      </c>
      <c r="D23" s="65">
        <f t="shared" si="0"/>
        <v>0.2639095776047457</v>
      </c>
      <c r="E23" s="65">
        <f>E82</f>
        <v>6.5525350171910607E-2</v>
      </c>
      <c r="F23" s="65">
        <f t="shared" ref="F23:G25" si="1">F136</f>
        <v>0.11182789807502769</v>
      </c>
      <c r="G23" s="65">
        <f t="shared" si="1"/>
        <v>0.24774101335259355</v>
      </c>
      <c r="H23" s="65">
        <f>G117</f>
        <v>0.72052176717271899</v>
      </c>
      <c r="I23" s="65">
        <f>H210</f>
        <v>0.45229286775519911</v>
      </c>
      <c r="J23" s="65">
        <f>O98</f>
        <v>1.2171336992888016</v>
      </c>
      <c r="K23" s="65">
        <f>I193</f>
        <v>0.29519113209867476</v>
      </c>
      <c r="L23" s="65">
        <f>J98</f>
        <v>0.37688003621105265</v>
      </c>
      <c r="M23" s="65">
        <f>K44</f>
        <v>0.49757554291694472</v>
      </c>
      <c r="N23" s="65">
        <f>M155</f>
        <v>0.14473770843295936</v>
      </c>
      <c r="O23" s="65">
        <f>N63</f>
        <v>6.520119154423272E-2</v>
      </c>
      <c r="P23" s="383">
        <f>L174</f>
        <v>0.4631363422526405</v>
      </c>
      <c r="Q23" s="724"/>
    </row>
    <row r="24" spans="1:19" customFormat="1" ht="12">
      <c r="A24" s="725"/>
      <c r="B24" s="729" t="s">
        <v>345</v>
      </c>
      <c r="C24" s="730">
        <f t="shared" si="0"/>
        <v>7.191539624566988E-2</v>
      </c>
      <c r="D24" s="730">
        <f t="shared" si="0"/>
        <v>7.618413283591019E-2</v>
      </c>
      <c r="E24" s="730">
        <f>E83</f>
        <v>1.8915539280248542E-2</v>
      </c>
      <c r="F24" s="730">
        <f t="shared" si="1"/>
        <v>3.2281933528263633E-2</v>
      </c>
      <c r="G24" s="730">
        <f t="shared" si="1"/>
        <v>7.1516670374215288E-2</v>
      </c>
      <c r="H24" s="730">
        <f>G118</f>
        <v>0.2079967181170771</v>
      </c>
      <c r="I24" s="730">
        <f>H211</f>
        <v>0.14302756315557572</v>
      </c>
      <c r="J24" s="730">
        <f>O99</f>
        <v>0.40571123309626717</v>
      </c>
      <c r="K24" s="730">
        <f>I194</f>
        <v>8.521433978978013E-2</v>
      </c>
      <c r="L24" s="730">
        <f>J99</f>
        <v>0.12562667873701755</v>
      </c>
      <c r="M24" s="730">
        <f>K45</f>
        <v>0.14363768682263611</v>
      </c>
      <c r="N24" s="730">
        <f>M156</f>
        <v>4.1782177462829327E-2</v>
      </c>
      <c r="O24" s="730">
        <f>N64</f>
        <v>1.8821962744773556E-2</v>
      </c>
      <c r="P24" s="731">
        <f>L175</f>
        <v>0.13369594593553033</v>
      </c>
      <c r="Q24" s="724"/>
    </row>
    <row r="25" spans="1:19" customFormat="1" ht="12">
      <c r="A25" s="725"/>
      <c r="B25" s="732" t="s">
        <v>346</v>
      </c>
      <c r="C25" s="733">
        <f t="shared" si="0"/>
        <v>4.2470516424423215E-3</v>
      </c>
      <c r="D25" s="733">
        <f t="shared" si="0"/>
        <v>1.7476638365672781E-3</v>
      </c>
      <c r="E25" s="733">
        <f>E84</f>
        <v>1.2220156349959973E-3</v>
      </c>
      <c r="F25" s="733">
        <f t="shared" si="1"/>
        <v>2.0834626043613898E-3</v>
      </c>
      <c r="G25" s="733">
        <f t="shared" si="1"/>
        <v>4.278404599312541E-3</v>
      </c>
      <c r="H25" s="733">
        <f>G119</f>
        <v>5.8976101481252692E-3</v>
      </c>
      <c r="I25" s="733">
        <f>H212</f>
        <v>1.5427707737260001E-3</v>
      </c>
      <c r="J25" s="733">
        <f>O100</f>
        <v>9.9285421923935319E-3</v>
      </c>
      <c r="K25" s="733">
        <f>I195</f>
        <v>1.4864299276219411E-3</v>
      </c>
      <c r="L25" s="733">
        <f>J100</f>
        <v>1.8491840125234315E-2</v>
      </c>
      <c r="M25" s="733">
        <f>K46</f>
        <v>1.4366864741615429E-3</v>
      </c>
      <c r="N25" s="733">
        <f>M157</f>
        <v>7.7428841876163543E-4</v>
      </c>
      <c r="O25" s="733">
        <f>N65</f>
        <v>1.8824260873288504E-4</v>
      </c>
      <c r="P25" s="734">
        <f>L176</f>
        <v>1.3369389596245892E-3</v>
      </c>
      <c r="Q25" s="724"/>
    </row>
    <row r="26" spans="1:19" s="531" customFormat="1">
      <c r="A26" s="735"/>
      <c r="B26" s="736" t="s">
        <v>716</v>
      </c>
      <c r="C26" s="737" t="s">
        <v>324</v>
      </c>
      <c r="D26" s="737" t="s">
        <v>324</v>
      </c>
      <c r="E26" s="737" t="s">
        <v>326</v>
      </c>
      <c r="F26" s="737" t="s">
        <v>347</v>
      </c>
      <c r="G26" s="737" t="s">
        <v>347</v>
      </c>
      <c r="H26" s="737" t="s">
        <v>324</v>
      </c>
      <c r="I26" s="737" t="s">
        <v>349</v>
      </c>
      <c r="J26" s="737" t="s">
        <v>724</v>
      </c>
      <c r="K26" s="737" t="s">
        <v>698</v>
      </c>
      <c r="L26" s="737" t="s">
        <v>724</v>
      </c>
      <c r="M26" s="737" t="s">
        <v>331</v>
      </c>
      <c r="N26" s="737" t="s">
        <v>348</v>
      </c>
      <c r="O26" s="737" t="s">
        <v>333</v>
      </c>
      <c r="P26" s="738" t="s">
        <v>353</v>
      </c>
      <c r="Q26" s="739"/>
    </row>
    <row r="27" spans="1:19" customFormat="1" ht="12">
      <c r="A27" s="724"/>
      <c r="B27" s="740"/>
      <c r="C27" s="724"/>
      <c r="D27" s="724"/>
      <c r="E27" s="724"/>
      <c r="F27" s="724"/>
      <c r="G27" s="724"/>
      <c r="H27" s="724"/>
      <c r="I27" s="724"/>
      <c r="J27" s="724"/>
      <c r="K27" s="687"/>
      <c r="L27" s="724"/>
      <c r="M27" s="741"/>
      <c r="N27" s="724"/>
      <c r="O27" s="724"/>
      <c r="P27" s="724"/>
      <c r="Q27" s="724"/>
    </row>
    <row r="28" spans="1:19">
      <c r="A28" s="742" t="s">
        <v>334</v>
      </c>
      <c r="B28" s="687"/>
      <c r="C28" s="687"/>
      <c r="D28" s="687"/>
      <c r="E28" s="687"/>
      <c r="F28" s="687"/>
      <c r="G28" s="687"/>
      <c r="H28" s="687"/>
      <c r="I28" s="687"/>
      <c r="J28" s="687"/>
      <c r="K28" s="687"/>
      <c r="L28" s="687"/>
      <c r="M28" s="687"/>
      <c r="N28" s="687"/>
      <c r="O28" s="687"/>
      <c r="P28" s="687"/>
      <c r="Q28" s="687"/>
    </row>
    <row r="29" spans="1:19">
      <c r="A29" s="742"/>
      <c r="B29" s="687"/>
      <c r="C29" s="687"/>
      <c r="D29" s="687"/>
      <c r="E29" s="687"/>
      <c r="F29" s="687"/>
      <c r="G29" s="687"/>
      <c r="H29" s="687"/>
      <c r="I29" s="687"/>
      <c r="J29" s="687"/>
      <c r="K29" s="687"/>
      <c r="L29" s="687"/>
      <c r="M29" s="687"/>
      <c r="N29" s="687"/>
      <c r="O29" s="687"/>
      <c r="P29" s="687"/>
      <c r="Q29" s="687"/>
    </row>
    <row r="30" spans="1:19">
      <c r="A30" s="743" t="s">
        <v>318</v>
      </c>
      <c r="B30" s="744" t="s">
        <v>699</v>
      </c>
      <c r="C30" s="744" t="s">
        <v>184</v>
      </c>
      <c r="D30" s="744" t="s">
        <v>178</v>
      </c>
      <c r="E30" s="744" t="s">
        <v>183</v>
      </c>
      <c r="F30" s="744" t="s">
        <v>185</v>
      </c>
      <c r="G30" s="744" t="s">
        <v>180</v>
      </c>
      <c r="H30" s="744" t="s">
        <v>702</v>
      </c>
      <c r="I30" s="744" t="s">
        <v>182</v>
      </c>
      <c r="J30" s="744" t="s">
        <v>700</v>
      </c>
      <c r="K30" s="745" t="s">
        <v>179</v>
      </c>
      <c r="L30" s="744" t="s">
        <v>187</v>
      </c>
      <c r="M30" s="746" t="s">
        <v>701</v>
      </c>
      <c r="N30" s="744" t="s">
        <v>181</v>
      </c>
      <c r="O30" s="744" t="s">
        <v>186</v>
      </c>
      <c r="P30" s="744" t="s">
        <v>355</v>
      </c>
      <c r="Q30" s="744" t="s">
        <v>188</v>
      </c>
      <c r="R30" s="79"/>
      <c r="S30" s="79"/>
    </row>
    <row r="31" spans="1:19" s="80" customFormat="1">
      <c r="A31" s="747" t="s">
        <v>331</v>
      </c>
      <c r="B31" s="748" t="s">
        <v>722</v>
      </c>
      <c r="C31" s="748" t="s">
        <v>343</v>
      </c>
      <c r="D31" s="748" t="s">
        <v>343</v>
      </c>
      <c r="E31" s="748" t="s">
        <v>343</v>
      </c>
      <c r="F31" s="748" t="s">
        <v>343</v>
      </c>
      <c r="G31" s="748">
        <v>2.1000000000000001E-2</v>
      </c>
      <c r="H31" s="748" t="s">
        <v>343</v>
      </c>
      <c r="I31" s="748" t="s">
        <v>343</v>
      </c>
      <c r="J31" s="748" t="s">
        <v>343</v>
      </c>
      <c r="K31" s="748">
        <v>99.981999999999999</v>
      </c>
      <c r="L31" s="748" t="s">
        <v>343</v>
      </c>
      <c r="M31" s="748" t="s">
        <v>343</v>
      </c>
      <c r="N31" s="748" t="s">
        <v>343</v>
      </c>
      <c r="O31" s="748" t="s">
        <v>343</v>
      </c>
      <c r="P31" s="748">
        <v>-2E-3</v>
      </c>
      <c r="Q31" s="748">
        <v>100</v>
      </c>
      <c r="R31" s="77"/>
      <c r="S31" s="77"/>
    </row>
    <row r="32" spans="1:19">
      <c r="A32" s="749" t="s">
        <v>331</v>
      </c>
      <c r="B32" s="750">
        <v>7</v>
      </c>
      <c r="C32" s="751">
        <v>-9.1699999999999993E-3</v>
      </c>
      <c r="D32" s="751">
        <v>-4.3299999999999998E-2</v>
      </c>
      <c r="E32" s="751">
        <v>-7.9000000000000001E-4</v>
      </c>
      <c r="F32" s="751">
        <v>-4.8999999999999998E-3</v>
      </c>
      <c r="G32" s="751">
        <v>3.4944000000000003E-2</v>
      </c>
      <c r="H32" s="751">
        <v>4.9769999999999997E-3</v>
      </c>
      <c r="I32" s="751">
        <v>-8.1700000000000002E-3</v>
      </c>
      <c r="J32" s="751">
        <v>2.52E-4</v>
      </c>
      <c r="K32" s="752">
        <v>100.31100000000001</v>
      </c>
      <c r="L32" s="751">
        <v>1.8364999999999999E-2</v>
      </c>
      <c r="M32" s="751">
        <v>2.9520000000000002E-3</v>
      </c>
      <c r="N32" s="751">
        <v>5.607E-3</v>
      </c>
      <c r="O32" s="751">
        <v>-1E-3</v>
      </c>
      <c r="P32" s="751">
        <v>-2.16E-3</v>
      </c>
      <c r="Q32" s="751">
        <v>100.309</v>
      </c>
      <c r="R32" s="79"/>
      <c r="S32" s="79"/>
    </row>
    <row r="33" spans="1:19">
      <c r="A33" s="749" t="s">
        <v>331</v>
      </c>
      <c r="B33" s="750">
        <v>8</v>
      </c>
      <c r="C33" s="751">
        <v>5.8250000000000003E-3</v>
      </c>
      <c r="D33" s="751">
        <v>-3.5299999999999998E-2</v>
      </c>
      <c r="E33" s="751">
        <v>-2.7100000000000002E-3</v>
      </c>
      <c r="F33" s="751">
        <v>1.06E-3</v>
      </c>
      <c r="G33" s="751">
        <v>6.5044000000000005E-2</v>
      </c>
      <c r="H33" s="751">
        <v>4.3100000000000001E-4</v>
      </c>
      <c r="I33" s="751">
        <v>1.695E-2</v>
      </c>
      <c r="J33" s="751">
        <v>-1.47E-3</v>
      </c>
      <c r="K33" s="752">
        <v>100.38</v>
      </c>
      <c r="L33" s="751">
        <v>-4.5620000000000001E-2</v>
      </c>
      <c r="M33" s="751">
        <v>-1.9499999999999999E-3</v>
      </c>
      <c r="N33" s="751">
        <v>-9.58E-3</v>
      </c>
      <c r="O33" s="751">
        <v>-5.6800000000000002E-3</v>
      </c>
      <c r="P33" s="751">
        <v>-2.16E-3</v>
      </c>
      <c r="Q33" s="751">
        <v>100.36499999999999</v>
      </c>
      <c r="R33" s="79"/>
      <c r="S33" s="79"/>
    </row>
    <row r="34" spans="1:19">
      <c r="A34" s="749" t="s">
        <v>331</v>
      </c>
      <c r="B34" s="750">
        <v>9</v>
      </c>
      <c r="C34" s="751">
        <v>1.5479999999999999E-3</v>
      </c>
      <c r="D34" s="751">
        <v>-4.5920000000000002E-2</v>
      </c>
      <c r="E34" s="751">
        <v>-1.47E-3</v>
      </c>
      <c r="F34" s="751">
        <v>1.085E-3</v>
      </c>
      <c r="G34" s="751">
        <v>4.9508999999999997E-2</v>
      </c>
      <c r="H34" s="751">
        <v>-5.6499999999999996E-3</v>
      </c>
      <c r="I34" s="751">
        <v>-1.027E-2</v>
      </c>
      <c r="J34" s="751">
        <v>-4.0000000000000002E-4</v>
      </c>
      <c r="K34" s="752">
        <v>99.244200000000006</v>
      </c>
      <c r="L34" s="751">
        <v>1.5318999999999999E-2</v>
      </c>
      <c r="M34" s="751">
        <v>2.6189999999999998E-3</v>
      </c>
      <c r="N34" s="751">
        <v>-1.17E-3</v>
      </c>
      <c r="O34" s="751">
        <v>1.8186999999999998E-2</v>
      </c>
      <c r="P34" s="751">
        <v>-2.16E-3</v>
      </c>
      <c r="Q34" s="751">
        <v>99.265500000000003</v>
      </c>
      <c r="R34" s="79"/>
      <c r="S34" s="79"/>
    </row>
    <row r="35" spans="1:19">
      <c r="A35" s="749" t="s">
        <v>331</v>
      </c>
      <c r="B35" s="750">
        <v>230</v>
      </c>
      <c r="C35" s="751">
        <v>-9.5099999999999994E-3</v>
      </c>
      <c r="D35" s="751">
        <v>-4.0980000000000003E-2</v>
      </c>
      <c r="E35" s="751">
        <v>-2.2200000000000002E-3</v>
      </c>
      <c r="F35" s="751">
        <v>-2.1199999999999999E-3</v>
      </c>
      <c r="G35" s="751">
        <v>2.7822E-2</v>
      </c>
      <c r="H35" s="751">
        <v>3.6400000000000001E-4</v>
      </c>
      <c r="I35" s="751">
        <v>6.8259999999999996E-3</v>
      </c>
      <c r="J35" s="751">
        <v>-1.277E-2</v>
      </c>
      <c r="K35" s="752">
        <v>100.325</v>
      </c>
      <c r="L35" s="751">
        <v>-1.01E-3</v>
      </c>
      <c r="M35" s="751">
        <v>-7.2399999999999999E-3</v>
      </c>
      <c r="N35" s="751">
        <v>-1.8319999999999999E-2</v>
      </c>
      <c r="O35" s="751">
        <v>-6.0899999999999999E-3</v>
      </c>
      <c r="P35" s="751">
        <v>-2.16E-3</v>
      </c>
      <c r="Q35" s="751">
        <v>100.258</v>
      </c>
      <c r="R35" s="79"/>
      <c r="S35" s="79"/>
    </row>
    <row r="36" spans="1:19">
      <c r="A36" s="749" t="s">
        <v>331</v>
      </c>
      <c r="B36" s="750">
        <v>231</v>
      </c>
      <c r="C36" s="751">
        <v>-1.0240000000000001E-2</v>
      </c>
      <c r="D36" s="751">
        <v>-4.623E-2</v>
      </c>
      <c r="E36" s="751">
        <v>3.9240000000000004E-3</v>
      </c>
      <c r="F36" s="751">
        <v>1.1646999999999999E-2</v>
      </c>
      <c r="G36" s="751">
        <v>3.6901999999999997E-2</v>
      </c>
      <c r="H36" s="751">
        <v>-6.6299999999999996E-3</v>
      </c>
      <c r="I36" s="751">
        <v>1.6161999999999999E-2</v>
      </c>
      <c r="J36" s="751">
        <v>-1.6199999999999999E-3</v>
      </c>
      <c r="K36" s="752">
        <v>99.797200000000004</v>
      </c>
      <c r="L36" s="751">
        <v>-7.4870000000000006E-2</v>
      </c>
      <c r="M36" s="751">
        <v>5.6179999999999997E-3</v>
      </c>
      <c r="N36" s="751">
        <v>-1.2800000000000001E-3</v>
      </c>
      <c r="O36" s="751">
        <v>-8.8999999999999999E-3</v>
      </c>
      <c r="P36" s="751">
        <v>-2.1700000000000001E-3</v>
      </c>
      <c r="Q36" s="751">
        <v>99.719499999999996</v>
      </c>
      <c r="R36" s="79"/>
      <c r="S36" s="79"/>
    </row>
    <row r="37" spans="1:19">
      <c r="A37" s="749" t="s">
        <v>331</v>
      </c>
      <c r="B37" s="750">
        <v>232</v>
      </c>
      <c r="C37" s="751">
        <v>-1.5129999999999999E-2</v>
      </c>
      <c r="D37" s="751">
        <v>-4.7010000000000003E-2</v>
      </c>
      <c r="E37" s="751">
        <v>4.7730000000000003E-3</v>
      </c>
      <c r="F37" s="751">
        <v>-6.28E-3</v>
      </c>
      <c r="G37" s="751">
        <v>3.2052999999999998E-2</v>
      </c>
      <c r="H37" s="751">
        <v>7.3850000000000001E-3</v>
      </c>
      <c r="I37" s="751">
        <v>-1.67E-3</v>
      </c>
      <c r="J37" s="751">
        <v>7.4580000000000002E-3</v>
      </c>
      <c r="K37" s="752">
        <v>99.819699999999997</v>
      </c>
      <c r="L37" s="751">
        <v>7.9312999999999995E-2</v>
      </c>
      <c r="M37" s="751">
        <v>1.4859999999999999E-3</v>
      </c>
      <c r="N37" s="751">
        <v>-1.9019999999999999E-2</v>
      </c>
      <c r="O37" s="751">
        <v>-1.217E-2</v>
      </c>
      <c r="P37" s="751">
        <v>-2.16E-3</v>
      </c>
      <c r="Q37" s="751">
        <v>99.848799999999997</v>
      </c>
      <c r="R37" s="79"/>
      <c r="S37" s="79"/>
    </row>
    <row r="38" spans="1:19">
      <c r="A38" s="749" t="s">
        <v>331</v>
      </c>
      <c r="B38" s="750">
        <v>365</v>
      </c>
      <c r="C38" s="751">
        <v>-7.4099999999999999E-3</v>
      </c>
      <c r="D38" s="751">
        <v>-2.4559999999999998E-2</v>
      </c>
      <c r="E38" s="751">
        <v>1.807E-3</v>
      </c>
      <c r="F38" s="751">
        <v>5.6299999999999996E-3</v>
      </c>
      <c r="G38" s="751">
        <v>3.7367999999999998E-2</v>
      </c>
      <c r="H38" s="751">
        <v>3.5910999999999998E-2</v>
      </c>
      <c r="I38" s="751">
        <v>-3.4199999999999999E-3</v>
      </c>
      <c r="J38" s="751">
        <v>-8.8699999999999994E-3</v>
      </c>
      <c r="K38" s="752">
        <v>99.238299999999995</v>
      </c>
      <c r="L38" s="751">
        <v>-7.3999999999999999E-4</v>
      </c>
      <c r="M38" s="751">
        <v>6.502E-3</v>
      </c>
      <c r="N38" s="751">
        <v>1.8641000000000001E-2</v>
      </c>
      <c r="O38" s="751">
        <v>8.1759999999999992E-3</v>
      </c>
      <c r="P38" s="751">
        <v>-2.1700000000000001E-3</v>
      </c>
      <c r="Q38" s="751">
        <v>99.305099999999996</v>
      </c>
      <c r="R38" s="79"/>
      <c r="S38" s="79"/>
    </row>
    <row r="39" spans="1:19">
      <c r="A39" s="749" t="s">
        <v>331</v>
      </c>
      <c r="B39" s="750">
        <v>366</v>
      </c>
      <c r="C39" s="751">
        <v>-1.431E-2</v>
      </c>
      <c r="D39" s="751">
        <v>-3.1320000000000001E-2</v>
      </c>
      <c r="E39" s="751">
        <v>-3.63E-3</v>
      </c>
      <c r="F39" s="751">
        <v>-6.7000000000000002E-4</v>
      </c>
      <c r="G39" s="751">
        <v>2.8105000000000002E-2</v>
      </c>
      <c r="H39" s="751">
        <v>-9.1500000000000001E-3</v>
      </c>
      <c r="I39" s="751">
        <v>-4.3200000000000001E-3</v>
      </c>
      <c r="J39" s="751">
        <v>9.6000000000000002E-4</v>
      </c>
      <c r="K39" s="752">
        <v>100.578</v>
      </c>
      <c r="L39" s="751">
        <v>-2.4989999999999998E-2</v>
      </c>
      <c r="M39" s="751">
        <v>6.1850000000000004E-3</v>
      </c>
      <c r="N39" s="751">
        <v>-8.2799999999999992E-3</v>
      </c>
      <c r="O39" s="751">
        <v>-3.2100000000000002E-3</v>
      </c>
      <c r="P39" s="751">
        <v>-2.1700000000000001E-3</v>
      </c>
      <c r="Q39" s="751">
        <v>100.511</v>
      </c>
      <c r="R39" s="79"/>
      <c r="S39" s="79"/>
    </row>
    <row r="40" spans="1:19">
      <c r="A40" s="749" t="s">
        <v>331</v>
      </c>
      <c r="B40" s="750">
        <v>367</v>
      </c>
      <c r="C40" s="751">
        <v>-5.3899999999999998E-3</v>
      </c>
      <c r="D40" s="751">
        <v>-1.8749999999999999E-2</v>
      </c>
      <c r="E40" s="751">
        <v>6.5529999999999998E-3</v>
      </c>
      <c r="F40" s="751">
        <v>3.0669999999999998E-3</v>
      </c>
      <c r="G40" s="751">
        <v>3.3972000000000002E-2</v>
      </c>
      <c r="H40" s="751">
        <v>-2.6540000000000001E-2</v>
      </c>
      <c r="I40" s="751">
        <v>1.5560000000000001E-3</v>
      </c>
      <c r="J40" s="751">
        <v>5.6360000000000004E-3</v>
      </c>
      <c r="K40" s="752">
        <v>100.123</v>
      </c>
      <c r="L40" s="751">
        <v>3.2363999999999997E-2</v>
      </c>
      <c r="M40" s="751">
        <v>4.1999999999999998E-5</v>
      </c>
      <c r="N40" s="751">
        <v>-4.7200000000000002E-3</v>
      </c>
      <c r="O40" s="751">
        <v>1.5325E-2</v>
      </c>
      <c r="P40" s="751">
        <v>-2.16E-3</v>
      </c>
      <c r="Q40" s="751">
        <v>100.164</v>
      </c>
      <c r="R40" s="79"/>
      <c r="S40" s="79"/>
    </row>
    <row r="41" spans="1:19">
      <c r="A41" s="749" t="s">
        <v>331</v>
      </c>
      <c r="B41" s="750">
        <v>482</v>
      </c>
      <c r="C41" s="751">
        <v>-1.1220000000000001E-2</v>
      </c>
      <c r="D41" s="751">
        <v>-4.8590000000000001E-2</v>
      </c>
      <c r="E41" s="751">
        <v>-1.58E-3</v>
      </c>
      <c r="F41" s="751">
        <v>-1.8400000000000001E-3</v>
      </c>
      <c r="G41" s="751">
        <v>1.7391E-2</v>
      </c>
      <c r="H41" s="751">
        <v>4.8710000000000003E-3</v>
      </c>
      <c r="I41" s="751">
        <v>-3.0599999999999998E-3</v>
      </c>
      <c r="J41" s="751">
        <v>3.3379999999999998E-3</v>
      </c>
      <c r="K41" s="752">
        <v>100.09699999999999</v>
      </c>
      <c r="L41" s="751">
        <v>-3.0079999999999999E-2</v>
      </c>
      <c r="M41" s="751">
        <v>6.8800000000000003E-4</v>
      </c>
      <c r="N41" s="751">
        <v>-4.4999999999999997E-3</v>
      </c>
      <c r="O41" s="751">
        <v>-6.105E-2</v>
      </c>
      <c r="P41" s="751">
        <v>-2.1700000000000001E-3</v>
      </c>
      <c r="Q41" s="751">
        <v>99.959400000000002</v>
      </c>
      <c r="R41" s="79"/>
      <c r="S41" s="79"/>
    </row>
    <row r="42" spans="1:19">
      <c r="A42" s="749" t="s">
        <v>331</v>
      </c>
      <c r="B42" s="750">
        <v>483</v>
      </c>
      <c r="C42" s="751">
        <v>-4.4999999999999997E-3</v>
      </c>
      <c r="D42" s="751">
        <v>-4.6879999999999998E-2</v>
      </c>
      <c r="E42" s="751">
        <v>1.093E-3</v>
      </c>
      <c r="F42" s="751">
        <v>1.928E-3</v>
      </c>
      <c r="G42" s="751">
        <v>1.6142E-2</v>
      </c>
      <c r="H42" s="751">
        <v>-1E-3</v>
      </c>
      <c r="I42" s="751">
        <v>-3.0699999999999998E-3</v>
      </c>
      <c r="J42" s="751">
        <v>1.3190000000000001E-3</v>
      </c>
      <c r="K42" s="752">
        <v>100.54</v>
      </c>
      <c r="L42" s="751">
        <v>-8.6599999999999993E-3</v>
      </c>
      <c r="M42" s="751">
        <v>1.0839999999999999E-3</v>
      </c>
      <c r="N42" s="751">
        <v>-4.96E-3</v>
      </c>
      <c r="O42" s="751">
        <v>-2.376E-2</v>
      </c>
      <c r="P42" s="751">
        <v>-2.1700000000000001E-3</v>
      </c>
      <c r="Q42" s="751">
        <v>100.467</v>
      </c>
      <c r="R42" s="79"/>
      <c r="S42" s="79"/>
    </row>
    <row r="43" spans="1:19">
      <c r="A43" s="749" t="s">
        <v>331</v>
      </c>
      <c r="B43" s="750">
        <v>484</v>
      </c>
      <c r="C43" s="751">
        <v>-8.5000000000000006E-3</v>
      </c>
      <c r="D43" s="751">
        <v>-5.5190000000000003E-2</v>
      </c>
      <c r="E43" s="751">
        <v>-2.2499999999999998E-3</v>
      </c>
      <c r="F43" s="751">
        <v>-8.4700000000000001E-3</v>
      </c>
      <c r="G43" s="751">
        <v>2.7996E-2</v>
      </c>
      <c r="H43" s="751">
        <v>-4.4600000000000004E-3</v>
      </c>
      <c r="I43" s="751">
        <v>1.09E-3</v>
      </c>
      <c r="J43" s="751">
        <v>1.619E-3</v>
      </c>
      <c r="K43" s="752">
        <v>99.287999999999997</v>
      </c>
      <c r="L43" s="751">
        <v>-1.1950000000000001E-2</v>
      </c>
      <c r="M43" s="751">
        <v>-3.5699999999999998E-3</v>
      </c>
      <c r="N43" s="751">
        <v>-5.4299999999999999E-3</v>
      </c>
      <c r="O43" s="751">
        <v>1.1070999999999999E-2</v>
      </c>
      <c r="P43" s="751">
        <v>-2.1700000000000001E-3</v>
      </c>
      <c r="Q43" s="751">
        <v>99.227800000000002</v>
      </c>
      <c r="R43" s="79"/>
      <c r="S43" s="79"/>
    </row>
    <row r="44" spans="1:19">
      <c r="A44" s="749"/>
      <c r="B44" s="729" t="s">
        <v>344</v>
      </c>
      <c r="C44" s="751"/>
      <c r="D44" s="751"/>
      <c r="E44" s="751"/>
      <c r="F44" s="751"/>
      <c r="G44" s="751"/>
      <c r="H44" s="751"/>
      <c r="I44" s="751"/>
      <c r="J44" s="751"/>
      <c r="K44" s="751">
        <f>_xlfn.STDEV.S(K32:K43)</f>
        <v>0.49757554291694472</v>
      </c>
      <c r="L44" s="751"/>
      <c r="M44" s="751"/>
      <c r="N44" s="751"/>
      <c r="O44" s="751"/>
      <c r="P44" s="751"/>
      <c r="Q44" s="751"/>
      <c r="R44" s="79"/>
      <c r="S44" s="79"/>
    </row>
    <row r="45" spans="1:19">
      <c r="A45" s="749"/>
      <c r="B45" s="729" t="s">
        <v>345</v>
      </c>
      <c r="C45" s="751"/>
      <c r="D45" s="751"/>
      <c r="E45" s="751"/>
      <c r="F45" s="751"/>
      <c r="G45" s="751"/>
      <c r="H45" s="751"/>
      <c r="I45" s="751"/>
      <c r="J45" s="751"/>
      <c r="K45" s="752">
        <f>_xlfn.STDEV.S(K32:K43)/SQRT(COUNT(K32:K43))</f>
        <v>0.14363768682263611</v>
      </c>
      <c r="L45" s="751"/>
      <c r="M45" s="751"/>
      <c r="N45" s="751"/>
      <c r="O45" s="751"/>
      <c r="P45" s="751"/>
      <c r="Q45" s="751"/>
      <c r="R45" s="79"/>
      <c r="S45" s="79"/>
    </row>
    <row r="46" spans="1:19">
      <c r="A46" s="749"/>
      <c r="B46" s="732" t="s">
        <v>346</v>
      </c>
      <c r="C46" s="751"/>
      <c r="D46" s="751"/>
      <c r="E46" s="751"/>
      <c r="F46" s="751"/>
      <c r="G46" s="751"/>
      <c r="H46" s="751"/>
      <c r="I46" s="751"/>
      <c r="J46" s="751"/>
      <c r="K46" s="753">
        <f>(K45/AVERAGE(K32:K43))</f>
        <v>1.4366864741615429E-3</v>
      </c>
      <c r="L46" s="751"/>
      <c r="M46" s="751"/>
      <c r="N46" s="751"/>
      <c r="O46" s="751"/>
      <c r="P46" s="751"/>
      <c r="Q46" s="751"/>
      <c r="R46" s="79"/>
      <c r="S46" s="79"/>
    </row>
    <row r="47" spans="1:19">
      <c r="A47" s="749"/>
      <c r="B47" s="750"/>
      <c r="C47" s="751"/>
      <c r="D47" s="751"/>
      <c r="E47" s="751"/>
      <c r="F47" s="751"/>
      <c r="G47" s="751"/>
      <c r="H47" s="751"/>
      <c r="I47" s="751"/>
      <c r="J47" s="751"/>
      <c r="K47" s="751"/>
      <c r="L47" s="751"/>
      <c r="M47" s="751"/>
      <c r="N47" s="751"/>
      <c r="O47" s="751"/>
      <c r="P47" s="751"/>
      <c r="Q47" s="751"/>
      <c r="R47" s="79"/>
      <c r="S47" s="79"/>
    </row>
    <row r="48" spans="1:19">
      <c r="A48" s="749"/>
      <c r="B48" s="750"/>
      <c r="C48" s="751"/>
      <c r="D48" s="751"/>
      <c r="E48" s="751"/>
      <c r="F48" s="751"/>
      <c r="G48" s="751"/>
      <c r="H48" s="751"/>
      <c r="I48" s="751"/>
      <c r="J48" s="751"/>
      <c r="K48" s="751"/>
      <c r="L48" s="751"/>
      <c r="M48" s="751"/>
      <c r="N48" s="751"/>
      <c r="O48" s="751"/>
      <c r="P48" s="751"/>
      <c r="Q48" s="751"/>
      <c r="R48" s="79"/>
      <c r="S48" s="79"/>
    </row>
    <row r="49" spans="1:19">
      <c r="A49" s="743" t="s">
        <v>318</v>
      </c>
      <c r="B49" s="744" t="s">
        <v>354</v>
      </c>
      <c r="C49" s="746" t="s">
        <v>184</v>
      </c>
      <c r="D49" s="746" t="s">
        <v>178</v>
      </c>
      <c r="E49" s="746" t="s">
        <v>335</v>
      </c>
      <c r="F49" s="746" t="s">
        <v>336</v>
      </c>
      <c r="G49" s="746" t="s">
        <v>180</v>
      </c>
      <c r="H49" s="746" t="s">
        <v>703</v>
      </c>
      <c r="I49" s="746" t="s">
        <v>337</v>
      </c>
      <c r="J49" s="746" t="s">
        <v>338</v>
      </c>
      <c r="K49" s="746" t="s">
        <v>179</v>
      </c>
      <c r="L49" s="744" t="s">
        <v>187</v>
      </c>
      <c r="M49" s="746" t="s">
        <v>339</v>
      </c>
      <c r="N49" s="754" t="s">
        <v>340</v>
      </c>
      <c r="O49" s="746" t="s">
        <v>186</v>
      </c>
      <c r="P49" s="746" t="s">
        <v>341</v>
      </c>
      <c r="Q49" s="746" t="s">
        <v>342</v>
      </c>
      <c r="R49" s="79"/>
      <c r="S49" s="79"/>
    </row>
    <row r="50" spans="1:19" s="80" customFormat="1">
      <c r="A50" s="747" t="s">
        <v>333</v>
      </c>
      <c r="B50" s="748" t="s">
        <v>722</v>
      </c>
      <c r="C50" s="748" t="s">
        <v>343</v>
      </c>
      <c r="D50" s="748" t="s">
        <v>343</v>
      </c>
      <c r="E50" s="748" t="s">
        <v>343</v>
      </c>
      <c r="F50" s="748" t="s">
        <v>343</v>
      </c>
      <c r="G50" s="748" t="s">
        <v>343</v>
      </c>
      <c r="H50" s="748" t="s">
        <v>343</v>
      </c>
      <c r="I50" s="748" t="s">
        <v>343</v>
      </c>
      <c r="J50" s="748" t="s">
        <v>343</v>
      </c>
      <c r="K50" s="748" t="s">
        <v>343</v>
      </c>
      <c r="L50" s="748" t="s">
        <v>343</v>
      </c>
      <c r="M50" s="748" t="s">
        <v>343</v>
      </c>
      <c r="N50" s="748">
        <v>100.001</v>
      </c>
      <c r="O50" s="748" t="s">
        <v>343</v>
      </c>
      <c r="P50" s="748">
        <v>-1E-3</v>
      </c>
      <c r="Q50" s="748">
        <v>100</v>
      </c>
      <c r="R50" s="77"/>
      <c r="S50" s="77"/>
    </row>
    <row r="51" spans="1:19">
      <c r="A51" s="749" t="s">
        <v>333</v>
      </c>
      <c r="B51" s="750">
        <v>10</v>
      </c>
      <c r="C51" s="751">
        <v>7.0520000000000001E-3</v>
      </c>
      <c r="D51" s="751">
        <v>-5.2699999999999997E-2</v>
      </c>
      <c r="E51" s="751">
        <v>1.462E-3</v>
      </c>
      <c r="F51" s="751">
        <v>-5.6919999999999998E-2</v>
      </c>
      <c r="G51" s="751">
        <v>-9.6399999999999993E-3</v>
      </c>
      <c r="H51" s="751">
        <v>8.1469999999999997E-3</v>
      </c>
      <c r="I51" s="751">
        <v>-1E-4</v>
      </c>
      <c r="J51" s="751">
        <v>2.813E-3</v>
      </c>
      <c r="K51" s="751">
        <v>-3.0899999999999999E-3</v>
      </c>
      <c r="L51" s="751">
        <v>-7.6850000000000002E-2</v>
      </c>
      <c r="M51" s="751">
        <v>6.6239999999999997E-3</v>
      </c>
      <c r="N51" s="752">
        <v>99.9529</v>
      </c>
      <c r="O51" s="751">
        <v>-2.6669999999999999E-2</v>
      </c>
      <c r="P51" s="751">
        <v>-1.17E-3</v>
      </c>
      <c r="Q51" s="751">
        <v>99.751900000000006</v>
      </c>
      <c r="R51" s="79"/>
      <c r="S51" s="79"/>
    </row>
    <row r="52" spans="1:19">
      <c r="A52" s="749" t="s">
        <v>333</v>
      </c>
      <c r="B52" s="750">
        <v>11</v>
      </c>
      <c r="C52" s="751">
        <v>5.3109999999999997E-3</v>
      </c>
      <c r="D52" s="751">
        <v>-6.4259999999999998E-2</v>
      </c>
      <c r="E52" s="751">
        <v>3.3990000000000001E-3</v>
      </c>
      <c r="F52" s="751">
        <v>-5.2400000000000002E-2</v>
      </c>
      <c r="G52" s="751">
        <v>-1.4919999999999999E-2</v>
      </c>
      <c r="H52" s="751">
        <v>-9.0200000000000002E-3</v>
      </c>
      <c r="I52" s="751">
        <v>-7.2300000000000003E-3</v>
      </c>
      <c r="J52" s="751">
        <v>-5.1399999999999996E-3</v>
      </c>
      <c r="K52" s="751">
        <v>8.1658999999999995E-2</v>
      </c>
      <c r="L52" s="751">
        <v>-2.9420000000000002E-2</v>
      </c>
      <c r="M52" s="751">
        <v>-4.8900000000000002E-3</v>
      </c>
      <c r="N52" s="752">
        <v>99.999200000000002</v>
      </c>
      <c r="O52" s="751">
        <v>7.2899999999999996E-3</v>
      </c>
      <c r="P52" s="751">
        <v>-1.17E-3</v>
      </c>
      <c r="Q52" s="751">
        <v>99.9084</v>
      </c>
      <c r="R52" s="79"/>
      <c r="S52" s="79"/>
    </row>
    <row r="53" spans="1:19">
      <c r="A53" s="749" t="s">
        <v>333</v>
      </c>
      <c r="B53" s="750">
        <v>12</v>
      </c>
      <c r="C53" s="751">
        <v>-6.45E-3</v>
      </c>
      <c r="D53" s="751">
        <v>-6.8559999999999996E-2</v>
      </c>
      <c r="E53" s="751">
        <v>-7.8100000000000001E-3</v>
      </c>
      <c r="F53" s="751">
        <v>-5.9859999999999997E-2</v>
      </c>
      <c r="G53" s="751">
        <v>-8.9200000000000008E-3</v>
      </c>
      <c r="H53" s="751">
        <v>5.3899999999999998E-4</v>
      </c>
      <c r="I53" s="751">
        <v>1.4499999999999999E-3</v>
      </c>
      <c r="J53" s="751">
        <v>-2.0699999999999998E-3</v>
      </c>
      <c r="K53" s="751">
        <v>-5.4210000000000001E-2</v>
      </c>
      <c r="L53" s="751">
        <v>-0.12792000000000001</v>
      </c>
      <c r="M53" s="751">
        <v>-5.77E-3</v>
      </c>
      <c r="N53" s="752">
        <v>100.009</v>
      </c>
      <c r="O53" s="751">
        <v>-1.06E-2</v>
      </c>
      <c r="P53" s="751">
        <v>-1.17E-3</v>
      </c>
      <c r="Q53" s="751">
        <v>99.658100000000005</v>
      </c>
      <c r="R53" s="79"/>
      <c r="S53" s="79"/>
    </row>
    <row r="54" spans="1:19">
      <c r="A54" s="749" t="s">
        <v>333</v>
      </c>
      <c r="B54" s="750">
        <v>233</v>
      </c>
      <c r="C54" s="751">
        <v>-1.17E-2</v>
      </c>
      <c r="D54" s="751">
        <v>-6.5640000000000004E-2</v>
      </c>
      <c r="E54" s="751">
        <v>-5.8E-4</v>
      </c>
      <c r="F54" s="751">
        <v>-4.2099999999999999E-2</v>
      </c>
      <c r="G54" s="751">
        <v>-1.342E-2</v>
      </c>
      <c r="H54" s="751">
        <v>-3.022E-2</v>
      </c>
      <c r="I54" s="751">
        <v>-9.8700000000000003E-3</v>
      </c>
      <c r="J54" s="751">
        <v>7.672E-3</v>
      </c>
      <c r="K54" s="751">
        <v>1.7096E-2</v>
      </c>
      <c r="L54" s="751">
        <v>4.7679999999999997E-3</v>
      </c>
      <c r="M54" s="751">
        <v>-3.4499999999999999E-3</v>
      </c>
      <c r="N54" s="752">
        <v>100.02500000000001</v>
      </c>
      <c r="O54" s="751">
        <v>-2.4119999999999999E-2</v>
      </c>
      <c r="P54" s="751">
        <v>-1.16E-3</v>
      </c>
      <c r="Q54" s="751">
        <v>99.852199999999996</v>
      </c>
      <c r="R54" s="79"/>
      <c r="S54" s="79"/>
    </row>
    <row r="55" spans="1:19">
      <c r="A55" s="749" t="s">
        <v>333</v>
      </c>
      <c r="B55" s="750">
        <v>234</v>
      </c>
      <c r="C55" s="751">
        <v>-1.7080000000000001E-2</v>
      </c>
      <c r="D55" s="751">
        <v>-5.3100000000000001E-2</v>
      </c>
      <c r="E55" s="751">
        <v>-9.7999999999999997E-3</v>
      </c>
      <c r="F55" s="751">
        <v>-4.36E-2</v>
      </c>
      <c r="G55" s="751">
        <v>-1.346E-2</v>
      </c>
      <c r="H55" s="751">
        <v>-7.4599999999999996E-3</v>
      </c>
      <c r="I55" s="751">
        <v>8.5970000000000005E-3</v>
      </c>
      <c r="J55" s="751">
        <v>-5.0400000000000002E-3</v>
      </c>
      <c r="K55" s="751">
        <v>-8.3000000000000001E-4</v>
      </c>
      <c r="L55" s="751">
        <v>-9.1230000000000006E-2</v>
      </c>
      <c r="M55" s="751">
        <v>-9.4599999999999997E-3</v>
      </c>
      <c r="N55" s="752">
        <v>99.868700000000004</v>
      </c>
      <c r="O55" s="751">
        <v>1.2449E-2</v>
      </c>
      <c r="P55" s="751">
        <v>-1.17E-3</v>
      </c>
      <c r="Q55" s="751">
        <v>99.637600000000006</v>
      </c>
      <c r="R55" s="79"/>
      <c r="S55" s="79"/>
    </row>
    <row r="56" spans="1:19">
      <c r="A56" s="749" t="s">
        <v>333</v>
      </c>
      <c r="B56" s="750">
        <v>235</v>
      </c>
      <c r="C56" s="751">
        <v>-9.9699999999999997E-3</v>
      </c>
      <c r="D56" s="751">
        <v>-6.2359999999999999E-2</v>
      </c>
      <c r="E56" s="751">
        <v>7.0689999999999998E-3</v>
      </c>
      <c r="F56" s="751">
        <v>-4.4929999999999998E-2</v>
      </c>
      <c r="G56" s="751">
        <v>-2.2899999999999999E-3</v>
      </c>
      <c r="H56" s="751">
        <v>3.7294000000000001E-2</v>
      </c>
      <c r="I56" s="751">
        <v>5.5529999999999998E-3</v>
      </c>
      <c r="J56" s="751">
        <v>-3.48E-3</v>
      </c>
      <c r="K56" s="751">
        <v>2.4593E-2</v>
      </c>
      <c r="L56" s="751">
        <v>-4.0399999999999998E-2</v>
      </c>
      <c r="M56" s="751">
        <v>9.9600000000000001E-3</v>
      </c>
      <c r="N56" s="752">
        <v>100.069</v>
      </c>
      <c r="O56" s="751">
        <v>1.1273999999999999E-2</v>
      </c>
      <c r="P56" s="751">
        <v>-1.17E-3</v>
      </c>
      <c r="Q56" s="751">
        <v>100</v>
      </c>
      <c r="R56" s="79"/>
      <c r="S56" s="79"/>
    </row>
    <row r="57" spans="1:19">
      <c r="A57" s="749" t="s">
        <v>333</v>
      </c>
      <c r="B57" s="750">
        <v>368</v>
      </c>
      <c r="C57" s="751">
        <v>-4.2700000000000004E-3</v>
      </c>
      <c r="D57" s="751">
        <v>-3.662E-2</v>
      </c>
      <c r="E57" s="751">
        <v>-5.3E-3</v>
      </c>
      <c r="F57" s="751">
        <v>-4.3950000000000003E-2</v>
      </c>
      <c r="G57" s="751">
        <v>-7.4200000000000004E-3</v>
      </c>
      <c r="H57" s="751">
        <v>-3.7420000000000002E-2</v>
      </c>
      <c r="I57" s="751">
        <v>1.2979999999999999E-3</v>
      </c>
      <c r="J57" s="751">
        <v>-1.3979999999999999E-2</v>
      </c>
      <c r="K57" s="751">
        <v>2.6268E-2</v>
      </c>
      <c r="L57" s="751">
        <v>-7.5929999999999997E-2</v>
      </c>
      <c r="M57" s="751">
        <v>5.744E-3</v>
      </c>
      <c r="N57" s="752">
        <v>99.882400000000004</v>
      </c>
      <c r="O57" s="751">
        <v>-3.6949999999999997E-2</v>
      </c>
      <c r="P57" s="751">
        <v>-1.17E-3</v>
      </c>
      <c r="Q57" s="751">
        <v>99.652699999999996</v>
      </c>
      <c r="R57" s="79"/>
      <c r="S57" s="79"/>
    </row>
    <row r="58" spans="1:19">
      <c r="A58" s="749" t="s">
        <v>333</v>
      </c>
      <c r="B58" s="750">
        <v>369</v>
      </c>
      <c r="C58" s="751">
        <v>2.1718999999999999E-2</v>
      </c>
      <c r="D58" s="751">
        <v>-4.9119999999999997E-2</v>
      </c>
      <c r="E58" s="751">
        <v>-6.6299999999999996E-3</v>
      </c>
      <c r="F58" s="751">
        <v>-3.9710000000000002E-2</v>
      </c>
      <c r="G58" s="751">
        <v>-2.8300000000000001E-3</v>
      </c>
      <c r="H58" s="751">
        <v>4.4290000000000003E-2</v>
      </c>
      <c r="I58" s="751">
        <v>-1.6389999999999998E-2</v>
      </c>
      <c r="J58" s="751">
        <v>-6.9999999999999994E-5</v>
      </c>
      <c r="K58" s="751">
        <v>-2.589E-2</v>
      </c>
      <c r="L58" s="751">
        <v>-9.511E-2</v>
      </c>
      <c r="M58" s="751">
        <v>7.6860000000000001E-3</v>
      </c>
      <c r="N58" s="752">
        <v>100.06699999999999</v>
      </c>
      <c r="O58" s="751">
        <v>2.0101000000000001E-2</v>
      </c>
      <c r="P58" s="751">
        <v>-1.16E-3</v>
      </c>
      <c r="Q58" s="751">
        <v>99.923400000000001</v>
      </c>
      <c r="R58" s="79"/>
      <c r="S58" s="79"/>
    </row>
    <row r="59" spans="1:19">
      <c r="A59" s="749" t="s">
        <v>333</v>
      </c>
      <c r="B59" s="750">
        <v>370</v>
      </c>
      <c r="C59" s="751">
        <v>-2.5100000000000001E-3</v>
      </c>
      <c r="D59" s="751">
        <v>-4.002E-2</v>
      </c>
      <c r="E59" s="751">
        <v>-1.01E-3</v>
      </c>
      <c r="F59" s="751">
        <v>-4.5359999999999998E-2</v>
      </c>
      <c r="G59" s="751">
        <v>-3.8700000000000002E-3</v>
      </c>
      <c r="H59" s="751">
        <v>-7.28E-3</v>
      </c>
      <c r="I59" s="751">
        <v>7.3700000000000002E-4</v>
      </c>
      <c r="J59" s="751">
        <v>-2.3500000000000001E-3</v>
      </c>
      <c r="K59" s="751">
        <v>-6.2850000000000003E-2</v>
      </c>
      <c r="L59" s="751">
        <v>-9.4390000000000002E-2</v>
      </c>
      <c r="M59" s="751">
        <v>-6.8000000000000005E-4</v>
      </c>
      <c r="N59" s="752">
        <v>100.021</v>
      </c>
      <c r="O59" s="751">
        <v>5.0140000000000002E-3</v>
      </c>
      <c r="P59" s="751">
        <v>-1.17E-3</v>
      </c>
      <c r="Q59" s="751">
        <v>99.765000000000001</v>
      </c>
      <c r="R59" s="79"/>
      <c r="S59" s="79"/>
    </row>
    <row r="60" spans="1:19">
      <c r="A60" s="749" t="s">
        <v>333</v>
      </c>
      <c r="B60" s="750">
        <v>485</v>
      </c>
      <c r="C60" s="751">
        <v>4.4689999999999999E-3</v>
      </c>
      <c r="D60" s="751">
        <v>-8.5419999999999996E-2</v>
      </c>
      <c r="E60" s="751">
        <v>5.8E-4</v>
      </c>
      <c r="F60" s="751">
        <v>-4.521E-2</v>
      </c>
      <c r="G60" s="751">
        <v>1.8389999999999999E-3</v>
      </c>
      <c r="H60" s="751">
        <v>-3.4180000000000002E-2</v>
      </c>
      <c r="I60" s="751">
        <v>3.3579999999999999E-3</v>
      </c>
      <c r="J60" s="751">
        <v>-7.0800000000000004E-3</v>
      </c>
      <c r="K60" s="751">
        <v>-7.238E-2</v>
      </c>
      <c r="L60" s="751">
        <v>-7.5050000000000006E-2</v>
      </c>
      <c r="M60" s="751">
        <v>-1.2600000000000001E-3</v>
      </c>
      <c r="N60" s="752">
        <v>100.029</v>
      </c>
      <c r="O60" s="751">
        <v>6.1749999999999999E-3</v>
      </c>
      <c r="P60" s="751">
        <v>-1.17E-3</v>
      </c>
      <c r="Q60" s="751">
        <v>99.723600000000005</v>
      </c>
      <c r="R60" s="79"/>
      <c r="S60" s="79"/>
    </row>
    <row r="61" spans="1:19">
      <c r="A61" s="749" t="s">
        <v>333</v>
      </c>
      <c r="B61" s="750">
        <v>486</v>
      </c>
      <c r="C61" s="751">
        <v>7.9039999999999996E-3</v>
      </c>
      <c r="D61" s="751">
        <v>-7.4950000000000003E-2</v>
      </c>
      <c r="E61" s="751">
        <v>-4.0000000000000003E-5</v>
      </c>
      <c r="F61" s="751">
        <v>-5.067E-2</v>
      </c>
      <c r="G61" s="751">
        <v>-1.137E-2</v>
      </c>
      <c r="H61" s="751">
        <v>4.3414000000000001E-2</v>
      </c>
      <c r="I61" s="751">
        <v>-1.617E-2</v>
      </c>
      <c r="J61" s="751">
        <v>-3.4499999999999999E-3</v>
      </c>
      <c r="K61" s="751">
        <v>3.3453999999999998E-2</v>
      </c>
      <c r="L61" s="751">
        <v>-4.6800000000000001E-2</v>
      </c>
      <c r="M61" s="751">
        <v>9.4769999999999993E-3</v>
      </c>
      <c r="N61" s="752">
        <v>99.936899999999994</v>
      </c>
      <c r="O61" s="751">
        <v>-1.958E-2</v>
      </c>
      <c r="P61" s="751">
        <v>-1.17E-3</v>
      </c>
      <c r="Q61" s="751">
        <v>99.806899999999999</v>
      </c>
      <c r="R61" s="79"/>
      <c r="S61" s="79"/>
    </row>
    <row r="62" spans="1:19">
      <c r="A62" s="749" t="s">
        <v>333</v>
      </c>
      <c r="B62" s="750">
        <v>487</v>
      </c>
      <c r="C62" s="751">
        <v>3.6229999999999999E-3</v>
      </c>
      <c r="D62" s="751">
        <v>-8.4540000000000004E-2</v>
      </c>
      <c r="E62" s="751">
        <v>3.643E-3</v>
      </c>
      <c r="F62" s="751">
        <v>-4.3400000000000001E-2</v>
      </c>
      <c r="G62" s="751">
        <v>-5.3E-3</v>
      </c>
      <c r="H62" s="751">
        <v>-9.6799999999999994E-3</v>
      </c>
      <c r="I62" s="751">
        <v>1.5854E-2</v>
      </c>
      <c r="J62" s="751">
        <v>1.6676E-2</v>
      </c>
      <c r="K62" s="751">
        <v>2.2469999999999999E-3</v>
      </c>
      <c r="L62" s="751">
        <v>-5.5980000000000002E-2</v>
      </c>
      <c r="M62" s="751">
        <v>4.1899999999999999E-4</v>
      </c>
      <c r="N62" s="752">
        <v>99.993399999999994</v>
      </c>
      <c r="O62" s="751">
        <v>1.2352E-2</v>
      </c>
      <c r="P62" s="751">
        <v>-1.16E-3</v>
      </c>
      <c r="Q62" s="751">
        <v>99.848200000000006</v>
      </c>
      <c r="R62" s="79"/>
      <c r="S62" s="79"/>
    </row>
    <row r="63" spans="1:19">
      <c r="A63" s="749"/>
      <c r="B63" s="729" t="s">
        <v>344</v>
      </c>
      <c r="C63" s="751"/>
      <c r="D63" s="751"/>
      <c r="E63" s="751"/>
      <c r="F63" s="751"/>
      <c r="G63" s="751"/>
      <c r="H63" s="751"/>
      <c r="I63" s="751"/>
      <c r="J63" s="751"/>
      <c r="K63" s="751"/>
      <c r="L63" s="751"/>
      <c r="M63" s="751"/>
      <c r="N63" s="751">
        <f>_xlfn.STDEV.S(N51:N62)</f>
        <v>6.520119154423272E-2</v>
      </c>
      <c r="O63" s="751"/>
      <c r="P63" s="751"/>
      <c r="Q63" s="751"/>
      <c r="R63" s="79"/>
      <c r="S63" s="79"/>
    </row>
    <row r="64" spans="1:19">
      <c r="A64" s="749"/>
      <c r="B64" s="729" t="s">
        <v>345</v>
      </c>
      <c r="C64" s="751"/>
      <c r="D64" s="751"/>
      <c r="E64" s="751"/>
      <c r="F64" s="751"/>
      <c r="G64" s="751"/>
      <c r="H64" s="751"/>
      <c r="I64" s="751"/>
      <c r="J64" s="751"/>
      <c r="K64" s="751"/>
      <c r="L64" s="751"/>
      <c r="M64" s="751"/>
      <c r="N64" s="752">
        <f>_xlfn.STDEV.S(N51:N62)/SQRT(COUNT(N51:N62))</f>
        <v>1.8821962744773556E-2</v>
      </c>
      <c r="O64" s="751"/>
      <c r="P64" s="751"/>
      <c r="Q64" s="751"/>
      <c r="R64" s="79"/>
      <c r="S64" s="79"/>
    </row>
    <row r="65" spans="1:19">
      <c r="A65" s="749"/>
      <c r="B65" s="732" t="s">
        <v>346</v>
      </c>
      <c r="C65" s="751"/>
      <c r="D65" s="751"/>
      <c r="E65" s="751"/>
      <c r="F65" s="751"/>
      <c r="G65" s="751"/>
      <c r="H65" s="751"/>
      <c r="I65" s="751"/>
      <c r="J65" s="751"/>
      <c r="K65" s="751"/>
      <c r="L65" s="751"/>
      <c r="M65" s="751"/>
      <c r="N65" s="753">
        <f>(N64/AVERAGE(N51:N62))</f>
        <v>1.8824260873288504E-4</v>
      </c>
      <c r="O65" s="751"/>
      <c r="P65" s="751"/>
      <c r="Q65" s="751"/>
      <c r="R65" s="79"/>
      <c r="S65" s="79"/>
    </row>
    <row r="66" spans="1:19">
      <c r="A66" s="749"/>
      <c r="B66" s="750"/>
      <c r="C66" s="751"/>
      <c r="D66" s="751"/>
      <c r="E66" s="751"/>
      <c r="F66" s="751"/>
      <c r="G66" s="751"/>
      <c r="H66" s="751"/>
      <c r="I66" s="751"/>
      <c r="J66" s="751"/>
      <c r="K66" s="751"/>
      <c r="L66" s="751"/>
      <c r="M66" s="751"/>
      <c r="N66" s="751"/>
      <c r="O66" s="751"/>
      <c r="P66" s="751"/>
      <c r="Q66" s="751"/>
      <c r="R66" s="79"/>
      <c r="S66" s="79"/>
    </row>
    <row r="67" spans="1:19">
      <c r="A67" s="749"/>
      <c r="B67" s="750"/>
      <c r="C67" s="751"/>
      <c r="D67" s="751"/>
      <c r="E67" s="751"/>
      <c r="F67" s="751"/>
      <c r="G67" s="751"/>
      <c r="H67" s="751"/>
      <c r="I67" s="751"/>
      <c r="J67" s="751"/>
      <c r="K67" s="751"/>
      <c r="L67" s="751"/>
      <c r="M67" s="751"/>
      <c r="N67" s="751"/>
      <c r="O67" s="751"/>
      <c r="P67" s="751"/>
      <c r="Q67" s="751"/>
      <c r="R67" s="79"/>
      <c r="S67" s="79"/>
    </row>
    <row r="68" spans="1:19">
      <c r="A68" s="743" t="s">
        <v>318</v>
      </c>
      <c r="B68" s="744" t="s">
        <v>354</v>
      </c>
      <c r="C68" s="746" t="s">
        <v>184</v>
      </c>
      <c r="D68" s="746" t="s">
        <v>178</v>
      </c>
      <c r="E68" s="754" t="s">
        <v>335</v>
      </c>
      <c r="F68" s="746" t="s">
        <v>336</v>
      </c>
      <c r="G68" s="746" t="s">
        <v>180</v>
      </c>
      <c r="H68" s="746" t="s">
        <v>703</v>
      </c>
      <c r="I68" s="746" t="s">
        <v>337</v>
      </c>
      <c r="J68" s="746" t="s">
        <v>338</v>
      </c>
      <c r="K68" s="746" t="s">
        <v>179</v>
      </c>
      <c r="L68" s="744" t="s">
        <v>187</v>
      </c>
      <c r="M68" s="746" t="s">
        <v>339</v>
      </c>
      <c r="N68" s="746" t="s">
        <v>340</v>
      </c>
      <c r="O68" s="746" t="s">
        <v>186</v>
      </c>
      <c r="P68" s="746" t="s">
        <v>341</v>
      </c>
      <c r="Q68" s="746" t="s">
        <v>342</v>
      </c>
      <c r="R68" s="79"/>
      <c r="S68" s="79"/>
    </row>
    <row r="69" spans="1:19" s="80" customFormat="1">
      <c r="A69" s="747" t="s">
        <v>326</v>
      </c>
      <c r="B69" s="748" t="s">
        <v>722</v>
      </c>
      <c r="C69" s="748" t="s">
        <v>343</v>
      </c>
      <c r="D69" s="748">
        <v>54.301000000000002</v>
      </c>
      <c r="E69" s="748">
        <v>15.471</v>
      </c>
      <c r="F69" s="748" t="s">
        <v>343</v>
      </c>
      <c r="G69" s="748">
        <v>0.1</v>
      </c>
      <c r="H69" s="748">
        <v>14.42</v>
      </c>
      <c r="I69" s="748">
        <v>14.670999999999999</v>
      </c>
      <c r="J69" s="748" t="s">
        <v>343</v>
      </c>
      <c r="K69" s="748" t="s">
        <v>343</v>
      </c>
      <c r="L69" s="748" t="s">
        <v>343</v>
      </c>
      <c r="M69" s="748" t="s">
        <v>343</v>
      </c>
      <c r="N69" s="748">
        <v>9.9000000000000005E-2</v>
      </c>
      <c r="O69" s="748" t="s">
        <v>343</v>
      </c>
      <c r="P69" s="748">
        <v>1.1200000000000001</v>
      </c>
      <c r="Q69" s="748">
        <v>100.18300000000001</v>
      </c>
      <c r="R69" s="77"/>
      <c r="S69" s="77"/>
    </row>
    <row r="70" spans="1:19">
      <c r="A70" s="749" t="s">
        <v>326</v>
      </c>
      <c r="B70" s="750">
        <v>19</v>
      </c>
      <c r="C70" s="751">
        <v>2.7962999999999998E-2</v>
      </c>
      <c r="D70" s="751">
        <v>54.885199999999998</v>
      </c>
      <c r="E70" s="752">
        <v>15.494400000000001</v>
      </c>
      <c r="F70" s="751">
        <v>3.4499999999999999E-3</v>
      </c>
      <c r="G70" s="751">
        <v>3.4234000000000001E-2</v>
      </c>
      <c r="H70" s="751">
        <v>14.5883</v>
      </c>
      <c r="I70" s="751">
        <v>15.308400000000001</v>
      </c>
      <c r="J70" s="751">
        <v>2.8890000000000001E-3</v>
      </c>
      <c r="K70" s="751">
        <v>4.1932999999999998E-2</v>
      </c>
      <c r="L70" s="751">
        <v>3.7581999999999997E-2</v>
      </c>
      <c r="M70" s="751">
        <v>1.3489999999999999E-3</v>
      </c>
      <c r="N70" s="751">
        <v>0.117988</v>
      </c>
      <c r="O70" s="751">
        <v>-2.9989999999999999E-2</v>
      </c>
      <c r="P70" s="751">
        <v>1.12001</v>
      </c>
      <c r="Q70" s="751">
        <v>101.634</v>
      </c>
      <c r="R70" s="79"/>
      <c r="S70" s="79"/>
    </row>
    <row r="71" spans="1:19">
      <c r="A71" s="749" t="s">
        <v>326</v>
      </c>
      <c r="B71" s="750">
        <v>20</v>
      </c>
      <c r="C71" s="751">
        <v>1.3694E-2</v>
      </c>
      <c r="D71" s="751">
        <v>53.987499999999997</v>
      </c>
      <c r="E71" s="752">
        <v>15.436199999999999</v>
      </c>
      <c r="F71" s="751">
        <v>1.3292E-2</v>
      </c>
      <c r="G71" s="751">
        <v>3.1084000000000001E-2</v>
      </c>
      <c r="H71" s="751">
        <v>14.122999999999999</v>
      </c>
      <c r="I71" s="751">
        <v>15.356299999999999</v>
      </c>
      <c r="J71" s="751">
        <v>-3.46E-3</v>
      </c>
      <c r="K71" s="751">
        <v>-4.965E-2</v>
      </c>
      <c r="L71" s="751">
        <v>2.0884E-2</v>
      </c>
      <c r="M71" s="751">
        <v>1.072E-3</v>
      </c>
      <c r="N71" s="751">
        <v>0.12496400000000001</v>
      </c>
      <c r="O71" s="751">
        <v>5.2469999999999999E-3</v>
      </c>
      <c r="P71" s="751">
        <v>1.1200000000000001</v>
      </c>
      <c r="Q71" s="751">
        <v>100.18</v>
      </c>
      <c r="R71" s="79"/>
      <c r="S71" s="79"/>
    </row>
    <row r="72" spans="1:19">
      <c r="A72" s="749" t="s">
        <v>326</v>
      </c>
      <c r="B72" s="750">
        <v>21</v>
      </c>
      <c r="C72" s="751">
        <v>1.2031E-2</v>
      </c>
      <c r="D72" s="751">
        <v>55.238500000000002</v>
      </c>
      <c r="E72" s="752">
        <v>15.4955</v>
      </c>
      <c r="F72" s="751">
        <v>-1.4599999999999999E-3</v>
      </c>
      <c r="G72" s="751">
        <v>3.9821000000000002E-2</v>
      </c>
      <c r="H72" s="751">
        <v>14.382300000000001</v>
      </c>
      <c r="I72" s="751">
        <v>15.025700000000001</v>
      </c>
      <c r="J72" s="751">
        <v>-6.77E-3</v>
      </c>
      <c r="K72" s="751">
        <v>7.8476000000000004E-2</v>
      </c>
      <c r="L72" s="751">
        <v>4.2445999999999998E-2</v>
      </c>
      <c r="M72" s="751">
        <v>-4.0099999999999997E-3</v>
      </c>
      <c r="N72" s="751">
        <v>0.10285</v>
      </c>
      <c r="O72" s="751">
        <v>2.4403999999999999E-2</v>
      </c>
      <c r="P72" s="751">
        <v>1.1200000000000001</v>
      </c>
      <c r="Q72" s="751">
        <v>101.55</v>
      </c>
      <c r="R72" s="79"/>
      <c r="S72" s="79"/>
    </row>
    <row r="73" spans="1:19">
      <c r="A73" s="749" t="s">
        <v>326</v>
      </c>
      <c r="B73" s="750">
        <v>242</v>
      </c>
      <c r="C73" s="751">
        <v>9.0980000000000002E-3</v>
      </c>
      <c r="D73" s="751">
        <v>55.317</v>
      </c>
      <c r="E73" s="752">
        <v>15.3384</v>
      </c>
      <c r="F73" s="751">
        <v>1.1882E-2</v>
      </c>
      <c r="G73" s="751">
        <v>3.1910000000000001E-2</v>
      </c>
      <c r="H73" s="751">
        <v>14.5463</v>
      </c>
      <c r="I73" s="751">
        <v>14.928599999999999</v>
      </c>
      <c r="J73" s="751">
        <v>1.4339999999999999E-3</v>
      </c>
      <c r="K73" s="751">
        <v>3.4467999999999999E-2</v>
      </c>
      <c r="L73" s="751">
        <v>-3.2439999999999997E-2</v>
      </c>
      <c r="M73" s="751">
        <v>-8.0999999999999996E-4</v>
      </c>
      <c r="N73" s="751">
        <v>0.1196</v>
      </c>
      <c r="O73" s="751">
        <v>-3.075E-2</v>
      </c>
      <c r="P73" s="751">
        <v>1.11999</v>
      </c>
      <c r="Q73" s="751">
        <v>101.395</v>
      </c>
      <c r="R73" s="79"/>
      <c r="S73" s="79"/>
    </row>
    <row r="74" spans="1:19">
      <c r="A74" s="749" t="s">
        <v>326</v>
      </c>
      <c r="B74" s="750">
        <v>243</v>
      </c>
      <c r="C74" s="751">
        <v>2.9382999999999999E-2</v>
      </c>
      <c r="D74" s="751">
        <v>55.744799999999998</v>
      </c>
      <c r="E74" s="752">
        <v>15.5694</v>
      </c>
      <c r="F74" s="751">
        <v>6.6620000000000004E-3</v>
      </c>
      <c r="G74" s="751">
        <v>3.4313000000000003E-2</v>
      </c>
      <c r="H74" s="751">
        <v>14.3596</v>
      </c>
      <c r="I74" s="751">
        <v>15.0322</v>
      </c>
      <c r="J74" s="751">
        <v>9.1260000000000004E-3</v>
      </c>
      <c r="K74" s="751">
        <v>-9.8799999999999999E-3</v>
      </c>
      <c r="L74" s="751">
        <v>-2.4289999999999999E-2</v>
      </c>
      <c r="M74" s="751">
        <v>3.9100000000000003E-3</v>
      </c>
      <c r="N74" s="751">
        <v>0.14000799999999999</v>
      </c>
      <c r="O74" s="751">
        <v>5.7437000000000002E-2</v>
      </c>
      <c r="P74" s="751">
        <v>1.1200000000000001</v>
      </c>
      <c r="Q74" s="751">
        <v>102.07299999999999</v>
      </c>
      <c r="R74" s="79"/>
      <c r="S74" s="79"/>
    </row>
    <row r="75" spans="1:19">
      <c r="A75" s="749" t="s">
        <v>326</v>
      </c>
      <c r="B75" s="750">
        <v>244</v>
      </c>
      <c r="C75" s="751">
        <v>7.8530000000000006E-3</v>
      </c>
      <c r="D75" s="751">
        <v>55.779000000000003</v>
      </c>
      <c r="E75" s="752">
        <v>15.527900000000001</v>
      </c>
      <c r="F75" s="751">
        <v>2.1410000000000001E-3</v>
      </c>
      <c r="G75" s="751">
        <v>2.6868E-2</v>
      </c>
      <c r="H75" s="751">
        <v>14.5603</v>
      </c>
      <c r="I75" s="751">
        <v>15.271800000000001</v>
      </c>
      <c r="J75" s="751">
        <v>-1.66E-3</v>
      </c>
      <c r="K75" s="751">
        <v>5.7092999999999998E-2</v>
      </c>
      <c r="L75" s="751">
        <v>5.5322999999999997E-2</v>
      </c>
      <c r="M75" s="751">
        <v>3.6579999999999998E-3</v>
      </c>
      <c r="N75" s="751">
        <v>0.132461</v>
      </c>
      <c r="O75" s="751">
        <v>-2.716E-2</v>
      </c>
      <c r="P75" s="751">
        <v>1.1200000000000001</v>
      </c>
      <c r="Q75" s="751">
        <v>102.51600000000001</v>
      </c>
      <c r="R75" s="79"/>
      <c r="S75" s="79"/>
    </row>
    <row r="76" spans="1:19">
      <c r="A76" s="749" t="s">
        <v>326</v>
      </c>
      <c r="B76" s="750">
        <v>377</v>
      </c>
      <c r="C76" s="751">
        <v>1.6836E-2</v>
      </c>
      <c r="D76" s="751">
        <v>56.9148</v>
      </c>
      <c r="E76" s="752">
        <v>15.4575</v>
      </c>
      <c r="F76" s="751">
        <v>7.5989999999999999E-3</v>
      </c>
      <c r="G76" s="751">
        <v>1.8807999999999998E-2</v>
      </c>
      <c r="H76" s="751">
        <v>14.4659</v>
      </c>
      <c r="I76" s="751">
        <v>15.0318</v>
      </c>
      <c r="J76" s="751">
        <v>6.1929999999999997E-3</v>
      </c>
      <c r="K76" s="751">
        <v>1.4564000000000001E-2</v>
      </c>
      <c r="L76" s="751">
        <v>-2.1170000000000001E-2</v>
      </c>
      <c r="M76" s="751">
        <v>1.441E-3</v>
      </c>
      <c r="N76" s="751">
        <v>0.12399300000000001</v>
      </c>
      <c r="O76" s="751">
        <v>-2.4499999999999999E-3</v>
      </c>
      <c r="P76" s="751">
        <v>1.1200000000000001</v>
      </c>
      <c r="Q76" s="751">
        <v>103.15600000000001</v>
      </c>
      <c r="R76" s="79"/>
      <c r="S76" s="79"/>
    </row>
    <row r="77" spans="1:19">
      <c r="A77" s="749" t="s">
        <v>326</v>
      </c>
      <c r="B77" s="750">
        <v>378</v>
      </c>
      <c r="C77" s="751">
        <v>1.6778999999999999E-2</v>
      </c>
      <c r="D77" s="751">
        <v>56.67</v>
      </c>
      <c r="E77" s="752">
        <v>15.444000000000001</v>
      </c>
      <c r="F77" s="751">
        <v>1.3332E-2</v>
      </c>
      <c r="G77" s="751">
        <v>3.8574999999999998E-2</v>
      </c>
      <c r="H77" s="751">
        <v>14.2318</v>
      </c>
      <c r="I77" s="751">
        <v>15.1845</v>
      </c>
      <c r="J77" s="751">
        <v>-2.0200000000000001E-3</v>
      </c>
      <c r="K77" s="751">
        <v>3.5021999999999998E-2</v>
      </c>
      <c r="L77" s="751">
        <v>-2.87E-2</v>
      </c>
      <c r="M77" s="751">
        <v>9.6729999999999993E-3</v>
      </c>
      <c r="N77" s="751">
        <v>0.107794</v>
      </c>
      <c r="O77" s="751">
        <v>-2.7000000000000001E-3</v>
      </c>
      <c r="P77" s="751">
        <v>1.1200000000000001</v>
      </c>
      <c r="Q77" s="751">
        <v>102.83799999999999</v>
      </c>
      <c r="R77" s="79"/>
      <c r="S77" s="79"/>
    </row>
    <row r="78" spans="1:19">
      <c r="A78" s="749" t="s">
        <v>326</v>
      </c>
      <c r="B78" s="750">
        <v>379</v>
      </c>
      <c r="C78" s="751">
        <v>2.4136000000000001E-2</v>
      </c>
      <c r="D78" s="751">
        <v>56.038899999999998</v>
      </c>
      <c r="E78" s="752">
        <v>15.563499999999999</v>
      </c>
      <c r="F78" s="751">
        <v>1.2649000000000001E-2</v>
      </c>
      <c r="G78" s="751">
        <v>3.9980000000000002E-2</v>
      </c>
      <c r="H78" s="751">
        <v>14.2768</v>
      </c>
      <c r="I78" s="751">
        <v>15.3177</v>
      </c>
      <c r="J78" s="751">
        <v>2.7850000000000001E-3</v>
      </c>
      <c r="K78" s="751">
        <v>-3.3910000000000003E-2</v>
      </c>
      <c r="L78" s="751">
        <v>6.4144999999999994E-2</v>
      </c>
      <c r="M78" s="751">
        <v>7.3700000000000002E-4</v>
      </c>
      <c r="N78" s="751">
        <v>0.102342</v>
      </c>
      <c r="O78" s="751">
        <v>4.0530000000000002E-3</v>
      </c>
      <c r="P78" s="751">
        <v>1.11999</v>
      </c>
      <c r="Q78" s="751">
        <v>102.53400000000001</v>
      </c>
      <c r="R78" s="79"/>
      <c r="S78" s="79"/>
    </row>
    <row r="79" spans="1:19">
      <c r="A79" s="749" t="s">
        <v>326</v>
      </c>
      <c r="B79" s="750">
        <v>494</v>
      </c>
      <c r="C79" s="751">
        <v>1.8149999999999999E-2</v>
      </c>
      <c r="D79" s="751">
        <v>54.411200000000001</v>
      </c>
      <c r="E79" s="752">
        <v>15.449400000000001</v>
      </c>
      <c r="F79" s="751">
        <v>7.5700000000000003E-3</v>
      </c>
      <c r="G79" s="751">
        <v>5.0991000000000002E-2</v>
      </c>
      <c r="H79" s="751">
        <v>14.414300000000001</v>
      </c>
      <c r="I79" s="751">
        <v>14.935</v>
      </c>
      <c r="J79" s="751">
        <v>-2.2499999999999998E-3</v>
      </c>
      <c r="K79" s="751">
        <v>8.7030000000000007E-3</v>
      </c>
      <c r="L79" s="751">
        <v>3.7463999999999997E-2</v>
      </c>
      <c r="M79" s="751">
        <v>-4.7699999999999999E-3</v>
      </c>
      <c r="N79" s="751">
        <v>0.116311</v>
      </c>
      <c r="O79" s="751">
        <v>1.4677000000000001E-2</v>
      </c>
      <c r="P79" s="751">
        <v>1.1200000000000001</v>
      </c>
      <c r="Q79" s="751">
        <v>100.577</v>
      </c>
      <c r="R79" s="79"/>
      <c r="S79" s="79"/>
    </row>
    <row r="80" spans="1:19">
      <c r="A80" s="749" t="s">
        <v>326</v>
      </c>
      <c r="B80" s="750">
        <v>495</v>
      </c>
      <c r="C80" s="751">
        <v>1.5347E-2</v>
      </c>
      <c r="D80" s="751">
        <v>54.437899999999999</v>
      </c>
      <c r="E80" s="752">
        <v>15.4369</v>
      </c>
      <c r="F80" s="751">
        <v>4.5490000000000001E-3</v>
      </c>
      <c r="G80" s="751">
        <v>3.7955000000000003E-2</v>
      </c>
      <c r="H80" s="751">
        <v>14.4605</v>
      </c>
      <c r="I80" s="751">
        <v>14.957000000000001</v>
      </c>
      <c r="J80" s="751">
        <v>4.4289999999999998E-3</v>
      </c>
      <c r="K80" s="751">
        <v>-5.2729999999999999E-2</v>
      </c>
      <c r="L80" s="751">
        <v>-1.103E-2</v>
      </c>
      <c r="M80" s="751">
        <v>5.7219999999999997E-3</v>
      </c>
      <c r="N80" s="751">
        <v>0.108181</v>
      </c>
      <c r="O80" s="751">
        <v>1.5585999999999999E-2</v>
      </c>
      <c r="P80" s="751">
        <v>1.11999</v>
      </c>
      <c r="Q80" s="751">
        <v>100.54</v>
      </c>
      <c r="R80" s="79"/>
      <c r="S80" s="79"/>
    </row>
    <row r="81" spans="1:19">
      <c r="A81" s="749" t="s">
        <v>326</v>
      </c>
      <c r="B81" s="750">
        <v>496</v>
      </c>
      <c r="C81" s="751">
        <v>6.4359999999999999E-3</v>
      </c>
      <c r="D81" s="751">
        <v>54.147599999999997</v>
      </c>
      <c r="E81" s="752">
        <v>15.5345</v>
      </c>
      <c r="F81" s="751">
        <v>1.2739E-2</v>
      </c>
      <c r="G81" s="751">
        <v>3.2355000000000002E-2</v>
      </c>
      <c r="H81" s="751">
        <v>14.3003</v>
      </c>
      <c r="I81" s="751">
        <v>14.906700000000001</v>
      </c>
      <c r="J81" s="751">
        <v>-7.8700000000000003E-3</v>
      </c>
      <c r="K81" s="751">
        <v>-6.0249999999999998E-2</v>
      </c>
      <c r="L81" s="751">
        <v>-6.0699999999999999E-3</v>
      </c>
      <c r="M81" s="751">
        <v>8.8900000000000003E-4</v>
      </c>
      <c r="N81" s="751">
        <v>0.12070599999999999</v>
      </c>
      <c r="O81" s="751">
        <v>-3.057E-2</v>
      </c>
      <c r="P81" s="751">
        <v>1.1200000000000001</v>
      </c>
      <c r="Q81" s="751">
        <v>100.077</v>
      </c>
      <c r="R81" s="79"/>
      <c r="S81" s="79"/>
    </row>
    <row r="82" spans="1:19">
      <c r="A82" s="749"/>
      <c r="B82" s="729" t="s">
        <v>344</v>
      </c>
      <c r="C82" s="751"/>
      <c r="D82" s="751"/>
      <c r="E82" s="751">
        <f>_xlfn.STDEV.S(E70:E81)</f>
        <v>6.5525350171910607E-2</v>
      </c>
      <c r="F82" s="751"/>
      <c r="G82" s="751"/>
      <c r="H82" s="751"/>
      <c r="I82" s="751"/>
      <c r="J82" s="751"/>
      <c r="K82" s="751"/>
      <c r="L82" s="751"/>
      <c r="M82" s="751"/>
      <c r="N82" s="751"/>
      <c r="O82" s="751"/>
      <c r="P82" s="751"/>
      <c r="Q82" s="751"/>
      <c r="R82" s="79"/>
      <c r="S82" s="79"/>
    </row>
    <row r="83" spans="1:19">
      <c r="A83" s="749"/>
      <c r="B83" s="729" t="s">
        <v>345</v>
      </c>
      <c r="C83" s="751"/>
      <c r="D83" s="751"/>
      <c r="E83" s="752">
        <f>_xlfn.STDEV.S(E70:E81)/SQRT(COUNT(E70:E81))</f>
        <v>1.8915539280248542E-2</v>
      </c>
      <c r="F83" s="751"/>
      <c r="G83" s="751"/>
      <c r="H83" s="751"/>
      <c r="I83" s="751"/>
      <c r="J83" s="751"/>
      <c r="K83" s="751"/>
      <c r="L83" s="751"/>
      <c r="M83" s="751"/>
      <c r="N83" s="751"/>
      <c r="O83" s="751"/>
      <c r="P83" s="751"/>
      <c r="Q83" s="751"/>
      <c r="R83" s="79"/>
      <c r="S83" s="79"/>
    </row>
    <row r="84" spans="1:19">
      <c r="A84" s="749"/>
      <c r="B84" s="732" t="s">
        <v>346</v>
      </c>
      <c r="C84" s="751"/>
      <c r="D84" s="751"/>
      <c r="E84" s="753">
        <f>(E83/AVERAGE(E70:E81))</f>
        <v>1.2220156349959973E-3</v>
      </c>
      <c r="F84" s="751"/>
      <c r="G84" s="751"/>
      <c r="H84" s="751"/>
      <c r="I84" s="751"/>
      <c r="J84" s="751"/>
      <c r="K84" s="751"/>
      <c r="L84" s="751"/>
      <c r="M84" s="751"/>
      <c r="N84" s="751"/>
      <c r="O84" s="751"/>
      <c r="P84" s="751"/>
      <c r="Q84" s="751"/>
      <c r="R84" s="79"/>
      <c r="S84" s="79"/>
    </row>
    <row r="85" spans="1:19">
      <c r="A85" s="749"/>
      <c r="B85" s="750"/>
      <c r="C85" s="751"/>
      <c r="D85" s="751"/>
      <c r="E85" s="751"/>
      <c r="F85" s="751"/>
      <c r="G85" s="751"/>
      <c r="H85" s="751"/>
      <c r="I85" s="751"/>
      <c r="J85" s="751"/>
      <c r="K85" s="751"/>
      <c r="L85" s="751"/>
      <c r="M85" s="751"/>
      <c r="N85" s="751"/>
      <c r="O85" s="751"/>
      <c r="P85" s="751"/>
      <c r="Q85" s="751"/>
      <c r="R85" s="79"/>
      <c r="S85" s="79"/>
    </row>
    <row r="86" spans="1:19">
      <c r="A86" s="749"/>
      <c r="B86" s="750"/>
      <c r="C86" s="751"/>
      <c r="D86" s="751"/>
      <c r="E86" s="751"/>
      <c r="F86" s="751"/>
      <c r="G86" s="751"/>
      <c r="H86" s="751"/>
      <c r="I86" s="751"/>
      <c r="J86" s="751"/>
      <c r="K86" s="751"/>
      <c r="L86" s="751"/>
      <c r="M86" s="751"/>
      <c r="N86" s="751"/>
      <c r="O86" s="751"/>
      <c r="P86" s="751"/>
      <c r="Q86" s="751"/>
      <c r="R86" s="79"/>
      <c r="S86" s="79"/>
    </row>
    <row r="87" spans="1:19">
      <c r="A87" s="743" t="s">
        <v>318</v>
      </c>
      <c r="B87" s="744" t="s">
        <v>354</v>
      </c>
      <c r="C87" s="746" t="s">
        <v>184</v>
      </c>
      <c r="D87" s="746" t="s">
        <v>178</v>
      </c>
      <c r="E87" s="746" t="s">
        <v>335</v>
      </c>
      <c r="F87" s="746" t="s">
        <v>336</v>
      </c>
      <c r="G87" s="746" t="s">
        <v>180</v>
      </c>
      <c r="H87" s="746" t="s">
        <v>703</v>
      </c>
      <c r="I87" s="746" t="s">
        <v>337</v>
      </c>
      <c r="J87" s="754" t="s">
        <v>338</v>
      </c>
      <c r="K87" s="746" t="s">
        <v>179</v>
      </c>
      <c r="L87" s="744" t="s">
        <v>187</v>
      </c>
      <c r="M87" s="746" t="s">
        <v>339</v>
      </c>
      <c r="N87" s="746" t="s">
        <v>340</v>
      </c>
      <c r="O87" s="754" t="s">
        <v>186</v>
      </c>
      <c r="P87" s="746" t="s">
        <v>341</v>
      </c>
      <c r="Q87" s="746" t="s">
        <v>342</v>
      </c>
      <c r="R87" s="79"/>
      <c r="S87" s="79"/>
    </row>
    <row r="88" spans="1:19" s="80" customFormat="1">
      <c r="A88" s="747" t="s">
        <v>330</v>
      </c>
      <c r="B88" s="748" t="s">
        <v>722</v>
      </c>
      <c r="C88" s="748" t="s">
        <v>343</v>
      </c>
      <c r="D88" s="748" t="s">
        <v>343</v>
      </c>
      <c r="E88" s="748">
        <v>53.843000000000004</v>
      </c>
      <c r="F88" s="748" t="s">
        <v>343</v>
      </c>
      <c r="G88" s="748" t="s">
        <v>343</v>
      </c>
      <c r="H88" s="748" t="s">
        <v>343</v>
      </c>
      <c r="I88" s="748" t="s">
        <v>343</v>
      </c>
      <c r="J88" s="748">
        <v>6.8079999999999998</v>
      </c>
      <c r="K88" s="748" t="s">
        <v>343</v>
      </c>
      <c r="L88" s="748" t="s">
        <v>343</v>
      </c>
      <c r="M88" s="748" t="s">
        <v>343</v>
      </c>
      <c r="N88" s="748" t="s">
        <v>343</v>
      </c>
      <c r="O88" s="748">
        <v>40.886000000000003</v>
      </c>
      <c r="P88" s="748">
        <v>-1.536</v>
      </c>
      <c r="Q88" s="748">
        <v>100</v>
      </c>
      <c r="R88" s="77"/>
      <c r="S88" s="77"/>
    </row>
    <row r="89" spans="1:19">
      <c r="A89" s="749" t="s">
        <v>330</v>
      </c>
      <c r="B89" s="750">
        <v>25</v>
      </c>
      <c r="C89" s="751">
        <v>3.3219999999999999E-3</v>
      </c>
      <c r="D89" s="751">
        <v>1.413E-2</v>
      </c>
      <c r="E89" s="751">
        <v>55.517899999999997</v>
      </c>
      <c r="F89" s="751">
        <v>6.202E-3</v>
      </c>
      <c r="G89" s="751">
        <v>-1.2800000000000001E-3</v>
      </c>
      <c r="H89" s="751">
        <v>-2.172E-2</v>
      </c>
      <c r="I89" s="751">
        <v>7.2820999999999997E-2</v>
      </c>
      <c r="J89" s="752">
        <v>7.0261399999999998</v>
      </c>
      <c r="K89" s="751">
        <v>-4.9680000000000002E-2</v>
      </c>
      <c r="L89" s="751">
        <v>-9.4400000000000005E-3</v>
      </c>
      <c r="M89" s="751">
        <v>-1.8E-3</v>
      </c>
      <c r="N89" s="751">
        <v>7.9500000000000005E-3</v>
      </c>
      <c r="O89" s="752">
        <v>39.862900000000003</v>
      </c>
      <c r="P89" s="751">
        <v>-1.5362</v>
      </c>
      <c r="Q89" s="751">
        <v>100.89100000000001</v>
      </c>
      <c r="R89" s="79"/>
      <c r="S89" s="79"/>
    </row>
    <row r="90" spans="1:19">
      <c r="A90" s="749" t="s">
        <v>330</v>
      </c>
      <c r="B90" s="750">
        <v>26</v>
      </c>
      <c r="C90" s="751">
        <v>-1.9050000000000001E-2</v>
      </c>
      <c r="D90" s="751">
        <v>-5.1000000000000004E-3</v>
      </c>
      <c r="E90" s="751">
        <v>54.956800000000001</v>
      </c>
      <c r="F90" s="751">
        <v>-1.56E-3</v>
      </c>
      <c r="G90" s="751">
        <v>-8.5900000000000004E-3</v>
      </c>
      <c r="H90" s="751">
        <v>-4.8460000000000003E-2</v>
      </c>
      <c r="I90" s="751">
        <v>7.2554999999999994E-2</v>
      </c>
      <c r="J90" s="752">
        <v>6.6970000000000001</v>
      </c>
      <c r="K90" s="751">
        <v>-0.14704999999999999</v>
      </c>
      <c r="L90" s="751">
        <v>-3.8589999999999999E-2</v>
      </c>
      <c r="M90" s="751">
        <v>-4.7800000000000004E-3</v>
      </c>
      <c r="N90" s="751">
        <v>1.9036999999999998E-2</v>
      </c>
      <c r="O90" s="752">
        <v>39.8309</v>
      </c>
      <c r="P90" s="751">
        <v>-1.5362</v>
      </c>
      <c r="Q90" s="751">
        <v>99.766900000000007</v>
      </c>
      <c r="R90" s="79"/>
      <c r="S90" s="79"/>
    </row>
    <row r="91" spans="1:19">
      <c r="A91" s="749" t="s">
        <v>330</v>
      </c>
      <c r="B91" s="750">
        <v>27</v>
      </c>
      <c r="C91" s="751">
        <v>4.7410000000000004E-3</v>
      </c>
      <c r="D91" s="751">
        <v>3.333E-3</v>
      </c>
      <c r="E91" s="751">
        <v>54.995800000000003</v>
      </c>
      <c r="F91" s="751">
        <v>-1.0070000000000001E-2</v>
      </c>
      <c r="G91" s="751">
        <v>-9.9100000000000004E-3</v>
      </c>
      <c r="H91" s="751">
        <v>-1.6310000000000002E-2</v>
      </c>
      <c r="I91" s="751">
        <v>6.0518000000000002E-2</v>
      </c>
      <c r="J91" s="752">
        <v>6.6761999999999997</v>
      </c>
      <c r="K91" s="751">
        <v>1.1814E-2</v>
      </c>
      <c r="L91" s="751">
        <v>5.8035000000000003E-2</v>
      </c>
      <c r="M91" s="751">
        <v>4.7720000000000002E-3</v>
      </c>
      <c r="N91" s="751">
        <v>-1.6990000000000002E-2</v>
      </c>
      <c r="O91" s="752">
        <v>42.929099999999998</v>
      </c>
      <c r="P91" s="751">
        <v>-1.5362</v>
      </c>
      <c r="Q91" s="751">
        <v>103.155</v>
      </c>
      <c r="R91" s="79"/>
      <c r="S91" s="79"/>
    </row>
    <row r="92" spans="1:19">
      <c r="A92" s="749" t="s">
        <v>330</v>
      </c>
      <c r="B92" s="750">
        <v>248</v>
      </c>
      <c r="C92" s="751">
        <v>4.1867000000000001E-2</v>
      </c>
      <c r="D92" s="751">
        <v>2.1468000000000001E-2</v>
      </c>
      <c r="E92" s="751">
        <v>54.951500000000003</v>
      </c>
      <c r="F92" s="751">
        <v>1.4704999999999999E-2</v>
      </c>
      <c r="G92" s="751">
        <v>-1.485E-2</v>
      </c>
      <c r="H92" s="751">
        <v>-3.8550000000000001E-2</v>
      </c>
      <c r="I92" s="751">
        <v>4.9340000000000002E-2</v>
      </c>
      <c r="J92" s="752">
        <v>6.5412800000000004</v>
      </c>
      <c r="K92" s="751">
        <v>-9.7409999999999997E-2</v>
      </c>
      <c r="L92" s="751">
        <v>2.5436E-2</v>
      </c>
      <c r="M92" s="751">
        <v>3.9199999999999999E-4</v>
      </c>
      <c r="N92" s="751">
        <v>1.3743999999999999E-2</v>
      </c>
      <c r="O92" s="752">
        <v>40.491799999999998</v>
      </c>
      <c r="P92" s="751">
        <v>-1.5362</v>
      </c>
      <c r="Q92" s="751">
        <v>100.465</v>
      </c>
      <c r="R92" s="79"/>
      <c r="S92" s="79"/>
    </row>
    <row r="93" spans="1:19">
      <c r="A93" s="749" t="s">
        <v>330</v>
      </c>
      <c r="B93" s="750">
        <v>249</v>
      </c>
      <c r="C93" s="751">
        <v>-1.7600000000000001E-3</v>
      </c>
      <c r="D93" s="751">
        <v>1.3044E-2</v>
      </c>
      <c r="E93" s="751">
        <v>55.292900000000003</v>
      </c>
      <c r="F93" s="751">
        <v>-1E-4</v>
      </c>
      <c r="G93" s="751">
        <v>-1.0330000000000001E-2</v>
      </c>
      <c r="H93" s="751">
        <v>-2.036E-2</v>
      </c>
      <c r="I93" s="751">
        <v>7.9166E-2</v>
      </c>
      <c r="J93" s="752">
        <v>6.64595</v>
      </c>
      <c r="K93" s="751">
        <v>1.4010999999999999E-2</v>
      </c>
      <c r="L93" s="751">
        <v>-0.1</v>
      </c>
      <c r="M93" s="751">
        <v>5.4640000000000001E-3</v>
      </c>
      <c r="N93" s="751">
        <v>2.0441000000000001E-2</v>
      </c>
      <c r="O93" s="752">
        <v>42.469099999999997</v>
      </c>
      <c r="P93" s="751">
        <v>-1.5362</v>
      </c>
      <c r="Q93" s="751">
        <v>102.871</v>
      </c>
      <c r="R93" s="79"/>
      <c r="S93" s="79"/>
    </row>
    <row r="94" spans="1:19">
      <c r="A94" s="749" t="s">
        <v>330</v>
      </c>
      <c r="B94" s="750">
        <v>250</v>
      </c>
      <c r="C94" s="751">
        <v>-3.0300000000000001E-3</v>
      </c>
      <c r="D94" s="751">
        <v>3.9060000000000002E-3</v>
      </c>
      <c r="E94" s="751">
        <v>55.0212</v>
      </c>
      <c r="F94" s="751">
        <v>4.5620000000000001E-3</v>
      </c>
      <c r="G94" s="751">
        <v>-1.6709999999999999E-2</v>
      </c>
      <c r="H94" s="751">
        <v>-1.5990000000000001E-2</v>
      </c>
      <c r="I94" s="751">
        <v>5.9251999999999999E-2</v>
      </c>
      <c r="J94" s="752">
        <v>7.21868</v>
      </c>
      <c r="K94" s="751">
        <v>1.8749999999999999E-3</v>
      </c>
      <c r="L94" s="751">
        <v>1.6659999999999999E-3</v>
      </c>
      <c r="M94" s="751">
        <v>7.4520000000000003E-3</v>
      </c>
      <c r="N94" s="751">
        <v>7.8860000000000006E-3</v>
      </c>
      <c r="O94" s="752">
        <v>39.670499999999997</v>
      </c>
      <c r="P94" s="751">
        <v>-1.5362</v>
      </c>
      <c r="Q94" s="751">
        <v>100.425</v>
      </c>
      <c r="R94" s="79"/>
      <c r="S94" s="79"/>
    </row>
    <row r="95" spans="1:19">
      <c r="A95" s="749" t="s">
        <v>330</v>
      </c>
      <c r="B95" s="750">
        <v>383</v>
      </c>
      <c r="C95" s="751">
        <v>-1.9740000000000001E-2</v>
      </c>
      <c r="D95" s="751">
        <v>1.221E-2</v>
      </c>
      <c r="E95" s="751">
        <v>58.860399999999998</v>
      </c>
      <c r="F95" s="751">
        <v>4.2379999999999996E-3</v>
      </c>
      <c r="G95" s="751">
        <v>-2.904E-2</v>
      </c>
      <c r="H95" s="751">
        <v>3.0306E-2</v>
      </c>
      <c r="I95" s="751">
        <v>7.6632000000000006E-2</v>
      </c>
      <c r="J95" s="752">
        <v>6.2115200000000002</v>
      </c>
      <c r="K95" s="751">
        <v>-7.4200000000000004E-3</v>
      </c>
      <c r="L95" s="751">
        <v>2.3040000000000001E-2</v>
      </c>
      <c r="M95" s="751">
        <v>3.2200000000000002E-3</v>
      </c>
      <c r="N95" s="751">
        <v>1.8148999999999998E-2</v>
      </c>
      <c r="O95" s="752">
        <v>41.788499999999999</v>
      </c>
      <c r="P95" s="751">
        <v>-1.5362</v>
      </c>
      <c r="Q95" s="751">
        <v>105.43600000000001</v>
      </c>
      <c r="R95" s="79"/>
      <c r="S95" s="79"/>
    </row>
    <row r="96" spans="1:19">
      <c r="A96" s="749" t="s">
        <v>330</v>
      </c>
      <c r="B96" s="750">
        <v>384</v>
      </c>
      <c r="C96" s="751">
        <v>4.0850000000000001E-3</v>
      </c>
      <c r="D96" s="751">
        <v>4.6420000000000003E-3</v>
      </c>
      <c r="E96" s="751">
        <v>58.334400000000002</v>
      </c>
      <c r="F96" s="751">
        <v>1.2099999999999999E-3</v>
      </c>
      <c r="G96" s="751">
        <v>-1.891E-2</v>
      </c>
      <c r="H96" s="751">
        <v>9.2029999999999994E-3</v>
      </c>
      <c r="I96" s="751">
        <v>5.9986999999999999E-2</v>
      </c>
      <c r="J96" s="752">
        <v>7.4560399999999998</v>
      </c>
      <c r="K96" s="751">
        <v>-0.12143</v>
      </c>
      <c r="L96" s="751">
        <v>-2.9520000000000001E-2</v>
      </c>
      <c r="M96" s="751">
        <v>-1.91E-3</v>
      </c>
      <c r="N96" s="751">
        <v>2.3709999999999998E-3</v>
      </c>
      <c r="O96" s="752">
        <v>40.463799999999999</v>
      </c>
      <c r="P96" s="751">
        <v>-1.5362</v>
      </c>
      <c r="Q96" s="751">
        <v>104.628</v>
      </c>
      <c r="R96" s="79"/>
      <c r="S96" s="79"/>
    </row>
    <row r="97" spans="1:19">
      <c r="A97" s="749" t="s">
        <v>330</v>
      </c>
      <c r="B97" s="750">
        <v>385</v>
      </c>
      <c r="C97" s="751">
        <v>-2.9499999999999999E-3</v>
      </c>
      <c r="D97" s="751">
        <v>-3.2100000000000002E-3</v>
      </c>
      <c r="E97" s="751">
        <v>57.503700000000002</v>
      </c>
      <c r="F97" s="751">
        <v>-3.3800000000000002E-3</v>
      </c>
      <c r="G97" s="751">
        <v>-4.9500000000000004E-3</v>
      </c>
      <c r="H97" s="751">
        <v>1.6798E-2</v>
      </c>
      <c r="I97" s="751">
        <v>7.2831999999999994E-2</v>
      </c>
      <c r="J97" s="752">
        <v>6.6698399999999998</v>
      </c>
      <c r="K97" s="751">
        <v>-5.1470000000000002E-2</v>
      </c>
      <c r="L97" s="751">
        <v>-3.9079999999999997E-2</v>
      </c>
      <c r="M97" s="751">
        <v>3.395E-3</v>
      </c>
      <c r="N97" s="751">
        <v>-3.8E-3</v>
      </c>
      <c r="O97" s="752">
        <v>40.261499999999998</v>
      </c>
      <c r="P97" s="751">
        <v>-1.5362</v>
      </c>
      <c r="Q97" s="751">
        <v>102.883</v>
      </c>
      <c r="R97" s="79"/>
      <c r="S97" s="79"/>
    </row>
    <row r="98" spans="1:19">
      <c r="A98" s="749"/>
      <c r="B98" s="729" t="s">
        <v>344</v>
      </c>
      <c r="C98" s="751"/>
      <c r="D98" s="751"/>
      <c r="E98" s="751"/>
      <c r="F98" s="751"/>
      <c r="G98" s="751"/>
      <c r="H98" s="751"/>
      <c r="I98" s="751"/>
      <c r="J98" s="751">
        <f>_xlfn.STDEV.S(J89:J97)</f>
        <v>0.37688003621105265</v>
      </c>
      <c r="K98" s="751"/>
      <c r="L98" s="751"/>
      <c r="M98" s="751"/>
      <c r="N98" s="751"/>
      <c r="O98" s="751">
        <f>_xlfn.STDEV.S(O89:O97)</f>
        <v>1.2171336992888016</v>
      </c>
      <c r="P98" s="751"/>
      <c r="Q98" s="751"/>
      <c r="R98" s="79"/>
      <c r="S98" s="79"/>
    </row>
    <row r="99" spans="1:19">
      <c r="A99" s="749"/>
      <c r="B99" s="729" t="s">
        <v>345</v>
      </c>
      <c r="C99" s="751"/>
      <c r="D99" s="751"/>
      <c r="E99" s="751"/>
      <c r="F99" s="751"/>
      <c r="G99" s="751"/>
      <c r="H99" s="751"/>
      <c r="I99" s="752"/>
      <c r="J99" s="752">
        <f>_xlfn.STDEV.S(J89:J97)/SQRT(COUNT(J89:J97))</f>
        <v>0.12562667873701755</v>
      </c>
      <c r="K99" s="751"/>
      <c r="L99" s="751"/>
      <c r="M99" s="751"/>
      <c r="N99" s="752"/>
      <c r="O99" s="752">
        <f>_xlfn.STDEV.S(O89:O97)/SQRT(COUNT(O89:O97))</f>
        <v>0.40571123309626717</v>
      </c>
      <c r="P99" s="751"/>
      <c r="Q99" s="751"/>
      <c r="R99" s="79"/>
      <c r="S99" s="79"/>
    </row>
    <row r="100" spans="1:19">
      <c r="A100" s="749"/>
      <c r="B100" s="732" t="s">
        <v>346</v>
      </c>
      <c r="C100" s="751"/>
      <c r="D100" s="751"/>
      <c r="E100" s="751"/>
      <c r="F100" s="751"/>
      <c r="G100" s="751"/>
      <c r="H100" s="751"/>
      <c r="I100" s="751"/>
      <c r="J100" s="753">
        <f>(J99/AVERAGE(J89:J97))</f>
        <v>1.8491840125234315E-2</v>
      </c>
      <c r="K100" s="751"/>
      <c r="L100" s="751"/>
      <c r="M100" s="751"/>
      <c r="N100" s="751"/>
      <c r="O100" s="753">
        <f>(O99/AVERAGE(O89:O97))</f>
        <v>9.9285421923935319E-3</v>
      </c>
      <c r="P100" s="751"/>
      <c r="Q100" s="751"/>
      <c r="R100" s="79"/>
      <c r="S100" s="79"/>
    </row>
    <row r="101" spans="1:19">
      <c r="A101" s="749"/>
      <c r="B101" s="750"/>
      <c r="C101" s="751"/>
      <c r="D101" s="751"/>
      <c r="E101" s="751"/>
      <c r="F101" s="751"/>
      <c r="G101" s="751"/>
      <c r="H101" s="751"/>
      <c r="I101" s="751"/>
      <c r="J101" s="751"/>
      <c r="K101" s="751"/>
      <c r="L101" s="751"/>
      <c r="M101" s="751"/>
      <c r="N101" s="751"/>
      <c r="O101" s="751"/>
      <c r="P101" s="751"/>
      <c r="Q101" s="751"/>
      <c r="R101" s="79"/>
      <c r="S101" s="79"/>
    </row>
    <row r="102" spans="1:19">
      <c r="A102" s="749"/>
      <c r="B102" s="750"/>
      <c r="C102" s="751"/>
      <c r="D102" s="751"/>
      <c r="E102" s="751"/>
      <c r="F102" s="751"/>
      <c r="G102" s="751"/>
      <c r="H102" s="751"/>
      <c r="I102" s="751"/>
      <c r="J102" s="751"/>
      <c r="K102" s="751"/>
      <c r="L102" s="751"/>
      <c r="M102" s="751"/>
      <c r="N102" s="751"/>
      <c r="O102" s="751"/>
      <c r="P102" s="751"/>
      <c r="Q102" s="751"/>
      <c r="R102" s="79"/>
      <c r="S102" s="79"/>
    </row>
    <row r="103" spans="1:19">
      <c r="A103" s="743" t="s">
        <v>318</v>
      </c>
      <c r="B103" s="744" t="s">
        <v>354</v>
      </c>
      <c r="C103" s="754" t="s">
        <v>184</v>
      </c>
      <c r="D103" s="754" t="s">
        <v>178</v>
      </c>
      <c r="E103" s="746" t="s">
        <v>335</v>
      </c>
      <c r="F103" s="746" t="s">
        <v>336</v>
      </c>
      <c r="G103" s="754" t="s">
        <v>180</v>
      </c>
      <c r="H103" s="746" t="s">
        <v>703</v>
      </c>
      <c r="I103" s="746" t="s">
        <v>337</v>
      </c>
      <c r="J103" s="746" t="s">
        <v>338</v>
      </c>
      <c r="K103" s="746" t="s">
        <v>179</v>
      </c>
      <c r="L103" s="744" t="s">
        <v>187</v>
      </c>
      <c r="M103" s="746" t="s">
        <v>339</v>
      </c>
      <c r="N103" s="746" t="s">
        <v>340</v>
      </c>
      <c r="O103" s="746" t="s">
        <v>186</v>
      </c>
      <c r="P103" s="746" t="s">
        <v>341</v>
      </c>
      <c r="Q103" s="746" t="s">
        <v>342</v>
      </c>
      <c r="R103" s="79"/>
      <c r="S103" s="79"/>
    </row>
    <row r="104" spans="1:19" s="80" customFormat="1">
      <c r="A104" s="747" t="s">
        <v>324</v>
      </c>
      <c r="B104" s="748" t="s">
        <v>722</v>
      </c>
      <c r="C104" s="748">
        <v>16.920000000000002</v>
      </c>
      <c r="D104" s="748">
        <v>43.491</v>
      </c>
      <c r="E104" s="748">
        <v>0.105</v>
      </c>
      <c r="F104" s="748">
        <v>5.61</v>
      </c>
      <c r="G104" s="748">
        <v>33.761000000000003</v>
      </c>
      <c r="H104" s="748">
        <v>0.19900000000000001</v>
      </c>
      <c r="I104" s="748" t="s">
        <v>343</v>
      </c>
      <c r="J104" s="748" t="s">
        <v>343</v>
      </c>
      <c r="K104" s="748" t="s">
        <v>343</v>
      </c>
      <c r="L104" s="748" t="s">
        <v>343</v>
      </c>
      <c r="M104" s="748" t="s">
        <v>343</v>
      </c>
      <c r="N104" s="748" t="s">
        <v>343</v>
      </c>
      <c r="O104" s="748" t="s">
        <v>343</v>
      </c>
      <c r="P104" s="748">
        <v>-3.2000000000000001E-2</v>
      </c>
      <c r="Q104" s="748">
        <v>100.054</v>
      </c>
      <c r="R104" s="77"/>
      <c r="S104" s="77"/>
    </row>
    <row r="105" spans="1:19">
      <c r="A105" s="749" t="s">
        <v>324</v>
      </c>
      <c r="B105" s="750">
        <v>28</v>
      </c>
      <c r="C105" s="752">
        <v>16.758800000000001</v>
      </c>
      <c r="D105" s="752">
        <v>43.842700000000001</v>
      </c>
      <c r="E105" s="751">
        <v>0.10383100000000001</v>
      </c>
      <c r="F105" s="751">
        <v>5.79</v>
      </c>
      <c r="G105" s="752">
        <v>35.7333</v>
      </c>
      <c r="H105" s="751">
        <v>0.163327</v>
      </c>
      <c r="I105" s="751">
        <v>6.3379999999999999E-3</v>
      </c>
      <c r="J105" s="751">
        <v>-2.5799999999999998E-3</v>
      </c>
      <c r="K105" s="751">
        <v>-4.657E-2</v>
      </c>
      <c r="L105" s="751">
        <v>-3.2200000000000002E-3</v>
      </c>
      <c r="M105" s="751">
        <v>3.7330000000000002E-3</v>
      </c>
      <c r="N105" s="751">
        <v>9.1389999999999996E-3</v>
      </c>
      <c r="O105" s="751">
        <v>-9.9500000000000005E-3</v>
      </c>
      <c r="P105" s="751">
        <v>-3.2219999999999999E-2</v>
      </c>
      <c r="Q105" s="751">
        <v>102.31699999999999</v>
      </c>
      <c r="R105" s="79"/>
      <c r="S105" s="79"/>
    </row>
    <row r="106" spans="1:19">
      <c r="A106" s="749" t="s">
        <v>324</v>
      </c>
      <c r="B106" s="750">
        <v>29</v>
      </c>
      <c r="C106" s="752">
        <v>16.977399999999999</v>
      </c>
      <c r="D106" s="752">
        <v>43.316400000000002</v>
      </c>
      <c r="E106" s="751">
        <v>0.108073</v>
      </c>
      <c r="F106" s="751">
        <v>5.8444799999999999</v>
      </c>
      <c r="G106" s="752">
        <v>35.206400000000002</v>
      </c>
      <c r="H106" s="751">
        <v>0.22233</v>
      </c>
      <c r="I106" s="751">
        <v>2.5900000000000001E-4</v>
      </c>
      <c r="J106" s="751">
        <v>8.2380000000000005E-3</v>
      </c>
      <c r="K106" s="751">
        <v>-2.12E-2</v>
      </c>
      <c r="L106" s="751">
        <v>1.7711000000000001E-2</v>
      </c>
      <c r="M106" s="751">
        <v>2.5409999999999999E-3</v>
      </c>
      <c r="N106" s="751">
        <v>-5.0499999999999998E-3</v>
      </c>
      <c r="O106" s="751">
        <v>1.7000000000000001E-4</v>
      </c>
      <c r="P106" s="751">
        <v>-3.2210000000000003E-2</v>
      </c>
      <c r="Q106" s="751">
        <v>101.646</v>
      </c>
      <c r="R106" s="79"/>
      <c r="S106" s="79"/>
    </row>
    <row r="107" spans="1:19">
      <c r="A107" s="749" t="s">
        <v>324</v>
      </c>
      <c r="B107" s="750">
        <v>30</v>
      </c>
      <c r="C107" s="752">
        <v>17.0548</v>
      </c>
      <c r="D107" s="752">
        <v>43.613900000000001</v>
      </c>
      <c r="E107" s="751">
        <v>0.110855</v>
      </c>
      <c r="F107" s="751">
        <v>5.9879199999999999</v>
      </c>
      <c r="G107" s="752">
        <v>35.038400000000003</v>
      </c>
      <c r="H107" s="751">
        <v>0.21601000000000001</v>
      </c>
      <c r="I107" s="751">
        <v>-9.3600000000000003E-3</v>
      </c>
      <c r="J107" s="751">
        <v>-2.2200000000000002E-3</v>
      </c>
      <c r="K107" s="751">
        <v>1.387E-2</v>
      </c>
      <c r="L107" s="751">
        <v>5.1658999999999997E-2</v>
      </c>
      <c r="M107" s="751">
        <v>-1.3999999999999999E-4</v>
      </c>
      <c r="N107" s="751">
        <v>6.3730000000000002E-3</v>
      </c>
      <c r="O107" s="751">
        <v>-2.401E-2</v>
      </c>
      <c r="P107" s="751">
        <v>-3.2210000000000003E-2</v>
      </c>
      <c r="Q107" s="751">
        <v>102.026</v>
      </c>
      <c r="R107" s="79"/>
      <c r="S107" s="79"/>
    </row>
    <row r="108" spans="1:19">
      <c r="A108" s="749" t="s">
        <v>324</v>
      </c>
      <c r="B108" s="750">
        <v>251</v>
      </c>
      <c r="C108" s="752">
        <v>17.169599999999999</v>
      </c>
      <c r="D108" s="752">
        <v>43.163699999999999</v>
      </c>
      <c r="E108" s="751">
        <v>0.12728100000000001</v>
      </c>
      <c r="F108" s="751">
        <v>5.7484500000000001</v>
      </c>
      <c r="G108" s="752">
        <v>35.053699999999999</v>
      </c>
      <c r="H108" s="751">
        <v>0.242009</v>
      </c>
      <c r="I108" s="751">
        <v>-8.4999999999999995E-4</v>
      </c>
      <c r="J108" s="751">
        <v>3.4880000000000002E-3</v>
      </c>
      <c r="K108" s="751">
        <v>2.8308E-2</v>
      </c>
      <c r="L108" s="751">
        <v>3.2182000000000002E-2</v>
      </c>
      <c r="M108" s="751">
        <v>6.424E-3</v>
      </c>
      <c r="N108" s="751">
        <v>9.5390000000000006E-3</v>
      </c>
      <c r="O108" s="751">
        <v>1.8100000000000001E-4</v>
      </c>
      <c r="P108" s="751">
        <v>-3.2219999999999999E-2</v>
      </c>
      <c r="Q108" s="751">
        <v>101.55200000000001</v>
      </c>
      <c r="R108" s="79"/>
      <c r="S108" s="79"/>
    </row>
    <row r="109" spans="1:19">
      <c r="A109" s="749" t="s">
        <v>324</v>
      </c>
      <c r="B109" s="750">
        <v>252</v>
      </c>
      <c r="C109" s="752">
        <v>16.404199999999999</v>
      </c>
      <c r="D109" s="752">
        <v>43.748399999999997</v>
      </c>
      <c r="E109" s="751">
        <v>0.12231300000000001</v>
      </c>
      <c r="F109" s="751">
        <v>5.7494699999999996</v>
      </c>
      <c r="G109" s="752">
        <v>34.747999999999998</v>
      </c>
      <c r="H109" s="751">
        <v>0.226135</v>
      </c>
      <c r="I109" s="751">
        <v>-3.96E-3</v>
      </c>
      <c r="J109" s="751">
        <v>1.4487E-2</v>
      </c>
      <c r="K109" s="751">
        <v>-1.4120000000000001E-2</v>
      </c>
      <c r="L109" s="751">
        <v>7.1929999999999997E-3</v>
      </c>
      <c r="M109" s="751">
        <v>3.2100000000000002E-3</v>
      </c>
      <c r="N109" s="751">
        <v>2.0990999999999999E-2</v>
      </c>
      <c r="O109" s="751">
        <v>9.2429999999999995E-3</v>
      </c>
      <c r="P109" s="751">
        <v>-3.2210000000000003E-2</v>
      </c>
      <c r="Q109" s="751">
        <v>101.003</v>
      </c>
      <c r="R109" s="79"/>
      <c r="S109" s="79"/>
    </row>
    <row r="110" spans="1:19">
      <c r="A110" s="749" t="s">
        <v>324</v>
      </c>
      <c r="B110" s="750">
        <v>253</v>
      </c>
      <c r="C110" s="752">
        <v>17.230699999999999</v>
      </c>
      <c r="D110" s="752">
        <v>43.812399999999997</v>
      </c>
      <c r="E110" s="751">
        <v>0.117684</v>
      </c>
      <c r="F110" s="751">
        <v>5.7628300000000001</v>
      </c>
      <c r="G110" s="752">
        <v>35.270899999999997</v>
      </c>
      <c r="H110" s="751">
        <v>0.216391</v>
      </c>
      <c r="I110" s="751">
        <v>1.2826000000000001E-2</v>
      </c>
      <c r="J110" s="751">
        <v>-7.3200000000000001E-3</v>
      </c>
      <c r="K110" s="751">
        <v>3.5360000000000003E-2</v>
      </c>
      <c r="L110" s="751">
        <v>2.5690999999999999E-2</v>
      </c>
      <c r="M110" s="751">
        <v>-6.0000000000000002E-5</v>
      </c>
      <c r="N110" s="751">
        <v>7.3920000000000001E-3</v>
      </c>
      <c r="O110" s="751">
        <v>-5.8100000000000001E-3</v>
      </c>
      <c r="P110" s="751">
        <v>-3.2219999999999999E-2</v>
      </c>
      <c r="Q110" s="751">
        <v>102.447</v>
      </c>
      <c r="R110" s="79"/>
      <c r="S110" s="79"/>
    </row>
    <row r="111" spans="1:19">
      <c r="A111" s="749" t="s">
        <v>324</v>
      </c>
      <c r="B111" s="750">
        <v>386</v>
      </c>
      <c r="C111" s="752">
        <v>17.162199999999999</v>
      </c>
      <c r="D111" s="752">
        <v>43.911900000000003</v>
      </c>
      <c r="E111" s="751">
        <v>0.111231</v>
      </c>
      <c r="F111" s="751">
        <v>5.73691</v>
      </c>
      <c r="G111" s="752">
        <v>34.6312</v>
      </c>
      <c r="H111" s="751">
        <v>0.217608</v>
      </c>
      <c r="I111" s="751">
        <v>1.1348E-2</v>
      </c>
      <c r="J111" s="751">
        <v>1.279E-3</v>
      </c>
      <c r="K111" s="751">
        <v>2.3581999999999999E-2</v>
      </c>
      <c r="L111" s="751">
        <v>-1.6760000000000001E-2</v>
      </c>
      <c r="M111" s="751">
        <v>-4.4000000000000002E-4</v>
      </c>
      <c r="N111" s="751">
        <v>-6.7499999999999999E-3</v>
      </c>
      <c r="O111" s="751">
        <v>-3.6749999999999998E-2</v>
      </c>
      <c r="P111" s="751">
        <v>-3.2219999999999999E-2</v>
      </c>
      <c r="Q111" s="751">
        <v>101.714</v>
      </c>
      <c r="R111" s="79"/>
      <c r="S111" s="79"/>
    </row>
    <row r="112" spans="1:19">
      <c r="A112" s="749" t="s">
        <v>324</v>
      </c>
      <c r="B112" s="750">
        <v>387</v>
      </c>
      <c r="C112" s="752">
        <v>17.026900000000001</v>
      </c>
      <c r="D112" s="752">
        <v>43.554000000000002</v>
      </c>
      <c r="E112" s="751">
        <v>0.105979</v>
      </c>
      <c r="F112" s="751">
        <v>5.7353899999999998</v>
      </c>
      <c r="G112" s="752">
        <v>34.785600000000002</v>
      </c>
      <c r="H112" s="751">
        <v>0.23557500000000001</v>
      </c>
      <c r="I112" s="751">
        <v>3.2450000000000001E-3</v>
      </c>
      <c r="J112" s="751">
        <v>7.8999999999999996E-5</v>
      </c>
      <c r="K112" s="751">
        <v>3.3047E-2</v>
      </c>
      <c r="L112" s="751">
        <v>6.483E-3</v>
      </c>
      <c r="M112" s="751">
        <v>1.258E-3</v>
      </c>
      <c r="N112" s="751">
        <v>-1.018E-2</v>
      </c>
      <c r="O112" s="751">
        <v>-7.2300000000000003E-3</v>
      </c>
      <c r="P112" s="751">
        <v>-3.2219999999999999E-2</v>
      </c>
      <c r="Q112" s="751">
        <v>101.438</v>
      </c>
      <c r="R112" s="79"/>
      <c r="S112" s="79"/>
    </row>
    <row r="113" spans="1:19">
      <c r="A113" s="749" t="s">
        <v>324</v>
      </c>
      <c r="B113" s="750">
        <v>388</v>
      </c>
      <c r="C113" s="752">
        <v>16.610099999999999</v>
      </c>
      <c r="D113" s="752">
        <v>43.186799999999998</v>
      </c>
      <c r="E113" s="751">
        <v>0.106336</v>
      </c>
      <c r="F113" s="751">
        <v>5.7572599999999996</v>
      </c>
      <c r="G113" s="752">
        <v>34.627299999999998</v>
      </c>
      <c r="H113" s="751">
        <v>0.26537500000000003</v>
      </c>
      <c r="I113" s="751">
        <v>-7.1999999999999998E-3</v>
      </c>
      <c r="J113" s="751">
        <v>1.9659999999999999E-3</v>
      </c>
      <c r="K113" s="751">
        <v>3.0109999999999998E-3</v>
      </c>
      <c r="L113" s="751">
        <v>5.6132000000000001E-2</v>
      </c>
      <c r="M113" s="751">
        <v>-4.4000000000000002E-4</v>
      </c>
      <c r="N113" s="751">
        <v>8.3999999999999995E-3</v>
      </c>
      <c r="O113" s="751">
        <v>5.5890000000000002E-3</v>
      </c>
      <c r="P113" s="751">
        <v>-3.2219999999999999E-2</v>
      </c>
      <c r="Q113" s="751">
        <v>100.58799999999999</v>
      </c>
      <c r="R113" s="79"/>
      <c r="S113" s="79"/>
    </row>
    <row r="114" spans="1:19">
      <c r="A114" s="749" t="s">
        <v>324</v>
      </c>
      <c r="B114" s="750">
        <v>503</v>
      </c>
      <c r="C114" s="752">
        <v>16.909099999999999</v>
      </c>
      <c r="D114" s="752">
        <v>43.731999999999999</v>
      </c>
      <c r="E114" s="751">
        <v>0.10269300000000001</v>
      </c>
      <c r="F114" s="751">
        <v>5.7379699999999998</v>
      </c>
      <c r="G114" s="752">
        <v>36.713000000000001</v>
      </c>
      <c r="H114" s="751">
        <v>0.22970099999999999</v>
      </c>
      <c r="I114" s="751">
        <v>3.6110000000000001E-3</v>
      </c>
      <c r="J114" s="751">
        <v>3.5860000000000002E-3</v>
      </c>
      <c r="K114" s="751">
        <v>-1.423E-2</v>
      </c>
      <c r="L114" s="751">
        <v>7.7782000000000004E-2</v>
      </c>
      <c r="M114" s="751">
        <v>-3.8E-3</v>
      </c>
      <c r="N114" s="751">
        <v>8.5470000000000008E-3</v>
      </c>
      <c r="O114" s="751">
        <v>-4.8900000000000002E-3</v>
      </c>
      <c r="P114" s="751">
        <v>-3.2230000000000002E-2</v>
      </c>
      <c r="Q114" s="751">
        <v>103.46299999999999</v>
      </c>
      <c r="R114" s="79"/>
      <c r="S114" s="79"/>
    </row>
    <row r="115" spans="1:19">
      <c r="A115" s="749" t="s">
        <v>324</v>
      </c>
      <c r="B115" s="750">
        <v>504</v>
      </c>
      <c r="C115" s="752">
        <v>17.095800000000001</v>
      </c>
      <c r="D115" s="752">
        <v>43.408200000000001</v>
      </c>
      <c r="E115" s="751">
        <v>0.109376</v>
      </c>
      <c r="F115" s="751">
        <v>5.7866999999999997</v>
      </c>
      <c r="G115" s="752">
        <v>34.808199999999999</v>
      </c>
      <c r="H115" s="751">
        <v>0.211591</v>
      </c>
      <c r="I115" s="751">
        <v>6.149E-3</v>
      </c>
      <c r="J115" s="751">
        <v>-2.2000000000000001E-3</v>
      </c>
      <c r="K115" s="751">
        <v>4.8488999999999997E-2</v>
      </c>
      <c r="L115" s="751">
        <v>-1.9439999999999999E-2</v>
      </c>
      <c r="M115" s="751">
        <v>-8.0000000000000004E-4</v>
      </c>
      <c r="N115" s="751">
        <v>1.2945E-2</v>
      </c>
      <c r="O115" s="751">
        <v>-3.1289999999999998E-2</v>
      </c>
      <c r="P115" s="751">
        <v>-3.2210000000000003E-2</v>
      </c>
      <c r="Q115" s="751">
        <v>101.402</v>
      </c>
      <c r="R115" s="79"/>
      <c r="S115" s="79"/>
    </row>
    <row r="116" spans="1:19">
      <c r="A116" s="749" t="s">
        <v>324</v>
      </c>
      <c r="B116" s="750">
        <v>505</v>
      </c>
      <c r="C116" s="752">
        <v>16.796600000000002</v>
      </c>
      <c r="D116" s="752">
        <v>43.813400000000001</v>
      </c>
      <c r="E116" s="751">
        <v>0.10166500000000001</v>
      </c>
      <c r="F116" s="751">
        <v>5.7914399999999997</v>
      </c>
      <c r="G116" s="752">
        <v>36.599600000000002</v>
      </c>
      <c r="H116" s="751">
        <v>0.224912</v>
      </c>
      <c r="I116" s="751">
        <v>3.1300000000000002E-4</v>
      </c>
      <c r="J116" s="751">
        <v>2.9700000000000001E-4</v>
      </c>
      <c r="K116" s="751">
        <v>-1.009E-2</v>
      </c>
      <c r="L116" s="751">
        <v>3.7898000000000001E-2</v>
      </c>
      <c r="M116" s="751">
        <v>1.8090000000000001E-3</v>
      </c>
      <c r="N116" s="751">
        <v>1.2349000000000001E-2</v>
      </c>
      <c r="O116" s="751">
        <v>-6.3299999999999997E-3</v>
      </c>
      <c r="P116" s="751">
        <v>-3.2210000000000003E-2</v>
      </c>
      <c r="Q116" s="751">
        <v>103.33199999999999</v>
      </c>
      <c r="R116" s="79"/>
      <c r="S116" s="79"/>
    </row>
    <row r="117" spans="1:19">
      <c r="A117" s="749"/>
      <c r="B117" s="729" t="s">
        <v>344</v>
      </c>
      <c r="C117" s="751">
        <f>_xlfn.STDEV.S(C105:C116)</f>
        <v>0.24912224028789665</v>
      </c>
      <c r="D117" s="751">
        <f>_xlfn.STDEV.S(D105:D116)</f>
        <v>0.2639095776047457</v>
      </c>
      <c r="E117" s="751"/>
      <c r="F117" s="751"/>
      <c r="G117" s="751">
        <f>_xlfn.STDEV.S(G105:G116)</f>
        <v>0.72052176717271899</v>
      </c>
      <c r="H117" s="751"/>
      <c r="I117" s="751"/>
      <c r="J117" s="751"/>
      <c r="K117" s="751"/>
      <c r="L117" s="751"/>
      <c r="M117" s="751"/>
      <c r="N117" s="751"/>
      <c r="O117" s="751"/>
      <c r="P117" s="751"/>
      <c r="Q117" s="751"/>
      <c r="R117" s="79"/>
      <c r="S117" s="79"/>
    </row>
    <row r="118" spans="1:19">
      <c r="A118" s="749"/>
      <c r="B118" s="729" t="s">
        <v>345</v>
      </c>
      <c r="C118" s="752">
        <f>_xlfn.STDEV.S(C105:C116)/SQRT(COUNT(C105:C116))</f>
        <v>7.191539624566988E-2</v>
      </c>
      <c r="D118" s="752">
        <f>_xlfn.STDEV.S(D105:D116)/SQRT(COUNT(D105:D116))</f>
        <v>7.618413283591019E-2</v>
      </c>
      <c r="E118" s="751"/>
      <c r="F118" s="751"/>
      <c r="G118" s="752">
        <f>_xlfn.STDEV.S(G105:G116)/SQRT(COUNT(G105:G116))</f>
        <v>0.2079967181170771</v>
      </c>
      <c r="H118" s="751"/>
      <c r="I118" s="752"/>
      <c r="J118" s="752"/>
      <c r="K118" s="751"/>
      <c r="L118" s="751"/>
      <c r="M118" s="751"/>
      <c r="N118" s="752"/>
      <c r="O118" s="752"/>
      <c r="P118" s="751"/>
      <c r="Q118" s="751"/>
      <c r="R118" s="79"/>
      <c r="S118" s="79"/>
    </row>
    <row r="119" spans="1:19">
      <c r="A119" s="749"/>
      <c r="B119" s="732" t="s">
        <v>346</v>
      </c>
      <c r="C119" s="753">
        <f>(C118/AVERAGE(C105:C116))</f>
        <v>4.2470516424423215E-3</v>
      </c>
      <c r="D119" s="753">
        <f>(D118/AVERAGE(D105:D116))</f>
        <v>1.7476638365672781E-3</v>
      </c>
      <c r="E119" s="751"/>
      <c r="F119" s="751"/>
      <c r="G119" s="753">
        <f>(G118/AVERAGE(G105:G116))</f>
        <v>5.8976101481252692E-3</v>
      </c>
      <c r="H119" s="751"/>
      <c r="I119" s="751"/>
      <c r="J119" s="751"/>
      <c r="K119" s="751"/>
      <c r="L119" s="751"/>
      <c r="M119" s="751"/>
      <c r="N119" s="751"/>
      <c r="O119" s="751"/>
      <c r="P119" s="751"/>
      <c r="Q119" s="751"/>
      <c r="R119" s="79"/>
      <c r="S119" s="79"/>
    </row>
    <row r="120" spans="1:19">
      <c r="A120" s="749"/>
      <c r="B120" s="750"/>
      <c r="C120" s="751"/>
      <c r="D120" s="751"/>
      <c r="E120" s="751"/>
      <c r="F120" s="751"/>
      <c r="G120" s="751"/>
      <c r="H120" s="751"/>
      <c r="I120" s="751"/>
      <c r="J120" s="751"/>
      <c r="K120" s="751"/>
      <c r="L120" s="751"/>
      <c r="M120" s="751"/>
      <c r="N120" s="751"/>
      <c r="O120" s="751"/>
      <c r="P120" s="751"/>
      <c r="Q120" s="751"/>
      <c r="R120" s="79"/>
      <c r="S120" s="79"/>
    </row>
    <row r="121" spans="1:19">
      <c r="A121" s="749"/>
      <c r="B121" s="750"/>
      <c r="C121" s="751"/>
      <c r="D121" s="751"/>
      <c r="E121" s="751"/>
      <c r="F121" s="751"/>
      <c r="G121" s="751"/>
      <c r="H121" s="751"/>
      <c r="I121" s="751"/>
      <c r="J121" s="751"/>
      <c r="K121" s="751"/>
      <c r="L121" s="751"/>
      <c r="M121" s="751"/>
      <c r="N121" s="751"/>
      <c r="O121" s="751"/>
      <c r="P121" s="751"/>
      <c r="Q121" s="751"/>
      <c r="R121" s="79"/>
      <c r="S121" s="79"/>
    </row>
    <row r="122" spans="1:19">
      <c r="A122" s="743" t="s">
        <v>318</v>
      </c>
      <c r="B122" s="744" t="s">
        <v>354</v>
      </c>
      <c r="C122" s="746" t="s">
        <v>184</v>
      </c>
      <c r="D122" s="746" t="s">
        <v>178</v>
      </c>
      <c r="E122" s="746" t="s">
        <v>335</v>
      </c>
      <c r="F122" s="754" t="s">
        <v>336</v>
      </c>
      <c r="G122" s="754" t="s">
        <v>180</v>
      </c>
      <c r="H122" s="746" t="s">
        <v>703</v>
      </c>
      <c r="I122" s="746" t="s">
        <v>337</v>
      </c>
      <c r="J122" s="746" t="s">
        <v>338</v>
      </c>
      <c r="K122" s="746" t="s">
        <v>179</v>
      </c>
      <c r="L122" s="744" t="s">
        <v>187</v>
      </c>
      <c r="M122" s="746" t="s">
        <v>339</v>
      </c>
      <c r="N122" s="746" t="s">
        <v>340</v>
      </c>
      <c r="O122" s="746" t="s">
        <v>186</v>
      </c>
      <c r="P122" s="746" t="s">
        <v>341</v>
      </c>
      <c r="Q122" s="746" t="s">
        <v>342</v>
      </c>
      <c r="R122" s="79"/>
      <c r="S122" s="79"/>
    </row>
    <row r="123" spans="1:19" s="80" customFormat="1">
      <c r="A123" s="747" t="s">
        <v>347</v>
      </c>
      <c r="B123" s="748" t="s">
        <v>722</v>
      </c>
      <c r="C123" s="748">
        <v>0.91</v>
      </c>
      <c r="D123" s="748">
        <v>64.793000000000006</v>
      </c>
      <c r="E123" s="748" t="s">
        <v>343</v>
      </c>
      <c r="F123" s="748">
        <v>15.49</v>
      </c>
      <c r="G123" s="748">
        <v>16.72</v>
      </c>
      <c r="H123" s="748">
        <v>1.88</v>
      </c>
      <c r="I123" s="748" t="s">
        <v>343</v>
      </c>
      <c r="J123" s="748" t="s">
        <v>343</v>
      </c>
      <c r="K123" s="748" t="s">
        <v>343</v>
      </c>
      <c r="L123" s="748" t="s">
        <v>343</v>
      </c>
      <c r="M123" s="748" t="s">
        <v>343</v>
      </c>
      <c r="N123" s="748" t="s">
        <v>343</v>
      </c>
      <c r="O123" s="748" t="s">
        <v>343</v>
      </c>
      <c r="P123" s="748">
        <v>0.127</v>
      </c>
      <c r="Q123" s="748">
        <v>100.009</v>
      </c>
      <c r="R123" s="77"/>
      <c r="S123" s="77"/>
    </row>
    <row r="124" spans="1:19">
      <c r="A124" s="749" t="s">
        <v>327</v>
      </c>
      <c r="B124" s="750">
        <v>31</v>
      </c>
      <c r="C124" s="751">
        <v>0.99193399999999998</v>
      </c>
      <c r="D124" s="751">
        <v>64.941599999999994</v>
      </c>
      <c r="E124" s="751">
        <v>-4.5399999999999998E-3</v>
      </c>
      <c r="F124" s="752">
        <v>15.471500000000001</v>
      </c>
      <c r="G124" s="752">
        <v>17.191600000000001</v>
      </c>
      <c r="H124" s="751">
        <v>1.75038</v>
      </c>
      <c r="I124" s="751">
        <v>5.8050000000000003E-3</v>
      </c>
      <c r="J124" s="751">
        <v>-2.0200000000000001E-3</v>
      </c>
      <c r="K124" s="751">
        <v>4.9446999999999998E-2</v>
      </c>
      <c r="L124" s="751">
        <v>5.4508000000000001E-2</v>
      </c>
      <c r="M124" s="751">
        <v>6.4780000000000003E-3</v>
      </c>
      <c r="N124" s="751">
        <v>-7.4799999999999997E-3</v>
      </c>
      <c r="O124" s="751">
        <v>-4.3490000000000001E-2</v>
      </c>
      <c r="P124" s="751">
        <v>0.127251</v>
      </c>
      <c r="Q124" s="751">
        <v>0</v>
      </c>
      <c r="R124" s="79"/>
      <c r="S124" s="79"/>
    </row>
    <row r="125" spans="1:19">
      <c r="A125" s="749" t="s">
        <v>327</v>
      </c>
      <c r="B125" s="750">
        <v>32</v>
      </c>
      <c r="C125" s="751">
        <v>0.976692</v>
      </c>
      <c r="D125" s="751">
        <v>64.680199999999999</v>
      </c>
      <c r="E125" s="751">
        <v>-5.0899999999999999E-3</v>
      </c>
      <c r="F125" s="752">
        <v>15.63</v>
      </c>
      <c r="G125" s="752">
        <v>16.836400000000001</v>
      </c>
      <c r="H125" s="751">
        <v>1.85907</v>
      </c>
      <c r="I125" s="751">
        <v>4.6899999999999997E-3</v>
      </c>
      <c r="J125" s="751">
        <v>2.03E-4</v>
      </c>
      <c r="K125" s="751">
        <v>-4.7050000000000002E-2</v>
      </c>
      <c r="L125" s="751">
        <v>5.875E-3</v>
      </c>
      <c r="M125" s="751">
        <v>1.36E-4</v>
      </c>
      <c r="N125" s="751">
        <v>-2.4099999999999998E-3</v>
      </c>
      <c r="O125" s="751">
        <v>-1.9890000000000001E-2</v>
      </c>
      <c r="P125" s="751">
        <v>0.12726199999999999</v>
      </c>
      <c r="Q125" s="751">
        <v>0</v>
      </c>
      <c r="R125" s="79"/>
      <c r="S125" s="79"/>
    </row>
    <row r="126" spans="1:19">
      <c r="A126" s="749" t="s">
        <v>327</v>
      </c>
      <c r="B126" s="750">
        <v>33</v>
      </c>
      <c r="C126" s="751">
        <v>0.96462199999999998</v>
      </c>
      <c r="D126" s="751">
        <v>65.406199999999998</v>
      </c>
      <c r="E126" s="751">
        <v>-1.0399999999999999E-3</v>
      </c>
      <c r="F126" s="752">
        <v>15.3742</v>
      </c>
      <c r="G126" s="752">
        <v>16.137499999999999</v>
      </c>
      <c r="H126" s="751">
        <v>1.7474000000000001</v>
      </c>
      <c r="I126" s="751">
        <v>-2.7699999999999999E-3</v>
      </c>
      <c r="J126" s="751">
        <v>3.0560000000000001E-3</v>
      </c>
      <c r="K126" s="751">
        <v>1.8357999999999999E-2</v>
      </c>
      <c r="L126" s="751">
        <v>3.1243E-2</v>
      </c>
      <c r="M126" s="751">
        <v>-5.2999999999999998E-4</v>
      </c>
      <c r="N126" s="751">
        <v>-2.2899999999999999E-3</v>
      </c>
      <c r="O126" s="751">
        <v>-5.2339999999999998E-2</v>
      </c>
      <c r="P126" s="751">
        <v>0.12725500000000001</v>
      </c>
      <c r="Q126" s="751">
        <v>0</v>
      </c>
      <c r="R126" s="79"/>
      <c r="S126" s="79"/>
    </row>
    <row r="127" spans="1:19">
      <c r="A127" s="749" t="s">
        <v>327</v>
      </c>
      <c r="B127" s="750">
        <v>254</v>
      </c>
      <c r="C127" s="751">
        <v>0.97375299999999998</v>
      </c>
      <c r="D127" s="751">
        <v>65.230900000000005</v>
      </c>
      <c r="E127" s="751">
        <v>-8.2799999999999992E-3</v>
      </c>
      <c r="F127" s="752">
        <v>15.2774</v>
      </c>
      <c r="G127" s="752">
        <v>16.698499999999999</v>
      </c>
      <c r="H127" s="751">
        <v>1.6787099999999999</v>
      </c>
      <c r="I127" s="751">
        <v>-3.7399999999999998E-3</v>
      </c>
      <c r="J127" s="751">
        <v>-5.4099999999999999E-3</v>
      </c>
      <c r="K127" s="751">
        <v>-3.9390000000000001E-2</v>
      </c>
      <c r="L127" s="751">
        <v>9.3959999999999998E-3</v>
      </c>
      <c r="M127" s="751">
        <v>-7.6E-3</v>
      </c>
      <c r="N127" s="751">
        <v>-4.5500000000000002E-3</v>
      </c>
      <c r="O127" s="751">
        <v>4.3379999999999998E-3</v>
      </c>
      <c r="P127" s="751">
        <v>0.127251</v>
      </c>
      <c r="Q127" s="751">
        <v>0</v>
      </c>
      <c r="R127" s="79"/>
      <c r="S127" s="79"/>
    </row>
    <row r="128" spans="1:19">
      <c r="A128" s="749" t="s">
        <v>327</v>
      </c>
      <c r="B128" s="750">
        <v>255</v>
      </c>
      <c r="C128" s="751">
        <v>0.97191399999999994</v>
      </c>
      <c r="D128" s="751">
        <v>65.108099999999993</v>
      </c>
      <c r="E128" s="751">
        <v>3.6449999999999998E-3</v>
      </c>
      <c r="F128" s="752">
        <v>15.6496</v>
      </c>
      <c r="G128" s="752">
        <v>16.7303</v>
      </c>
      <c r="H128" s="751">
        <v>1.8045</v>
      </c>
      <c r="I128" s="751">
        <v>-7.0000000000000001E-3</v>
      </c>
      <c r="J128" s="751">
        <v>5.0460000000000001E-3</v>
      </c>
      <c r="K128" s="751">
        <v>6.6171999999999995E-2</v>
      </c>
      <c r="L128" s="751">
        <v>-2.7650000000000001E-2</v>
      </c>
      <c r="M128" s="751">
        <v>-4.7000000000000002E-3</v>
      </c>
      <c r="N128" s="751">
        <v>-5.9800000000000001E-3</v>
      </c>
      <c r="O128" s="751">
        <v>-2.503E-2</v>
      </c>
      <c r="P128" s="751">
        <v>0.127251</v>
      </c>
      <c r="Q128" s="751">
        <v>0</v>
      </c>
      <c r="R128" s="79"/>
      <c r="S128" s="79"/>
    </row>
    <row r="129" spans="1:19">
      <c r="A129" s="749" t="s">
        <v>327</v>
      </c>
      <c r="B129" s="750">
        <v>256</v>
      </c>
      <c r="C129" s="751">
        <v>0.95339700000000005</v>
      </c>
      <c r="D129" s="751">
        <v>65.723399999999998</v>
      </c>
      <c r="E129" s="751">
        <v>-1.41E-3</v>
      </c>
      <c r="F129" s="752">
        <v>15.5556</v>
      </c>
      <c r="G129" s="752">
        <v>16.713000000000001</v>
      </c>
      <c r="H129" s="751">
        <v>1.81612</v>
      </c>
      <c r="I129" s="751">
        <v>2.6999999999999999E-5</v>
      </c>
      <c r="J129" s="751">
        <v>-2.3600000000000001E-3</v>
      </c>
      <c r="K129" s="751">
        <v>4.7593000000000003E-2</v>
      </c>
      <c r="L129" s="751">
        <v>-2.92E-2</v>
      </c>
      <c r="M129" s="751">
        <v>2.1100000000000001E-4</v>
      </c>
      <c r="N129" s="751">
        <v>-1.9980000000000001E-2</v>
      </c>
      <c r="O129" s="751">
        <v>-6.055E-2</v>
      </c>
      <c r="P129" s="751">
        <v>0.127247</v>
      </c>
      <c r="Q129" s="751">
        <v>0</v>
      </c>
      <c r="R129" s="79"/>
      <c r="S129" s="79"/>
    </row>
    <row r="130" spans="1:19">
      <c r="A130" s="749" t="s">
        <v>327</v>
      </c>
      <c r="B130" s="750">
        <v>389</v>
      </c>
      <c r="C130" s="751">
        <v>0.93695899999999999</v>
      </c>
      <c r="D130" s="751">
        <v>65.052499999999995</v>
      </c>
      <c r="E130" s="751">
        <v>-5.8500000000000002E-3</v>
      </c>
      <c r="F130" s="752">
        <v>15.585800000000001</v>
      </c>
      <c r="G130" s="752">
        <v>16.898099999999999</v>
      </c>
      <c r="H130" s="751">
        <v>1.7421199999999999</v>
      </c>
      <c r="I130" s="751">
        <v>5.646E-3</v>
      </c>
      <c r="J130" s="751">
        <v>5.0379999999999999E-3</v>
      </c>
      <c r="K130" s="751">
        <v>-1.9040000000000001E-2</v>
      </c>
      <c r="L130" s="751">
        <v>2.7368E-2</v>
      </c>
      <c r="M130" s="751">
        <v>4.5430000000000002E-3</v>
      </c>
      <c r="N130" s="751">
        <v>-1.0200000000000001E-2</v>
      </c>
      <c r="O130" s="751">
        <v>-1.4749999999999999E-2</v>
      </c>
      <c r="P130" s="751">
        <v>0.127251</v>
      </c>
      <c r="Q130" s="751">
        <v>0</v>
      </c>
      <c r="R130" s="79"/>
      <c r="S130" s="79"/>
    </row>
    <row r="131" spans="1:19">
      <c r="A131" s="749" t="s">
        <v>327</v>
      </c>
      <c r="B131" s="750">
        <v>390</v>
      </c>
      <c r="C131" s="751">
        <v>1.0052300000000001</v>
      </c>
      <c r="D131" s="751">
        <v>66.258099999999999</v>
      </c>
      <c r="E131" s="751">
        <v>4.5859999999999998E-3</v>
      </c>
      <c r="F131" s="752">
        <v>15.365500000000001</v>
      </c>
      <c r="G131" s="752">
        <v>16.757100000000001</v>
      </c>
      <c r="H131" s="751">
        <v>1.71271</v>
      </c>
      <c r="I131" s="751">
        <v>2.117E-3</v>
      </c>
      <c r="J131" s="751">
        <v>1.95E-4</v>
      </c>
      <c r="K131" s="751">
        <v>9.5510000000000005E-3</v>
      </c>
      <c r="L131" s="751">
        <v>1.9880999999999999E-2</v>
      </c>
      <c r="M131" s="751">
        <v>-4.1799999999999997E-3</v>
      </c>
      <c r="N131" s="751">
        <v>2.2550000000000001E-3</v>
      </c>
      <c r="O131" s="751">
        <v>1.9248999999999999E-2</v>
      </c>
      <c r="P131" s="751">
        <v>0.12725500000000001</v>
      </c>
      <c r="Q131" s="751">
        <v>0</v>
      </c>
      <c r="R131" s="79"/>
      <c r="S131" s="79"/>
    </row>
    <row r="132" spans="1:19">
      <c r="A132" s="749" t="s">
        <v>327</v>
      </c>
      <c r="B132" s="750">
        <v>391</v>
      </c>
      <c r="C132" s="751">
        <v>0.98145099999999996</v>
      </c>
      <c r="D132" s="751">
        <v>65.5899</v>
      </c>
      <c r="E132" s="751">
        <v>-1.3500000000000001E-3</v>
      </c>
      <c r="F132" s="752">
        <v>15.540900000000001</v>
      </c>
      <c r="G132" s="752">
        <v>16.479099999999999</v>
      </c>
      <c r="H132" s="751">
        <v>1.7021999999999999</v>
      </c>
      <c r="I132" s="751">
        <v>9.7929999999999996E-3</v>
      </c>
      <c r="J132" s="751">
        <v>1.129E-3</v>
      </c>
      <c r="K132" s="751">
        <v>-3.6310000000000002E-2</v>
      </c>
      <c r="L132" s="751">
        <v>-4.7120000000000002E-2</v>
      </c>
      <c r="M132" s="751">
        <v>5.6670000000000002E-3</v>
      </c>
      <c r="N132" s="751">
        <v>-1.7799999999999999E-3</v>
      </c>
      <c r="O132" s="751">
        <v>9.1690000000000001E-3</v>
      </c>
      <c r="P132" s="751">
        <v>0.127247</v>
      </c>
      <c r="Q132" s="751">
        <v>0</v>
      </c>
      <c r="R132" s="79"/>
      <c r="S132" s="79"/>
    </row>
    <row r="133" spans="1:19">
      <c r="A133" s="749" t="s">
        <v>327</v>
      </c>
      <c r="B133" s="750">
        <v>506</v>
      </c>
      <c r="C133" s="751">
        <v>0.94244300000000003</v>
      </c>
      <c r="D133" s="751">
        <v>65.355400000000003</v>
      </c>
      <c r="E133" s="751">
        <v>-7.43E-3</v>
      </c>
      <c r="F133" s="752">
        <v>15.470499999999999</v>
      </c>
      <c r="G133" s="752">
        <v>16.771100000000001</v>
      </c>
      <c r="H133" s="751">
        <v>1.82324</v>
      </c>
      <c r="I133" s="751">
        <v>6.5360000000000001E-3</v>
      </c>
      <c r="J133" s="751">
        <v>1.1055000000000001E-2</v>
      </c>
      <c r="K133" s="751">
        <v>-7.7060000000000003E-2</v>
      </c>
      <c r="L133" s="751">
        <v>-4.4400000000000004E-3</v>
      </c>
      <c r="M133" s="751">
        <v>-2.8800000000000002E-3</v>
      </c>
      <c r="N133" s="751">
        <v>-1.227E-2</v>
      </c>
      <c r="O133" s="751">
        <v>-1.391E-2</v>
      </c>
      <c r="P133" s="751">
        <v>0.12725500000000001</v>
      </c>
      <c r="Q133" s="751">
        <v>0</v>
      </c>
      <c r="R133" s="79"/>
      <c r="S133" s="79"/>
    </row>
    <row r="134" spans="1:19">
      <c r="A134" s="749" t="s">
        <v>327</v>
      </c>
      <c r="B134" s="750">
        <v>507</v>
      </c>
      <c r="C134" s="751">
        <v>0.93066099999999996</v>
      </c>
      <c r="D134" s="751">
        <v>65.165199999999999</v>
      </c>
      <c r="E134" s="751">
        <v>-1.9E-3</v>
      </c>
      <c r="F134" s="752">
        <v>15.48</v>
      </c>
      <c r="G134" s="752">
        <v>16.645099999999999</v>
      </c>
      <c r="H134" s="751">
        <v>1.7000299999999999</v>
      </c>
      <c r="I134" s="751">
        <v>2.8370000000000001E-3</v>
      </c>
      <c r="J134" s="751">
        <v>9.41E-4</v>
      </c>
      <c r="K134" s="751">
        <v>-6.0420000000000001E-2</v>
      </c>
      <c r="L134" s="751">
        <v>2.1288000000000001E-2</v>
      </c>
      <c r="M134" s="751">
        <v>-5.6999999999999998E-4</v>
      </c>
      <c r="N134" s="751">
        <v>-6.0800000000000003E-3</v>
      </c>
      <c r="O134" s="751">
        <v>-5.2010000000000001E-2</v>
      </c>
      <c r="P134" s="751">
        <v>0.127247</v>
      </c>
      <c r="Q134" s="751">
        <v>0</v>
      </c>
      <c r="R134" s="79"/>
      <c r="S134" s="79"/>
    </row>
    <row r="135" spans="1:19">
      <c r="A135" s="749" t="s">
        <v>327</v>
      </c>
      <c r="B135" s="750">
        <v>508</v>
      </c>
      <c r="C135" s="751">
        <v>0.94225400000000004</v>
      </c>
      <c r="D135" s="751">
        <v>64.863399999999999</v>
      </c>
      <c r="E135" s="751">
        <v>-5.0400000000000002E-3</v>
      </c>
      <c r="F135" s="752">
        <v>15.5314</v>
      </c>
      <c r="G135" s="752">
        <v>16.731000000000002</v>
      </c>
      <c r="H135" s="751">
        <v>1.8398000000000001</v>
      </c>
      <c r="I135" s="751">
        <v>-3.2399999999999998E-3</v>
      </c>
      <c r="J135" s="751">
        <v>-3.82E-3</v>
      </c>
      <c r="K135" s="751">
        <v>-3.49E-3</v>
      </c>
      <c r="L135" s="751">
        <v>3.5742000000000003E-2</v>
      </c>
      <c r="M135" s="751">
        <v>-4.0699999999999998E-3</v>
      </c>
      <c r="N135" s="751">
        <v>8.5749999999999993E-3</v>
      </c>
      <c r="O135" s="751">
        <v>-1.133E-2</v>
      </c>
      <c r="P135" s="751">
        <v>0.127251</v>
      </c>
      <c r="Q135" s="751">
        <v>0</v>
      </c>
      <c r="R135" s="79"/>
      <c r="S135" s="79"/>
    </row>
    <row r="136" spans="1:19">
      <c r="A136" s="749"/>
      <c r="B136" s="729" t="s">
        <v>344</v>
      </c>
      <c r="C136" s="751"/>
      <c r="D136" s="751"/>
      <c r="E136" s="751"/>
      <c r="F136" s="751">
        <f>_xlfn.STDEV.S(F124:F135)</f>
        <v>0.11182789807502769</v>
      </c>
      <c r="G136" s="751">
        <f>_xlfn.STDEV.S(G124:G135)</f>
        <v>0.24774101335259355</v>
      </c>
      <c r="H136" s="751"/>
      <c r="I136" s="751"/>
      <c r="J136" s="751"/>
      <c r="K136" s="751"/>
      <c r="L136" s="751"/>
      <c r="M136" s="751"/>
      <c r="N136" s="751"/>
      <c r="O136" s="751"/>
      <c r="P136" s="751"/>
      <c r="Q136" s="751"/>
      <c r="R136" s="79"/>
      <c r="S136" s="79"/>
    </row>
    <row r="137" spans="1:19">
      <c r="A137" s="749"/>
      <c r="B137" s="729" t="s">
        <v>345</v>
      </c>
      <c r="C137" s="751"/>
      <c r="D137" s="751"/>
      <c r="E137" s="751"/>
      <c r="F137" s="752">
        <f>_xlfn.STDEV.S(F124:F135)/SQRT(COUNT(F124:F135))</f>
        <v>3.2281933528263633E-2</v>
      </c>
      <c r="G137" s="752">
        <f>_xlfn.STDEV.S(G124:G135)/SQRT(COUNT(G124:G135))</f>
        <v>7.1516670374215288E-2</v>
      </c>
      <c r="H137" s="752"/>
      <c r="I137" s="752"/>
      <c r="J137" s="752"/>
      <c r="K137" s="751"/>
      <c r="L137" s="751"/>
      <c r="M137" s="751"/>
      <c r="N137" s="752"/>
      <c r="O137" s="752"/>
      <c r="P137" s="751"/>
      <c r="Q137" s="751"/>
      <c r="R137" s="79"/>
      <c r="S137" s="79"/>
    </row>
    <row r="138" spans="1:19">
      <c r="A138" s="749"/>
      <c r="B138" s="732" t="s">
        <v>346</v>
      </c>
      <c r="C138" s="751"/>
      <c r="D138" s="751"/>
      <c r="E138" s="751"/>
      <c r="F138" s="753">
        <f>(F137/AVERAGE(F124:F135))</f>
        <v>2.0834626043613898E-3</v>
      </c>
      <c r="G138" s="753">
        <f>(G137/AVERAGE(G124:G135))</f>
        <v>4.278404599312541E-3</v>
      </c>
      <c r="H138" s="751"/>
      <c r="I138" s="751"/>
      <c r="J138" s="751"/>
      <c r="K138" s="751"/>
      <c r="L138" s="751"/>
      <c r="M138" s="751"/>
      <c r="N138" s="751"/>
      <c r="O138" s="751"/>
      <c r="P138" s="751"/>
      <c r="Q138" s="751"/>
      <c r="R138" s="79"/>
      <c r="S138" s="79"/>
    </row>
    <row r="139" spans="1:19">
      <c r="A139" s="749"/>
      <c r="B139" s="750"/>
      <c r="C139" s="751"/>
      <c r="D139" s="751"/>
      <c r="E139" s="751"/>
      <c r="F139" s="751"/>
      <c r="G139" s="751"/>
      <c r="H139" s="751"/>
      <c r="I139" s="751"/>
      <c r="J139" s="751"/>
      <c r="K139" s="751"/>
      <c r="L139" s="751"/>
      <c r="M139" s="751"/>
      <c r="N139" s="751"/>
      <c r="O139" s="751"/>
      <c r="P139" s="751"/>
      <c r="Q139" s="751"/>
      <c r="R139" s="79"/>
      <c r="S139" s="79"/>
    </row>
    <row r="140" spans="1:19">
      <c r="A140" s="749"/>
      <c r="B140" s="750"/>
      <c r="C140" s="751"/>
      <c r="D140" s="751"/>
      <c r="E140" s="751"/>
      <c r="F140" s="751"/>
      <c r="G140" s="751"/>
      <c r="H140" s="751"/>
      <c r="I140" s="751"/>
      <c r="J140" s="751"/>
      <c r="K140" s="751"/>
      <c r="L140" s="751"/>
      <c r="M140" s="751"/>
      <c r="N140" s="751"/>
      <c r="O140" s="751"/>
      <c r="P140" s="751"/>
      <c r="Q140" s="751"/>
      <c r="R140" s="79"/>
      <c r="S140" s="79"/>
    </row>
    <row r="141" spans="1:19">
      <c r="A141" s="743" t="s">
        <v>318</v>
      </c>
      <c r="B141" s="744" t="s">
        <v>354</v>
      </c>
      <c r="C141" s="746" t="s">
        <v>184</v>
      </c>
      <c r="D141" s="746" t="s">
        <v>178</v>
      </c>
      <c r="E141" s="746" t="s">
        <v>335</v>
      </c>
      <c r="F141" s="746" t="s">
        <v>336</v>
      </c>
      <c r="G141" s="746" t="s">
        <v>180</v>
      </c>
      <c r="H141" s="746" t="s">
        <v>703</v>
      </c>
      <c r="I141" s="746" t="s">
        <v>337</v>
      </c>
      <c r="J141" s="746" t="s">
        <v>338</v>
      </c>
      <c r="K141" s="746" t="s">
        <v>179</v>
      </c>
      <c r="L141" s="744" t="s">
        <v>187</v>
      </c>
      <c r="M141" s="754" t="s">
        <v>339</v>
      </c>
      <c r="N141" s="746" t="s">
        <v>340</v>
      </c>
      <c r="O141" s="746" t="s">
        <v>186</v>
      </c>
      <c r="P141" s="746" t="s">
        <v>341</v>
      </c>
      <c r="Q141" s="746" t="s">
        <v>342</v>
      </c>
      <c r="R141" s="79"/>
      <c r="S141" s="79"/>
    </row>
    <row r="142" spans="1:19" s="80" customFormat="1">
      <c r="A142" s="747" t="s">
        <v>729</v>
      </c>
      <c r="B142" s="748" t="s">
        <v>722</v>
      </c>
      <c r="C142" s="748" t="s">
        <v>343</v>
      </c>
      <c r="D142" s="748" t="s">
        <v>343</v>
      </c>
      <c r="E142" s="748" t="s">
        <v>343</v>
      </c>
      <c r="F142" s="748" t="s">
        <v>343</v>
      </c>
      <c r="G142" s="748" t="s">
        <v>343</v>
      </c>
      <c r="H142" s="748">
        <v>59.888108882521479</v>
      </c>
      <c r="I142" s="748" t="s">
        <v>343</v>
      </c>
      <c r="J142" s="748" t="s">
        <v>343</v>
      </c>
      <c r="K142" s="748">
        <v>9.6771673281804901E-2</v>
      </c>
      <c r="L142" s="748">
        <v>0</v>
      </c>
      <c r="M142" s="748">
        <v>53.449999999999996</v>
      </c>
      <c r="N142" s="748" t="s">
        <v>343</v>
      </c>
      <c r="O142" s="748" t="s">
        <v>343</v>
      </c>
      <c r="P142" s="748" t="s">
        <v>343</v>
      </c>
      <c r="Q142" s="748">
        <v>113.43488055580329</v>
      </c>
      <c r="R142" s="77"/>
      <c r="S142" s="77"/>
    </row>
    <row r="143" spans="1:19">
      <c r="A143" s="749" t="s">
        <v>332</v>
      </c>
      <c r="B143" s="750">
        <v>37</v>
      </c>
      <c r="C143" s="751">
        <v>1.0396000000000001E-2</v>
      </c>
      <c r="D143" s="751">
        <v>-3.7400000000000003E-2</v>
      </c>
      <c r="E143" s="751">
        <v>1.2434000000000001E-2</v>
      </c>
      <c r="F143" s="751">
        <v>-1.908E-2</v>
      </c>
      <c r="G143" s="751">
        <v>1.0015E-2</v>
      </c>
      <c r="H143" s="751">
        <v>63.501300000000001</v>
      </c>
      <c r="I143" s="751">
        <v>2.5588E-2</v>
      </c>
      <c r="J143" s="751">
        <v>9.4039999999999992E-3</v>
      </c>
      <c r="K143" s="751">
        <v>3.0533999999999999E-2</v>
      </c>
      <c r="L143" s="751">
        <v>-3.2640000000000002E-2</v>
      </c>
      <c r="M143" s="752">
        <v>53.781399999999998</v>
      </c>
      <c r="N143" s="751">
        <v>-3.5110000000000002E-2</v>
      </c>
      <c r="O143" s="751">
        <v>-3.2750000000000001E-2</v>
      </c>
      <c r="P143" s="751">
        <v>9.9999999999999995E-7</v>
      </c>
      <c r="Q143" s="751">
        <v>117.224</v>
      </c>
      <c r="R143" s="79"/>
      <c r="S143" s="79"/>
    </row>
    <row r="144" spans="1:19">
      <c r="A144" s="749" t="s">
        <v>332</v>
      </c>
      <c r="B144" s="750">
        <v>38</v>
      </c>
      <c r="C144" s="751">
        <v>-3.1E-4</v>
      </c>
      <c r="D144" s="751">
        <v>-4.8669999999999998E-2</v>
      </c>
      <c r="E144" s="751">
        <v>2.568E-3</v>
      </c>
      <c r="F144" s="751">
        <v>-7.5199999999999998E-3</v>
      </c>
      <c r="G144" s="751">
        <v>2.526E-3</v>
      </c>
      <c r="H144" s="751">
        <v>63.8309</v>
      </c>
      <c r="I144" s="751">
        <v>3.3300000000000003E-2</v>
      </c>
      <c r="J144" s="751">
        <v>5.803E-3</v>
      </c>
      <c r="K144" s="751">
        <v>-6.6650000000000001E-2</v>
      </c>
      <c r="L144" s="751">
        <v>2.4714E-2</v>
      </c>
      <c r="M144" s="752">
        <v>54.0321</v>
      </c>
      <c r="N144" s="751">
        <v>-4.2070000000000003E-2</v>
      </c>
      <c r="O144" s="751">
        <v>-5.2409999999999998E-2</v>
      </c>
      <c r="P144" s="751">
        <v>0</v>
      </c>
      <c r="Q144" s="751">
        <v>117.714</v>
      </c>
      <c r="R144" s="79"/>
      <c r="S144" s="79"/>
    </row>
    <row r="145" spans="1:19">
      <c r="A145" s="749" t="s">
        <v>332</v>
      </c>
      <c r="B145" s="750">
        <v>39</v>
      </c>
      <c r="C145" s="751">
        <v>-1.3500000000000001E-3</v>
      </c>
      <c r="D145" s="751">
        <v>-4.8849999999999998E-2</v>
      </c>
      <c r="E145" s="751">
        <v>9.5040000000000003E-3</v>
      </c>
      <c r="F145" s="751">
        <v>2.16E-3</v>
      </c>
      <c r="G145" s="751">
        <v>-1.1350000000000001E-2</v>
      </c>
      <c r="H145" s="751">
        <v>62.7592</v>
      </c>
      <c r="I145" s="751">
        <v>3.8089999999999999E-2</v>
      </c>
      <c r="J145" s="751">
        <v>-4.0600000000000002E-3</v>
      </c>
      <c r="K145" s="751">
        <v>9.6708000000000002E-2</v>
      </c>
      <c r="L145" s="751">
        <v>3.2051999999999997E-2</v>
      </c>
      <c r="M145" s="752">
        <v>54.066800000000001</v>
      </c>
      <c r="N145" s="751">
        <v>-3.6360000000000003E-2</v>
      </c>
      <c r="O145" s="751">
        <v>-3.6139999999999999E-2</v>
      </c>
      <c r="P145" s="751">
        <v>0</v>
      </c>
      <c r="Q145" s="751">
        <v>116.866</v>
      </c>
      <c r="R145" s="79"/>
      <c r="S145" s="79"/>
    </row>
    <row r="146" spans="1:19">
      <c r="A146" s="749" t="s">
        <v>332</v>
      </c>
      <c r="B146" s="750">
        <v>260</v>
      </c>
      <c r="C146" s="751">
        <v>2.5812999999999999E-2</v>
      </c>
      <c r="D146" s="751">
        <v>-5.1580000000000001E-2</v>
      </c>
      <c r="E146" s="751">
        <v>3.2680000000000001E-3</v>
      </c>
      <c r="F146" s="751">
        <v>-4.5999999999999999E-3</v>
      </c>
      <c r="G146" s="751">
        <v>5.587E-3</v>
      </c>
      <c r="H146" s="751">
        <v>63.732700000000001</v>
      </c>
      <c r="I146" s="751">
        <v>2.7512999999999999E-2</v>
      </c>
      <c r="J146" s="751">
        <v>6.2680000000000001E-3</v>
      </c>
      <c r="K146" s="751">
        <v>-1.1780000000000001E-2</v>
      </c>
      <c r="L146" s="751">
        <v>-3.79E-3</v>
      </c>
      <c r="M146" s="752">
        <v>53.8506</v>
      </c>
      <c r="N146" s="751">
        <v>-3.005E-2</v>
      </c>
      <c r="O146" s="751">
        <v>-3.2399999999999998E-2</v>
      </c>
      <c r="P146" s="751">
        <v>3.0000000000000001E-6</v>
      </c>
      <c r="Q146" s="751">
        <v>117.518</v>
      </c>
      <c r="R146" s="79"/>
      <c r="S146" s="79"/>
    </row>
    <row r="147" spans="1:19">
      <c r="A147" s="749" t="s">
        <v>332</v>
      </c>
      <c r="B147" s="750">
        <v>261</v>
      </c>
      <c r="C147" s="751">
        <v>2.4250000000000001E-3</v>
      </c>
      <c r="D147" s="751">
        <v>-4.761E-2</v>
      </c>
      <c r="E147" s="751">
        <v>8.3549999999999996E-3</v>
      </c>
      <c r="F147" s="751">
        <v>9.7269999999999995E-3</v>
      </c>
      <c r="G147" s="751">
        <v>9.1430000000000001E-3</v>
      </c>
      <c r="H147" s="751">
        <v>63.758400000000002</v>
      </c>
      <c r="I147" s="751">
        <v>2.6922999999999999E-2</v>
      </c>
      <c r="J147" s="751">
        <v>-5.2500000000000003E-3</v>
      </c>
      <c r="K147" s="751">
        <v>-3.9949999999999999E-2</v>
      </c>
      <c r="L147" s="751">
        <v>-0.10138</v>
      </c>
      <c r="M147" s="752">
        <v>54.0901</v>
      </c>
      <c r="N147" s="751">
        <v>-3.628E-2</v>
      </c>
      <c r="O147" s="751">
        <v>-1.014E-2</v>
      </c>
      <c r="P147" s="751">
        <v>0</v>
      </c>
      <c r="Q147" s="751">
        <v>117.664</v>
      </c>
      <c r="R147" s="79"/>
      <c r="S147" s="79"/>
    </row>
    <row r="148" spans="1:19">
      <c r="A148" s="749" t="s">
        <v>332</v>
      </c>
      <c r="B148" s="750">
        <v>262</v>
      </c>
      <c r="C148" s="751">
        <v>1.0113E-2</v>
      </c>
      <c r="D148" s="751">
        <v>-5.142E-2</v>
      </c>
      <c r="E148" s="751">
        <v>7.7860000000000004E-3</v>
      </c>
      <c r="F148" s="751">
        <v>2.2469999999999999E-3</v>
      </c>
      <c r="G148" s="751">
        <v>-4.6100000000000004E-3</v>
      </c>
      <c r="H148" s="751">
        <v>63.3812</v>
      </c>
      <c r="I148" s="751">
        <v>1.9168000000000001E-2</v>
      </c>
      <c r="J148" s="751">
        <v>1.4564000000000001E-2</v>
      </c>
      <c r="K148" s="751">
        <v>-4.2160000000000003E-2</v>
      </c>
      <c r="L148" s="751">
        <v>-8.8000000000000005E-3</v>
      </c>
      <c r="M148" s="752">
        <v>53.957299999999996</v>
      </c>
      <c r="N148" s="751">
        <v>-2.6599999999999999E-2</v>
      </c>
      <c r="O148" s="751">
        <v>4.2300000000000003E-3</v>
      </c>
      <c r="P148" s="751">
        <v>3.9999999999999998E-6</v>
      </c>
      <c r="Q148" s="751">
        <v>117.26300000000001</v>
      </c>
      <c r="R148" s="79"/>
      <c r="S148" s="79"/>
    </row>
    <row r="149" spans="1:19">
      <c r="A149" s="749" t="s">
        <v>332</v>
      </c>
      <c r="B149" s="750">
        <v>395</v>
      </c>
      <c r="C149" s="751">
        <v>1.2904000000000001E-2</v>
      </c>
      <c r="D149" s="751">
        <v>-3.4779999999999998E-2</v>
      </c>
      <c r="E149" s="751">
        <v>9.2969999999999997E-3</v>
      </c>
      <c r="F149" s="751">
        <v>-9.5700000000000004E-3</v>
      </c>
      <c r="G149" s="751">
        <v>-1.1429999999999999E-2</v>
      </c>
      <c r="H149" s="751">
        <v>63.196599999999997</v>
      </c>
      <c r="I149" s="751">
        <v>2.3994999999999999E-2</v>
      </c>
      <c r="J149" s="751">
        <v>-1.2099999999999999E-3</v>
      </c>
      <c r="K149" s="751">
        <v>-7.3639999999999997E-2</v>
      </c>
      <c r="L149" s="751">
        <v>-7.5399999999999998E-3</v>
      </c>
      <c r="M149" s="752">
        <v>53.867100000000001</v>
      </c>
      <c r="N149" s="751">
        <v>-5.067E-2</v>
      </c>
      <c r="O149" s="751">
        <v>-1.0919999999999999E-2</v>
      </c>
      <c r="P149" s="751">
        <v>0</v>
      </c>
      <c r="Q149" s="751">
        <v>116.91</v>
      </c>
      <c r="R149" s="79"/>
      <c r="S149" s="79"/>
    </row>
    <row r="150" spans="1:19">
      <c r="A150" s="749" t="s">
        <v>332</v>
      </c>
      <c r="B150" s="750">
        <v>396</v>
      </c>
      <c r="C150" s="751">
        <v>5.9880000000000003E-3</v>
      </c>
      <c r="D150" s="751">
        <v>-4.3810000000000002E-2</v>
      </c>
      <c r="E150" s="751">
        <v>1.5887999999999999E-2</v>
      </c>
      <c r="F150" s="751">
        <v>8.6399999999999997E-4</v>
      </c>
      <c r="G150" s="751">
        <v>7.4450000000000002E-3</v>
      </c>
      <c r="H150" s="751">
        <v>62.9726</v>
      </c>
      <c r="I150" s="751">
        <v>2.8093E-2</v>
      </c>
      <c r="J150" s="751">
        <v>-1.298E-2</v>
      </c>
      <c r="K150" s="751">
        <v>2.7647999999999999E-2</v>
      </c>
      <c r="L150" s="751">
        <v>4.4317000000000002E-2</v>
      </c>
      <c r="M150" s="752">
        <v>54.077800000000003</v>
      </c>
      <c r="N150" s="751">
        <v>-3.0700000000000002E-2</v>
      </c>
      <c r="O150" s="751">
        <v>1.0312999999999999E-2</v>
      </c>
      <c r="P150" s="751">
        <v>0</v>
      </c>
      <c r="Q150" s="751">
        <v>117.104</v>
      </c>
      <c r="R150" s="79"/>
      <c r="S150" s="79"/>
    </row>
    <row r="151" spans="1:19">
      <c r="A151" s="749" t="s">
        <v>332</v>
      </c>
      <c r="B151" s="750">
        <v>397</v>
      </c>
      <c r="C151" s="751">
        <v>3.3549999999999999E-3</v>
      </c>
      <c r="D151" s="751">
        <v>-3.9789999999999999E-2</v>
      </c>
      <c r="E151" s="751">
        <v>1.9314000000000001E-2</v>
      </c>
      <c r="F151" s="751">
        <v>-5.6699999999999997E-3</v>
      </c>
      <c r="G151" s="751">
        <v>-2.0699999999999998E-3</v>
      </c>
      <c r="H151" s="751">
        <v>63.2806</v>
      </c>
      <c r="I151" s="751">
        <v>1.5106E-2</v>
      </c>
      <c r="J151" s="751">
        <v>1.0312999999999999E-2</v>
      </c>
      <c r="K151" s="751">
        <v>4.1610000000000001E-2</v>
      </c>
      <c r="L151" s="751">
        <v>-8.6190000000000003E-2</v>
      </c>
      <c r="M151" s="752">
        <v>53.9298</v>
      </c>
      <c r="N151" s="751">
        <v>3.6350000000000002E-3</v>
      </c>
      <c r="O151" s="751">
        <v>-2.46E-2</v>
      </c>
      <c r="P151" s="751">
        <v>9.9999999999999995E-7</v>
      </c>
      <c r="Q151" s="751">
        <v>117.145</v>
      </c>
      <c r="R151" s="79"/>
      <c r="S151" s="79"/>
    </row>
    <row r="152" spans="1:19">
      <c r="A152" s="749" t="s">
        <v>332</v>
      </c>
      <c r="B152" s="750">
        <v>512</v>
      </c>
      <c r="C152" s="751">
        <v>-6.62E-3</v>
      </c>
      <c r="D152" s="751">
        <v>-7.4630000000000002E-2</v>
      </c>
      <c r="E152" s="751">
        <v>1.0753E-2</v>
      </c>
      <c r="F152" s="751">
        <v>-7.3800000000000003E-3</v>
      </c>
      <c r="G152" s="751">
        <v>9.3999999999999994E-5</v>
      </c>
      <c r="H152" s="751">
        <v>63.5565</v>
      </c>
      <c r="I152" s="751">
        <v>2.0788999999999998E-2</v>
      </c>
      <c r="J152" s="751">
        <v>-6.3899999999999998E-3</v>
      </c>
      <c r="K152" s="751">
        <v>-2.9780000000000001E-2</v>
      </c>
      <c r="L152" s="751">
        <v>1.2097E-2</v>
      </c>
      <c r="M152" s="752">
        <v>54.045099999999998</v>
      </c>
      <c r="N152" s="751">
        <v>-4.7980000000000002E-2</v>
      </c>
      <c r="O152" s="751">
        <v>-2.299E-2</v>
      </c>
      <c r="P152" s="751">
        <v>0</v>
      </c>
      <c r="Q152" s="751">
        <v>117.45</v>
      </c>
      <c r="R152" s="79"/>
      <c r="S152" s="79"/>
    </row>
    <row r="153" spans="1:19">
      <c r="A153" s="749" t="s">
        <v>332</v>
      </c>
      <c r="B153" s="750">
        <v>513</v>
      </c>
      <c r="C153" s="751">
        <v>6.1710000000000003E-3</v>
      </c>
      <c r="D153" s="751">
        <v>-6.8900000000000003E-2</v>
      </c>
      <c r="E153" s="751">
        <v>1.2966E-2</v>
      </c>
      <c r="F153" s="751">
        <v>-3.4199999999999999E-3</v>
      </c>
      <c r="G153" s="751">
        <v>-3.3E-3</v>
      </c>
      <c r="H153" s="751">
        <v>63.7712</v>
      </c>
      <c r="I153" s="751">
        <v>1.6667999999999999E-2</v>
      </c>
      <c r="J153" s="751">
        <v>5.3299999999999997E-3</v>
      </c>
      <c r="K153" s="751">
        <v>-7.3800000000000003E-3</v>
      </c>
      <c r="L153" s="751">
        <v>1.686E-2</v>
      </c>
      <c r="M153" s="752">
        <v>54.1678</v>
      </c>
      <c r="N153" s="751">
        <v>-3.49E-2</v>
      </c>
      <c r="O153" s="751">
        <v>-1.35E-2</v>
      </c>
      <c r="P153" s="751">
        <v>0</v>
      </c>
      <c r="Q153" s="751">
        <v>117.866</v>
      </c>
      <c r="R153" s="79"/>
      <c r="S153" s="79"/>
    </row>
    <row r="154" spans="1:19">
      <c r="A154" s="749" t="s">
        <v>332</v>
      </c>
      <c r="B154" s="750">
        <v>514</v>
      </c>
      <c r="C154" s="751">
        <v>8.2470000000000009E-3</v>
      </c>
      <c r="D154" s="751">
        <v>-7.571E-2</v>
      </c>
      <c r="E154" s="751">
        <v>4.3839999999999999E-3</v>
      </c>
      <c r="F154" s="751">
        <v>7.6519999999999999E-3</v>
      </c>
      <c r="G154" s="751">
        <v>3.3089999999999999E-3</v>
      </c>
      <c r="H154" s="751">
        <v>63.436599999999999</v>
      </c>
      <c r="I154" s="751">
        <v>1.3384999999999999E-2</v>
      </c>
      <c r="J154" s="751">
        <v>-4.8000000000000001E-4</v>
      </c>
      <c r="K154" s="751">
        <v>1.6778000000000001E-2</v>
      </c>
      <c r="L154" s="751">
        <v>-2.9260000000000001E-2</v>
      </c>
      <c r="M154" s="752">
        <v>53.6785</v>
      </c>
      <c r="N154" s="751">
        <v>-3.712E-2</v>
      </c>
      <c r="O154" s="751">
        <v>1.271E-3</v>
      </c>
      <c r="P154" s="751">
        <v>0</v>
      </c>
      <c r="Q154" s="751">
        <v>117.02800000000001</v>
      </c>
      <c r="R154" s="79"/>
      <c r="S154" s="79"/>
    </row>
    <row r="155" spans="1:19">
      <c r="A155" s="749"/>
      <c r="B155" s="729" t="s">
        <v>344</v>
      </c>
      <c r="C155" s="751"/>
      <c r="D155" s="751"/>
      <c r="E155" s="751"/>
      <c r="F155" s="751"/>
      <c r="G155" s="751"/>
      <c r="H155" s="751"/>
      <c r="I155" s="751"/>
      <c r="J155" s="751"/>
      <c r="K155" s="751"/>
      <c r="L155" s="751"/>
      <c r="M155" s="751">
        <f>_xlfn.STDEV.S(M143:M154)</f>
        <v>0.14473770843295936</v>
      </c>
      <c r="N155" s="751"/>
      <c r="O155" s="751"/>
      <c r="P155" s="751"/>
      <c r="Q155" s="751"/>
      <c r="R155" s="79"/>
      <c r="S155" s="79"/>
    </row>
    <row r="156" spans="1:19">
      <c r="A156" s="749"/>
      <c r="B156" s="729" t="s">
        <v>345</v>
      </c>
      <c r="C156" s="751"/>
      <c r="D156" s="751"/>
      <c r="E156" s="751"/>
      <c r="F156" s="751"/>
      <c r="G156" s="751"/>
      <c r="H156" s="752"/>
      <c r="I156" s="752"/>
      <c r="J156" s="752"/>
      <c r="K156" s="751"/>
      <c r="L156" s="751"/>
      <c r="M156" s="752">
        <f>_xlfn.STDEV.S(M143:M154)/SQRT(COUNT(M143:M154))</f>
        <v>4.1782177462829327E-2</v>
      </c>
      <c r="N156" s="752"/>
      <c r="O156" s="751"/>
      <c r="P156" s="751"/>
      <c r="Q156" s="751"/>
      <c r="R156" s="79"/>
      <c r="S156" s="79"/>
    </row>
    <row r="157" spans="1:19">
      <c r="A157" s="749"/>
      <c r="B157" s="732" t="s">
        <v>346</v>
      </c>
      <c r="C157" s="751"/>
      <c r="D157" s="751"/>
      <c r="E157" s="751"/>
      <c r="F157" s="751"/>
      <c r="G157" s="751"/>
      <c r="H157" s="751"/>
      <c r="I157" s="751"/>
      <c r="J157" s="751"/>
      <c r="K157" s="751"/>
      <c r="L157" s="751"/>
      <c r="M157" s="753">
        <f>(M156/AVERAGE(M143:M154))</f>
        <v>7.7428841876163543E-4</v>
      </c>
      <c r="N157" s="751"/>
      <c r="O157" s="751"/>
      <c r="P157" s="751"/>
      <c r="Q157" s="751"/>
      <c r="R157" s="79"/>
      <c r="S157" s="79"/>
    </row>
    <row r="158" spans="1:19">
      <c r="A158" s="749"/>
      <c r="B158" s="750"/>
      <c r="C158" s="751"/>
      <c r="D158" s="751"/>
      <c r="E158" s="751"/>
      <c r="F158" s="751"/>
      <c r="G158" s="751"/>
      <c r="H158" s="751"/>
      <c r="I158" s="751"/>
      <c r="J158" s="751"/>
      <c r="K158" s="751"/>
      <c r="L158" s="751"/>
      <c r="M158" s="751"/>
      <c r="N158" s="751"/>
      <c r="O158" s="751"/>
      <c r="P158" s="751"/>
      <c r="Q158" s="751"/>
      <c r="R158" s="79"/>
      <c r="S158" s="79"/>
    </row>
    <row r="159" spans="1:19">
      <c r="A159" s="749"/>
      <c r="B159" s="750"/>
      <c r="C159" s="751"/>
      <c r="D159" s="751"/>
      <c r="E159" s="751"/>
      <c r="F159" s="751"/>
      <c r="G159" s="751"/>
      <c r="H159" s="751"/>
      <c r="I159" s="751"/>
      <c r="J159" s="751"/>
      <c r="K159" s="751"/>
      <c r="L159" s="751"/>
      <c r="M159" s="751"/>
      <c r="N159" s="751"/>
      <c r="O159" s="751"/>
      <c r="P159" s="751"/>
      <c r="Q159" s="751"/>
      <c r="R159" s="79"/>
      <c r="S159" s="79"/>
    </row>
    <row r="160" spans="1:19">
      <c r="A160" s="743" t="s">
        <v>318</v>
      </c>
      <c r="B160" s="744" t="s">
        <v>354</v>
      </c>
      <c r="C160" s="746" t="s">
        <v>184</v>
      </c>
      <c r="D160" s="746" t="s">
        <v>178</v>
      </c>
      <c r="E160" s="746" t="s">
        <v>335</v>
      </c>
      <c r="F160" s="746" t="s">
        <v>336</v>
      </c>
      <c r="G160" s="746" t="s">
        <v>180</v>
      </c>
      <c r="H160" s="746" t="s">
        <v>703</v>
      </c>
      <c r="I160" s="746" t="s">
        <v>337</v>
      </c>
      <c r="J160" s="746" t="s">
        <v>338</v>
      </c>
      <c r="K160" s="746" t="s">
        <v>179</v>
      </c>
      <c r="L160" s="745" t="s">
        <v>187</v>
      </c>
      <c r="M160" s="746" t="s">
        <v>339</v>
      </c>
      <c r="N160" s="746" t="s">
        <v>340</v>
      </c>
      <c r="O160" s="746" t="s">
        <v>186</v>
      </c>
      <c r="P160" s="746" t="s">
        <v>341</v>
      </c>
      <c r="Q160" s="746" t="s">
        <v>342</v>
      </c>
      <c r="R160" s="79"/>
      <c r="S160" s="79"/>
    </row>
    <row r="161" spans="1:19" s="80" customFormat="1">
      <c r="A161" s="747" t="s">
        <v>721</v>
      </c>
      <c r="B161" s="748" t="s">
        <v>722</v>
      </c>
      <c r="C161" s="748" t="s">
        <v>343</v>
      </c>
      <c r="D161" s="748" t="s">
        <v>343</v>
      </c>
      <c r="E161" s="748" t="s">
        <v>343</v>
      </c>
      <c r="F161" s="748" t="s">
        <v>343</v>
      </c>
      <c r="G161" s="748" t="s">
        <v>343</v>
      </c>
      <c r="H161" s="748" t="s">
        <v>343</v>
      </c>
      <c r="I161" s="748" t="s">
        <v>343</v>
      </c>
      <c r="J161" s="748" t="s">
        <v>343</v>
      </c>
      <c r="K161" s="748" t="s">
        <v>343</v>
      </c>
      <c r="L161" s="748">
        <v>100.001</v>
      </c>
      <c r="M161" s="748" t="s">
        <v>343</v>
      </c>
      <c r="N161" s="748" t="s">
        <v>343</v>
      </c>
      <c r="O161" s="748" t="s">
        <v>343</v>
      </c>
      <c r="P161" s="748">
        <v>-1E-3</v>
      </c>
      <c r="Q161" s="748">
        <v>100</v>
      </c>
      <c r="R161" s="77"/>
      <c r="S161" s="77"/>
    </row>
    <row r="162" spans="1:19">
      <c r="A162" s="749" t="s">
        <v>353</v>
      </c>
      <c r="B162" s="750">
        <v>13</v>
      </c>
      <c r="C162" s="751">
        <v>8.6420000000000004E-3</v>
      </c>
      <c r="D162" s="751">
        <v>2.017E-2</v>
      </c>
      <c r="E162" s="751">
        <v>2.4940000000000001E-3</v>
      </c>
      <c r="F162" s="751">
        <v>1.2600000000000001E-3</v>
      </c>
      <c r="G162" s="751">
        <v>1.0618000000000001E-2</v>
      </c>
      <c r="H162" s="751">
        <v>8.8210000000000007E-3</v>
      </c>
      <c r="I162" s="751">
        <v>9.4219999999999998E-3</v>
      </c>
      <c r="J162" s="751">
        <v>3.4780000000000002E-3</v>
      </c>
      <c r="K162" s="751">
        <v>2.8167000000000001E-2</v>
      </c>
      <c r="L162" s="752">
        <v>99.828800000000001</v>
      </c>
      <c r="M162" s="751">
        <v>9.5270000000000007E-3</v>
      </c>
      <c r="N162" s="751">
        <v>-9.7199999999999995E-3</v>
      </c>
      <c r="O162" s="751">
        <v>-5.7529999999999998E-2</v>
      </c>
      <c r="P162" s="751">
        <v>-1.4499999999999999E-3</v>
      </c>
      <c r="Q162" s="751">
        <v>99.862700000000004</v>
      </c>
      <c r="R162" s="79"/>
      <c r="S162" s="79"/>
    </row>
    <row r="163" spans="1:19">
      <c r="A163" s="749" t="s">
        <v>353</v>
      </c>
      <c r="B163" s="750">
        <v>14</v>
      </c>
      <c r="C163" s="751">
        <v>-1.047E-2</v>
      </c>
      <c r="D163" s="751">
        <v>-1.65E-3</v>
      </c>
      <c r="E163" s="751">
        <v>3.7139999999999999E-3</v>
      </c>
      <c r="F163" s="751">
        <v>2.1559999999999999E-3</v>
      </c>
      <c r="G163" s="751">
        <v>1.0662E-2</v>
      </c>
      <c r="H163" s="751">
        <v>4.7210000000000004E-3</v>
      </c>
      <c r="I163" s="751">
        <v>-5.6100000000000004E-3</v>
      </c>
      <c r="J163" s="751">
        <v>1.2784E-2</v>
      </c>
      <c r="K163" s="751">
        <v>-7.424E-2</v>
      </c>
      <c r="L163" s="752">
        <v>100.224</v>
      </c>
      <c r="M163" s="751">
        <v>1.166E-2</v>
      </c>
      <c r="N163" s="751">
        <v>-1.8780000000000002E-2</v>
      </c>
      <c r="O163" s="751">
        <v>-4.9779999999999998E-2</v>
      </c>
      <c r="P163" s="751">
        <v>-1.4499999999999999E-3</v>
      </c>
      <c r="Q163" s="751">
        <v>100.108</v>
      </c>
      <c r="R163" s="79"/>
      <c r="S163" s="79"/>
    </row>
    <row r="164" spans="1:19">
      <c r="A164" s="749" t="s">
        <v>353</v>
      </c>
      <c r="B164" s="750">
        <v>15</v>
      </c>
      <c r="C164" s="751">
        <v>-8.0800000000000004E-3</v>
      </c>
      <c r="D164" s="751">
        <v>5.1720000000000004E-3</v>
      </c>
      <c r="E164" s="751">
        <v>3.143E-3</v>
      </c>
      <c r="F164" s="751">
        <v>2.784E-3</v>
      </c>
      <c r="G164" s="751">
        <v>5.3959999999999998E-3</v>
      </c>
      <c r="H164" s="751">
        <v>-1.37E-2</v>
      </c>
      <c r="I164" s="751">
        <v>9.3599999999999998E-4</v>
      </c>
      <c r="J164" s="751">
        <v>-6.5700000000000003E-3</v>
      </c>
      <c r="K164" s="751">
        <v>-4.7999999999999996E-3</v>
      </c>
      <c r="L164" s="752">
        <v>99.938599999999994</v>
      </c>
      <c r="M164" s="751">
        <v>-6.4999999999999997E-4</v>
      </c>
      <c r="N164" s="751">
        <v>8.6779999999999999E-3</v>
      </c>
      <c r="O164" s="751">
        <v>-4.8820000000000002E-2</v>
      </c>
      <c r="P164" s="751">
        <v>-1.4499999999999999E-3</v>
      </c>
      <c r="Q164" s="751">
        <v>99.880700000000004</v>
      </c>
      <c r="R164" s="79"/>
      <c r="S164" s="79"/>
    </row>
    <row r="165" spans="1:19">
      <c r="A165" s="749" t="s">
        <v>353</v>
      </c>
      <c r="B165" s="750">
        <v>236</v>
      </c>
      <c r="C165" s="751">
        <v>8.8030000000000001E-3</v>
      </c>
      <c r="D165" s="751">
        <v>1.7776E-2</v>
      </c>
      <c r="E165" s="751">
        <v>5.463E-3</v>
      </c>
      <c r="F165" s="751">
        <v>-2.32E-3</v>
      </c>
      <c r="G165" s="751">
        <v>1.1752E-2</v>
      </c>
      <c r="H165" s="751">
        <v>7.1260000000000004E-3</v>
      </c>
      <c r="I165" s="751">
        <v>-9.4400000000000005E-3</v>
      </c>
      <c r="J165" s="751">
        <v>-9.6200000000000001E-3</v>
      </c>
      <c r="K165" s="751">
        <v>5.4850000000000003E-3</v>
      </c>
      <c r="L165" s="752">
        <v>100.366</v>
      </c>
      <c r="M165" s="751">
        <v>-8.26E-3</v>
      </c>
      <c r="N165" s="751">
        <v>7.5579999999999996E-3</v>
      </c>
      <c r="O165" s="751">
        <v>3.7101000000000002E-2</v>
      </c>
      <c r="P165" s="751">
        <v>-1.4599999999999999E-3</v>
      </c>
      <c r="Q165" s="751">
        <v>100.43600000000001</v>
      </c>
      <c r="R165" s="79"/>
      <c r="S165" s="79"/>
    </row>
    <row r="166" spans="1:19">
      <c r="A166" s="749" t="s">
        <v>353</v>
      </c>
      <c r="B166" s="750">
        <v>237</v>
      </c>
      <c r="C166" s="751">
        <v>2.9099999999999998E-3</v>
      </c>
      <c r="D166" s="751">
        <v>1.142E-2</v>
      </c>
      <c r="E166" s="751">
        <v>1.07E-4</v>
      </c>
      <c r="F166" s="751">
        <v>1.6875999999999999E-2</v>
      </c>
      <c r="G166" s="751">
        <v>1.3087E-2</v>
      </c>
      <c r="H166" s="751">
        <v>-4.8399999999999997E-3</v>
      </c>
      <c r="I166" s="751">
        <v>4.4149999999999997E-3</v>
      </c>
      <c r="J166" s="751">
        <v>2.9589999999999998E-3</v>
      </c>
      <c r="K166" s="751">
        <v>-8.2729999999999998E-2</v>
      </c>
      <c r="L166" s="752">
        <v>100.41500000000001</v>
      </c>
      <c r="M166" s="751">
        <v>-1.2749999999999999E-2</v>
      </c>
      <c r="N166" s="751">
        <v>5.0930000000000003E-3</v>
      </c>
      <c r="O166" s="751">
        <v>-1.41E-3</v>
      </c>
      <c r="P166" s="751">
        <v>-1.4499999999999999E-3</v>
      </c>
      <c r="Q166" s="751">
        <v>100.369</v>
      </c>
      <c r="R166" s="79"/>
      <c r="S166" s="79"/>
    </row>
    <row r="167" spans="1:19">
      <c r="A167" s="749" t="s">
        <v>353</v>
      </c>
      <c r="B167" s="750">
        <v>238</v>
      </c>
      <c r="C167" s="751">
        <v>1.7024999999999998E-2</v>
      </c>
      <c r="D167" s="751">
        <v>6.2E-4</v>
      </c>
      <c r="E167" s="751">
        <v>5.5579999999999996E-3</v>
      </c>
      <c r="F167" s="751">
        <v>7.7499999999999997E-4</v>
      </c>
      <c r="G167" s="751">
        <v>-1.4499999999999999E-3</v>
      </c>
      <c r="H167" s="751">
        <v>-2.3700000000000001E-3</v>
      </c>
      <c r="I167" s="751">
        <v>-6.7999999999999996E-3</v>
      </c>
      <c r="J167" s="751">
        <v>2.9169999999999999E-3</v>
      </c>
      <c r="K167" s="751">
        <v>1.7867999999999998E-2</v>
      </c>
      <c r="L167" s="752">
        <v>99.244699999999995</v>
      </c>
      <c r="M167" s="751">
        <v>9.4219999999999998E-3</v>
      </c>
      <c r="N167" s="751">
        <v>2.937E-2</v>
      </c>
      <c r="O167" s="751">
        <v>9.2229000000000005E-2</v>
      </c>
      <c r="P167" s="751">
        <v>-1.4499999999999999E-3</v>
      </c>
      <c r="Q167" s="751">
        <v>99.4084</v>
      </c>
      <c r="R167" s="79"/>
      <c r="S167" s="79"/>
    </row>
    <row r="168" spans="1:19">
      <c r="A168" s="749" t="s">
        <v>353</v>
      </c>
      <c r="B168" s="750">
        <v>371</v>
      </c>
      <c r="C168" s="751">
        <v>9.3010000000000002E-3</v>
      </c>
      <c r="D168" s="751">
        <v>-1.47E-3</v>
      </c>
      <c r="E168" s="751">
        <v>7.306E-3</v>
      </c>
      <c r="F168" s="751">
        <v>-7.0200000000000002E-3</v>
      </c>
      <c r="G168" s="751">
        <v>5.5929999999999999E-3</v>
      </c>
      <c r="H168" s="751">
        <v>6.0080000000000003E-3</v>
      </c>
      <c r="I168" s="751">
        <v>1.2961E-2</v>
      </c>
      <c r="J168" s="751">
        <v>-3.0799999999999998E-3</v>
      </c>
      <c r="K168" s="751">
        <v>4.7836999999999998E-2</v>
      </c>
      <c r="L168" s="752">
        <v>99.613299999999995</v>
      </c>
      <c r="M168" s="751">
        <v>-6.2300000000000003E-3</v>
      </c>
      <c r="N168" s="751">
        <v>1.7184999999999999E-2</v>
      </c>
      <c r="O168" s="751">
        <v>-4.913E-2</v>
      </c>
      <c r="P168" s="751">
        <v>-1.4499999999999999E-3</v>
      </c>
      <c r="Q168" s="751">
        <v>99.6511</v>
      </c>
      <c r="R168" s="79"/>
      <c r="S168" s="79"/>
    </row>
    <row r="169" spans="1:19">
      <c r="A169" s="749" t="s">
        <v>353</v>
      </c>
      <c r="B169" s="750">
        <v>372</v>
      </c>
      <c r="C169" s="751">
        <v>-5.62E-3</v>
      </c>
      <c r="D169" s="751">
        <v>-1.3390000000000001E-2</v>
      </c>
      <c r="E169" s="751">
        <v>8.9759999999999996E-3</v>
      </c>
      <c r="F169" s="751">
        <v>-3.1700000000000001E-3</v>
      </c>
      <c r="G169" s="751">
        <v>1.1639E-2</v>
      </c>
      <c r="H169" s="751">
        <v>6.7910000000000002E-3</v>
      </c>
      <c r="I169" s="751">
        <v>-6.4999999999999997E-4</v>
      </c>
      <c r="J169" s="751">
        <v>-5.9500000000000004E-3</v>
      </c>
      <c r="K169" s="751">
        <v>4.2726E-2</v>
      </c>
      <c r="L169" s="752">
        <v>100.524</v>
      </c>
      <c r="M169" s="751">
        <v>2.9640000000000001E-3</v>
      </c>
      <c r="N169" s="751">
        <v>-2.495E-2</v>
      </c>
      <c r="O169" s="751">
        <v>-8.3899999999999999E-3</v>
      </c>
      <c r="P169" s="751">
        <v>-1.4499999999999999E-3</v>
      </c>
      <c r="Q169" s="751">
        <v>100.53400000000001</v>
      </c>
      <c r="R169" s="79"/>
      <c r="S169" s="79"/>
    </row>
    <row r="170" spans="1:19">
      <c r="A170" s="749" t="s">
        <v>353</v>
      </c>
      <c r="B170" s="750">
        <v>373</v>
      </c>
      <c r="C170" s="751">
        <v>-1.023E-2</v>
      </c>
      <c r="D170" s="751">
        <v>1.0848999999999999E-2</v>
      </c>
      <c r="E170" s="751">
        <v>6.9870000000000002E-3</v>
      </c>
      <c r="F170" s="751">
        <v>-8.94E-3</v>
      </c>
      <c r="G170" s="751">
        <v>-6.0600000000000003E-3</v>
      </c>
      <c r="H170" s="751">
        <v>-1.2970000000000001E-2</v>
      </c>
      <c r="I170" s="751">
        <v>5.8600000000000004E-4</v>
      </c>
      <c r="J170" s="751">
        <v>-1.64E-3</v>
      </c>
      <c r="K170" s="751">
        <v>-1.8319999999999999E-2</v>
      </c>
      <c r="L170" s="752">
        <v>99.865099999999998</v>
      </c>
      <c r="M170" s="751">
        <v>-9.8499999999999994E-3</v>
      </c>
      <c r="N170" s="751">
        <v>-4.1900000000000001E-3</v>
      </c>
      <c r="O170" s="751">
        <v>-5.0700000000000002E-2</v>
      </c>
      <c r="P170" s="751">
        <v>-1.4499999999999999E-3</v>
      </c>
      <c r="Q170" s="751">
        <v>99.759100000000004</v>
      </c>
      <c r="R170" s="79"/>
      <c r="S170" s="79"/>
    </row>
    <row r="171" spans="1:19">
      <c r="A171" s="749" t="s">
        <v>353</v>
      </c>
      <c r="B171" s="750">
        <v>488</v>
      </c>
      <c r="C171" s="751">
        <v>-5.6100000000000004E-3</v>
      </c>
      <c r="D171" s="751">
        <v>7.1078000000000002E-2</v>
      </c>
      <c r="E171" s="751">
        <v>4.1149999999999997E-3</v>
      </c>
      <c r="F171" s="751">
        <v>4.1460000000000004E-3</v>
      </c>
      <c r="G171" s="751">
        <v>-3.3600000000000001E-3</v>
      </c>
      <c r="H171" s="751">
        <v>8.6960000000000006E-3</v>
      </c>
      <c r="I171" s="751">
        <v>-3.5E-4</v>
      </c>
      <c r="J171" s="751">
        <v>1.4167000000000001E-2</v>
      </c>
      <c r="K171" s="751">
        <v>-6.9650000000000004E-2</v>
      </c>
      <c r="L171" s="752">
        <v>100.75700000000001</v>
      </c>
      <c r="M171" s="751">
        <v>-1.6900000000000001E-3</v>
      </c>
      <c r="N171" s="751">
        <v>-2.6020000000000001E-2</v>
      </c>
      <c r="O171" s="751">
        <v>-4.0489999999999998E-2</v>
      </c>
      <c r="P171" s="751">
        <v>-1.4499999999999999E-3</v>
      </c>
      <c r="Q171" s="751">
        <v>100.71</v>
      </c>
      <c r="R171" s="79"/>
      <c r="S171" s="79"/>
    </row>
    <row r="172" spans="1:19">
      <c r="A172" s="749" t="s">
        <v>353</v>
      </c>
      <c r="B172" s="750">
        <v>489</v>
      </c>
      <c r="C172" s="751">
        <v>-6.7299999999999999E-3</v>
      </c>
      <c r="D172" s="751">
        <v>1.8540999999999998E-2</v>
      </c>
      <c r="E172" s="751">
        <v>-4.2700000000000004E-3</v>
      </c>
      <c r="F172" s="751">
        <v>1.214E-3</v>
      </c>
      <c r="G172" s="751">
        <v>2.0278999999999998E-2</v>
      </c>
      <c r="H172" s="751">
        <v>-8.6899999999999998E-3</v>
      </c>
      <c r="I172" s="751">
        <v>-2.2699999999999999E-3</v>
      </c>
      <c r="J172" s="751">
        <v>-1.8699999999999999E-3</v>
      </c>
      <c r="K172" s="751">
        <v>-1.7739999999999999E-2</v>
      </c>
      <c r="L172" s="752">
        <v>99.400899999999993</v>
      </c>
      <c r="M172" s="751">
        <v>2.6559999999999999E-3</v>
      </c>
      <c r="N172" s="751">
        <v>3.6740000000000002E-3</v>
      </c>
      <c r="O172" s="751">
        <v>-1.0659999999999999E-2</v>
      </c>
      <c r="P172" s="751">
        <v>-1.4499999999999999E-3</v>
      </c>
      <c r="Q172" s="751">
        <v>99.393600000000006</v>
      </c>
      <c r="R172" s="79"/>
      <c r="S172" s="79"/>
    </row>
    <row r="173" spans="1:19">
      <c r="A173" s="749" t="s">
        <v>353</v>
      </c>
      <c r="B173" s="750">
        <v>490</v>
      </c>
      <c r="C173" s="751">
        <v>6.816E-3</v>
      </c>
      <c r="D173" s="751">
        <v>-2.46E-2</v>
      </c>
      <c r="E173" s="751">
        <v>5.3400000000000001E-3</v>
      </c>
      <c r="F173" s="751">
        <v>1.39E-3</v>
      </c>
      <c r="G173" s="751">
        <v>-5.1000000000000004E-3</v>
      </c>
      <c r="H173" s="751">
        <v>-3.0000000000000001E-5</v>
      </c>
      <c r="I173" s="751">
        <v>1.5790000000000001E-3</v>
      </c>
      <c r="J173" s="751">
        <v>-3.9100000000000003E-3</v>
      </c>
      <c r="K173" s="751">
        <v>1.6424999999999999E-2</v>
      </c>
      <c r="L173" s="752">
        <v>99.840999999999994</v>
      </c>
      <c r="M173" s="751">
        <v>3.898E-3</v>
      </c>
      <c r="N173" s="751">
        <v>2.0089999999999999E-3</v>
      </c>
      <c r="O173" s="751">
        <v>-1.9879999999999998E-2</v>
      </c>
      <c r="P173" s="751">
        <v>-1.4499999999999999E-3</v>
      </c>
      <c r="Q173" s="751">
        <v>99.823499999999996</v>
      </c>
      <c r="R173" s="79"/>
      <c r="S173" s="79"/>
    </row>
    <row r="174" spans="1:19">
      <c r="A174" s="749"/>
      <c r="B174" s="729" t="s">
        <v>344</v>
      </c>
      <c r="C174" s="751"/>
      <c r="D174" s="751"/>
      <c r="E174" s="751"/>
      <c r="F174" s="751"/>
      <c r="G174" s="751"/>
      <c r="H174" s="751"/>
      <c r="I174" s="751"/>
      <c r="J174" s="751"/>
      <c r="K174" s="751"/>
      <c r="L174" s="751">
        <f>_xlfn.STDEV.S(L162:L173)</f>
        <v>0.4631363422526405</v>
      </c>
      <c r="M174" s="751"/>
      <c r="N174" s="751"/>
      <c r="O174" s="751"/>
      <c r="P174" s="751"/>
      <c r="Q174" s="751"/>
      <c r="R174" s="79"/>
      <c r="S174" s="79"/>
    </row>
    <row r="175" spans="1:19">
      <c r="A175" s="749"/>
      <c r="B175" s="729" t="s">
        <v>345</v>
      </c>
      <c r="C175" s="751"/>
      <c r="D175" s="751"/>
      <c r="E175" s="751"/>
      <c r="F175" s="751"/>
      <c r="G175" s="751"/>
      <c r="H175" s="752"/>
      <c r="I175" s="752"/>
      <c r="J175" s="752"/>
      <c r="K175" s="751"/>
      <c r="L175" s="752">
        <f>_xlfn.STDEV.S(L162:L173)/SQRT(COUNT(L162:L173))</f>
        <v>0.13369594593553033</v>
      </c>
      <c r="M175" s="752"/>
      <c r="N175" s="752"/>
      <c r="O175" s="751"/>
      <c r="P175" s="751"/>
      <c r="Q175" s="751"/>
      <c r="R175" s="79"/>
      <c r="S175" s="79"/>
    </row>
    <row r="176" spans="1:19">
      <c r="A176" s="749"/>
      <c r="B176" s="732" t="s">
        <v>346</v>
      </c>
      <c r="C176" s="751"/>
      <c r="D176" s="751"/>
      <c r="E176" s="751"/>
      <c r="F176" s="751"/>
      <c r="G176" s="751"/>
      <c r="H176" s="751"/>
      <c r="I176" s="751"/>
      <c r="J176" s="751"/>
      <c r="K176" s="751"/>
      <c r="L176" s="753">
        <f>(L175/AVERAGE(L162:L173))</f>
        <v>1.3369389596245892E-3</v>
      </c>
      <c r="M176" s="755"/>
      <c r="N176" s="751"/>
      <c r="O176" s="751"/>
      <c r="P176" s="751"/>
      <c r="Q176" s="751"/>
      <c r="R176" s="79"/>
      <c r="S176" s="79"/>
    </row>
    <row r="177" spans="1:19">
      <c r="A177" s="749"/>
      <c r="B177" s="750"/>
      <c r="C177" s="751"/>
      <c r="D177" s="751"/>
      <c r="E177" s="751"/>
      <c r="F177" s="751"/>
      <c r="G177" s="751"/>
      <c r="H177" s="751"/>
      <c r="I177" s="751"/>
      <c r="J177" s="751"/>
      <c r="K177" s="751"/>
      <c r="L177" s="751"/>
      <c r="M177" s="751"/>
      <c r="N177" s="751"/>
      <c r="O177" s="751"/>
      <c r="P177" s="751"/>
      <c r="Q177" s="751"/>
      <c r="R177" s="79"/>
      <c r="S177" s="79"/>
    </row>
    <row r="178" spans="1:19">
      <c r="A178" s="749"/>
      <c r="B178" s="750"/>
      <c r="C178" s="751"/>
      <c r="D178" s="751"/>
      <c r="E178" s="751"/>
      <c r="F178" s="751"/>
      <c r="G178" s="751"/>
      <c r="H178" s="751"/>
      <c r="I178" s="751"/>
      <c r="J178" s="751"/>
      <c r="K178" s="751"/>
      <c r="L178" s="751"/>
      <c r="M178" s="751"/>
      <c r="N178" s="751"/>
      <c r="O178" s="751"/>
      <c r="P178" s="751"/>
      <c r="Q178" s="751"/>
      <c r="R178" s="79"/>
      <c r="S178" s="79"/>
    </row>
    <row r="179" spans="1:19">
      <c r="A179" s="743" t="s">
        <v>318</v>
      </c>
      <c r="B179" s="744" t="s">
        <v>354</v>
      </c>
      <c r="C179" s="746" t="s">
        <v>184</v>
      </c>
      <c r="D179" s="746" t="s">
        <v>178</v>
      </c>
      <c r="E179" s="746" t="s">
        <v>335</v>
      </c>
      <c r="F179" s="746" t="s">
        <v>336</v>
      </c>
      <c r="G179" s="746" t="s">
        <v>180</v>
      </c>
      <c r="H179" s="746" t="s">
        <v>703</v>
      </c>
      <c r="I179" s="754" t="s">
        <v>337</v>
      </c>
      <c r="J179" s="746" t="s">
        <v>338</v>
      </c>
      <c r="K179" s="746" t="s">
        <v>179</v>
      </c>
      <c r="L179" s="744" t="s">
        <v>187</v>
      </c>
      <c r="M179" s="746" t="s">
        <v>339</v>
      </c>
      <c r="N179" s="746" t="s">
        <v>340</v>
      </c>
      <c r="O179" s="746" t="s">
        <v>186</v>
      </c>
      <c r="P179" s="746" t="s">
        <v>341</v>
      </c>
      <c r="Q179" s="746" t="s">
        <v>342</v>
      </c>
      <c r="R179" s="79"/>
      <c r="S179" s="79"/>
    </row>
    <row r="180" spans="1:19" s="80" customFormat="1">
      <c r="A180" s="747" t="s">
        <v>698</v>
      </c>
      <c r="B180" s="748" t="s">
        <v>722</v>
      </c>
      <c r="C180" s="748" t="s">
        <v>343</v>
      </c>
      <c r="D180" s="748">
        <v>42.701999999999998</v>
      </c>
      <c r="E180" s="748" t="s">
        <v>343</v>
      </c>
      <c r="F180" s="748" t="s">
        <v>343</v>
      </c>
      <c r="G180" s="748" t="s">
        <v>343</v>
      </c>
      <c r="H180" s="748" t="s">
        <v>343</v>
      </c>
      <c r="I180" s="756">
        <v>57.301000000000002</v>
      </c>
      <c r="J180" s="748" t="s">
        <v>343</v>
      </c>
      <c r="K180" s="748" t="s">
        <v>343</v>
      </c>
      <c r="L180" s="748" t="s">
        <v>343</v>
      </c>
      <c r="M180" s="748" t="s">
        <v>343</v>
      </c>
      <c r="N180" s="748" t="s">
        <v>343</v>
      </c>
      <c r="O180" s="748" t="s">
        <v>343</v>
      </c>
      <c r="P180" s="748">
        <v>-3.0000000000000001E-3</v>
      </c>
      <c r="Q180" s="748">
        <v>100</v>
      </c>
      <c r="R180" s="77"/>
      <c r="S180" s="77"/>
    </row>
    <row r="181" spans="1:19">
      <c r="A181" s="749" t="s">
        <v>698</v>
      </c>
      <c r="B181" s="750">
        <v>22</v>
      </c>
      <c r="C181" s="751">
        <v>-9.1900000000000003E-3</v>
      </c>
      <c r="D181" s="751">
        <v>43.957900000000002</v>
      </c>
      <c r="E181" s="751">
        <v>4.5779999999999996E-3</v>
      </c>
      <c r="F181" s="751">
        <v>6.8190000000000004E-3</v>
      </c>
      <c r="G181" s="751">
        <v>1.3063999999999999E-2</v>
      </c>
      <c r="H181" s="751">
        <v>4.9569999999999996E-3</v>
      </c>
      <c r="I181" s="752">
        <v>57.575000000000003</v>
      </c>
      <c r="J181" s="751">
        <v>-3.1099999999999999E-3</v>
      </c>
      <c r="K181" s="751">
        <v>-1.529E-2</v>
      </c>
      <c r="L181" s="751">
        <v>-4.1610000000000001E-2</v>
      </c>
      <c r="M181" s="751">
        <v>3.3869999999999998E-3</v>
      </c>
      <c r="N181" s="751">
        <v>-9.11E-3</v>
      </c>
      <c r="O181" s="751">
        <v>-4.3430000000000003E-2</v>
      </c>
      <c r="P181" s="751">
        <v>-2.49E-3</v>
      </c>
      <c r="Q181" s="751">
        <v>101.441</v>
      </c>
      <c r="R181" s="79"/>
      <c r="S181" s="79"/>
    </row>
    <row r="182" spans="1:19">
      <c r="A182" s="749" t="s">
        <v>698</v>
      </c>
      <c r="B182" s="750">
        <v>23</v>
      </c>
      <c r="C182" s="751">
        <v>1.6239E-2</v>
      </c>
      <c r="D182" s="751">
        <v>44.048400000000001</v>
      </c>
      <c r="E182" s="751">
        <v>1.1334E-2</v>
      </c>
      <c r="F182" s="751">
        <v>2.04E-4</v>
      </c>
      <c r="G182" s="751">
        <v>-1.6320000000000001E-2</v>
      </c>
      <c r="H182" s="751">
        <v>-3.98E-3</v>
      </c>
      <c r="I182" s="752">
        <v>57.564</v>
      </c>
      <c r="J182" s="751">
        <v>3.0599999999999998E-3</v>
      </c>
      <c r="K182" s="751">
        <v>7.1927000000000005E-2</v>
      </c>
      <c r="L182" s="751">
        <v>6.8100000000000001E-3</v>
      </c>
      <c r="M182" s="751">
        <v>1.505E-3</v>
      </c>
      <c r="N182" s="751">
        <v>1.8579999999999999E-2</v>
      </c>
      <c r="O182" s="751">
        <v>8.5039999999999994E-3</v>
      </c>
      <c r="P182" s="751">
        <v>-2.5000000000000001E-3</v>
      </c>
      <c r="Q182" s="751">
        <v>101.72799999999999</v>
      </c>
      <c r="R182" s="79"/>
      <c r="S182" s="79"/>
    </row>
    <row r="183" spans="1:19">
      <c r="A183" s="749" t="s">
        <v>698</v>
      </c>
      <c r="B183" s="750">
        <v>24</v>
      </c>
      <c r="C183" s="751">
        <v>-1.2999999999999999E-4</v>
      </c>
      <c r="D183" s="751">
        <v>43.659199999999998</v>
      </c>
      <c r="E183" s="751">
        <v>1.1405999999999999E-2</v>
      </c>
      <c r="F183" s="751">
        <v>2.8909999999999999E-3</v>
      </c>
      <c r="G183" s="751">
        <v>-7.0299999999999998E-3</v>
      </c>
      <c r="H183" s="751">
        <v>-3.82E-3</v>
      </c>
      <c r="I183" s="752">
        <v>56.87</v>
      </c>
      <c r="J183" s="751">
        <v>6.2189999999999997E-3</v>
      </c>
      <c r="K183" s="751">
        <v>-1.592E-2</v>
      </c>
      <c r="L183" s="751">
        <v>-1.7899999999999999E-3</v>
      </c>
      <c r="M183" s="751">
        <v>4.3800000000000002E-4</v>
      </c>
      <c r="N183" s="751">
        <v>1.22E-4</v>
      </c>
      <c r="O183" s="751">
        <v>-1.7579999999999998E-2</v>
      </c>
      <c r="P183" s="751">
        <v>-2.5000000000000001E-3</v>
      </c>
      <c r="Q183" s="751">
        <v>100.501</v>
      </c>
      <c r="R183" s="79"/>
      <c r="S183" s="79"/>
    </row>
    <row r="184" spans="1:19">
      <c r="A184" s="749" t="s">
        <v>698</v>
      </c>
      <c r="B184" s="750">
        <v>245</v>
      </c>
      <c r="C184" s="751">
        <v>-9.3299999999999998E-3</v>
      </c>
      <c r="D184" s="751">
        <v>44.218800000000002</v>
      </c>
      <c r="E184" s="751">
        <v>7.4060000000000003E-3</v>
      </c>
      <c r="F184" s="751">
        <v>-6.1000000000000004E-3</v>
      </c>
      <c r="G184" s="751">
        <v>-8.8299999999999993E-3</v>
      </c>
      <c r="H184" s="751">
        <v>2.1280000000000001E-3</v>
      </c>
      <c r="I184" s="752">
        <v>56.912700000000001</v>
      </c>
      <c r="J184" s="751">
        <v>-3.6700000000000001E-3</v>
      </c>
      <c r="K184" s="751">
        <v>2.7889000000000001E-2</v>
      </c>
      <c r="L184" s="751">
        <v>-2.9E-4</v>
      </c>
      <c r="M184" s="751">
        <v>-1.99E-3</v>
      </c>
      <c r="N184" s="751">
        <v>7.8309999999999994E-3</v>
      </c>
      <c r="O184" s="751">
        <v>3.4290000000000002E-3</v>
      </c>
      <c r="P184" s="751">
        <v>-2.5100000000000001E-3</v>
      </c>
      <c r="Q184" s="751">
        <v>101.14700000000001</v>
      </c>
      <c r="R184" s="79"/>
      <c r="S184" s="79"/>
    </row>
    <row r="185" spans="1:19">
      <c r="A185" s="749" t="s">
        <v>698</v>
      </c>
      <c r="B185" s="750">
        <v>246</v>
      </c>
      <c r="C185" s="751">
        <v>-7.0200000000000002E-3</v>
      </c>
      <c r="D185" s="751">
        <v>44.273200000000003</v>
      </c>
      <c r="E185" s="751">
        <v>8.7500000000000002E-4</v>
      </c>
      <c r="F185" s="751">
        <v>8.1139999999999997E-3</v>
      </c>
      <c r="G185" s="751">
        <v>-1.294E-2</v>
      </c>
      <c r="H185" s="751">
        <v>1.3354E-2</v>
      </c>
      <c r="I185" s="752">
        <v>57.278799999999997</v>
      </c>
      <c r="J185" s="751">
        <v>3.3760000000000001E-3</v>
      </c>
      <c r="K185" s="751">
        <v>-4.0969999999999999E-2</v>
      </c>
      <c r="L185" s="751">
        <v>-1.09E-3</v>
      </c>
      <c r="M185" s="751">
        <v>4.8799999999999999E-4</v>
      </c>
      <c r="N185" s="751">
        <v>-7.7099999999999998E-3</v>
      </c>
      <c r="O185" s="751">
        <v>1.0859999999999999E-3</v>
      </c>
      <c r="P185" s="751">
        <v>-2.5100000000000001E-3</v>
      </c>
      <c r="Q185" s="751">
        <v>101.50700000000001</v>
      </c>
      <c r="R185" s="79"/>
      <c r="S185" s="79"/>
    </row>
    <row r="186" spans="1:19">
      <c r="A186" s="749" t="s">
        <v>698</v>
      </c>
      <c r="B186" s="750">
        <v>247</v>
      </c>
      <c r="C186" s="751">
        <v>-4.2300000000000003E-3</v>
      </c>
      <c r="D186" s="751">
        <v>44.306100000000001</v>
      </c>
      <c r="E186" s="751">
        <v>2.8080000000000002E-3</v>
      </c>
      <c r="F186" s="751">
        <v>3.8430000000000001E-3</v>
      </c>
      <c r="G186" s="751">
        <v>-9.3100000000000006E-3</v>
      </c>
      <c r="H186" s="751">
        <v>8.1800000000000004E-4</v>
      </c>
      <c r="I186" s="752">
        <v>57.880800000000001</v>
      </c>
      <c r="J186" s="751">
        <v>2.271E-3</v>
      </c>
      <c r="K186" s="751">
        <v>-1.074E-2</v>
      </c>
      <c r="L186" s="751">
        <v>5.5008000000000001E-2</v>
      </c>
      <c r="M186" s="751">
        <v>5.293E-3</v>
      </c>
      <c r="N186" s="751">
        <v>6.5050000000000004E-3</v>
      </c>
      <c r="O186" s="751">
        <v>1.444E-3</v>
      </c>
      <c r="P186" s="751">
        <v>-2.49E-3</v>
      </c>
      <c r="Q186" s="751">
        <v>102.238</v>
      </c>
      <c r="R186" s="79"/>
      <c r="S186" s="79"/>
    </row>
    <row r="187" spans="1:19">
      <c r="A187" s="749" t="s">
        <v>698</v>
      </c>
      <c r="B187" s="750">
        <v>380</v>
      </c>
      <c r="C187" s="751">
        <v>-4.9199999999999999E-3</v>
      </c>
      <c r="D187" s="751">
        <v>43.697499999999998</v>
      </c>
      <c r="E187" s="751">
        <v>-2E-3</v>
      </c>
      <c r="F187" s="751">
        <v>1.2030000000000001E-3</v>
      </c>
      <c r="G187" s="751">
        <v>-1.7069999999999998E-2</v>
      </c>
      <c r="H187" s="751">
        <v>2.2190000000000001E-3</v>
      </c>
      <c r="I187" s="752">
        <v>57.5289</v>
      </c>
      <c r="J187" s="751">
        <v>3.143E-3</v>
      </c>
      <c r="K187" s="751">
        <v>-4.0280000000000003E-2</v>
      </c>
      <c r="L187" s="751">
        <v>3.0296E-2</v>
      </c>
      <c r="M187" s="751">
        <v>1.7539999999999999E-3</v>
      </c>
      <c r="N187" s="751">
        <v>-1.08E-3</v>
      </c>
      <c r="O187" s="751">
        <v>-2.3349999999999999E-2</v>
      </c>
      <c r="P187" s="751">
        <v>-2.49E-3</v>
      </c>
      <c r="Q187" s="751">
        <v>101.17400000000001</v>
      </c>
      <c r="R187" s="79"/>
      <c r="S187" s="79"/>
    </row>
    <row r="188" spans="1:19">
      <c r="A188" s="749" t="s">
        <v>698</v>
      </c>
      <c r="B188" s="750">
        <v>381</v>
      </c>
      <c r="C188" s="751">
        <v>-1.75E-3</v>
      </c>
      <c r="D188" s="751">
        <v>43.148000000000003</v>
      </c>
      <c r="E188" s="751">
        <v>1.0743000000000001E-2</v>
      </c>
      <c r="F188" s="751">
        <v>-3.0799999999999998E-3</v>
      </c>
      <c r="G188" s="751">
        <v>-4.4799999999999996E-3</v>
      </c>
      <c r="H188" s="751">
        <v>1.4411E-2</v>
      </c>
      <c r="I188" s="752">
        <v>57.197200000000002</v>
      </c>
      <c r="J188" s="751">
        <v>1.4567E-2</v>
      </c>
      <c r="K188" s="751">
        <v>3.0924E-2</v>
      </c>
      <c r="L188" s="751">
        <v>-2.6780000000000002E-2</v>
      </c>
      <c r="M188" s="751">
        <v>-1.92E-3</v>
      </c>
      <c r="N188" s="751">
        <v>1.0759999999999999E-3</v>
      </c>
      <c r="O188" s="751">
        <v>8.2419999999999993E-3</v>
      </c>
      <c r="P188" s="751">
        <v>-2.5100000000000001E-3</v>
      </c>
      <c r="Q188" s="751">
        <v>100.38500000000001</v>
      </c>
      <c r="R188" s="79"/>
      <c r="S188" s="79"/>
    </row>
    <row r="189" spans="1:19">
      <c r="A189" s="749" t="s">
        <v>698</v>
      </c>
      <c r="B189" s="750">
        <v>382</v>
      </c>
      <c r="C189" s="751">
        <v>-2.1900000000000001E-3</v>
      </c>
      <c r="D189" s="751">
        <v>43.125799999999998</v>
      </c>
      <c r="E189" s="751">
        <v>9.8219999999999991E-3</v>
      </c>
      <c r="F189" s="751">
        <v>1.209E-3</v>
      </c>
      <c r="G189" s="751">
        <v>-3.3500000000000001E-3</v>
      </c>
      <c r="H189" s="751">
        <v>-1.112E-2</v>
      </c>
      <c r="I189" s="752">
        <v>57.240099999999998</v>
      </c>
      <c r="J189" s="751">
        <v>7.803E-3</v>
      </c>
      <c r="K189" s="751">
        <v>4.8080999999999999E-2</v>
      </c>
      <c r="L189" s="751">
        <v>-1.0370000000000001E-2</v>
      </c>
      <c r="M189" s="751">
        <v>-1.41E-3</v>
      </c>
      <c r="N189" s="751">
        <v>1.5302E-2</v>
      </c>
      <c r="O189" s="751">
        <v>5.8389999999999996E-3</v>
      </c>
      <c r="P189" s="751">
        <v>-2.5100000000000001E-3</v>
      </c>
      <c r="Q189" s="751">
        <v>100.423</v>
      </c>
      <c r="R189" s="79"/>
      <c r="S189" s="79"/>
    </row>
    <row r="190" spans="1:19">
      <c r="A190" s="749" t="s">
        <v>698</v>
      </c>
      <c r="B190" s="750">
        <v>497</v>
      </c>
      <c r="C190" s="751">
        <v>6.8300000000000001E-4</v>
      </c>
      <c r="D190" s="751">
        <v>42.582599999999999</v>
      </c>
      <c r="E190" s="751">
        <v>1.174E-2</v>
      </c>
      <c r="F190" s="751">
        <v>5.169E-3</v>
      </c>
      <c r="G190" s="751">
        <v>-4.0999999999999999E-4</v>
      </c>
      <c r="H190" s="751">
        <v>-2.3949999999999999E-2</v>
      </c>
      <c r="I190" s="752">
        <v>57.4754</v>
      </c>
      <c r="J190" s="751">
        <v>-7.9000000000000001E-4</v>
      </c>
      <c r="K190" s="751">
        <v>-6.8430000000000005E-2</v>
      </c>
      <c r="L190" s="751">
        <v>2.4045E-2</v>
      </c>
      <c r="M190" s="751">
        <v>-1.1E-4</v>
      </c>
      <c r="N190" s="751">
        <v>1.3795E-2</v>
      </c>
      <c r="O190" s="751">
        <v>-3.5569999999999997E-2</v>
      </c>
      <c r="P190" s="751">
        <v>-2.49E-3</v>
      </c>
      <c r="Q190" s="751">
        <v>99.9816</v>
      </c>
      <c r="R190" s="79"/>
      <c r="S190" s="79"/>
    </row>
    <row r="191" spans="1:19">
      <c r="A191" s="749" t="s">
        <v>698</v>
      </c>
      <c r="B191" s="750">
        <v>498</v>
      </c>
      <c r="C191" s="751">
        <v>-6.3200000000000001E-3</v>
      </c>
      <c r="D191" s="751">
        <v>42.636699999999998</v>
      </c>
      <c r="E191" s="751">
        <v>1.2794E-2</v>
      </c>
      <c r="F191" s="751">
        <v>-1.24E-3</v>
      </c>
      <c r="G191" s="751">
        <v>2.294E-3</v>
      </c>
      <c r="H191" s="751">
        <v>1.1771999999999999E-2</v>
      </c>
      <c r="I191" s="752">
        <v>57.074100000000001</v>
      </c>
      <c r="J191" s="751">
        <v>-3.14E-3</v>
      </c>
      <c r="K191" s="751">
        <v>1.4936E-2</v>
      </c>
      <c r="L191" s="751">
        <v>-9.2399999999999999E-3</v>
      </c>
      <c r="M191" s="751">
        <v>-2.6099999999999999E-3</v>
      </c>
      <c r="N191" s="751">
        <v>-4.1999999999999997E-3</v>
      </c>
      <c r="O191" s="751">
        <v>-2.699E-2</v>
      </c>
      <c r="P191" s="751">
        <v>-2.5000000000000001E-3</v>
      </c>
      <c r="Q191" s="751">
        <v>99.696399999999997</v>
      </c>
      <c r="R191" s="79"/>
      <c r="S191" s="79"/>
    </row>
    <row r="192" spans="1:19">
      <c r="A192" s="749" t="s">
        <v>698</v>
      </c>
      <c r="B192" s="750">
        <v>499</v>
      </c>
      <c r="C192" s="751">
        <v>4.2090000000000001E-3</v>
      </c>
      <c r="D192" s="751">
        <v>42.8093</v>
      </c>
      <c r="E192" s="751">
        <v>7.7419999999999998E-3</v>
      </c>
      <c r="F192" s="751">
        <v>9.8420000000000001E-3</v>
      </c>
      <c r="G192" s="751">
        <v>4.8650000000000004E-3</v>
      </c>
      <c r="H192" s="751">
        <v>4.4130000000000003E-3</v>
      </c>
      <c r="I192" s="752">
        <v>57.341299999999997</v>
      </c>
      <c r="J192" s="751">
        <v>-2.96E-3</v>
      </c>
      <c r="K192" s="751">
        <v>-5.4800000000000001E-2</v>
      </c>
      <c r="L192" s="751">
        <v>-2.0999999999999999E-3</v>
      </c>
      <c r="M192" s="751">
        <v>-2.31E-3</v>
      </c>
      <c r="N192" s="751">
        <v>4.3189999999999999E-3</v>
      </c>
      <c r="O192" s="751">
        <v>-3.005E-2</v>
      </c>
      <c r="P192" s="751">
        <v>-2.5000000000000001E-3</v>
      </c>
      <c r="Q192" s="751">
        <v>100.09099999999999</v>
      </c>
      <c r="R192" s="79"/>
      <c r="S192" s="79"/>
    </row>
    <row r="193" spans="1:19">
      <c r="A193" s="749"/>
      <c r="B193" s="729" t="s">
        <v>344</v>
      </c>
      <c r="C193" s="751"/>
      <c r="D193" s="751"/>
      <c r="E193" s="751"/>
      <c r="F193" s="751"/>
      <c r="G193" s="751"/>
      <c r="H193" s="751"/>
      <c r="I193" s="751">
        <f>_xlfn.STDEV.S(I181:I192)</f>
        <v>0.29519113209867476</v>
      </c>
      <c r="J193" s="751"/>
      <c r="K193" s="751"/>
      <c r="L193" s="751"/>
      <c r="M193" s="751"/>
      <c r="N193" s="751"/>
      <c r="O193" s="751"/>
      <c r="P193" s="751"/>
      <c r="Q193" s="751"/>
      <c r="R193" s="79"/>
      <c r="S193" s="79"/>
    </row>
    <row r="194" spans="1:19">
      <c r="A194" s="749"/>
      <c r="B194" s="729" t="s">
        <v>345</v>
      </c>
      <c r="C194" s="751"/>
      <c r="D194" s="751"/>
      <c r="E194" s="751"/>
      <c r="F194" s="751"/>
      <c r="G194" s="751"/>
      <c r="H194" s="752"/>
      <c r="I194" s="752">
        <f>_xlfn.STDEV.S(I181:I192)/SQRT(COUNT(I181:I192))</f>
        <v>8.521433978978013E-2</v>
      </c>
      <c r="J194" s="752"/>
      <c r="K194" s="751"/>
      <c r="L194" s="752"/>
      <c r="M194" s="752"/>
      <c r="N194" s="752"/>
      <c r="O194" s="751"/>
      <c r="P194" s="751"/>
      <c r="Q194" s="751"/>
      <c r="R194" s="79"/>
      <c r="S194" s="79"/>
    </row>
    <row r="195" spans="1:19">
      <c r="A195" s="749"/>
      <c r="B195" s="732" t="s">
        <v>346</v>
      </c>
      <c r="C195" s="751"/>
      <c r="D195" s="751"/>
      <c r="E195" s="751"/>
      <c r="F195" s="751"/>
      <c r="G195" s="751"/>
      <c r="H195" s="751"/>
      <c r="I195" s="753">
        <f>(I194/AVERAGE(I181:I192))</f>
        <v>1.4864299276219411E-3</v>
      </c>
      <c r="J195" s="751"/>
      <c r="K195" s="751"/>
      <c r="L195" s="751"/>
      <c r="M195" s="755"/>
      <c r="N195" s="751"/>
      <c r="O195" s="751"/>
      <c r="P195" s="751"/>
      <c r="Q195" s="751"/>
      <c r="R195" s="79"/>
      <c r="S195" s="79"/>
    </row>
    <row r="196" spans="1:19">
      <c r="A196" s="749"/>
      <c r="B196" s="750"/>
      <c r="C196" s="751"/>
      <c r="D196" s="751"/>
      <c r="E196" s="751"/>
      <c r="F196" s="751"/>
      <c r="G196" s="751"/>
      <c r="H196" s="751"/>
      <c r="I196" s="751"/>
      <c r="J196" s="751"/>
      <c r="K196" s="751"/>
      <c r="L196" s="751"/>
      <c r="M196" s="751"/>
      <c r="N196" s="751"/>
      <c r="O196" s="751"/>
      <c r="P196" s="751"/>
      <c r="Q196" s="751"/>
      <c r="R196" s="79"/>
      <c r="S196" s="79"/>
    </row>
    <row r="197" spans="1:19">
      <c r="A197" s="749"/>
      <c r="B197" s="750"/>
      <c r="C197" s="751"/>
      <c r="D197" s="751"/>
      <c r="E197" s="751"/>
      <c r="F197" s="751"/>
      <c r="G197" s="751"/>
      <c r="H197" s="751"/>
      <c r="I197" s="751"/>
      <c r="J197" s="751"/>
      <c r="K197" s="751"/>
      <c r="L197" s="751"/>
      <c r="M197" s="751"/>
      <c r="N197" s="751"/>
      <c r="O197" s="751"/>
      <c r="P197" s="751"/>
      <c r="Q197" s="751"/>
      <c r="R197" s="79"/>
      <c r="S197" s="79"/>
    </row>
    <row r="198" spans="1:19">
      <c r="A198" s="743" t="s">
        <v>318</v>
      </c>
      <c r="B198" s="744" t="s">
        <v>354</v>
      </c>
      <c r="C198" s="746" t="s">
        <v>184</v>
      </c>
      <c r="D198" s="746" t="s">
        <v>178</v>
      </c>
      <c r="E198" s="746" t="s">
        <v>335</v>
      </c>
      <c r="F198" s="746" t="s">
        <v>336</v>
      </c>
      <c r="G198" s="746" t="s">
        <v>180</v>
      </c>
      <c r="H198" s="754" t="s">
        <v>703</v>
      </c>
      <c r="I198" s="746" t="s">
        <v>337</v>
      </c>
      <c r="J198" s="746" t="s">
        <v>338</v>
      </c>
      <c r="K198" s="746" t="s">
        <v>179</v>
      </c>
      <c r="L198" s="744" t="s">
        <v>187</v>
      </c>
      <c r="M198" s="746" t="s">
        <v>339</v>
      </c>
      <c r="N198" s="746" t="s">
        <v>340</v>
      </c>
      <c r="O198" s="746" t="s">
        <v>186</v>
      </c>
      <c r="P198" s="746" t="s">
        <v>341</v>
      </c>
      <c r="Q198" s="746" t="s">
        <v>342</v>
      </c>
      <c r="R198" s="79"/>
      <c r="S198" s="79"/>
    </row>
    <row r="199" spans="1:19" s="80" customFormat="1">
      <c r="A199" s="747" t="s">
        <v>728</v>
      </c>
      <c r="B199" s="748" t="s">
        <v>722</v>
      </c>
      <c r="C199" s="748" t="s">
        <v>343</v>
      </c>
      <c r="D199" s="748">
        <v>0</v>
      </c>
      <c r="E199" s="748">
        <v>0</v>
      </c>
      <c r="F199" s="748" t="s">
        <v>343</v>
      </c>
      <c r="G199" s="748">
        <v>0.38</v>
      </c>
      <c r="H199" s="748">
        <v>92.730999999999995</v>
      </c>
      <c r="I199" s="748">
        <v>0.11899999999999999</v>
      </c>
      <c r="J199" s="748" t="s">
        <v>343</v>
      </c>
      <c r="K199" s="748">
        <v>0.02</v>
      </c>
      <c r="L199" s="748" t="s">
        <v>343</v>
      </c>
      <c r="M199" s="748" t="s">
        <v>343</v>
      </c>
      <c r="N199" s="748">
        <v>7.0000000000000007E-2</v>
      </c>
      <c r="O199" s="748" t="s">
        <v>343</v>
      </c>
      <c r="P199" s="748">
        <v>6.899</v>
      </c>
      <c r="Q199" s="748">
        <v>100.21899999999998</v>
      </c>
      <c r="R199" s="77"/>
      <c r="S199" s="77"/>
    </row>
    <row r="200" spans="1:19">
      <c r="A200" s="749" t="s">
        <v>329</v>
      </c>
      <c r="B200" s="750">
        <v>34</v>
      </c>
      <c r="C200" s="751">
        <v>-2.3910000000000001E-2</v>
      </c>
      <c r="D200" s="751">
        <v>3.9550000000000002E-3</v>
      </c>
      <c r="E200" s="751">
        <v>-3.9399999999999999E-3</v>
      </c>
      <c r="F200" s="751">
        <v>1.4203E-2</v>
      </c>
      <c r="G200" s="751">
        <v>0.182337</v>
      </c>
      <c r="H200" s="752">
        <v>92.700999999999993</v>
      </c>
      <c r="I200" s="751">
        <v>5.5185999999999999E-2</v>
      </c>
      <c r="J200" s="751">
        <v>7.5839999999999996E-3</v>
      </c>
      <c r="K200" s="751">
        <v>9.5475000000000004E-2</v>
      </c>
      <c r="L200" s="751">
        <v>-2.681E-2</v>
      </c>
      <c r="M200" s="751">
        <v>-2.32E-3</v>
      </c>
      <c r="N200" s="751">
        <v>-3.0300000000000001E-3</v>
      </c>
      <c r="O200" s="751">
        <v>-6.2309999999999997E-2</v>
      </c>
      <c r="P200" s="751">
        <v>6.8991400000000001</v>
      </c>
      <c r="Q200" s="751">
        <v>99.836500000000001</v>
      </c>
      <c r="R200" s="79"/>
      <c r="S200" s="79"/>
    </row>
    <row r="201" spans="1:19">
      <c r="A201" s="749" t="s">
        <v>329</v>
      </c>
      <c r="B201" s="750">
        <v>36</v>
      </c>
      <c r="C201" s="751">
        <v>-1.025E-2</v>
      </c>
      <c r="D201" s="751">
        <v>-2.3869999999999999E-2</v>
      </c>
      <c r="E201" s="751">
        <v>4.4099999999999999E-4</v>
      </c>
      <c r="F201" s="751">
        <v>-7.3600000000000002E-3</v>
      </c>
      <c r="G201" s="751">
        <v>0.36209400000000003</v>
      </c>
      <c r="H201" s="752">
        <v>92.735600000000005</v>
      </c>
      <c r="I201" s="751">
        <v>0.107888</v>
      </c>
      <c r="J201" s="751">
        <v>1.1653E-2</v>
      </c>
      <c r="K201" s="751">
        <v>4.3763999999999997E-2</v>
      </c>
      <c r="L201" s="751">
        <v>-9.1859999999999997E-2</v>
      </c>
      <c r="M201" s="751">
        <v>-1.34E-3</v>
      </c>
      <c r="N201" s="751">
        <v>-1.4449999999999999E-2</v>
      </c>
      <c r="O201" s="751">
        <v>-4.5039999999999997E-2</v>
      </c>
      <c r="P201" s="751">
        <v>6.8991400000000001</v>
      </c>
      <c r="Q201" s="751">
        <v>99.966399999999993</v>
      </c>
      <c r="R201" s="79"/>
      <c r="S201" s="79"/>
    </row>
    <row r="202" spans="1:19">
      <c r="A202" s="749" t="s">
        <v>329</v>
      </c>
      <c r="B202" s="750">
        <v>257</v>
      </c>
      <c r="C202" s="751">
        <v>-3.8999999999999999E-4</v>
      </c>
      <c r="D202" s="751">
        <v>-1.542E-2</v>
      </c>
      <c r="E202" s="751">
        <v>-9.6000000000000002E-4</v>
      </c>
      <c r="F202" s="751">
        <v>8.0610000000000005E-3</v>
      </c>
      <c r="G202" s="751">
        <v>0.17247000000000001</v>
      </c>
      <c r="H202" s="752">
        <v>93.0745</v>
      </c>
      <c r="I202" s="751">
        <v>7.5651999999999997E-2</v>
      </c>
      <c r="J202" s="751">
        <v>5.7600000000000001E-4</v>
      </c>
      <c r="K202" s="751">
        <v>9.4830000000000001E-3</v>
      </c>
      <c r="L202" s="751">
        <v>-2.9430000000000001E-2</v>
      </c>
      <c r="M202" s="751">
        <v>5.3959999999999998E-3</v>
      </c>
      <c r="N202" s="751">
        <v>1.7731E-2</v>
      </c>
      <c r="O202" s="751">
        <v>-1.142E-2</v>
      </c>
      <c r="P202" s="751">
        <v>6.8991400000000001</v>
      </c>
      <c r="Q202" s="751">
        <v>100.205</v>
      </c>
      <c r="R202" s="79"/>
      <c r="S202" s="79"/>
    </row>
    <row r="203" spans="1:19">
      <c r="A203" s="749" t="s">
        <v>329</v>
      </c>
      <c r="B203" s="750">
        <v>258</v>
      </c>
      <c r="C203" s="751">
        <v>7.3119999999999999E-3</v>
      </c>
      <c r="D203" s="751">
        <v>-2.4000000000000001E-4</v>
      </c>
      <c r="E203" s="751">
        <v>-6.0699999999999999E-3</v>
      </c>
      <c r="F203" s="751">
        <v>6.5979999999999997E-3</v>
      </c>
      <c r="G203" s="751">
        <v>0.169904</v>
      </c>
      <c r="H203" s="752">
        <v>92.7423</v>
      </c>
      <c r="I203" s="751">
        <v>6.6853999999999997E-2</v>
      </c>
      <c r="J203" s="751">
        <v>3.2539999999999999E-3</v>
      </c>
      <c r="K203" s="751">
        <v>-3.2739999999999998E-2</v>
      </c>
      <c r="L203" s="751">
        <v>-6.2399999999999997E-2</v>
      </c>
      <c r="M203" s="751">
        <v>-4.15E-3</v>
      </c>
      <c r="N203" s="751">
        <v>-5.79E-3</v>
      </c>
      <c r="O203" s="751">
        <v>-3.1199999999999999E-2</v>
      </c>
      <c r="P203" s="751">
        <v>6.8991400000000001</v>
      </c>
      <c r="Q203" s="751">
        <v>99.752799999999993</v>
      </c>
      <c r="R203" s="79"/>
      <c r="S203" s="79"/>
    </row>
    <row r="204" spans="1:19">
      <c r="A204" s="749" t="s">
        <v>329</v>
      </c>
      <c r="B204" s="750">
        <v>259</v>
      </c>
      <c r="C204" s="751">
        <v>-8.0400000000000003E-3</v>
      </c>
      <c r="D204" s="751">
        <v>-1.975E-2</v>
      </c>
      <c r="E204" s="751">
        <v>-6.0200000000000002E-3</v>
      </c>
      <c r="F204" s="751">
        <v>-1.9300000000000001E-3</v>
      </c>
      <c r="G204" s="751">
        <v>0.185805</v>
      </c>
      <c r="H204" s="752">
        <v>92.288799999999995</v>
      </c>
      <c r="I204" s="751">
        <v>5.4746000000000003E-2</v>
      </c>
      <c r="J204" s="751">
        <v>6.2240000000000004E-3</v>
      </c>
      <c r="K204" s="751">
        <v>2.7968E-2</v>
      </c>
      <c r="L204" s="751">
        <v>1.2042000000000001E-2</v>
      </c>
      <c r="M204" s="751">
        <v>5.9589999999999999E-3</v>
      </c>
      <c r="N204" s="751">
        <v>-2.418E-2</v>
      </c>
      <c r="O204" s="751">
        <v>-2.0979999999999999E-2</v>
      </c>
      <c r="P204" s="751">
        <v>6.8991400000000001</v>
      </c>
      <c r="Q204" s="751">
        <v>99.399799999999999</v>
      </c>
      <c r="R204" s="79"/>
      <c r="S204" s="79"/>
    </row>
    <row r="205" spans="1:19">
      <c r="A205" s="749" t="s">
        <v>329</v>
      </c>
      <c r="B205" s="750">
        <v>392</v>
      </c>
      <c r="C205" s="751">
        <v>-8.8800000000000007E-3</v>
      </c>
      <c r="D205" s="751">
        <v>-6.7799999999999996E-3</v>
      </c>
      <c r="E205" s="751">
        <v>-7.6800000000000002E-3</v>
      </c>
      <c r="F205" s="751">
        <v>2.7529999999999998E-3</v>
      </c>
      <c r="G205" s="751">
        <v>0.176763</v>
      </c>
      <c r="H205" s="752">
        <v>91.766400000000004</v>
      </c>
      <c r="I205" s="751">
        <v>6.1566000000000003E-2</v>
      </c>
      <c r="J205" s="751">
        <v>3.2100000000000002E-3</v>
      </c>
      <c r="K205" s="751">
        <v>4.3611999999999998E-2</v>
      </c>
      <c r="L205" s="751">
        <v>2.3737000000000001E-2</v>
      </c>
      <c r="M205" s="751">
        <v>7.2620000000000002E-3</v>
      </c>
      <c r="N205" s="751">
        <v>9.9620000000000004E-3</v>
      </c>
      <c r="O205" s="751">
        <v>-0.04</v>
      </c>
      <c r="P205" s="751">
        <v>6.8991400000000001</v>
      </c>
      <c r="Q205" s="751">
        <v>98.931100000000001</v>
      </c>
      <c r="R205" s="79"/>
      <c r="S205" s="79"/>
    </row>
    <row r="206" spans="1:19">
      <c r="A206" s="749" t="s">
        <v>329</v>
      </c>
      <c r="B206" s="750">
        <v>393</v>
      </c>
      <c r="C206" s="751">
        <v>9.7439999999999992E-3</v>
      </c>
      <c r="D206" s="751">
        <v>-2.7899999999999999E-3</v>
      </c>
      <c r="E206" s="751">
        <v>-6.0899999999999999E-3</v>
      </c>
      <c r="F206" s="751">
        <v>1.0102999999999999E-2</v>
      </c>
      <c r="G206" s="751">
        <v>0.23055</v>
      </c>
      <c r="H206" s="752">
        <v>93.1892</v>
      </c>
      <c r="I206" s="751">
        <v>8.4199999999999997E-2</v>
      </c>
      <c r="J206" s="751">
        <v>-6.5100000000000002E-3</v>
      </c>
      <c r="K206" s="751">
        <v>9.4830000000000001E-3</v>
      </c>
      <c r="L206" s="751">
        <v>-2.7449999999999999E-2</v>
      </c>
      <c r="M206" s="751">
        <v>2.232E-3</v>
      </c>
      <c r="N206" s="751">
        <v>1.6424000000000001E-2</v>
      </c>
      <c r="O206" s="751">
        <v>-2.2699999999999999E-3</v>
      </c>
      <c r="P206" s="751">
        <v>6.8991400000000001</v>
      </c>
      <c r="Q206" s="751">
        <v>100.40600000000001</v>
      </c>
      <c r="R206" s="79"/>
      <c r="S206" s="79"/>
    </row>
    <row r="207" spans="1:19">
      <c r="A207" s="749" t="s">
        <v>329</v>
      </c>
      <c r="B207" s="750">
        <v>394</v>
      </c>
      <c r="C207" s="751">
        <v>-1.4500000000000001E-2</v>
      </c>
      <c r="D207" s="751">
        <v>1.864E-3</v>
      </c>
      <c r="E207" s="751">
        <v>-5.0000000000000001E-3</v>
      </c>
      <c r="F207" s="751">
        <v>-1.0019999999999999E-2</v>
      </c>
      <c r="G207" s="751">
        <v>0.135967</v>
      </c>
      <c r="H207" s="752">
        <v>93.170100000000005</v>
      </c>
      <c r="I207" s="751">
        <v>4.4151999999999997E-2</v>
      </c>
      <c r="J207" s="751">
        <v>-1.1339999999999999E-2</v>
      </c>
      <c r="K207" s="751">
        <v>5.8391999999999999E-2</v>
      </c>
      <c r="L207" s="751">
        <v>-9.4170000000000004E-2</v>
      </c>
      <c r="M207" s="751">
        <v>-1.4E-3</v>
      </c>
      <c r="N207" s="751">
        <v>6.8789999999999997E-3</v>
      </c>
      <c r="O207" s="751">
        <v>-1.5520000000000001E-2</v>
      </c>
      <c r="P207" s="751">
        <v>6.8991400000000001</v>
      </c>
      <c r="Q207" s="751">
        <v>100.16500000000001</v>
      </c>
      <c r="R207" s="79"/>
      <c r="S207" s="79"/>
    </row>
    <row r="208" spans="1:19">
      <c r="A208" s="749" t="s">
        <v>329</v>
      </c>
      <c r="B208" s="750">
        <v>509</v>
      </c>
      <c r="C208" s="751">
        <v>1.6489E-2</v>
      </c>
      <c r="D208" s="751">
        <v>-3.2309999999999998E-2</v>
      </c>
      <c r="E208" s="751">
        <v>5.8100000000000003E-4</v>
      </c>
      <c r="F208" s="751">
        <v>1.1658E-2</v>
      </c>
      <c r="G208" s="751">
        <v>0.24166499999999999</v>
      </c>
      <c r="H208" s="752">
        <v>92.393100000000004</v>
      </c>
      <c r="I208" s="751">
        <v>5.8383999999999998E-2</v>
      </c>
      <c r="J208" s="751">
        <v>-5.3600000000000002E-3</v>
      </c>
      <c r="K208" s="751">
        <v>4.9897999999999998E-2</v>
      </c>
      <c r="L208" s="751">
        <v>-2.674E-2</v>
      </c>
      <c r="M208" s="751">
        <v>-2.1700000000000001E-3</v>
      </c>
      <c r="N208" s="751">
        <v>1.3721000000000001E-2</v>
      </c>
      <c r="O208" s="751">
        <v>-2.53E-2</v>
      </c>
      <c r="P208" s="751">
        <v>6.8991400000000001</v>
      </c>
      <c r="Q208" s="751">
        <v>99.592799999999997</v>
      </c>
      <c r="R208" s="79"/>
      <c r="S208" s="79"/>
    </row>
    <row r="209" spans="1:19">
      <c r="A209" s="749" t="s">
        <v>329</v>
      </c>
      <c r="B209" s="750">
        <v>510</v>
      </c>
      <c r="C209" s="751">
        <v>4.0000000000000003E-5</v>
      </c>
      <c r="D209" s="751">
        <v>-2.0830000000000001E-2</v>
      </c>
      <c r="E209" s="751">
        <v>-5.5399999999999998E-3</v>
      </c>
      <c r="F209" s="751">
        <v>7.2199999999999999E-3</v>
      </c>
      <c r="G209" s="751">
        <v>0.19123000000000001</v>
      </c>
      <c r="H209" s="752">
        <v>93.0214</v>
      </c>
      <c r="I209" s="751">
        <v>4.0687000000000001E-2</v>
      </c>
      <c r="J209" s="751">
        <v>7.6730000000000001E-3</v>
      </c>
      <c r="K209" s="751">
        <v>0.113276</v>
      </c>
      <c r="L209" s="751">
        <v>8.4800000000000001E-4</v>
      </c>
      <c r="M209" s="751">
        <v>-3.3800000000000002E-3</v>
      </c>
      <c r="N209" s="751">
        <v>-2.5239999999999999E-2</v>
      </c>
      <c r="O209" s="751">
        <v>-1.8120000000000001E-2</v>
      </c>
      <c r="P209" s="751">
        <v>6.8991400000000001</v>
      </c>
      <c r="Q209" s="751">
        <v>100.208</v>
      </c>
      <c r="R209" s="79"/>
      <c r="S209" s="79"/>
    </row>
    <row r="210" spans="1:19">
      <c r="A210" s="749"/>
      <c r="B210" s="729" t="s">
        <v>344</v>
      </c>
      <c r="C210" s="751"/>
      <c r="D210" s="751"/>
      <c r="E210" s="751"/>
      <c r="F210" s="751"/>
      <c r="G210" s="751"/>
      <c r="H210" s="751">
        <f>_xlfn.STDEV.S(H200:H209)</f>
        <v>0.45229286775519911</v>
      </c>
      <c r="I210" s="751"/>
      <c r="J210" s="751"/>
      <c r="K210" s="751"/>
      <c r="L210" s="751"/>
      <c r="M210" s="751"/>
      <c r="N210" s="751"/>
      <c r="O210" s="751"/>
      <c r="P210" s="751"/>
      <c r="Q210" s="751"/>
      <c r="R210" s="79"/>
      <c r="S210" s="79"/>
    </row>
    <row r="211" spans="1:19">
      <c r="A211" s="749"/>
      <c r="B211" s="729" t="s">
        <v>345</v>
      </c>
      <c r="C211" s="751"/>
      <c r="D211" s="751"/>
      <c r="E211" s="751"/>
      <c r="F211" s="751"/>
      <c r="G211" s="751"/>
      <c r="H211" s="752">
        <f>_xlfn.STDEV.S(H200:H209)/SQRT(COUNT(H200:H209))</f>
        <v>0.14302756315557572</v>
      </c>
      <c r="I211" s="752"/>
      <c r="J211" s="752"/>
      <c r="K211" s="751"/>
      <c r="L211" s="751"/>
      <c r="M211" s="751"/>
      <c r="N211" s="752"/>
      <c r="O211" s="751"/>
      <c r="P211" s="751"/>
      <c r="Q211" s="751"/>
      <c r="R211" s="79"/>
      <c r="S211" s="79"/>
    </row>
    <row r="212" spans="1:19">
      <c r="A212" s="749"/>
      <c r="B212" s="732" t="s">
        <v>346</v>
      </c>
      <c r="C212" s="751"/>
      <c r="D212" s="751"/>
      <c r="E212" s="751"/>
      <c r="F212" s="751"/>
      <c r="G212" s="751"/>
      <c r="H212" s="753">
        <f>(H211/AVERAGE(H200:H209))</f>
        <v>1.5427707737260001E-3</v>
      </c>
      <c r="I212" s="751"/>
      <c r="J212" s="751"/>
      <c r="K212" s="751"/>
      <c r="L212" s="751"/>
      <c r="M212" s="751"/>
      <c r="N212" s="751"/>
      <c r="O212" s="751"/>
      <c r="P212" s="751"/>
      <c r="Q212" s="751"/>
      <c r="R212" s="79"/>
      <c r="S212" s="79"/>
    </row>
    <row r="213" spans="1:19">
      <c r="A213" s="749"/>
      <c r="B213" s="732"/>
      <c r="C213" s="751"/>
      <c r="D213" s="751"/>
      <c r="E213" s="751"/>
      <c r="F213" s="751"/>
      <c r="G213" s="751"/>
      <c r="H213" s="751"/>
      <c r="I213" s="751"/>
      <c r="J213" s="751"/>
      <c r="K213" s="751"/>
      <c r="L213" s="751"/>
      <c r="M213" s="751"/>
      <c r="N213" s="751"/>
      <c r="O213" s="751"/>
      <c r="P213" s="751"/>
      <c r="Q213" s="751"/>
      <c r="R213" s="79"/>
      <c r="S213" s="79"/>
    </row>
    <row r="214" spans="1:19" ht="15.75" thickBot="1">
      <c r="A214" s="757"/>
      <c r="B214" s="758"/>
      <c r="C214" s="759"/>
      <c r="D214" s="759"/>
      <c r="E214" s="759"/>
      <c r="F214" s="759"/>
      <c r="G214" s="759"/>
      <c r="H214" s="759"/>
      <c r="I214" s="759"/>
      <c r="J214" s="759"/>
      <c r="K214" s="759"/>
      <c r="L214" s="759"/>
      <c r="M214" s="759"/>
      <c r="N214" s="759"/>
      <c r="O214" s="759"/>
      <c r="P214" s="759"/>
      <c r="Q214" s="759"/>
      <c r="R214" s="79"/>
      <c r="S214" s="79"/>
    </row>
    <row r="215" spans="1:19">
      <c r="A215" s="742" t="s">
        <v>727</v>
      </c>
      <c r="B215" s="750"/>
      <c r="C215" s="751"/>
      <c r="D215" s="751"/>
      <c r="E215" s="751"/>
      <c r="F215" s="751"/>
      <c r="G215" s="751"/>
      <c r="H215" s="751"/>
      <c r="I215" s="751"/>
      <c r="J215" s="751"/>
      <c r="K215" s="751"/>
      <c r="L215" s="751"/>
      <c r="M215" s="751"/>
      <c r="N215" s="751"/>
      <c r="O215" s="751"/>
      <c r="P215" s="751"/>
      <c r="Q215" s="751"/>
      <c r="R215" s="79"/>
      <c r="S215" s="79"/>
    </row>
    <row r="216" spans="1:19">
      <c r="A216" s="749"/>
      <c r="B216" s="750"/>
      <c r="C216" s="751"/>
      <c r="D216" s="751"/>
      <c r="E216" s="751"/>
      <c r="F216" s="751"/>
      <c r="G216" s="751"/>
      <c r="H216" s="751"/>
      <c r="I216" s="751"/>
      <c r="J216" s="751"/>
      <c r="K216" s="751"/>
      <c r="L216" s="751"/>
      <c r="M216" s="751"/>
      <c r="N216" s="751"/>
      <c r="O216" s="751"/>
      <c r="P216" s="751"/>
      <c r="Q216" s="751"/>
      <c r="R216" s="79"/>
      <c r="S216" s="79"/>
    </row>
    <row r="217" spans="1:19">
      <c r="A217" s="743" t="s">
        <v>318</v>
      </c>
      <c r="B217" s="744" t="s">
        <v>354</v>
      </c>
      <c r="C217" s="746" t="s">
        <v>184</v>
      </c>
      <c r="D217" s="746" t="s">
        <v>178</v>
      </c>
      <c r="E217" s="746" t="s">
        <v>335</v>
      </c>
      <c r="F217" s="746" t="s">
        <v>336</v>
      </c>
      <c r="G217" s="746" t="s">
        <v>180</v>
      </c>
      <c r="H217" s="746" t="s">
        <v>703</v>
      </c>
      <c r="I217" s="746" t="s">
        <v>337</v>
      </c>
      <c r="J217" s="746" t="s">
        <v>338</v>
      </c>
      <c r="K217" s="746" t="s">
        <v>179</v>
      </c>
      <c r="L217" s="744" t="s">
        <v>187</v>
      </c>
      <c r="M217" s="746" t="s">
        <v>339</v>
      </c>
      <c r="N217" s="746" t="s">
        <v>340</v>
      </c>
      <c r="O217" s="746" t="s">
        <v>186</v>
      </c>
      <c r="P217" s="746" t="s">
        <v>341</v>
      </c>
      <c r="Q217" s="746" t="s">
        <v>342</v>
      </c>
      <c r="R217" s="79"/>
      <c r="S217" s="79"/>
    </row>
    <row r="218" spans="1:19" s="80" customFormat="1">
      <c r="A218" s="747" t="s">
        <v>351</v>
      </c>
      <c r="B218" s="748" t="s">
        <v>722</v>
      </c>
      <c r="C218" s="748" t="s">
        <v>343</v>
      </c>
      <c r="D218" s="748">
        <v>0.11</v>
      </c>
      <c r="E218" s="748">
        <v>0.19600000000000001</v>
      </c>
      <c r="F218" s="748" t="s">
        <v>343</v>
      </c>
      <c r="G218" s="748" t="s">
        <v>343</v>
      </c>
      <c r="H218" s="748">
        <v>0.01</v>
      </c>
      <c r="I218" s="748">
        <v>99.962000000000003</v>
      </c>
      <c r="J218" s="748" t="s">
        <v>343</v>
      </c>
      <c r="K218" s="748" t="s">
        <v>343</v>
      </c>
      <c r="L218" s="748" t="s">
        <v>343</v>
      </c>
      <c r="M218" s="748" t="s">
        <v>343</v>
      </c>
      <c r="N218" s="748">
        <v>0</v>
      </c>
      <c r="O218" s="748" t="s">
        <v>343</v>
      </c>
      <c r="P218" s="748">
        <v>-5.2999999999999999E-2</v>
      </c>
      <c r="Q218" s="748">
        <v>100.22500000000001</v>
      </c>
      <c r="R218" s="77"/>
      <c r="S218" s="77"/>
    </row>
    <row r="219" spans="1:19">
      <c r="A219" s="749" t="s">
        <v>351</v>
      </c>
      <c r="B219" s="750">
        <v>1</v>
      </c>
      <c r="C219" s="751">
        <v>1.2639999999999999E-3</v>
      </c>
      <c r="D219" s="751">
        <v>-2.2399999999999998E-3</v>
      </c>
      <c r="E219" s="751">
        <v>0.181808</v>
      </c>
      <c r="F219" s="751">
        <v>1.0366999999999999E-2</v>
      </c>
      <c r="G219" s="751">
        <v>-8.8199999999999997E-3</v>
      </c>
      <c r="H219" s="751">
        <v>2.3893999999999999E-2</v>
      </c>
      <c r="I219" s="751">
        <v>96.053600000000003</v>
      </c>
      <c r="J219" s="751">
        <v>3.8579999999999999E-3</v>
      </c>
      <c r="K219" s="751">
        <v>-4.19E-2</v>
      </c>
      <c r="L219" s="751">
        <v>-3.3799999999999997E-2</v>
      </c>
      <c r="M219" s="751">
        <v>-2.9199999999999999E-3</v>
      </c>
      <c r="N219" s="751">
        <v>-5.9300000000000004E-3</v>
      </c>
      <c r="O219" s="751">
        <v>-3.6240000000000001E-2</v>
      </c>
      <c r="P219" s="751">
        <v>1.5541499999999999</v>
      </c>
      <c r="Q219" s="751">
        <v>97.697100000000006</v>
      </c>
      <c r="R219" s="79"/>
      <c r="S219" s="79"/>
    </row>
    <row r="220" spans="1:19">
      <c r="A220" s="749" t="s">
        <v>351</v>
      </c>
      <c r="B220" s="750">
        <v>2</v>
      </c>
      <c r="C220" s="751">
        <v>8.4740000000000006E-3</v>
      </c>
      <c r="D220" s="751">
        <v>6.0359999999999997E-3</v>
      </c>
      <c r="E220" s="751">
        <v>0.162746</v>
      </c>
      <c r="F220" s="751">
        <v>6.9230000000000003E-3</v>
      </c>
      <c r="G220" s="751">
        <v>-1.7090000000000001E-2</v>
      </c>
      <c r="H220" s="751">
        <v>5.0330000000000001E-3</v>
      </c>
      <c r="I220" s="751">
        <v>96.635999999999996</v>
      </c>
      <c r="J220" s="751">
        <v>6.9699999999999996E-3</v>
      </c>
      <c r="K220" s="751">
        <v>-7.26E-3</v>
      </c>
      <c r="L220" s="751">
        <v>-8.8500000000000002E-3</v>
      </c>
      <c r="M220" s="751">
        <v>6.4070000000000004E-3</v>
      </c>
      <c r="N220" s="751">
        <v>9.9319999999999999E-3</v>
      </c>
      <c r="O220" s="751">
        <v>-3.5229999999999997E-2</v>
      </c>
      <c r="P220" s="751">
        <v>1.3074600000000001</v>
      </c>
      <c r="Q220" s="751">
        <v>98.087500000000006</v>
      </c>
      <c r="R220" s="79"/>
      <c r="S220" s="79"/>
    </row>
    <row r="221" spans="1:19">
      <c r="A221" s="749" t="s">
        <v>351</v>
      </c>
      <c r="B221" s="750">
        <v>3</v>
      </c>
      <c r="C221" s="751">
        <v>2.1670000000000001E-3</v>
      </c>
      <c r="D221" s="751">
        <v>3.712E-3</v>
      </c>
      <c r="E221" s="751">
        <v>0.170955</v>
      </c>
      <c r="F221" s="751">
        <v>-1.7700000000000001E-3</v>
      </c>
      <c r="G221" s="751">
        <v>-3.2699999999999999E-3</v>
      </c>
      <c r="H221" s="751">
        <v>2.8761999999999999E-2</v>
      </c>
      <c r="I221" s="751">
        <v>95.882599999999996</v>
      </c>
      <c r="J221" s="751">
        <v>-4.2900000000000004E-3</v>
      </c>
      <c r="K221" s="751">
        <v>-3.9510000000000003E-2</v>
      </c>
      <c r="L221" s="751">
        <v>1.2505E-2</v>
      </c>
      <c r="M221" s="751">
        <v>9.3039999999999998E-3</v>
      </c>
      <c r="N221" s="751">
        <v>4.7239999999999999E-3</v>
      </c>
      <c r="O221" s="751">
        <v>1.4968E-2</v>
      </c>
      <c r="P221" s="751">
        <v>1.5779799999999999</v>
      </c>
      <c r="Q221" s="751">
        <v>97.658799999999999</v>
      </c>
      <c r="R221" s="79"/>
      <c r="S221" s="79"/>
    </row>
    <row r="222" spans="1:19">
      <c r="A222" s="749" t="s">
        <v>351</v>
      </c>
      <c r="B222" s="750">
        <v>224</v>
      </c>
      <c r="C222" s="751">
        <v>1.3251000000000001E-2</v>
      </c>
      <c r="D222" s="751">
        <v>8.6499999999999999E-4</v>
      </c>
      <c r="E222" s="751">
        <v>0.16564200000000001</v>
      </c>
      <c r="F222" s="751">
        <v>-1.91E-3</v>
      </c>
      <c r="G222" s="751">
        <v>-1.2449999999999999E-2</v>
      </c>
      <c r="H222" s="751">
        <v>4.6212999999999997E-2</v>
      </c>
      <c r="I222" s="751">
        <v>96.143699999999995</v>
      </c>
      <c r="J222" s="751">
        <v>-8.3000000000000001E-4</v>
      </c>
      <c r="K222" s="751">
        <v>-5.6840000000000002E-2</v>
      </c>
      <c r="L222" s="751">
        <v>-4.3880000000000002E-2</v>
      </c>
      <c r="M222" s="751">
        <v>-9.7999999999999997E-4</v>
      </c>
      <c r="N222" s="751">
        <v>9.2530000000000008E-3</v>
      </c>
      <c r="O222" s="751">
        <v>-8.0099999999999998E-3</v>
      </c>
      <c r="P222" s="751">
        <v>-5.3249999999999999E-2</v>
      </c>
      <c r="Q222" s="751">
        <v>96.200800000000001</v>
      </c>
      <c r="R222" s="79"/>
      <c r="S222" s="79"/>
    </row>
    <row r="223" spans="1:19">
      <c r="A223" s="749" t="s">
        <v>351</v>
      </c>
      <c r="B223" s="750">
        <v>225</v>
      </c>
      <c r="C223" s="751">
        <v>4.7629999999999999E-3</v>
      </c>
      <c r="D223" s="751">
        <v>-1.1000000000000001E-3</v>
      </c>
      <c r="E223" s="751">
        <v>0.173153</v>
      </c>
      <c r="F223" s="751">
        <v>9.8420000000000001E-3</v>
      </c>
      <c r="G223" s="751">
        <v>-7.8700000000000003E-3</v>
      </c>
      <c r="H223" s="751">
        <v>1.5460000000000001E-3</v>
      </c>
      <c r="I223" s="751">
        <v>96.772499999999994</v>
      </c>
      <c r="J223" s="751">
        <v>6.4599999999999998E-4</v>
      </c>
      <c r="K223" s="751">
        <v>4.1391999999999998E-2</v>
      </c>
      <c r="L223" s="751">
        <v>-2.1170000000000001E-2</v>
      </c>
      <c r="M223" s="751">
        <v>6.9820000000000004E-3</v>
      </c>
      <c r="N223" s="751">
        <v>2.9080999999999999E-2</v>
      </c>
      <c r="O223" s="751">
        <v>-1.1010000000000001E-2</v>
      </c>
      <c r="P223" s="751">
        <v>-5.3240000000000003E-2</v>
      </c>
      <c r="Q223" s="751">
        <v>96.945499999999996</v>
      </c>
      <c r="R223" s="79"/>
      <c r="S223" s="79"/>
    </row>
    <row r="224" spans="1:19">
      <c r="A224" s="749" t="s">
        <v>351</v>
      </c>
      <c r="B224" s="750">
        <v>226</v>
      </c>
      <c r="C224" s="751">
        <v>-2.0400000000000001E-3</v>
      </c>
      <c r="D224" s="751">
        <v>8.8269999999999998E-3</v>
      </c>
      <c r="E224" s="751">
        <v>0.17597499999999999</v>
      </c>
      <c r="F224" s="751">
        <v>5.7409999999999996E-3</v>
      </c>
      <c r="G224" s="751">
        <v>-3.5100000000000001E-3</v>
      </c>
      <c r="H224" s="751">
        <v>4.2379999999999996E-3</v>
      </c>
      <c r="I224" s="751">
        <v>96.335300000000004</v>
      </c>
      <c r="J224" s="751">
        <v>-1.8799999999999999E-3</v>
      </c>
      <c r="K224" s="751">
        <v>-3.32E-2</v>
      </c>
      <c r="L224" s="751">
        <v>-2.4930000000000001E-2</v>
      </c>
      <c r="M224" s="751">
        <v>-8.7000000000000001E-4</v>
      </c>
      <c r="N224" s="751">
        <v>-7.5700000000000003E-3</v>
      </c>
      <c r="O224" s="751">
        <v>1.3993E-2</v>
      </c>
      <c r="P224" s="751">
        <v>-5.323E-2</v>
      </c>
      <c r="Q224" s="751">
        <v>96.416899999999998</v>
      </c>
      <c r="R224" s="79"/>
      <c r="S224" s="79"/>
    </row>
    <row r="225" spans="1:19">
      <c r="A225" s="749" t="s">
        <v>351</v>
      </c>
      <c r="B225" s="750">
        <v>359</v>
      </c>
      <c r="C225" s="751">
        <v>6.2760000000000003E-3</v>
      </c>
      <c r="D225" s="751">
        <v>-1.6199999999999999E-3</v>
      </c>
      <c r="E225" s="751">
        <v>0.17119500000000001</v>
      </c>
      <c r="F225" s="751">
        <v>-5.5999999999999995E-4</v>
      </c>
      <c r="G225" s="751">
        <v>-1.464E-2</v>
      </c>
      <c r="H225" s="751">
        <v>-1.5800000000000002E-2</v>
      </c>
      <c r="I225" s="751">
        <v>98.669899999999998</v>
      </c>
      <c r="J225" s="751">
        <v>-6.8799999999999998E-3</v>
      </c>
      <c r="K225" s="751">
        <v>-1.5350000000000001E-2</v>
      </c>
      <c r="L225" s="751">
        <v>-6.6299999999999996E-3</v>
      </c>
      <c r="M225" s="751">
        <v>1.1310000000000001E-3</v>
      </c>
      <c r="N225" s="751">
        <v>9.1809999999999999E-3</v>
      </c>
      <c r="O225" s="751">
        <v>4.143E-3</v>
      </c>
      <c r="P225" s="751">
        <v>-5.3240000000000003E-2</v>
      </c>
      <c r="Q225" s="751">
        <v>98.747100000000003</v>
      </c>
      <c r="R225" s="79"/>
      <c r="S225" s="79"/>
    </row>
    <row r="226" spans="1:19">
      <c r="A226" s="749" t="s">
        <v>351</v>
      </c>
      <c r="B226" s="750">
        <v>360</v>
      </c>
      <c r="C226" s="751">
        <v>1.3353E-2</v>
      </c>
      <c r="D226" s="751">
        <v>2.1440000000000001E-3</v>
      </c>
      <c r="E226" s="751">
        <v>0.17321500000000001</v>
      </c>
      <c r="F226" s="751">
        <v>6.4780000000000003E-3</v>
      </c>
      <c r="G226" s="751">
        <v>7.8130000000000005E-3</v>
      </c>
      <c r="H226" s="751">
        <v>1.2102999999999999E-2</v>
      </c>
      <c r="I226" s="751">
        <v>98.973200000000006</v>
      </c>
      <c r="J226" s="751">
        <v>4.46E-4</v>
      </c>
      <c r="K226" s="751">
        <v>-2.1909999999999999E-2</v>
      </c>
      <c r="L226" s="751">
        <v>2.6522E-2</v>
      </c>
      <c r="M226" s="751">
        <v>2.578E-3</v>
      </c>
      <c r="N226" s="751">
        <v>7.0359999999999997E-3</v>
      </c>
      <c r="O226" s="751">
        <v>-4.1700000000000001E-3</v>
      </c>
      <c r="P226" s="751">
        <v>-5.3240000000000003E-2</v>
      </c>
      <c r="Q226" s="751">
        <v>99.145600000000002</v>
      </c>
      <c r="R226" s="79"/>
      <c r="S226" s="79"/>
    </row>
    <row r="227" spans="1:19">
      <c r="A227" s="749" t="s">
        <v>351</v>
      </c>
      <c r="B227" s="750">
        <v>361</v>
      </c>
      <c r="C227" s="751">
        <v>-4.8799999999999998E-3</v>
      </c>
      <c r="D227" s="751">
        <v>-1.1100000000000001E-3</v>
      </c>
      <c r="E227" s="751">
        <v>0.16975399999999999</v>
      </c>
      <c r="F227" s="751">
        <v>2.568E-3</v>
      </c>
      <c r="G227" s="751">
        <v>-5.0600000000000003E-3</v>
      </c>
      <c r="H227" s="751">
        <v>1.8242000000000001E-2</v>
      </c>
      <c r="I227" s="751">
        <v>98.8459</v>
      </c>
      <c r="J227" s="751">
        <v>1.163E-3</v>
      </c>
      <c r="K227" s="751">
        <v>-4.8480000000000002E-2</v>
      </c>
      <c r="L227" s="751">
        <v>-5.1339999999999997E-2</v>
      </c>
      <c r="M227" s="751">
        <v>-8.5699999999999995E-3</v>
      </c>
      <c r="N227" s="751">
        <v>3.1245999999999999E-2</v>
      </c>
      <c r="O227" s="751">
        <v>-2.3400000000000001E-3</v>
      </c>
      <c r="P227" s="751">
        <v>-5.3240000000000003E-2</v>
      </c>
      <c r="Q227" s="751">
        <v>98.893799999999999</v>
      </c>
      <c r="R227" s="79"/>
      <c r="S227" s="79"/>
    </row>
    <row r="228" spans="1:19">
      <c r="A228" s="749" t="s">
        <v>351</v>
      </c>
      <c r="B228" s="750">
        <v>476</v>
      </c>
      <c r="C228" s="751">
        <v>2.6459999999999999E-3</v>
      </c>
      <c r="D228" s="751">
        <v>1.0854000000000001E-2</v>
      </c>
      <c r="E228" s="751">
        <v>0.17235500000000001</v>
      </c>
      <c r="F228" s="751">
        <v>5.0299999999999997E-3</v>
      </c>
      <c r="G228" s="751">
        <v>2.05E-4</v>
      </c>
      <c r="H228" s="751">
        <v>2.7822E-2</v>
      </c>
      <c r="I228" s="751">
        <v>99.000200000000007</v>
      </c>
      <c r="J228" s="751">
        <v>1.6379999999999999E-3</v>
      </c>
      <c r="K228" s="751">
        <v>7.7105999999999994E-2</v>
      </c>
      <c r="L228" s="751">
        <v>9.4199999999999996E-3</v>
      </c>
      <c r="M228" s="751">
        <v>-5.5399999999999998E-3</v>
      </c>
      <c r="N228" s="751">
        <v>-1.495E-2</v>
      </c>
      <c r="O228" s="751">
        <v>9.3740000000000004E-3</v>
      </c>
      <c r="P228" s="751">
        <v>-5.3249999999999999E-2</v>
      </c>
      <c r="Q228" s="751">
        <v>99.242999999999995</v>
      </c>
      <c r="R228" s="79"/>
      <c r="S228" s="79"/>
    </row>
    <row r="229" spans="1:19">
      <c r="A229" s="749" t="s">
        <v>351</v>
      </c>
      <c r="B229" s="750">
        <v>477</v>
      </c>
      <c r="C229" s="751">
        <v>6.7039999999999999E-3</v>
      </c>
      <c r="D229" s="751">
        <v>7.5960000000000003E-3</v>
      </c>
      <c r="E229" s="751">
        <v>0.15970300000000001</v>
      </c>
      <c r="F229" s="751">
        <v>-6.2199999999999998E-3</v>
      </c>
      <c r="G229" s="751">
        <v>-4.9699999999999996E-3</v>
      </c>
      <c r="H229" s="751">
        <v>2.088E-3</v>
      </c>
      <c r="I229" s="751">
        <v>98.053899999999999</v>
      </c>
      <c r="J229" s="751">
        <v>-2.0799999999999998E-3</v>
      </c>
      <c r="K229" s="751">
        <v>4.1489999999999999E-3</v>
      </c>
      <c r="L229" s="751">
        <v>4.2137000000000001E-2</v>
      </c>
      <c r="M229" s="751">
        <v>2.078E-3</v>
      </c>
      <c r="N229" s="751">
        <v>7.1770000000000002E-3</v>
      </c>
      <c r="O229" s="751">
        <v>-5.5599999999999998E-3</v>
      </c>
      <c r="P229" s="751">
        <v>-5.3249999999999999E-2</v>
      </c>
      <c r="Q229" s="751">
        <v>98.213399999999993</v>
      </c>
      <c r="R229" s="79"/>
      <c r="S229" s="79"/>
    </row>
    <row r="230" spans="1:19">
      <c r="A230" s="749" t="s">
        <v>351</v>
      </c>
      <c r="B230" s="750">
        <v>478</v>
      </c>
      <c r="C230" s="751">
        <v>5.8529999999999997E-3</v>
      </c>
      <c r="D230" s="751">
        <v>-8.0999999999999996E-4</v>
      </c>
      <c r="E230" s="751">
        <v>0.166215</v>
      </c>
      <c r="F230" s="751">
        <v>1.4220000000000001E-3</v>
      </c>
      <c r="G230" s="751">
        <v>-1.103E-2</v>
      </c>
      <c r="H230" s="751">
        <v>1.9421000000000001E-2</v>
      </c>
      <c r="I230" s="751">
        <v>97.805899999999994</v>
      </c>
      <c r="J230" s="751">
        <v>-1.16E-3</v>
      </c>
      <c r="K230" s="751">
        <v>-3.6139999999999999E-2</v>
      </c>
      <c r="L230" s="751">
        <v>-3.5909999999999997E-2</v>
      </c>
      <c r="M230" s="751">
        <v>3.2339999999999999E-3</v>
      </c>
      <c r="N230" s="751">
        <v>1.0289E-2</v>
      </c>
      <c r="O230" s="751">
        <v>1.671E-3</v>
      </c>
      <c r="P230" s="751">
        <v>-5.323E-2</v>
      </c>
      <c r="Q230" s="751">
        <v>97.875699999999995</v>
      </c>
      <c r="R230" s="79"/>
      <c r="S230" s="79"/>
    </row>
    <row r="231" spans="1:19">
      <c r="A231" s="749"/>
      <c r="B231" s="760" t="s">
        <v>720</v>
      </c>
      <c r="C231" s="751"/>
      <c r="D231" s="751"/>
      <c r="E231" s="751"/>
      <c r="F231" s="751"/>
      <c r="G231" s="751"/>
      <c r="H231" s="751"/>
      <c r="I231" s="751"/>
      <c r="J231" s="751"/>
      <c r="K231" s="751"/>
      <c r="L231" s="751"/>
      <c r="M231" s="751"/>
      <c r="N231" s="751"/>
      <c r="O231" s="751"/>
      <c r="P231" s="751"/>
      <c r="Q231" s="751"/>
      <c r="R231" s="79"/>
      <c r="S231" s="79"/>
    </row>
    <row r="232" spans="1:19">
      <c r="A232" s="749"/>
      <c r="B232" s="687"/>
      <c r="C232" s="751"/>
      <c r="D232" s="751"/>
      <c r="E232" s="751"/>
      <c r="F232" s="751"/>
      <c r="G232" s="751"/>
      <c r="H232" s="751"/>
      <c r="I232" s="751"/>
      <c r="J232" s="751"/>
      <c r="K232" s="751"/>
      <c r="L232" s="751"/>
      <c r="M232" s="751"/>
      <c r="N232" s="751"/>
      <c r="O232" s="751"/>
      <c r="P232" s="751"/>
      <c r="Q232" s="751"/>
      <c r="R232" s="79"/>
      <c r="S232" s="79"/>
    </row>
    <row r="233" spans="1:19">
      <c r="A233" s="749"/>
      <c r="B233" s="750"/>
      <c r="C233" s="751"/>
      <c r="D233" s="751"/>
      <c r="E233" s="751"/>
      <c r="F233" s="751"/>
      <c r="G233" s="751"/>
      <c r="H233" s="751"/>
      <c r="I233" s="751"/>
      <c r="J233" s="751"/>
      <c r="K233" s="751"/>
      <c r="L233" s="751"/>
      <c r="M233" s="751"/>
      <c r="N233" s="751"/>
      <c r="O233" s="751"/>
      <c r="P233" s="751"/>
      <c r="Q233" s="751"/>
      <c r="R233" s="79"/>
      <c r="S233" s="79"/>
    </row>
    <row r="234" spans="1:19">
      <c r="A234" s="687"/>
      <c r="B234" s="687"/>
      <c r="C234" s="687"/>
      <c r="D234" s="687"/>
      <c r="E234" s="687"/>
      <c r="F234" s="687"/>
      <c r="G234" s="687"/>
      <c r="H234" s="687"/>
      <c r="I234" s="687"/>
      <c r="J234" s="687"/>
      <c r="K234" s="687"/>
      <c r="L234" s="687"/>
      <c r="M234" s="687"/>
      <c r="N234" s="687"/>
      <c r="O234" s="687"/>
      <c r="P234" s="687"/>
      <c r="Q234" s="687"/>
    </row>
    <row r="235" spans="1:19">
      <c r="A235" s="743" t="s">
        <v>318</v>
      </c>
      <c r="B235" s="744" t="s">
        <v>354</v>
      </c>
      <c r="C235" s="746" t="s">
        <v>184</v>
      </c>
      <c r="D235" s="746" t="s">
        <v>178</v>
      </c>
      <c r="E235" s="746" t="s">
        <v>335</v>
      </c>
      <c r="F235" s="746" t="s">
        <v>336</v>
      </c>
      <c r="G235" s="746" t="s">
        <v>180</v>
      </c>
      <c r="H235" s="746" t="s">
        <v>703</v>
      </c>
      <c r="I235" s="746" t="s">
        <v>337</v>
      </c>
      <c r="J235" s="746" t="s">
        <v>338</v>
      </c>
      <c r="K235" s="746" t="s">
        <v>179</v>
      </c>
      <c r="L235" s="744" t="s">
        <v>187</v>
      </c>
      <c r="M235" s="746" t="s">
        <v>339</v>
      </c>
      <c r="N235" s="746" t="s">
        <v>340</v>
      </c>
      <c r="O235" s="746" t="s">
        <v>186</v>
      </c>
      <c r="P235" s="746" t="s">
        <v>341</v>
      </c>
      <c r="Q235" s="746" t="s">
        <v>342</v>
      </c>
    </row>
    <row r="236" spans="1:19">
      <c r="A236" s="747" t="s">
        <v>718</v>
      </c>
      <c r="B236" s="748" t="s">
        <v>722</v>
      </c>
      <c r="C236" s="748" t="s">
        <v>343</v>
      </c>
      <c r="D236" s="748">
        <v>99.994</v>
      </c>
      <c r="E236" s="748" t="s">
        <v>343</v>
      </c>
      <c r="F236" s="748" t="s">
        <v>343</v>
      </c>
      <c r="G236" s="748">
        <v>8.9999999999999993E-3</v>
      </c>
      <c r="H236" s="748" t="s">
        <v>343</v>
      </c>
      <c r="I236" s="748" t="s">
        <v>343</v>
      </c>
      <c r="J236" s="748" t="s">
        <v>343</v>
      </c>
      <c r="K236" s="748" t="s">
        <v>343</v>
      </c>
      <c r="L236" s="748" t="s">
        <v>343</v>
      </c>
      <c r="M236" s="748" t="s">
        <v>343</v>
      </c>
      <c r="N236" s="748" t="s">
        <v>343</v>
      </c>
      <c r="O236" s="748" t="s">
        <v>343</v>
      </c>
      <c r="P236" s="748">
        <v>-3.0000000000000001E-3</v>
      </c>
      <c r="Q236" s="748">
        <v>100</v>
      </c>
    </row>
    <row r="237" spans="1:19">
      <c r="A237" s="749" t="s">
        <v>718</v>
      </c>
      <c r="B237" s="750">
        <v>4</v>
      </c>
      <c r="C237" s="751">
        <v>-1.269E-2</v>
      </c>
      <c r="D237" s="751">
        <v>98.790999999999997</v>
      </c>
      <c r="E237" s="751">
        <v>-2.47E-3</v>
      </c>
      <c r="F237" s="751">
        <v>6.2960000000000004E-3</v>
      </c>
      <c r="G237" s="751">
        <v>1.3769999999999999E-2</v>
      </c>
      <c r="H237" s="751">
        <v>-4.9899999999999996E-3</v>
      </c>
      <c r="I237" s="751">
        <v>4.6E-5</v>
      </c>
      <c r="J237" s="751">
        <v>5.9769999999999997E-3</v>
      </c>
      <c r="K237" s="751">
        <v>7.9649999999999999E-3</v>
      </c>
      <c r="L237" s="751">
        <v>-2.9020000000000001E-2</v>
      </c>
      <c r="M237" s="751">
        <v>1.8929999999999999E-3</v>
      </c>
      <c r="N237" s="751">
        <v>-8.5299999999999994E-3</v>
      </c>
      <c r="O237" s="751">
        <v>-2.971E-2</v>
      </c>
      <c r="P237" s="751">
        <v>-3.0300000000000001E-3</v>
      </c>
      <c r="Q237" s="751">
        <v>98.736500000000007</v>
      </c>
    </row>
    <row r="238" spans="1:19">
      <c r="A238" s="749" t="s">
        <v>718</v>
      </c>
      <c r="B238" s="750">
        <v>5</v>
      </c>
      <c r="C238" s="751">
        <v>-2.4129999999999999E-2</v>
      </c>
      <c r="D238" s="751">
        <v>98.101299999999995</v>
      </c>
      <c r="E238" s="751">
        <v>-7.4700000000000001E-3</v>
      </c>
      <c r="F238" s="751">
        <v>4.5380000000000004E-3</v>
      </c>
      <c r="G238" s="751">
        <v>5.7120000000000001E-3</v>
      </c>
      <c r="H238" s="751">
        <v>-1.248E-2</v>
      </c>
      <c r="I238" s="751">
        <v>2.0600000000000002E-3</v>
      </c>
      <c r="J238" s="751">
        <v>7.4669999999999997E-3</v>
      </c>
      <c r="K238" s="751">
        <v>-2.3359999999999999E-2</v>
      </c>
      <c r="L238" s="751">
        <v>-2.5860000000000001E-2</v>
      </c>
      <c r="M238" s="751">
        <v>2.3839999999999998E-3</v>
      </c>
      <c r="N238" s="751">
        <v>-1.7099999999999999E-3</v>
      </c>
      <c r="O238" s="751">
        <v>-2.375E-2</v>
      </c>
      <c r="P238" s="751">
        <v>-3.0300000000000001E-3</v>
      </c>
      <c r="Q238" s="751">
        <v>98.001599999999996</v>
      </c>
    </row>
    <row r="239" spans="1:19">
      <c r="A239" s="749" t="s">
        <v>718</v>
      </c>
      <c r="B239" s="750">
        <v>6</v>
      </c>
      <c r="C239" s="751">
        <v>-1.7399999999999999E-2</v>
      </c>
      <c r="D239" s="751">
        <v>98.2</v>
      </c>
      <c r="E239" s="751">
        <v>-2.5300000000000001E-3</v>
      </c>
      <c r="F239" s="751">
        <v>1.1712E-2</v>
      </c>
      <c r="G239" s="751">
        <v>1.5814000000000002E-2</v>
      </c>
      <c r="H239" s="751">
        <v>2.1141E-2</v>
      </c>
      <c r="I239" s="751">
        <v>-5.0099999999999997E-3</v>
      </c>
      <c r="J239" s="751">
        <v>-9.6100000000000005E-3</v>
      </c>
      <c r="K239" s="751">
        <v>-9.8399999999999998E-3</v>
      </c>
      <c r="L239" s="751">
        <v>1.2902E-2</v>
      </c>
      <c r="M239" s="751">
        <v>1.206E-3</v>
      </c>
      <c r="N239" s="751">
        <v>1.3037999999999999E-2</v>
      </c>
      <c r="O239" s="751">
        <v>-1.627E-2</v>
      </c>
      <c r="P239" s="751">
        <v>-3.0300000000000001E-3</v>
      </c>
      <c r="Q239" s="751">
        <v>98.212199999999996</v>
      </c>
    </row>
    <row r="240" spans="1:19">
      <c r="A240" s="749" t="s">
        <v>718</v>
      </c>
      <c r="B240" s="750">
        <v>227</v>
      </c>
      <c r="C240" s="751">
        <v>-1.3520000000000001E-2</v>
      </c>
      <c r="D240" s="751">
        <v>99.760900000000007</v>
      </c>
      <c r="E240" s="751">
        <v>-7.5000000000000002E-4</v>
      </c>
      <c r="F240" s="751">
        <v>3.1329999999999999E-3</v>
      </c>
      <c r="G240" s="751">
        <v>1.0798E-2</v>
      </c>
      <c r="H240" s="751">
        <v>6.5649999999999997E-3</v>
      </c>
      <c r="I240" s="751">
        <v>-8.2299999999999995E-3</v>
      </c>
      <c r="J240" s="751">
        <v>-2.7399999999999998E-3</v>
      </c>
      <c r="K240" s="751">
        <v>-1.6729999999999998E-2</v>
      </c>
      <c r="L240" s="751">
        <v>9.7300000000000002E-4</v>
      </c>
      <c r="M240" s="751">
        <v>5.8600000000000004E-4</v>
      </c>
      <c r="N240" s="751">
        <v>-3.8700000000000002E-3</v>
      </c>
      <c r="O240" s="751">
        <v>-3.7190000000000001E-2</v>
      </c>
      <c r="P240" s="751">
        <v>-3.0300000000000001E-3</v>
      </c>
      <c r="Q240" s="751">
        <v>99.696899999999999</v>
      </c>
    </row>
    <row r="241" spans="1:19">
      <c r="A241" s="749" t="s">
        <v>718</v>
      </c>
      <c r="B241" s="750">
        <v>228</v>
      </c>
      <c r="C241" s="751">
        <v>-7.8899999999999994E-3</v>
      </c>
      <c r="D241" s="751">
        <v>100.40900000000001</v>
      </c>
      <c r="E241" s="751">
        <v>5.0100000000000003E-4</v>
      </c>
      <c r="F241" s="751">
        <v>2.1220000000000002E-3</v>
      </c>
      <c r="G241" s="751">
        <v>1.0277E-2</v>
      </c>
      <c r="H241" s="751">
        <v>-1.3270000000000001E-2</v>
      </c>
      <c r="I241" s="751">
        <v>-2.0000000000000002E-5</v>
      </c>
      <c r="J241" s="751">
        <v>-4.5300000000000002E-3</v>
      </c>
      <c r="K241" s="751">
        <v>-1.7950000000000001E-2</v>
      </c>
      <c r="L241" s="751">
        <v>2.4320000000000001E-3</v>
      </c>
      <c r="M241" s="751">
        <v>6.5199999999999998E-3</v>
      </c>
      <c r="N241" s="751">
        <v>-9.7999999999999997E-3</v>
      </c>
      <c r="O241" s="751">
        <v>-5.5559999999999998E-2</v>
      </c>
      <c r="P241" s="751">
        <v>-3.0300000000000001E-3</v>
      </c>
      <c r="Q241" s="751">
        <v>100.319</v>
      </c>
    </row>
    <row r="242" spans="1:19">
      <c r="A242" s="749" t="s">
        <v>718</v>
      </c>
      <c r="B242" s="750">
        <v>229</v>
      </c>
      <c r="C242" s="751">
        <v>-1.0959999999999999E-2</v>
      </c>
      <c r="D242" s="751">
        <v>100.44</v>
      </c>
      <c r="E242" s="751">
        <v>-5.7099999999999998E-3</v>
      </c>
      <c r="F242" s="751">
        <v>-6.3800000000000003E-3</v>
      </c>
      <c r="G242" s="751">
        <v>8.9849999999999999E-3</v>
      </c>
      <c r="H242" s="751">
        <v>-1.091E-2</v>
      </c>
      <c r="I242" s="751">
        <v>-3.79E-3</v>
      </c>
      <c r="J242" s="751">
        <v>-1.98E-3</v>
      </c>
      <c r="K242" s="751">
        <v>2.0906000000000001E-2</v>
      </c>
      <c r="L242" s="751">
        <v>2.7847E-2</v>
      </c>
      <c r="M242" s="751">
        <v>-5.0299999999999997E-3</v>
      </c>
      <c r="N242" s="751">
        <v>2.1770000000000001E-3</v>
      </c>
      <c r="O242" s="751">
        <v>2.6359999999999999E-3</v>
      </c>
      <c r="P242" s="751">
        <v>-3.0300000000000001E-3</v>
      </c>
      <c r="Q242" s="751">
        <v>100.45399999999999</v>
      </c>
    </row>
    <row r="243" spans="1:19">
      <c r="A243" s="749" t="s">
        <v>718</v>
      </c>
      <c r="B243" s="750">
        <v>479</v>
      </c>
      <c r="C243" s="751">
        <v>-8.0099999999999998E-3</v>
      </c>
      <c r="D243" s="751">
        <v>101.164</v>
      </c>
      <c r="E243" s="751">
        <v>-1.0529999999999999E-2</v>
      </c>
      <c r="F243" s="751">
        <v>3.3700000000000002E-3</v>
      </c>
      <c r="G243" s="751">
        <v>1.72E-3</v>
      </c>
      <c r="H243" s="751">
        <v>1.4668E-2</v>
      </c>
      <c r="I243" s="751">
        <v>-6.6E-4</v>
      </c>
      <c r="J243" s="751">
        <v>7.5989999999999999E-3</v>
      </c>
      <c r="K243" s="751">
        <v>-2.5770000000000001E-2</v>
      </c>
      <c r="L243" s="751">
        <v>2.2164E-2</v>
      </c>
      <c r="M243" s="751">
        <v>8.4000000000000003E-4</v>
      </c>
      <c r="N243" s="751">
        <v>-6.4999999999999997E-3</v>
      </c>
      <c r="O243" s="751">
        <v>-7.8899999999999994E-3</v>
      </c>
      <c r="P243" s="751">
        <v>-3.0300000000000001E-3</v>
      </c>
      <c r="Q243" s="751">
        <v>101.152</v>
      </c>
    </row>
    <row r="244" spans="1:19">
      <c r="A244" s="749" t="s">
        <v>718</v>
      </c>
      <c r="B244" s="750">
        <v>480</v>
      </c>
      <c r="C244" s="751">
        <v>-8.9800000000000001E-3</v>
      </c>
      <c r="D244" s="751">
        <v>101.422</v>
      </c>
      <c r="E244" s="751">
        <v>-6.6699999999999997E-3</v>
      </c>
      <c r="F244" s="751">
        <v>-4.2999999999999999E-4</v>
      </c>
      <c r="G244" s="751">
        <v>7.1999999999999998E-3</v>
      </c>
      <c r="H244" s="751">
        <v>-6.3699999999999998E-3</v>
      </c>
      <c r="I244" s="751">
        <v>-1.235E-2</v>
      </c>
      <c r="J244" s="751">
        <v>-6.45E-3</v>
      </c>
      <c r="K244" s="751">
        <v>5.4159999999999998E-3</v>
      </c>
      <c r="L244" s="751">
        <v>4.8973999999999997E-2</v>
      </c>
      <c r="M244" s="751">
        <v>-1.4999999999999999E-4</v>
      </c>
      <c r="N244" s="751">
        <v>9.8720000000000006E-3</v>
      </c>
      <c r="O244" s="751">
        <v>-7.4900000000000001E-3</v>
      </c>
      <c r="P244" s="751">
        <v>-3.0200000000000001E-3</v>
      </c>
      <c r="Q244" s="751">
        <v>101.441</v>
      </c>
    </row>
    <row r="245" spans="1:19">
      <c r="A245" s="749" t="s">
        <v>718</v>
      </c>
      <c r="B245" s="750">
        <v>481</v>
      </c>
      <c r="C245" s="751">
        <v>-8.4899999999999993E-3</v>
      </c>
      <c r="D245" s="751">
        <v>100.899</v>
      </c>
      <c r="E245" s="751">
        <v>4.1800000000000002E-4</v>
      </c>
      <c r="F245" s="751">
        <v>-2.81E-3</v>
      </c>
      <c r="G245" s="751">
        <v>9.8469999999999999E-3</v>
      </c>
      <c r="H245" s="751">
        <v>-1.23E-3</v>
      </c>
      <c r="I245" s="751">
        <v>-1.9499999999999999E-3</v>
      </c>
      <c r="J245" s="751">
        <v>1.297E-3</v>
      </c>
      <c r="K245" s="751">
        <v>-4.8489999999999998E-2</v>
      </c>
      <c r="L245" s="751">
        <v>-4.018E-2</v>
      </c>
      <c r="M245" s="751">
        <v>-1.044E-2</v>
      </c>
      <c r="N245" s="751">
        <v>1.2524E-2</v>
      </c>
      <c r="O245" s="751">
        <v>-2.8160000000000001E-2</v>
      </c>
      <c r="P245" s="751">
        <v>-3.0300000000000001E-3</v>
      </c>
      <c r="Q245" s="751">
        <v>100.779</v>
      </c>
    </row>
    <row r="246" spans="1:19">
      <c r="A246" s="749"/>
      <c r="B246" s="760" t="s">
        <v>719</v>
      </c>
      <c r="C246" s="751"/>
      <c r="D246" s="751"/>
      <c r="E246" s="751"/>
      <c r="F246" s="751"/>
      <c r="G246" s="751"/>
      <c r="H246" s="751"/>
      <c r="I246" s="751"/>
      <c r="J246" s="751"/>
      <c r="K246" s="751"/>
      <c r="L246" s="751"/>
      <c r="M246" s="751"/>
      <c r="N246" s="751"/>
      <c r="O246" s="751"/>
      <c r="P246" s="751"/>
      <c r="Q246" s="751"/>
    </row>
    <row r="247" spans="1:19">
      <c r="A247" s="749"/>
      <c r="B247" s="760"/>
      <c r="C247" s="751"/>
      <c r="D247" s="751"/>
      <c r="E247" s="751"/>
      <c r="F247" s="751"/>
      <c r="G247" s="751"/>
      <c r="H247" s="751"/>
      <c r="I247" s="751"/>
      <c r="J247" s="751"/>
      <c r="K247" s="751"/>
      <c r="L247" s="751"/>
      <c r="M247" s="751"/>
      <c r="N247" s="751"/>
      <c r="O247" s="751"/>
      <c r="P247" s="751"/>
      <c r="Q247" s="751"/>
    </row>
    <row r="248" spans="1:19">
      <c r="A248" s="749"/>
      <c r="B248" s="687"/>
      <c r="C248" s="751"/>
      <c r="D248" s="751"/>
      <c r="E248" s="751"/>
      <c r="F248" s="751"/>
      <c r="G248" s="751"/>
      <c r="H248" s="751"/>
      <c r="I248" s="751"/>
      <c r="J248" s="751"/>
      <c r="K248" s="751"/>
      <c r="L248" s="751"/>
      <c r="M248" s="751"/>
      <c r="N248" s="752"/>
      <c r="O248" s="751"/>
      <c r="P248" s="751"/>
      <c r="Q248" s="751"/>
    </row>
    <row r="249" spans="1:19">
      <c r="A249" s="743" t="s">
        <v>318</v>
      </c>
      <c r="B249" s="744" t="s">
        <v>354</v>
      </c>
      <c r="C249" s="746" t="s">
        <v>184</v>
      </c>
      <c r="D249" s="746" t="s">
        <v>178</v>
      </c>
      <c r="E249" s="746" t="s">
        <v>335</v>
      </c>
      <c r="F249" s="746" t="s">
        <v>336</v>
      </c>
      <c r="G249" s="746" t="s">
        <v>180</v>
      </c>
      <c r="H249" s="746" t="s">
        <v>703</v>
      </c>
      <c r="I249" s="746" t="s">
        <v>337</v>
      </c>
      <c r="J249" s="746" t="s">
        <v>338</v>
      </c>
      <c r="K249" s="746" t="s">
        <v>179</v>
      </c>
      <c r="L249" s="744" t="s">
        <v>187</v>
      </c>
      <c r="M249" s="746" t="s">
        <v>339</v>
      </c>
      <c r="N249" s="746" t="s">
        <v>340</v>
      </c>
      <c r="O249" s="746" t="s">
        <v>186</v>
      </c>
      <c r="P249" s="746" t="s">
        <v>341</v>
      </c>
      <c r="Q249" s="746" t="s">
        <v>342</v>
      </c>
      <c r="R249" s="79"/>
      <c r="S249" s="79"/>
    </row>
    <row r="250" spans="1:19" s="80" customFormat="1">
      <c r="A250" s="747" t="s">
        <v>352</v>
      </c>
      <c r="B250" s="748" t="s">
        <v>722</v>
      </c>
      <c r="C250" s="748">
        <v>5.8000000000000003E-2</v>
      </c>
      <c r="D250" s="748">
        <v>45.351999999999997</v>
      </c>
      <c r="E250" s="748">
        <v>15.25</v>
      </c>
      <c r="F250" s="748" t="s">
        <v>343</v>
      </c>
      <c r="G250" s="748">
        <v>9.27</v>
      </c>
      <c r="H250" s="748">
        <v>9.9600000000000009</v>
      </c>
      <c r="I250" s="748">
        <v>19.331</v>
      </c>
      <c r="J250" s="748" t="s">
        <v>343</v>
      </c>
      <c r="K250" s="748" t="s">
        <v>343</v>
      </c>
      <c r="L250" s="748" t="s">
        <v>343</v>
      </c>
      <c r="M250" s="748" t="s">
        <v>343</v>
      </c>
      <c r="N250" s="748">
        <v>9.9000000000000005E-2</v>
      </c>
      <c r="O250" s="748" t="s">
        <v>343</v>
      </c>
      <c r="P250" s="748">
        <v>0.8</v>
      </c>
      <c r="Q250" s="748">
        <v>100.11999999999999</v>
      </c>
      <c r="R250" s="77"/>
      <c r="S250" s="77"/>
    </row>
    <row r="251" spans="1:19">
      <c r="A251" s="749" t="s">
        <v>352</v>
      </c>
      <c r="B251" s="750">
        <v>16</v>
      </c>
      <c r="C251" s="751">
        <v>0.13775699999999999</v>
      </c>
      <c r="D251" s="751">
        <v>46.415700000000001</v>
      </c>
      <c r="E251" s="751">
        <v>15.212</v>
      </c>
      <c r="F251" s="751">
        <v>5.5079999999999999E-3</v>
      </c>
      <c r="G251" s="751">
        <v>9.4518599999999999</v>
      </c>
      <c r="H251" s="751">
        <v>9.9620599999999992</v>
      </c>
      <c r="I251" s="751">
        <v>19.981200000000001</v>
      </c>
      <c r="J251" s="751">
        <v>2.2179999999999999E-3</v>
      </c>
      <c r="K251" s="751">
        <v>-7.0010000000000003E-2</v>
      </c>
      <c r="L251" s="751">
        <v>-1.78E-2</v>
      </c>
      <c r="M251" s="751">
        <v>9.1299999999999992E-3</v>
      </c>
      <c r="N251" s="751">
        <v>8.8161000000000003E-2</v>
      </c>
      <c r="O251" s="751">
        <v>-3.1179999999999999E-2</v>
      </c>
      <c r="P251" s="751">
        <v>0.80003400000000002</v>
      </c>
      <c r="Q251" s="751">
        <v>101.947</v>
      </c>
      <c r="R251" s="79"/>
      <c r="S251" s="79"/>
    </row>
    <row r="252" spans="1:19">
      <c r="A252" s="749" t="s">
        <v>352</v>
      </c>
      <c r="B252" s="750">
        <v>17</v>
      </c>
      <c r="C252" s="751">
        <v>6.6032999999999994E-2</v>
      </c>
      <c r="D252" s="751">
        <v>46.029600000000002</v>
      </c>
      <c r="E252" s="751">
        <v>15.1943</v>
      </c>
      <c r="F252" s="751">
        <v>2.6570000000000001E-3</v>
      </c>
      <c r="G252" s="751">
        <v>9.7350499999999993</v>
      </c>
      <c r="H252" s="751">
        <v>9.9984599999999997</v>
      </c>
      <c r="I252" s="751">
        <v>19.7729</v>
      </c>
      <c r="J252" s="751">
        <v>-5.9800000000000001E-3</v>
      </c>
      <c r="K252" s="751">
        <v>2.9465000000000002E-2</v>
      </c>
      <c r="L252" s="751">
        <v>5.0162999999999999E-2</v>
      </c>
      <c r="M252" s="751">
        <v>-8.0499999999999999E-3</v>
      </c>
      <c r="N252" s="751">
        <v>8.8817999999999994E-2</v>
      </c>
      <c r="O252" s="751">
        <v>5.2420000000000001E-3</v>
      </c>
      <c r="P252" s="751">
        <v>0.800041</v>
      </c>
      <c r="Q252" s="751">
        <v>101.759</v>
      </c>
      <c r="R252" s="79"/>
      <c r="S252" s="79"/>
    </row>
    <row r="253" spans="1:19">
      <c r="A253" s="749" t="s">
        <v>352</v>
      </c>
      <c r="B253" s="750">
        <v>18</v>
      </c>
      <c r="C253" s="751">
        <v>7.6100000000000001E-2</v>
      </c>
      <c r="D253" s="751">
        <v>45.983400000000003</v>
      </c>
      <c r="E253" s="751">
        <v>15.2761</v>
      </c>
      <c r="F253" s="751">
        <v>1.6390999999999999E-2</v>
      </c>
      <c r="G253" s="751">
        <v>9.4366500000000002</v>
      </c>
      <c r="H253" s="751">
        <v>9.8061199999999999</v>
      </c>
      <c r="I253" s="751">
        <v>19.858000000000001</v>
      </c>
      <c r="J253" s="751">
        <v>-3.0400000000000002E-3</v>
      </c>
      <c r="K253" s="751">
        <v>-0.12267</v>
      </c>
      <c r="L253" s="751">
        <v>1.7713E-2</v>
      </c>
      <c r="M253" s="751">
        <v>2.5709999999999999E-3</v>
      </c>
      <c r="N253" s="751">
        <v>7.7343999999999996E-2</v>
      </c>
      <c r="O253" s="751">
        <v>8.1279999999999998E-3</v>
      </c>
      <c r="P253" s="751">
        <v>0.80003400000000002</v>
      </c>
      <c r="Q253" s="751">
        <v>101.233</v>
      </c>
      <c r="R253" s="79"/>
      <c r="S253" s="79"/>
    </row>
    <row r="254" spans="1:19">
      <c r="A254" s="749" t="s">
        <v>352</v>
      </c>
      <c r="B254" s="750">
        <v>239</v>
      </c>
      <c r="C254" s="751">
        <v>5.2413000000000001E-2</v>
      </c>
      <c r="D254" s="751">
        <v>46.435699999999997</v>
      </c>
      <c r="E254" s="751">
        <v>15.262</v>
      </c>
      <c r="F254" s="751">
        <v>6.9170000000000004E-3</v>
      </c>
      <c r="G254" s="751">
        <v>9.3876000000000008</v>
      </c>
      <c r="H254" s="751">
        <v>10.007400000000001</v>
      </c>
      <c r="I254" s="751">
        <v>19.9482</v>
      </c>
      <c r="J254" s="751">
        <v>8.4910000000000003E-3</v>
      </c>
      <c r="K254" s="751">
        <v>-4.335E-2</v>
      </c>
      <c r="L254" s="751">
        <v>1.4586999999999999E-2</v>
      </c>
      <c r="M254" s="751">
        <v>-8.8999999999999995E-4</v>
      </c>
      <c r="N254" s="751">
        <v>7.9329999999999998E-2</v>
      </c>
      <c r="O254" s="751">
        <v>-2.2499999999999998E-3</v>
      </c>
      <c r="P254" s="751">
        <v>0.800037</v>
      </c>
      <c r="Q254" s="751">
        <v>101.956</v>
      </c>
      <c r="R254" s="79"/>
      <c r="S254" s="79"/>
    </row>
    <row r="255" spans="1:19">
      <c r="A255" s="749" t="s">
        <v>352</v>
      </c>
      <c r="B255" s="750">
        <v>240</v>
      </c>
      <c r="C255" s="751">
        <v>5.6322999999999998E-2</v>
      </c>
      <c r="D255" s="751">
        <v>46.737299999999998</v>
      </c>
      <c r="E255" s="751">
        <v>15.3492</v>
      </c>
      <c r="F255" s="751">
        <v>2.0439999999999998E-3</v>
      </c>
      <c r="G255" s="751">
        <v>9.4939999999999998</v>
      </c>
      <c r="H255" s="751">
        <v>10.045299999999999</v>
      </c>
      <c r="I255" s="751">
        <v>20.013100000000001</v>
      </c>
      <c r="J255" s="751">
        <v>3.5049999999999999E-3</v>
      </c>
      <c r="K255" s="751">
        <v>-5.3900000000000003E-2</v>
      </c>
      <c r="L255" s="751">
        <v>1.09E-2</v>
      </c>
      <c r="M255" s="751">
        <v>3.493E-3</v>
      </c>
      <c r="N255" s="751">
        <v>7.0660000000000001E-2</v>
      </c>
      <c r="O255" s="751">
        <v>-4.1070000000000002E-2</v>
      </c>
      <c r="P255" s="751">
        <v>0.800041</v>
      </c>
      <c r="Q255" s="751">
        <v>102.491</v>
      </c>
      <c r="R255" s="79"/>
      <c r="S255" s="79"/>
    </row>
    <row r="256" spans="1:19">
      <c r="A256" s="749" t="s">
        <v>352</v>
      </c>
      <c r="B256" s="750">
        <v>241</v>
      </c>
      <c r="C256" s="751">
        <v>5.5403000000000001E-2</v>
      </c>
      <c r="D256" s="751">
        <v>46.473500000000001</v>
      </c>
      <c r="E256" s="751">
        <v>15.4534</v>
      </c>
      <c r="F256" s="751">
        <v>9.1959999999999993E-3</v>
      </c>
      <c r="G256" s="751">
        <v>9.4011999999999993</v>
      </c>
      <c r="H256" s="751">
        <v>10.005599999999999</v>
      </c>
      <c r="I256" s="751">
        <v>19.825600000000001</v>
      </c>
      <c r="J256" s="751">
        <v>9.5530000000000007E-3</v>
      </c>
      <c r="K256" s="751">
        <v>-3.9739999999999998E-2</v>
      </c>
      <c r="L256" s="751">
        <v>4.2304000000000001E-2</v>
      </c>
      <c r="M256" s="751">
        <v>-2.81E-3</v>
      </c>
      <c r="N256" s="751">
        <v>7.8037999999999996E-2</v>
      </c>
      <c r="O256" s="751">
        <v>-2.5100000000000001E-2</v>
      </c>
      <c r="P256" s="751">
        <v>0.800041</v>
      </c>
      <c r="Q256" s="751">
        <v>102.086</v>
      </c>
      <c r="R256" s="79"/>
      <c r="S256" s="79"/>
    </row>
    <row r="257" spans="1:19">
      <c r="A257" s="749" t="s">
        <v>352</v>
      </c>
      <c r="B257" s="750">
        <v>374</v>
      </c>
      <c r="C257" s="751">
        <v>4.3088000000000001E-2</v>
      </c>
      <c r="D257" s="751">
        <v>47.860300000000002</v>
      </c>
      <c r="E257" s="751">
        <v>15.2622</v>
      </c>
      <c r="F257" s="751">
        <v>0.110482</v>
      </c>
      <c r="G257" s="751">
        <v>9.3758999999999997</v>
      </c>
      <c r="H257" s="751">
        <v>9.8211999999999993</v>
      </c>
      <c r="I257" s="751">
        <v>20.075700000000001</v>
      </c>
      <c r="J257" s="751">
        <v>1.0234999999999999E-2</v>
      </c>
      <c r="K257" s="751">
        <v>-2.1350000000000001E-2</v>
      </c>
      <c r="L257" s="751">
        <v>-1.8020000000000001E-2</v>
      </c>
      <c r="M257" s="751">
        <v>9.3480000000000004E-3</v>
      </c>
      <c r="N257" s="751">
        <v>6.9683999999999996E-2</v>
      </c>
      <c r="O257" s="751">
        <v>-9.1520000000000004E-2</v>
      </c>
      <c r="P257" s="751">
        <v>0.800037</v>
      </c>
      <c r="Q257" s="751">
        <v>103.307</v>
      </c>
      <c r="R257" s="79"/>
      <c r="S257" s="79"/>
    </row>
    <row r="258" spans="1:19">
      <c r="A258" s="749" t="s">
        <v>352</v>
      </c>
      <c r="B258" s="750">
        <v>375</v>
      </c>
      <c r="C258" s="751">
        <v>6.3125000000000001E-2</v>
      </c>
      <c r="D258" s="751">
        <v>48.334400000000002</v>
      </c>
      <c r="E258" s="751">
        <v>15.273300000000001</v>
      </c>
      <c r="F258" s="751">
        <v>2.0802999999999999E-2</v>
      </c>
      <c r="G258" s="751">
        <v>9.5810099999999991</v>
      </c>
      <c r="H258" s="751">
        <v>9.9942899999999995</v>
      </c>
      <c r="I258" s="751">
        <v>20.055499999999999</v>
      </c>
      <c r="J258" s="751">
        <v>1.8619999999999999E-3</v>
      </c>
      <c r="K258" s="751">
        <v>5.0584999999999998E-2</v>
      </c>
      <c r="L258" s="751">
        <v>-1.7909999999999999E-2</v>
      </c>
      <c r="M258" s="751">
        <v>1.7769999999999999E-3</v>
      </c>
      <c r="N258" s="751">
        <v>7.3210999999999998E-2</v>
      </c>
      <c r="O258" s="751">
        <v>2.4216000000000001E-2</v>
      </c>
      <c r="P258" s="751">
        <v>0.80003400000000002</v>
      </c>
      <c r="Q258" s="751">
        <v>104.256</v>
      </c>
      <c r="R258" s="79"/>
      <c r="S258" s="79"/>
    </row>
    <row r="259" spans="1:19">
      <c r="A259" s="749" t="s">
        <v>352</v>
      </c>
      <c r="B259" s="750">
        <v>376</v>
      </c>
      <c r="C259" s="751">
        <v>6.2800999999999996E-2</v>
      </c>
      <c r="D259" s="751">
        <v>48.166800000000002</v>
      </c>
      <c r="E259" s="751">
        <v>15.3315</v>
      </c>
      <c r="F259" s="751">
        <v>6.0229999999999997E-3</v>
      </c>
      <c r="G259" s="751">
        <v>9.6476199999999999</v>
      </c>
      <c r="H259" s="751">
        <v>10.028499999999999</v>
      </c>
      <c r="I259" s="751">
        <v>19.9345</v>
      </c>
      <c r="J259" s="751">
        <v>2.9390000000000002E-3</v>
      </c>
      <c r="K259" s="751">
        <v>-1.8180000000000002E-2</v>
      </c>
      <c r="L259" s="751">
        <v>4.5558000000000001E-2</v>
      </c>
      <c r="M259" s="751">
        <v>-3.31E-3</v>
      </c>
      <c r="N259" s="751">
        <v>7.2843000000000005E-2</v>
      </c>
      <c r="O259" s="751">
        <v>-4.7200000000000002E-3</v>
      </c>
      <c r="P259" s="751">
        <v>0.80003000000000002</v>
      </c>
      <c r="Q259" s="751">
        <v>104.07299999999999</v>
      </c>
      <c r="R259" s="79"/>
      <c r="S259" s="79"/>
    </row>
    <row r="260" spans="1:19">
      <c r="A260" s="749" t="s">
        <v>352</v>
      </c>
      <c r="B260" s="750">
        <v>491</v>
      </c>
      <c r="C260" s="751">
        <v>5.6536999999999997E-2</v>
      </c>
      <c r="D260" s="751">
        <v>45.442999999999998</v>
      </c>
      <c r="E260" s="751">
        <v>15.3459</v>
      </c>
      <c r="F260" s="751">
        <v>1.1046E-2</v>
      </c>
      <c r="G260" s="751">
        <v>10.3055</v>
      </c>
      <c r="H260" s="751">
        <v>10.248799999999999</v>
      </c>
      <c r="I260" s="751">
        <v>19.982900000000001</v>
      </c>
      <c r="J260" s="751">
        <v>2.4529999999999999E-3</v>
      </c>
      <c r="K260" s="751">
        <v>-7.3649999999999993E-2</v>
      </c>
      <c r="L260" s="751">
        <v>4.3069000000000003E-2</v>
      </c>
      <c r="M260" s="751">
        <v>2.598E-3</v>
      </c>
      <c r="N260" s="751">
        <v>9.9176E-2</v>
      </c>
      <c r="O260" s="751">
        <v>2.1187999999999999E-2</v>
      </c>
      <c r="P260" s="751">
        <v>0.80003400000000002</v>
      </c>
      <c r="Q260" s="751">
        <v>102.289</v>
      </c>
      <c r="R260" s="79"/>
      <c r="S260" s="79"/>
    </row>
    <row r="261" spans="1:19">
      <c r="A261" s="749" t="s">
        <v>352</v>
      </c>
      <c r="B261" s="750">
        <v>492</v>
      </c>
      <c r="C261" s="751">
        <v>3.9718000000000003E-2</v>
      </c>
      <c r="D261" s="751">
        <v>45.348199999999999</v>
      </c>
      <c r="E261" s="751">
        <v>15.279299999999999</v>
      </c>
      <c r="F261" s="751">
        <v>6.9499999999999996E-3</v>
      </c>
      <c r="G261" s="751">
        <v>9.5183300000000006</v>
      </c>
      <c r="H261" s="751">
        <v>9.9176000000000002</v>
      </c>
      <c r="I261" s="751">
        <v>19.751899999999999</v>
      </c>
      <c r="J261" s="751">
        <v>-3.1199999999999999E-3</v>
      </c>
      <c r="K261" s="751">
        <v>-6.7129999999999995E-2</v>
      </c>
      <c r="L261" s="751">
        <v>2.3E-3</v>
      </c>
      <c r="M261" s="751">
        <v>1.7329999999999999E-3</v>
      </c>
      <c r="N261" s="751">
        <v>0.10292900000000001</v>
      </c>
      <c r="O261" s="751">
        <v>2.0239E-2</v>
      </c>
      <c r="P261" s="751">
        <v>0.80003400000000002</v>
      </c>
      <c r="Q261" s="751">
        <v>100.71899999999999</v>
      </c>
      <c r="R261" s="79"/>
      <c r="S261" s="79"/>
    </row>
    <row r="262" spans="1:19">
      <c r="A262" s="749" t="s">
        <v>352</v>
      </c>
      <c r="B262" s="750">
        <v>493</v>
      </c>
      <c r="C262" s="751">
        <v>8.8367000000000001E-2</v>
      </c>
      <c r="D262" s="751">
        <v>45.012900000000002</v>
      </c>
      <c r="E262" s="751">
        <v>15.2935</v>
      </c>
      <c r="F262" s="751">
        <v>1.8061000000000001E-2</v>
      </c>
      <c r="G262" s="751">
        <v>9.5310299999999994</v>
      </c>
      <c r="H262" s="751">
        <v>9.8530499999999996</v>
      </c>
      <c r="I262" s="751">
        <v>19.748999999999999</v>
      </c>
      <c r="J262" s="751">
        <v>5.0819999999999997E-3</v>
      </c>
      <c r="K262" s="751">
        <v>-1.074E-2</v>
      </c>
      <c r="L262" s="751">
        <v>1.4711999999999999E-2</v>
      </c>
      <c r="M262" s="751">
        <v>-1.75E-3</v>
      </c>
      <c r="N262" s="751">
        <v>8.6562E-2</v>
      </c>
      <c r="O262" s="751">
        <v>-1.7919999999999998E-2</v>
      </c>
      <c r="P262" s="751">
        <v>0.80003000000000002</v>
      </c>
      <c r="Q262" s="751">
        <v>100.422</v>
      </c>
      <c r="R262" s="79"/>
      <c r="S262" s="79"/>
    </row>
    <row r="263" spans="1:19">
      <c r="A263" s="749"/>
      <c r="B263" s="760" t="s">
        <v>723</v>
      </c>
      <c r="C263" s="751"/>
      <c r="D263" s="751"/>
      <c r="E263" s="751"/>
      <c r="F263" s="751"/>
      <c r="G263" s="751"/>
      <c r="H263" s="751"/>
      <c r="I263" s="751"/>
      <c r="J263" s="751"/>
      <c r="K263" s="751"/>
      <c r="L263" s="751"/>
      <c r="M263" s="751"/>
      <c r="N263" s="751"/>
      <c r="O263" s="751"/>
      <c r="P263" s="751"/>
      <c r="Q263" s="751"/>
      <c r="R263" s="79"/>
      <c r="S263" s="79"/>
    </row>
    <row r="264" spans="1:19">
      <c r="A264" s="687"/>
      <c r="B264" s="687"/>
      <c r="C264" s="687"/>
      <c r="D264" s="687"/>
      <c r="E264" s="687"/>
      <c r="F264" s="687"/>
      <c r="G264" s="687"/>
      <c r="H264" s="687"/>
      <c r="I264" s="687"/>
      <c r="J264" s="687"/>
      <c r="K264" s="687"/>
      <c r="L264" s="687"/>
      <c r="M264" s="687"/>
      <c r="N264" s="687"/>
      <c r="O264" s="687"/>
      <c r="P264" s="687"/>
      <c r="Q264" s="687"/>
    </row>
  </sheetData>
  <mergeCells count="3">
    <mergeCell ref="K5:Q5"/>
    <mergeCell ref="A5:G5"/>
    <mergeCell ref="A3:Q3"/>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CEDDB-47E2-4437-9B4F-69B2BD1CA5D3}">
  <dimension ref="A1:AS125"/>
  <sheetViews>
    <sheetView zoomScale="90" zoomScaleNormal="90" workbookViewId="0"/>
  </sheetViews>
  <sheetFormatPr defaultColWidth="12.140625" defaultRowHeight="14.45" customHeight="1"/>
  <cols>
    <col min="1" max="1" width="17.28515625" style="395" customWidth="1"/>
    <col min="2" max="2" width="16.42578125" style="312" customWidth="1"/>
    <col min="3" max="3" width="13.7109375" style="312" customWidth="1"/>
    <col min="4" max="4" width="15.7109375" style="312" customWidth="1"/>
    <col min="5" max="5" width="10.42578125" style="312" customWidth="1"/>
    <col min="6" max="6" width="21.42578125" style="312" bestFit="1" customWidth="1"/>
    <col min="7" max="7" width="14.85546875" style="312" customWidth="1"/>
    <col min="8" max="8" width="13.140625" style="395" customWidth="1"/>
    <col min="9" max="12" width="13.28515625" style="395" customWidth="1"/>
    <col min="13" max="13" width="15.42578125" style="395" customWidth="1"/>
    <col min="14" max="14" width="15" style="469" customWidth="1"/>
    <col min="15" max="15" width="18.85546875" style="467" customWidth="1"/>
    <col min="16" max="16" width="13.28515625" style="469" customWidth="1"/>
    <col min="17" max="17" width="9.28515625" style="395" bestFit="1" customWidth="1"/>
    <col min="18" max="18" width="8.85546875" style="395" bestFit="1" customWidth="1"/>
    <col min="19" max="20" width="8.42578125" style="395" bestFit="1" customWidth="1"/>
    <col min="21" max="21" width="9.5703125" style="395" bestFit="1" customWidth="1"/>
    <col min="22" max="22" width="8" style="395" bestFit="1" customWidth="1"/>
    <col min="23" max="23" width="13" style="468" bestFit="1" customWidth="1"/>
    <col min="24" max="24" width="20" style="468" customWidth="1"/>
    <col min="25" max="25" width="9.28515625" style="395" bestFit="1" customWidth="1"/>
    <col min="26" max="26" width="8.85546875" style="395" bestFit="1" customWidth="1"/>
    <col min="27" max="28" width="8.42578125" style="395" bestFit="1" customWidth="1"/>
    <col min="29" max="29" width="9.5703125" style="395" bestFit="1" customWidth="1"/>
    <col min="30" max="30" width="8" style="395" bestFit="1" customWidth="1"/>
    <col min="31" max="31" width="13" style="468" bestFit="1" customWidth="1"/>
    <col min="32" max="32" width="19.28515625" style="468" customWidth="1"/>
    <col min="33" max="33" width="9.28515625" style="395" bestFit="1" customWidth="1"/>
    <col min="34" max="34" width="8.85546875" style="395" bestFit="1" customWidth="1"/>
    <col min="35" max="36" width="8.42578125" style="395" bestFit="1" customWidth="1"/>
    <col min="37" max="37" width="9.5703125" style="395" bestFit="1" customWidth="1"/>
    <col min="38" max="38" width="8" style="395" bestFit="1" customWidth="1"/>
    <col min="39" max="39" width="13" style="468" bestFit="1" customWidth="1"/>
    <col min="40" max="40" width="19.85546875" style="468" customWidth="1"/>
    <col min="41" max="41" width="12.140625" style="423"/>
    <col min="42" max="16384" width="12.140625" style="395"/>
  </cols>
  <sheetData>
    <row r="1" spans="1:45" s="425" customFormat="1" ht="22.9" customHeight="1">
      <c r="A1" s="76" t="s">
        <v>1506</v>
      </c>
      <c r="B1" s="60"/>
      <c r="C1" s="55"/>
      <c r="D1" s="55"/>
      <c r="E1" s="56"/>
      <c r="F1" s="56"/>
      <c r="G1" s="56"/>
      <c r="I1" s="465"/>
      <c r="Q1" s="439"/>
      <c r="R1" s="439"/>
      <c r="S1" s="439"/>
      <c r="T1" s="439"/>
      <c r="U1" s="439"/>
      <c r="V1" s="439"/>
      <c r="W1" s="439"/>
      <c r="X1" s="439"/>
      <c r="Y1" s="452"/>
      <c r="Z1" s="452"/>
      <c r="AA1" s="452"/>
      <c r="AB1" s="452"/>
      <c r="AC1" s="452"/>
      <c r="AD1" s="452"/>
      <c r="AE1" s="452"/>
      <c r="AF1" s="452"/>
      <c r="AG1" s="439"/>
      <c r="AH1" s="439"/>
      <c r="AI1" s="439"/>
      <c r="AJ1" s="439"/>
      <c r="AK1" s="439"/>
      <c r="AL1" s="439"/>
      <c r="AM1" s="439"/>
      <c r="AN1" s="439"/>
    </row>
    <row r="2" spans="1:45" ht="14.45" customHeight="1">
      <c r="A2" s="1112" t="s">
        <v>684</v>
      </c>
      <c r="B2" s="1113"/>
      <c r="C2" s="1113"/>
      <c r="D2" s="1113"/>
      <c r="E2" s="1113"/>
      <c r="F2" s="1113"/>
      <c r="G2" s="1113"/>
      <c r="H2" s="1114"/>
      <c r="I2" s="1109" t="s">
        <v>680</v>
      </c>
      <c r="J2" s="1110"/>
      <c r="K2" s="1110"/>
      <c r="L2" s="1110"/>
      <c r="M2" s="1110"/>
      <c r="N2" s="1110"/>
      <c r="O2" s="1110"/>
      <c r="P2" s="1111"/>
      <c r="Q2" s="1115" t="s">
        <v>576</v>
      </c>
      <c r="R2" s="1116"/>
      <c r="S2" s="1116"/>
      <c r="T2" s="1116"/>
      <c r="U2" s="1116"/>
      <c r="V2" s="1116"/>
      <c r="W2" s="1116"/>
      <c r="X2" s="1117"/>
      <c r="Y2" s="1118" t="s">
        <v>577</v>
      </c>
      <c r="Z2" s="1119"/>
      <c r="AA2" s="1119"/>
      <c r="AB2" s="1119"/>
      <c r="AC2" s="1119"/>
      <c r="AD2" s="1119"/>
      <c r="AE2" s="1119"/>
      <c r="AF2" s="1120"/>
      <c r="AG2" s="1115" t="s">
        <v>578</v>
      </c>
      <c r="AH2" s="1116"/>
      <c r="AI2" s="1116"/>
      <c r="AJ2" s="1116"/>
      <c r="AK2" s="1116"/>
      <c r="AL2" s="1116"/>
      <c r="AM2" s="1116"/>
      <c r="AN2" s="1117"/>
    </row>
    <row r="3" spans="1:45" s="399" customFormat="1" ht="40.9" customHeight="1">
      <c r="A3" s="427" t="s">
        <v>689</v>
      </c>
      <c r="B3" s="298" t="s">
        <v>688</v>
      </c>
      <c r="C3" s="428" t="s">
        <v>676</v>
      </c>
      <c r="D3" s="298" t="s">
        <v>687</v>
      </c>
      <c r="E3" s="298" t="s">
        <v>503</v>
      </c>
      <c r="F3" s="298" t="s">
        <v>404</v>
      </c>
      <c r="G3" s="298" t="s">
        <v>693</v>
      </c>
      <c r="H3" s="429" t="s">
        <v>695</v>
      </c>
      <c r="I3" s="426" t="s">
        <v>664</v>
      </c>
      <c r="J3" s="427" t="s">
        <v>665</v>
      </c>
      <c r="K3" s="427" t="s">
        <v>666</v>
      </c>
      <c r="L3" s="427" t="s">
        <v>667</v>
      </c>
      <c r="M3" s="654" t="s">
        <v>903</v>
      </c>
      <c r="N3" s="655" t="s">
        <v>904</v>
      </c>
      <c r="O3" s="634" t="s">
        <v>677</v>
      </c>
      <c r="P3" s="635" t="s">
        <v>697</v>
      </c>
      <c r="Q3" s="440" t="s">
        <v>668</v>
      </c>
      <c r="R3" s="441" t="s">
        <v>669</v>
      </c>
      <c r="S3" s="441" t="s">
        <v>670</v>
      </c>
      <c r="T3" s="441" t="s">
        <v>671</v>
      </c>
      <c r="U3" s="441" t="s">
        <v>672</v>
      </c>
      <c r="V3" s="441" t="s">
        <v>673</v>
      </c>
      <c r="W3" s="489" t="s">
        <v>696</v>
      </c>
      <c r="X3" s="496" t="s">
        <v>677</v>
      </c>
      <c r="Y3" s="453" t="s">
        <v>668</v>
      </c>
      <c r="Z3" s="454" t="s">
        <v>669</v>
      </c>
      <c r="AA3" s="454" t="s">
        <v>670</v>
      </c>
      <c r="AB3" s="454" t="s">
        <v>671</v>
      </c>
      <c r="AC3" s="454" t="s">
        <v>672</v>
      </c>
      <c r="AD3" s="454" t="s">
        <v>673</v>
      </c>
      <c r="AE3" s="506" t="s">
        <v>696</v>
      </c>
      <c r="AF3" s="507" t="s">
        <v>677</v>
      </c>
      <c r="AG3" s="440" t="s">
        <v>668</v>
      </c>
      <c r="AH3" s="441" t="s">
        <v>669</v>
      </c>
      <c r="AI3" s="441" t="s">
        <v>670</v>
      </c>
      <c r="AJ3" s="441" t="s">
        <v>671</v>
      </c>
      <c r="AK3" s="441" t="s">
        <v>672</v>
      </c>
      <c r="AL3" s="441" t="s">
        <v>673</v>
      </c>
      <c r="AM3" s="489" t="s">
        <v>696</v>
      </c>
      <c r="AN3" s="496" t="s">
        <v>677</v>
      </c>
      <c r="AO3" s="426" t="s">
        <v>63</v>
      </c>
    </row>
    <row r="4" spans="1:45" ht="14.45" customHeight="1">
      <c r="A4" s="632" t="s">
        <v>900</v>
      </c>
      <c r="B4" s="523"/>
      <c r="C4" s="523"/>
      <c r="D4" s="288"/>
      <c r="E4" s="288"/>
      <c r="F4" s="288"/>
      <c r="G4" s="288"/>
      <c r="H4" s="397"/>
      <c r="I4" s="398"/>
      <c r="J4" s="399"/>
      <c r="K4" s="399"/>
      <c r="L4" s="399"/>
      <c r="M4" s="656"/>
      <c r="N4" s="656"/>
      <c r="O4" s="636"/>
      <c r="P4" s="637"/>
      <c r="Q4" s="442"/>
      <c r="R4" s="443"/>
      <c r="S4" s="443"/>
      <c r="T4" s="443"/>
      <c r="U4" s="443"/>
      <c r="V4" s="443"/>
      <c r="W4" s="490"/>
      <c r="X4" s="497"/>
      <c r="Y4" s="455"/>
      <c r="Z4" s="456"/>
      <c r="AA4" s="456"/>
      <c r="AB4" s="456"/>
      <c r="AC4" s="456"/>
      <c r="AD4" s="456"/>
      <c r="AE4" s="508"/>
      <c r="AF4" s="509"/>
      <c r="AG4" s="442"/>
      <c r="AH4" s="443"/>
      <c r="AI4" s="443"/>
      <c r="AJ4" s="443"/>
      <c r="AK4" s="443"/>
      <c r="AL4" s="443"/>
      <c r="AM4" s="490"/>
      <c r="AN4" s="497"/>
      <c r="AO4" s="430"/>
    </row>
    <row r="5" spans="1:45" ht="14.45" customHeight="1">
      <c r="A5" s="400" t="s">
        <v>241</v>
      </c>
      <c r="B5" s="523" t="s">
        <v>674</v>
      </c>
      <c r="C5" s="523" t="s">
        <v>678</v>
      </c>
      <c r="D5" s="288" t="s">
        <v>160</v>
      </c>
      <c r="E5" s="288" t="s">
        <v>468</v>
      </c>
      <c r="F5" s="294" t="s">
        <v>690</v>
      </c>
      <c r="G5" s="288" t="s">
        <v>692</v>
      </c>
      <c r="H5" s="401">
        <v>23.7</v>
      </c>
      <c r="I5" s="403">
        <f>AVERAGE(S5,AA5,AI5)</f>
        <v>1387.9099999999999</v>
      </c>
      <c r="J5" s="404">
        <f>AVERAGE(T5,AB5,AJ5)</f>
        <v>1284.9366666666667</v>
      </c>
      <c r="K5" s="405">
        <f t="shared" ref="K5:L7" si="0">AVERAGE(AC5,AK5,U5)</f>
        <v>427.30666666666684</v>
      </c>
      <c r="L5" s="405">
        <f t="shared" si="0"/>
        <v>102.97333333333336</v>
      </c>
      <c r="M5" s="657">
        <f>(427.16/K5)*L5</f>
        <v>102.93798926610084</v>
      </c>
      <c r="N5" s="657">
        <f t="shared" ref="N5:N45" si="1">_xlfn.STDEV.S(W5,AE5,AM5)/SQRT(COUNT(W5,AE5,AM5))</f>
        <v>3.0120475172590372E-3</v>
      </c>
      <c r="O5" s="638">
        <f>-36.42+(0.355*M5)</f>
        <v>0.12298618946579865</v>
      </c>
      <c r="P5" s="639">
        <f t="shared" ref="P5:P45" si="2">_xlfn.STDEV.S(X5,AF5,AN5)/SQRT(COUNT(X5,AF5,AN5))</f>
        <v>1.0692768686285279E-3</v>
      </c>
      <c r="Q5" s="444">
        <v>1458.16</v>
      </c>
      <c r="R5" s="445">
        <v>1030.8599999999999</v>
      </c>
      <c r="S5" s="445">
        <v>1387.92</v>
      </c>
      <c r="T5" s="445">
        <v>1284.95</v>
      </c>
      <c r="U5" s="445">
        <f>Q5-R5</f>
        <v>427.30000000000018</v>
      </c>
      <c r="V5" s="445">
        <f>S5-T5</f>
        <v>102.97000000000003</v>
      </c>
      <c r="W5" s="491">
        <f>(427.16/U5)*V5</f>
        <v>102.93626304703953</v>
      </c>
      <c r="X5" s="498">
        <f>-36.42+(0.355*W5)</f>
        <v>0.12237338169902756</v>
      </c>
      <c r="Y5" s="457">
        <v>1458.17</v>
      </c>
      <c r="Z5" s="458">
        <v>1030.8599999999999</v>
      </c>
      <c r="AA5" s="458">
        <v>1387.91</v>
      </c>
      <c r="AB5" s="458">
        <v>1284.94</v>
      </c>
      <c r="AC5" s="458">
        <f t="shared" ref="AC5:AC19" si="3">Y5-Z5</f>
        <v>427.31000000000017</v>
      </c>
      <c r="AD5" s="458">
        <f t="shared" ref="AD5:AD19" si="4">AA5-AB5</f>
        <v>102.97000000000003</v>
      </c>
      <c r="AE5" s="510">
        <f>(427.16/AC5)*AD5</f>
        <v>102.93385411059886</v>
      </c>
      <c r="AF5" s="511">
        <f>-36.42+(0.355*AE5)</f>
        <v>0.12151820926258949</v>
      </c>
      <c r="AG5" s="444">
        <v>1458.15</v>
      </c>
      <c r="AH5" s="445">
        <v>1030.8399999999999</v>
      </c>
      <c r="AI5" s="445">
        <v>1387.9</v>
      </c>
      <c r="AJ5" s="445">
        <v>1284.92</v>
      </c>
      <c r="AK5" s="445">
        <f t="shared" ref="AK5:AK19" si="5">AG5-AH5</f>
        <v>427.31000000000017</v>
      </c>
      <c r="AL5" s="445">
        <f t="shared" ref="AL5:AL19" si="6">AI5-AJ5</f>
        <v>102.98000000000002</v>
      </c>
      <c r="AM5" s="491">
        <f>(427.16/AK5)*AL5</f>
        <v>102.94385060026677</v>
      </c>
      <c r="AN5" s="498">
        <f>-36.42+(0.355*AM5)</f>
        <v>0.125066963094703</v>
      </c>
      <c r="AO5" s="431"/>
      <c r="AP5" s="400"/>
      <c r="AQ5" s="400"/>
    </row>
    <row r="6" spans="1:45" ht="14.45" customHeight="1">
      <c r="A6" s="400" t="s">
        <v>579</v>
      </c>
      <c r="B6" s="523" t="s">
        <v>674</v>
      </c>
      <c r="C6" s="523" t="s">
        <v>678</v>
      </c>
      <c r="D6" s="288" t="s">
        <v>160</v>
      </c>
      <c r="E6" s="288" t="s">
        <v>468</v>
      </c>
      <c r="F6" s="288" t="s">
        <v>690</v>
      </c>
      <c r="G6" s="288" t="s">
        <v>692</v>
      </c>
      <c r="H6" s="401">
        <v>23.7</v>
      </c>
      <c r="I6" s="403">
        <f>(S6+AA6+AI6)/3</f>
        <v>1387.926666666667</v>
      </c>
      <c r="J6" s="404">
        <f>(T6+AB6+AJ6)/3</f>
        <v>1284.9033333333334</v>
      </c>
      <c r="K6" s="405">
        <f t="shared" si="0"/>
        <v>427.30666666666662</v>
      </c>
      <c r="L6" s="405">
        <f t="shared" si="0"/>
        <v>103.02333333333331</v>
      </c>
      <c r="M6" s="657">
        <f t="shared" ref="M6:M19" si="7">(427.16/K6)*L6</f>
        <v>102.98797210434348</v>
      </c>
      <c r="N6" s="657">
        <f t="shared" si="1"/>
        <v>7.1002256792479851E-3</v>
      </c>
      <c r="O6" s="638">
        <f>-36.42+(0.355*M6)</f>
        <v>0.1407300970419314</v>
      </c>
      <c r="P6" s="639">
        <f t="shared" si="2"/>
        <v>2.5205801161320828E-3</v>
      </c>
      <c r="Q6" s="444">
        <v>1458.21</v>
      </c>
      <c r="R6" s="445">
        <v>1030.9000000000001</v>
      </c>
      <c r="S6" s="445">
        <v>1387.93</v>
      </c>
      <c r="T6" s="445">
        <v>1284.92</v>
      </c>
      <c r="U6" s="445">
        <f t="shared" ref="U6:U19" si="8">Q6-R6</f>
        <v>427.30999999999995</v>
      </c>
      <c r="V6" s="445">
        <f t="shared" ref="V6:V19" si="9">S6-T6</f>
        <v>103.00999999999999</v>
      </c>
      <c r="W6" s="491">
        <f t="shared" ref="W6:W45" si="10">(427.16/U6)*V6</f>
        <v>102.97384006927057</v>
      </c>
      <c r="X6" s="498">
        <f>-36.42+(0.355*W6)</f>
        <v>0.13571322459105062</v>
      </c>
      <c r="Y6" s="457">
        <v>1458.2</v>
      </c>
      <c r="Z6" s="458">
        <v>1030.8900000000001</v>
      </c>
      <c r="AA6" s="458">
        <v>1387.93</v>
      </c>
      <c r="AB6" s="458">
        <v>1284.9000000000001</v>
      </c>
      <c r="AC6" s="458">
        <f t="shared" si="3"/>
        <v>427.30999999999995</v>
      </c>
      <c r="AD6" s="458">
        <f t="shared" si="4"/>
        <v>103.02999999999997</v>
      </c>
      <c r="AE6" s="510">
        <f t="shared" ref="AE6:AE45" si="11">(427.16/AC6)*AD6</f>
        <v>102.99383304860639</v>
      </c>
      <c r="AF6" s="511">
        <f>-36.42+(0.355*AE6)</f>
        <v>0.14281073225526342</v>
      </c>
      <c r="AG6" s="444">
        <v>1458.19</v>
      </c>
      <c r="AH6" s="445">
        <v>1030.8900000000001</v>
      </c>
      <c r="AI6" s="445">
        <v>1387.92</v>
      </c>
      <c r="AJ6" s="445">
        <v>1284.8900000000001</v>
      </c>
      <c r="AK6" s="445">
        <f t="shared" si="5"/>
        <v>427.29999999999995</v>
      </c>
      <c r="AL6" s="445">
        <f t="shared" si="6"/>
        <v>103.02999999999997</v>
      </c>
      <c r="AM6" s="491">
        <f t="shared" ref="AM6:AM45" si="12">(427.16/AK6)*AL6</f>
        <v>102.99624338871986</v>
      </c>
      <c r="AN6" s="498">
        <f>-36.42+(0.355*AM6)</f>
        <v>0.14366640299554945</v>
      </c>
      <c r="AO6" s="431"/>
      <c r="AP6" s="400"/>
      <c r="AQ6" s="400"/>
    </row>
    <row r="7" spans="1:45" ht="14.45" customHeight="1">
      <c r="A7" s="400" t="s">
        <v>580</v>
      </c>
      <c r="B7" s="523" t="s">
        <v>674</v>
      </c>
      <c r="C7" s="523" t="s">
        <v>678</v>
      </c>
      <c r="D7" s="288" t="s">
        <v>160</v>
      </c>
      <c r="E7" s="288" t="s">
        <v>468</v>
      </c>
      <c r="F7" s="288" t="s">
        <v>691</v>
      </c>
      <c r="G7" s="288" t="s">
        <v>692</v>
      </c>
      <c r="H7" s="401">
        <v>23.7</v>
      </c>
      <c r="I7" s="403">
        <f>(S7+AA7+AI7)/3</f>
        <v>1387.9133333333332</v>
      </c>
      <c r="J7" s="404">
        <f>(T7+AB7+AJ7)/3</f>
        <v>1284.9000000000001</v>
      </c>
      <c r="K7" s="405">
        <f t="shared" si="0"/>
        <v>427.30999999999995</v>
      </c>
      <c r="L7" s="405">
        <f t="shared" si="0"/>
        <v>103.01333333333332</v>
      </c>
      <c r="M7" s="657">
        <f t="shared" si="7"/>
        <v>102.9771722324932</v>
      </c>
      <c r="N7" s="657">
        <f t="shared" si="1"/>
        <v>8.8160752149744268E-3</v>
      </c>
      <c r="O7" s="638">
        <f t="shared" ref="O7:O19" si="13">-36.42+(0.355*M7)</f>
        <v>0.13689614253508608</v>
      </c>
      <c r="P7" s="639">
        <f t="shared" si="2"/>
        <v>3.1297067013154561E-3</v>
      </c>
      <c r="Q7" s="444">
        <v>1458.24</v>
      </c>
      <c r="R7" s="445">
        <v>1030.93</v>
      </c>
      <c r="S7" s="445">
        <v>1387.92</v>
      </c>
      <c r="T7" s="445">
        <v>1284.9100000000001</v>
      </c>
      <c r="U7" s="445">
        <f t="shared" si="8"/>
        <v>427.30999999999995</v>
      </c>
      <c r="V7" s="445">
        <f t="shared" si="9"/>
        <v>103.00999999999999</v>
      </c>
      <c r="W7" s="491">
        <f t="shared" si="10"/>
        <v>102.97384006927057</v>
      </c>
      <c r="X7" s="498">
        <f t="shared" ref="X7:X45" si="14">-36.42+(0.355*W7)</f>
        <v>0.13571322459105062</v>
      </c>
      <c r="Y7" s="457">
        <v>1458.24</v>
      </c>
      <c r="Z7" s="458">
        <v>1030.93</v>
      </c>
      <c r="AA7" s="458">
        <v>1387.91</v>
      </c>
      <c r="AB7" s="458">
        <v>1284.9100000000001</v>
      </c>
      <c r="AC7" s="458">
        <f t="shared" si="3"/>
        <v>427.30999999999995</v>
      </c>
      <c r="AD7" s="458">
        <f t="shared" si="4"/>
        <v>103</v>
      </c>
      <c r="AE7" s="510">
        <f t="shared" si="11"/>
        <v>102.96384357960265</v>
      </c>
      <c r="AF7" s="511">
        <f t="shared" ref="AF7:AF45" si="15">-36.42+(0.355*AE7)</f>
        <v>0.13216447075893711</v>
      </c>
      <c r="AG7" s="444">
        <v>1458.23</v>
      </c>
      <c r="AH7" s="445">
        <v>1030.92</v>
      </c>
      <c r="AI7" s="445">
        <v>1387.91</v>
      </c>
      <c r="AJ7" s="445">
        <v>1284.8800000000001</v>
      </c>
      <c r="AK7" s="445">
        <f t="shared" si="5"/>
        <v>427.30999999999995</v>
      </c>
      <c r="AL7" s="445">
        <f t="shared" si="6"/>
        <v>103.02999999999997</v>
      </c>
      <c r="AM7" s="491">
        <f t="shared" si="12"/>
        <v>102.99383304860639</v>
      </c>
      <c r="AN7" s="498">
        <f t="shared" ref="AN7:AN45" si="16">-36.42+(0.355*AM7)</f>
        <v>0.14281073225526342</v>
      </c>
      <c r="AO7" s="431"/>
      <c r="AP7" s="400"/>
      <c r="AQ7" s="400"/>
    </row>
    <row r="8" spans="1:45" s="409" customFormat="1" ht="14.45" customHeight="1">
      <c r="A8" s="406" t="s">
        <v>581</v>
      </c>
      <c r="B8" s="524" t="s">
        <v>674</v>
      </c>
      <c r="C8" s="524" t="s">
        <v>678</v>
      </c>
      <c r="D8" s="525" t="s">
        <v>160</v>
      </c>
      <c r="E8" s="525" t="s">
        <v>468</v>
      </c>
      <c r="F8" s="288" t="s">
        <v>405</v>
      </c>
      <c r="G8" s="525" t="s">
        <v>692</v>
      </c>
      <c r="H8" s="407">
        <v>23.7</v>
      </c>
      <c r="I8" s="408" t="s">
        <v>419</v>
      </c>
      <c r="J8" s="406" t="s">
        <v>419</v>
      </c>
      <c r="K8" s="406" t="s">
        <v>419</v>
      </c>
      <c r="L8" s="406" t="s">
        <v>419</v>
      </c>
      <c r="M8" s="658" t="s">
        <v>419</v>
      </c>
      <c r="N8" s="658" t="s">
        <v>419</v>
      </c>
      <c r="O8" s="640" t="s">
        <v>419</v>
      </c>
      <c r="P8" s="641" t="s">
        <v>419</v>
      </c>
      <c r="Q8" s="446" t="s">
        <v>419</v>
      </c>
      <c r="R8" s="447" t="s">
        <v>419</v>
      </c>
      <c r="S8" s="447" t="s">
        <v>419</v>
      </c>
      <c r="T8" s="447" t="s">
        <v>419</v>
      </c>
      <c r="U8" s="447" t="s">
        <v>419</v>
      </c>
      <c r="V8" s="447" t="s">
        <v>419</v>
      </c>
      <c r="W8" s="447" t="s">
        <v>419</v>
      </c>
      <c r="X8" s="499" t="s">
        <v>419</v>
      </c>
      <c r="Y8" s="459" t="s">
        <v>419</v>
      </c>
      <c r="Z8" s="460" t="s">
        <v>419</v>
      </c>
      <c r="AA8" s="460" t="s">
        <v>419</v>
      </c>
      <c r="AB8" s="460" t="s">
        <v>419</v>
      </c>
      <c r="AC8" s="460" t="s">
        <v>419</v>
      </c>
      <c r="AD8" s="460" t="s">
        <v>419</v>
      </c>
      <c r="AE8" s="460" t="s">
        <v>419</v>
      </c>
      <c r="AF8" s="512" t="s">
        <v>419</v>
      </c>
      <c r="AG8" s="446" t="s">
        <v>419</v>
      </c>
      <c r="AH8" s="447" t="s">
        <v>419</v>
      </c>
      <c r="AI8" s="447" t="s">
        <v>419</v>
      </c>
      <c r="AJ8" s="447" t="s">
        <v>419</v>
      </c>
      <c r="AK8" s="447" t="s">
        <v>419</v>
      </c>
      <c r="AL8" s="447" t="s">
        <v>419</v>
      </c>
      <c r="AM8" s="447" t="s">
        <v>419</v>
      </c>
      <c r="AN8" s="499" t="s">
        <v>419</v>
      </c>
      <c r="AO8" s="432" t="s">
        <v>582</v>
      </c>
      <c r="AP8" s="406"/>
      <c r="AQ8" s="406"/>
      <c r="AR8" s="406"/>
      <c r="AS8" s="406"/>
    </row>
    <row r="9" spans="1:45" s="409" customFormat="1" ht="14.45" customHeight="1">
      <c r="A9" s="406" t="s">
        <v>583</v>
      </c>
      <c r="B9" s="524" t="s">
        <v>674</v>
      </c>
      <c r="C9" s="524" t="s">
        <v>678</v>
      </c>
      <c r="D9" s="525" t="s">
        <v>160</v>
      </c>
      <c r="E9" s="525" t="s">
        <v>468</v>
      </c>
      <c r="F9" s="288" t="s">
        <v>405</v>
      </c>
      <c r="G9" s="525" t="s">
        <v>692</v>
      </c>
      <c r="H9" s="407">
        <v>23.7</v>
      </c>
      <c r="I9" s="408" t="s">
        <v>419</v>
      </c>
      <c r="J9" s="406" t="s">
        <v>419</v>
      </c>
      <c r="K9" s="406" t="s">
        <v>419</v>
      </c>
      <c r="L9" s="406" t="s">
        <v>419</v>
      </c>
      <c r="M9" s="658" t="s">
        <v>419</v>
      </c>
      <c r="N9" s="658" t="s">
        <v>419</v>
      </c>
      <c r="O9" s="640" t="s">
        <v>419</v>
      </c>
      <c r="P9" s="641" t="s">
        <v>419</v>
      </c>
      <c r="Q9" s="446" t="s">
        <v>419</v>
      </c>
      <c r="R9" s="447" t="s">
        <v>419</v>
      </c>
      <c r="S9" s="447" t="s">
        <v>419</v>
      </c>
      <c r="T9" s="447" t="s">
        <v>419</v>
      </c>
      <c r="U9" s="447" t="s">
        <v>419</v>
      </c>
      <c r="V9" s="447" t="s">
        <v>419</v>
      </c>
      <c r="W9" s="447" t="s">
        <v>419</v>
      </c>
      <c r="X9" s="499" t="s">
        <v>419</v>
      </c>
      <c r="Y9" s="459" t="s">
        <v>419</v>
      </c>
      <c r="Z9" s="460" t="s">
        <v>419</v>
      </c>
      <c r="AA9" s="460" t="s">
        <v>419</v>
      </c>
      <c r="AB9" s="460" t="s">
        <v>419</v>
      </c>
      <c r="AC9" s="460" t="s">
        <v>419</v>
      </c>
      <c r="AD9" s="460" t="s">
        <v>419</v>
      </c>
      <c r="AE9" s="460" t="s">
        <v>419</v>
      </c>
      <c r="AF9" s="512" t="s">
        <v>419</v>
      </c>
      <c r="AG9" s="446" t="s">
        <v>419</v>
      </c>
      <c r="AH9" s="447" t="s">
        <v>419</v>
      </c>
      <c r="AI9" s="447" t="s">
        <v>419</v>
      </c>
      <c r="AJ9" s="447" t="s">
        <v>419</v>
      </c>
      <c r="AK9" s="447" t="s">
        <v>419</v>
      </c>
      <c r="AL9" s="447" t="s">
        <v>419</v>
      </c>
      <c r="AM9" s="447" t="s">
        <v>419</v>
      </c>
      <c r="AN9" s="499" t="s">
        <v>419</v>
      </c>
      <c r="AO9" s="432" t="s">
        <v>582</v>
      </c>
      <c r="AP9" s="406"/>
      <c r="AQ9" s="406"/>
      <c r="AR9" s="406"/>
      <c r="AS9" s="406"/>
    </row>
    <row r="10" spans="1:45" ht="14.45" customHeight="1">
      <c r="A10" s="400" t="s">
        <v>663</v>
      </c>
      <c r="B10" s="523" t="s">
        <v>674</v>
      </c>
      <c r="C10" s="523" t="s">
        <v>678</v>
      </c>
      <c r="D10" s="288" t="s">
        <v>160</v>
      </c>
      <c r="E10" s="288" t="s">
        <v>468</v>
      </c>
      <c r="F10" s="288" t="s">
        <v>405</v>
      </c>
      <c r="G10" s="288" t="s">
        <v>692</v>
      </c>
      <c r="H10" s="401">
        <v>23.7</v>
      </c>
      <c r="I10" s="403">
        <f t="shared" ref="I10:I19" si="17">(S10+AA10+AI10)/3</f>
        <v>1388.0666666666666</v>
      </c>
      <c r="J10" s="404">
        <f t="shared" ref="J10:J19" si="18">(T10+AB10+AJ10)/3</f>
        <v>1285.1300000000001</v>
      </c>
      <c r="K10" s="405">
        <f t="shared" ref="K10:K19" si="19">AVERAGE(AC10,AK10,U10)</f>
        <v>427.29999999999995</v>
      </c>
      <c r="L10" s="405">
        <f t="shared" ref="L10:L19" si="20">AVERAGE(AD10,AL10,V10)</f>
        <v>102.9366666666665</v>
      </c>
      <c r="M10" s="657">
        <f t="shared" si="7"/>
        <v>102.90294063499478</v>
      </c>
      <c r="N10" s="657">
        <f t="shared" si="1"/>
        <v>4.5892653204824673E-3</v>
      </c>
      <c r="O10" s="638">
        <f t="shared" si="13"/>
        <v>0.11054392542314417</v>
      </c>
      <c r="P10" s="639">
        <f t="shared" si="2"/>
        <v>1.6291891887717817E-3</v>
      </c>
      <c r="Q10" s="444">
        <v>1458.28</v>
      </c>
      <c r="R10" s="445">
        <v>1030.99</v>
      </c>
      <c r="S10" s="445">
        <v>1388.07</v>
      </c>
      <c r="T10" s="445">
        <v>1285.1300000000001</v>
      </c>
      <c r="U10" s="445">
        <f t="shared" si="8"/>
        <v>427.28999999999996</v>
      </c>
      <c r="V10" s="445">
        <f t="shared" si="9"/>
        <v>102.93999999999983</v>
      </c>
      <c r="W10" s="491">
        <f t="shared" si="10"/>
        <v>102.90868122352485</v>
      </c>
      <c r="X10" s="498">
        <f t="shared" si="14"/>
        <v>0.11258183435131741</v>
      </c>
      <c r="Y10" s="457">
        <v>1458.28</v>
      </c>
      <c r="Z10" s="458">
        <v>1030.98</v>
      </c>
      <c r="AA10" s="458">
        <v>1388.07</v>
      </c>
      <c r="AB10" s="458">
        <v>1285.1300000000001</v>
      </c>
      <c r="AC10" s="458">
        <f t="shared" si="3"/>
        <v>427.29999999999995</v>
      </c>
      <c r="AD10" s="458">
        <f t="shared" si="4"/>
        <v>102.93999999999983</v>
      </c>
      <c r="AE10" s="510">
        <f t="shared" si="11"/>
        <v>102.90627287619924</v>
      </c>
      <c r="AF10" s="511">
        <f t="shared" si="15"/>
        <v>0.11172687105072754</v>
      </c>
      <c r="AG10" s="444">
        <v>1458.28</v>
      </c>
      <c r="AH10" s="445">
        <v>1030.97</v>
      </c>
      <c r="AI10" s="445">
        <v>1388.06</v>
      </c>
      <c r="AJ10" s="445">
        <v>1285.1300000000001</v>
      </c>
      <c r="AK10" s="445">
        <f t="shared" si="5"/>
        <v>427.30999999999995</v>
      </c>
      <c r="AL10" s="445">
        <f t="shared" si="6"/>
        <v>102.92999999999984</v>
      </c>
      <c r="AM10" s="491">
        <f t="shared" si="12"/>
        <v>102.89386815192704</v>
      </c>
      <c r="AN10" s="498">
        <f t="shared" si="16"/>
        <v>0.10732319393409284</v>
      </c>
      <c r="AO10" s="431"/>
    </row>
    <row r="11" spans="1:45" ht="14.45" customHeight="1">
      <c r="A11" s="400" t="s">
        <v>584</v>
      </c>
      <c r="B11" s="523" t="s">
        <v>674</v>
      </c>
      <c r="C11" s="523" t="s">
        <v>678</v>
      </c>
      <c r="D11" s="288" t="s">
        <v>160</v>
      </c>
      <c r="E11" s="288" t="s">
        <v>468</v>
      </c>
      <c r="F11" s="288" t="s">
        <v>691</v>
      </c>
      <c r="G11" s="288" t="s">
        <v>692</v>
      </c>
      <c r="H11" s="401">
        <v>23</v>
      </c>
      <c r="I11" s="403">
        <f t="shared" si="17"/>
        <v>1387.6866666666667</v>
      </c>
      <c r="J11" s="404">
        <f t="shared" si="18"/>
        <v>1284.6733333333334</v>
      </c>
      <c r="K11" s="405">
        <f t="shared" si="19"/>
        <v>427.33666666666664</v>
      </c>
      <c r="L11" s="405">
        <f t="shared" si="20"/>
        <v>103.01333333333332</v>
      </c>
      <c r="M11" s="657">
        <f t="shared" si="7"/>
        <v>102.97074625002925</v>
      </c>
      <c r="N11" s="657">
        <f t="shared" si="1"/>
        <v>1.4453451729158032E-2</v>
      </c>
      <c r="O11" s="638">
        <f t="shared" si="13"/>
        <v>0.13461491876037712</v>
      </c>
      <c r="P11" s="639">
        <f t="shared" si="2"/>
        <v>5.1309753638523053E-3</v>
      </c>
      <c r="Q11" s="444">
        <v>1457.98</v>
      </c>
      <c r="R11" s="445">
        <v>1030.6400000000001</v>
      </c>
      <c r="S11" s="445">
        <v>1387.7</v>
      </c>
      <c r="T11" s="445">
        <v>1284.6600000000001</v>
      </c>
      <c r="U11" s="445">
        <f t="shared" si="8"/>
        <v>427.33999999999992</v>
      </c>
      <c r="V11" s="445">
        <f t="shared" si="9"/>
        <v>103.03999999999996</v>
      </c>
      <c r="W11" s="491">
        <f t="shared" si="10"/>
        <v>102.99659849300322</v>
      </c>
      <c r="X11" s="498">
        <f t="shared" si="14"/>
        <v>0.14379246501614062</v>
      </c>
      <c r="Y11" s="457">
        <v>1457.96</v>
      </c>
      <c r="Z11" s="458">
        <v>1030.6300000000001</v>
      </c>
      <c r="AA11" s="458">
        <v>1387.68</v>
      </c>
      <c r="AB11" s="458">
        <v>1284.67</v>
      </c>
      <c r="AC11" s="458">
        <f t="shared" si="3"/>
        <v>427.32999999999993</v>
      </c>
      <c r="AD11" s="458">
        <f t="shared" si="4"/>
        <v>103.00999999999999</v>
      </c>
      <c r="AE11" s="510">
        <f t="shared" si="11"/>
        <v>102.96902066318771</v>
      </c>
      <c r="AF11" s="511">
        <f t="shared" si="15"/>
        <v>0.13400233543163154</v>
      </c>
      <c r="AG11" s="444">
        <v>1457.96</v>
      </c>
      <c r="AH11" s="445">
        <v>1030.6199999999999</v>
      </c>
      <c r="AI11" s="445">
        <v>1387.68</v>
      </c>
      <c r="AJ11" s="445">
        <v>1284.69</v>
      </c>
      <c r="AK11" s="445">
        <f t="shared" si="5"/>
        <v>427.34000000000015</v>
      </c>
      <c r="AL11" s="445">
        <f t="shared" si="6"/>
        <v>102.99000000000001</v>
      </c>
      <c r="AM11" s="491">
        <f t="shared" si="12"/>
        <v>102.94661955351708</v>
      </c>
      <c r="AN11" s="498">
        <f t="shared" si="16"/>
        <v>0.12604994149855742</v>
      </c>
      <c r="AO11" s="433"/>
    </row>
    <row r="12" spans="1:45" ht="14.45" customHeight="1">
      <c r="A12" s="400" t="s">
        <v>585</v>
      </c>
      <c r="B12" s="523" t="s">
        <v>674</v>
      </c>
      <c r="C12" s="523" t="s">
        <v>678</v>
      </c>
      <c r="D12" s="288" t="s">
        <v>160</v>
      </c>
      <c r="E12" s="288" t="s">
        <v>468</v>
      </c>
      <c r="F12" s="288" t="s">
        <v>691</v>
      </c>
      <c r="G12" s="288" t="s">
        <v>692</v>
      </c>
      <c r="H12" s="401">
        <v>23</v>
      </c>
      <c r="I12" s="403">
        <f t="shared" si="17"/>
        <v>1387.92</v>
      </c>
      <c r="J12" s="404">
        <f t="shared" si="18"/>
        <v>1284.9233333333334</v>
      </c>
      <c r="K12" s="405">
        <f t="shared" si="19"/>
        <v>427.32000000000016</v>
      </c>
      <c r="L12" s="405">
        <f t="shared" si="20"/>
        <v>102.99666666666667</v>
      </c>
      <c r="M12" s="657">
        <f t="shared" si="7"/>
        <v>102.95810196886016</v>
      </c>
      <c r="N12" s="657">
        <f t="shared" si="1"/>
        <v>3.6108306245195365E-3</v>
      </c>
      <c r="O12" s="638">
        <f t="shared" si="13"/>
        <v>0.13012619894535504</v>
      </c>
      <c r="P12" s="639">
        <f t="shared" si="2"/>
        <v>1.2818448717030178E-3</v>
      </c>
      <c r="Q12" s="444">
        <v>1458.19</v>
      </c>
      <c r="R12" s="445">
        <v>1030.8599999999999</v>
      </c>
      <c r="S12" s="445">
        <v>1387.93</v>
      </c>
      <c r="T12" s="445">
        <v>1284.93</v>
      </c>
      <c r="U12" s="445">
        <f t="shared" si="8"/>
        <v>427.33000000000015</v>
      </c>
      <c r="V12" s="445">
        <f t="shared" si="9"/>
        <v>103</v>
      </c>
      <c r="W12" s="491">
        <f t="shared" si="10"/>
        <v>102.95902464137784</v>
      </c>
      <c r="X12" s="498">
        <f t="shared" si="14"/>
        <v>0.13045374768913121</v>
      </c>
      <c r="Y12" s="457">
        <v>1458.18</v>
      </c>
      <c r="Z12" s="458">
        <v>1030.8699999999999</v>
      </c>
      <c r="AA12" s="458">
        <v>1387.92</v>
      </c>
      <c r="AB12" s="458">
        <v>1284.92</v>
      </c>
      <c r="AC12" s="458">
        <f t="shared" si="3"/>
        <v>427.31000000000017</v>
      </c>
      <c r="AD12" s="458">
        <f t="shared" si="4"/>
        <v>103</v>
      </c>
      <c r="AE12" s="510">
        <f t="shared" si="11"/>
        <v>102.9638435796026</v>
      </c>
      <c r="AF12" s="511">
        <f t="shared" si="15"/>
        <v>0.1321644707589158</v>
      </c>
      <c r="AG12" s="444">
        <v>1458.18</v>
      </c>
      <c r="AH12" s="445">
        <v>1030.8599999999999</v>
      </c>
      <c r="AI12" s="445">
        <v>1387.91</v>
      </c>
      <c r="AJ12" s="445">
        <v>1284.92</v>
      </c>
      <c r="AK12" s="445">
        <f t="shared" si="5"/>
        <v>427.32000000000016</v>
      </c>
      <c r="AL12" s="445">
        <f t="shared" si="6"/>
        <v>102.99000000000001</v>
      </c>
      <c r="AM12" s="491">
        <f t="shared" si="12"/>
        <v>102.95143779837123</v>
      </c>
      <c r="AN12" s="498">
        <f t="shared" si="16"/>
        <v>0.12776041842178643</v>
      </c>
      <c r="AO12" s="431"/>
    </row>
    <row r="13" spans="1:45" ht="14.45" customHeight="1">
      <c r="A13" s="400" t="s">
        <v>586</v>
      </c>
      <c r="B13" s="523" t="s">
        <v>674</v>
      </c>
      <c r="C13" s="523" t="s">
        <v>678</v>
      </c>
      <c r="D13" s="288" t="s">
        <v>160</v>
      </c>
      <c r="E13" s="288" t="s">
        <v>468</v>
      </c>
      <c r="F13" s="288" t="s">
        <v>691</v>
      </c>
      <c r="G13" s="288" t="s">
        <v>692</v>
      </c>
      <c r="H13" s="401">
        <v>23</v>
      </c>
      <c r="I13" s="403">
        <f t="shared" si="17"/>
        <v>1387.9366666666667</v>
      </c>
      <c r="J13" s="404">
        <f t="shared" si="18"/>
        <v>1284.9266666666665</v>
      </c>
      <c r="K13" s="405">
        <f t="shared" si="19"/>
        <v>427.31333333333328</v>
      </c>
      <c r="L13" s="405">
        <f t="shared" si="20"/>
        <v>103.00999999999999</v>
      </c>
      <c r="M13" s="657">
        <f t="shared" si="7"/>
        <v>102.97303680359457</v>
      </c>
      <c r="N13" s="657">
        <f>_xlfn.STDEV.S(W13,AE13,AM13)/SQRT(COUNT(W13,AE13,AM13))</f>
        <v>1.6065438850129492E-3</v>
      </c>
      <c r="O13" s="638">
        <f t="shared" si="13"/>
        <v>0.13542806527606643</v>
      </c>
      <c r="P13" s="639">
        <f t="shared" si="2"/>
        <v>5.7032307917855485E-4</v>
      </c>
      <c r="Q13" s="444">
        <v>1458.24</v>
      </c>
      <c r="R13" s="445">
        <v>1030.92</v>
      </c>
      <c r="S13" s="445">
        <v>1387.95</v>
      </c>
      <c r="T13" s="445">
        <v>1284.94</v>
      </c>
      <c r="U13" s="445">
        <f t="shared" si="8"/>
        <v>427.31999999999994</v>
      </c>
      <c r="V13" s="445">
        <f t="shared" si="9"/>
        <v>103.00999999999999</v>
      </c>
      <c r="W13" s="491">
        <f t="shared" si="10"/>
        <v>102.97143030983807</v>
      </c>
      <c r="X13" s="498">
        <f t="shared" si="14"/>
        <v>0.13485775999251359</v>
      </c>
      <c r="Y13" s="457">
        <v>1458.22</v>
      </c>
      <c r="Z13" s="458">
        <v>1030.92</v>
      </c>
      <c r="AA13" s="458">
        <v>1387.94</v>
      </c>
      <c r="AB13" s="458">
        <v>1284.93</v>
      </c>
      <c r="AC13" s="458">
        <f t="shared" si="3"/>
        <v>427.29999999999995</v>
      </c>
      <c r="AD13" s="458">
        <f t="shared" si="4"/>
        <v>103.00999999999999</v>
      </c>
      <c r="AE13" s="510">
        <f t="shared" si="11"/>
        <v>102.97624994149311</v>
      </c>
      <c r="AF13" s="511">
        <f t="shared" si="15"/>
        <v>0.13656872923004926</v>
      </c>
      <c r="AG13" s="444">
        <v>1458.21</v>
      </c>
      <c r="AH13" s="445">
        <v>1030.8900000000001</v>
      </c>
      <c r="AI13" s="445">
        <v>1387.92</v>
      </c>
      <c r="AJ13" s="445">
        <v>1284.9100000000001</v>
      </c>
      <c r="AK13" s="445">
        <f t="shared" si="5"/>
        <v>427.31999999999994</v>
      </c>
      <c r="AL13" s="445">
        <f t="shared" si="6"/>
        <v>103.00999999999999</v>
      </c>
      <c r="AM13" s="491">
        <f t="shared" si="12"/>
        <v>102.97143030983807</v>
      </c>
      <c r="AN13" s="498">
        <f t="shared" si="16"/>
        <v>0.13485775999251359</v>
      </c>
      <c r="AO13" s="431"/>
      <c r="AR13" s="400"/>
      <c r="AS13" s="400"/>
    </row>
    <row r="14" spans="1:45" ht="14.45" customHeight="1">
      <c r="A14" s="400" t="s">
        <v>587</v>
      </c>
      <c r="B14" s="523" t="s">
        <v>674</v>
      </c>
      <c r="C14" s="523" t="s">
        <v>678</v>
      </c>
      <c r="D14" s="288" t="s">
        <v>160</v>
      </c>
      <c r="E14" s="288" t="s">
        <v>468</v>
      </c>
      <c r="F14" s="288" t="s">
        <v>691</v>
      </c>
      <c r="G14" s="288" t="s">
        <v>692</v>
      </c>
      <c r="H14" s="401">
        <v>23</v>
      </c>
      <c r="I14" s="403">
        <f t="shared" si="17"/>
        <v>1388.0366666666666</v>
      </c>
      <c r="J14" s="404">
        <f t="shared" si="18"/>
        <v>1285.0533333333333</v>
      </c>
      <c r="K14" s="405">
        <f t="shared" si="19"/>
        <v>427.31333333333328</v>
      </c>
      <c r="L14" s="405">
        <f t="shared" si="20"/>
        <v>102.98333333333335</v>
      </c>
      <c r="M14" s="657">
        <f t="shared" si="7"/>
        <v>102.94637970575849</v>
      </c>
      <c r="N14" s="657">
        <f t="shared" si="1"/>
        <v>8.0614340409169601E-3</v>
      </c>
      <c r="O14" s="638">
        <f t="shared" si="13"/>
        <v>0.1259647955442631</v>
      </c>
      <c r="P14" s="639">
        <f t="shared" si="2"/>
        <v>2.8618090845265172E-3</v>
      </c>
      <c r="Q14" s="444">
        <v>1458.3</v>
      </c>
      <c r="R14" s="445">
        <v>1030.98</v>
      </c>
      <c r="S14" s="445">
        <v>1388.07</v>
      </c>
      <c r="T14" s="445">
        <v>1285.07</v>
      </c>
      <c r="U14" s="445">
        <f t="shared" si="8"/>
        <v>427.31999999999994</v>
      </c>
      <c r="V14" s="445">
        <f t="shared" si="9"/>
        <v>103</v>
      </c>
      <c r="W14" s="491">
        <f t="shared" si="10"/>
        <v>102.96143405410467</v>
      </c>
      <c r="X14" s="498">
        <f t="shared" si="14"/>
        <v>0.13130908920715711</v>
      </c>
      <c r="Y14" s="457">
        <v>1458.28</v>
      </c>
      <c r="Z14" s="458">
        <v>1030.97</v>
      </c>
      <c r="AA14" s="458">
        <v>1388.04</v>
      </c>
      <c r="AB14" s="458">
        <v>1285.07</v>
      </c>
      <c r="AC14" s="458">
        <f t="shared" si="3"/>
        <v>427.30999999999995</v>
      </c>
      <c r="AD14" s="458">
        <f t="shared" si="4"/>
        <v>102.97000000000003</v>
      </c>
      <c r="AE14" s="510">
        <f t="shared" si="11"/>
        <v>102.93385411059892</v>
      </c>
      <c r="AF14" s="511">
        <f t="shared" si="15"/>
        <v>0.12151820926261081</v>
      </c>
      <c r="AG14" s="444">
        <v>1458.26</v>
      </c>
      <c r="AH14" s="445">
        <v>1030.95</v>
      </c>
      <c r="AI14" s="445">
        <v>1388</v>
      </c>
      <c r="AJ14" s="445">
        <v>1285.02</v>
      </c>
      <c r="AK14" s="445">
        <f t="shared" si="5"/>
        <v>427.30999999999995</v>
      </c>
      <c r="AL14" s="445">
        <f t="shared" si="6"/>
        <v>102.98000000000002</v>
      </c>
      <c r="AM14" s="491">
        <f t="shared" si="12"/>
        <v>102.94385060026683</v>
      </c>
      <c r="AN14" s="498">
        <f t="shared" si="16"/>
        <v>0.12506696309471721</v>
      </c>
      <c r="AO14" s="431"/>
      <c r="AR14" s="400"/>
      <c r="AS14" s="400"/>
    </row>
    <row r="15" spans="1:45" ht="14.45" customHeight="1">
      <c r="A15" s="400" t="s">
        <v>242</v>
      </c>
      <c r="B15" s="523" t="s">
        <v>674</v>
      </c>
      <c r="C15" s="523" t="s">
        <v>678</v>
      </c>
      <c r="D15" s="288" t="s">
        <v>160</v>
      </c>
      <c r="E15" s="288" t="s">
        <v>468</v>
      </c>
      <c r="F15" s="288" t="s">
        <v>690</v>
      </c>
      <c r="G15" s="288" t="s">
        <v>692</v>
      </c>
      <c r="H15" s="401">
        <v>23.1</v>
      </c>
      <c r="I15" s="403">
        <f t="shared" si="17"/>
        <v>1388.28</v>
      </c>
      <c r="J15" s="404">
        <f t="shared" si="18"/>
        <v>1285.43</v>
      </c>
      <c r="K15" s="405">
        <f t="shared" si="19"/>
        <v>427.30999999999995</v>
      </c>
      <c r="L15" s="405">
        <f t="shared" si="20"/>
        <v>102.84999999999991</v>
      </c>
      <c r="M15" s="657">
        <f t="shared" si="7"/>
        <v>102.81389623458372</v>
      </c>
      <c r="N15" s="657">
        <f t="shared" si="1"/>
        <v>7.1606227761973409E-3</v>
      </c>
      <c r="O15" s="638">
        <f t="shared" si="13"/>
        <v>7.8933163277220331E-2</v>
      </c>
      <c r="P15" s="639">
        <f t="shared" si="2"/>
        <v>2.542021085550425E-3</v>
      </c>
      <c r="Q15" s="444">
        <v>1458.36</v>
      </c>
      <c r="R15" s="445">
        <v>1031.06</v>
      </c>
      <c r="S15" s="445">
        <v>1388.3</v>
      </c>
      <c r="T15" s="445">
        <v>1285.44</v>
      </c>
      <c r="U15" s="445">
        <f t="shared" si="8"/>
        <v>427.29999999999995</v>
      </c>
      <c r="V15" s="445">
        <f t="shared" si="9"/>
        <v>102.8599999999999</v>
      </c>
      <c r="W15" s="491">
        <f t="shared" si="10"/>
        <v>102.82629908729221</v>
      </c>
      <c r="X15" s="498">
        <f t="shared" si="14"/>
        <v>8.3336175988733885E-2</v>
      </c>
      <c r="Y15" s="457">
        <v>1458.35</v>
      </c>
      <c r="Z15" s="458">
        <v>1031.03</v>
      </c>
      <c r="AA15" s="458">
        <v>1388.28</v>
      </c>
      <c r="AB15" s="458">
        <v>1285.44</v>
      </c>
      <c r="AC15" s="458">
        <f t="shared" si="3"/>
        <v>427.31999999999994</v>
      </c>
      <c r="AD15" s="458">
        <f t="shared" si="4"/>
        <v>102.83999999999992</v>
      </c>
      <c r="AE15" s="510">
        <f t="shared" si="11"/>
        <v>102.80149396237006</v>
      </c>
      <c r="AF15" s="511">
        <f t="shared" si="15"/>
        <v>7.4530356641368201E-2</v>
      </c>
      <c r="AG15" s="444">
        <v>1458.33</v>
      </c>
      <c r="AH15" s="445">
        <v>1031.02</v>
      </c>
      <c r="AI15" s="445">
        <v>1388.26</v>
      </c>
      <c r="AJ15" s="445">
        <v>1285.4100000000001</v>
      </c>
      <c r="AK15" s="445">
        <f t="shared" si="5"/>
        <v>427.30999999999995</v>
      </c>
      <c r="AL15" s="445">
        <f t="shared" si="6"/>
        <v>102.84999999999991</v>
      </c>
      <c r="AM15" s="491">
        <f t="shared" si="12"/>
        <v>102.81389623458372</v>
      </c>
      <c r="AN15" s="498">
        <f t="shared" si="16"/>
        <v>7.8933163277220331E-2</v>
      </c>
      <c r="AO15" s="431"/>
    </row>
    <row r="16" spans="1:45" ht="14.45" customHeight="1">
      <c r="A16" s="400" t="s">
        <v>588</v>
      </c>
      <c r="B16" s="523" t="s">
        <v>674</v>
      </c>
      <c r="C16" s="523" t="s">
        <v>678</v>
      </c>
      <c r="D16" s="288" t="s">
        <v>160</v>
      </c>
      <c r="E16" s="288" t="s">
        <v>468</v>
      </c>
      <c r="F16" s="288" t="s">
        <v>691</v>
      </c>
      <c r="G16" s="288" t="s">
        <v>694</v>
      </c>
      <c r="H16" s="401">
        <v>23.8</v>
      </c>
      <c r="I16" s="403">
        <f t="shared" si="17"/>
        <v>1387.62</v>
      </c>
      <c r="J16" s="404">
        <f t="shared" si="18"/>
        <v>1284.4100000000001</v>
      </c>
      <c r="K16" s="405">
        <f t="shared" si="19"/>
        <v>427.30999999999995</v>
      </c>
      <c r="L16" s="405">
        <f t="shared" si="20"/>
        <v>103.20999999999988</v>
      </c>
      <c r="M16" s="657">
        <f t="shared" si="7"/>
        <v>103.17376986262892</v>
      </c>
      <c r="N16" s="657">
        <f t="shared" si="1"/>
        <v>4.3774668813186621E-3</v>
      </c>
      <c r="O16" s="638">
        <f t="shared" si="13"/>
        <v>0.20668830123326387</v>
      </c>
      <c r="P16" s="639">
        <f t="shared" si="2"/>
        <v>1.5540007428665864E-3</v>
      </c>
      <c r="Q16" s="444">
        <v>1458.3</v>
      </c>
      <c r="R16" s="445">
        <v>1031</v>
      </c>
      <c r="S16" s="445">
        <v>1387.61</v>
      </c>
      <c r="T16" s="445">
        <v>1284.4100000000001</v>
      </c>
      <c r="U16" s="445">
        <f t="shared" si="8"/>
        <v>427.29999999999995</v>
      </c>
      <c r="V16" s="445">
        <f t="shared" si="9"/>
        <v>103.19999999999982</v>
      </c>
      <c r="W16" s="491">
        <f t="shared" si="10"/>
        <v>103.16618769014727</v>
      </c>
      <c r="X16" s="498">
        <f t="shared" si="14"/>
        <v>0.20399663000227974</v>
      </c>
      <c r="Y16" s="457">
        <v>1458.3</v>
      </c>
      <c r="Z16" s="458">
        <v>1030.98</v>
      </c>
      <c r="AA16" s="458">
        <v>1387.64</v>
      </c>
      <c r="AB16" s="458">
        <v>1284.42</v>
      </c>
      <c r="AC16" s="458">
        <f t="shared" si="3"/>
        <v>427.31999999999994</v>
      </c>
      <c r="AD16" s="458">
        <f t="shared" si="4"/>
        <v>103.22000000000003</v>
      </c>
      <c r="AE16" s="510">
        <f t="shared" si="11"/>
        <v>103.18135168023967</v>
      </c>
      <c r="AF16" s="511">
        <f t="shared" si="15"/>
        <v>0.20937984648507779</v>
      </c>
      <c r="AG16" s="444">
        <v>1458.3</v>
      </c>
      <c r="AH16" s="445">
        <v>1030.99</v>
      </c>
      <c r="AI16" s="445">
        <v>1387.61</v>
      </c>
      <c r="AJ16" s="445">
        <v>1284.4000000000001</v>
      </c>
      <c r="AK16" s="445">
        <f t="shared" si="5"/>
        <v>427.30999999999995</v>
      </c>
      <c r="AL16" s="445">
        <f t="shared" si="6"/>
        <v>103.20999999999981</v>
      </c>
      <c r="AM16" s="491">
        <f t="shared" si="12"/>
        <v>103.17376986262884</v>
      </c>
      <c r="AN16" s="498">
        <f t="shared" si="16"/>
        <v>0.20668830123323545</v>
      </c>
      <c r="AO16" s="431" t="s">
        <v>589</v>
      </c>
      <c r="AP16" s="400" t="s">
        <v>661</v>
      </c>
      <c r="AQ16" s="400" t="s">
        <v>662</v>
      </c>
    </row>
    <row r="17" spans="1:45" ht="14.45" customHeight="1">
      <c r="A17" s="400" t="s">
        <v>590</v>
      </c>
      <c r="B17" s="523" t="s">
        <v>674</v>
      </c>
      <c r="C17" s="523" t="s">
        <v>678</v>
      </c>
      <c r="D17" s="288" t="s">
        <v>160</v>
      </c>
      <c r="E17" s="288" t="s">
        <v>468</v>
      </c>
      <c r="F17" s="288" t="s">
        <v>691</v>
      </c>
      <c r="G17" s="288" t="s">
        <v>694</v>
      </c>
      <c r="H17" s="401">
        <v>23</v>
      </c>
      <c r="I17" s="403">
        <f t="shared" si="17"/>
        <v>1386.9766666666667</v>
      </c>
      <c r="J17" s="404">
        <f t="shared" si="18"/>
        <v>1283.76</v>
      </c>
      <c r="K17" s="405">
        <f t="shared" si="19"/>
        <v>427.33666666666676</v>
      </c>
      <c r="L17" s="405">
        <f t="shared" si="20"/>
        <v>103.2166666666667</v>
      </c>
      <c r="M17" s="657">
        <f t="shared" si="7"/>
        <v>103.17399552265584</v>
      </c>
      <c r="N17" s="657">
        <f t="shared" si="1"/>
        <v>3.7988246119112809E-3</v>
      </c>
      <c r="O17" s="638">
        <f t="shared" si="13"/>
        <v>0.20676841054282136</v>
      </c>
      <c r="P17" s="639">
        <f t="shared" si="2"/>
        <v>1.3485827372293284E-3</v>
      </c>
      <c r="Q17" s="444">
        <v>1457.72</v>
      </c>
      <c r="R17" s="445">
        <v>1030.3900000000001</v>
      </c>
      <c r="S17" s="445">
        <v>1387</v>
      </c>
      <c r="T17" s="445">
        <v>1283.78</v>
      </c>
      <c r="U17" s="445">
        <f t="shared" si="8"/>
        <v>427.32999999999993</v>
      </c>
      <c r="V17" s="445">
        <f t="shared" si="9"/>
        <v>103.22000000000003</v>
      </c>
      <c r="W17" s="491">
        <f t="shared" si="10"/>
        <v>103.17893712119444</v>
      </c>
      <c r="X17" s="498">
        <f t="shared" si="14"/>
        <v>0.2085226780240248</v>
      </c>
      <c r="Y17" s="457">
        <v>1457.71</v>
      </c>
      <c r="Z17" s="458">
        <v>1030.3699999999999</v>
      </c>
      <c r="AA17" s="458">
        <v>1386.98</v>
      </c>
      <c r="AB17" s="458">
        <v>1283.77</v>
      </c>
      <c r="AC17" s="458">
        <f t="shared" si="3"/>
        <v>427.34000000000015</v>
      </c>
      <c r="AD17" s="458">
        <f t="shared" si="4"/>
        <v>103.21000000000004</v>
      </c>
      <c r="AE17" s="510">
        <f t="shared" si="11"/>
        <v>103.16652688725605</v>
      </c>
      <c r="AF17" s="511">
        <f t="shared" si="15"/>
        <v>0.20411704497589511</v>
      </c>
      <c r="AG17" s="444">
        <v>1457.71</v>
      </c>
      <c r="AH17" s="445">
        <v>1030.3699999999999</v>
      </c>
      <c r="AI17" s="445">
        <v>1386.95</v>
      </c>
      <c r="AJ17" s="445">
        <v>1283.73</v>
      </c>
      <c r="AK17" s="445">
        <f t="shared" si="5"/>
        <v>427.34000000000015</v>
      </c>
      <c r="AL17" s="445">
        <f t="shared" si="6"/>
        <v>103.22000000000003</v>
      </c>
      <c r="AM17" s="491">
        <f t="shared" si="12"/>
        <v>103.17652267515327</v>
      </c>
      <c r="AN17" s="498">
        <f t="shared" si="16"/>
        <v>0.20766554967940465</v>
      </c>
      <c r="AO17" s="431" t="s">
        <v>589</v>
      </c>
      <c r="AP17" s="400" t="s">
        <v>661</v>
      </c>
      <c r="AQ17" s="400" t="s">
        <v>662</v>
      </c>
    </row>
    <row r="18" spans="1:45" ht="14.45" customHeight="1">
      <c r="A18" s="400" t="s">
        <v>591</v>
      </c>
      <c r="B18" s="523" t="s">
        <v>674</v>
      </c>
      <c r="C18" s="523" t="s">
        <v>678</v>
      </c>
      <c r="D18" s="288" t="s">
        <v>160</v>
      </c>
      <c r="E18" s="288" t="s">
        <v>468</v>
      </c>
      <c r="F18" s="288" t="s">
        <v>691</v>
      </c>
      <c r="G18" s="288" t="s">
        <v>694</v>
      </c>
      <c r="H18" s="401">
        <v>23</v>
      </c>
      <c r="I18" s="403">
        <f t="shared" si="17"/>
        <v>1386.8966666666668</v>
      </c>
      <c r="J18" s="404">
        <f t="shared" si="18"/>
        <v>1283.6833333333334</v>
      </c>
      <c r="K18" s="405">
        <f t="shared" si="19"/>
        <v>427.32999999999993</v>
      </c>
      <c r="L18" s="405">
        <f t="shared" si="20"/>
        <v>103.21333333333337</v>
      </c>
      <c r="M18" s="657">
        <f t="shared" si="7"/>
        <v>103.17227310665456</v>
      </c>
      <c r="N18" s="657">
        <f t="shared" si="1"/>
        <v>5.5012417122054548E-3</v>
      </c>
      <c r="O18" s="638">
        <f t="shared" si="13"/>
        <v>0.20615695286236502</v>
      </c>
      <c r="P18" s="639">
        <f t="shared" si="2"/>
        <v>1.9529408078344317E-3</v>
      </c>
      <c r="Q18" s="444">
        <v>1457.73</v>
      </c>
      <c r="R18" s="445">
        <v>1030.4000000000001</v>
      </c>
      <c r="S18" s="445">
        <v>1386.9</v>
      </c>
      <c r="T18" s="445">
        <v>1283.68</v>
      </c>
      <c r="U18" s="445">
        <f t="shared" si="8"/>
        <v>427.32999999999993</v>
      </c>
      <c r="V18" s="445">
        <f t="shared" si="9"/>
        <v>103.22000000000003</v>
      </c>
      <c r="W18" s="491">
        <f t="shared" si="10"/>
        <v>103.17893712119444</v>
      </c>
      <c r="X18" s="498">
        <f t="shared" si="14"/>
        <v>0.2085226780240248</v>
      </c>
      <c r="Y18" s="457">
        <v>1457.72</v>
      </c>
      <c r="Z18" s="458">
        <v>1030.4000000000001</v>
      </c>
      <c r="AA18" s="458">
        <v>1386.89</v>
      </c>
      <c r="AB18" s="458">
        <v>1283.69</v>
      </c>
      <c r="AC18" s="458">
        <f t="shared" si="3"/>
        <v>427.31999999999994</v>
      </c>
      <c r="AD18" s="458">
        <f t="shared" si="4"/>
        <v>103.20000000000005</v>
      </c>
      <c r="AE18" s="510">
        <f t="shared" si="11"/>
        <v>103.16135916877288</v>
      </c>
      <c r="AF18" s="511">
        <f t="shared" si="15"/>
        <v>0.20228250491436484</v>
      </c>
      <c r="AG18" s="444">
        <v>1457.74</v>
      </c>
      <c r="AH18" s="445">
        <v>1030.4000000000001</v>
      </c>
      <c r="AI18" s="445">
        <v>1386.9</v>
      </c>
      <c r="AJ18" s="445">
        <v>1283.68</v>
      </c>
      <c r="AK18" s="445">
        <f t="shared" si="5"/>
        <v>427.33999999999992</v>
      </c>
      <c r="AL18" s="445">
        <f t="shared" si="6"/>
        <v>103.22000000000003</v>
      </c>
      <c r="AM18" s="491">
        <f t="shared" si="12"/>
        <v>103.17652267515332</v>
      </c>
      <c r="AN18" s="498">
        <f t="shared" si="16"/>
        <v>0.20766554967942596</v>
      </c>
      <c r="AO18" s="431" t="s">
        <v>589</v>
      </c>
      <c r="AP18" s="400" t="s">
        <v>661</v>
      </c>
      <c r="AQ18" s="400" t="s">
        <v>662</v>
      </c>
    </row>
    <row r="19" spans="1:45" ht="14.45" customHeight="1">
      <c r="A19" s="400" t="s">
        <v>592</v>
      </c>
      <c r="B19" s="523" t="s">
        <v>674</v>
      </c>
      <c r="C19" s="523" t="s">
        <v>678</v>
      </c>
      <c r="D19" s="288" t="s">
        <v>160</v>
      </c>
      <c r="E19" s="288" t="s">
        <v>468</v>
      </c>
      <c r="F19" s="288" t="s">
        <v>691</v>
      </c>
      <c r="G19" s="288" t="s">
        <v>694</v>
      </c>
      <c r="H19" s="401">
        <v>23</v>
      </c>
      <c r="I19" s="403">
        <f t="shared" si="17"/>
        <v>1386.9433333333334</v>
      </c>
      <c r="J19" s="404">
        <f t="shared" si="18"/>
        <v>1283.74</v>
      </c>
      <c r="K19" s="405">
        <f t="shared" si="19"/>
        <v>427.33666666666659</v>
      </c>
      <c r="L19" s="405">
        <f t="shared" si="20"/>
        <v>103.20333333333338</v>
      </c>
      <c r="M19" s="657">
        <f t="shared" si="7"/>
        <v>103.16066770150006</v>
      </c>
      <c r="N19" s="657">
        <f t="shared" si="1"/>
        <v>1.1234152050566085E-2</v>
      </c>
      <c r="O19" s="638">
        <f t="shared" si="13"/>
        <v>0.20203703403251438</v>
      </c>
      <c r="P19" s="639">
        <f t="shared" si="2"/>
        <v>3.9881239779508866E-3</v>
      </c>
      <c r="Q19" s="444">
        <v>1457.77</v>
      </c>
      <c r="R19" s="445">
        <v>1030.43</v>
      </c>
      <c r="S19" s="445">
        <v>1386.96</v>
      </c>
      <c r="T19" s="445">
        <v>1283.74</v>
      </c>
      <c r="U19" s="445">
        <f t="shared" si="8"/>
        <v>427.33999999999992</v>
      </c>
      <c r="V19" s="445">
        <f t="shared" si="9"/>
        <v>103.22000000000003</v>
      </c>
      <c r="W19" s="491">
        <f t="shared" si="10"/>
        <v>103.17652267515332</v>
      </c>
      <c r="X19" s="498">
        <f t="shared" si="14"/>
        <v>0.20766554967942596</v>
      </c>
      <c r="Y19" s="457">
        <v>1457.76</v>
      </c>
      <c r="Z19" s="458">
        <v>1030.43</v>
      </c>
      <c r="AA19" s="458">
        <v>1386.91</v>
      </c>
      <c r="AB19" s="458">
        <v>1283.73</v>
      </c>
      <c r="AC19" s="458">
        <f t="shared" si="3"/>
        <v>427.32999999999993</v>
      </c>
      <c r="AD19" s="458">
        <f t="shared" si="4"/>
        <v>103.18000000000006</v>
      </c>
      <c r="AE19" s="510">
        <f t="shared" si="11"/>
        <v>103.1389530339551</v>
      </c>
      <c r="AF19" s="511">
        <f t="shared" si="15"/>
        <v>0.194328327054059</v>
      </c>
      <c r="AG19" s="444">
        <v>1457.76</v>
      </c>
      <c r="AH19" s="445">
        <v>1030.42</v>
      </c>
      <c r="AI19" s="445">
        <v>1386.96</v>
      </c>
      <c r="AJ19" s="445">
        <v>1283.75</v>
      </c>
      <c r="AK19" s="445">
        <f t="shared" si="5"/>
        <v>427.33999999999992</v>
      </c>
      <c r="AL19" s="445">
        <f t="shared" si="6"/>
        <v>103.21000000000004</v>
      </c>
      <c r="AM19" s="491">
        <f t="shared" si="12"/>
        <v>103.16652688725611</v>
      </c>
      <c r="AN19" s="498">
        <f t="shared" si="16"/>
        <v>0.20411704497591643</v>
      </c>
      <c r="AO19" s="431" t="s">
        <v>589</v>
      </c>
      <c r="AP19" s="400" t="s">
        <v>661</v>
      </c>
      <c r="AQ19" s="400" t="s">
        <v>662</v>
      </c>
    </row>
    <row r="20" spans="1:45" s="409" customFormat="1" ht="14.45" customHeight="1">
      <c r="A20" s="410" t="s">
        <v>243</v>
      </c>
      <c r="B20" s="524" t="s">
        <v>674</v>
      </c>
      <c r="C20" s="524" t="s">
        <v>678</v>
      </c>
      <c r="D20" s="525" t="s">
        <v>160</v>
      </c>
      <c r="E20" s="525" t="s">
        <v>468</v>
      </c>
      <c r="F20" s="288" t="s">
        <v>405</v>
      </c>
      <c r="G20" s="525" t="s">
        <v>692</v>
      </c>
      <c r="H20" s="411">
        <v>23</v>
      </c>
      <c r="I20" s="408" t="s">
        <v>419</v>
      </c>
      <c r="J20" s="406" t="s">
        <v>419</v>
      </c>
      <c r="K20" s="406" t="s">
        <v>419</v>
      </c>
      <c r="L20" s="406" t="s">
        <v>419</v>
      </c>
      <c r="M20" s="658" t="s">
        <v>419</v>
      </c>
      <c r="N20" s="658" t="s">
        <v>419</v>
      </c>
      <c r="O20" s="640" t="s">
        <v>419</v>
      </c>
      <c r="P20" s="641" t="s">
        <v>419</v>
      </c>
      <c r="Q20" s="446" t="s">
        <v>419</v>
      </c>
      <c r="R20" s="447" t="s">
        <v>419</v>
      </c>
      <c r="S20" s="447" t="s">
        <v>419</v>
      </c>
      <c r="T20" s="447" t="s">
        <v>419</v>
      </c>
      <c r="U20" s="447" t="s">
        <v>419</v>
      </c>
      <c r="V20" s="447" t="s">
        <v>419</v>
      </c>
      <c r="W20" s="447" t="s">
        <v>419</v>
      </c>
      <c r="X20" s="499" t="s">
        <v>419</v>
      </c>
      <c r="Y20" s="459" t="s">
        <v>419</v>
      </c>
      <c r="Z20" s="460" t="s">
        <v>419</v>
      </c>
      <c r="AA20" s="460" t="s">
        <v>419</v>
      </c>
      <c r="AB20" s="460" t="s">
        <v>419</v>
      </c>
      <c r="AC20" s="460" t="s">
        <v>419</v>
      </c>
      <c r="AD20" s="460" t="s">
        <v>419</v>
      </c>
      <c r="AE20" s="460" t="s">
        <v>419</v>
      </c>
      <c r="AF20" s="512" t="s">
        <v>419</v>
      </c>
      <c r="AG20" s="446" t="s">
        <v>419</v>
      </c>
      <c r="AH20" s="447" t="s">
        <v>419</v>
      </c>
      <c r="AI20" s="447" t="s">
        <v>419</v>
      </c>
      <c r="AJ20" s="447" t="s">
        <v>419</v>
      </c>
      <c r="AK20" s="447" t="s">
        <v>419</v>
      </c>
      <c r="AL20" s="447" t="s">
        <v>419</v>
      </c>
      <c r="AM20" s="447" t="s">
        <v>419</v>
      </c>
      <c r="AN20" s="499" t="s">
        <v>419</v>
      </c>
      <c r="AO20" s="434" t="s">
        <v>593</v>
      </c>
      <c r="AP20" s="410"/>
      <c r="AQ20" s="410"/>
    </row>
    <row r="21" spans="1:45" ht="14.45" customHeight="1">
      <c r="A21" s="400" t="s">
        <v>244</v>
      </c>
      <c r="B21" s="523" t="s">
        <v>674</v>
      </c>
      <c r="C21" s="523" t="s">
        <v>678</v>
      </c>
      <c r="D21" s="288" t="s">
        <v>160</v>
      </c>
      <c r="E21" s="288" t="s">
        <v>468</v>
      </c>
      <c r="F21" s="288" t="s">
        <v>405</v>
      </c>
      <c r="G21" s="288" t="s">
        <v>692</v>
      </c>
      <c r="H21" s="401">
        <v>23.1</v>
      </c>
      <c r="I21" s="403">
        <f t="shared" ref="I21:J23" si="21">(S21+AA21+AI21)/3</f>
        <v>1387.6866666666665</v>
      </c>
      <c r="J21" s="404">
        <f t="shared" si="21"/>
        <v>1284.71</v>
      </c>
      <c r="K21" s="405">
        <f t="shared" ref="K21:L23" si="22">AVERAGE(AC21,AK21,U21)</f>
        <v>427.33333333333348</v>
      </c>
      <c r="L21" s="405">
        <f t="shared" si="22"/>
        <v>102.97666666666669</v>
      </c>
      <c r="M21" s="657">
        <f t="shared" ref="M21:M38" si="23">(427.16/K21)*L21</f>
        <v>102.93489765990638</v>
      </c>
      <c r="N21" s="657">
        <f t="shared" si="1"/>
        <v>7.0995770945505871E-3</v>
      </c>
      <c r="O21" s="638">
        <f t="shared" ref="O21:O38" si="24">-36.42+(0.355*M21)</f>
        <v>0.12188866926675956</v>
      </c>
      <c r="P21" s="639">
        <f t="shared" si="2"/>
        <v>2.5203498685670983E-3</v>
      </c>
      <c r="Q21" s="444">
        <v>1457.93</v>
      </c>
      <c r="R21" s="445">
        <v>1030.5999999999999</v>
      </c>
      <c r="S21" s="445">
        <v>1387.68</v>
      </c>
      <c r="T21" s="445">
        <v>1284.71</v>
      </c>
      <c r="U21" s="445">
        <f t="shared" ref="U21:U38" si="25">Q21-R21</f>
        <v>427.33000000000015</v>
      </c>
      <c r="V21" s="445">
        <f t="shared" ref="V21:V38" si="26">S21-T21</f>
        <v>102.97000000000003</v>
      </c>
      <c r="W21" s="491">
        <f t="shared" si="10"/>
        <v>102.92903657594833</v>
      </c>
      <c r="X21" s="498">
        <f t="shared" si="14"/>
        <v>0.11980798446165153</v>
      </c>
      <c r="Y21" s="457">
        <v>1457.93</v>
      </c>
      <c r="Z21" s="458">
        <v>1030.5999999999999</v>
      </c>
      <c r="AA21" s="458">
        <v>1387.69</v>
      </c>
      <c r="AB21" s="458">
        <v>1284.7</v>
      </c>
      <c r="AC21" s="458">
        <f t="shared" ref="AC21:AC38" si="27">Y21-Z21</f>
        <v>427.33000000000015</v>
      </c>
      <c r="AD21" s="458">
        <f t="shared" ref="AD21:AD38" si="28">AA21-AB21</f>
        <v>102.99000000000001</v>
      </c>
      <c r="AE21" s="510">
        <f t="shared" si="11"/>
        <v>102.949028619568</v>
      </c>
      <c r="AF21" s="511">
        <f t="shared" si="15"/>
        <v>0.12690515994663798</v>
      </c>
      <c r="AG21" s="444">
        <v>1457.92</v>
      </c>
      <c r="AH21" s="445">
        <v>1030.58</v>
      </c>
      <c r="AI21" s="445">
        <v>1387.69</v>
      </c>
      <c r="AJ21" s="445">
        <v>1284.72</v>
      </c>
      <c r="AK21" s="445">
        <f t="shared" ref="AK21:AK38" si="29">AG21-AH21</f>
        <v>427.34000000000015</v>
      </c>
      <c r="AL21" s="445">
        <f t="shared" ref="AL21:AL38" si="30">AI21-AJ21</f>
        <v>102.97000000000003</v>
      </c>
      <c r="AM21" s="491">
        <f t="shared" si="12"/>
        <v>102.92662797772266</v>
      </c>
      <c r="AN21" s="498">
        <f t="shared" si="16"/>
        <v>0.11895293209153834</v>
      </c>
      <c r="AO21" s="431"/>
      <c r="AP21" s="400"/>
      <c r="AQ21" s="400"/>
    </row>
    <row r="22" spans="1:45" ht="14.45" customHeight="1">
      <c r="A22" s="400" t="s">
        <v>245</v>
      </c>
      <c r="B22" s="523" t="s">
        <v>674</v>
      </c>
      <c r="C22" s="523" t="s">
        <v>678</v>
      </c>
      <c r="D22" s="288" t="s">
        <v>160</v>
      </c>
      <c r="E22" s="288" t="s">
        <v>468</v>
      </c>
      <c r="F22" s="288" t="s">
        <v>405</v>
      </c>
      <c r="G22" s="288" t="s">
        <v>692</v>
      </c>
      <c r="H22" s="401">
        <v>23.1</v>
      </c>
      <c r="I22" s="403">
        <f t="shared" si="21"/>
        <v>1387.7633333333333</v>
      </c>
      <c r="J22" s="404">
        <f t="shared" si="21"/>
        <v>1284.8266666666666</v>
      </c>
      <c r="K22" s="405">
        <f t="shared" si="22"/>
        <v>427.32666666666665</v>
      </c>
      <c r="L22" s="405">
        <f t="shared" si="22"/>
        <v>102.93666666666672</v>
      </c>
      <c r="M22" s="657">
        <f t="shared" si="23"/>
        <v>102.89651913446394</v>
      </c>
      <c r="N22" s="657">
        <f t="shared" si="1"/>
        <v>6.3011713350214684E-3</v>
      </c>
      <c r="O22" s="638">
        <f t="shared" si="24"/>
        <v>0.10826429273469529</v>
      </c>
      <c r="P22" s="639">
        <f t="shared" si="2"/>
        <v>2.2369158239324543E-3</v>
      </c>
      <c r="Q22" s="444">
        <v>1457.96</v>
      </c>
      <c r="R22" s="445">
        <v>1030.6300000000001</v>
      </c>
      <c r="S22" s="445">
        <v>1387.77</v>
      </c>
      <c r="T22" s="445">
        <v>1284.8399999999999</v>
      </c>
      <c r="U22" s="445">
        <f t="shared" si="25"/>
        <v>427.32999999999993</v>
      </c>
      <c r="V22" s="445">
        <f t="shared" si="26"/>
        <v>102.93000000000006</v>
      </c>
      <c r="W22" s="491">
        <f t="shared" si="10"/>
        <v>102.88905248870904</v>
      </c>
      <c r="X22" s="498">
        <f t="shared" si="14"/>
        <v>0.10561363349170705</v>
      </c>
      <c r="Y22" s="457">
        <v>1457.95</v>
      </c>
      <c r="Z22" s="458">
        <v>1030.6300000000001</v>
      </c>
      <c r="AA22" s="458">
        <v>1387.76</v>
      </c>
      <c r="AB22" s="458">
        <v>1284.83</v>
      </c>
      <c r="AC22" s="458">
        <f t="shared" si="27"/>
        <v>427.31999999999994</v>
      </c>
      <c r="AD22" s="458">
        <f t="shared" si="28"/>
        <v>102.93000000000006</v>
      </c>
      <c r="AE22" s="510">
        <f t="shared" si="11"/>
        <v>102.89146026397087</v>
      </c>
      <c r="AF22" s="511">
        <f t="shared" si="15"/>
        <v>0.10646839370965466</v>
      </c>
      <c r="AG22" s="444">
        <v>1457.95</v>
      </c>
      <c r="AH22" s="445">
        <v>1030.6199999999999</v>
      </c>
      <c r="AI22" s="445">
        <v>1387.76</v>
      </c>
      <c r="AJ22" s="445">
        <v>1284.81</v>
      </c>
      <c r="AK22" s="445">
        <f t="shared" si="29"/>
        <v>427.33000000000015</v>
      </c>
      <c r="AL22" s="445">
        <f t="shared" si="30"/>
        <v>102.95000000000005</v>
      </c>
      <c r="AM22" s="491">
        <f t="shared" si="12"/>
        <v>102.90904453232866</v>
      </c>
      <c r="AN22" s="498">
        <f t="shared" si="16"/>
        <v>0.11271080897667218</v>
      </c>
      <c r="AO22" s="431"/>
      <c r="AP22" s="400"/>
      <c r="AQ22" s="400"/>
    </row>
    <row r="23" spans="1:45" ht="14.45" customHeight="1">
      <c r="A23" s="400" t="s">
        <v>594</v>
      </c>
      <c r="B23" s="523" t="s">
        <v>674</v>
      </c>
      <c r="C23" s="523" t="s">
        <v>678</v>
      </c>
      <c r="D23" s="288" t="s">
        <v>160</v>
      </c>
      <c r="E23" s="288" t="s">
        <v>468</v>
      </c>
      <c r="F23" s="288" t="s">
        <v>691</v>
      </c>
      <c r="G23" s="288" t="s">
        <v>694</v>
      </c>
      <c r="H23" s="401">
        <v>23.1</v>
      </c>
      <c r="I23" s="403">
        <f t="shared" si="21"/>
        <v>1387.1533333333336</v>
      </c>
      <c r="J23" s="404">
        <f t="shared" si="21"/>
        <v>1283.8666666666666</v>
      </c>
      <c r="K23" s="405">
        <f t="shared" si="22"/>
        <v>427.31333333333328</v>
      </c>
      <c r="L23" s="405">
        <f t="shared" si="22"/>
        <v>103.28666666666679</v>
      </c>
      <c r="M23" s="657">
        <f t="shared" si="23"/>
        <v>103.24960419364415</v>
      </c>
      <c r="N23" s="657">
        <f t="shared" si="1"/>
        <v>4.366407855290644E-3</v>
      </c>
      <c r="O23" s="638">
        <f t="shared" si="24"/>
        <v>0.23360948874366727</v>
      </c>
      <c r="P23" s="639">
        <f t="shared" si="2"/>
        <v>1.5500747886282157E-3</v>
      </c>
      <c r="Q23" s="444">
        <v>1457.98</v>
      </c>
      <c r="R23" s="445">
        <v>1030.6600000000001</v>
      </c>
      <c r="S23" s="445">
        <v>1387.16</v>
      </c>
      <c r="T23" s="445">
        <v>1283.8800000000001</v>
      </c>
      <c r="U23" s="445">
        <f t="shared" si="25"/>
        <v>427.31999999999994</v>
      </c>
      <c r="V23" s="445">
        <f t="shared" si="26"/>
        <v>103.27999999999997</v>
      </c>
      <c r="W23" s="491">
        <f t="shared" si="10"/>
        <v>103.24132921464007</v>
      </c>
      <c r="X23" s="498">
        <f t="shared" si="14"/>
        <v>0.23067187119722377</v>
      </c>
      <c r="Y23" s="457">
        <v>1457.97</v>
      </c>
      <c r="Z23" s="458">
        <v>1030.6500000000001</v>
      </c>
      <c r="AA23" s="458">
        <v>1387.15</v>
      </c>
      <c r="AB23" s="458">
        <v>1283.8599999999999</v>
      </c>
      <c r="AC23" s="458">
        <f t="shared" si="27"/>
        <v>427.31999999999994</v>
      </c>
      <c r="AD23" s="458">
        <f t="shared" si="28"/>
        <v>103.29000000000019</v>
      </c>
      <c r="AE23" s="510">
        <f t="shared" si="11"/>
        <v>103.2513254703737</v>
      </c>
      <c r="AF23" s="511">
        <f t="shared" si="15"/>
        <v>0.2342205419826584</v>
      </c>
      <c r="AG23" s="444">
        <v>1457.96</v>
      </c>
      <c r="AH23" s="445">
        <v>1030.6600000000001</v>
      </c>
      <c r="AI23" s="445">
        <v>1387.15</v>
      </c>
      <c r="AJ23" s="445">
        <v>1283.8599999999999</v>
      </c>
      <c r="AK23" s="445">
        <f t="shared" si="29"/>
        <v>427.29999999999995</v>
      </c>
      <c r="AL23" s="445">
        <f t="shared" si="30"/>
        <v>103.29000000000019</v>
      </c>
      <c r="AM23" s="491">
        <f t="shared" si="12"/>
        <v>103.25615820266812</v>
      </c>
      <c r="AN23" s="498">
        <f t="shared" si="16"/>
        <v>0.23593616194717981</v>
      </c>
      <c r="AO23" s="431"/>
      <c r="AP23" s="400"/>
      <c r="AQ23" s="400"/>
    </row>
    <row r="24" spans="1:45" s="409" customFormat="1" ht="14.45" customHeight="1">
      <c r="A24" s="406" t="s">
        <v>246</v>
      </c>
      <c r="B24" s="524" t="s">
        <v>674</v>
      </c>
      <c r="C24" s="524" t="s">
        <v>678</v>
      </c>
      <c r="D24" s="525" t="s">
        <v>160</v>
      </c>
      <c r="E24" s="525" t="s">
        <v>468</v>
      </c>
      <c r="F24" s="288" t="s">
        <v>405</v>
      </c>
      <c r="G24" s="525" t="s">
        <v>692</v>
      </c>
      <c r="H24" s="407">
        <v>23.1</v>
      </c>
      <c r="I24" s="408" t="s">
        <v>419</v>
      </c>
      <c r="J24" s="406" t="s">
        <v>419</v>
      </c>
      <c r="K24" s="406" t="s">
        <v>419</v>
      </c>
      <c r="L24" s="406" t="s">
        <v>419</v>
      </c>
      <c r="M24" s="658" t="s">
        <v>419</v>
      </c>
      <c r="N24" s="658" t="s">
        <v>419</v>
      </c>
      <c r="O24" s="640" t="s">
        <v>419</v>
      </c>
      <c r="P24" s="641" t="s">
        <v>419</v>
      </c>
      <c r="Q24" s="446" t="s">
        <v>419</v>
      </c>
      <c r="R24" s="447" t="s">
        <v>419</v>
      </c>
      <c r="S24" s="447" t="s">
        <v>419</v>
      </c>
      <c r="T24" s="447" t="s">
        <v>419</v>
      </c>
      <c r="U24" s="447" t="s">
        <v>419</v>
      </c>
      <c r="V24" s="447" t="s">
        <v>419</v>
      </c>
      <c r="W24" s="447" t="s">
        <v>419</v>
      </c>
      <c r="X24" s="499" t="s">
        <v>419</v>
      </c>
      <c r="Y24" s="459" t="s">
        <v>419</v>
      </c>
      <c r="Z24" s="460" t="s">
        <v>419</v>
      </c>
      <c r="AA24" s="460" t="s">
        <v>419</v>
      </c>
      <c r="AB24" s="460" t="s">
        <v>419</v>
      </c>
      <c r="AC24" s="460" t="s">
        <v>419</v>
      </c>
      <c r="AD24" s="460" t="s">
        <v>419</v>
      </c>
      <c r="AE24" s="460" t="s">
        <v>419</v>
      </c>
      <c r="AF24" s="512" t="s">
        <v>419</v>
      </c>
      <c r="AG24" s="446" t="s">
        <v>419</v>
      </c>
      <c r="AH24" s="447" t="s">
        <v>419</v>
      </c>
      <c r="AI24" s="447" t="s">
        <v>419</v>
      </c>
      <c r="AJ24" s="447" t="s">
        <v>419</v>
      </c>
      <c r="AK24" s="447" t="s">
        <v>419</v>
      </c>
      <c r="AL24" s="447" t="s">
        <v>419</v>
      </c>
      <c r="AM24" s="447" t="s">
        <v>419</v>
      </c>
      <c r="AN24" s="499" t="s">
        <v>419</v>
      </c>
      <c r="AO24" s="432" t="s">
        <v>593</v>
      </c>
      <c r="AP24" s="406"/>
      <c r="AQ24" s="406"/>
      <c r="AR24" s="406"/>
      <c r="AS24" s="406"/>
    </row>
    <row r="25" spans="1:45" ht="14.45" customHeight="1">
      <c r="A25" s="400" t="s">
        <v>247</v>
      </c>
      <c r="B25" s="523" t="s">
        <v>674</v>
      </c>
      <c r="C25" s="523" t="s">
        <v>678</v>
      </c>
      <c r="D25" s="288" t="s">
        <v>160</v>
      </c>
      <c r="E25" s="288" t="s">
        <v>468</v>
      </c>
      <c r="F25" s="288" t="s">
        <v>405</v>
      </c>
      <c r="G25" s="288" t="s">
        <v>692</v>
      </c>
      <c r="H25" s="401">
        <v>23.3</v>
      </c>
      <c r="I25" s="403">
        <f t="shared" ref="I25:J32" si="31">(S25+AA25+AI25)/3</f>
        <v>1388.16</v>
      </c>
      <c r="J25" s="404">
        <f t="shared" si="31"/>
        <v>1285.4466666666667</v>
      </c>
      <c r="K25" s="405">
        <f t="shared" ref="K25:L32" si="32">AVERAGE(AC25,AK25,U25)</f>
        <v>427.30999999999995</v>
      </c>
      <c r="L25" s="405">
        <f t="shared" si="32"/>
        <v>102.71333333333337</v>
      </c>
      <c r="M25" s="657">
        <f t="shared" si="23"/>
        <v>102.67727754245557</v>
      </c>
      <c r="N25" s="657">
        <f t="shared" si="1"/>
        <v>3.3321632226375191E-3</v>
      </c>
      <c r="O25" s="638">
        <f t="shared" si="24"/>
        <v>3.0433527571723573E-2</v>
      </c>
      <c r="P25" s="639">
        <f t="shared" si="2"/>
        <v>1.1829179440354665E-3</v>
      </c>
      <c r="Q25" s="444">
        <v>1458</v>
      </c>
      <c r="R25" s="445">
        <v>1030.69</v>
      </c>
      <c r="S25" s="445">
        <v>1388.16</v>
      </c>
      <c r="T25" s="445">
        <v>1285.45</v>
      </c>
      <c r="U25" s="445">
        <f t="shared" si="25"/>
        <v>427.30999999999995</v>
      </c>
      <c r="V25" s="445">
        <f t="shared" si="26"/>
        <v>102.71000000000004</v>
      </c>
      <c r="W25" s="491">
        <f t="shared" si="10"/>
        <v>102.67394537923293</v>
      </c>
      <c r="X25" s="498">
        <f t="shared" si="14"/>
        <v>2.9250609627688107E-2</v>
      </c>
      <c r="Y25" s="457">
        <v>1458.01</v>
      </c>
      <c r="Z25" s="458">
        <v>1030.7</v>
      </c>
      <c r="AA25" s="458">
        <v>1388.16</v>
      </c>
      <c r="AB25" s="458">
        <v>1285.45</v>
      </c>
      <c r="AC25" s="458">
        <f t="shared" si="27"/>
        <v>427.30999999999995</v>
      </c>
      <c r="AD25" s="458">
        <f t="shared" si="28"/>
        <v>102.71000000000004</v>
      </c>
      <c r="AE25" s="510">
        <f t="shared" si="11"/>
        <v>102.67394537923293</v>
      </c>
      <c r="AF25" s="511">
        <f t="shared" si="15"/>
        <v>2.9250609627688107E-2</v>
      </c>
      <c r="AG25" s="444">
        <v>1458.01</v>
      </c>
      <c r="AH25" s="445">
        <v>1030.7</v>
      </c>
      <c r="AI25" s="445">
        <v>1388.16</v>
      </c>
      <c r="AJ25" s="445">
        <v>1285.44</v>
      </c>
      <c r="AK25" s="445">
        <f t="shared" si="29"/>
        <v>427.30999999999995</v>
      </c>
      <c r="AL25" s="445">
        <f t="shared" si="30"/>
        <v>102.72000000000003</v>
      </c>
      <c r="AM25" s="491">
        <f t="shared" si="12"/>
        <v>102.68394186890085</v>
      </c>
      <c r="AN25" s="498">
        <f t="shared" si="16"/>
        <v>3.2799363459794506E-2</v>
      </c>
      <c r="AO25" s="431"/>
    </row>
    <row r="26" spans="1:45" ht="14.45" customHeight="1">
      <c r="A26" s="400" t="s">
        <v>248</v>
      </c>
      <c r="B26" s="523" t="s">
        <v>674</v>
      </c>
      <c r="C26" s="523" t="s">
        <v>678</v>
      </c>
      <c r="D26" s="288" t="s">
        <v>160</v>
      </c>
      <c r="E26" s="288" t="s">
        <v>468</v>
      </c>
      <c r="F26" s="288" t="s">
        <v>690</v>
      </c>
      <c r="G26" s="288" t="s">
        <v>692</v>
      </c>
      <c r="H26" s="401">
        <v>23.4</v>
      </c>
      <c r="I26" s="403">
        <f t="shared" si="31"/>
        <v>1387.9566666666667</v>
      </c>
      <c r="J26" s="404">
        <f t="shared" si="31"/>
        <v>1285.0866666666668</v>
      </c>
      <c r="K26" s="405">
        <f t="shared" si="32"/>
        <v>427.30999999999995</v>
      </c>
      <c r="L26" s="405">
        <f t="shared" si="32"/>
        <v>102.87000000000005</v>
      </c>
      <c r="M26" s="657">
        <f t="shared" si="23"/>
        <v>102.8338892139197</v>
      </c>
      <c r="N26" s="657">
        <f t="shared" si="1"/>
        <v>5.7714760007862645E-3</v>
      </c>
      <c r="O26" s="638">
        <f t="shared" si="24"/>
        <v>8.6030670941489973E-2</v>
      </c>
      <c r="P26" s="639">
        <f t="shared" si="2"/>
        <v>2.0488739802789597E-3</v>
      </c>
      <c r="Q26" s="444">
        <v>1458.04</v>
      </c>
      <c r="R26" s="445">
        <v>1030.73</v>
      </c>
      <c r="S26" s="445">
        <v>1387.99</v>
      </c>
      <c r="T26" s="445">
        <v>1285.1300000000001</v>
      </c>
      <c r="U26" s="445">
        <f t="shared" si="25"/>
        <v>427.30999999999995</v>
      </c>
      <c r="V26" s="445">
        <f t="shared" si="26"/>
        <v>102.8599999999999</v>
      </c>
      <c r="W26" s="491">
        <f t="shared" si="10"/>
        <v>102.82389272425164</v>
      </c>
      <c r="X26" s="498">
        <f t="shared" si="14"/>
        <v>8.248191710932673E-2</v>
      </c>
      <c r="Y26" s="457">
        <v>1458.04</v>
      </c>
      <c r="Z26" s="458">
        <v>1030.73</v>
      </c>
      <c r="AA26" s="458">
        <v>1387.96</v>
      </c>
      <c r="AB26" s="458">
        <v>1285.08</v>
      </c>
      <c r="AC26" s="458">
        <f t="shared" si="27"/>
        <v>427.30999999999995</v>
      </c>
      <c r="AD26" s="458">
        <f t="shared" si="28"/>
        <v>102.88000000000011</v>
      </c>
      <c r="AE26" s="510">
        <f t="shared" si="11"/>
        <v>102.84388570358769</v>
      </c>
      <c r="AF26" s="511">
        <f t="shared" si="15"/>
        <v>8.9579424773624794E-2</v>
      </c>
      <c r="AG26" s="444">
        <v>1458.04</v>
      </c>
      <c r="AH26" s="445">
        <v>1030.73</v>
      </c>
      <c r="AI26" s="445">
        <v>1387.92</v>
      </c>
      <c r="AJ26" s="445">
        <v>1285.05</v>
      </c>
      <c r="AK26" s="445">
        <f t="shared" si="29"/>
        <v>427.30999999999995</v>
      </c>
      <c r="AL26" s="445">
        <f t="shared" si="30"/>
        <v>102.87000000000012</v>
      </c>
      <c r="AM26" s="491">
        <f t="shared" si="12"/>
        <v>102.83388921391978</v>
      </c>
      <c r="AN26" s="498">
        <f t="shared" si="16"/>
        <v>8.6030670941518395E-2</v>
      </c>
      <c r="AO26" s="431" t="s">
        <v>595</v>
      </c>
      <c r="AP26" s="400"/>
      <c r="AQ26" s="400"/>
    </row>
    <row r="27" spans="1:45" ht="14.45" customHeight="1">
      <c r="A27" s="400" t="s">
        <v>596</v>
      </c>
      <c r="B27" s="523" t="s">
        <v>674</v>
      </c>
      <c r="C27" s="523" t="s">
        <v>678</v>
      </c>
      <c r="D27" s="288" t="s">
        <v>160</v>
      </c>
      <c r="E27" s="288" t="s">
        <v>468</v>
      </c>
      <c r="F27" s="288" t="s">
        <v>691</v>
      </c>
      <c r="G27" s="288" t="s">
        <v>692</v>
      </c>
      <c r="H27" s="401">
        <v>23.4</v>
      </c>
      <c r="I27" s="403">
        <f t="shared" si="31"/>
        <v>1387.7666666666664</v>
      </c>
      <c r="J27" s="404">
        <f t="shared" si="31"/>
        <v>1284.7133333333334</v>
      </c>
      <c r="K27" s="405">
        <f t="shared" si="32"/>
        <v>427.30666666666662</v>
      </c>
      <c r="L27" s="405">
        <f t="shared" si="32"/>
        <v>103.05333333333328</v>
      </c>
      <c r="M27" s="657">
        <f t="shared" si="23"/>
        <v>103.01796180728904</v>
      </c>
      <c r="N27" s="657">
        <f t="shared" si="1"/>
        <v>7.1003619460838809E-3</v>
      </c>
      <c r="O27" s="638">
        <f t="shared" si="24"/>
        <v>0.15137644158760821</v>
      </c>
      <c r="P27" s="639">
        <f t="shared" si="2"/>
        <v>2.5206284908581987E-3</v>
      </c>
      <c r="Q27" s="444">
        <v>1458.07</v>
      </c>
      <c r="R27" s="445">
        <v>1030.76</v>
      </c>
      <c r="S27" s="445">
        <v>1387.76</v>
      </c>
      <c r="T27" s="445">
        <v>1284.72</v>
      </c>
      <c r="U27" s="445">
        <f t="shared" si="25"/>
        <v>427.30999999999995</v>
      </c>
      <c r="V27" s="445">
        <f t="shared" si="26"/>
        <v>103.03999999999996</v>
      </c>
      <c r="W27" s="491">
        <f t="shared" si="10"/>
        <v>103.0038295382743</v>
      </c>
      <c r="X27" s="498">
        <f t="shared" si="14"/>
        <v>0.14635948608737692</v>
      </c>
      <c r="Y27" s="457">
        <v>1458.07</v>
      </c>
      <c r="Z27" s="458">
        <v>1030.76</v>
      </c>
      <c r="AA27" s="458">
        <v>1387.77</v>
      </c>
      <c r="AB27" s="458">
        <v>1284.71</v>
      </c>
      <c r="AC27" s="458">
        <f t="shared" si="27"/>
        <v>427.30999999999995</v>
      </c>
      <c r="AD27" s="458">
        <f t="shared" si="28"/>
        <v>103.05999999999995</v>
      </c>
      <c r="AE27" s="510">
        <f t="shared" si="11"/>
        <v>103.02382251761014</v>
      </c>
      <c r="AF27" s="511">
        <f t="shared" si="15"/>
        <v>0.15345699375159683</v>
      </c>
      <c r="AG27" s="444">
        <v>1458.06</v>
      </c>
      <c r="AH27" s="445">
        <v>1030.76</v>
      </c>
      <c r="AI27" s="445">
        <v>1387.77</v>
      </c>
      <c r="AJ27" s="445">
        <v>1284.71</v>
      </c>
      <c r="AK27" s="445">
        <f t="shared" si="29"/>
        <v>427.29999999999995</v>
      </c>
      <c r="AL27" s="445">
        <f t="shared" si="30"/>
        <v>103.05999999999995</v>
      </c>
      <c r="AM27" s="491">
        <f t="shared" si="12"/>
        <v>103.02623355956</v>
      </c>
      <c r="AN27" s="498">
        <f t="shared" si="16"/>
        <v>0.15431291364379263</v>
      </c>
      <c r="AO27" s="431"/>
      <c r="AP27" s="400"/>
      <c r="AQ27" s="400"/>
    </row>
    <row r="28" spans="1:45" ht="14.45" customHeight="1">
      <c r="A28" s="400" t="s">
        <v>597</v>
      </c>
      <c r="B28" s="523" t="s">
        <v>674</v>
      </c>
      <c r="C28" s="523" t="s">
        <v>678</v>
      </c>
      <c r="D28" s="288" t="s">
        <v>160</v>
      </c>
      <c r="E28" s="288" t="s">
        <v>468</v>
      </c>
      <c r="F28" s="288" t="s">
        <v>691</v>
      </c>
      <c r="G28" s="288" t="s">
        <v>692</v>
      </c>
      <c r="H28" s="401">
        <v>23.4</v>
      </c>
      <c r="I28" s="403">
        <f t="shared" si="31"/>
        <v>1387.8366666666668</v>
      </c>
      <c r="J28" s="404">
        <f t="shared" si="31"/>
        <v>1284.8599999999999</v>
      </c>
      <c r="K28" s="405">
        <f t="shared" si="32"/>
        <v>427.30333333333328</v>
      </c>
      <c r="L28" s="405">
        <f t="shared" si="32"/>
        <v>102.97666666666669</v>
      </c>
      <c r="M28" s="657">
        <f t="shared" si="23"/>
        <v>102.94212448611842</v>
      </c>
      <c r="N28" s="657">
        <f t="shared" si="1"/>
        <v>9.5785576174894464E-3</v>
      </c>
      <c r="O28" s="638">
        <f t="shared" si="24"/>
        <v>0.12445419257203127</v>
      </c>
      <c r="P28" s="639">
        <f t="shared" si="2"/>
        <v>3.400387954208771E-3</v>
      </c>
      <c r="Q28" s="444">
        <v>1458.09</v>
      </c>
      <c r="R28" s="445">
        <v>1030.78</v>
      </c>
      <c r="S28" s="445">
        <v>1387.83</v>
      </c>
      <c r="T28" s="445">
        <v>1284.8699999999999</v>
      </c>
      <c r="U28" s="445">
        <f t="shared" si="25"/>
        <v>427.30999999999995</v>
      </c>
      <c r="V28" s="445">
        <f t="shared" si="26"/>
        <v>102.96000000000004</v>
      </c>
      <c r="W28" s="491">
        <f t="shared" si="10"/>
        <v>102.923857620931</v>
      </c>
      <c r="X28" s="498">
        <f t="shared" si="14"/>
        <v>0.11796945543050441</v>
      </c>
      <c r="Y28" s="457">
        <v>1458.08</v>
      </c>
      <c r="Z28" s="458">
        <v>1030.78</v>
      </c>
      <c r="AA28" s="458">
        <v>1387.84</v>
      </c>
      <c r="AB28" s="458">
        <v>1284.8599999999999</v>
      </c>
      <c r="AC28" s="458">
        <f t="shared" si="27"/>
        <v>427.29999999999995</v>
      </c>
      <c r="AD28" s="458">
        <f t="shared" si="28"/>
        <v>102.98000000000002</v>
      </c>
      <c r="AE28" s="510">
        <f t="shared" si="11"/>
        <v>102.94625977065297</v>
      </c>
      <c r="AF28" s="511">
        <f t="shared" si="15"/>
        <v>0.12592221858179897</v>
      </c>
      <c r="AG28" s="444">
        <v>1458.08</v>
      </c>
      <c r="AH28" s="445">
        <v>1030.78</v>
      </c>
      <c r="AI28" s="445">
        <v>1387.84</v>
      </c>
      <c r="AJ28" s="445">
        <v>1284.8499999999999</v>
      </c>
      <c r="AK28" s="445">
        <f t="shared" si="29"/>
        <v>427.29999999999995</v>
      </c>
      <c r="AL28" s="445">
        <f t="shared" si="30"/>
        <v>102.99000000000001</v>
      </c>
      <c r="AM28" s="491">
        <f t="shared" si="12"/>
        <v>102.95625649426636</v>
      </c>
      <c r="AN28" s="498">
        <f t="shared" si="16"/>
        <v>0.12947105546455617</v>
      </c>
      <c r="AO28" s="431" t="s">
        <v>595</v>
      </c>
      <c r="AP28" s="400"/>
      <c r="AQ28" s="400"/>
    </row>
    <row r="29" spans="1:45" ht="14.45" customHeight="1">
      <c r="A29" s="400" t="s">
        <v>598</v>
      </c>
      <c r="B29" s="523" t="s">
        <v>674</v>
      </c>
      <c r="C29" s="523" t="s">
        <v>678</v>
      </c>
      <c r="D29" s="288" t="s">
        <v>160</v>
      </c>
      <c r="E29" s="288" t="s">
        <v>468</v>
      </c>
      <c r="F29" s="288" t="s">
        <v>690</v>
      </c>
      <c r="G29" s="288" t="s">
        <v>692</v>
      </c>
      <c r="H29" s="401">
        <v>23.4</v>
      </c>
      <c r="I29" s="403">
        <f t="shared" si="31"/>
        <v>1387.9766666666667</v>
      </c>
      <c r="J29" s="404">
        <f t="shared" si="31"/>
        <v>1285.07</v>
      </c>
      <c r="K29" s="405">
        <f t="shared" si="32"/>
        <v>427.3</v>
      </c>
      <c r="L29" s="405">
        <f t="shared" si="32"/>
        <v>102.90666666666675</v>
      </c>
      <c r="M29" s="657">
        <f t="shared" si="23"/>
        <v>102.87295046415485</v>
      </c>
      <c r="N29" s="657">
        <f t="shared" si="1"/>
        <v>3.3322412044753951E-3</v>
      </c>
      <c r="O29" s="638">
        <f t="shared" si="24"/>
        <v>9.9897414774972049E-2</v>
      </c>
      <c r="P29" s="639">
        <f t="shared" si="2"/>
        <v>1.1829456275881021E-3</v>
      </c>
      <c r="Q29" s="444">
        <v>1458.13</v>
      </c>
      <c r="R29" s="445">
        <v>1030.83</v>
      </c>
      <c r="S29" s="445">
        <v>1387.98</v>
      </c>
      <c r="T29" s="445">
        <v>1285.08</v>
      </c>
      <c r="U29" s="445">
        <f t="shared" si="25"/>
        <v>427.30000000000018</v>
      </c>
      <c r="V29" s="445">
        <f t="shared" si="26"/>
        <v>102.90000000000009</v>
      </c>
      <c r="W29" s="491">
        <f t="shared" si="10"/>
        <v>102.8662859817459</v>
      </c>
      <c r="X29" s="498">
        <f t="shared" si="14"/>
        <v>9.7531523519791108E-2</v>
      </c>
      <c r="Y29" s="457">
        <v>1458.12</v>
      </c>
      <c r="Z29" s="458">
        <v>1030.82</v>
      </c>
      <c r="AA29" s="458">
        <v>1387.98</v>
      </c>
      <c r="AB29" s="458">
        <v>1285.07</v>
      </c>
      <c r="AC29" s="458">
        <f t="shared" si="27"/>
        <v>427.29999999999995</v>
      </c>
      <c r="AD29" s="458">
        <f t="shared" si="28"/>
        <v>102.91000000000008</v>
      </c>
      <c r="AE29" s="510">
        <f t="shared" si="11"/>
        <v>102.87628270535933</v>
      </c>
      <c r="AF29" s="511">
        <f t="shared" si="15"/>
        <v>0.10108036040255541</v>
      </c>
      <c r="AG29" s="444">
        <v>1458.12</v>
      </c>
      <c r="AH29" s="445">
        <v>1030.82</v>
      </c>
      <c r="AI29" s="445">
        <v>1387.97</v>
      </c>
      <c r="AJ29" s="445">
        <v>1285.06</v>
      </c>
      <c r="AK29" s="445">
        <f t="shared" si="29"/>
        <v>427.29999999999995</v>
      </c>
      <c r="AL29" s="445">
        <f t="shared" si="30"/>
        <v>102.91000000000008</v>
      </c>
      <c r="AM29" s="491">
        <f t="shared" si="12"/>
        <v>102.87628270535933</v>
      </c>
      <c r="AN29" s="498">
        <f t="shared" si="16"/>
        <v>0.10108036040255541</v>
      </c>
      <c r="AO29" s="431" t="s">
        <v>595</v>
      </c>
      <c r="AP29" s="400"/>
      <c r="AQ29" s="400"/>
    </row>
    <row r="30" spans="1:45" ht="14.45" customHeight="1">
      <c r="A30" s="400" t="s">
        <v>599</v>
      </c>
      <c r="B30" s="523" t="s">
        <v>674</v>
      </c>
      <c r="C30" s="523" t="s">
        <v>678</v>
      </c>
      <c r="D30" s="288" t="s">
        <v>160</v>
      </c>
      <c r="E30" s="288" t="s">
        <v>468</v>
      </c>
      <c r="F30" s="288" t="s">
        <v>691</v>
      </c>
      <c r="G30" s="288" t="s">
        <v>692</v>
      </c>
      <c r="H30" s="401">
        <v>23.4</v>
      </c>
      <c r="I30" s="403">
        <f t="shared" si="31"/>
        <v>1387.8033333333333</v>
      </c>
      <c r="J30" s="404">
        <f t="shared" si="31"/>
        <v>1284.8033333333333</v>
      </c>
      <c r="K30" s="405">
        <f t="shared" si="32"/>
        <v>427.30666666666662</v>
      </c>
      <c r="L30" s="405">
        <f t="shared" si="32"/>
        <v>103</v>
      </c>
      <c r="M30" s="657">
        <f t="shared" si="23"/>
        <v>102.96464677983028</v>
      </c>
      <c r="N30" s="657">
        <f t="shared" si="1"/>
        <v>5.0918004865644646E-3</v>
      </c>
      <c r="O30" s="638">
        <f t="shared" si="24"/>
        <v>0.13244960683974227</v>
      </c>
      <c r="P30" s="639">
        <f t="shared" si="2"/>
        <v>1.8075891727305044E-3</v>
      </c>
      <c r="Q30" s="444">
        <v>1458.1</v>
      </c>
      <c r="R30" s="445">
        <v>1030.79</v>
      </c>
      <c r="S30" s="445">
        <v>1387.81</v>
      </c>
      <c r="T30" s="445">
        <v>1284.8</v>
      </c>
      <c r="U30" s="445">
        <f t="shared" si="25"/>
        <v>427.30999999999995</v>
      </c>
      <c r="V30" s="445">
        <f t="shared" si="26"/>
        <v>103.00999999999999</v>
      </c>
      <c r="W30" s="491">
        <f t="shared" si="10"/>
        <v>102.97384006927057</v>
      </c>
      <c r="X30" s="498">
        <f t="shared" si="14"/>
        <v>0.13571322459105062</v>
      </c>
      <c r="Y30" s="457">
        <v>1458.1</v>
      </c>
      <c r="Z30" s="458">
        <v>1030.8</v>
      </c>
      <c r="AA30" s="458">
        <v>1387.8</v>
      </c>
      <c r="AB30" s="458">
        <v>1284.81</v>
      </c>
      <c r="AC30" s="458">
        <f t="shared" si="27"/>
        <v>427.29999999999995</v>
      </c>
      <c r="AD30" s="458">
        <f t="shared" si="28"/>
        <v>102.99000000000001</v>
      </c>
      <c r="AE30" s="510">
        <f t="shared" si="11"/>
        <v>102.95625649426636</v>
      </c>
      <c r="AF30" s="511">
        <f t="shared" si="15"/>
        <v>0.12947105546455617</v>
      </c>
      <c r="AG30" s="444">
        <v>1458.1</v>
      </c>
      <c r="AH30" s="445">
        <v>1030.79</v>
      </c>
      <c r="AI30" s="445">
        <v>1387.8</v>
      </c>
      <c r="AJ30" s="445">
        <v>1284.8</v>
      </c>
      <c r="AK30" s="445">
        <f t="shared" si="29"/>
        <v>427.30999999999995</v>
      </c>
      <c r="AL30" s="445">
        <f t="shared" si="30"/>
        <v>103</v>
      </c>
      <c r="AM30" s="491">
        <f t="shared" si="12"/>
        <v>102.96384357960265</v>
      </c>
      <c r="AN30" s="498">
        <f t="shared" si="16"/>
        <v>0.13216447075893711</v>
      </c>
      <c r="AO30" s="431"/>
      <c r="AP30" s="400"/>
      <c r="AQ30" s="400"/>
      <c r="AR30" s="400"/>
      <c r="AS30" s="400"/>
    </row>
    <row r="31" spans="1:45" ht="14.45" customHeight="1">
      <c r="A31" s="400" t="s">
        <v>600</v>
      </c>
      <c r="B31" s="523" t="s">
        <v>674</v>
      </c>
      <c r="C31" s="523" t="s">
        <v>678</v>
      </c>
      <c r="D31" s="288" t="s">
        <v>160</v>
      </c>
      <c r="E31" s="288" t="s">
        <v>468</v>
      </c>
      <c r="F31" s="288" t="s">
        <v>691</v>
      </c>
      <c r="G31" s="288" t="s">
        <v>692</v>
      </c>
      <c r="H31" s="401">
        <v>23.4</v>
      </c>
      <c r="I31" s="403">
        <f t="shared" si="31"/>
        <v>1388.0333333333331</v>
      </c>
      <c r="J31" s="404">
        <f t="shared" si="31"/>
        <v>1285.0999999999999</v>
      </c>
      <c r="K31" s="405">
        <f t="shared" si="32"/>
        <v>427.30000000000018</v>
      </c>
      <c r="L31" s="405">
        <f t="shared" si="32"/>
        <v>102.93333333333339</v>
      </c>
      <c r="M31" s="657">
        <f t="shared" si="23"/>
        <v>102.89960839379049</v>
      </c>
      <c r="N31" s="657">
        <f t="shared" si="1"/>
        <v>3.61062586170893E-3</v>
      </c>
      <c r="O31" s="638">
        <f t="shared" si="24"/>
        <v>0.10936097979561765</v>
      </c>
      <c r="P31" s="639">
        <f t="shared" si="2"/>
        <v>1.2817721809055527E-3</v>
      </c>
      <c r="Q31" s="444">
        <v>1458.15</v>
      </c>
      <c r="R31" s="445">
        <v>1030.8499999999999</v>
      </c>
      <c r="S31" s="445">
        <v>1388.04</v>
      </c>
      <c r="T31" s="445">
        <v>1285.0999999999999</v>
      </c>
      <c r="U31" s="445">
        <f t="shared" si="25"/>
        <v>427.30000000000018</v>
      </c>
      <c r="V31" s="445">
        <f t="shared" si="26"/>
        <v>102.94000000000005</v>
      </c>
      <c r="W31" s="491">
        <f t="shared" si="10"/>
        <v>102.90627287619941</v>
      </c>
      <c r="X31" s="498">
        <f t="shared" si="14"/>
        <v>0.11172687105078438</v>
      </c>
      <c r="Y31" s="457">
        <v>1458.15</v>
      </c>
      <c r="Z31" s="458">
        <v>1030.8599999999999</v>
      </c>
      <c r="AA31" s="458">
        <v>1388.03</v>
      </c>
      <c r="AB31" s="458">
        <v>1285.0999999999999</v>
      </c>
      <c r="AC31" s="458">
        <f t="shared" si="27"/>
        <v>427.29000000000019</v>
      </c>
      <c r="AD31" s="458">
        <f t="shared" si="28"/>
        <v>102.93000000000006</v>
      </c>
      <c r="AE31" s="510">
        <f t="shared" si="11"/>
        <v>102.89868426595523</v>
      </c>
      <c r="AF31" s="511">
        <f t="shared" si="15"/>
        <v>0.1090329144141009</v>
      </c>
      <c r="AG31" s="444">
        <v>1458.15</v>
      </c>
      <c r="AH31" s="445">
        <v>1030.8399999999999</v>
      </c>
      <c r="AI31" s="445">
        <v>1388.03</v>
      </c>
      <c r="AJ31" s="445">
        <v>1285.0999999999999</v>
      </c>
      <c r="AK31" s="445">
        <f t="shared" si="29"/>
        <v>427.31000000000017</v>
      </c>
      <c r="AL31" s="445">
        <f t="shared" si="30"/>
        <v>102.93000000000006</v>
      </c>
      <c r="AM31" s="491">
        <f t="shared" si="12"/>
        <v>102.89386815192721</v>
      </c>
      <c r="AN31" s="498">
        <f t="shared" si="16"/>
        <v>0.10732319393415679</v>
      </c>
      <c r="AO31" s="431" t="s">
        <v>595</v>
      </c>
      <c r="AP31" s="400"/>
      <c r="AQ31" s="400"/>
      <c r="AR31" s="400"/>
      <c r="AS31" s="400"/>
    </row>
    <row r="32" spans="1:45" ht="14.45" customHeight="1">
      <c r="A32" s="400" t="s">
        <v>601</v>
      </c>
      <c r="B32" s="523" t="s">
        <v>674</v>
      </c>
      <c r="C32" s="523" t="s">
        <v>678</v>
      </c>
      <c r="D32" s="288" t="s">
        <v>160</v>
      </c>
      <c r="E32" s="288" t="s">
        <v>468</v>
      </c>
      <c r="F32" s="288" t="s">
        <v>691</v>
      </c>
      <c r="G32" s="288" t="s">
        <v>692</v>
      </c>
      <c r="H32" s="401">
        <v>23.4</v>
      </c>
      <c r="I32" s="403">
        <f t="shared" si="31"/>
        <v>1387.87</v>
      </c>
      <c r="J32" s="404">
        <f t="shared" si="31"/>
        <v>1284.8433333333332</v>
      </c>
      <c r="K32" s="405">
        <f t="shared" si="32"/>
        <v>427.30333333333351</v>
      </c>
      <c r="L32" s="405">
        <f t="shared" si="32"/>
        <v>103.02666666666671</v>
      </c>
      <c r="M32" s="657">
        <f t="shared" si="23"/>
        <v>102.99210771427012</v>
      </c>
      <c r="N32" s="657">
        <f t="shared" si="1"/>
        <v>4.1356099271657358E-3</v>
      </c>
      <c r="O32" s="638">
        <f t="shared" si="24"/>
        <v>0.14219823856588931</v>
      </c>
      <c r="P32" s="639">
        <f t="shared" si="2"/>
        <v>1.4681415241438365E-3</v>
      </c>
      <c r="Q32" s="444">
        <v>1458.17</v>
      </c>
      <c r="R32" s="445">
        <v>1030.8699999999999</v>
      </c>
      <c r="S32" s="445">
        <v>1387.88</v>
      </c>
      <c r="T32" s="445">
        <v>1284.8499999999999</v>
      </c>
      <c r="U32" s="445">
        <f t="shared" si="25"/>
        <v>427.30000000000018</v>
      </c>
      <c r="V32" s="445">
        <f t="shared" si="26"/>
        <v>103.0300000000002</v>
      </c>
      <c r="W32" s="491">
        <f t="shared" si="10"/>
        <v>102.99624338872003</v>
      </c>
      <c r="X32" s="498">
        <f t="shared" si="14"/>
        <v>0.14366640299560629</v>
      </c>
      <c r="Y32" s="457">
        <v>1458.17</v>
      </c>
      <c r="Z32" s="458">
        <v>1030.8599999999999</v>
      </c>
      <c r="AA32" s="458">
        <v>1387.87</v>
      </c>
      <c r="AB32" s="458">
        <v>1284.8499999999999</v>
      </c>
      <c r="AC32" s="458">
        <f t="shared" si="27"/>
        <v>427.31000000000017</v>
      </c>
      <c r="AD32" s="458">
        <f t="shared" si="28"/>
        <v>103.01999999999998</v>
      </c>
      <c r="AE32" s="510">
        <f t="shared" si="11"/>
        <v>102.98383655893842</v>
      </c>
      <c r="AF32" s="511">
        <f t="shared" si="15"/>
        <v>0.1392619784231357</v>
      </c>
      <c r="AG32" s="444">
        <v>1458.16</v>
      </c>
      <c r="AH32" s="445">
        <v>1030.8599999999999</v>
      </c>
      <c r="AI32" s="445">
        <v>1387.86</v>
      </c>
      <c r="AJ32" s="445">
        <v>1284.83</v>
      </c>
      <c r="AK32" s="445">
        <f t="shared" si="29"/>
        <v>427.30000000000018</v>
      </c>
      <c r="AL32" s="445">
        <f t="shared" si="30"/>
        <v>103.02999999999997</v>
      </c>
      <c r="AM32" s="491">
        <f t="shared" si="12"/>
        <v>102.9962433887198</v>
      </c>
      <c r="AN32" s="498">
        <f t="shared" si="16"/>
        <v>0.14366640299552813</v>
      </c>
      <c r="AO32" s="431" t="s">
        <v>595</v>
      </c>
      <c r="AP32" s="400"/>
      <c r="AQ32" s="400"/>
      <c r="AR32" s="400"/>
      <c r="AS32" s="400"/>
    </row>
    <row r="33" spans="1:45" s="409" customFormat="1" ht="14.45" customHeight="1">
      <c r="A33" s="406" t="s">
        <v>249</v>
      </c>
      <c r="B33" s="524" t="s">
        <v>674</v>
      </c>
      <c r="C33" s="524" t="s">
        <v>678</v>
      </c>
      <c r="D33" s="525" t="s">
        <v>160</v>
      </c>
      <c r="E33" s="525" t="s">
        <v>468</v>
      </c>
      <c r="F33" s="288" t="s">
        <v>405</v>
      </c>
      <c r="G33" s="525" t="s">
        <v>692</v>
      </c>
      <c r="H33" s="407">
        <v>23.4</v>
      </c>
      <c r="I33" s="408" t="s">
        <v>419</v>
      </c>
      <c r="J33" s="406" t="s">
        <v>419</v>
      </c>
      <c r="K33" s="406" t="s">
        <v>419</v>
      </c>
      <c r="L33" s="406" t="s">
        <v>419</v>
      </c>
      <c r="M33" s="658" t="s">
        <v>419</v>
      </c>
      <c r="N33" s="658" t="s">
        <v>419</v>
      </c>
      <c r="O33" s="640" t="s">
        <v>419</v>
      </c>
      <c r="P33" s="641" t="s">
        <v>419</v>
      </c>
      <c r="Q33" s="446" t="s">
        <v>419</v>
      </c>
      <c r="R33" s="447" t="s">
        <v>419</v>
      </c>
      <c r="S33" s="447" t="s">
        <v>419</v>
      </c>
      <c r="T33" s="447" t="s">
        <v>419</v>
      </c>
      <c r="U33" s="447" t="s">
        <v>419</v>
      </c>
      <c r="V33" s="447" t="s">
        <v>419</v>
      </c>
      <c r="W33" s="447" t="s">
        <v>419</v>
      </c>
      <c r="X33" s="499" t="s">
        <v>419</v>
      </c>
      <c r="Y33" s="459" t="s">
        <v>419</v>
      </c>
      <c r="Z33" s="460" t="s">
        <v>419</v>
      </c>
      <c r="AA33" s="460" t="s">
        <v>419</v>
      </c>
      <c r="AB33" s="460" t="s">
        <v>419</v>
      </c>
      <c r="AC33" s="460" t="s">
        <v>419</v>
      </c>
      <c r="AD33" s="460" t="s">
        <v>419</v>
      </c>
      <c r="AE33" s="460" t="s">
        <v>419</v>
      </c>
      <c r="AF33" s="512" t="s">
        <v>419</v>
      </c>
      <c r="AG33" s="446" t="s">
        <v>419</v>
      </c>
      <c r="AH33" s="447" t="s">
        <v>419</v>
      </c>
      <c r="AI33" s="447" t="s">
        <v>419</v>
      </c>
      <c r="AJ33" s="447" t="s">
        <v>419</v>
      </c>
      <c r="AK33" s="447" t="s">
        <v>419</v>
      </c>
      <c r="AL33" s="447" t="s">
        <v>419</v>
      </c>
      <c r="AM33" s="447" t="s">
        <v>419</v>
      </c>
      <c r="AN33" s="499" t="s">
        <v>419</v>
      </c>
      <c r="AO33" s="432" t="s">
        <v>593</v>
      </c>
      <c r="AP33" s="406"/>
      <c r="AQ33" s="406"/>
      <c r="AR33" s="406"/>
      <c r="AS33" s="406"/>
    </row>
    <row r="34" spans="1:45" s="409" customFormat="1" ht="14.45" customHeight="1">
      <c r="A34" s="406" t="s">
        <v>602</v>
      </c>
      <c r="B34" s="524" t="s">
        <v>674</v>
      </c>
      <c r="C34" s="524" t="s">
        <v>678</v>
      </c>
      <c r="D34" s="525" t="s">
        <v>160</v>
      </c>
      <c r="E34" s="525" t="s">
        <v>468</v>
      </c>
      <c r="F34" s="288" t="s">
        <v>405</v>
      </c>
      <c r="G34" s="525" t="s">
        <v>692</v>
      </c>
      <c r="H34" s="407">
        <v>23.5</v>
      </c>
      <c r="I34" s="408" t="s">
        <v>419</v>
      </c>
      <c r="J34" s="406" t="s">
        <v>419</v>
      </c>
      <c r="K34" s="406" t="s">
        <v>419</v>
      </c>
      <c r="L34" s="406" t="s">
        <v>419</v>
      </c>
      <c r="M34" s="658" t="s">
        <v>419</v>
      </c>
      <c r="N34" s="658" t="s">
        <v>419</v>
      </c>
      <c r="O34" s="640" t="s">
        <v>419</v>
      </c>
      <c r="P34" s="641" t="s">
        <v>419</v>
      </c>
      <c r="Q34" s="446" t="s">
        <v>419</v>
      </c>
      <c r="R34" s="447" t="s">
        <v>419</v>
      </c>
      <c r="S34" s="447" t="s">
        <v>419</v>
      </c>
      <c r="T34" s="447" t="s">
        <v>419</v>
      </c>
      <c r="U34" s="447" t="s">
        <v>419</v>
      </c>
      <c r="V34" s="447" t="s">
        <v>419</v>
      </c>
      <c r="W34" s="447" t="s">
        <v>419</v>
      </c>
      <c r="X34" s="499" t="s">
        <v>419</v>
      </c>
      <c r="Y34" s="459" t="s">
        <v>419</v>
      </c>
      <c r="Z34" s="460" t="s">
        <v>419</v>
      </c>
      <c r="AA34" s="460" t="s">
        <v>419</v>
      </c>
      <c r="AB34" s="460" t="s">
        <v>419</v>
      </c>
      <c r="AC34" s="460" t="s">
        <v>419</v>
      </c>
      <c r="AD34" s="460" t="s">
        <v>419</v>
      </c>
      <c r="AE34" s="460" t="s">
        <v>419</v>
      </c>
      <c r="AF34" s="512" t="s">
        <v>419</v>
      </c>
      <c r="AG34" s="446" t="s">
        <v>419</v>
      </c>
      <c r="AH34" s="447" t="s">
        <v>419</v>
      </c>
      <c r="AI34" s="447" t="s">
        <v>419</v>
      </c>
      <c r="AJ34" s="447" t="s">
        <v>419</v>
      </c>
      <c r="AK34" s="447" t="s">
        <v>419</v>
      </c>
      <c r="AL34" s="447" t="s">
        <v>419</v>
      </c>
      <c r="AM34" s="447" t="s">
        <v>419</v>
      </c>
      <c r="AN34" s="499" t="s">
        <v>419</v>
      </c>
      <c r="AO34" s="432" t="s">
        <v>593</v>
      </c>
      <c r="AP34" s="406"/>
      <c r="AQ34" s="406"/>
      <c r="AR34" s="406"/>
      <c r="AS34" s="406"/>
    </row>
    <row r="35" spans="1:45" s="409" customFormat="1" ht="14.45" customHeight="1">
      <c r="A35" s="406" t="s">
        <v>250</v>
      </c>
      <c r="B35" s="524" t="s">
        <v>674</v>
      </c>
      <c r="C35" s="524" t="s">
        <v>678</v>
      </c>
      <c r="D35" s="525" t="s">
        <v>160</v>
      </c>
      <c r="E35" s="525" t="s">
        <v>468</v>
      </c>
      <c r="F35" s="288" t="s">
        <v>405</v>
      </c>
      <c r="G35" s="525" t="s">
        <v>692</v>
      </c>
      <c r="H35" s="407">
        <v>23.5</v>
      </c>
      <c r="I35" s="408" t="s">
        <v>419</v>
      </c>
      <c r="J35" s="406" t="s">
        <v>419</v>
      </c>
      <c r="K35" s="406" t="s">
        <v>419</v>
      </c>
      <c r="L35" s="406" t="s">
        <v>419</v>
      </c>
      <c r="M35" s="658" t="s">
        <v>419</v>
      </c>
      <c r="N35" s="658" t="s">
        <v>419</v>
      </c>
      <c r="O35" s="640" t="s">
        <v>419</v>
      </c>
      <c r="P35" s="641" t="s">
        <v>419</v>
      </c>
      <c r="Q35" s="446" t="s">
        <v>419</v>
      </c>
      <c r="R35" s="447" t="s">
        <v>419</v>
      </c>
      <c r="S35" s="447" t="s">
        <v>419</v>
      </c>
      <c r="T35" s="447" t="s">
        <v>419</v>
      </c>
      <c r="U35" s="447" t="s">
        <v>419</v>
      </c>
      <c r="V35" s="447" t="s">
        <v>419</v>
      </c>
      <c r="W35" s="447" t="s">
        <v>419</v>
      </c>
      <c r="X35" s="499" t="s">
        <v>419</v>
      </c>
      <c r="Y35" s="459" t="s">
        <v>419</v>
      </c>
      <c r="Z35" s="460" t="s">
        <v>419</v>
      </c>
      <c r="AA35" s="460" t="s">
        <v>419</v>
      </c>
      <c r="AB35" s="460" t="s">
        <v>419</v>
      </c>
      <c r="AC35" s="460" t="s">
        <v>419</v>
      </c>
      <c r="AD35" s="460" t="s">
        <v>419</v>
      </c>
      <c r="AE35" s="460" t="s">
        <v>419</v>
      </c>
      <c r="AF35" s="512" t="s">
        <v>419</v>
      </c>
      <c r="AG35" s="446" t="s">
        <v>419</v>
      </c>
      <c r="AH35" s="447" t="s">
        <v>419</v>
      </c>
      <c r="AI35" s="447" t="s">
        <v>419</v>
      </c>
      <c r="AJ35" s="447" t="s">
        <v>419</v>
      </c>
      <c r="AK35" s="447" t="s">
        <v>419</v>
      </c>
      <c r="AL35" s="447" t="s">
        <v>419</v>
      </c>
      <c r="AM35" s="447" t="s">
        <v>419</v>
      </c>
      <c r="AN35" s="499" t="s">
        <v>419</v>
      </c>
      <c r="AO35" s="432" t="s">
        <v>593</v>
      </c>
      <c r="AP35" s="406"/>
      <c r="AQ35" s="406"/>
      <c r="AR35" s="406"/>
      <c r="AS35" s="406"/>
    </row>
    <row r="36" spans="1:45" s="409" customFormat="1" ht="14.45" customHeight="1">
      <c r="A36" s="406" t="s">
        <v>603</v>
      </c>
      <c r="B36" s="524" t="s">
        <v>674</v>
      </c>
      <c r="C36" s="524" t="s">
        <v>678</v>
      </c>
      <c r="D36" s="525" t="s">
        <v>160</v>
      </c>
      <c r="E36" s="525" t="s">
        <v>468</v>
      </c>
      <c r="F36" s="288" t="s">
        <v>691</v>
      </c>
      <c r="G36" s="525" t="s">
        <v>692</v>
      </c>
      <c r="H36" s="407">
        <v>23.5</v>
      </c>
      <c r="I36" s="408" t="s">
        <v>419</v>
      </c>
      <c r="J36" s="406" t="s">
        <v>419</v>
      </c>
      <c r="K36" s="406" t="s">
        <v>419</v>
      </c>
      <c r="L36" s="406" t="s">
        <v>419</v>
      </c>
      <c r="M36" s="658" t="s">
        <v>419</v>
      </c>
      <c r="N36" s="658" t="s">
        <v>419</v>
      </c>
      <c r="O36" s="640" t="s">
        <v>419</v>
      </c>
      <c r="P36" s="641" t="s">
        <v>419</v>
      </c>
      <c r="Q36" s="446" t="s">
        <v>419</v>
      </c>
      <c r="R36" s="447" t="s">
        <v>419</v>
      </c>
      <c r="S36" s="447" t="s">
        <v>419</v>
      </c>
      <c r="T36" s="447" t="s">
        <v>419</v>
      </c>
      <c r="U36" s="447" t="s">
        <v>419</v>
      </c>
      <c r="V36" s="447" t="s">
        <v>419</v>
      </c>
      <c r="W36" s="447" t="s">
        <v>419</v>
      </c>
      <c r="X36" s="499" t="s">
        <v>419</v>
      </c>
      <c r="Y36" s="459" t="s">
        <v>419</v>
      </c>
      <c r="Z36" s="460" t="s">
        <v>419</v>
      </c>
      <c r="AA36" s="460" t="s">
        <v>419</v>
      </c>
      <c r="AB36" s="460" t="s">
        <v>419</v>
      </c>
      <c r="AC36" s="460" t="s">
        <v>419</v>
      </c>
      <c r="AD36" s="460" t="s">
        <v>419</v>
      </c>
      <c r="AE36" s="460" t="s">
        <v>419</v>
      </c>
      <c r="AF36" s="512" t="s">
        <v>419</v>
      </c>
      <c r="AG36" s="446" t="s">
        <v>419</v>
      </c>
      <c r="AH36" s="447" t="s">
        <v>419</v>
      </c>
      <c r="AI36" s="447" t="s">
        <v>419</v>
      </c>
      <c r="AJ36" s="447" t="s">
        <v>419</v>
      </c>
      <c r="AK36" s="447" t="s">
        <v>419</v>
      </c>
      <c r="AL36" s="447" t="s">
        <v>419</v>
      </c>
      <c r="AM36" s="447" t="s">
        <v>419</v>
      </c>
      <c r="AN36" s="499" t="s">
        <v>419</v>
      </c>
      <c r="AO36" s="432" t="s">
        <v>593</v>
      </c>
      <c r="AP36" s="406"/>
      <c r="AQ36" s="406"/>
      <c r="AR36" s="406"/>
      <c r="AS36" s="406"/>
    </row>
    <row r="37" spans="1:45" ht="14.45" customHeight="1">
      <c r="A37" s="400" t="s">
        <v>604</v>
      </c>
      <c r="B37" s="523" t="s">
        <v>674</v>
      </c>
      <c r="C37" s="523" t="s">
        <v>678</v>
      </c>
      <c r="D37" s="288" t="s">
        <v>160</v>
      </c>
      <c r="E37" s="288" t="s">
        <v>468</v>
      </c>
      <c r="F37" s="288" t="s">
        <v>691</v>
      </c>
      <c r="G37" s="288" t="s">
        <v>692</v>
      </c>
      <c r="H37" s="401">
        <v>23.4</v>
      </c>
      <c r="I37" s="403">
        <f>(S37+AA37+AI37)/3</f>
        <v>1387.6899999999998</v>
      </c>
      <c r="J37" s="404">
        <f>(T37+AB37+AJ37)/3</f>
        <v>1284.5466666666669</v>
      </c>
      <c r="K37" s="405">
        <f>AVERAGE(AC37,AK37,U37)</f>
        <v>427.31333333333328</v>
      </c>
      <c r="L37" s="405">
        <f>AVERAGE(AD37,AL37,V37)</f>
        <v>103.14333333333343</v>
      </c>
      <c r="M37" s="657">
        <f t="shared" si="23"/>
        <v>103.10632229277513</v>
      </c>
      <c r="N37" s="657">
        <f t="shared" si="1"/>
        <v>3.7986978530042495E-3</v>
      </c>
      <c r="O37" s="638">
        <f t="shared" si="24"/>
        <v>0.18274441393516838</v>
      </c>
      <c r="P37" s="639">
        <f t="shared" si="2"/>
        <v>1.348537737818322E-3</v>
      </c>
      <c r="Q37" s="444">
        <v>1458.22</v>
      </c>
      <c r="R37" s="445">
        <v>1030.9100000000001</v>
      </c>
      <c r="S37" s="445">
        <v>1387.69</v>
      </c>
      <c r="T37" s="445">
        <v>1284.54</v>
      </c>
      <c r="U37" s="445">
        <f t="shared" si="25"/>
        <v>427.30999999999995</v>
      </c>
      <c r="V37" s="445">
        <f t="shared" si="26"/>
        <v>103.15000000000009</v>
      </c>
      <c r="W37" s="491">
        <f t="shared" si="10"/>
        <v>103.11379092462158</v>
      </c>
      <c r="X37" s="498">
        <f t="shared" si="14"/>
        <v>0.185395778240661</v>
      </c>
      <c r="Y37" s="457">
        <v>1458.22</v>
      </c>
      <c r="Z37" s="458">
        <v>1030.9000000000001</v>
      </c>
      <c r="AA37" s="458">
        <v>1387.69</v>
      </c>
      <c r="AB37" s="458">
        <v>1284.55</v>
      </c>
      <c r="AC37" s="458">
        <f t="shared" si="27"/>
        <v>427.31999999999994</v>
      </c>
      <c r="AD37" s="458">
        <f t="shared" si="28"/>
        <v>103.1400000000001</v>
      </c>
      <c r="AE37" s="510">
        <f t="shared" si="11"/>
        <v>103.10138163437249</v>
      </c>
      <c r="AF37" s="511">
        <f t="shared" si="15"/>
        <v>0.18099048020222597</v>
      </c>
      <c r="AG37" s="444">
        <v>1458.22</v>
      </c>
      <c r="AH37" s="445">
        <v>1030.9100000000001</v>
      </c>
      <c r="AI37" s="445">
        <v>1387.69</v>
      </c>
      <c r="AJ37" s="445">
        <v>1284.55</v>
      </c>
      <c r="AK37" s="445">
        <f t="shared" si="29"/>
        <v>427.30999999999995</v>
      </c>
      <c r="AL37" s="445">
        <f t="shared" si="30"/>
        <v>103.1400000000001</v>
      </c>
      <c r="AM37" s="491">
        <f t="shared" si="12"/>
        <v>103.10379443495367</v>
      </c>
      <c r="AN37" s="498">
        <f t="shared" si="16"/>
        <v>0.1818470244085475</v>
      </c>
      <c r="AO37" s="431"/>
      <c r="AP37" s="400"/>
      <c r="AQ37" s="400"/>
      <c r="AR37" s="400"/>
      <c r="AS37" s="400"/>
    </row>
    <row r="38" spans="1:45" ht="14.45" customHeight="1">
      <c r="A38" s="400" t="s">
        <v>605</v>
      </c>
      <c r="B38" s="523" t="s">
        <v>674</v>
      </c>
      <c r="C38" s="523" t="s">
        <v>678</v>
      </c>
      <c r="D38" s="288" t="s">
        <v>160</v>
      </c>
      <c r="E38" s="288" t="s">
        <v>468</v>
      </c>
      <c r="F38" s="288" t="s">
        <v>691</v>
      </c>
      <c r="G38" s="288" t="s">
        <v>692</v>
      </c>
      <c r="H38" s="401">
        <v>23.4</v>
      </c>
      <c r="I38" s="403">
        <f>(S38+AA38+AI38)/3</f>
        <v>1387.7333333333336</v>
      </c>
      <c r="J38" s="404">
        <f>(T38+AB38+AJ38)/3</f>
        <v>1284.5999999999999</v>
      </c>
      <c r="K38" s="405">
        <f>AVERAGE(AC38,AK38,U38)</f>
        <v>427.30999999999995</v>
      </c>
      <c r="L38" s="405">
        <f>AVERAGE(AD38,AL38,V38)</f>
        <v>103.13333333333344</v>
      </c>
      <c r="M38" s="657">
        <f t="shared" si="23"/>
        <v>103.0971301085084</v>
      </c>
      <c r="N38" s="657">
        <f t="shared" si="1"/>
        <v>2.2369709468172999E-3</v>
      </c>
      <c r="O38" s="638">
        <f t="shared" si="24"/>
        <v>0.17948118852047656</v>
      </c>
      <c r="P38" s="639">
        <f t="shared" si="2"/>
        <v>7.9412468611890724E-4</v>
      </c>
      <c r="Q38" s="444">
        <v>1458.22</v>
      </c>
      <c r="R38" s="445">
        <v>1030.92</v>
      </c>
      <c r="S38" s="445">
        <v>1387.74</v>
      </c>
      <c r="T38" s="445">
        <v>1284.6099999999999</v>
      </c>
      <c r="U38" s="445">
        <f t="shared" si="25"/>
        <v>427.29999999999995</v>
      </c>
      <c r="V38" s="445">
        <f t="shared" si="26"/>
        <v>103.13000000000011</v>
      </c>
      <c r="W38" s="491">
        <f t="shared" si="10"/>
        <v>103.09621062485385</v>
      </c>
      <c r="X38" s="498">
        <f t="shared" si="14"/>
        <v>0.17915477182311434</v>
      </c>
      <c r="Y38" s="457">
        <v>1458.22</v>
      </c>
      <c r="Z38" s="458">
        <v>1030.9000000000001</v>
      </c>
      <c r="AA38" s="458">
        <v>1387.73</v>
      </c>
      <c r="AB38" s="458">
        <v>1284.5899999999999</v>
      </c>
      <c r="AC38" s="458">
        <f t="shared" si="27"/>
        <v>427.31999999999994</v>
      </c>
      <c r="AD38" s="458">
        <f t="shared" si="28"/>
        <v>103.1400000000001</v>
      </c>
      <c r="AE38" s="510">
        <f t="shared" si="11"/>
        <v>103.10138163437249</v>
      </c>
      <c r="AF38" s="511">
        <f t="shared" si="15"/>
        <v>0.18099048020222597</v>
      </c>
      <c r="AG38" s="444">
        <v>1458.21</v>
      </c>
      <c r="AH38" s="445">
        <v>1030.9000000000001</v>
      </c>
      <c r="AI38" s="445">
        <v>1387.73</v>
      </c>
      <c r="AJ38" s="445">
        <v>1284.5999999999999</v>
      </c>
      <c r="AK38" s="445">
        <f t="shared" si="29"/>
        <v>427.30999999999995</v>
      </c>
      <c r="AL38" s="445">
        <f t="shared" si="30"/>
        <v>103.13000000000011</v>
      </c>
      <c r="AM38" s="491">
        <f t="shared" si="12"/>
        <v>103.09379794528576</v>
      </c>
      <c r="AN38" s="498">
        <f t="shared" si="16"/>
        <v>0.1782982705764411</v>
      </c>
      <c r="AO38" s="431"/>
      <c r="AP38" s="400"/>
      <c r="AQ38" s="400"/>
      <c r="AR38" s="400"/>
      <c r="AS38" s="400"/>
    </row>
    <row r="39" spans="1:45" s="409" customFormat="1" ht="14.45" customHeight="1">
      <c r="A39" s="410" t="s">
        <v>251</v>
      </c>
      <c r="B39" s="524" t="s">
        <v>674</v>
      </c>
      <c r="C39" s="524" t="s">
        <v>678</v>
      </c>
      <c r="D39" s="525" t="s">
        <v>160</v>
      </c>
      <c r="E39" s="525" t="s">
        <v>468</v>
      </c>
      <c r="F39" s="288" t="s">
        <v>405</v>
      </c>
      <c r="G39" s="525" t="s">
        <v>692</v>
      </c>
      <c r="H39" s="411">
        <v>23.4</v>
      </c>
      <c r="I39" s="408" t="s">
        <v>419</v>
      </c>
      <c r="J39" s="406" t="s">
        <v>419</v>
      </c>
      <c r="K39" s="406" t="s">
        <v>419</v>
      </c>
      <c r="L39" s="406" t="s">
        <v>419</v>
      </c>
      <c r="M39" s="658" t="s">
        <v>419</v>
      </c>
      <c r="N39" s="658" t="s">
        <v>419</v>
      </c>
      <c r="O39" s="640" t="s">
        <v>419</v>
      </c>
      <c r="P39" s="641" t="s">
        <v>419</v>
      </c>
      <c r="Q39" s="446" t="s">
        <v>419</v>
      </c>
      <c r="R39" s="447" t="s">
        <v>419</v>
      </c>
      <c r="S39" s="447" t="s">
        <v>419</v>
      </c>
      <c r="T39" s="447" t="s">
        <v>419</v>
      </c>
      <c r="U39" s="447" t="s">
        <v>419</v>
      </c>
      <c r="V39" s="447" t="s">
        <v>419</v>
      </c>
      <c r="W39" s="447" t="s">
        <v>419</v>
      </c>
      <c r="X39" s="499" t="s">
        <v>419</v>
      </c>
      <c r="Y39" s="459" t="s">
        <v>419</v>
      </c>
      <c r="Z39" s="460" t="s">
        <v>419</v>
      </c>
      <c r="AA39" s="460" t="s">
        <v>419</v>
      </c>
      <c r="AB39" s="460" t="s">
        <v>419</v>
      </c>
      <c r="AC39" s="460" t="s">
        <v>419</v>
      </c>
      <c r="AD39" s="460" t="s">
        <v>419</v>
      </c>
      <c r="AE39" s="460" t="s">
        <v>419</v>
      </c>
      <c r="AF39" s="512" t="s">
        <v>419</v>
      </c>
      <c r="AG39" s="446" t="s">
        <v>419</v>
      </c>
      <c r="AH39" s="447" t="s">
        <v>419</v>
      </c>
      <c r="AI39" s="447" t="s">
        <v>419</v>
      </c>
      <c r="AJ39" s="447" t="s">
        <v>419</v>
      </c>
      <c r="AK39" s="447" t="s">
        <v>419</v>
      </c>
      <c r="AL39" s="447" t="s">
        <v>419</v>
      </c>
      <c r="AM39" s="447" t="s">
        <v>419</v>
      </c>
      <c r="AN39" s="499" t="s">
        <v>419</v>
      </c>
      <c r="AO39" s="434" t="s">
        <v>593</v>
      </c>
      <c r="AP39" s="410"/>
      <c r="AQ39" s="410"/>
      <c r="AR39" s="410"/>
      <c r="AS39" s="410"/>
    </row>
    <row r="40" spans="1:45" s="488" customFormat="1" ht="14.45" customHeight="1">
      <c r="A40" s="479" t="s">
        <v>252</v>
      </c>
      <c r="B40" s="523" t="s">
        <v>674</v>
      </c>
      <c r="C40" s="523" t="s">
        <v>678</v>
      </c>
      <c r="D40" s="288" t="s">
        <v>160</v>
      </c>
      <c r="E40" s="288" t="s">
        <v>468</v>
      </c>
      <c r="F40" s="288" t="s">
        <v>405</v>
      </c>
      <c r="G40" s="288" t="s">
        <v>692</v>
      </c>
      <c r="H40" s="480">
        <v>23.4</v>
      </c>
      <c r="I40" s="481">
        <f>(S40+AA40+AI40)/3</f>
        <v>1388.386666666667</v>
      </c>
      <c r="J40" s="482">
        <f>(T40+AB40+AJ40)/3</f>
        <v>1285.71</v>
      </c>
      <c r="K40" s="482">
        <f>AVERAGE(AC40,AK40,U40)</f>
        <v>427.30999999999995</v>
      </c>
      <c r="L40" s="482">
        <f>AVERAGE(AD40,AL40,V40)</f>
        <v>102.67666666666673</v>
      </c>
      <c r="M40" s="659">
        <f>(427.16/K40)*L40</f>
        <v>102.64062374700656</v>
      </c>
      <c r="N40" s="659">
        <f t="shared" si="1"/>
        <v>3.3321632226375191E-3</v>
      </c>
      <c r="O40" s="642">
        <f>-36.42+(0.355*M40)</f>
        <v>1.7421430187326337E-2</v>
      </c>
      <c r="P40" s="643">
        <f t="shared" si="2"/>
        <v>1.1829179440378352E-3</v>
      </c>
      <c r="Q40" s="483">
        <v>1458.23</v>
      </c>
      <c r="R40" s="484">
        <v>1030.92</v>
      </c>
      <c r="S40" s="484">
        <v>1388.38</v>
      </c>
      <c r="T40" s="484">
        <v>1285.7</v>
      </c>
      <c r="U40" s="484">
        <f>Q40-R40</f>
        <v>427.30999999999995</v>
      </c>
      <c r="V40" s="484">
        <f>S40-T40</f>
        <v>102.68000000000006</v>
      </c>
      <c r="W40" s="492">
        <f t="shared" si="10"/>
        <v>102.6439559102292</v>
      </c>
      <c r="X40" s="500">
        <f t="shared" si="14"/>
        <v>1.8604348131361803E-2</v>
      </c>
      <c r="Y40" s="485">
        <v>1458.23</v>
      </c>
      <c r="Z40" s="486">
        <v>1030.92</v>
      </c>
      <c r="AA40" s="486">
        <v>1388.39</v>
      </c>
      <c r="AB40" s="486">
        <v>1285.71</v>
      </c>
      <c r="AC40" s="486">
        <f>Y40-Z40</f>
        <v>427.30999999999995</v>
      </c>
      <c r="AD40" s="486">
        <f>AA40-AB40</f>
        <v>102.68000000000006</v>
      </c>
      <c r="AE40" s="513">
        <f t="shared" si="11"/>
        <v>102.6439559102292</v>
      </c>
      <c r="AF40" s="514">
        <f t="shared" si="15"/>
        <v>1.8604348131361803E-2</v>
      </c>
      <c r="AG40" s="483">
        <v>1458.23</v>
      </c>
      <c r="AH40" s="484">
        <v>1030.92</v>
      </c>
      <c r="AI40" s="484">
        <v>1388.39</v>
      </c>
      <c r="AJ40" s="484">
        <v>1285.72</v>
      </c>
      <c r="AK40" s="484">
        <f>AG40-AH40</f>
        <v>427.30999999999995</v>
      </c>
      <c r="AL40" s="484">
        <f>AI40-AJ40</f>
        <v>102.67000000000007</v>
      </c>
      <c r="AM40" s="492">
        <f t="shared" si="12"/>
        <v>102.63395942056128</v>
      </c>
      <c r="AN40" s="500">
        <f t="shared" si="16"/>
        <v>1.5055594299248298E-2</v>
      </c>
      <c r="AO40" s="487" t="s">
        <v>685</v>
      </c>
      <c r="AP40" s="479"/>
      <c r="AQ40" s="479"/>
    </row>
    <row r="41" spans="1:45" s="409" customFormat="1" ht="14.45" customHeight="1">
      <c r="A41" s="410" t="s">
        <v>253</v>
      </c>
      <c r="B41" s="524" t="s">
        <v>674</v>
      </c>
      <c r="C41" s="524" t="s">
        <v>678</v>
      </c>
      <c r="D41" s="525" t="s">
        <v>160</v>
      </c>
      <c r="E41" s="525" t="s">
        <v>468</v>
      </c>
      <c r="F41" s="288" t="s">
        <v>405</v>
      </c>
      <c r="G41" s="525" t="s">
        <v>692</v>
      </c>
      <c r="H41" s="411">
        <v>23.4</v>
      </c>
      <c r="I41" s="408" t="s">
        <v>419</v>
      </c>
      <c r="J41" s="406" t="s">
        <v>419</v>
      </c>
      <c r="K41" s="406" t="s">
        <v>419</v>
      </c>
      <c r="L41" s="406" t="s">
        <v>419</v>
      </c>
      <c r="M41" s="658" t="s">
        <v>419</v>
      </c>
      <c r="N41" s="658" t="s">
        <v>419</v>
      </c>
      <c r="O41" s="640" t="s">
        <v>419</v>
      </c>
      <c r="P41" s="641" t="s">
        <v>419</v>
      </c>
      <c r="Q41" s="446" t="s">
        <v>419</v>
      </c>
      <c r="R41" s="447" t="s">
        <v>419</v>
      </c>
      <c r="S41" s="447" t="s">
        <v>419</v>
      </c>
      <c r="T41" s="447" t="s">
        <v>419</v>
      </c>
      <c r="U41" s="447" t="s">
        <v>419</v>
      </c>
      <c r="V41" s="447" t="s">
        <v>419</v>
      </c>
      <c r="W41" s="447" t="s">
        <v>419</v>
      </c>
      <c r="X41" s="499" t="s">
        <v>419</v>
      </c>
      <c r="Y41" s="459" t="s">
        <v>419</v>
      </c>
      <c r="Z41" s="460" t="s">
        <v>419</v>
      </c>
      <c r="AA41" s="460" t="s">
        <v>419</v>
      </c>
      <c r="AB41" s="460" t="s">
        <v>419</v>
      </c>
      <c r="AC41" s="460" t="s">
        <v>419</v>
      </c>
      <c r="AD41" s="460" t="s">
        <v>419</v>
      </c>
      <c r="AE41" s="460" t="s">
        <v>419</v>
      </c>
      <c r="AF41" s="512" t="s">
        <v>419</v>
      </c>
      <c r="AG41" s="446" t="s">
        <v>419</v>
      </c>
      <c r="AH41" s="447" t="s">
        <v>419</v>
      </c>
      <c r="AI41" s="447" t="s">
        <v>419</v>
      </c>
      <c r="AJ41" s="447" t="s">
        <v>419</v>
      </c>
      <c r="AK41" s="447" t="s">
        <v>419</v>
      </c>
      <c r="AL41" s="447" t="s">
        <v>419</v>
      </c>
      <c r="AM41" s="447" t="s">
        <v>419</v>
      </c>
      <c r="AN41" s="499" t="s">
        <v>419</v>
      </c>
      <c r="AO41" s="434" t="s">
        <v>593</v>
      </c>
      <c r="AP41" s="410"/>
      <c r="AQ41" s="410"/>
    </row>
    <row r="42" spans="1:45" s="409" customFormat="1" ht="14.45" customHeight="1">
      <c r="A42" s="410" t="s">
        <v>606</v>
      </c>
      <c r="B42" s="524" t="s">
        <v>674</v>
      </c>
      <c r="C42" s="524" t="s">
        <v>678</v>
      </c>
      <c r="D42" s="525" t="s">
        <v>160</v>
      </c>
      <c r="E42" s="525" t="s">
        <v>468</v>
      </c>
      <c r="F42" s="288" t="s">
        <v>405</v>
      </c>
      <c r="G42" s="525" t="s">
        <v>692</v>
      </c>
      <c r="H42" s="411">
        <v>23.4</v>
      </c>
      <c r="I42" s="408" t="s">
        <v>419</v>
      </c>
      <c r="J42" s="406" t="s">
        <v>419</v>
      </c>
      <c r="K42" s="406" t="s">
        <v>419</v>
      </c>
      <c r="L42" s="406" t="s">
        <v>419</v>
      </c>
      <c r="M42" s="658" t="s">
        <v>419</v>
      </c>
      <c r="N42" s="658" t="s">
        <v>419</v>
      </c>
      <c r="O42" s="640" t="s">
        <v>419</v>
      </c>
      <c r="P42" s="641" t="s">
        <v>419</v>
      </c>
      <c r="Q42" s="446" t="s">
        <v>419</v>
      </c>
      <c r="R42" s="447" t="s">
        <v>419</v>
      </c>
      <c r="S42" s="447" t="s">
        <v>419</v>
      </c>
      <c r="T42" s="447" t="s">
        <v>419</v>
      </c>
      <c r="U42" s="447" t="s">
        <v>419</v>
      </c>
      <c r="V42" s="447" t="s">
        <v>419</v>
      </c>
      <c r="W42" s="447" t="s">
        <v>419</v>
      </c>
      <c r="X42" s="499" t="s">
        <v>419</v>
      </c>
      <c r="Y42" s="459" t="s">
        <v>419</v>
      </c>
      <c r="Z42" s="460" t="s">
        <v>419</v>
      </c>
      <c r="AA42" s="460" t="s">
        <v>419</v>
      </c>
      <c r="AB42" s="460" t="s">
        <v>419</v>
      </c>
      <c r="AC42" s="460" t="s">
        <v>419</v>
      </c>
      <c r="AD42" s="460" t="s">
        <v>419</v>
      </c>
      <c r="AE42" s="460" t="s">
        <v>419</v>
      </c>
      <c r="AF42" s="512" t="s">
        <v>419</v>
      </c>
      <c r="AG42" s="446" t="s">
        <v>419</v>
      </c>
      <c r="AH42" s="447" t="s">
        <v>419</v>
      </c>
      <c r="AI42" s="447" t="s">
        <v>419</v>
      </c>
      <c r="AJ42" s="447" t="s">
        <v>419</v>
      </c>
      <c r="AK42" s="447" t="s">
        <v>419</v>
      </c>
      <c r="AL42" s="447" t="s">
        <v>419</v>
      </c>
      <c r="AM42" s="447" t="s">
        <v>419</v>
      </c>
      <c r="AN42" s="499" t="s">
        <v>419</v>
      </c>
      <c r="AO42" s="434" t="s">
        <v>593</v>
      </c>
      <c r="AP42" s="410"/>
      <c r="AQ42" s="410"/>
    </row>
    <row r="43" spans="1:45" s="409" customFormat="1" ht="14.45" customHeight="1">
      <c r="A43" s="410" t="s">
        <v>607</v>
      </c>
      <c r="B43" s="524" t="s">
        <v>674</v>
      </c>
      <c r="C43" s="524" t="s">
        <v>678</v>
      </c>
      <c r="D43" s="525" t="s">
        <v>160</v>
      </c>
      <c r="E43" s="525" t="s">
        <v>468</v>
      </c>
      <c r="F43" s="288" t="s">
        <v>405</v>
      </c>
      <c r="G43" s="525" t="s">
        <v>692</v>
      </c>
      <c r="H43" s="411">
        <v>23.4</v>
      </c>
      <c r="I43" s="408" t="s">
        <v>419</v>
      </c>
      <c r="J43" s="406" t="s">
        <v>419</v>
      </c>
      <c r="K43" s="406" t="s">
        <v>419</v>
      </c>
      <c r="L43" s="406" t="s">
        <v>419</v>
      </c>
      <c r="M43" s="658" t="s">
        <v>419</v>
      </c>
      <c r="N43" s="658" t="s">
        <v>419</v>
      </c>
      <c r="O43" s="640" t="s">
        <v>419</v>
      </c>
      <c r="P43" s="641" t="s">
        <v>419</v>
      </c>
      <c r="Q43" s="446" t="s">
        <v>419</v>
      </c>
      <c r="R43" s="447" t="s">
        <v>419</v>
      </c>
      <c r="S43" s="447" t="s">
        <v>419</v>
      </c>
      <c r="T43" s="447" t="s">
        <v>419</v>
      </c>
      <c r="U43" s="447" t="s">
        <v>419</v>
      </c>
      <c r="V43" s="447" t="s">
        <v>419</v>
      </c>
      <c r="W43" s="447" t="s">
        <v>419</v>
      </c>
      <c r="X43" s="499" t="s">
        <v>419</v>
      </c>
      <c r="Y43" s="459" t="s">
        <v>419</v>
      </c>
      <c r="Z43" s="460" t="s">
        <v>419</v>
      </c>
      <c r="AA43" s="460" t="s">
        <v>419</v>
      </c>
      <c r="AB43" s="460" t="s">
        <v>419</v>
      </c>
      <c r="AC43" s="460" t="s">
        <v>419</v>
      </c>
      <c r="AD43" s="460" t="s">
        <v>419</v>
      </c>
      <c r="AE43" s="460" t="s">
        <v>419</v>
      </c>
      <c r="AF43" s="512" t="s">
        <v>419</v>
      </c>
      <c r="AG43" s="446" t="s">
        <v>419</v>
      </c>
      <c r="AH43" s="447" t="s">
        <v>419</v>
      </c>
      <c r="AI43" s="447" t="s">
        <v>419</v>
      </c>
      <c r="AJ43" s="447" t="s">
        <v>419</v>
      </c>
      <c r="AK43" s="447" t="s">
        <v>419</v>
      </c>
      <c r="AL43" s="447" t="s">
        <v>419</v>
      </c>
      <c r="AM43" s="447" t="s">
        <v>419</v>
      </c>
      <c r="AN43" s="499" t="s">
        <v>419</v>
      </c>
      <c r="AO43" s="434" t="s">
        <v>593</v>
      </c>
      <c r="AP43" s="410"/>
      <c r="AQ43" s="410"/>
    </row>
    <row r="44" spans="1:45" s="409" customFormat="1" ht="14.45" customHeight="1">
      <c r="A44" s="410" t="s">
        <v>608</v>
      </c>
      <c r="B44" s="524" t="s">
        <v>674</v>
      </c>
      <c r="C44" s="524" t="s">
        <v>678</v>
      </c>
      <c r="D44" s="525" t="s">
        <v>160</v>
      </c>
      <c r="E44" s="525" t="s">
        <v>468</v>
      </c>
      <c r="F44" s="288" t="s">
        <v>405</v>
      </c>
      <c r="G44" s="525" t="s">
        <v>692</v>
      </c>
      <c r="H44" s="411">
        <v>23.4</v>
      </c>
      <c r="I44" s="408" t="s">
        <v>419</v>
      </c>
      <c r="J44" s="406" t="s">
        <v>419</v>
      </c>
      <c r="K44" s="406" t="s">
        <v>419</v>
      </c>
      <c r="L44" s="406" t="s">
        <v>419</v>
      </c>
      <c r="M44" s="658" t="s">
        <v>419</v>
      </c>
      <c r="N44" s="658" t="s">
        <v>419</v>
      </c>
      <c r="O44" s="640" t="s">
        <v>419</v>
      </c>
      <c r="P44" s="641" t="s">
        <v>419</v>
      </c>
      <c r="Q44" s="446" t="s">
        <v>419</v>
      </c>
      <c r="R44" s="447" t="s">
        <v>419</v>
      </c>
      <c r="S44" s="447" t="s">
        <v>419</v>
      </c>
      <c r="T44" s="447" t="s">
        <v>419</v>
      </c>
      <c r="U44" s="447" t="s">
        <v>419</v>
      </c>
      <c r="V44" s="447" t="s">
        <v>419</v>
      </c>
      <c r="W44" s="447" t="s">
        <v>419</v>
      </c>
      <c r="X44" s="499" t="s">
        <v>419</v>
      </c>
      <c r="Y44" s="459" t="s">
        <v>419</v>
      </c>
      <c r="Z44" s="460" t="s">
        <v>419</v>
      </c>
      <c r="AA44" s="460" t="s">
        <v>419</v>
      </c>
      <c r="AB44" s="460" t="s">
        <v>419</v>
      </c>
      <c r="AC44" s="460" t="s">
        <v>419</v>
      </c>
      <c r="AD44" s="460" t="s">
        <v>419</v>
      </c>
      <c r="AE44" s="460" t="s">
        <v>419</v>
      </c>
      <c r="AF44" s="512" t="s">
        <v>419</v>
      </c>
      <c r="AG44" s="446" t="s">
        <v>419</v>
      </c>
      <c r="AH44" s="447" t="s">
        <v>419</v>
      </c>
      <c r="AI44" s="447" t="s">
        <v>419</v>
      </c>
      <c r="AJ44" s="447" t="s">
        <v>419</v>
      </c>
      <c r="AK44" s="447" t="s">
        <v>419</v>
      </c>
      <c r="AL44" s="447" t="s">
        <v>419</v>
      </c>
      <c r="AM44" s="447" t="s">
        <v>419</v>
      </c>
      <c r="AN44" s="499" t="s">
        <v>419</v>
      </c>
      <c r="AO44" s="434" t="s">
        <v>593</v>
      </c>
      <c r="AP44" s="410"/>
      <c r="AQ44" s="410"/>
    </row>
    <row r="45" spans="1:45" ht="14.45" customHeight="1">
      <c r="A45" s="400" t="s">
        <v>255</v>
      </c>
      <c r="B45" s="523" t="s">
        <v>674</v>
      </c>
      <c r="C45" s="523" t="s">
        <v>678</v>
      </c>
      <c r="D45" s="288" t="s">
        <v>160</v>
      </c>
      <c r="E45" s="288" t="s">
        <v>468</v>
      </c>
      <c r="F45" s="288" t="s">
        <v>405</v>
      </c>
      <c r="G45" s="288" t="s">
        <v>692</v>
      </c>
      <c r="H45" s="401">
        <v>23.5</v>
      </c>
      <c r="I45" s="403">
        <f>(S45+AA45+AI45)/3</f>
        <v>1388.2866666666666</v>
      </c>
      <c r="J45" s="404">
        <f>(T45+AB45+AJ45)/3</f>
        <v>1285.4966666666667</v>
      </c>
      <c r="K45" s="405">
        <f>AVERAGE(AC45,AK45,U45)</f>
        <v>427.30999999999995</v>
      </c>
      <c r="L45" s="405">
        <f>AVERAGE(AD45,AL45,V45)</f>
        <v>102.78999999999996</v>
      </c>
      <c r="M45" s="657">
        <f>(427.16/K45)*L45</f>
        <v>102.75391729657625</v>
      </c>
      <c r="N45" s="657">
        <f t="shared" si="1"/>
        <v>1.3883363798967599E-3</v>
      </c>
      <c r="O45" s="638">
        <f>-36.42+(0.355*M45)</f>
        <v>5.7640640284567723E-2</v>
      </c>
      <c r="P45" s="639">
        <f t="shared" si="2"/>
        <v>4.9285941486435479E-4</v>
      </c>
      <c r="Q45" s="444">
        <v>1458.27</v>
      </c>
      <c r="R45" s="445">
        <v>1030.96</v>
      </c>
      <c r="S45" s="445">
        <v>1388.29</v>
      </c>
      <c r="T45" s="445">
        <v>1285.5</v>
      </c>
      <c r="U45" s="445">
        <f>Q45-R45</f>
        <v>427.30999999999995</v>
      </c>
      <c r="V45" s="445">
        <f>S45-T45</f>
        <v>102.78999999999996</v>
      </c>
      <c r="W45" s="491">
        <f t="shared" si="10"/>
        <v>102.75391729657625</v>
      </c>
      <c r="X45" s="498">
        <f t="shared" si="14"/>
        <v>5.7640640284567723E-2</v>
      </c>
      <c r="Y45" s="457">
        <v>1458.26</v>
      </c>
      <c r="Z45" s="458">
        <v>1030.96</v>
      </c>
      <c r="AA45" s="458">
        <v>1388.28</v>
      </c>
      <c r="AB45" s="458">
        <v>1285.49</v>
      </c>
      <c r="AC45" s="458">
        <f>Y45-Z45</f>
        <v>427.29999999999995</v>
      </c>
      <c r="AD45" s="458">
        <f>AA45-AB45</f>
        <v>102.78999999999996</v>
      </c>
      <c r="AE45" s="510">
        <f t="shared" si="11"/>
        <v>102.75632202199857</v>
      </c>
      <c r="AF45" s="511">
        <f t="shared" si="15"/>
        <v>5.8494317809490326E-2</v>
      </c>
      <c r="AG45" s="444">
        <v>1458.27</v>
      </c>
      <c r="AH45" s="445">
        <v>1030.95</v>
      </c>
      <c r="AI45" s="445">
        <v>1388.29</v>
      </c>
      <c r="AJ45" s="445">
        <v>1285.5</v>
      </c>
      <c r="AK45" s="445">
        <f>AG45-AH45</f>
        <v>427.31999999999994</v>
      </c>
      <c r="AL45" s="445">
        <f>AI45-AJ45</f>
        <v>102.78999999999996</v>
      </c>
      <c r="AM45" s="491">
        <f t="shared" si="12"/>
        <v>102.75151268370306</v>
      </c>
      <c r="AN45" s="498">
        <f t="shared" si="16"/>
        <v>5.6787002714578705E-2</v>
      </c>
      <c r="AO45" s="431"/>
      <c r="AP45" s="400"/>
      <c r="AQ45" s="400"/>
    </row>
    <row r="46" spans="1:45" s="409" customFormat="1" ht="14.45" customHeight="1">
      <c r="A46" s="410" t="s">
        <v>256</v>
      </c>
      <c r="B46" s="524" t="s">
        <v>674</v>
      </c>
      <c r="C46" s="524" t="s">
        <v>678</v>
      </c>
      <c r="D46" s="525" t="s">
        <v>160</v>
      </c>
      <c r="E46" s="525" t="s">
        <v>468</v>
      </c>
      <c r="F46" s="288" t="s">
        <v>405</v>
      </c>
      <c r="G46" s="525" t="s">
        <v>692</v>
      </c>
      <c r="H46" s="411">
        <v>23.5</v>
      </c>
      <c r="I46" s="408" t="s">
        <v>419</v>
      </c>
      <c r="J46" s="406" t="s">
        <v>419</v>
      </c>
      <c r="K46" s="406" t="s">
        <v>419</v>
      </c>
      <c r="L46" s="406" t="s">
        <v>419</v>
      </c>
      <c r="M46" s="658" t="s">
        <v>419</v>
      </c>
      <c r="N46" s="658" t="s">
        <v>419</v>
      </c>
      <c r="O46" s="640" t="s">
        <v>419</v>
      </c>
      <c r="P46" s="641" t="s">
        <v>419</v>
      </c>
      <c r="Q46" s="446" t="s">
        <v>419</v>
      </c>
      <c r="R46" s="447" t="s">
        <v>419</v>
      </c>
      <c r="S46" s="447" t="s">
        <v>419</v>
      </c>
      <c r="T46" s="447" t="s">
        <v>419</v>
      </c>
      <c r="U46" s="447" t="s">
        <v>419</v>
      </c>
      <c r="V46" s="447" t="s">
        <v>419</v>
      </c>
      <c r="W46" s="447" t="s">
        <v>419</v>
      </c>
      <c r="X46" s="499" t="s">
        <v>419</v>
      </c>
      <c r="Y46" s="459" t="s">
        <v>419</v>
      </c>
      <c r="Z46" s="460" t="s">
        <v>419</v>
      </c>
      <c r="AA46" s="460" t="s">
        <v>419</v>
      </c>
      <c r="AB46" s="460" t="s">
        <v>419</v>
      </c>
      <c r="AC46" s="460" t="s">
        <v>419</v>
      </c>
      <c r="AD46" s="460" t="s">
        <v>419</v>
      </c>
      <c r="AE46" s="460" t="s">
        <v>419</v>
      </c>
      <c r="AF46" s="512" t="s">
        <v>419</v>
      </c>
      <c r="AG46" s="446" t="s">
        <v>419</v>
      </c>
      <c r="AH46" s="447" t="s">
        <v>419</v>
      </c>
      <c r="AI46" s="447" t="s">
        <v>419</v>
      </c>
      <c r="AJ46" s="447" t="s">
        <v>419</v>
      </c>
      <c r="AK46" s="447" t="s">
        <v>419</v>
      </c>
      <c r="AL46" s="447" t="s">
        <v>419</v>
      </c>
      <c r="AM46" s="447" t="s">
        <v>419</v>
      </c>
      <c r="AN46" s="499" t="s">
        <v>419</v>
      </c>
      <c r="AO46" s="434" t="s">
        <v>593</v>
      </c>
      <c r="AP46" s="410"/>
      <c r="AQ46" s="410"/>
    </row>
    <row r="47" spans="1:45" s="409" customFormat="1" ht="14.45" customHeight="1">
      <c r="A47" s="410" t="s">
        <v>609</v>
      </c>
      <c r="B47" s="524" t="s">
        <v>674</v>
      </c>
      <c r="C47" s="524" t="s">
        <v>678</v>
      </c>
      <c r="D47" s="525" t="s">
        <v>160</v>
      </c>
      <c r="E47" s="525" t="s">
        <v>468</v>
      </c>
      <c r="F47" s="288" t="s">
        <v>405</v>
      </c>
      <c r="G47" s="525" t="s">
        <v>692</v>
      </c>
      <c r="H47" s="411">
        <v>23.5</v>
      </c>
      <c r="I47" s="408" t="s">
        <v>419</v>
      </c>
      <c r="J47" s="406" t="s">
        <v>419</v>
      </c>
      <c r="K47" s="406" t="s">
        <v>419</v>
      </c>
      <c r="L47" s="406" t="s">
        <v>419</v>
      </c>
      <c r="M47" s="658" t="s">
        <v>419</v>
      </c>
      <c r="N47" s="658" t="s">
        <v>419</v>
      </c>
      <c r="O47" s="640" t="s">
        <v>419</v>
      </c>
      <c r="P47" s="641" t="s">
        <v>419</v>
      </c>
      <c r="Q47" s="446" t="s">
        <v>419</v>
      </c>
      <c r="R47" s="447" t="s">
        <v>419</v>
      </c>
      <c r="S47" s="447" t="s">
        <v>419</v>
      </c>
      <c r="T47" s="447" t="s">
        <v>419</v>
      </c>
      <c r="U47" s="447" t="s">
        <v>419</v>
      </c>
      <c r="V47" s="447" t="s">
        <v>419</v>
      </c>
      <c r="W47" s="447" t="s">
        <v>419</v>
      </c>
      <c r="X47" s="499" t="s">
        <v>419</v>
      </c>
      <c r="Y47" s="459" t="s">
        <v>419</v>
      </c>
      <c r="Z47" s="460" t="s">
        <v>419</v>
      </c>
      <c r="AA47" s="460" t="s">
        <v>419</v>
      </c>
      <c r="AB47" s="460" t="s">
        <v>419</v>
      </c>
      <c r="AC47" s="460" t="s">
        <v>419</v>
      </c>
      <c r="AD47" s="460" t="s">
        <v>419</v>
      </c>
      <c r="AE47" s="460" t="s">
        <v>419</v>
      </c>
      <c r="AF47" s="512" t="s">
        <v>419</v>
      </c>
      <c r="AG47" s="446" t="s">
        <v>419</v>
      </c>
      <c r="AH47" s="447" t="s">
        <v>419</v>
      </c>
      <c r="AI47" s="447" t="s">
        <v>419</v>
      </c>
      <c r="AJ47" s="447" t="s">
        <v>419</v>
      </c>
      <c r="AK47" s="447" t="s">
        <v>419</v>
      </c>
      <c r="AL47" s="447" t="s">
        <v>419</v>
      </c>
      <c r="AM47" s="447" t="s">
        <v>419</v>
      </c>
      <c r="AN47" s="499" t="s">
        <v>419</v>
      </c>
      <c r="AO47" s="434" t="s">
        <v>593</v>
      </c>
      <c r="AP47" s="410"/>
      <c r="AQ47" s="410"/>
    </row>
    <row r="48" spans="1:45" s="396" customFormat="1" ht="14.45" customHeight="1" thickBot="1">
      <c r="A48" s="412"/>
      <c r="B48" s="526"/>
      <c r="C48" s="526"/>
      <c r="D48" s="302"/>
      <c r="E48" s="302"/>
      <c r="F48" s="302"/>
      <c r="G48" s="302"/>
      <c r="H48" s="413"/>
      <c r="I48" s="414"/>
      <c r="J48" s="412"/>
      <c r="K48" s="412"/>
      <c r="L48" s="412"/>
      <c r="M48" s="660"/>
      <c r="N48" s="660"/>
      <c r="O48" s="644"/>
      <c r="P48" s="645"/>
      <c r="Q48" s="448"/>
      <c r="R48" s="449"/>
      <c r="S48" s="449"/>
      <c r="T48" s="449"/>
      <c r="U48" s="449"/>
      <c r="V48" s="449"/>
      <c r="W48" s="449"/>
      <c r="X48" s="501"/>
      <c r="Y48" s="461"/>
      <c r="Z48" s="462"/>
      <c r="AA48" s="462"/>
      <c r="AB48" s="462"/>
      <c r="AC48" s="462"/>
      <c r="AD48" s="462"/>
      <c r="AE48" s="462"/>
      <c r="AF48" s="515"/>
      <c r="AG48" s="448"/>
      <c r="AH48" s="449"/>
      <c r="AI48" s="449"/>
      <c r="AJ48" s="449"/>
      <c r="AK48" s="449"/>
      <c r="AL48" s="449"/>
      <c r="AM48" s="449"/>
      <c r="AN48" s="501"/>
      <c r="AO48" s="435"/>
      <c r="AP48" s="412"/>
      <c r="AQ48" s="412"/>
    </row>
    <row r="49" spans="1:43" s="527" customFormat="1" ht="14.45" customHeight="1">
      <c r="A49" s="633" t="s">
        <v>901</v>
      </c>
      <c r="B49" s="523"/>
      <c r="C49" s="523"/>
      <c r="D49" s="288"/>
      <c r="E49" s="288"/>
      <c r="F49" s="288"/>
      <c r="G49" s="288"/>
      <c r="H49" s="397"/>
      <c r="I49" s="398"/>
      <c r="J49" s="399"/>
      <c r="K49" s="399"/>
      <c r="L49" s="399"/>
      <c r="M49" s="656"/>
      <c r="N49" s="656"/>
      <c r="O49" s="636"/>
      <c r="P49" s="637"/>
      <c r="Q49" s="442"/>
      <c r="R49" s="443"/>
      <c r="S49" s="443"/>
      <c r="T49" s="443"/>
      <c r="U49" s="443"/>
      <c r="V49" s="443"/>
      <c r="W49" s="490"/>
      <c r="X49" s="497"/>
      <c r="Y49" s="455"/>
      <c r="Z49" s="456"/>
      <c r="AA49" s="456"/>
      <c r="AB49" s="456"/>
      <c r="AC49" s="456"/>
      <c r="AD49" s="456"/>
      <c r="AE49" s="508"/>
      <c r="AF49" s="509"/>
      <c r="AG49" s="442"/>
      <c r="AH49" s="443"/>
      <c r="AI49" s="443"/>
      <c r="AJ49" s="443"/>
      <c r="AK49" s="443"/>
      <c r="AL49" s="443"/>
      <c r="AM49" s="490"/>
      <c r="AN49" s="497"/>
      <c r="AO49" s="430"/>
      <c r="AP49" s="395"/>
      <c r="AQ49" s="395"/>
    </row>
    <row r="50" spans="1:43" s="528" customFormat="1" ht="14.45" customHeight="1">
      <c r="A50" s="410" t="s">
        <v>258</v>
      </c>
      <c r="B50" s="524" t="s">
        <v>675</v>
      </c>
      <c r="C50" s="524" t="s">
        <v>679</v>
      </c>
      <c r="D50" s="525" t="s">
        <v>160</v>
      </c>
      <c r="E50" s="525" t="s">
        <v>468</v>
      </c>
      <c r="F50" s="288" t="s">
        <v>405</v>
      </c>
      <c r="G50" s="525" t="s">
        <v>692</v>
      </c>
      <c r="H50" s="410">
        <v>22.5</v>
      </c>
      <c r="I50" s="408" t="s">
        <v>419</v>
      </c>
      <c r="J50" s="406" t="s">
        <v>419</v>
      </c>
      <c r="K50" s="406" t="s">
        <v>419</v>
      </c>
      <c r="L50" s="406" t="s">
        <v>419</v>
      </c>
      <c r="M50" s="658" t="s">
        <v>419</v>
      </c>
      <c r="N50" s="658" t="s">
        <v>419</v>
      </c>
      <c r="O50" s="640" t="s">
        <v>419</v>
      </c>
      <c r="P50" s="641" t="s">
        <v>419</v>
      </c>
      <c r="Q50" s="446" t="s">
        <v>419</v>
      </c>
      <c r="R50" s="447" t="s">
        <v>419</v>
      </c>
      <c r="S50" s="447" t="s">
        <v>419</v>
      </c>
      <c r="T50" s="447" t="s">
        <v>419</v>
      </c>
      <c r="U50" s="447" t="s">
        <v>419</v>
      </c>
      <c r="V50" s="447" t="s">
        <v>419</v>
      </c>
      <c r="W50" s="447" t="s">
        <v>419</v>
      </c>
      <c r="X50" s="499" t="s">
        <v>419</v>
      </c>
      <c r="Y50" s="459" t="s">
        <v>419</v>
      </c>
      <c r="Z50" s="460" t="s">
        <v>419</v>
      </c>
      <c r="AA50" s="460" t="s">
        <v>419</v>
      </c>
      <c r="AB50" s="460" t="s">
        <v>419</v>
      </c>
      <c r="AC50" s="460" t="s">
        <v>419</v>
      </c>
      <c r="AD50" s="460" t="s">
        <v>419</v>
      </c>
      <c r="AE50" s="460" t="s">
        <v>419</v>
      </c>
      <c r="AF50" s="512" t="s">
        <v>419</v>
      </c>
      <c r="AG50" s="446" t="s">
        <v>419</v>
      </c>
      <c r="AH50" s="447" t="s">
        <v>419</v>
      </c>
      <c r="AI50" s="447" t="s">
        <v>419</v>
      </c>
      <c r="AJ50" s="447" t="s">
        <v>419</v>
      </c>
      <c r="AK50" s="447" t="s">
        <v>419</v>
      </c>
      <c r="AL50" s="447" t="s">
        <v>419</v>
      </c>
      <c r="AM50" s="447" t="s">
        <v>419</v>
      </c>
      <c r="AN50" s="499" t="s">
        <v>419</v>
      </c>
      <c r="AO50" s="434" t="s">
        <v>593</v>
      </c>
      <c r="AP50" s="410"/>
      <c r="AQ50" s="410"/>
    </row>
    <row r="51" spans="1:43" s="528" customFormat="1" ht="14.45" customHeight="1">
      <c r="A51" s="410" t="s">
        <v>259</v>
      </c>
      <c r="B51" s="524" t="s">
        <v>675</v>
      </c>
      <c r="C51" s="524" t="s">
        <v>679</v>
      </c>
      <c r="D51" s="525" t="s">
        <v>160</v>
      </c>
      <c r="E51" s="525" t="s">
        <v>468</v>
      </c>
      <c r="F51" s="288" t="s">
        <v>405</v>
      </c>
      <c r="G51" s="525" t="s">
        <v>692</v>
      </c>
      <c r="H51" s="410">
        <v>22.5</v>
      </c>
      <c r="I51" s="408" t="s">
        <v>419</v>
      </c>
      <c r="J51" s="406" t="s">
        <v>419</v>
      </c>
      <c r="K51" s="406" t="s">
        <v>419</v>
      </c>
      <c r="L51" s="406" t="s">
        <v>419</v>
      </c>
      <c r="M51" s="658" t="s">
        <v>419</v>
      </c>
      <c r="N51" s="658" t="s">
        <v>419</v>
      </c>
      <c r="O51" s="640" t="s">
        <v>419</v>
      </c>
      <c r="P51" s="641" t="s">
        <v>419</v>
      </c>
      <c r="Q51" s="446" t="s">
        <v>419</v>
      </c>
      <c r="R51" s="447" t="s">
        <v>419</v>
      </c>
      <c r="S51" s="447" t="s">
        <v>419</v>
      </c>
      <c r="T51" s="447" t="s">
        <v>419</v>
      </c>
      <c r="U51" s="447" t="s">
        <v>419</v>
      </c>
      <c r="V51" s="447" t="s">
        <v>419</v>
      </c>
      <c r="W51" s="447" t="s">
        <v>419</v>
      </c>
      <c r="X51" s="499" t="s">
        <v>419</v>
      </c>
      <c r="Y51" s="459" t="s">
        <v>419</v>
      </c>
      <c r="Z51" s="460" t="s">
        <v>419</v>
      </c>
      <c r="AA51" s="460" t="s">
        <v>419</v>
      </c>
      <c r="AB51" s="460" t="s">
        <v>419</v>
      </c>
      <c r="AC51" s="460" t="s">
        <v>419</v>
      </c>
      <c r="AD51" s="460" t="s">
        <v>419</v>
      </c>
      <c r="AE51" s="460" t="s">
        <v>419</v>
      </c>
      <c r="AF51" s="512" t="s">
        <v>419</v>
      </c>
      <c r="AG51" s="446" t="s">
        <v>419</v>
      </c>
      <c r="AH51" s="447" t="s">
        <v>419</v>
      </c>
      <c r="AI51" s="447" t="s">
        <v>419</v>
      </c>
      <c r="AJ51" s="447" t="s">
        <v>419</v>
      </c>
      <c r="AK51" s="447" t="s">
        <v>419</v>
      </c>
      <c r="AL51" s="447" t="s">
        <v>419</v>
      </c>
      <c r="AM51" s="447" t="s">
        <v>419</v>
      </c>
      <c r="AN51" s="499" t="s">
        <v>419</v>
      </c>
      <c r="AO51" s="434" t="s">
        <v>593</v>
      </c>
      <c r="AP51" s="410"/>
      <c r="AQ51" s="410"/>
    </row>
    <row r="52" spans="1:43" s="528" customFormat="1" ht="14.45" customHeight="1">
      <c r="A52" s="410" t="s">
        <v>610</v>
      </c>
      <c r="B52" s="524" t="s">
        <v>675</v>
      </c>
      <c r="C52" s="524" t="s">
        <v>679</v>
      </c>
      <c r="D52" s="525" t="s">
        <v>160</v>
      </c>
      <c r="E52" s="525" t="s">
        <v>468</v>
      </c>
      <c r="F52" s="288" t="s">
        <v>405</v>
      </c>
      <c r="G52" s="525" t="s">
        <v>692</v>
      </c>
      <c r="H52" s="410">
        <v>22.5</v>
      </c>
      <c r="I52" s="408" t="s">
        <v>419</v>
      </c>
      <c r="J52" s="406" t="s">
        <v>419</v>
      </c>
      <c r="K52" s="406" t="s">
        <v>419</v>
      </c>
      <c r="L52" s="406" t="s">
        <v>419</v>
      </c>
      <c r="M52" s="658" t="s">
        <v>419</v>
      </c>
      <c r="N52" s="658" t="s">
        <v>419</v>
      </c>
      <c r="O52" s="640" t="s">
        <v>419</v>
      </c>
      <c r="P52" s="641" t="s">
        <v>419</v>
      </c>
      <c r="Q52" s="446" t="s">
        <v>419</v>
      </c>
      <c r="R52" s="447" t="s">
        <v>419</v>
      </c>
      <c r="S52" s="447" t="s">
        <v>419</v>
      </c>
      <c r="T52" s="447" t="s">
        <v>419</v>
      </c>
      <c r="U52" s="447" t="s">
        <v>419</v>
      </c>
      <c r="V52" s="447" t="s">
        <v>419</v>
      </c>
      <c r="W52" s="447" t="s">
        <v>419</v>
      </c>
      <c r="X52" s="499" t="s">
        <v>419</v>
      </c>
      <c r="Y52" s="459" t="s">
        <v>419</v>
      </c>
      <c r="Z52" s="460" t="s">
        <v>419</v>
      </c>
      <c r="AA52" s="460" t="s">
        <v>419</v>
      </c>
      <c r="AB52" s="460" t="s">
        <v>419</v>
      </c>
      <c r="AC52" s="460" t="s">
        <v>419</v>
      </c>
      <c r="AD52" s="460" t="s">
        <v>419</v>
      </c>
      <c r="AE52" s="460" t="s">
        <v>419</v>
      </c>
      <c r="AF52" s="512" t="s">
        <v>419</v>
      </c>
      <c r="AG52" s="446" t="s">
        <v>419</v>
      </c>
      <c r="AH52" s="447" t="s">
        <v>419</v>
      </c>
      <c r="AI52" s="447" t="s">
        <v>419</v>
      </c>
      <c r="AJ52" s="447" t="s">
        <v>419</v>
      </c>
      <c r="AK52" s="447" t="s">
        <v>419</v>
      </c>
      <c r="AL52" s="447" t="s">
        <v>419</v>
      </c>
      <c r="AM52" s="447" t="s">
        <v>419</v>
      </c>
      <c r="AN52" s="499" t="s">
        <v>419</v>
      </c>
      <c r="AO52" s="434" t="s">
        <v>593</v>
      </c>
      <c r="AP52" s="410"/>
      <c r="AQ52" s="410"/>
    </row>
    <row r="53" spans="1:43" s="527" customFormat="1" ht="14.45" customHeight="1">
      <c r="A53" s="400" t="s">
        <v>260</v>
      </c>
      <c r="B53" s="523" t="s">
        <v>675</v>
      </c>
      <c r="C53" s="523" t="s">
        <v>679</v>
      </c>
      <c r="D53" s="288" t="s">
        <v>160</v>
      </c>
      <c r="E53" s="288" t="s">
        <v>468</v>
      </c>
      <c r="F53" s="288" t="s">
        <v>405</v>
      </c>
      <c r="G53" s="288" t="s">
        <v>692</v>
      </c>
      <c r="H53" s="400">
        <v>22.5</v>
      </c>
      <c r="I53" s="403">
        <f t="shared" ref="I53:J56" si="33">(S53+AA53+AI53)/3</f>
        <v>1387.5033333333333</v>
      </c>
      <c r="J53" s="404">
        <f t="shared" si="33"/>
        <v>1284.8166666666666</v>
      </c>
      <c r="K53" s="405">
        <f t="shared" ref="K53:L56" si="34">AVERAGE(AC53,AK53,U53)</f>
        <v>427.35666666666657</v>
      </c>
      <c r="L53" s="405">
        <f t="shared" si="34"/>
        <v>102.68666666666672</v>
      </c>
      <c r="M53" s="657">
        <f>(427.16/K53)*L53</f>
        <v>102.63941095260017</v>
      </c>
      <c r="N53" s="657">
        <f t="shared" ref="N53:N69" si="35">_xlfn.STDEV.S(W53,AE53,AM53)/SQRT(COUNT(W53,AE53,AM53))</f>
        <v>7.464232649553538E-3</v>
      </c>
      <c r="O53" s="638">
        <f>-36.42+(0.355*M53)</f>
        <v>1.6990888173054941E-2</v>
      </c>
      <c r="P53" s="639">
        <f t="shared" ref="P53:P69" si="36">_xlfn.STDEV.S(X53,AF53,AN53)/SQRT(COUNT(X53,AF53,AN53))</f>
        <v>2.6498025905918126E-3</v>
      </c>
      <c r="Q53" s="444">
        <v>1457.32</v>
      </c>
      <c r="R53" s="445">
        <v>1029.96</v>
      </c>
      <c r="S53" s="445">
        <v>1387.48</v>
      </c>
      <c r="T53" s="445">
        <v>1284.8</v>
      </c>
      <c r="U53" s="445">
        <f>Q53-R53</f>
        <v>427.3599999999999</v>
      </c>
      <c r="V53" s="445">
        <f>S53-T53</f>
        <v>102.68000000000006</v>
      </c>
      <c r="W53" s="491">
        <f t="shared" ref="W53:W69" si="37">(427.16/U53)*V53</f>
        <v>102.63194683639095</v>
      </c>
      <c r="X53" s="498">
        <f t="shared" ref="X53:X68" si="38">-36.42+(0.355*W53)</f>
        <v>1.4341126918786529E-2</v>
      </c>
      <c r="Y53" s="457">
        <v>1457.34</v>
      </c>
      <c r="Z53" s="458">
        <v>1029.98</v>
      </c>
      <c r="AA53" s="458">
        <v>1387.52</v>
      </c>
      <c r="AB53" s="458">
        <v>1284.8399999999999</v>
      </c>
      <c r="AC53" s="458">
        <f>Y53-Z53</f>
        <v>427.3599999999999</v>
      </c>
      <c r="AD53" s="458">
        <f>AA53-AB53</f>
        <v>102.68000000000006</v>
      </c>
      <c r="AE53" s="510">
        <f t="shared" ref="AE53:AE68" si="39">(427.16/AC53)*AD53</f>
        <v>102.63194683639095</v>
      </c>
      <c r="AF53" s="511">
        <f t="shared" ref="AF53:AF68" si="40">-36.42+(0.355*AE53)</f>
        <v>1.4341126918786529E-2</v>
      </c>
      <c r="AG53" s="444">
        <v>1457.33</v>
      </c>
      <c r="AH53" s="445">
        <v>1029.98</v>
      </c>
      <c r="AI53" s="445">
        <v>1387.51</v>
      </c>
      <c r="AJ53" s="445">
        <v>1284.81</v>
      </c>
      <c r="AK53" s="445">
        <f>AG53-AH53</f>
        <v>427.34999999999991</v>
      </c>
      <c r="AL53" s="445">
        <f>AI53-AJ53</f>
        <v>102.70000000000005</v>
      </c>
      <c r="AM53" s="491">
        <f t="shared" ref="AM53:AM68" si="41">(427.16/AK53)*AL53</f>
        <v>102.65433953433961</v>
      </c>
      <c r="AN53" s="498">
        <f t="shared" ref="AN53:AN68" si="42">-36.42+(0.355*AM53)</f>
        <v>2.2290534690561969E-2</v>
      </c>
      <c r="AO53" s="431"/>
      <c r="AP53" s="400"/>
      <c r="AQ53" s="400"/>
    </row>
    <row r="54" spans="1:43" s="527" customFormat="1" ht="14.45" customHeight="1">
      <c r="A54" s="400" t="s">
        <v>261</v>
      </c>
      <c r="B54" s="523" t="s">
        <v>675</v>
      </c>
      <c r="C54" s="523" t="s">
        <v>679</v>
      </c>
      <c r="D54" s="288" t="s">
        <v>160</v>
      </c>
      <c r="E54" s="288" t="s">
        <v>468</v>
      </c>
      <c r="F54" s="288" t="s">
        <v>405</v>
      </c>
      <c r="G54" s="288" t="s">
        <v>692</v>
      </c>
      <c r="H54" s="400">
        <v>22.5</v>
      </c>
      <c r="I54" s="403">
        <f t="shared" si="33"/>
        <v>1387.3966666666668</v>
      </c>
      <c r="J54" s="404">
        <f t="shared" si="33"/>
        <v>1284.6766666666667</v>
      </c>
      <c r="K54" s="405">
        <f t="shared" si="34"/>
        <v>427.36333333333323</v>
      </c>
      <c r="L54" s="405">
        <f t="shared" si="34"/>
        <v>102.72000000000003</v>
      </c>
      <c r="M54" s="657">
        <f>(427.16/K54)*L54</f>
        <v>102.6711272999556</v>
      </c>
      <c r="N54" s="657">
        <f t="shared" si="35"/>
        <v>6.4766365355919987E-3</v>
      </c>
      <c r="O54" s="638">
        <f>-36.42+(0.355*M54)</f>
        <v>2.8250191484232801E-2</v>
      </c>
      <c r="P54" s="639">
        <f t="shared" si="36"/>
        <v>2.2992059701339093E-3</v>
      </c>
      <c r="Q54" s="444">
        <v>1457.28</v>
      </c>
      <c r="R54" s="445">
        <v>1029.9100000000001</v>
      </c>
      <c r="S54" s="445">
        <v>1387.41</v>
      </c>
      <c r="T54" s="445">
        <v>1284.7</v>
      </c>
      <c r="U54" s="445">
        <f>Q54-R54</f>
        <v>427.36999999999989</v>
      </c>
      <c r="V54" s="445">
        <f>S54-T54</f>
        <v>102.71000000000004</v>
      </c>
      <c r="W54" s="491">
        <f t="shared" si="37"/>
        <v>102.65953061749778</v>
      </c>
      <c r="X54" s="498">
        <f t="shared" si="38"/>
        <v>2.4133369211710942E-2</v>
      </c>
      <c r="Y54" s="457">
        <v>1457.27</v>
      </c>
      <c r="Z54" s="458">
        <v>1029.9100000000001</v>
      </c>
      <c r="AA54" s="458">
        <v>1387.4</v>
      </c>
      <c r="AB54" s="458">
        <v>1284.68</v>
      </c>
      <c r="AC54" s="458">
        <f>Y54-Z54</f>
        <v>427.3599999999999</v>
      </c>
      <c r="AD54" s="458">
        <f>AA54-AB54</f>
        <v>102.72000000000003</v>
      </c>
      <c r="AE54" s="510">
        <f t="shared" si="39"/>
        <v>102.67192811681024</v>
      </c>
      <c r="AF54" s="511">
        <f t="shared" si="40"/>
        <v>2.8534481467630712E-2</v>
      </c>
      <c r="AG54" s="444">
        <v>1457.26</v>
      </c>
      <c r="AH54" s="445">
        <v>1029.9000000000001</v>
      </c>
      <c r="AI54" s="445">
        <v>1387.38</v>
      </c>
      <c r="AJ54" s="445">
        <v>1284.6500000000001</v>
      </c>
      <c r="AK54" s="445">
        <f>AG54-AH54</f>
        <v>427.3599999999999</v>
      </c>
      <c r="AL54" s="445">
        <f>AI54-AJ54</f>
        <v>102.73000000000002</v>
      </c>
      <c r="AM54" s="491">
        <f t="shared" si="41"/>
        <v>102.68192343691506</v>
      </c>
      <c r="AN54" s="498">
        <f t="shared" si="42"/>
        <v>3.2082820104839982E-2</v>
      </c>
      <c r="AO54" s="431" t="s">
        <v>686</v>
      </c>
      <c r="AP54" s="406"/>
      <c r="AQ54" s="406"/>
    </row>
    <row r="55" spans="1:43" s="527" customFormat="1" ht="14.45" customHeight="1">
      <c r="A55" s="400" t="s">
        <v>611</v>
      </c>
      <c r="B55" s="523" t="s">
        <v>675</v>
      </c>
      <c r="C55" s="523" t="s">
        <v>679</v>
      </c>
      <c r="D55" s="288" t="s">
        <v>160</v>
      </c>
      <c r="E55" s="288" t="s">
        <v>468</v>
      </c>
      <c r="F55" s="288" t="s">
        <v>690</v>
      </c>
      <c r="G55" s="288" t="s">
        <v>692</v>
      </c>
      <c r="H55" s="400">
        <v>22.6</v>
      </c>
      <c r="I55" s="403">
        <f t="shared" si="33"/>
        <v>1387.0366666666666</v>
      </c>
      <c r="J55" s="404">
        <f t="shared" si="33"/>
        <v>1283.95</v>
      </c>
      <c r="K55" s="405">
        <f t="shared" si="34"/>
        <v>427.36666666666662</v>
      </c>
      <c r="L55" s="405">
        <f t="shared" si="34"/>
        <v>103.08666666666659</v>
      </c>
      <c r="M55" s="657">
        <f>(427.16/K55)*L55</f>
        <v>103.03681584899768</v>
      </c>
      <c r="N55" s="657">
        <f t="shared" si="35"/>
        <v>3.7978621170259804E-3</v>
      </c>
      <c r="O55" s="638">
        <f>-36.42+(0.355*M55)</f>
        <v>0.15806962639417321</v>
      </c>
      <c r="P55" s="639">
        <f t="shared" si="36"/>
        <v>1.3482410515431842E-3</v>
      </c>
      <c r="Q55" s="444">
        <v>1457.38</v>
      </c>
      <c r="R55" s="445">
        <v>1030.01</v>
      </c>
      <c r="S55" s="445">
        <v>1387.04</v>
      </c>
      <c r="T55" s="445">
        <v>1283.96</v>
      </c>
      <c r="U55" s="445">
        <f>Q55-R55</f>
        <v>427.37000000000012</v>
      </c>
      <c r="V55" s="445">
        <f>S55-T55</f>
        <v>103.07999999999993</v>
      </c>
      <c r="W55" s="491">
        <f t="shared" si="37"/>
        <v>103.0293488078245</v>
      </c>
      <c r="X55" s="498">
        <f t="shared" si="38"/>
        <v>0.15541882677769792</v>
      </c>
      <c r="Y55" s="457">
        <v>1457.37</v>
      </c>
      <c r="Z55" s="458">
        <v>1030.01</v>
      </c>
      <c r="AA55" s="458">
        <v>1387.04</v>
      </c>
      <c r="AB55" s="458">
        <v>1283.95</v>
      </c>
      <c r="AC55" s="458">
        <f>Y55-Z55</f>
        <v>427.3599999999999</v>
      </c>
      <c r="AD55" s="458">
        <f>AA55-AB55</f>
        <v>103.08999999999992</v>
      </c>
      <c r="AE55" s="510">
        <f t="shared" si="39"/>
        <v>103.04175496068883</v>
      </c>
      <c r="AF55" s="511">
        <f t="shared" si="40"/>
        <v>0.15982301104453001</v>
      </c>
      <c r="AG55" s="444">
        <v>1457.37</v>
      </c>
      <c r="AH55" s="445">
        <v>1030</v>
      </c>
      <c r="AI55" s="445">
        <v>1387.03</v>
      </c>
      <c r="AJ55" s="445">
        <v>1283.94</v>
      </c>
      <c r="AK55" s="445">
        <f>AG55-AH55</f>
        <v>427.36999999999989</v>
      </c>
      <c r="AL55" s="445">
        <f>AI55-AJ55</f>
        <v>103.08999999999992</v>
      </c>
      <c r="AM55" s="491">
        <f t="shared" si="41"/>
        <v>103.03934389404959</v>
      </c>
      <c r="AN55" s="498">
        <f t="shared" si="42"/>
        <v>0.15896708238760482</v>
      </c>
      <c r="AO55" s="431"/>
      <c r="AP55" s="406"/>
      <c r="AQ55" s="406"/>
    </row>
    <row r="56" spans="1:43" s="527" customFormat="1" ht="14.45" customHeight="1">
      <c r="A56" s="400" t="s">
        <v>612</v>
      </c>
      <c r="B56" s="523" t="s">
        <v>675</v>
      </c>
      <c r="C56" s="523" t="s">
        <v>679</v>
      </c>
      <c r="D56" s="288" t="s">
        <v>160</v>
      </c>
      <c r="E56" s="288" t="s">
        <v>468</v>
      </c>
      <c r="F56" s="288" t="s">
        <v>691</v>
      </c>
      <c r="G56" s="288" t="s">
        <v>692</v>
      </c>
      <c r="H56" s="400">
        <v>22.6</v>
      </c>
      <c r="I56" s="403">
        <f t="shared" si="33"/>
        <v>1387.11</v>
      </c>
      <c r="J56" s="404">
        <f t="shared" si="33"/>
        <v>1284.073333333333</v>
      </c>
      <c r="K56" s="405">
        <f t="shared" si="34"/>
        <v>427.3566666666668</v>
      </c>
      <c r="L56" s="405">
        <f t="shared" si="34"/>
        <v>103.03666666666663</v>
      </c>
      <c r="M56" s="657">
        <f>(427.16/K56)*L56</f>
        <v>102.98924988495162</v>
      </c>
      <c r="N56" s="657">
        <f t="shared" si="35"/>
        <v>2.528514657304489E-3</v>
      </c>
      <c r="O56" s="638">
        <f>-36.42+(0.355*M56)</f>
        <v>0.14118370915782208</v>
      </c>
      <c r="P56" s="639">
        <f t="shared" si="36"/>
        <v>8.9762270334385152E-4</v>
      </c>
      <c r="Q56" s="444">
        <v>1457.39</v>
      </c>
      <c r="R56" s="445">
        <v>1030.03</v>
      </c>
      <c r="S56" s="445">
        <v>1387.12</v>
      </c>
      <c r="T56" s="445">
        <v>1284.08</v>
      </c>
      <c r="U56" s="445">
        <f>Q56-R56</f>
        <v>427.36000000000013</v>
      </c>
      <c r="V56" s="445">
        <f>S56-T56</f>
        <v>103.03999999999996</v>
      </c>
      <c r="W56" s="491">
        <f t="shared" si="37"/>
        <v>102.99177836016467</v>
      </c>
      <c r="X56" s="498">
        <f t="shared" si="38"/>
        <v>0.14208131785845524</v>
      </c>
      <c r="Y56" s="457">
        <v>1457.39</v>
      </c>
      <c r="Z56" s="458">
        <v>1030.03</v>
      </c>
      <c r="AA56" s="458">
        <v>1387.11</v>
      </c>
      <c r="AB56" s="458">
        <v>1284.07</v>
      </c>
      <c r="AC56" s="458">
        <f>Y56-Z56</f>
        <v>427.36000000000013</v>
      </c>
      <c r="AD56" s="458">
        <f>AA56-AB56</f>
        <v>103.03999999999996</v>
      </c>
      <c r="AE56" s="510">
        <f t="shared" si="39"/>
        <v>102.99177836016467</v>
      </c>
      <c r="AF56" s="511">
        <f t="shared" si="40"/>
        <v>0.14208131785845524</v>
      </c>
      <c r="AG56" s="444">
        <v>1457.38</v>
      </c>
      <c r="AH56" s="445">
        <v>1030.03</v>
      </c>
      <c r="AI56" s="445">
        <v>1387.1</v>
      </c>
      <c r="AJ56" s="445">
        <v>1284.07</v>
      </c>
      <c r="AK56" s="445">
        <f>AG56-AH56</f>
        <v>427.35000000000014</v>
      </c>
      <c r="AL56" s="445">
        <f>AI56-AJ56</f>
        <v>103.02999999999997</v>
      </c>
      <c r="AM56" s="491">
        <f t="shared" si="41"/>
        <v>102.98419281619276</v>
      </c>
      <c r="AN56" s="498">
        <f t="shared" si="42"/>
        <v>0.13938844974842368</v>
      </c>
      <c r="AO56" s="431"/>
      <c r="AP56" s="395"/>
      <c r="AQ56" s="395"/>
    </row>
    <row r="57" spans="1:43" s="528" customFormat="1" ht="14.45" customHeight="1">
      <c r="A57" s="410" t="s">
        <v>262</v>
      </c>
      <c r="B57" s="524" t="s">
        <v>675</v>
      </c>
      <c r="C57" s="524" t="s">
        <v>679</v>
      </c>
      <c r="D57" s="525" t="s">
        <v>160</v>
      </c>
      <c r="E57" s="525" t="s">
        <v>468</v>
      </c>
      <c r="F57" s="288" t="s">
        <v>405</v>
      </c>
      <c r="G57" s="525" t="s">
        <v>692</v>
      </c>
      <c r="H57" s="410">
        <v>22.6</v>
      </c>
      <c r="I57" s="408" t="s">
        <v>419</v>
      </c>
      <c r="J57" s="406" t="s">
        <v>419</v>
      </c>
      <c r="K57" s="406" t="s">
        <v>419</v>
      </c>
      <c r="L57" s="406" t="s">
        <v>419</v>
      </c>
      <c r="M57" s="658" t="s">
        <v>419</v>
      </c>
      <c r="N57" s="658" t="s">
        <v>419</v>
      </c>
      <c r="O57" s="640" t="s">
        <v>419</v>
      </c>
      <c r="P57" s="641" t="s">
        <v>419</v>
      </c>
      <c r="Q57" s="446" t="s">
        <v>419</v>
      </c>
      <c r="R57" s="447" t="s">
        <v>419</v>
      </c>
      <c r="S57" s="447" t="s">
        <v>419</v>
      </c>
      <c r="T57" s="447" t="s">
        <v>419</v>
      </c>
      <c r="U57" s="447" t="s">
        <v>419</v>
      </c>
      <c r="V57" s="447" t="s">
        <v>419</v>
      </c>
      <c r="W57" s="447" t="s">
        <v>419</v>
      </c>
      <c r="X57" s="499" t="s">
        <v>419</v>
      </c>
      <c r="Y57" s="459" t="s">
        <v>419</v>
      </c>
      <c r="Z57" s="460" t="s">
        <v>419</v>
      </c>
      <c r="AA57" s="460" t="s">
        <v>419</v>
      </c>
      <c r="AB57" s="460" t="s">
        <v>419</v>
      </c>
      <c r="AC57" s="460" t="s">
        <v>419</v>
      </c>
      <c r="AD57" s="460" t="s">
        <v>419</v>
      </c>
      <c r="AE57" s="460" t="s">
        <v>419</v>
      </c>
      <c r="AF57" s="512" t="s">
        <v>419</v>
      </c>
      <c r="AG57" s="446" t="s">
        <v>419</v>
      </c>
      <c r="AH57" s="447" t="s">
        <v>419</v>
      </c>
      <c r="AI57" s="447" t="s">
        <v>419</v>
      </c>
      <c r="AJ57" s="447" t="s">
        <v>419</v>
      </c>
      <c r="AK57" s="447" t="s">
        <v>419</v>
      </c>
      <c r="AL57" s="447" t="s">
        <v>419</v>
      </c>
      <c r="AM57" s="447" t="s">
        <v>419</v>
      </c>
      <c r="AN57" s="499" t="s">
        <v>419</v>
      </c>
      <c r="AO57" s="434" t="s">
        <v>593</v>
      </c>
      <c r="AP57" s="410"/>
      <c r="AQ57" s="410"/>
    </row>
    <row r="58" spans="1:43" s="527" customFormat="1" ht="14.45" customHeight="1">
      <c r="A58" s="400" t="s">
        <v>263</v>
      </c>
      <c r="B58" s="523" t="s">
        <v>675</v>
      </c>
      <c r="C58" s="523" t="s">
        <v>679</v>
      </c>
      <c r="D58" s="288" t="s">
        <v>160</v>
      </c>
      <c r="E58" s="288" t="s">
        <v>468</v>
      </c>
      <c r="F58" s="288" t="s">
        <v>405</v>
      </c>
      <c r="G58" s="288" t="s">
        <v>692</v>
      </c>
      <c r="H58" s="400">
        <v>22.6</v>
      </c>
      <c r="I58" s="403">
        <f>(S58+AA58+AI58)/3</f>
        <v>1387.53</v>
      </c>
      <c r="J58" s="404">
        <f>(T58+AB58+AJ58)/3</f>
        <v>1284.8</v>
      </c>
      <c r="K58" s="405">
        <f>AVERAGE(AC58,AK58,U58)</f>
        <v>427.3566666666668</v>
      </c>
      <c r="L58" s="405">
        <f>AVERAGE(AD58,AL58,V58)</f>
        <v>102.73000000000002</v>
      </c>
      <c r="M58" s="657">
        <f>(427.16/K58)*L58</f>
        <v>102.68272434422457</v>
      </c>
      <c r="N58" s="657">
        <f t="shared" si="35"/>
        <v>5.0930166345564054E-3</v>
      </c>
      <c r="O58" s="638">
        <f>-36.42+(0.355*M58)</f>
        <v>3.2367142199717591E-2</v>
      </c>
      <c r="P58" s="639">
        <f t="shared" si="36"/>
        <v>1.8080209052690201E-3</v>
      </c>
      <c r="Q58" s="444">
        <v>1457.43</v>
      </c>
      <c r="R58" s="445">
        <v>1030.07</v>
      </c>
      <c r="S58" s="445">
        <v>1387.53</v>
      </c>
      <c r="T58" s="445">
        <v>1284.8</v>
      </c>
      <c r="U58" s="445">
        <f>Q58-R58</f>
        <v>427.36000000000013</v>
      </c>
      <c r="V58" s="445">
        <f>S58-T58</f>
        <v>102.73000000000002</v>
      </c>
      <c r="W58" s="491">
        <f t="shared" si="37"/>
        <v>102.681923436915</v>
      </c>
      <c r="X58" s="498">
        <f t="shared" si="38"/>
        <v>3.2082820104818666E-2</v>
      </c>
      <c r="Y58" s="457">
        <v>1457.42</v>
      </c>
      <c r="Z58" s="458">
        <v>1030.06</v>
      </c>
      <c r="AA58" s="458">
        <v>1387.54</v>
      </c>
      <c r="AB58" s="458">
        <v>1284.8</v>
      </c>
      <c r="AC58" s="458">
        <f>Y58-Z58</f>
        <v>427.36000000000013</v>
      </c>
      <c r="AD58" s="458">
        <f>AA58-AB58</f>
        <v>102.74000000000001</v>
      </c>
      <c r="AE58" s="510">
        <f t="shared" si="39"/>
        <v>102.69191875701982</v>
      </c>
      <c r="AF58" s="511">
        <f t="shared" si="40"/>
        <v>3.5631158742035041E-2</v>
      </c>
      <c r="AG58" s="444">
        <v>1457.41</v>
      </c>
      <c r="AH58" s="445">
        <v>1030.06</v>
      </c>
      <c r="AI58" s="445">
        <v>1387.52</v>
      </c>
      <c r="AJ58" s="445">
        <v>1284.8</v>
      </c>
      <c r="AK58" s="445">
        <f>AG58-AH58</f>
        <v>427.35000000000014</v>
      </c>
      <c r="AL58" s="445">
        <f>AI58-AJ58</f>
        <v>102.72000000000003</v>
      </c>
      <c r="AM58" s="491">
        <f t="shared" si="41"/>
        <v>102.67433064233064</v>
      </c>
      <c r="AN58" s="498">
        <f t="shared" si="42"/>
        <v>2.938737802737279E-2</v>
      </c>
      <c r="AO58" s="431"/>
      <c r="AP58" s="400"/>
      <c r="AQ58" s="400"/>
    </row>
    <row r="59" spans="1:43" s="528" customFormat="1" ht="14.45" customHeight="1">
      <c r="A59" s="410" t="s">
        <v>264</v>
      </c>
      <c r="B59" s="524" t="s">
        <v>675</v>
      </c>
      <c r="C59" s="524" t="s">
        <v>679</v>
      </c>
      <c r="D59" s="525" t="s">
        <v>160</v>
      </c>
      <c r="E59" s="525" t="s">
        <v>468</v>
      </c>
      <c r="F59" s="288" t="s">
        <v>405</v>
      </c>
      <c r="G59" s="525" t="s">
        <v>692</v>
      </c>
      <c r="H59" s="410">
        <v>22.8</v>
      </c>
      <c r="I59" s="408" t="s">
        <v>419</v>
      </c>
      <c r="J59" s="406" t="s">
        <v>419</v>
      </c>
      <c r="K59" s="406" t="s">
        <v>419</v>
      </c>
      <c r="L59" s="406" t="s">
        <v>419</v>
      </c>
      <c r="M59" s="658" t="s">
        <v>419</v>
      </c>
      <c r="N59" s="658" t="s">
        <v>419</v>
      </c>
      <c r="O59" s="640" t="s">
        <v>419</v>
      </c>
      <c r="P59" s="641" t="s">
        <v>419</v>
      </c>
      <c r="Q59" s="446" t="s">
        <v>419</v>
      </c>
      <c r="R59" s="447" t="s">
        <v>419</v>
      </c>
      <c r="S59" s="447" t="s">
        <v>419</v>
      </c>
      <c r="T59" s="447" t="s">
        <v>419</v>
      </c>
      <c r="U59" s="447" t="s">
        <v>419</v>
      </c>
      <c r="V59" s="447" t="s">
        <v>419</v>
      </c>
      <c r="W59" s="447" t="s">
        <v>419</v>
      </c>
      <c r="X59" s="499" t="s">
        <v>419</v>
      </c>
      <c r="Y59" s="459" t="s">
        <v>419</v>
      </c>
      <c r="Z59" s="460" t="s">
        <v>419</v>
      </c>
      <c r="AA59" s="460" t="s">
        <v>419</v>
      </c>
      <c r="AB59" s="460" t="s">
        <v>419</v>
      </c>
      <c r="AC59" s="460" t="s">
        <v>419</v>
      </c>
      <c r="AD59" s="460" t="s">
        <v>419</v>
      </c>
      <c r="AE59" s="460" t="s">
        <v>419</v>
      </c>
      <c r="AF59" s="512" t="s">
        <v>419</v>
      </c>
      <c r="AG59" s="446" t="s">
        <v>419</v>
      </c>
      <c r="AH59" s="447" t="s">
        <v>419</v>
      </c>
      <c r="AI59" s="447" t="s">
        <v>419</v>
      </c>
      <c r="AJ59" s="447" t="s">
        <v>419</v>
      </c>
      <c r="AK59" s="447" t="s">
        <v>419</v>
      </c>
      <c r="AL59" s="447" t="s">
        <v>419</v>
      </c>
      <c r="AM59" s="447" t="s">
        <v>419</v>
      </c>
      <c r="AN59" s="499" t="s">
        <v>419</v>
      </c>
      <c r="AO59" s="434" t="s">
        <v>593</v>
      </c>
      <c r="AP59" s="410"/>
      <c r="AQ59" s="410"/>
    </row>
    <row r="60" spans="1:43" s="527" customFormat="1" ht="14.45" customHeight="1">
      <c r="A60" s="400" t="s">
        <v>265</v>
      </c>
      <c r="B60" s="523" t="s">
        <v>675</v>
      </c>
      <c r="C60" s="523" t="s">
        <v>679</v>
      </c>
      <c r="D60" s="288" t="s">
        <v>160</v>
      </c>
      <c r="E60" s="288" t="s">
        <v>468</v>
      </c>
      <c r="F60" s="288" t="s">
        <v>405</v>
      </c>
      <c r="G60" s="288" t="s">
        <v>692</v>
      </c>
      <c r="H60" s="400">
        <v>22.8</v>
      </c>
      <c r="I60" s="403">
        <f t="shared" ref="I60:J65" si="43">(S60+AA60+AI60)/3</f>
        <v>1387.6933333333334</v>
      </c>
      <c r="J60" s="404">
        <f t="shared" si="43"/>
        <v>1284.9466666666667</v>
      </c>
      <c r="K60" s="405">
        <f t="shared" ref="K60:L65" si="44">AVERAGE(AC60,AK60,U60)</f>
        <v>427.36000000000013</v>
      </c>
      <c r="L60" s="405">
        <f t="shared" si="44"/>
        <v>102.74666666666667</v>
      </c>
      <c r="M60" s="657">
        <f t="shared" ref="M60:M65" si="45">(427.16/K60)*L60</f>
        <v>102.69858230375637</v>
      </c>
      <c r="N60" s="657">
        <f t="shared" si="35"/>
        <v>1.4522863415084818E-2</v>
      </c>
      <c r="O60" s="638">
        <f t="shared" ref="O60:O65" si="46">-36.42+(0.355*M60)</f>
        <v>3.7996717833507887E-2</v>
      </c>
      <c r="P60" s="639">
        <f t="shared" si="36"/>
        <v>5.1556165123560838E-3</v>
      </c>
      <c r="Q60" s="444">
        <v>1457.45</v>
      </c>
      <c r="R60" s="445">
        <v>1030.0899999999999</v>
      </c>
      <c r="S60" s="445">
        <v>1387.7</v>
      </c>
      <c r="T60" s="445">
        <v>1284.95</v>
      </c>
      <c r="U60" s="445">
        <f t="shared" ref="U60:U65" si="47">Q60-R60</f>
        <v>427.36000000000013</v>
      </c>
      <c r="V60" s="445">
        <f t="shared" ref="V60:V65" si="48">S60-T60</f>
        <v>102.75</v>
      </c>
      <c r="W60" s="491">
        <f t="shared" si="37"/>
        <v>102.70191407712464</v>
      </c>
      <c r="X60" s="498">
        <f t="shared" si="38"/>
        <v>3.917949737924431E-2</v>
      </c>
      <c r="Y60" s="457">
        <v>1457.45</v>
      </c>
      <c r="Z60" s="458">
        <v>1030.0899999999999</v>
      </c>
      <c r="AA60" s="458">
        <v>1387.7</v>
      </c>
      <c r="AB60" s="458">
        <v>1284.93</v>
      </c>
      <c r="AC60" s="458">
        <f t="shared" ref="AC60:AC65" si="49">Y60-Z60</f>
        <v>427.36000000000013</v>
      </c>
      <c r="AD60" s="458">
        <f t="shared" ref="AD60:AD65" si="50">AA60-AB60</f>
        <v>102.76999999999998</v>
      </c>
      <c r="AE60" s="510">
        <f t="shared" si="39"/>
        <v>102.72190471733428</v>
      </c>
      <c r="AF60" s="511">
        <f t="shared" si="40"/>
        <v>4.6276174653669955E-2</v>
      </c>
      <c r="AG60" s="444">
        <v>1457.45</v>
      </c>
      <c r="AH60" s="445">
        <v>1030.0899999999999</v>
      </c>
      <c r="AI60" s="445">
        <v>1387.68</v>
      </c>
      <c r="AJ60" s="445">
        <v>1284.96</v>
      </c>
      <c r="AK60" s="445">
        <f t="shared" ref="AK60:AK65" si="51">AG60-AH60</f>
        <v>427.36000000000013</v>
      </c>
      <c r="AL60" s="445">
        <f t="shared" ref="AL60:AL65" si="52">AI60-AJ60</f>
        <v>102.72000000000003</v>
      </c>
      <c r="AM60" s="491">
        <f t="shared" si="41"/>
        <v>102.67192811681018</v>
      </c>
      <c r="AN60" s="498">
        <f t="shared" si="42"/>
        <v>2.8534481467609396E-2</v>
      </c>
      <c r="AO60" s="431"/>
      <c r="AP60" s="395"/>
      <c r="AQ60" s="395"/>
    </row>
    <row r="61" spans="1:43" s="527" customFormat="1" ht="14.45" customHeight="1">
      <c r="A61" s="400" t="s">
        <v>266</v>
      </c>
      <c r="B61" s="523" t="s">
        <v>675</v>
      </c>
      <c r="C61" s="523" t="s">
        <v>679</v>
      </c>
      <c r="D61" s="288" t="s">
        <v>160</v>
      </c>
      <c r="E61" s="288" t="s">
        <v>468</v>
      </c>
      <c r="F61" s="288" t="s">
        <v>405</v>
      </c>
      <c r="G61" s="288" t="s">
        <v>692</v>
      </c>
      <c r="H61" s="400">
        <v>22.8</v>
      </c>
      <c r="I61" s="403">
        <f t="shared" si="43"/>
        <v>1387.676666666667</v>
      </c>
      <c r="J61" s="404">
        <f t="shared" si="43"/>
        <v>1284.93</v>
      </c>
      <c r="K61" s="405">
        <f t="shared" si="44"/>
        <v>427.3566666666668</v>
      </c>
      <c r="L61" s="405">
        <f t="shared" si="44"/>
        <v>102.74666666666667</v>
      </c>
      <c r="M61" s="657">
        <f t="shared" si="45"/>
        <v>102.6993833410032</v>
      </c>
      <c r="N61" s="657">
        <f t="shared" si="35"/>
        <v>3.7962400991299839E-3</v>
      </c>
      <c r="O61" s="638">
        <f t="shared" si="46"/>
        <v>3.8281086056130675E-2</v>
      </c>
      <c r="P61" s="639">
        <f t="shared" si="36"/>
        <v>1.3476652351896914E-3</v>
      </c>
      <c r="Q61" s="444">
        <v>1457.48</v>
      </c>
      <c r="R61" s="445">
        <v>1030.1199999999999</v>
      </c>
      <c r="S61" s="445">
        <v>1387.68</v>
      </c>
      <c r="T61" s="445">
        <v>1284.93</v>
      </c>
      <c r="U61" s="445">
        <f t="shared" si="47"/>
        <v>427.36000000000013</v>
      </c>
      <c r="V61" s="445">
        <f t="shared" si="48"/>
        <v>102.75</v>
      </c>
      <c r="W61" s="491">
        <f t="shared" si="37"/>
        <v>102.70191407712464</v>
      </c>
      <c r="X61" s="498">
        <f t="shared" si="38"/>
        <v>3.917949737924431E-2</v>
      </c>
      <c r="Y61" s="457">
        <v>1457.48</v>
      </c>
      <c r="Z61" s="458">
        <v>1030.1199999999999</v>
      </c>
      <c r="AA61" s="458">
        <v>1387.67</v>
      </c>
      <c r="AB61" s="458">
        <v>1284.93</v>
      </c>
      <c r="AC61" s="458">
        <f t="shared" si="49"/>
        <v>427.36000000000013</v>
      </c>
      <c r="AD61" s="458">
        <f t="shared" si="50"/>
        <v>102.74000000000001</v>
      </c>
      <c r="AE61" s="510">
        <f t="shared" si="39"/>
        <v>102.69191875701982</v>
      </c>
      <c r="AF61" s="511">
        <f t="shared" si="40"/>
        <v>3.5631158742035041E-2</v>
      </c>
      <c r="AG61" s="444">
        <v>1457.47</v>
      </c>
      <c r="AH61" s="445">
        <v>1030.1199999999999</v>
      </c>
      <c r="AI61" s="445">
        <v>1387.68</v>
      </c>
      <c r="AJ61" s="445">
        <v>1284.93</v>
      </c>
      <c r="AK61" s="445">
        <f t="shared" si="51"/>
        <v>427.35000000000014</v>
      </c>
      <c r="AL61" s="445">
        <f t="shared" si="52"/>
        <v>102.75</v>
      </c>
      <c r="AM61" s="491">
        <f t="shared" si="41"/>
        <v>102.70431730431727</v>
      </c>
      <c r="AN61" s="498">
        <f t="shared" si="42"/>
        <v>4.0032643032624549E-2</v>
      </c>
      <c r="AO61" s="431"/>
      <c r="AP61" s="400"/>
      <c r="AQ61" s="400"/>
    </row>
    <row r="62" spans="1:43" s="527" customFormat="1" ht="14.45" customHeight="1">
      <c r="A62" s="400" t="s">
        <v>613</v>
      </c>
      <c r="B62" s="523" t="s">
        <v>675</v>
      </c>
      <c r="C62" s="523" t="s">
        <v>679</v>
      </c>
      <c r="D62" s="288" t="s">
        <v>160</v>
      </c>
      <c r="E62" s="288" t="s">
        <v>468</v>
      </c>
      <c r="F62" s="288" t="s">
        <v>690</v>
      </c>
      <c r="G62" s="288" t="s">
        <v>692</v>
      </c>
      <c r="H62" s="400">
        <v>22.9</v>
      </c>
      <c r="I62" s="403">
        <f t="shared" si="43"/>
        <v>1387.0133333333333</v>
      </c>
      <c r="J62" s="404">
        <f t="shared" si="43"/>
        <v>1283.8966666666668</v>
      </c>
      <c r="K62" s="405">
        <f t="shared" si="44"/>
        <v>427.35666666666657</v>
      </c>
      <c r="L62" s="405">
        <f t="shared" si="44"/>
        <v>103.11666666666656</v>
      </c>
      <c r="M62" s="657">
        <f t="shared" si="45"/>
        <v>103.06921306948911</v>
      </c>
      <c r="N62" s="657">
        <f t="shared" si="35"/>
        <v>3.7981153048454609E-3</v>
      </c>
      <c r="O62" s="638">
        <f t="shared" si="46"/>
        <v>0.16957063966862762</v>
      </c>
      <c r="P62" s="639">
        <f t="shared" si="36"/>
        <v>1.3483309332200408E-3</v>
      </c>
      <c r="Q62" s="444">
        <v>1457.5</v>
      </c>
      <c r="R62" s="445">
        <v>1030.1400000000001</v>
      </c>
      <c r="S62" s="445">
        <v>1387.02</v>
      </c>
      <c r="T62" s="445">
        <v>1283.9000000000001</v>
      </c>
      <c r="U62" s="445">
        <f t="shared" si="47"/>
        <v>427.3599999999999</v>
      </c>
      <c r="V62" s="445">
        <f t="shared" si="48"/>
        <v>103.11999999999989</v>
      </c>
      <c r="W62" s="491">
        <f t="shared" si="37"/>
        <v>103.0717409210033</v>
      </c>
      <c r="X62" s="498">
        <f t="shared" si="38"/>
        <v>0.17046802695616492</v>
      </c>
      <c r="Y62" s="457">
        <v>1457.5</v>
      </c>
      <c r="Z62" s="458">
        <v>1030.1400000000001</v>
      </c>
      <c r="AA62" s="458">
        <v>1387.01</v>
      </c>
      <c r="AB62" s="458">
        <v>1283.9000000000001</v>
      </c>
      <c r="AC62" s="458">
        <f t="shared" si="49"/>
        <v>427.3599999999999</v>
      </c>
      <c r="AD62" s="458">
        <f t="shared" si="50"/>
        <v>103.1099999999999</v>
      </c>
      <c r="AE62" s="510">
        <f t="shared" si="39"/>
        <v>103.06174560089848</v>
      </c>
      <c r="AF62" s="511">
        <f t="shared" si="40"/>
        <v>0.16691968831895565</v>
      </c>
      <c r="AG62" s="444">
        <v>1457.49</v>
      </c>
      <c r="AH62" s="445">
        <v>1030.1400000000001</v>
      </c>
      <c r="AI62" s="445">
        <v>1387.01</v>
      </c>
      <c r="AJ62" s="445">
        <v>1283.8900000000001</v>
      </c>
      <c r="AK62" s="445">
        <f t="shared" si="51"/>
        <v>427.34999999999991</v>
      </c>
      <c r="AL62" s="445">
        <f t="shared" si="52"/>
        <v>103.11999999999989</v>
      </c>
      <c r="AM62" s="491">
        <f t="shared" si="41"/>
        <v>103.07415280215272</v>
      </c>
      <c r="AN62" s="498">
        <f t="shared" si="42"/>
        <v>0.17132424476421448</v>
      </c>
      <c r="AO62" s="431"/>
      <c r="AP62" s="395"/>
      <c r="AQ62" s="395"/>
    </row>
    <row r="63" spans="1:43" s="527" customFormat="1" ht="14.45" customHeight="1">
      <c r="A63" s="400" t="s">
        <v>614</v>
      </c>
      <c r="B63" s="523" t="s">
        <v>675</v>
      </c>
      <c r="C63" s="523" t="s">
        <v>679</v>
      </c>
      <c r="D63" s="288" t="s">
        <v>160</v>
      </c>
      <c r="E63" s="288" t="s">
        <v>468</v>
      </c>
      <c r="F63" s="288" t="s">
        <v>690</v>
      </c>
      <c r="G63" s="288" t="s">
        <v>692</v>
      </c>
      <c r="H63" s="400">
        <v>22.9</v>
      </c>
      <c r="I63" s="403">
        <f t="shared" si="43"/>
        <v>1387.0433333333333</v>
      </c>
      <c r="J63" s="404">
        <f t="shared" si="43"/>
        <v>1283.96</v>
      </c>
      <c r="K63" s="405">
        <f t="shared" si="44"/>
        <v>427.37999999999988</v>
      </c>
      <c r="L63" s="405">
        <f t="shared" si="44"/>
        <v>103.08333333333326</v>
      </c>
      <c r="M63" s="657">
        <f t="shared" si="45"/>
        <v>103.03026970533635</v>
      </c>
      <c r="N63" s="657">
        <f t="shared" si="35"/>
        <v>1.0718676766304284E-2</v>
      </c>
      <c r="O63" s="638">
        <f t="shared" si="46"/>
        <v>0.15574574539439823</v>
      </c>
      <c r="P63" s="639">
        <f t="shared" si="36"/>
        <v>3.8051302520379468E-3</v>
      </c>
      <c r="Q63" s="444">
        <v>1457.52</v>
      </c>
      <c r="R63" s="445">
        <v>1030.18</v>
      </c>
      <c r="S63" s="445">
        <v>1387.05</v>
      </c>
      <c r="T63" s="445">
        <v>1283.96</v>
      </c>
      <c r="U63" s="445">
        <f t="shared" si="47"/>
        <v>427.33999999999992</v>
      </c>
      <c r="V63" s="445">
        <f t="shared" si="48"/>
        <v>103.08999999999992</v>
      </c>
      <c r="W63" s="491">
        <f t="shared" si="37"/>
        <v>103.0465774324893</v>
      </c>
      <c r="X63" s="498">
        <f t="shared" si="38"/>
        <v>0.16153498853369541</v>
      </c>
      <c r="Y63" s="457">
        <v>1457.52</v>
      </c>
      <c r="Z63" s="458">
        <v>1030.17</v>
      </c>
      <c r="AA63" s="458">
        <v>1387.04</v>
      </c>
      <c r="AB63" s="458">
        <v>1283.96</v>
      </c>
      <c r="AC63" s="458">
        <f t="shared" si="49"/>
        <v>427.34999999999991</v>
      </c>
      <c r="AD63" s="458">
        <f t="shared" si="50"/>
        <v>103.07999999999993</v>
      </c>
      <c r="AE63" s="510">
        <f t="shared" si="39"/>
        <v>103.03417058617055</v>
      </c>
      <c r="AF63" s="511">
        <f t="shared" si="40"/>
        <v>0.1571305580905431</v>
      </c>
      <c r="AG63" s="444">
        <v>1457.62</v>
      </c>
      <c r="AH63" s="445">
        <v>1030.17</v>
      </c>
      <c r="AI63" s="445">
        <v>1387.04</v>
      </c>
      <c r="AJ63" s="445">
        <v>1283.96</v>
      </c>
      <c r="AK63" s="445">
        <f t="shared" si="51"/>
        <v>427.44999999999982</v>
      </c>
      <c r="AL63" s="445">
        <f t="shared" si="52"/>
        <v>103.07999999999993</v>
      </c>
      <c r="AM63" s="491">
        <f t="shared" si="41"/>
        <v>103.01006620657384</v>
      </c>
      <c r="AN63" s="498">
        <f t="shared" si="42"/>
        <v>0.14857350333370789</v>
      </c>
      <c r="AO63" s="431"/>
      <c r="AP63" s="395"/>
      <c r="AQ63" s="395"/>
    </row>
    <row r="64" spans="1:43" s="527" customFormat="1" ht="14.45" customHeight="1">
      <c r="A64" s="400" t="s">
        <v>303</v>
      </c>
      <c r="B64" s="523" t="s">
        <v>675</v>
      </c>
      <c r="C64" s="523" t="s">
        <v>679</v>
      </c>
      <c r="D64" s="288" t="s">
        <v>160</v>
      </c>
      <c r="E64" s="288" t="s">
        <v>468</v>
      </c>
      <c r="F64" s="288" t="s">
        <v>690</v>
      </c>
      <c r="G64" s="288" t="s">
        <v>692</v>
      </c>
      <c r="H64" s="400">
        <v>22.9</v>
      </c>
      <c r="I64" s="403">
        <f t="shared" si="43"/>
        <v>1386.83</v>
      </c>
      <c r="J64" s="404">
        <f t="shared" si="43"/>
        <v>1283.5866666666666</v>
      </c>
      <c r="K64" s="405">
        <f t="shared" si="44"/>
        <v>427.34666666666658</v>
      </c>
      <c r="L64" s="405">
        <f t="shared" si="44"/>
        <v>103.24333333333334</v>
      </c>
      <c r="M64" s="657">
        <f t="shared" si="45"/>
        <v>103.19823624847902</v>
      </c>
      <c r="N64" s="657">
        <f t="shared" si="35"/>
        <v>8.6991167406943095E-3</v>
      </c>
      <c r="O64" s="638">
        <f t="shared" si="46"/>
        <v>0.215373868210051</v>
      </c>
      <c r="P64" s="639">
        <f t="shared" si="36"/>
        <v>3.0881864429463269E-3</v>
      </c>
      <c r="Q64" s="444">
        <v>1457.52</v>
      </c>
      <c r="R64" s="445">
        <v>1030.17</v>
      </c>
      <c r="S64" s="445">
        <v>1386.85</v>
      </c>
      <c r="T64" s="445">
        <v>1283.6199999999999</v>
      </c>
      <c r="U64" s="445">
        <f t="shared" si="47"/>
        <v>427.34999999999991</v>
      </c>
      <c r="V64" s="445">
        <f t="shared" si="48"/>
        <v>103.23000000000002</v>
      </c>
      <c r="W64" s="491">
        <f t="shared" si="37"/>
        <v>103.18410389610395</v>
      </c>
      <c r="X64" s="498">
        <f t="shared" si="38"/>
        <v>0.21035688311690137</v>
      </c>
      <c r="Y64" s="457">
        <v>1457.51</v>
      </c>
      <c r="Z64" s="458">
        <v>1030.1600000000001</v>
      </c>
      <c r="AA64" s="458">
        <v>1386.82</v>
      </c>
      <c r="AB64" s="458">
        <v>1283.56</v>
      </c>
      <c r="AC64" s="458">
        <f t="shared" si="49"/>
        <v>427.34999999999991</v>
      </c>
      <c r="AD64" s="458">
        <f t="shared" si="50"/>
        <v>103.25999999999999</v>
      </c>
      <c r="AE64" s="510">
        <f t="shared" si="39"/>
        <v>103.21409055809058</v>
      </c>
      <c r="AF64" s="511">
        <f t="shared" si="40"/>
        <v>0.22100214812215313</v>
      </c>
      <c r="AG64" s="444">
        <v>1457.51</v>
      </c>
      <c r="AH64" s="445">
        <v>1030.17</v>
      </c>
      <c r="AI64" s="445">
        <v>1386.82</v>
      </c>
      <c r="AJ64" s="445">
        <v>1283.58</v>
      </c>
      <c r="AK64" s="445">
        <f t="shared" si="51"/>
        <v>427.33999999999992</v>
      </c>
      <c r="AL64" s="445">
        <f t="shared" si="52"/>
        <v>103.24000000000001</v>
      </c>
      <c r="AM64" s="491">
        <f t="shared" si="41"/>
        <v>103.19651425094776</v>
      </c>
      <c r="AN64" s="498">
        <f t="shared" si="42"/>
        <v>0.21476255908645214</v>
      </c>
      <c r="AO64" s="431" t="s">
        <v>615</v>
      </c>
      <c r="AP64" s="400"/>
      <c r="AQ64" s="400"/>
    </row>
    <row r="65" spans="1:44" s="527" customFormat="1" ht="14.45" customHeight="1">
      <c r="A65" s="400" t="s">
        <v>267</v>
      </c>
      <c r="B65" s="523" t="s">
        <v>675</v>
      </c>
      <c r="C65" s="523" t="s">
        <v>679</v>
      </c>
      <c r="D65" s="288" t="s">
        <v>160</v>
      </c>
      <c r="E65" s="288" t="s">
        <v>468</v>
      </c>
      <c r="F65" s="288" t="s">
        <v>405</v>
      </c>
      <c r="G65" s="288" t="s">
        <v>692</v>
      </c>
      <c r="H65" s="400">
        <v>22.9</v>
      </c>
      <c r="I65" s="403">
        <f t="shared" si="43"/>
        <v>1387.6933333333334</v>
      </c>
      <c r="J65" s="404">
        <f t="shared" si="43"/>
        <v>1284.9866666666667</v>
      </c>
      <c r="K65" s="405">
        <f t="shared" si="44"/>
        <v>427.34666666666658</v>
      </c>
      <c r="L65" s="405">
        <f t="shared" si="44"/>
        <v>102.70666666666671</v>
      </c>
      <c r="M65" s="657">
        <f t="shared" si="45"/>
        <v>102.66180399987526</v>
      </c>
      <c r="N65" s="657">
        <f t="shared" si="35"/>
        <v>1.51738478794953E-2</v>
      </c>
      <c r="O65" s="638">
        <f t="shared" si="46"/>
        <v>2.4940419955711945E-2</v>
      </c>
      <c r="P65" s="639">
        <f t="shared" si="36"/>
        <v>5.3867159972212806E-3</v>
      </c>
      <c r="Q65" s="444">
        <v>1457.54</v>
      </c>
      <c r="R65" s="445">
        <v>1030.19</v>
      </c>
      <c r="S65" s="445">
        <v>1387.7</v>
      </c>
      <c r="T65" s="445">
        <v>1285.02</v>
      </c>
      <c r="U65" s="445">
        <f t="shared" si="47"/>
        <v>427.34999999999991</v>
      </c>
      <c r="V65" s="445">
        <f t="shared" si="48"/>
        <v>102.68000000000006</v>
      </c>
      <c r="W65" s="491">
        <f t="shared" si="37"/>
        <v>102.63434842634852</v>
      </c>
      <c r="X65" s="498">
        <f t="shared" si="38"/>
        <v>1.5193691353722727E-2</v>
      </c>
      <c r="Y65" s="457">
        <v>1457.54</v>
      </c>
      <c r="Z65" s="458">
        <v>1030.19</v>
      </c>
      <c r="AA65" s="458">
        <v>1387.69</v>
      </c>
      <c r="AB65" s="458">
        <v>1284.98</v>
      </c>
      <c r="AC65" s="458">
        <f t="shared" si="49"/>
        <v>427.34999999999991</v>
      </c>
      <c r="AD65" s="458">
        <f t="shared" si="50"/>
        <v>102.71000000000004</v>
      </c>
      <c r="AE65" s="510">
        <f t="shared" si="39"/>
        <v>102.66433508833515</v>
      </c>
      <c r="AF65" s="511">
        <f t="shared" si="40"/>
        <v>2.5838956358974485E-2</v>
      </c>
      <c r="AG65" s="444">
        <v>1457.54</v>
      </c>
      <c r="AH65" s="445">
        <v>1030.2</v>
      </c>
      <c r="AI65" s="445">
        <v>1387.69</v>
      </c>
      <c r="AJ65" s="445">
        <v>1284.96</v>
      </c>
      <c r="AK65" s="445">
        <f t="shared" si="51"/>
        <v>427.33999999999992</v>
      </c>
      <c r="AL65" s="445">
        <f t="shared" si="52"/>
        <v>102.73000000000002</v>
      </c>
      <c r="AM65" s="491">
        <f t="shared" si="41"/>
        <v>102.68672906818931</v>
      </c>
      <c r="AN65" s="498">
        <f t="shared" si="42"/>
        <v>3.3788819207202891E-2</v>
      </c>
      <c r="AO65" s="431"/>
      <c r="AP65" s="400"/>
      <c r="AQ65" s="400"/>
    </row>
    <row r="66" spans="1:44" s="528" customFormat="1" ht="14.45" customHeight="1">
      <c r="A66" s="410" t="s">
        <v>268</v>
      </c>
      <c r="B66" s="524" t="s">
        <v>675</v>
      </c>
      <c r="C66" s="524" t="s">
        <v>679</v>
      </c>
      <c r="D66" s="525" t="s">
        <v>160</v>
      </c>
      <c r="E66" s="525" t="s">
        <v>468</v>
      </c>
      <c r="F66" s="288" t="s">
        <v>405</v>
      </c>
      <c r="G66" s="525" t="s">
        <v>692</v>
      </c>
      <c r="H66" s="410">
        <v>23</v>
      </c>
      <c r="I66" s="408" t="s">
        <v>419</v>
      </c>
      <c r="J66" s="406" t="s">
        <v>419</v>
      </c>
      <c r="K66" s="406" t="s">
        <v>419</v>
      </c>
      <c r="L66" s="406" t="s">
        <v>419</v>
      </c>
      <c r="M66" s="658" t="s">
        <v>419</v>
      </c>
      <c r="N66" s="658" t="s">
        <v>419</v>
      </c>
      <c r="O66" s="640" t="s">
        <v>419</v>
      </c>
      <c r="P66" s="641" t="s">
        <v>419</v>
      </c>
      <c r="Q66" s="446" t="s">
        <v>419</v>
      </c>
      <c r="R66" s="447" t="s">
        <v>419</v>
      </c>
      <c r="S66" s="447" t="s">
        <v>419</v>
      </c>
      <c r="T66" s="447" t="s">
        <v>419</v>
      </c>
      <c r="U66" s="447" t="s">
        <v>419</v>
      </c>
      <c r="V66" s="447" t="s">
        <v>419</v>
      </c>
      <c r="W66" s="447" t="s">
        <v>419</v>
      </c>
      <c r="X66" s="499" t="s">
        <v>419</v>
      </c>
      <c r="Y66" s="459" t="s">
        <v>419</v>
      </c>
      <c r="Z66" s="460" t="s">
        <v>419</v>
      </c>
      <c r="AA66" s="460" t="s">
        <v>419</v>
      </c>
      <c r="AB66" s="460" t="s">
        <v>419</v>
      </c>
      <c r="AC66" s="460" t="s">
        <v>419</v>
      </c>
      <c r="AD66" s="460" t="s">
        <v>419</v>
      </c>
      <c r="AE66" s="460" t="s">
        <v>419</v>
      </c>
      <c r="AF66" s="512" t="s">
        <v>419</v>
      </c>
      <c r="AG66" s="446" t="s">
        <v>419</v>
      </c>
      <c r="AH66" s="447" t="s">
        <v>419</v>
      </c>
      <c r="AI66" s="447" t="s">
        <v>419</v>
      </c>
      <c r="AJ66" s="447" t="s">
        <v>419</v>
      </c>
      <c r="AK66" s="447" t="s">
        <v>419</v>
      </c>
      <c r="AL66" s="447" t="s">
        <v>419</v>
      </c>
      <c r="AM66" s="447" t="s">
        <v>419</v>
      </c>
      <c r="AN66" s="499" t="s">
        <v>419</v>
      </c>
      <c r="AO66" s="434" t="s">
        <v>616</v>
      </c>
      <c r="AP66" s="410"/>
      <c r="AQ66" s="410"/>
    </row>
    <row r="67" spans="1:44" s="527" customFormat="1" ht="14.45" customHeight="1">
      <c r="A67" s="400" t="s">
        <v>269</v>
      </c>
      <c r="B67" s="523" t="s">
        <v>675</v>
      </c>
      <c r="C67" s="523" t="s">
        <v>679</v>
      </c>
      <c r="D67" s="288" t="s">
        <v>160</v>
      </c>
      <c r="E67" s="288" t="s">
        <v>468</v>
      </c>
      <c r="F67" s="288" t="s">
        <v>405</v>
      </c>
      <c r="G67" s="288" t="s">
        <v>692</v>
      </c>
      <c r="H67" s="400">
        <v>23</v>
      </c>
      <c r="I67" s="403">
        <f t="shared" ref="I67:J69" si="53">(S67+AA67+AI67)/3</f>
        <v>1387.6966666666667</v>
      </c>
      <c r="J67" s="404">
        <f t="shared" si="53"/>
        <v>1285.0033333333333</v>
      </c>
      <c r="K67" s="405">
        <f t="shared" ref="K67:L69" si="54">AVERAGE(AC67,AK67,U67)</f>
        <v>427.34666666666658</v>
      </c>
      <c r="L67" s="405">
        <f t="shared" si="54"/>
        <v>102.69333333333338</v>
      </c>
      <c r="M67" s="657">
        <f>(427.16/K67)*L67</f>
        <v>102.6484764905932</v>
      </c>
      <c r="N67" s="657">
        <f t="shared" si="35"/>
        <v>8.6995422100487416E-3</v>
      </c>
      <c r="O67" s="638">
        <f>-36.42+(0.355*M67)</f>
        <v>2.0209154160582443E-2</v>
      </c>
      <c r="P67" s="639">
        <f t="shared" si="36"/>
        <v>3.0883374845670952E-3</v>
      </c>
      <c r="Q67" s="444">
        <v>1457.57</v>
      </c>
      <c r="R67" s="445">
        <v>1030.23</v>
      </c>
      <c r="S67" s="445">
        <v>1387.68</v>
      </c>
      <c r="T67" s="445">
        <v>1284.99</v>
      </c>
      <c r="U67" s="445">
        <f>Q67-R67</f>
        <v>427.33999999999992</v>
      </c>
      <c r="V67" s="445">
        <f>S67-T67</f>
        <v>102.69000000000005</v>
      </c>
      <c r="W67" s="491">
        <f t="shared" si="37"/>
        <v>102.64674591660045</v>
      </c>
      <c r="X67" s="498">
        <f t="shared" si="38"/>
        <v>1.9594800393157641E-2</v>
      </c>
      <c r="Y67" s="457">
        <v>1457.57</v>
      </c>
      <c r="Z67" s="458">
        <v>1030.22</v>
      </c>
      <c r="AA67" s="458">
        <v>1387.72</v>
      </c>
      <c r="AB67" s="458">
        <v>1285.01</v>
      </c>
      <c r="AC67" s="458">
        <f>Y67-Z67</f>
        <v>427.34999999999991</v>
      </c>
      <c r="AD67" s="458">
        <f>AA67-AB67</f>
        <v>102.71000000000004</v>
      </c>
      <c r="AE67" s="510">
        <f t="shared" si="39"/>
        <v>102.66433508833515</v>
      </c>
      <c r="AF67" s="511">
        <f t="shared" si="40"/>
        <v>2.5838956358974485E-2</v>
      </c>
      <c r="AG67" s="444">
        <v>1457.57</v>
      </c>
      <c r="AH67" s="445">
        <v>1030.22</v>
      </c>
      <c r="AI67" s="445">
        <v>1387.69</v>
      </c>
      <c r="AJ67" s="445">
        <v>1285.01</v>
      </c>
      <c r="AK67" s="445">
        <f>AG67-AH67</f>
        <v>427.34999999999991</v>
      </c>
      <c r="AL67" s="445">
        <f>AI67-AJ67</f>
        <v>102.68000000000006</v>
      </c>
      <c r="AM67" s="491">
        <f t="shared" si="41"/>
        <v>102.63434842634852</v>
      </c>
      <c r="AN67" s="498">
        <f t="shared" si="42"/>
        <v>1.5193691353722727E-2</v>
      </c>
      <c r="AO67" s="431"/>
      <c r="AP67" s="400"/>
      <c r="AQ67" s="400"/>
    </row>
    <row r="68" spans="1:44" s="527" customFormat="1" ht="14.45" customHeight="1">
      <c r="A68" s="400" t="s">
        <v>617</v>
      </c>
      <c r="B68" s="523" t="s">
        <v>675</v>
      </c>
      <c r="C68" s="523" t="s">
        <v>679</v>
      </c>
      <c r="D68" s="288" t="s">
        <v>160</v>
      </c>
      <c r="E68" s="288" t="s">
        <v>468</v>
      </c>
      <c r="F68" s="288" t="s">
        <v>691</v>
      </c>
      <c r="G68" s="288" t="s">
        <v>694</v>
      </c>
      <c r="H68" s="400">
        <v>23</v>
      </c>
      <c r="I68" s="403">
        <f t="shared" si="53"/>
        <v>1386.8266666666666</v>
      </c>
      <c r="J68" s="404">
        <f t="shared" si="53"/>
        <v>1283.573333333333</v>
      </c>
      <c r="K68" s="405">
        <f t="shared" si="54"/>
        <v>427.33999999999992</v>
      </c>
      <c r="L68" s="405">
        <f t="shared" si="54"/>
        <v>103.25333333333333</v>
      </c>
      <c r="M68" s="657">
        <f>(427.16/K68)*L68</f>
        <v>103.20984196814405</v>
      </c>
      <c r="N68" s="657">
        <f t="shared" si="35"/>
        <v>6.6638585981451115E-3</v>
      </c>
      <c r="O68" s="638">
        <f>-36.42+(0.355*M68)</f>
        <v>0.21949389869113389</v>
      </c>
      <c r="P68" s="639">
        <f t="shared" si="36"/>
        <v>2.3656698023420595E-3</v>
      </c>
      <c r="Q68" s="444">
        <v>1457.58</v>
      </c>
      <c r="R68" s="445">
        <v>1030.24</v>
      </c>
      <c r="S68" s="445">
        <v>1386.84</v>
      </c>
      <c r="T68" s="445">
        <v>1283.58</v>
      </c>
      <c r="U68" s="445">
        <f>Q68-R68</f>
        <v>427.33999999999992</v>
      </c>
      <c r="V68" s="445">
        <f>S68-T68</f>
        <v>103.25999999999999</v>
      </c>
      <c r="W68" s="491">
        <f t="shared" si="37"/>
        <v>103.21650582674219</v>
      </c>
      <c r="X68" s="498">
        <f t="shared" si="38"/>
        <v>0.22185956849347832</v>
      </c>
      <c r="Y68" s="457">
        <v>1457.58</v>
      </c>
      <c r="Z68" s="458">
        <v>1030.24</v>
      </c>
      <c r="AA68" s="458">
        <v>1386.81</v>
      </c>
      <c r="AB68" s="458">
        <v>1283.57</v>
      </c>
      <c r="AC68" s="458">
        <f>Y68-Z68</f>
        <v>427.33999999999992</v>
      </c>
      <c r="AD68" s="458">
        <f>AA68-AB68</f>
        <v>103.24000000000001</v>
      </c>
      <c r="AE68" s="510">
        <f t="shared" si="39"/>
        <v>103.19651425094776</v>
      </c>
      <c r="AF68" s="511">
        <f t="shared" si="40"/>
        <v>0.21476255908645214</v>
      </c>
      <c r="AG68" s="444">
        <v>1457.58</v>
      </c>
      <c r="AH68" s="445">
        <v>1030.24</v>
      </c>
      <c r="AI68" s="445">
        <v>1386.83</v>
      </c>
      <c r="AJ68" s="445">
        <v>1283.57</v>
      </c>
      <c r="AK68" s="445">
        <f>AG68-AH68</f>
        <v>427.33999999999992</v>
      </c>
      <c r="AL68" s="445">
        <f>AI68-AJ68</f>
        <v>103.25999999999999</v>
      </c>
      <c r="AM68" s="491">
        <f t="shared" si="41"/>
        <v>103.21650582674219</v>
      </c>
      <c r="AN68" s="498">
        <f t="shared" si="42"/>
        <v>0.22185956849347832</v>
      </c>
      <c r="AO68" s="431"/>
      <c r="AP68" s="395"/>
      <c r="AQ68" s="395"/>
    </row>
    <row r="69" spans="1:44" s="527" customFormat="1" ht="14.45" customHeight="1">
      <c r="A69" s="400" t="s">
        <v>618</v>
      </c>
      <c r="B69" s="523" t="s">
        <v>675</v>
      </c>
      <c r="C69" s="523" t="s">
        <v>679</v>
      </c>
      <c r="D69" s="288" t="s">
        <v>160</v>
      </c>
      <c r="E69" s="288" t="s">
        <v>468</v>
      </c>
      <c r="F69" s="288" t="s">
        <v>691</v>
      </c>
      <c r="G69" s="288" t="s">
        <v>694</v>
      </c>
      <c r="H69" s="400">
        <v>23</v>
      </c>
      <c r="I69" s="403">
        <f t="shared" si="53"/>
        <v>1386.87</v>
      </c>
      <c r="J69" s="404">
        <f t="shared" si="53"/>
        <v>1283.6199999999999</v>
      </c>
      <c r="K69" s="405">
        <f t="shared" si="54"/>
        <v>427.33666666666659</v>
      </c>
      <c r="L69" s="405">
        <f t="shared" si="54"/>
        <v>103.24999999999993</v>
      </c>
      <c r="M69" s="657">
        <f>(427.16/K69)*L69</f>
        <v>103.2073150755454</v>
      </c>
      <c r="N69" s="657">
        <f t="shared" si="35"/>
        <v>5.9915868732394748E-3</v>
      </c>
      <c r="O69" s="638">
        <f>-36.42+(0.355*M69)</f>
        <v>0.21859685181861011</v>
      </c>
      <c r="P69" s="639">
        <f t="shared" si="36"/>
        <v>2.1270133399989158E-3</v>
      </c>
      <c r="Q69" s="444">
        <v>1457.58</v>
      </c>
      <c r="R69" s="445">
        <v>1030.25</v>
      </c>
      <c r="S69" s="445">
        <v>1386.87</v>
      </c>
      <c r="T69" s="445">
        <v>1283.6099999999999</v>
      </c>
      <c r="U69" s="445">
        <f>Q69-R69</f>
        <v>427.32999999999993</v>
      </c>
      <c r="V69" s="445">
        <f>S69-T69</f>
        <v>103.25999999999999</v>
      </c>
      <c r="W69" s="491">
        <f t="shared" si="37"/>
        <v>103.21892120843377</v>
      </c>
      <c r="X69" s="498">
        <f>-36.42+(0.355*W69)</f>
        <v>0.22271702899398349</v>
      </c>
      <c r="Y69" s="457">
        <v>1457.58</v>
      </c>
      <c r="Z69" s="458">
        <v>1030.25</v>
      </c>
      <c r="AA69" s="458">
        <v>1386.87</v>
      </c>
      <c r="AB69" s="458">
        <v>1283.6300000000001</v>
      </c>
      <c r="AC69" s="458">
        <f>Y69-Z69</f>
        <v>427.32999999999993</v>
      </c>
      <c r="AD69" s="458">
        <f>AA69-AB69</f>
        <v>103.23999999999978</v>
      </c>
      <c r="AE69" s="510">
        <f>(427.16/AC69)*AD69</f>
        <v>103.19892916481388</v>
      </c>
      <c r="AF69" s="511">
        <f>-36.42+(0.355*AE69)</f>
        <v>0.21561985350892598</v>
      </c>
      <c r="AG69" s="444">
        <v>1457.59</v>
      </c>
      <c r="AH69" s="445">
        <v>1030.24</v>
      </c>
      <c r="AI69" s="445">
        <v>1386.87</v>
      </c>
      <c r="AJ69" s="445">
        <v>1283.6199999999999</v>
      </c>
      <c r="AK69" s="445">
        <f>AG69-AH69</f>
        <v>427.34999999999991</v>
      </c>
      <c r="AL69" s="445">
        <f>AI69-AJ69</f>
        <v>103.25</v>
      </c>
      <c r="AM69" s="491">
        <f>(427.16/AK69)*AL69</f>
        <v>103.20409500409504</v>
      </c>
      <c r="AN69" s="498">
        <f>-36.42+(0.355*AM69)</f>
        <v>0.21745372645373351</v>
      </c>
      <c r="AO69" s="431"/>
      <c r="AP69" s="395"/>
      <c r="AQ69" s="395"/>
    </row>
    <row r="70" spans="1:44" s="529" customFormat="1" ht="14.45" customHeight="1" thickBot="1">
      <c r="A70" s="416"/>
      <c r="B70" s="526"/>
      <c r="C70" s="526"/>
      <c r="D70" s="302"/>
      <c r="E70" s="302"/>
      <c r="F70" s="302"/>
      <c r="G70" s="302"/>
      <c r="H70" s="416"/>
      <c r="I70" s="417"/>
      <c r="J70" s="418"/>
      <c r="K70" s="418"/>
      <c r="L70" s="418"/>
      <c r="M70" s="661"/>
      <c r="N70" s="661"/>
      <c r="O70" s="646"/>
      <c r="P70" s="647"/>
      <c r="Q70" s="450"/>
      <c r="R70" s="451"/>
      <c r="S70" s="451"/>
      <c r="T70" s="451"/>
      <c r="U70" s="451"/>
      <c r="V70" s="451"/>
      <c r="W70" s="493"/>
      <c r="X70" s="502"/>
      <c r="Y70" s="463"/>
      <c r="Z70" s="464"/>
      <c r="AA70" s="464"/>
      <c r="AB70" s="464"/>
      <c r="AC70" s="464"/>
      <c r="AD70" s="464"/>
      <c r="AE70" s="516"/>
      <c r="AF70" s="517"/>
      <c r="AG70" s="450"/>
      <c r="AH70" s="451"/>
      <c r="AI70" s="451"/>
      <c r="AJ70" s="451"/>
      <c r="AK70" s="451"/>
      <c r="AL70" s="451"/>
      <c r="AM70" s="493"/>
      <c r="AN70" s="502"/>
      <c r="AO70" s="436"/>
      <c r="AP70" s="415"/>
      <c r="AQ70" s="415"/>
    </row>
    <row r="71" spans="1:44" ht="14.45" customHeight="1">
      <c r="A71" s="633" t="s">
        <v>902</v>
      </c>
      <c r="B71" s="523"/>
      <c r="C71" s="523"/>
      <c r="D71" s="288"/>
      <c r="E71" s="288"/>
      <c r="F71" s="288"/>
      <c r="G71" s="288"/>
      <c r="H71" s="401"/>
      <c r="I71" s="402"/>
      <c r="J71" s="400"/>
      <c r="K71" s="400"/>
      <c r="L71" s="400"/>
      <c r="M71" s="662"/>
      <c r="N71" s="662"/>
      <c r="O71" s="648"/>
      <c r="P71" s="649"/>
      <c r="Q71" s="444"/>
      <c r="R71" s="445"/>
      <c r="S71" s="445"/>
      <c r="T71" s="445"/>
      <c r="U71" s="445"/>
      <c r="V71" s="445"/>
      <c r="W71" s="445"/>
      <c r="X71" s="503"/>
      <c r="Y71" s="457"/>
      <c r="Z71" s="458"/>
      <c r="AA71" s="458"/>
      <c r="AB71" s="458"/>
      <c r="AC71" s="458"/>
      <c r="AD71" s="458"/>
      <c r="AE71" s="458"/>
      <c r="AF71" s="518"/>
      <c r="AG71" s="444"/>
      <c r="AH71" s="445"/>
      <c r="AI71" s="445"/>
      <c r="AJ71" s="445"/>
      <c r="AK71" s="445"/>
      <c r="AL71" s="445"/>
      <c r="AM71" s="445"/>
      <c r="AN71" s="503"/>
      <c r="AO71" s="431"/>
      <c r="AP71" s="400"/>
      <c r="AQ71" s="400"/>
    </row>
    <row r="72" spans="1:44" ht="14.45" customHeight="1">
      <c r="A72" s="395" t="s">
        <v>271</v>
      </c>
      <c r="B72" s="523" t="s">
        <v>30</v>
      </c>
      <c r="C72" s="523" t="s">
        <v>156</v>
      </c>
      <c r="D72" s="288">
        <v>1500</v>
      </c>
      <c r="E72" s="288" t="s">
        <v>468</v>
      </c>
      <c r="F72" s="288" t="s">
        <v>690</v>
      </c>
      <c r="G72" s="288" t="s">
        <v>692</v>
      </c>
      <c r="H72" s="419">
        <v>23.3</v>
      </c>
      <c r="I72" s="420">
        <f>(S72+AA72+AI72)/3</f>
        <v>1388.3766666666668</v>
      </c>
      <c r="J72" s="421">
        <f>(T72+AB72+AJ72)/3</f>
        <v>1285.55</v>
      </c>
      <c r="K72" s="422">
        <f>AVERAGE(AC72,AK72,U72)</f>
        <v>427.30666666666667</v>
      </c>
      <c r="L72" s="422">
        <f>AVERAGE(AD72,AL72,V72)</f>
        <v>102.82666666666675</v>
      </c>
      <c r="M72" s="663">
        <f>(427.16/K72)*L72</f>
        <v>102.7913729405892</v>
      </c>
      <c r="N72" s="663">
        <f t="shared" ref="N72:N103" si="55">_xlfn.STDEV.S(W72,AE72,AM72)/SQRT(COUNT(W72,AE72,AM72))</f>
        <v>9.4369191963915074E-3</v>
      </c>
      <c r="O72" s="650">
        <f>-36.42+(0.355*M72)</f>
        <v>7.0937393909161983E-2</v>
      </c>
      <c r="P72" s="651">
        <f t="shared" ref="P72:P103" si="56">_xlfn.STDEV.S(X72,AF72,AN72)/SQRT(COUNT(X72,AF72,AN72))</f>
        <v>3.35010631472066E-3</v>
      </c>
      <c r="Q72" s="442">
        <v>1458.42</v>
      </c>
      <c r="R72" s="443">
        <v>1031.1099999999999</v>
      </c>
      <c r="S72" s="443">
        <v>1388.35</v>
      </c>
      <c r="T72" s="443">
        <v>1285.54</v>
      </c>
      <c r="U72" s="443">
        <f>Q72-R72</f>
        <v>427.31000000000017</v>
      </c>
      <c r="V72" s="443">
        <f>S72-T72</f>
        <v>102.80999999999995</v>
      </c>
      <c r="W72" s="494">
        <f>(427.16/U72)*V72</f>
        <v>102.77391027591202</v>
      </c>
      <c r="X72" s="504">
        <f>-36.42+(0.355*W72)</f>
        <v>6.4738147948759206E-2</v>
      </c>
      <c r="Y72" s="455">
        <v>1458.43</v>
      </c>
      <c r="Z72" s="456">
        <v>1031.1300000000001</v>
      </c>
      <c r="AA72" s="456">
        <v>1388.39</v>
      </c>
      <c r="AB72" s="456">
        <v>1285.55</v>
      </c>
      <c r="AC72" s="456">
        <f>Y72-Z72</f>
        <v>427.29999999999995</v>
      </c>
      <c r="AD72" s="456">
        <f>AA72-AB72</f>
        <v>102.84000000000015</v>
      </c>
      <c r="AE72" s="519">
        <f>(427.16/AC72)*AD72</f>
        <v>102.80630564006569</v>
      </c>
      <c r="AF72" s="520">
        <f>-36.42+(0.355*AE72)</f>
        <v>7.623850222331896E-2</v>
      </c>
      <c r="AG72" s="442">
        <v>1458.45</v>
      </c>
      <c r="AH72" s="443">
        <v>1031.1400000000001</v>
      </c>
      <c r="AI72" s="443">
        <v>1388.39</v>
      </c>
      <c r="AJ72" s="443">
        <v>1285.56</v>
      </c>
      <c r="AK72" s="443">
        <f>AG72-AH72</f>
        <v>427.30999999999995</v>
      </c>
      <c r="AL72" s="443">
        <f>AI72-AJ72</f>
        <v>102.83000000000015</v>
      </c>
      <c r="AM72" s="494">
        <f>(427.16/AK72)*AL72</f>
        <v>102.79390325524813</v>
      </c>
      <c r="AN72" s="504">
        <f>-36.42+(0.355*AM72)</f>
        <v>7.1835655613078586E-2</v>
      </c>
      <c r="AO72" s="437"/>
    </row>
    <row r="73" spans="1:44" s="409" customFormat="1" ht="14.45" customHeight="1">
      <c r="A73" s="409" t="s">
        <v>272</v>
      </c>
      <c r="B73" s="524" t="s">
        <v>30</v>
      </c>
      <c r="C73" s="524" t="s">
        <v>156</v>
      </c>
      <c r="D73" s="525">
        <v>1500</v>
      </c>
      <c r="E73" s="525" t="s">
        <v>468</v>
      </c>
      <c r="F73" s="288" t="s">
        <v>690</v>
      </c>
      <c r="G73" s="525" t="s">
        <v>692</v>
      </c>
      <c r="H73" s="424">
        <v>23.5</v>
      </c>
      <c r="I73" s="408" t="s">
        <v>419</v>
      </c>
      <c r="J73" s="406" t="s">
        <v>419</v>
      </c>
      <c r="K73" s="406" t="s">
        <v>419</v>
      </c>
      <c r="L73" s="406" t="s">
        <v>419</v>
      </c>
      <c r="M73" s="658" t="s">
        <v>419</v>
      </c>
      <c r="N73" s="658" t="s">
        <v>419</v>
      </c>
      <c r="O73" s="640" t="s">
        <v>419</v>
      </c>
      <c r="P73" s="641" t="s">
        <v>419</v>
      </c>
      <c r="Q73" s="446" t="s">
        <v>419</v>
      </c>
      <c r="R73" s="447" t="s">
        <v>419</v>
      </c>
      <c r="S73" s="447" t="s">
        <v>419</v>
      </c>
      <c r="T73" s="447" t="s">
        <v>419</v>
      </c>
      <c r="U73" s="447" t="s">
        <v>419</v>
      </c>
      <c r="V73" s="447" t="s">
        <v>419</v>
      </c>
      <c r="W73" s="447" t="s">
        <v>419</v>
      </c>
      <c r="X73" s="499" t="s">
        <v>419</v>
      </c>
      <c r="Y73" s="459" t="s">
        <v>419</v>
      </c>
      <c r="Z73" s="460" t="s">
        <v>419</v>
      </c>
      <c r="AA73" s="460" t="s">
        <v>419</v>
      </c>
      <c r="AB73" s="460" t="s">
        <v>419</v>
      </c>
      <c r="AC73" s="460" t="s">
        <v>419</v>
      </c>
      <c r="AD73" s="460" t="s">
        <v>419</v>
      </c>
      <c r="AE73" s="460" t="s">
        <v>419</v>
      </c>
      <c r="AF73" s="512" t="s">
        <v>419</v>
      </c>
      <c r="AG73" s="446" t="s">
        <v>419</v>
      </c>
      <c r="AH73" s="447" t="s">
        <v>419</v>
      </c>
      <c r="AI73" s="447" t="s">
        <v>419</v>
      </c>
      <c r="AJ73" s="447" t="s">
        <v>419</v>
      </c>
      <c r="AK73" s="447" t="s">
        <v>419</v>
      </c>
      <c r="AL73" s="447" t="s">
        <v>419</v>
      </c>
      <c r="AM73" s="447" t="s">
        <v>419</v>
      </c>
      <c r="AN73" s="499" t="s">
        <v>419</v>
      </c>
      <c r="AO73" s="438" t="s">
        <v>616</v>
      </c>
    </row>
    <row r="74" spans="1:44" ht="14.45" customHeight="1">
      <c r="A74" s="395" t="s">
        <v>619</v>
      </c>
      <c r="B74" s="523" t="s">
        <v>30</v>
      </c>
      <c r="C74" s="523" t="s">
        <v>156</v>
      </c>
      <c r="D74" s="288">
        <v>1500</v>
      </c>
      <c r="E74" s="288" t="s">
        <v>468</v>
      </c>
      <c r="F74" s="288" t="s">
        <v>691</v>
      </c>
      <c r="G74" s="288" t="s">
        <v>692</v>
      </c>
      <c r="H74" s="419">
        <v>23.5</v>
      </c>
      <c r="I74" s="420">
        <f>(S74+AA74+AI74)/3</f>
        <v>1388.1933333333334</v>
      </c>
      <c r="J74" s="421">
        <f>(T74+AB74+AJ74)/3</f>
        <v>1285.2300000000002</v>
      </c>
      <c r="K74" s="422">
        <f>AVERAGE(AC74,AK74,U74)</f>
        <v>427.29999999999995</v>
      </c>
      <c r="L74" s="422">
        <f>AVERAGE(AD74,AL74,V74)</f>
        <v>102.96333333333337</v>
      </c>
      <c r="M74" s="663">
        <f>(427.16/K74)*L74</f>
        <v>102.92959856463068</v>
      </c>
      <c r="N74" s="663">
        <f t="shared" si="55"/>
        <v>8.8162815354821521E-3</v>
      </c>
      <c r="O74" s="650">
        <f>-36.42+(0.355*M74)</f>
        <v>0.12000749044388925</v>
      </c>
      <c r="P74" s="651">
        <f t="shared" si="56"/>
        <v>3.1297799450945752E-3</v>
      </c>
      <c r="Q74" s="442">
        <v>1458.53</v>
      </c>
      <c r="R74" s="443">
        <v>1031.23</v>
      </c>
      <c r="S74" s="443">
        <v>1388.2</v>
      </c>
      <c r="T74" s="443">
        <v>1285.22</v>
      </c>
      <c r="U74" s="443">
        <f>Q74-R74</f>
        <v>427.29999999999995</v>
      </c>
      <c r="V74" s="443">
        <f>S74-T74</f>
        <v>102.98000000000002</v>
      </c>
      <c r="W74" s="494">
        <f t="shared" ref="W74:W123" si="57">(427.16/U74)*V74</f>
        <v>102.94625977065297</v>
      </c>
      <c r="X74" s="504">
        <f t="shared" ref="X74:X123" si="58">-36.42+(0.355*W74)</f>
        <v>0.12592221858179897</v>
      </c>
      <c r="Y74" s="455">
        <v>1458.52</v>
      </c>
      <c r="Z74" s="456">
        <v>1031.22</v>
      </c>
      <c r="AA74" s="456">
        <v>1388.21</v>
      </c>
      <c r="AB74" s="456">
        <v>1285.25</v>
      </c>
      <c r="AC74" s="456">
        <f>Y74-Z74</f>
        <v>427.29999999999995</v>
      </c>
      <c r="AD74" s="456">
        <f>AA74-AB74</f>
        <v>102.96000000000004</v>
      </c>
      <c r="AE74" s="519">
        <f t="shared" ref="AE74:AE123" si="59">(427.16/AC74)*AD74</f>
        <v>102.92626632342622</v>
      </c>
      <c r="AF74" s="520">
        <f t="shared" ref="AF74:AF123" si="60">-36.42+(0.355*AE74)</f>
        <v>0.11882454481630589</v>
      </c>
      <c r="AG74" s="442">
        <v>1458.52</v>
      </c>
      <c r="AH74" s="443">
        <v>1031.22</v>
      </c>
      <c r="AI74" s="443">
        <v>1388.17</v>
      </c>
      <c r="AJ74" s="443">
        <v>1285.22</v>
      </c>
      <c r="AK74" s="443">
        <f>AG74-AH74</f>
        <v>427.29999999999995</v>
      </c>
      <c r="AL74" s="443">
        <f>AI74-AJ74</f>
        <v>102.95000000000005</v>
      </c>
      <c r="AM74" s="494">
        <f t="shared" ref="AM74:AM123" si="61">(427.16/AK74)*AL74</f>
        <v>102.91626959981284</v>
      </c>
      <c r="AN74" s="504">
        <f t="shared" ref="AN74:AN123" si="62">-36.42+(0.355*AM74)</f>
        <v>0.11527570793355579</v>
      </c>
      <c r="AO74" s="437"/>
    </row>
    <row r="75" spans="1:44" ht="14.45" customHeight="1">
      <c r="A75" s="400" t="s">
        <v>275</v>
      </c>
      <c r="B75" s="523" t="s">
        <v>30</v>
      </c>
      <c r="C75" s="523" t="s">
        <v>156</v>
      </c>
      <c r="D75" s="288">
        <v>1500</v>
      </c>
      <c r="E75" s="288" t="s">
        <v>468</v>
      </c>
      <c r="F75" s="288" t="s">
        <v>405</v>
      </c>
      <c r="G75" s="288" t="s">
        <v>692</v>
      </c>
      <c r="H75" s="401">
        <v>23.6</v>
      </c>
      <c r="I75" s="403">
        <f>(S75+AA75+AI75)/3</f>
        <v>1388.6966666666667</v>
      </c>
      <c r="J75" s="404">
        <f>(T75+AB75+AJ75)/3</f>
        <v>1285.9766666666667</v>
      </c>
      <c r="K75" s="405">
        <f>AVERAGE(AC75,AK75,U75)</f>
        <v>427.28666666666663</v>
      </c>
      <c r="L75" s="405">
        <f>AVERAGE(AD75,AL75,V75)</f>
        <v>102.72000000000003</v>
      </c>
      <c r="M75" s="657">
        <f>(427.16/K75)*L75</f>
        <v>102.68954924874795</v>
      </c>
      <c r="N75" s="657">
        <f t="shared" si="55"/>
        <v>1.4758685614666783E-2</v>
      </c>
      <c r="O75" s="638">
        <f>-36.42+(0.355*M75)</f>
        <v>3.4789983305522298E-2</v>
      </c>
      <c r="P75" s="639">
        <f t="shared" si="56"/>
        <v>5.2393333932070569E-3</v>
      </c>
      <c r="Q75" s="444">
        <v>1458.54</v>
      </c>
      <c r="R75" s="445">
        <v>1031.26</v>
      </c>
      <c r="S75" s="445">
        <v>1388.68</v>
      </c>
      <c r="T75" s="445">
        <v>1285.98</v>
      </c>
      <c r="U75" s="445">
        <f>Q75-R75</f>
        <v>427.28</v>
      </c>
      <c r="V75" s="445">
        <f>S75-T75</f>
        <v>102.70000000000005</v>
      </c>
      <c r="W75" s="491">
        <f t="shared" si="57"/>
        <v>102.67115708668794</v>
      </c>
      <c r="X75" s="498">
        <f t="shared" si="58"/>
        <v>2.8260765774213326E-2</v>
      </c>
      <c r="Y75" s="457">
        <v>1458.54</v>
      </c>
      <c r="Z75" s="458">
        <v>1031.25</v>
      </c>
      <c r="AA75" s="458">
        <v>1388.68</v>
      </c>
      <c r="AB75" s="458">
        <v>1285.97</v>
      </c>
      <c r="AC75" s="458">
        <f>Y75-Z75</f>
        <v>427.28999999999996</v>
      </c>
      <c r="AD75" s="458">
        <f>AA75-AB75</f>
        <v>102.71000000000004</v>
      </c>
      <c r="AE75" s="510">
        <f t="shared" si="59"/>
        <v>102.67875119941965</v>
      </c>
      <c r="AF75" s="511">
        <f t="shared" si="60"/>
        <v>3.0956675793973432E-2</v>
      </c>
      <c r="AG75" s="444">
        <v>1458.53</v>
      </c>
      <c r="AH75" s="445">
        <v>1031.24</v>
      </c>
      <c r="AI75" s="445">
        <v>1388.73</v>
      </c>
      <c r="AJ75" s="445">
        <v>1285.98</v>
      </c>
      <c r="AK75" s="445">
        <f>AG75-AH75</f>
        <v>427.28999999999996</v>
      </c>
      <c r="AL75" s="445">
        <f>AI75-AJ75</f>
        <v>102.75</v>
      </c>
      <c r="AM75" s="491">
        <f t="shared" si="61"/>
        <v>102.71873902969881</v>
      </c>
      <c r="AN75" s="498">
        <f t="shared" si="62"/>
        <v>4.5152355543073952E-2</v>
      </c>
      <c r="AO75" s="431"/>
      <c r="AP75" s="400"/>
    </row>
    <row r="76" spans="1:44" s="409" customFormat="1" ht="14.45" customHeight="1">
      <c r="A76" s="410" t="s">
        <v>620</v>
      </c>
      <c r="B76" s="524" t="s">
        <v>30</v>
      </c>
      <c r="C76" s="524" t="s">
        <v>156</v>
      </c>
      <c r="D76" s="525">
        <v>1500</v>
      </c>
      <c r="E76" s="525" t="s">
        <v>468</v>
      </c>
      <c r="F76" s="288" t="s">
        <v>405</v>
      </c>
      <c r="G76" s="525" t="s">
        <v>692</v>
      </c>
      <c r="H76" s="411">
        <v>23.6</v>
      </c>
      <c r="I76" s="408" t="s">
        <v>419</v>
      </c>
      <c r="J76" s="406" t="s">
        <v>419</v>
      </c>
      <c r="K76" s="406" t="s">
        <v>419</v>
      </c>
      <c r="L76" s="406" t="s">
        <v>419</v>
      </c>
      <c r="M76" s="658" t="s">
        <v>419</v>
      </c>
      <c r="N76" s="658" t="s">
        <v>419</v>
      </c>
      <c r="O76" s="640" t="s">
        <v>419</v>
      </c>
      <c r="P76" s="641" t="s">
        <v>419</v>
      </c>
      <c r="Q76" s="446" t="s">
        <v>419</v>
      </c>
      <c r="R76" s="447" t="s">
        <v>419</v>
      </c>
      <c r="S76" s="447" t="s">
        <v>419</v>
      </c>
      <c r="T76" s="447" t="s">
        <v>419</v>
      </c>
      <c r="U76" s="447" t="s">
        <v>419</v>
      </c>
      <c r="V76" s="447" t="s">
        <v>419</v>
      </c>
      <c r="W76" s="447" t="s">
        <v>419</v>
      </c>
      <c r="X76" s="499" t="s">
        <v>419</v>
      </c>
      <c r="Y76" s="459" t="s">
        <v>419</v>
      </c>
      <c r="Z76" s="460" t="s">
        <v>419</v>
      </c>
      <c r="AA76" s="460" t="s">
        <v>419</v>
      </c>
      <c r="AB76" s="460" t="s">
        <v>419</v>
      </c>
      <c r="AC76" s="460" t="s">
        <v>419</v>
      </c>
      <c r="AD76" s="460" t="s">
        <v>419</v>
      </c>
      <c r="AE76" s="460" t="s">
        <v>419</v>
      </c>
      <c r="AF76" s="512" t="s">
        <v>419</v>
      </c>
      <c r="AG76" s="446" t="s">
        <v>419</v>
      </c>
      <c r="AH76" s="447" t="s">
        <v>419</v>
      </c>
      <c r="AI76" s="447" t="s">
        <v>419</v>
      </c>
      <c r="AJ76" s="447" t="s">
        <v>419</v>
      </c>
      <c r="AK76" s="447" t="s">
        <v>419</v>
      </c>
      <c r="AL76" s="447" t="s">
        <v>419</v>
      </c>
      <c r="AM76" s="447" t="s">
        <v>419</v>
      </c>
      <c r="AN76" s="499" t="s">
        <v>419</v>
      </c>
      <c r="AO76" s="434" t="s">
        <v>621</v>
      </c>
      <c r="AP76" s="410"/>
      <c r="AR76" s="410"/>
    </row>
    <row r="77" spans="1:44" s="409" customFormat="1" ht="14.45" customHeight="1">
      <c r="A77" s="410" t="s">
        <v>622</v>
      </c>
      <c r="B77" s="524" t="s">
        <v>30</v>
      </c>
      <c r="C77" s="524" t="s">
        <v>156</v>
      </c>
      <c r="D77" s="525">
        <v>1500</v>
      </c>
      <c r="E77" s="525" t="s">
        <v>468</v>
      </c>
      <c r="F77" s="288" t="s">
        <v>405</v>
      </c>
      <c r="G77" s="525" t="s">
        <v>692</v>
      </c>
      <c r="H77" s="411">
        <v>23.6</v>
      </c>
      <c r="I77" s="408" t="s">
        <v>419</v>
      </c>
      <c r="J77" s="406" t="s">
        <v>419</v>
      </c>
      <c r="K77" s="406" t="s">
        <v>419</v>
      </c>
      <c r="L77" s="406" t="s">
        <v>419</v>
      </c>
      <c r="M77" s="658" t="s">
        <v>419</v>
      </c>
      <c r="N77" s="658" t="s">
        <v>419</v>
      </c>
      <c r="O77" s="640" t="s">
        <v>419</v>
      </c>
      <c r="P77" s="641" t="s">
        <v>419</v>
      </c>
      <c r="Q77" s="446" t="s">
        <v>419</v>
      </c>
      <c r="R77" s="447" t="s">
        <v>419</v>
      </c>
      <c r="S77" s="447" t="s">
        <v>419</v>
      </c>
      <c r="T77" s="447" t="s">
        <v>419</v>
      </c>
      <c r="U77" s="447" t="s">
        <v>419</v>
      </c>
      <c r="V77" s="447" t="s">
        <v>419</v>
      </c>
      <c r="W77" s="447" t="s">
        <v>419</v>
      </c>
      <c r="X77" s="499" t="s">
        <v>419</v>
      </c>
      <c r="Y77" s="459" t="s">
        <v>419</v>
      </c>
      <c r="Z77" s="460" t="s">
        <v>419</v>
      </c>
      <c r="AA77" s="460" t="s">
        <v>419</v>
      </c>
      <c r="AB77" s="460" t="s">
        <v>419</v>
      </c>
      <c r="AC77" s="460" t="s">
        <v>419</v>
      </c>
      <c r="AD77" s="460" t="s">
        <v>419</v>
      </c>
      <c r="AE77" s="460" t="s">
        <v>419</v>
      </c>
      <c r="AF77" s="512" t="s">
        <v>419</v>
      </c>
      <c r="AG77" s="446" t="s">
        <v>419</v>
      </c>
      <c r="AH77" s="447" t="s">
        <v>419</v>
      </c>
      <c r="AI77" s="447" t="s">
        <v>419</v>
      </c>
      <c r="AJ77" s="447" t="s">
        <v>419</v>
      </c>
      <c r="AK77" s="447" t="s">
        <v>419</v>
      </c>
      <c r="AL77" s="447" t="s">
        <v>419</v>
      </c>
      <c r="AM77" s="447" t="s">
        <v>419</v>
      </c>
      <c r="AN77" s="499" t="s">
        <v>419</v>
      </c>
      <c r="AO77" s="434" t="s">
        <v>621</v>
      </c>
      <c r="AP77" s="410"/>
      <c r="AR77" s="410"/>
    </row>
    <row r="78" spans="1:44" ht="14.45" customHeight="1">
      <c r="A78" s="400" t="s">
        <v>623</v>
      </c>
      <c r="B78" s="523" t="s">
        <v>30</v>
      </c>
      <c r="C78" s="523" t="s">
        <v>156</v>
      </c>
      <c r="D78" s="288">
        <v>1500</v>
      </c>
      <c r="E78" s="288" t="s">
        <v>468</v>
      </c>
      <c r="F78" s="288" t="s">
        <v>691</v>
      </c>
      <c r="G78" s="288" t="s">
        <v>692</v>
      </c>
      <c r="H78" s="401">
        <v>23.6</v>
      </c>
      <c r="I78" s="403">
        <f t="shared" ref="I78:I92" si="63">(S78+AA78+AI78)/3</f>
        <v>1388.3833333333334</v>
      </c>
      <c r="J78" s="404">
        <f t="shared" ref="J78:J92" si="64">(T78+AB78+AJ78)/3</f>
        <v>1285.3733333333332</v>
      </c>
      <c r="K78" s="405">
        <f t="shared" ref="K78:K92" si="65">AVERAGE(AC78,AK78,U78)</f>
        <v>427.28999999999996</v>
      </c>
      <c r="L78" s="405">
        <f t="shared" ref="L78:L92" si="66">AVERAGE(AD78,AL78,V78)</f>
        <v>103.01000000000015</v>
      </c>
      <c r="M78" s="657">
        <f t="shared" ref="M78:M85" si="67">(427.16/K78)*L78</f>
        <v>102.97865992651377</v>
      </c>
      <c r="N78" s="657">
        <f t="shared" si="55"/>
        <v>7.5865203911229963E-14</v>
      </c>
      <c r="O78" s="638">
        <f t="shared" ref="O78:O85" si="68">-36.42+(0.355*M78)</f>
        <v>0.13742427391238721</v>
      </c>
      <c r="P78" s="639">
        <f t="shared" si="56"/>
        <v>2.6053234465902278E-14</v>
      </c>
      <c r="Q78" s="444">
        <v>1458.58</v>
      </c>
      <c r="R78" s="445">
        <v>1031.29</v>
      </c>
      <c r="S78" s="445">
        <v>1388.39</v>
      </c>
      <c r="T78" s="445">
        <v>1285.3800000000001</v>
      </c>
      <c r="U78" s="445">
        <f t="shared" ref="U78:U85" si="69">Q78-R78</f>
        <v>427.28999999999996</v>
      </c>
      <c r="V78" s="445">
        <f t="shared" ref="V78:V85" si="70">S78-T78</f>
        <v>103.00999999999999</v>
      </c>
      <c r="W78" s="491">
        <f t="shared" si="57"/>
        <v>102.97865992651361</v>
      </c>
      <c r="X78" s="498">
        <f t="shared" si="58"/>
        <v>0.13742427391233036</v>
      </c>
      <c r="Y78" s="457">
        <v>1458.57</v>
      </c>
      <c r="Z78" s="458">
        <v>1031.28</v>
      </c>
      <c r="AA78" s="458">
        <v>1388.38</v>
      </c>
      <c r="AB78" s="458">
        <v>1285.3699999999999</v>
      </c>
      <c r="AC78" s="458">
        <f t="shared" ref="AC78:AC85" si="71">Y78-Z78</f>
        <v>427.28999999999996</v>
      </c>
      <c r="AD78" s="458">
        <f t="shared" ref="AD78:AD85" si="72">AA78-AB78</f>
        <v>103.01000000000022</v>
      </c>
      <c r="AE78" s="510">
        <f t="shared" si="59"/>
        <v>102.97865992651384</v>
      </c>
      <c r="AF78" s="511">
        <f t="shared" si="60"/>
        <v>0.13742427391240852</v>
      </c>
      <c r="AG78" s="444">
        <v>1458.57</v>
      </c>
      <c r="AH78" s="445">
        <v>1031.28</v>
      </c>
      <c r="AI78" s="445">
        <v>1388.38</v>
      </c>
      <c r="AJ78" s="445">
        <v>1285.3699999999999</v>
      </c>
      <c r="AK78" s="445">
        <f t="shared" ref="AK78:AK85" si="73">AG78-AH78</f>
        <v>427.28999999999996</v>
      </c>
      <c r="AL78" s="445">
        <f t="shared" ref="AL78:AL85" si="74">AI78-AJ78</f>
        <v>103.01000000000022</v>
      </c>
      <c r="AM78" s="491">
        <f t="shared" si="61"/>
        <v>102.97865992651384</v>
      </c>
      <c r="AN78" s="498">
        <f t="shared" si="62"/>
        <v>0.13742427391240852</v>
      </c>
      <c r="AO78" s="431"/>
      <c r="AP78" s="400"/>
      <c r="AR78" s="400"/>
    </row>
    <row r="79" spans="1:44" ht="14.45" customHeight="1">
      <c r="A79" s="400" t="s">
        <v>681</v>
      </c>
      <c r="B79" s="523" t="s">
        <v>30</v>
      </c>
      <c r="C79" s="523" t="s">
        <v>156</v>
      </c>
      <c r="D79" s="288">
        <v>1500</v>
      </c>
      <c r="E79" s="288" t="s">
        <v>468</v>
      </c>
      <c r="F79" s="288" t="s">
        <v>690</v>
      </c>
      <c r="G79" s="288" t="s">
        <v>692</v>
      </c>
      <c r="H79" s="401">
        <v>23.4</v>
      </c>
      <c r="I79" s="403">
        <f t="shared" si="63"/>
        <v>1387.7166666666665</v>
      </c>
      <c r="J79" s="404">
        <f t="shared" si="64"/>
        <v>1284.71</v>
      </c>
      <c r="K79" s="405">
        <f t="shared" si="65"/>
        <v>427.32</v>
      </c>
      <c r="L79" s="405">
        <f t="shared" si="66"/>
        <v>103.00666666666666</v>
      </c>
      <c r="M79" s="657">
        <f t="shared" si="67"/>
        <v>102.96809822459359</v>
      </c>
      <c r="N79" s="657">
        <f t="shared" si="55"/>
        <v>2.2381424228919643E-3</v>
      </c>
      <c r="O79" s="638">
        <f t="shared" si="68"/>
        <v>0.13367486973071863</v>
      </c>
      <c r="P79" s="639">
        <f t="shared" si="56"/>
        <v>7.9454056012790569E-4</v>
      </c>
      <c r="Q79" s="444">
        <v>1458.13</v>
      </c>
      <c r="R79" s="445">
        <v>1030.82</v>
      </c>
      <c r="S79" s="445">
        <v>1387.72</v>
      </c>
      <c r="T79" s="445">
        <v>1284.72</v>
      </c>
      <c r="U79" s="445">
        <f t="shared" si="69"/>
        <v>427.31000000000017</v>
      </c>
      <c r="V79" s="445">
        <f t="shared" si="70"/>
        <v>103</v>
      </c>
      <c r="W79" s="491">
        <f t="shared" si="57"/>
        <v>102.9638435796026</v>
      </c>
      <c r="X79" s="498">
        <f t="shared" si="58"/>
        <v>0.1321644707589158</v>
      </c>
      <c r="Y79" s="457">
        <v>1458.12</v>
      </c>
      <c r="Z79" s="458">
        <v>1030.8</v>
      </c>
      <c r="AA79" s="458">
        <v>1387.72</v>
      </c>
      <c r="AB79" s="458">
        <v>1284.71</v>
      </c>
      <c r="AC79" s="458">
        <f t="shared" si="71"/>
        <v>427.31999999999994</v>
      </c>
      <c r="AD79" s="458">
        <f t="shared" si="72"/>
        <v>103.00999999999999</v>
      </c>
      <c r="AE79" s="510">
        <f t="shared" si="59"/>
        <v>102.97143030983807</v>
      </c>
      <c r="AF79" s="511">
        <f t="shared" si="60"/>
        <v>0.13485775999251359</v>
      </c>
      <c r="AG79" s="444">
        <v>1458.11</v>
      </c>
      <c r="AH79" s="445">
        <v>1030.78</v>
      </c>
      <c r="AI79" s="445">
        <v>1387.71</v>
      </c>
      <c r="AJ79" s="445">
        <v>1284.7</v>
      </c>
      <c r="AK79" s="445">
        <f t="shared" si="73"/>
        <v>427.32999999999993</v>
      </c>
      <c r="AL79" s="445">
        <f t="shared" si="74"/>
        <v>103.00999999999999</v>
      </c>
      <c r="AM79" s="491">
        <f t="shared" si="61"/>
        <v>102.96902066318771</v>
      </c>
      <c r="AN79" s="498">
        <f t="shared" si="62"/>
        <v>0.13400233543163154</v>
      </c>
      <c r="AO79" s="431"/>
      <c r="AP79" s="400"/>
      <c r="AR79" s="400"/>
    </row>
    <row r="80" spans="1:44" ht="14.45" customHeight="1">
      <c r="A80" s="400" t="s">
        <v>624</v>
      </c>
      <c r="B80" s="523" t="s">
        <v>30</v>
      </c>
      <c r="C80" s="523" t="s">
        <v>156</v>
      </c>
      <c r="D80" s="288">
        <v>1500</v>
      </c>
      <c r="E80" s="288" t="s">
        <v>468</v>
      </c>
      <c r="F80" s="288" t="s">
        <v>690</v>
      </c>
      <c r="G80" s="288" t="s">
        <v>692</v>
      </c>
      <c r="H80" s="401">
        <v>23.4</v>
      </c>
      <c r="I80" s="403">
        <f t="shared" si="63"/>
        <v>1387.8733333333332</v>
      </c>
      <c r="J80" s="404">
        <f t="shared" si="64"/>
        <v>1284.9100000000001</v>
      </c>
      <c r="K80" s="405">
        <f t="shared" si="65"/>
        <v>427.31333333333333</v>
      </c>
      <c r="L80" s="405">
        <f t="shared" si="66"/>
        <v>102.96333333333321</v>
      </c>
      <c r="M80" s="657">
        <f t="shared" si="67"/>
        <v>102.92638688238128</v>
      </c>
      <c r="N80" s="657">
        <f t="shared" si="55"/>
        <v>3.7977852166689373E-3</v>
      </c>
      <c r="O80" s="638">
        <f t="shared" si="68"/>
        <v>0.11886734324534842</v>
      </c>
      <c r="P80" s="639">
        <f t="shared" si="56"/>
        <v>1.3482137519169081E-3</v>
      </c>
      <c r="Q80" s="444">
        <v>1458.2</v>
      </c>
      <c r="R80" s="445">
        <v>1030.8900000000001</v>
      </c>
      <c r="S80" s="445">
        <v>1387.88</v>
      </c>
      <c r="T80" s="445">
        <v>1284.9100000000001</v>
      </c>
      <c r="U80" s="445">
        <f t="shared" si="69"/>
        <v>427.30999999999995</v>
      </c>
      <c r="V80" s="445">
        <f t="shared" si="70"/>
        <v>102.97000000000003</v>
      </c>
      <c r="W80" s="491">
        <f t="shared" si="57"/>
        <v>102.93385411059892</v>
      </c>
      <c r="X80" s="498">
        <f t="shared" si="58"/>
        <v>0.12151820926261081</v>
      </c>
      <c r="Y80" s="457">
        <v>1458.19</v>
      </c>
      <c r="Z80" s="458">
        <v>1030.8800000000001</v>
      </c>
      <c r="AA80" s="458">
        <v>1387.87</v>
      </c>
      <c r="AB80" s="458">
        <v>1284.9100000000001</v>
      </c>
      <c r="AC80" s="458">
        <f t="shared" si="71"/>
        <v>427.30999999999995</v>
      </c>
      <c r="AD80" s="458">
        <f t="shared" si="72"/>
        <v>102.95999999999981</v>
      </c>
      <c r="AE80" s="510">
        <f t="shared" si="59"/>
        <v>102.92385762093078</v>
      </c>
      <c r="AF80" s="511">
        <f t="shared" si="60"/>
        <v>0.11796945543041915</v>
      </c>
      <c r="AG80" s="444">
        <v>1458.19</v>
      </c>
      <c r="AH80" s="445">
        <v>1030.8699999999999</v>
      </c>
      <c r="AI80" s="445">
        <v>1387.87</v>
      </c>
      <c r="AJ80" s="445">
        <v>1284.9100000000001</v>
      </c>
      <c r="AK80" s="445">
        <f t="shared" si="73"/>
        <v>427.32000000000016</v>
      </c>
      <c r="AL80" s="445">
        <f t="shared" si="74"/>
        <v>102.95999999999981</v>
      </c>
      <c r="AM80" s="491">
        <f t="shared" si="61"/>
        <v>102.92144903117079</v>
      </c>
      <c r="AN80" s="498">
        <f t="shared" si="62"/>
        <v>0.11711440606563173</v>
      </c>
      <c r="AO80" s="431"/>
      <c r="AP80" s="400"/>
      <c r="AR80" s="400"/>
    </row>
    <row r="81" spans="1:45" ht="14.45" customHeight="1">
      <c r="A81" s="400" t="s">
        <v>625</v>
      </c>
      <c r="B81" s="523" t="s">
        <v>30</v>
      </c>
      <c r="C81" s="523" t="s">
        <v>156</v>
      </c>
      <c r="D81" s="288">
        <v>1500</v>
      </c>
      <c r="E81" s="288" t="s">
        <v>468</v>
      </c>
      <c r="F81" s="288" t="s">
        <v>691</v>
      </c>
      <c r="G81" s="288" t="s">
        <v>692</v>
      </c>
      <c r="H81" s="401">
        <v>23.5</v>
      </c>
      <c r="I81" s="403">
        <f t="shared" si="63"/>
        <v>1387.9899999999998</v>
      </c>
      <c r="J81" s="404">
        <f t="shared" si="64"/>
        <v>1285.0033333333333</v>
      </c>
      <c r="K81" s="405">
        <f t="shared" si="65"/>
        <v>427.31666666666661</v>
      </c>
      <c r="L81" s="405">
        <f t="shared" si="66"/>
        <v>102.98666666666668</v>
      </c>
      <c r="M81" s="657">
        <f t="shared" si="67"/>
        <v>102.94890877179301</v>
      </c>
      <c r="N81" s="657">
        <f t="shared" si="55"/>
        <v>2.5290660348152487E-3</v>
      </c>
      <c r="O81" s="638">
        <f t="shared" si="68"/>
        <v>0.12686261398651766</v>
      </c>
      <c r="P81" s="639">
        <f t="shared" si="56"/>
        <v>8.9781844236114239E-4</v>
      </c>
      <c r="Q81" s="444">
        <v>1458.24</v>
      </c>
      <c r="R81" s="445">
        <v>1030.92</v>
      </c>
      <c r="S81" s="445">
        <v>1388</v>
      </c>
      <c r="T81" s="445">
        <v>1285.01</v>
      </c>
      <c r="U81" s="445">
        <f t="shared" si="69"/>
        <v>427.31999999999994</v>
      </c>
      <c r="V81" s="445">
        <f t="shared" si="70"/>
        <v>102.99000000000001</v>
      </c>
      <c r="W81" s="491">
        <f t="shared" si="57"/>
        <v>102.95143779837127</v>
      </c>
      <c r="X81" s="498">
        <f t="shared" si="58"/>
        <v>0.12776041842180064</v>
      </c>
      <c r="Y81" s="457">
        <v>1458.23</v>
      </c>
      <c r="Z81" s="458">
        <v>1030.9100000000001</v>
      </c>
      <c r="AA81" s="458">
        <v>1387.99</v>
      </c>
      <c r="AB81" s="458">
        <v>1285</v>
      </c>
      <c r="AC81" s="458">
        <f t="shared" si="71"/>
        <v>427.31999999999994</v>
      </c>
      <c r="AD81" s="458">
        <f t="shared" si="72"/>
        <v>102.99000000000001</v>
      </c>
      <c r="AE81" s="510">
        <f t="shared" si="59"/>
        <v>102.95143779837127</v>
      </c>
      <c r="AF81" s="511">
        <f t="shared" si="60"/>
        <v>0.12776041842180064</v>
      </c>
      <c r="AG81" s="444">
        <v>1458.22</v>
      </c>
      <c r="AH81" s="445">
        <v>1030.9100000000001</v>
      </c>
      <c r="AI81" s="445">
        <v>1387.98</v>
      </c>
      <c r="AJ81" s="445">
        <v>1285</v>
      </c>
      <c r="AK81" s="445">
        <f t="shared" si="73"/>
        <v>427.30999999999995</v>
      </c>
      <c r="AL81" s="445">
        <f t="shared" si="74"/>
        <v>102.98000000000002</v>
      </c>
      <c r="AM81" s="491">
        <f t="shared" si="61"/>
        <v>102.94385060026683</v>
      </c>
      <c r="AN81" s="498">
        <f t="shared" si="62"/>
        <v>0.12506696309471721</v>
      </c>
      <c r="AO81" s="431"/>
      <c r="AR81" s="400"/>
    </row>
    <row r="82" spans="1:45" ht="14.45" customHeight="1">
      <c r="A82" s="400" t="s">
        <v>626</v>
      </c>
      <c r="B82" s="523" t="s">
        <v>30</v>
      </c>
      <c r="C82" s="523" t="s">
        <v>156</v>
      </c>
      <c r="D82" s="288">
        <v>1500</v>
      </c>
      <c r="E82" s="288" t="s">
        <v>468</v>
      </c>
      <c r="F82" s="288" t="s">
        <v>690</v>
      </c>
      <c r="G82" s="288" t="s">
        <v>692</v>
      </c>
      <c r="H82" s="401">
        <v>23.5</v>
      </c>
      <c r="I82" s="403">
        <f t="shared" si="63"/>
        <v>1388.0266666666666</v>
      </c>
      <c r="J82" s="404">
        <f t="shared" si="64"/>
        <v>1285.07</v>
      </c>
      <c r="K82" s="405">
        <f t="shared" si="65"/>
        <v>427.31666666666661</v>
      </c>
      <c r="L82" s="405">
        <f t="shared" si="66"/>
        <v>102.95666666666671</v>
      </c>
      <c r="M82" s="657">
        <f t="shared" si="67"/>
        <v>102.91891977066194</v>
      </c>
      <c r="N82" s="657">
        <f t="shared" si="55"/>
        <v>3.7977085564333169E-3</v>
      </c>
      <c r="O82" s="638">
        <f t="shared" si="68"/>
        <v>0.11621651858498439</v>
      </c>
      <c r="P82" s="639">
        <f t="shared" si="56"/>
        <v>1.3481865375346261E-3</v>
      </c>
      <c r="Q82" s="444">
        <v>1458.28</v>
      </c>
      <c r="R82" s="445">
        <v>1030.96</v>
      </c>
      <c r="S82" s="445">
        <v>1388.02</v>
      </c>
      <c r="T82" s="445">
        <v>1285.07</v>
      </c>
      <c r="U82" s="445">
        <f t="shared" si="69"/>
        <v>427.31999999999994</v>
      </c>
      <c r="V82" s="445">
        <f t="shared" si="70"/>
        <v>102.95000000000005</v>
      </c>
      <c r="W82" s="491">
        <f t="shared" si="57"/>
        <v>102.91145277543767</v>
      </c>
      <c r="X82" s="498">
        <f t="shared" si="58"/>
        <v>0.11356573528036762</v>
      </c>
      <c r="Y82" s="457">
        <v>1458.27</v>
      </c>
      <c r="Z82" s="458">
        <v>1030.95</v>
      </c>
      <c r="AA82" s="458">
        <v>1388.03</v>
      </c>
      <c r="AB82" s="458">
        <v>1285.07</v>
      </c>
      <c r="AC82" s="458">
        <f t="shared" si="71"/>
        <v>427.31999999999994</v>
      </c>
      <c r="AD82" s="458">
        <f t="shared" si="72"/>
        <v>102.96000000000004</v>
      </c>
      <c r="AE82" s="510">
        <f t="shared" si="59"/>
        <v>102.92144903117108</v>
      </c>
      <c r="AF82" s="511">
        <f t="shared" si="60"/>
        <v>0.1171144060657312</v>
      </c>
      <c r="AG82" s="444">
        <v>1458.26</v>
      </c>
      <c r="AH82" s="445">
        <v>1030.95</v>
      </c>
      <c r="AI82" s="445">
        <v>1388.03</v>
      </c>
      <c r="AJ82" s="445">
        <v>1285.07</v>
      </c>
      <c r="AK82" s="445">
        <f t="shared" si="73"/>
        <v>427.30999999999995</v>
      </c>
      <c r="AL82" s="445">
        <f t="shared" si="74"/>
        <v>102.96000000000004</v>
      </c>
      <c r="AM82" s="491">
        <f t="shared" si="61"/>
        <v>102.923857620931</v>
      </c>
      <c r="AN82" s="498">
        <f t="shared" si="62"/>
        <v>0.11796945543050441</v>
      </c>
      <c r="AO82" s="431"/>
      <c r="AR82" s="400"/>
    </row>
    <row r="83" spans="1:45" ht="14.45" customHeight="1">
      <c r="A83" s="400" t="s">
        <v>627</v>
      </c>
      <c r="B83" s="523" t="s">
        <v>30</v>
      </c>
      <c r="C83" s="523" t="s">
        <v>156</v>
      </c>
      <c r="D83" s="288">
        <v>1500</v>
      </c>
      <c r="E83" s="288" t="s">
        <v>468</v>
      </c>
      <c r="F83" s="288" t="s">
        <v>691</v>
      </c>
      <c r="G83" s="288" t="s">
        <v>692</v>
      </c>
      <c r="H83" s="401">
        <v>23.5</v>
      </c>
      <c r="I83" s="403">
        <f t="shared" si="63"/>
        <v>1388.0366666666669</v>
      </c>
      <c r="J83" s="404">
        <f t="shared" si="64"/>
        <v>1285.0866666666666</v>
      </c>
      <c r="K83" s="405">
        <f t="shared" si="65"/>
        <v>427.30999999999995</v>
      </c>
      <c r="L83" s="405">
        <f t="shared" si="66"/>
        <v>102.95000000000005</v>
      </c>
      <c r="M83" s="657">
        <f t="shared" si="67"/>
        <v>102.91386113126309</v>
      </c>
      <c r="N83" s="657">
        <f t="shared" si="55"/>
        <v>6.5779781091486701E-3</v>
      </c>
      <c r="O83" s="638">
        <f t="shared" si="68"/>
        <v>0.11442070159839091</v>
      </c>
      <c r="P83" s="639">
        <f t="shared" si="56"/>
        <v>2.335182228748304E-3</v>
      </c>
      <c r="Q83" s="444">
        <v>1458.3</v>
      </c>
      <c r="R83" s="445">
        <v>1031</v>
      </c>
      <c r="S83" s="445">
        <v>1388.05</v>
      </c>
      <c r="T83" s="445">
        <v>1285.0899999999999</v>
      </c>
      <c r="U83" s="445">
        <f t="shared" si="69"/>
        <v>427.29999999999995</v>
      </c>
      <c r="V83" s="445">
        <f t="shared" si="70"/>
        <v>102.96000000000004</v>
      </c>
      <c r="W83" s="491">
        <f t="shared" si="57"/>
        <v>102.92626632342622</v>
      </c>
      <c r="X83" s="498">
        <f t="shared" si="58"/>
        <v>0.11882454481630589</v>
      </c>
      <c r="Y83" s="457">
        <v>1458.3</v>
      </c>
      <c r="Z83" s="458">
        <v>1030.98</v>
      </c>
      <c r="AA83" s="458">
        <v>1388.04</v>
      </c>
      <c r="AB83" s="458">
        <v>1285.0899999999999</v>
      </c>
      <c r="AC83" s="458">
        <f t="shared" si="71"/>
        <v>427.31999999999994</v>
      </c>
      <c r="AD83" s="458">
        <f t="shared" si="72"/>
        <v>102.95000000000005</v>
      </c>
      <c r="AE83" s="510">
        <f t="shared" si="59"/>
        <v>102.91145277543767</v>
      </c>
      <c r="AF83" s="511">
        <f t="shared" si="60"/>
        <v>0.11356573528036762</v>
      </c>
      <c r="AG83" s="444">
        <v>1458.29</v>
      </c>
      <c r="AH83" s="445">
        <v>1030.98</v>
      </c>
      <c r="AI83" s="445">
        <v>1388.02</v>
      </c>
      <c r="AJ83" s="445">
        <v>1285.08</v>
      </c>
      <c r="AK83" s="445">
        <f t="shared" si="73"/>
        <v>427.30999999999995</v>
      </c>
      <c r="AL83" s="445">
        <f t="shared" si="74"/>
        <v>102.94000000000005</v>
      </c>
      <c r="AM83" s="491">
        <f t="shared" si="61"/>
        <v>102.90386464159518</v>
      </c>
      <c r="AN83" s="498">
        <f t="shared" si="62"/>
        <v>0.11087194776628451</v>
      </c>
      <c r="AO83" s="431"/>
      <c r="AR83" s="400"/>
    </row>
    <row r="84" spans="1:45" ht="14.45" customHeight="1">
      <c r="A84" s="400" t="s">
        <v>628</v>
      </c>
      <c r="B84" s="523" t="s">
        <v>30</v>
      </c>
      <c r="C84" s="523" t="s">
        <v>156</v>
      </c>
      <c r="D84" s="288">
        <v>1500</v>
      </c>
      <c r="E84" s="288" t="s">
        <v>468</v>
      </c>
      <c r="F84" s="288" t="s">
        <v>691</v>
      </c>
      <c r="G84" s="288" t="s">
        <v>692</v>
      </c>
      <c r="H84" s="401">
        <v>23.5</v>
      </c>
      <c r="I84" s="403">
        <f t="shared" si="63"/>
        <v>1388.0333333333331</v>
      </c>
      <c r="J84" s="404">
        <f t="shared" si="64"/>
        <v>1285.073333333333</v>
      </c>
      <c r="K84" s="405">
        <f t="shared" si="65"/>
        <v>427.30666666666662</v>
      </c>
      <c r="L84" s="405">
        <f t="shared" si="66"/>
        <v>102.96000000000004</v>
      </c>
      <c r="M84" s="657">
        <f t="shared" si="67"/>
        <v>102.9246605092362</v>
      </c>
      <c r="N84" s="657">
        <f t="shared" si="55"/>
        <v>8.0290083173887683E-4</v>
      </c>
      <c r="O84" s="638">
        <f t="shared" si="68"/>
        <v>0.1182544807788517</v>
      </c>
      <c r="P84" s="639">
        <f t="shared" si="56"/>
        <v>2.8502979526715916E-4</v>
      </c>
      <c r="Q84" s="444">
        <v>1458.33</v>
      </c>
      <c r="R84" s="445">
        <v>1031.02</v>
      </c>
      <c r="S84" s="445">
        <v>1388.03</v>
      </c>
      <c r="T84" s="445">
        <v>1285.07</v>
      </c>
      <c r="U84" s="445">
        <f t="shared" si="69"/>
        <v>427.30999999999995</v>
      </c>
      <c r="V84" s="445">
        <f t="shared" si="70"/>
        <v>102.96000000000004</v>
      </c>
      <c r="W84" s="491">
        <f t="shared" si="57"/>
        <v>102.923857620931</v>
      </c>
      <c r="X84" s="498">
        <f t="shared" si="58"/>
        <v>0.11796945543050441</v>
      </c>
      <c r="Y84" s="457">
        <v>1458.33</v>
      </c>
      <c r="Z84" s="458">
        <v>1031.02</v>
      </c>
      <c r="AA84" s="458">
        <v>1388.04</v>
      </c>
      <c r="AB84" s="458">
        <v>1285.08</v>
      </c>
      <c r="AC84" s="458">
        <f t="shared" si="71"/>
        <v>427.30999999999995</v>
      </c>
      <c r="AD84" s="458">
        <f t="shared" si="72"/>
        <v>102.96000000000004</v>
      </c>
      <c r="AE84" s="510">
        <f t="shared" si="59"/>
        <v>102.923857620931</v>
      </c>
      <c r="AF84" s="511">
        <f t="shared" si="60"/>
        <v>0.11796945543050441</v>
      </c>
      <c r="AG84" s="444">
        <v>1458.31</v>
      </c>
      <c r="AH84" s="445">
        <v>1031.01</v>
      </c>
      <c r="AI84" s="445">
        <v>1388.03</v>
      </c>
      <c r="AJ84" s="445">
        <v>1285.07</v>
      </c>
      <c r="AK84" s="445">
        <f t="shared" si="73"/>
        <v>427.29999999999995</v>
      </c>
      <c r="AL84" s="445">
        <f t="shared" si="74"/>
        <v>102.96000000000004</v>
      </c>
      <c r="AM84" s="491">
        <f t="shared" si="61"/>
        <v>102.92626632342622</v>
      </c>
      <c r="AN84" s="498">
        <f t="shared" si="62"/>
        <v>0.11882454481630589</v>
      </c>
      <c r="AO84" s="431"/>
      <c r="AR84" s="400"/>
    </row>
    <row r="85" spans="1:45" ht="14.45" customHeight="1">
      <c r="A85" s="400" t="s">
        <v>629</v>
      </c>
      <c r="B85" s="523" t="s">
        <v>30</v>
      </c>
      <c r="C85" s="523" t="s">
        <v>156</v>
      </c>
      <c r="D85" s="288">
        <v>1500</v>
      </c>
      <c r="E85" s="288" t="s">
        <v>468</v>
      </c>
      <c r="F85" s="288" t="s">
        <v>691</v>
      </c>
      <c r="G85" s="288" t="s">
        <v>692</v>
      </c>
      <c r="H85" s="401">
        <v>23.6</v>
      </c>
      <c r="I85" s="403">
        <f t="shared" si="63"/>
        <v>1388.13</v>
      </c>
      <c r="J85" s="404">
        <f t="shared" si="64"/>
        <v>1285.1266666666668</v>
      </c>
      <c r="K85" s="405">
        <f t="shared" si="65"/>
        <v>427.30666666666662</v>
      </c>
      <c r="L85" s="405">
        <f t="shared" si="66"/>
        <v>103.00333333333349</v>
      </c>
      <c r="M85" s="657">
        <f t="shared" si="67"/>
        <v>102.96797896904661</v>
      </c>
      <c r="N85" s="657">
        <f t="shared" si="55"/>
        <v>7.1001348375978809E-3</v>
      </c>
      <c r="O85" s="638">
        <f t="shared" si="68"/>
        <v>0.13363253401154651</v>
      </c>
      <c r="P85" s="639">
        <f t="shared" si="56"/>
        <v>2.5205478673462453E-3</v>
      </c>
      <c r="Q85" s="444">
        <v>1458.37</v>
      </c>
      <c r="R85" s="445">
        <v>1031.06</v>
      </c>
      <c r="S85" s="445">
        <v>1388.13</v>
      </c>
      <c r="T85" s="445">
        <v>1285.1400000000001</v>
      </c>
      <c r="U85" s="445">
        <f t="shared" si="69"/>
        <v>427.30999999999995</v>
      </c>
      <c r="V85" s="445">
        <f t="shared" si="70"/>
        <v>102.99000000000001</v>
      </c>
      <c r="W85" s="491">
        <f t="shared" si="57"/>
        <v>102.95384708993474</v>
      </c>
      <c r="X85" s="498">
        <f t="shared" si="58"/>
        <v>0.12861571692683071</v>
      </c>
      <c r="Y85" s="457">
        <v>1458.37</v>
      </c>
      <c r="Z85" s="458">
        <v>1031.06</v>
      </c>
      <c r="AA85" s="458">
        <v>1388.13</v>
      </c>
      <c r="AB85" s="458">
        <v>1285.1199999999999</v>
      </c>
      <c r="AC85" s="458">
        <f t="shared" si="71"/>
        <v>427.30999999999995</v>
      </c>
      <c r="AD85" s="458">
        <f t="shared" si="72"/>
        <v>103.01000000000022</v>
      </c>
      <c r="AE85" s="510">
        <f t="shared" si="59"/>
        <v>102.97384006927079</v>
      </c>
      <c r="AF85" s="511">
        <f t="shared" si="60"/>
        <v>0.13571322459112878</v>
      </c>
      <c r="AG85" s="444">
        <v>1458.36</v>
      </c>
      <c r="AH85" s="445">
        <v>1031.06</v>
      </c>
      <c r="AI85" s="445">
        <v>1388.13</v>
      </c>
      <c r="AJ85" s="445">
        <v>1285.1199999999999</v>
      </c>
      <c r="AK85" s="445">
        <f t="shared" si="73"/>
        <v>427.29999999999995</v>
      </c>
      <c r="AL85" s="445">
        <f t="shared" si="74"/>
        <v>103.01000000000022</v>
      </c>
      <c r="AM85" s="491">
        <f t="shared" si="61"/>
        <v>102.97624994149334</v>
      </c>
      <c r="AN85" s="498">
        <f t="shared" si="62"/>
        <v>0.13656872923012742</v>
      </c>
      <c r="AO85" s="431"/>
      <c r="AP85" s="400"/>
      <c r="AR85" s="400"/>
    </row>
    <row r="86" spans="1:45" ht="14.45" customHeight="1">
      <c r="A86" s="400" t="s">
        <v>682</v>
      </c>
      <c r="B86" s="523" t="s">
        <v>30</v>
      </c>
      <c r="C86" s="523" t="s">
        <v>156</v>
      </c>
      <c r="D86" s="288">
        <v>1500</v>
      </c>
      <c r="E86" s="288" t="s">
        <v>468</v>
      </c>
      <c r="F86" s="288" t="s">
        <v>691</v>
      </c>
      <c r="G86" s="288" t="s">
        <v>692</v>
      </c>
      <c r="H86" s="401">
        <v>23.6</v>
      </c>
      <c r="I86" s="403">
        <f t="shared" si="63"/>
        <v>1388.2</v>
      </c>
      <c r="J86" s="404">
        <f t="shared" si="64"/>
        <v>1285.2533333333333</v>
      </c>
      <c r="K86" s="405">
        <f t="shared" si="65"/>
        <v>427.30666666666684</v>
      </c>
      <c r="L86" s="405">
        <f t="shared" si="66"/>
        <v>102.94666666666672</v>
      </c>
      <c r="M86" s="657">
        <f t="shared" ref="M86:M92" si="75">(427.16/K86)*L86</f>
        <v>102.91133175237145</v>
      </c>
      <c r="N86" s="657">
        <f t="shared" si="55"/>
        <v>3.7977589504106951E-3</v>
      </c>
      <c r="O86" s="638">
        <f t="shared" ref="O86:O92" si="76">-36.42+(0.355*M86)</f>
        <v>0.11352277209186212</v>
      </c>
      <c r="P86" s="639">
        <f t="shared" si="56"/>
        <v>1.3482044273968713E-3</v>
      </c>
      <c r="Q86" s="444">
        <v>1458.39</v>
      </c>
      <c r="R86" s="445">
        <v>1031.0899999999999</v>
      </c>
      <c r="S86" s="445">
        <v>1388.2</v>
      </c>
      <c r="T86" s="445">
        <v>1285.25</v>
      </c>
      <c r="U86" s="445">
        <f t="shared" ref="U86:U92" si="77">Q86-R86</f>
        <v>427.30000000000018</v>
      </c>
      <c r="V86" s="445">
        <f t="shared" ref="V86:V92" si="78">S86-T86</f>
        <v>102.95000000000005</v>
      </c>
      <c r="W86" s="491">
        <f t="shared" si="57"/>
        <v>102.91626959981278</v>
      </c>
      <c r="X86" s="498">
        <f t="shared" si="58"/>
        <v>0.11527570793353448</v>
      </c>
      <c r="Y86" s="457">
        <v>1458.39</v>
      </c>
      <c r="Z86" s="458">
        <v>1031.08</v>
      </c>
      <c r="AA86" s="458">
        <v>1388.2</v>
      </c>
      <c r="AB86" s="458">
        <v>1285.26</v>
      </c>
      <c r="AC86" s="458">
        <f t="shared" ref="AC86:AC92" si="79">Y86-Z86</f>
        <v>427.31000000000017</v>
      </c>
      <c r="AD86" s="458">
        <f t="shared" ref="AD86:AD92" si="80">AA86-AB86</f>
        <v>102.94000000000005</v>
      </c>
      <c r="AE86" s="510">
        <f t="shared" si="59"/>
        <v>102.90386464159512</v>
      </c>
      <c r="AF86" s="511">
        <f t="shared" si="60"/>
        <v>0.11087194776626319</v>
      </c>
      <c r="AG86" s="444">
        <v>1458.39</v>
      </c>
      <c r="AH86" s="445">
        <v>1031.08</v>
      </c>
      <c r="AI86" s="445">
        <v>1388.2</v>
      </c>
      <c r="AJ86" s="445">
        <v>1285.25</v>
      </c>
      <c r="AK86" s="445">
        <f t="shared" ref="AK86:AK92" si="81">AG86-AH86</f>
        <v>427.31000000000017</v>
      </c>
      <c r="AL86" s="445">
        <f t="shared" ref="AL86:AL92" si="82">AI86-AJ86</f>
        <v>102.95000000000005</v>
      </c>
      <c r="AM86" s="491">
        <f t="shared" si="61"/>
        <v>102.91386113126303</v>
      </c>
      <c r="AN86" s="498">
        <f t="shared" si="62"/>
        <v>0.1144207015983767</v>
      </c>
      <c r="AO86" s="437"/>
      <c r="AR86" s="400"/>
    </row>
    <row r="87" spans="1:45" ht="14.45" customHeight="1">
      <c r="A87" s="400" t="s">
        <v>277</v>
      </c>
      <c r="B87" s="523" t="s">
        <v>30</v>
      </c>
      <c r="C87" s="523" t="s">
        <v>156</v>
      </c>
      <c r="D87" s="288">
        <v>1500</v>
      </c>
      <c r="E87" s="288" t="s">
        <v>468</v>
      </c>
      <c r="F87" s="288" t="s">
        <v>690</v>
      </c>
      <c r="G87" s="288" t="s">
        <v>692</v>
      </c>
      <c r="H87" s="401">
        <v>23</v>
      </c>
      <c r="I87" s="403">
        <f t="shared" si="63"/>
        <v>1387.5133333333333</v>
      </c>
      <c r="J87" s="404">
        <f t="shared" si="64"/>
        <v>1284.5533333333333</v>
      </c>
      <c r="K87" s="405">
        <f t="shared" si="65"/>
        <v>427.35333333333324</v>
      </c>
      <c r="L87" s="405">
        <f t="shared" si="66"/>
        <v>102.96000000000004</v>
      </c>
      <c r="M87" s="657">
        <f t="shared" si="75"/>
        <v>102.91342121273581</v>
      </c>
      <c r="N87" s="657">
        <f t="shared" si="55"/>
        <v>1.0420081771745316E-2</v>
      </c>
      <c r="O87" s="638">
        <f t="shared" si="76"/>
        <v>0.11426453052121133</v>
      </c>
      <c r="P87" s="639">
        <f t="shared" si="56"/>
        <v>3.6991290289683561E-3</v>
      </c>
      <c r="Q87" s="444">
        <v>1457.78</v>
      </c>
      <c r="R87" s="445">
        <v>1030.43</v>
      </c>
      <c r="S87" s="445">
        <v>1387.51</v>
      </c>
      <c r="T87" s="445">
        <v>1284.56</v>
      </c>
      <c r="U87" s="445">
        <f t="shared" si="77"/>
        <v>427.34999999999991</v>
      </c>
      <c r="V87" s="445">
        <f t="shared" si="78"/>
        <v>102.95000000000005</v>
      </c>
      <c r="W87" s="491">
        <f t="shared" si="57"/>
        <v>102.90422838422846</v>
      </c>
      <c r="X87" s="498">
        <f t="shared" si="58"/>
        <v>0.11100107640110224</v>
      </c>
      <c r="Y87" s="457">
        <v>1457.78</v>
      </c>
      <c r="Z87" s="458">
        <v>1030.42</v>
      </c>
      <c r="AA87" s="458">
        <v>1387.51</v>
      </c>
      <c r="AB87" s="458">
        <v>1284.56</v>
      </c>
      <c r="AC87" s="458">
        <f t="shared" si="79"/>
        <v>427.3599999999999</v>
      </c>
      <c r="AD87" s="458">
        <f t="shared" si="80"/>
        <v>102.95000000000005</v>
      </c>
      <c r="AE87" s="510">
        <f t="shared" si="59"/>
        <v>102.90182047922134</v>
      </c>
      <c r="AF87" s="511">
        <f t="shared" si="60"/>
        <v>0.11014627012357181</v>
      </c>
      <c r="AG87" s="444">
        <v>1457.77</v>
      </c>
      <c r="AH87" s="445">
        <v>1030.42</v>
      </c>
      <c r="AI87" s="445">
        <v>1387.52</v>
      </c>
      <c r="AJ87" s="445">
        <v>1284.54</v>
      </c>
      <c r="AK87" s="445">
        <f t="shared" si="81"/>
        <v>427.34999999999991</v>
      </c>
      <c r="AL87" s="445">
        <f t="shared" si="82"/>
        <v>102.98000000000002</v>
      </c>
      <c r="AM87" s="491">
        <f t="shared" si="61"/>
        <v>102.9342150462151</v>
      </c>
      <c r="AN87" s="498">
        <f t="shared" si="62"/>
        <v>0.121646341406354</v>
      </c>
      <c r="AO87" s="431"/>
      <c r="AR87" s="400"/>
    </row>
    <row r="88" spans="1:45" ht="14.45" customHeight="1">
      <c r="A88" s="400" t="s">
        <v>630</v>
      </c>
      <c r="B88" s="523" t="s">
        <v>30</v>
      </c>
      <c r="C88" s="523" t="s">
        <v>156</v>
      </c>
      <c r="D88" s="288">
        <v>1500</v>
      </c>
      <c r="E88" s="288" t="s">
        <v>468</v>
      </c>
      <c r="F88" s="288" t="s">
        <v>691</v>
      </c>
      <c r="G88" s="288" t="s">
        <v>692</v>
      </c>
      <c r="H88" s="401">
        <v>23</v>
      </c>
      <c r="I88" s="403">
        <f t="shared" si="63"/>
        <v>1387.4066666666668</v>
      </c>
      <c r="J88" s="404">
        <f t="shared" si="64"/>
        <v>1284.4466666666667</v>
      </c>
      <c r="K88" s="405">
        <f t="shared" si="65"/>
        <v>427.34999999999991</v>
      </c>
      <c r="L88" s="405">
        <f t="shared" si="66"/>
        <v>102.96000000000004</v>
      </c>
      <c r="M88" s="657">
        <f t="shared" si="75"/>
        <v>102.914223938224</v>
      </c>
      <c r="N88" s="657">
        <f t="shared" si="55"/>
        <v>5.770935790027072E-3</v>
      </c>
      <c r="O88" s="638">
        <f t="shared" si="76"/>
        <v>0.11454949806951475</v>
      </c>
      <c r="P88" s="639">
        <f t="shared" si="56"/>
        <v>2.0486822054583183E-3</v>
      </c>
      <c r="Q88" s="444">
        <v>1457.83</v>
      </c>
      <c r="R88" s="445">
        <v>1030.48</v>
      </c>
      <c r="S88" s="445">
        <v>1387.41</v>
      </c>
      <c r="T88" s="445">
        <v>1284.46</v>
      </c>
      <c r="U88" s="445">
        <f t="shared" si="77"/>
        <v>427.34999999999991</v>
      </c>
      <c r="V88" s="445">
        <f t="shared" si="78"/>
        <v>102.95000000000005</v>
      </c>
      <c r="W88" s="491">
        <f t="shared" si="57"/>
        <v>102.90422838422846</v>
      </c>
      <c r="X88" s="498">
        <f t="shared" si="58"/>
        <v>0.11100107640110224</v>
      </c>
      <c r="Y88" s="457">
        <v>1457.82</v>
      </c>
      <c r="Z88" s="458">
        <v>1030.47</v>
      </c>
      <c r="AA88" s="458">
        <v>1387.4</v>
      </c>
      <c r="AB88" s="458">
        <v>1284.43</v>
      </c>
      <c r="AC88" s="458">
        <f t="shared" si="79"/>
        <v>427.34999999999991</v>
      </c>
      <c r="AD88" s="458">
        <f t="shared" si="80"/>
        <v>102.97000000000003</v>
      </c>
      <c r="AE88" s="510">
        <f t="shared" si="59"/>
        <v>102.92421949221955</v>
      </c>
      <c r="AF88" s="511">
        <f t="shared" si="60"/>
        <v>0.11809791973793438</v>
      </c>
      <c r="AG88" s="444">
        <v>1457.81</v>
      </c>
      <c r="AH88" s="445">
        <v>1030.46</v>
      </c>
      <c r="AI88" s="445">
        <v>1387.41</v>
      </c>
      <c r="AJ88" s="445">
        <v>1284.45</v>
      </c>
      <c r="AK88" s="445">
        <f t="shared" si="81"/>
        <v>427.34999999999991</v>
      </c>
      <c r="AL88" s="445">
        <f t="shared" si="82"/>
        <v>102.96000000000004</v>
      </c>
      <c r="AM88" s="491">
        <f t="shared" si="61"/>
        <v>102.914223938224</v>
      </c>
      <c r="AN88" s="498">
        <f t="shared" si="62"/>
        <v>0.11454949806951475</v>
      </c>
      <c r="AO88" s="431"/>
      <c r="AR88" s="400"/>
    </row>
    <row r="89" spans="1:45" ht="14.45" customHeight="1">
      <c r="A89" s="400" t="s">
        <v>631</v>
      </c>
      <c r="B89" s="523" t="s">
        <v>30</v>
      </c>
      <c r="C89" s="523" t="s">
        <v>156</v>
      </c>
      <c r="D89" s="288">
        <v>1500</v>
      </c>
      <c r="E89" s="288" t="s">
        <v>468</v>
      </c>
      <c r="F89" s="288" t="s">
        <v>691</v>
      </c>
      <c r="G89" s="288" t="s">
        <v>692</v>
      </c>
      <c r="H89" s="401">
        <v>23</v>
      </c>
      <c r="I89" s="403">
        <f t="shared" si="63"/>
        <v>1387.47</v>
      </c>
      <c r="J89" s="404">
        <f t="shared" si="64"/>
        <v>1284.45</v>
      </c>
      <c r="K89" s="405">
        <f t="shared" si="65"/>
        <v>427.35333333333324</v>
      </c>
      <c r="L89" s="405">
        <f t="shared" si="66"/>
        <v>103.01999999999998</v>
      </c>
      <c r="M89" s="657">
        <f t="shared" si="75"/>
        <v>102.97339406892034</v>
      </c>
      <c r="N89" s="657">
        <f t="shared" si="55"/>
        <v>8.0318074739693668E-4</v>
      </c>
      <c r="O89" s="638">
        <f t="shared" si="76"/>
        <v>0.13555489446671487</v>
      </c>
      <c r="P89" s="639">
        <f t="shared" si="56"/>
        <v>2.8512916532719151E-4</v>
      </c>
      <c r="Q89" s="444">
        <v>1457.87</v>
      </c>
      <c r="R89" s="445">
        <v>1030.52</v>
      </c>
      <c r="S89" s="445">
        <v>1387.47</v>
      </c>
      <c r="T89" s="445">
        <v>1284.45</v>
      </c>
      <c r="U89" s="445">
        <f t="shared" si="77"/>
        <v>427.34999999999991</v>
      </c>
      <c r="V89" s="445">
        <f t="shared" si="78"/>
        <v>103.01999999999998</v>
      </c>
      <c r="W89" s="491">
        <f t="shared" si="57"/>
        <v>102.97419726219728</v>
      </c>
      <c r="X89" s="498">
        <f t="shared" si="58"/>
        <v>0.13584002808003248</v>
      </c>
      <c r="Y89" s="457">
        <v>1457.86</v>
      </c>
      <c r="Z89" s="458">
        <v>1030.51</v>
      </c>
      <c r="AA89" s="458">
        <v>1387.47</v>
      </c>
      <c r="AB89" s="458">
        <v>1284.45</v>
      </c>
      <c r="AC89" s="458">
        <f t="shared" si="79"/>
        <v>427.34999999999991</v>
      </c>
      <c r="AD89" s="458">
        <f t="shared" si="80"/>
        <v>103.01999999999998</v>
      </c>
      <c r="AE89" s="510">
        <f t="shared" si="59"/>
        <v>102.97419726219728</v>
      </c>
      <c r="AF89" s="511">
        <f t="shared" si="60"/>
        <v>0.13584002808003248</v>
      </c>
      <c r="AG89" s="444">
        <v>1457.85</v>
      </c>
      <c r="AH89" s="445">
        <v>1030.49</v>
      </c>
      <c r="AI89" s="445">
        <v>1387.47</v>
      </c>
      <c r="AJ89" s="445">
        <v>1284.45</v>
      </c>
      <c r="AK89" s="445">
        <f t="shared" si="81"/>
        <v>427.3599999999999</v>
      </c>
      <c r="AL89" s="445">
        <f t="shared" si="82"/>
        <v>103.01999999999998</v>
      </c>
      <c r="AM89" s="491">
        <f t="shared" si="61"/>
        <v>102.97178771995509</v>
      </c>
      <c r="AN89" s="498">
        <f t="shared" si="62"/>
        <v>0.13498464058405091</v>
      </c>
      <c r="AO89" s="431"/>
      <c r="AR89" s="400"/>
    </row>
    <row r="90" spans="1:45" ht="14.45" customHeight="1">
      <c r="A90" s="400" t="s">
        <v>632</v>
      </c>
      <c r="B90" s="523" t="s">
        <v>30</v>
      </c>
      <c r="C90" s="523" t="s">
        <v>156</v>
      </c>
      <c r="D90" s="288">
        <v>1500</v>
      </c>
      <c r="E90" s="288" t="s">
        <v>468</v>
      </c>
      <c r="F90" s="288" t="s">
        <v>691</v>
      </c>
      <c r="G90" s="288" t="s">
        <v>692</v>
      </c>
      <c r="H90" s="401">
        <v>23.1</v>
      </c>
      <c r="I90" s="403">
        <f t="shared" si="63"/>
        <v>1387.6899999999998</v>
      </c>
      <c r="J90" s="404">
        <f t="shared" si="64"/>
        <v>1284.7533333333333</v>
      </c>
      <c r="K90" s="405">
        <f t="shared" si="65"/>
        <v>427.32000000000016</v>
      </c>
      <c r="L90" s="405">
        <f t="shared" si="66"/>
        <v>102.93666666666672</v>
      </c>
      <c r="M90" s="657">
        <f t="shared" si="75"/>
        <v>102.89812443445976</v>
      </c>
      <c r="N90" s="657">
        <f t="shared" si="55"/>
        <v>3.6105184951085944E-3</v>
      </c>
      <c r="O90" s="638">
        <f t="shared" si="76"/>
        <v>0.10883417423320907</v>
      </c>
      <c r="P90" s="639">
        <f t="shared" si="56"/>
        <v>1.2817340657633096E-3</v>
      </c>
      <c r="Q90" s="444">
        <v>1457.93</v>
      </c>
      <c r="R90" s="445">
        <v>1030.6199999999999</v>
      </c>
      <c r="S90" s="445">
        <v>1387.72</v>
      </c>
      <c r="T90" s="445">
        <v>1284.78</v>
      </c>
      <c r="U90" s="445">
        <f t="shared" si="77"/>
        <v>427.31000000000017</v>
      </c>
      <c r="V90" s="445">
        <f t="shared" si="78"/>
        <v>102.94000000000005</v>
      </c>
      <c r="W90" s="491">
        <f t="shared" si="57"/>
        <v>102.90386464159512</v>
      </c>
      <c r="X90" s="498">
        <f t="shared" si="58"/>
        <v>0.11087194776626319</v>
      </c>
      <c r="Y90" s="457">
        <v>1457.91</v>
      </c>
      <c r="Z90" s="458">
        <v>1030.5899999999999</v>
      </c>
      <c r="AA90" s="458">
        <v>1387.69</v>
      </c>
      <c r="AB90" s="458">
        <v>1284.76</v>
      </c>
      <c r="AC90" s="458">
        <f t="shared" si="79"/>
        <v>427.32000000000016</v>
      </c>
      <c r="AD90" s="458">
        <f t="shared" si="80"/>
        <v>102.93000000000006</v>
      </c>
      <c r="AE90" s="510">
        <f t="shared" si="59"/>
        <v>102.89146026397083</v>
      </c>
      <c r="AF90" s="511">
        <f t="shared" si="60"/>
        <v>0.10646839370964045</v>
      </c>
      <c r="AG90" s="444">
        <v>1457.89</v>
      </c>
      <c r="AH90" s="445">
        <v>1030.56</v>
      </c>
      <c r="AI90" s="445">
        <v>1387.66</v>
      </c>
      <c r="AJ90" s="445">
        <v>1284.72</v>
      </c>
      <c r="AK90" s="445">
        <f t="shared" si="81"/>
        <v>427.33000000000015</v>
      </c>
      <c r="AL90" s="445">
        <f t="shared" si="82"/>
        <v>102.94000000000005</v>
      </c>
      <c r="AM90" s="491">
        <f t="shared" si="61"/>
        <v>102.89904851051884</v>
      </c>
      <c r="AN90" s="498">
        <f t="shared" si="62"/>
        <v>0.10916222123418606</v>
      </c>
      <c r="AO90" s="431"/>
      <c r="AR90" s="400"/>
    </row>
    <row r="91" spans="1:45" ht="14.45" customHeight="1">
      <c r="A91" s="400" t="s">
        <v>633</v>
      </c>
      <c r="B91" s="523" t="s">
        <v>30</v>
      </c>
      <c r="C91" s="523" t="s">
        <v>156</v>
      </c>
      <c r="D91" s="288">
        <v>1500</v>
      </c>
      <c r="E91" s="288" t="s">
        <v>468</v>
      </c>
      <c r="F91" s="288" t="s">
        <v>690</v>
      </c>
      <c r="G91" s="288" t="s">
        <v>692</v>
      </c>
      <c r="H91" s="401">
        <v>23.2</v>
      </c>
      <c r="I91" s="403">
        <f t="shared" si="63"/>
        <v>1387.676666666667</v>
      </c>
      <c r="J91" s="404">
        <f t="shared" si="64"/>
        <v>1284.6966666666667</v>
      </c>
      <c r="K91" s="405">
        <f t="shared" si="65"/>
        <v>427.33999999999992</v>
      </c>
      <c r="L91" s="405">
        <f t="shared" si="66"/>
        <v>102.98000000000002</v>
      </c>
      <c r="M91" s="657">
        <f t="shared" si="75"/>
        <v>102.93662376561993</v>
      </c>
      <c r="N91" s="657">
        <f t="shared" si="55"/>
        <v>5.7710708332169213E-3</v>
      </c>
      <c r="O91" s="638">
        <f t="shared" si="76"/>
        <v>0.1225014367950692</v>
      </c>
      <c r="P91" s="639">
        <f t="shared" si="56"/>
        <v>2.0487301457918841E-3</v>
      </c>
      <c r="Q91" s="444">
        <v>1458.01</v>
      </c>
      <c r="R91" s="445">
        <v>1030.67</v>
      </c>
      <c r="S91" s="445">
        <v>1387.68</v>
      </c>
      <c r="T91" s="445">
        <v>1284.71</v>
      </c>
      <c r="U91" s="445">
        <f t="shared" si="77"/>
        <v>427.33999999999992</v>
      </c>
      <c r="V91" s="445">
        <f t="shared" si="78"/>
        <v>102.97000000000003</v>
      </c>
      <c r="W91" s="491">
        <f t="shared" si="57"/>
        <v>102.92662797772272</v>
      </c>
      <c r="X91" s="498">
        <f t="shared" si="58"/>
        <v>0.11895293209155966</v>
      </c>
      <c r="Y91" s="457">
        <v>1458</v>
      </c>
      <c r="Z91" s="458">
        <v>1030.6600000000001</v>
      </c>
      <c r="AA91" s="458">
        <v>1387.67</v>
      </c>
      <c r="AB91" s="458">
        <v>1284.69</v>
      </c>
      <c r="AC91" s="458">
        <f t="shared" si="79"/>
        <v>427.33999999999992</v>
      </c>
      <c r="AD91" s="458">
        <f t="shared" si="80"/>
        <v>102.98000000000002</v>
      </c>
      <c r="AE91" s="510">
        <f t="shared" si="59"/>
        <v>102.93662376561993</v>
      </c>
      <c r="AF91" s="511">
        <f t="shared" si="60"/>
        <v>0.1225014367950692</v>
      </c>
      <c r="AG91" s="444">
        <v>1458</v>
      </c>
      <c r="AH91" s="445">
        <v>1030.6600000000001</v>
      </c>
      <c r="AI91" s="445">
        <v>1387.68</v>
      </c>
      <c r="AJ91" s="445">
        <v>1284.69</v>
      </c>
      <c r="AK91" s="445">
        <f t="shared" si="81"/>
        <v>427.33999999999992</v>
      </c>
      <c r="AL91" s="445">
        <f t="shared" si="82"/>
        <v>102.99000000000001</v>
      </c>
      <c r="AM91" s="491">
        <f t="shared" si="61"/>
        <v>102.94661955351714</v>
      </c>
      <c r="AN91" s="498">
        <f t="shared" si="62"/>
        <v>0.12604994149857873</v>
      </c>
      <c r="AO91" s="431"/>
      <c r="AP91" s="400"/>
      <c r="AQ91" s="400"/>
      <c r="AR91" s="400"/>
    </row>
    <row r="92" spans="1:45" ht="14.45" customHeight="1">
      <c r="A92" s="400" t="s">
        <v>634</v>
      </c>
      <c r="B92" s="523" t="s">
        <v>30</v>
      </c>
      <c r="C92" s="523" t="s">
        <v>156</v>
      </c>
      <c r="D92" s="288">
        <v>1500</v>
      </c>
      <c r="E92" s="288" t="s">
        <v>468</v>
      </c>
      <c r="F92" s="288" t="s">
        <v>691</v>
      </c>
      <c r="G92" s="288" t="s">
        <v>692</v>
      </c>
      <c r="H92" s="401">
        <v>23.3</v>
      </c>
      <c r="I92" s="403">
        <f t="shared" si="63"/>
        <v>1387.7033333333336</v>
      </c>
      <c r="J92" s="404">
        <f t="shared" si="64"/>
        <v>1284.7666666666667</v>
      </c>
      <c r="K92" s="405">
        <f t="shared" si="65"/>
        <v>427.32333333333327</v>
      </c>
      <c r="L92" s="405">
        <f t="shared" si="66"/>
        <v>102.93666666666672</v>
      </c>
      <c r="M92" s="657">
        <f t="shared" si="75"/>
        <v>102.89732177820082</v>
      </c>
      <c r="N92" s="657">
        <f t="shared" si="55"/>
        <v>7.0995725301133206E-3</v>
      </c>
      <c r="O92" s="638">
        <f t="shared" si="76"/>
        <v>0.10854923126128568</v>
      </c>
      <c r="P92" s="639">
        <f t="shared" si="56"/>
        <v>2.5203482481899503E-3</v>
      </c>
      <c r="Q92" s="444">
        <v>1458.04</v>
      </c>
      <c r="R92" s="445">
        <v>1030.72</v>
      </c>
      <c r="S92" s="445">
        <v>1387.71</v>
      </c>
      <c r="T92" s="445">
        <v>1284.76</v>
      </c>
      <c r="U92" s="445">
        <f t="shared" si="77"/>
        <v>427.31999999999994</v>
      </c>
      <c r="V92" s="445">
        <f t="shared" si="78"/>
        <v>102.95000000000005</v>
      </c>
      <c r="W92" s="491">
        <f t="shared" si="57"/>
        <v>102.91145277543767</v>
      </c>
      <c r="X92" s="498">
        <f t="shared" si="58"/>
        <v>0.11356573528036762</v>
      </c>
      <c r="Y92" s="457">
        <v>1458.04</v>
      </c>
      <c r="Z92" s="458">
        <v>1030.71</v>
      </c>
      <c r="AA92" s="458">
        <v>1387.71</v>
      </c>
      <c r="AB92" s="458">
        <v>1284.78</v>
      </c>
      <c r="AC92" s="458">
        <f t="shared" si="79"/>
        <v>427.32999999999993</v>
      </c>
      <c r="AD92" s="458">
        <f t="shared" si="80"/>
        <v>102.93000000000006</v>
      </c>
      <c r="AE92" s="510">
        <f t="shared" si="59"/>
        <v>102.88905248870904</v>
      </c>
      <c r="AF92" s="511">
        <f t="shared" si="60"/>
        <v>0.10561363349170705</v>
      </c>
      <c r="AG92" s="444">
        <v>1458.03</v>
      </c>
      <c r="AH92" s="445">
        <v>1030.71</v>
      </c>
      <c r="AI92" s="445">
        <v>1387.69</v>
      </c>
      <c r="AJ92" s="445">
        <v>1284.76</v>
      </c>
      <c r="AK92" s="445">
        <f t="shared" si="81"/>
        <v>427.31999999999994</v>
      </c>
      <c r="AL92" s="445">
        <f t="shared" si="82"/>
        <v>102.93000000000006</v>
      </c>
      <c r="AM92" s="491">
        <f t="shared" si="61"/>
        <v>102.89146026397087</v>
      </c>
      <c r="AN92" s="498">
        <f t="shared" si="62"/>
        <v>0.10646839370965466</v>
      </c>
      <c r="AO92" s="431" t="s">
        <v>635</v>
      </c>
      <c r="AP92" s="400"/>
      <c r="AQ92" s="400"/>
      <c r="AR92" s="400"/>
    </row>
    <row r="93" spans="1:45" s="409" customFormat="1" ht="14.45" customHeight="1">
      <c r="A93" s="406" t="s">
        <v>280</v>
      </c>
      <c r="B93" s="524" t="s">
        <v>30</v>
      </c>
      <c r="C93" s="524" t="s">
        <v>156</v>
      </c>
      <c r="D93" s="525">
        <v>1500</v>
      </c>
      <c r="E93" s="525" t="s">
        <v>468</v>
      </c>
      <c r="F93" s="288" t="s">
        <v>405</v>
      </c>
      <c r="G93" s="525" t="s">
        <v>692</v>
      </c>
      <c r="H93" s="407">
        <v>23.3</v>
      </c>
      <c r="I93" s="408" t="s">
        <v>419</v>
      </c>
      <c r="J93" s="406" t="s">
        <v>419</v>
      </c>
      <c r="K93" s="406" t="s">
        <v>419</v>
      </c>
      <c r="L93" s="406" t="s">
        <v>419</v>
      </c>
      <c r="M93" s="658" t="s">
        <v>419</v>
      </c>
      <c r="N93" s="658" t="s">
        <v>419</v>
      </c>
      <c r="O93" s="640" t="s">
        <v>419</v>
      </c>
      <c r="P93" s="641" t="s">
        <v>419</v>
      </c>
      <c r="Q93" s="446" t="s">
        <v>419</v>
      </c>
      <c r="R93" s="447" t="s">
        <v>419</v>
      </c>
      <c r="S93" s="447" t="s">
        <v>419</v>
      </c>
      <c r="T93" s="447" t="s">
        <v>419</v>
      </c>
      <c r="U93" s="447" t="s">
        <v>419</v>
      </c>
      <c r="V93" s="447" t="s">
        <v>419</v>
      </c>
      <c r="W93" s="447" t="s">
        <v>419</v>
      </c>
      <c r="X93" s="499" t="s">
        <v>419</v>
      </c>
      <c r="Y93" s="459" t="s">
        <v>419</v>
      </c>
      <c r="Z93" s="460" t="s">
        <v>419</v>
      </c>
      <c r="AA93" s="460" t="s">
        <v>419</v>
      </c>
      <c r="AB93" s="460" t="s">
        <v>419</v>
      </c>
      <c r="AC93" s="460" t="s">
        <v>419</v>
      </c>
      <c r="AD93" s="460" t="s">
        <v>419</v>
      </c>
      <c r="AE93" s="460" t="s">
        <v>419</v>
      </c>
      <c r="AF93" s="512" t="s">
        <v>419</v>
      </c>
      <c r="AG93" s="446" t="s">
        <v>419</v>
      </c>
      <c r="AH93" s="447" t="s">
        <v>419</v>
      </c>
      <c r="AI93" s="447" t="s">
        <v>419</v>
      </c>
      <c r="AJ93" s="447" t="s">
        <v>419</v>
      </c>
      <c r="AK93" s="447" t="s">
        <v>419</v>
      </c>
      <c r="AL93" s="447" t="s">
        <v>419</v>
      </c>
      <c r="AM93" s="447" t="s">
        <v>419</v>
      </c>
      <c r="AN93" s="499" t="s">
        <v>419</v>
      </c>
      <c r="AO93" s="432" t="s">
        <v>636</v>
      </c>
      <c r="AP93" s="406"/>
      <c r="AQ93" s="406"/>
      <c r="AR93" s="406"/>
      <c r="AS93" s="406"/>
    </row>
    <row r="94" spans="1:45" ht="14.45" customHeight="1">
      <c r="A94" s="400" t="s">
        <v>281</v>
      </c>
      <c r="B94" s="523" t="s">
        <v>30</v>
      </c>
      <c r="C94" s="523" t="s">
        <v>156</v>
      </c>
      <c r="D94" s="288">
        <v>1500</v>
      </c>
      <c r="E94" s="288" t="s">
        <v>468</v>
      </c>
      <c r="F94" s="288" t="s">
        <v>690</v>
      </c>
      <c r="G94" s="288" t="s">
        <v>692</v>
      </c>
      <c r="H94" s="401">
        <v>23.7</v>
      </c>
      <c r="I94" s="403">
        <f t="shared" ref="I94:J97" si="83">(S94+AA94+AI94)/3</f>
        <v>1388.14</v>
      </c>
      <c r="J94" s="404">
        <f t="shared" si="83"/>
        <v>1285.3</v>
      </c>
      <c r="K94" s="405">
        <f t="shared" ref="K94:L97" si="84">AVERAGE(AC94,AK94,U94)</f>
        <v>427.30666666666662</v>
      </c>
      <c r="L94" s="405">
        <f t="shared" si="84"/>
        <v>102.84000000000007</v>
      </c>
      <c r="M94" s="657">
        <f>(427.16/K94)*L94</f>
        <v>102.80470169745392</v>
      </c>
      <c r="N94" s="657">
        <f t="shared" si="55"/>
        <v>1.085597007306399E-2</v>
      </c>
      <c r="O94" s="638">
        <f>-36.42+(0.355*M94)</f>
        <v>7.566910259613735E-2</v>
      </c>
      <c r="P94" s="639">
        <f t="shared" si="56"/>
        <v>3.8538693759359887E-3</v>
      </c>
      <c r="Q94" s="444">
        <v>1458.37</v>
      </c>
      <c r="R94" s="445">
        <v>1031.06</v>
      </c>
      <c r="S94" s="445">
        <v>1388.16</v>
      </c>
      <c r="T94" s="445">
        <v>1285.32</v>
      </c>
      <c r="U94" s="445">
        <f>Q94-R94</f>
        <v>427.30999999999995</v>
      </c>
      <c r="V94" s="445">
        <f>S94-T94</f>
        <v>102.84000000000015</v>
      </c>
      <c r="W94" s="491">
        <f t="shared" si="57"/>
        <v>102.80389974491604</v>
      </c>
      <c r="X94" s="498">
        <f t="shared" si="58"/>
        <v>7.5384409445192091E-2</v>
      </c>
      <c r="Y94" s="457">
        <v>1458.36</v>
      </c>
      <c r="Z94" s="458">
        <v>1031.05</v>
      </c>
      <c r="AA94" s="458">
        <v>1388.15</v>
      </c>
      <c r="AB94" s="458">
        <v>1285.29</v>
      </c>
      <c r="AC94" s="458">
        <f>Y94-Z94</f>
        <v>427.30999999999995</v>
      </c>
      <c r="AD94" s="458">
        <f>AA94-AB94</f>
        <v>102.86000000000013</v>
      </c>
      <c r="AE94" s="510">
        <f t="shared" si="59"/>
        <v>102.82389272425186</v>
      </c>
      <c r="AF94" s="511">
        <f t="shared" si="60"/>
        <v>8.248191710940489E-2</v>
      </c>
      <c r="AG94" s="444">
        <v>1458.34</v>
      </c>
      <c r="AH94" s="445">
        <v>1031.04</v>
      </c>
      <c r="AI94" s="445">
        <v>1388.11</v>
      </c>
      <c r="AJ94" s="445">
        <v>1285.29</v>
      </c>
      <c r="AK94" s="445">
        <f>AG94-AH94</f>
        <v>427.29999999999995</v>
      </c>
      <c r="AL94" s="445">
        <f>AI94-AJ94</f>
        <v>102.81999999999994</v>
      </c>
      <c r="AM94" s="491">
        <f t="shared" si="61"/>
        <v>102.78631219283871</v>
      </c>
      <c r="AN94" s="498">
        <f t="shared" si="62"/>
        <v>6.9140828457740611E-2</v>
      </c>
      <c r="AO94" s="431"/>
      <c r="AP94" s="400"/>
      <c r="AR94" s="400"/>
    </row>
    <row r="95" spans="1:45" ht="14.45" customHeight="1">
      <c r="A95" s="400" t="s">
        <v>282</v>
      </c>
      <c r="B95" s="523" t="s">
        <v>30</v>
      </c>
      <c r="C95" s="523" t="s">
        <v>156</v>
      </c>
      <c r="D95" s="288">
        <v>1500</v>
      </c>
      <c r="E95" s="288" t="s">
        <v>468</v>
      </c>
      <c r="F95" s="288" t="s">
        <v>690</v>
      </c>
      <c r="G95" s="288" t="s">
        <v>692</v>
      </c>
      <c r="H95" s="401">
        <v>23.7</v>
      </c>
      <c r="I95" s="403">
        <f t="shared" si="83"/>
        <v>1388.3066666666666</v>
      </c>
      <c r="J95" s="404">
        <f t="shared" si="83"/>
        <v>1285.45</v>
      </c>
      <c r="K95" s="405">
        <f t="shared" si="84"/>
        <v>427.28333333333353</v>
      </c>
      <c r="L95" s="405">
        <f t="shared" si="84"/>
        <v>102.85666666666657</v>
      </c>
      <c r="M95" s="657">
        <f>(427.16/K95)*L95</f>
        <v>102.82697757147858</v>
      </c>
      <c r="N95" s="657">
        <f t="shared" si="55"/>
        <v>8.2270138397110316E-3</v>
      </c>
      <c r="O95" s="638">
        <f>-36.42+(0.355*M95)</f>
        <v>8.3577037874889015E-2</v>
      </c>
      <c r="P95" s="639">
        <f t="shared" si="56"/>
        <v>2.920589913097028E-3</v>
      </c>
      <c r="Q95" s="444">
        <v>1458.4</v>
      </c>
      <c r="R95" s="445">
        <v>1031.1199999999999</v>
      </c>
      <c r="S95" s="445">
        <v>1388.31</v>
      </c>
      <c r="T95" s="445">
        <v>1285.47</v>
      </c>
      <c r="U95" s="445">
        <f>Q95-R95</f>
        <v>427.2800000000002</v>
      </c>
      <c r="V95" s="445">
        <f>S95-T95</f>
        <v>102.83999999999992</v>
      </c>
      <c r="W95" s="491">
        <f t="shared" si="57"/>
        <v>102.81111776820808</v>
      </c>
      <c r="X95" s="498">
        <f t="shared" si="58"/>
        <v>7.794680771386453E-2</v>
      </c>
      <c r="Y95" s="457">
        <v>1458.4</v>
      </c>
      <c r="Z95" s="458">
        <v>1031.1099999999999</v>
      </c>
      <c r="AA95" s="458">
        <v>1388.31</v>
      </c>
      <c r="AB95" s="458">
        <v>1285.44</v>
      </c>
      <c r="AC95" s="458">
        <f>Y95-Z95</f>
        <v>427.29000000000019</v>
      </c>
      <c r="AD95" s="458">
        <f>AA95-AB95</f>
        <v>102.86999999999989</v>
      </c>
      <c r="AE95" s="510">
        <f t="shared" si="59"/>
        <v>102.83870252053624</v>
      </c>
      <c r="AF95" s="511">
        <f t="shared" si="60"/>
        <v>8.7739394790361303E-2</v>
      </c>
      <c r="AG95" s="444">
        <v>1458.38</v>
      </c>
      <c r="AH95" s="445">
        <v>1031.0999999999999</v>
      </c>
      <c r="AI95" s="445">
        <v>1388.3</v>
      </c>
      <c r="AJ95" s="445">
        <v>1285.44</v>
      </c>
      <c r="AK95" s="445">
        <f>AG95-AH95</f>
        <v>427.2800000000002</v>
      </c>
      <c r="AL95" s="445">
        <f>AI95-AJ95</f>
        <v>102.8599999999999</v>
      </c>
      <c r="AM95" s="491">
        <f t="shared" si="61"/>
        <v>102.83111215128238</v>
      </c>
      <c r="AN95" s="498">
        <f t="shared" si="62"/>
        <v>8.5044813705245303E-2</v>
      </c>
      <c r="AO95" s="431"/>
      <c r="AP95" s="400"/>
    </row>
    <row r="96" spans="1:45" ht="14.45" customHeight="1">
      <c r="A96" s="400" t="s">
        <v>637</v>
      </c>
      <c r="B96" s="523" t="s">
        <v>30</v>
      </c>
      <c r="C96" s="523" t="s">
        <v>156</v>
      </c>
      <c r="D96" s="288">
        <v>1500</v>
      </c>
      <c r="E96" s="288" t="s">
        <v>468</v>
      </c>
      <c r="F96" s="288" t="s">
        <v>690</v>
      </c>
      <c r="G96" s="288" t="s">
        <v>692</v>
      </c>
      <c r="H96" s="401">
        <v>23.7</v>
      </c>
      <c r="I96" s="403">
        <f t="shared" si="83"/>
        <v>1388.2266666666667</v>
      </c>
      <c r="J96" s="404">
        <f t="shared" si="83"/>
        <v>1285.3099999999997</v>
      </c>
      <c r="K96" s="405">
        <f t="shared" si="84"/>
        <v>427.29999999999995</v>
      </c>
      <c r="L96" s="405">
        <f t="shared" si="84"/>
        <v>102.91666666666674</v>
      </c>
      <c r="M96" s="657">
        <f>(427.16/K96)*L96</f>
        <v>102.88294718776825</v>
      </c>
      <c r="N96" s="657">
        <f t="shared" si="55"/>
        <v>1.2014566524890798E-2</v>
      </c>
      <c r="O96" s="638">
        <f>-36.42+(0.355*M96)</f>
        <v>0.10344625165772925</v>
      </c>
      <c r="P96" s="639">
        <f t="shared" si="56"/>
        <v>4.265171116336109E-3</v>
      </c>
      <c r="Q96" s="444">
        <v>1458.46</v>
      </c>
      <c r="R96" s="445">
        <v>1031.1600000000001</v>
      </c>
      <c r="S96" s="445">
        <v>1388.23</v>
      </c>
      <c r="T96" s="445">
        <v>1285.32</v>
      </c>
      <c r="U96" s="445">
        <f>Q96-R96</f>
        <v>427.29999999999995</v>
      </c>
      <c r="V96" s="445">
        <f>S96-T96</f>
        <v>102.91000000000008</v>
      </c>
      <c r="W96" s="491">
        <f t="shared" si="57"/>
        <v>102.87628270535933</v>
      </c>
      <c r="X96" s="498">
        <f t="shared" si="58"/>
        <v>0.10108036040255541</v>
      </c>
      <c r="Y96" s="457">
        <v>1458.46</v>
      </c>
      <c r="Z96" s="458">
        <v>1031.1600000000001</v>
      </c>
      <c r="AA96" s="458">
        <v>1388.23</v>
      </c>
      <c r="AB96" s="458">
        <v>1285.29</v>
      </c>
      <c r="AC96" s="458">
        <f>Y96-Z96</f>
        <v>427.29999999999995</v>
      </c>
      <c r="AD96" s="458">
        <f>AA96-AB96</f>
        <v>102.94000000000005</v>
      </c>
      <c r="AE96" s="510">
        <f t="shared" si="59"/>
        <v>102.90627287619947</v>
      </c>
      <c r="AF96" s="511">
        <f t="shared" si="60"/>
        <v>0.1117268710508057</v>
      </c>
      <c r="AG96" s="444">
        <v>1458.46</v>
      </c>
      <c r="AH96" s="445">
        <v>1031.1600000000001</v>
      </c>
      <c r="AI96" s="445">
        <v>1388.22</v>
      </c>
      <c r="AJ96" s="445">
        <v>1285.32</v>
      </c>
      <c r="AK96" s="445">
        <f>AG96-AH96</f>
        <v>427.29999999999995</v>
      </c>
      <c r="AL96" s="445">
        <f>AI96-AJ96</f>
        <v>102.90000000000009</v>
      </c>
      <c r="AM96" s="491">
        <f t="shared" si="61"/>
        <v>102.86628598174596</v>
      </c>
      <c r="AN96" s="498">
        <f t="shared" si="62"/>
        <v>9.7531523519812424E-2</v>
      </c>
      <c r="AO96" s="431"/>
      <c r="AP96" s="400"/>
    </row>
    <row r="97" spans="1:43" ht="14.45" customHeight="1">
      <c r="A97" s="400" t="s">
        <v>638</v>
      </c>
      <c r="B97" s="523" t="s">
        <v>30</v>
      </c>
      <c r="C97" s="523" t="s">
        <v>156</v>
      </c>
      <c r="D97" s="288">
        <v>1500</v>
      </c>
      <c r="E97" s="288" t="s">
        <v>468</v>
      </c>
      <c r="F97" s="288" t="s">
        <v>690</v>
      </c>
      <c r="G97" s="288" t="s">
        <v>692</v>
      </c>
      <c r="H97" s="401">
        <v>23.7</v>
      </c>
      <c r="I97" s="403">
        <f t="shared" si="83"/>
        <v>1388.0666666666666</v>
      </c>
      <c r="J97" s="404">
        <f t="shared" si="83"/>
        <v>1285.05</v>
      </c>
      <c r="K97" s="405">
        <f t="shared" si="84"/>
        <v>427.30333333333328</v>
      </c>
      <c r="L97" s="405">
        <f t="shared" si="84"/>
        <v>103.01666666666665</v>
      </c>
      <c r="M97" s="657">
        <f>(427.16/K97)*L97</f>
        <v>102.98211106863977</v>
      </c>
      <c r="N97" s="657">
        <f t="shared" si="55"/>
        <v>3.012011684770667E-3</v>
      </c>
      <c r="O97" s="638">
        <f>-36.42+(0.355*M97)</f>
        <v>0.13864942936711344</v>
      </c>
      <c r="P97" s="639">
        <f t="shared" si="56"/>
        <v>1.0692641480946534E-3</v>
      </c>
      <c r="Q97" s="444">
        <v>1458.47</v>
      </c>
      <c r="R97" s="445">
        <v>1031.17</v>
      </c>
      <c r="S97" s="445">
        <v>1388.06</v>
      </c>
      <c r="T97" s="445">
        <v>1285.05</v>
      </c>
      <c r="U97" s="445">
        <f>Q97-R97</f>
        <v>427.29999999999995</v>
      </c>
      <c r="V97" s="445">
        <f>S97-T97</f>
        <v>103.00999999999999</v>
      </c>
      <c r="W97" s="491">
        <f t="shared" si="57"/>
        <v>102.97624994149311</v>
      </c>
      <c r="X97" s="498">
        <f t="shared" si="58"/>
        <v>0.13656872923004926</v>
      </c>
      <c r="Y97" s="457">
        <v>1458.47</v>
      </c>
      <c r="Z97" s="458">
        <v>1031.17</v>
      </c>
      <c r="AA97" s="458">
        <v>1388.07</v>
      </c>
      <c r="AB97" s="458">
        <v>1285.05</v>
      </c>
      <c r="AC97" s="458">
        <f>Y97-Z97</f>
        <v>427.29999999999995</v>
      </c>
      <c r="AD97" s="458">
        <f>AA97-AB97</f>
        <v>103.01999999999998</v>
      </c>
      <c r="AE97" s="510">
        <f t="shared" si="59"/>
        <v>102.98624666510648</v>
      </c>
      <c r="AF97" s="511">
        <f t="shared" si="60"/>
        <v>0.14011756611279935</v>
      </c>
      <c r="AG97" s="444">
        <v>1458.47</v>
      </c>
      <c r="AH97" s="445">
        <v>1031.1600000000001</v>
      </c>
      <c r="AI97" s="445">
        <v>1388.07</v>
      </c>
      <c r="AJ97" s="445">
        <v>1285.05</v>
      </c>
      <c r="AK97" s="445">
        <f>AG97-AH97</f>
        <v>427.30999999999995</v>
      </c>
      <c r="AL97" s="445">
        <f>AI97-AJ97</f>
        <v>103.01999999999998</v>
      </c>
      <c r="AM97" s="491">
        <f t="shared" si="61"/>
        <v>102.98383655893848</v>
      </c>
      <c r="AN97" s="498">
        <f t="shared" si="62"/>
        <v>0.13926197842315702</v>
      </c>
      <c r="AO97" s="431"/>
      <c r="AP97" s="400"/>
    </row>
    <row r="98" spans="1:43" s="409" customFormat="1" ht="14.45" customHeight="1">
      <c r="A98" s="410" t="s">
        <v>192</v>
      </c>
      <c r="B98" s="524" t="s">
        <v>30</v>
      </c>
      <c r="C98" s="524" t="s">
        <v>156</v>
      </c>
      <c r="D98" s="525">
        <v>1500</v>
      </c>
      <c r="E98" s="525" t="s">
        <v>468</v>
      </c>
      <c r="F98" s="288" t="s">
        <v>405</v>
      </c>
      <c r="G98" s="525" t="s">
        <v>692</v>
      </c>
      <c r="H98" s="411">
        <v>23.8</v>
      </c>
      <c r="I98" s="408" t="s">
        <v>419</v>
      </c>
      <c r="J98" s="406" t="s">
        <v>419</v>
      </c>
      <c r="K98" s="406" t="s">
        <v>419</v>
      </c>
      <c r="L98" s="406" t="s">
        <v>419</v>
      </c>
      <c r="M98" s="658" t="s">
        <v>419</v>
      </c>
      <c r="N98" s="658" t="s">
        <v>419</v>
      </c>
      <c r="O98" s="640" t="s">
        <v>419</v>
      </c>
      <c r="P98" s="641" t="s">
        <v>419</v>
      </c>
      <c r="Q98" s="446" t="s">
        <v>419</v>
      </c>
      <c r="R98" s="447" t="s">
        <v>419</v>
      </c>
      <c r="S98" s="447" t="s">
        <v>419</v>
      </c>
      <c r="T98" s="447" t="s">
        <v>419</v>
      </c>
      <c r="U98" s="447" t="s">
        <v>419</v>
      </c>
      <c r="V98" s="447" t="s">
        <v>419</v>
      </c>
      <c r="W98" s="447" t="s">
        <v>419</v>
      </c>
      <c r="X98" s="499" t="s">
        <v>419</v>
      </c>
      <c r="Y98" s="459" t="s">
        <v>419</v>
      </c>
      <c r="Z98" s="460" t="s">
        <v>419</v>
      </c>
      <c r="AA98" s="460" t="s">
        <v>419</v>
      </c>
      <c r="AB98" s="460" t="s">
        <v>419</v>
      </c>
      <c r="AC98" s="460" t="s">
        <v>419</v>
      </c>
      <c r="AD98" s="460" t="s">
        <v>419</v>
      </c>
      <c r="AE98" s="460" t="s">
        <v>419</v>
      </c>
      <c r="AF98" s="512" t="s">
        <v>419</v>
      </c>
      <c r="AG98" s="446" t="s">
        <v>419</v>
      </c>
      <c r="AH98" s="447" t="s">
        <v>419</v>
      </c>
      <c r="AI98" s="447" t="s">
        <v>419</v>
      </c>
      <c r="AJ98" s="447" t="s">
        <v>419</v>
      </c>
      <c r="AK98" s="447" t="s">
        <v>419</v>
      </c>
      <c r="AL98" s="447" t="s">
        <v>419</v>
      </c>
      <c r="AM98" s="447" t="s">
        <v>419</v>
      </c>
      <c r="AN98" s="499" t="s">
        <v>419</v>
      </c>
      <c r="AO98" s="434" t="s">
        <v>636</v>
      </c>
      <c r="AP98" s="410"/>
    </row>
    <row r="99" spans="1:43" s="409" customFormat="1" ht="14.45" customHeight="1">
      <c r="A99" s="410" t="s">
        <v>639</v>
      </c>
      <c r="B99" s="524" t="s">
        <v>30</v>
      </c>
      <c r="C99" s="524" t="s">
        <v>156</v>
      </c>
      <c r="D99" s="525">
        <v>1500</v>
      </c>
      <c r="E99" s="525" t="s">
        <v>468</v>
      </c>
      <c r="F99" s="288" t="s">
        <v>405</v>
      </c>
      <c r="G99" s="525" t="s">
        <v>692</v>
      </c>
      <c r="H99" s="411">
        <v>23.8</v>
      </c>
      <c r="I99" s="408" t="s">
        <v>419</v>
      </c>
      <c r="J99" s="406" t="s">
        <v>419</v>
      </c>
      <c r="K99" s="406" t="s">
        <v>419</v>
      </c>
      <c r="L99" s="406" t="s">
        <v>419</v>
      </c>
      <c r="M99" s="658" t="s">
        <v>419</v>
      </c>
      <c r="N99" s="658" t="s">
        <v>419</v>
      </c>
      <c r="O99" s="640" t="s">
        <v>419</v>
      </c>
      <c r="P99" s="641" t="s">
        <v>419</v>
      </c>
      <c r="Q99" s="446" t="s">
        <v>419</v>
      </c>
      <c r="R99" s="447" t="s">
        <v>419</v>
      </c>
      <c r="S99" s="447" t="s">
        <v>419</v>
      </c>
      <c r="T99" s="447" t="s">
        <v>419</v>
      </c>
      <c r="U99" s="447" t="s">
        <v>419</v>
      </c>
      <c r="V99" s="447" t="s">
        <v>419</v>
      </c>
      <c r="W99" s="447" t="s">
        <v>419</v>
      </c>
      <c r="X99" s="499" t="s">
        <v>419</v>
      </c>
      <c r="Y99" s="459" t="s">
        <v>419</v>
      </c>
      <c r="Z99" s="460" t="s">
        <v>419</v>
      </c>
      <c r="AA99" s="460" t="s">
        <v>419</v>
      </c>
      <c r="AB99" s="460" t="s">
        <v>419</v>
      </c>
      <c r="AC99" s="460" t="s">
        <v>419</v>
      </c>
      <c r="AD99" s="460" t="s">
        <v>419</v>
      </c>
      <c r="AE99" s="460" t="s">
        <v>419</v>
      </c>
      <c r="AF99" s="512" t="s">
        <v>419</v>
      </c>
      <c r="AG99" s="446" t="s">
        <v>419</v>
      </c>
      <c r="AH99" s="447" t="s">
        <v>419</v>
      </c>
      <c r="AI99" s="447" t="s">
        <v>419</v>
      </c>
      <c r="AJ99" s="447" t="s">
        <v>419</v>
      </c>
      <c r="AK99" s="447" t="s">
        <v>419</v>
      </c>
      <c r="AL99" s="447" t="s">
        <v>419</v>
      </c>
      <c r="AM99" s="447" t="s">
        <v>419</v>
      </c>
      <c r="AN99" s="499" t="s">
        <v>419</v>
      </c>
      <c r="AO99" s="434" t="s">
        <v>636</v>
      </c>
      <c r="AP99" s="410"/>
    </row>
    <row r="100" spans="1:43" ht="14.45" customHeight="1">
      <c r="A100" s="400" t="s">
        <v>640</v>
      </c>
      <c r="B100" s="523" t="s">
        <v>30</v>
      </c>
      <c r="C100" s="523" t="s">
        <v>156</v>
      </c>
      <c r="D100" s="288">
        <v>1500</v>
      </c>
      <c r="E100" s="288" t="s">
        <v>468</v>
      </c>
      <c r="F100" s="288" t="s">
        <v>690</v>
      </c>
      <c r="G100" s="288" t="s">
        <v>692</v>
      </c>
      <c r="H100" s="401">
        <v>23.8</v>
      </c>
      <c r="I100" s="403">
        <f t="shared" ref="I100:J104" si="85">(S100+AA100+AI100)/3</f>
        <v>1388.2633333333333</v>
      </c>
      <c r="J100" s="404">
        <f t="shared" si="85"/>
        <v>1285.3333333333333</v>
      </c>
      <c r="K100" s="405">
        <f t="shared" ref="K100:L104" si="86">AVERAGE(AC100,AK100,U100)</f>
        <v>427.29999999999995</v>
      </c>
      <c r="L100" s="405">
        <f t="shared" si="86"/>
        <v>102.93000000000006</v>
      </c>
      <c r="M100" s="657">
        <f>(427.16/K100)*L100</f>
        <v>102.89627615258608</v>
      </c>
      <c r="N100" s="657">
        <f t="shared" si="55"/>
        <v>0</v>
      </c>
      <c r="O100" s="638">
        <f>-36.42+(0.355*M100)</f>
        <v>0.1081780341680556</v>
      </c>
      <c r="P100" s="639">
        <f t="shared" si="56"/>
        <v>0</v>
      </c>
      <c r="Q100" s="444">
        <v>1458.5</v>
      </c>
      <c r="R100" s="445">
        <v>1031.2</v>
      </c>
      <c r="S100" s="445">
        <v>1388.27</v>
      </c>
      <c r="T100" s="445">
        <v>1285.3399999999999</v>
      </c>
      <c r="U100" s="445">
        <f>Q100-R100</f>
        <v>427.29999999999995</v>
      </c>
      <c r="V100" s="445">
        <f>S100-T100</f>
        <v>102.93000000000006</v>
      </c>
      <c r="W100" s="491">
        <f t="shared" si="57"/>
        <v>102.89627615258608</v>
      </c>
      <c r="X100" s="498">
        <f t="shared" si="58"/>
        <v>0.1081780341680556</v>
      </c>
      <c r="Y100" s="457">
        <v>1458.5</v>
      </c>
      <c r="Z100" s="458">
        <v>1031.2</v>
      </c>
      <c r="AA100" s="458">
        <v>1388.26</v>
      </c>
      <c r="AB100" s="458">
        <v>1285.33</v>
      </c>
      <c r="AC100" s="458">
        <f>Y100-Z100</f>
        <v>427.29999999999995</v>
      </c>
      <c r="AD100" s="458">
        <f>AA100-AB100</f>
        <v>102.93000000000006</v>
      </c>
      <c r="AE100" s="510">
        <f t="shared" si="59"/>
        <v>102.89627615258608</v>
      </c>
      <c r="AF100" s="511">
        <f t="shared" si="60"/>
        <v>0.1081780341680556</v>
      </c>
      <c r="AG100" s="444">
        <v>1458.5</v>
      </c>
      <c r="AH100" s="445">
        <v>1031.2</v>
      </c>
      <c r="AI100" s="445">
        <v>1388.26</v>
      </c>
      <c r="AJ100" s="445">
        <v>1285.33</v>
      </c>
      <c r="AK100" s="445">
        <f>AG100-AH100</f>
        <v>427.29999999999995</v>
      </c>
      <c r="AL100" s="445">
        <f>AI100-AJ100</f>
        <v>102.93000000000006</v>
      </c>
      <c r="AM100" s="491">
        <f t="shared" si="61"/>
        <v>102.89627615258608</v>
      </c>
      <c r="AN100" s="498">
        <f t="shared" si="62"/>
        <v>0.1081780341680556</v>
      </c>
      <c r="AO100" s="431"/>
      <c r="AP100" s="400"/>
    </row>
    <row r="101" spans="1:43" ht="14.45" customHeight="1">
      <c r="A101" s="400" t="s">
        <v>641</v>
      </c>
      <c r="B101" s="523" t="s">
        <v>30</v>
      </c>
      <c r="C101" s="523" t="s">
        <v>156</v>
      </c>
      <c r="D101" s="288">
        <v>1500</v>
      </c>
      <c r="E101" s="288" t="s">
        <v>468</v>
      </c>
      <c r="F101" s="288" t="s">
        <v>690</v>
      </c>
      <c r="G101" s="288" t="s">
        <v>692</v>
      </c>
      <c r="H101" s="401">
        <v>23.8</v>
      </c>
      <c r="I101" s="403">
        <f t="shared" si="85"/>
        <v>1388.1866666666667</v>
      </c>
      <c r="J101" s="404">
        <f t="shared" si="85"/>
        <v>1285.2300000000002</v>
      </c>
      <c r="K101" s="405">
        <f t="shared" si="86"/>
        <v>427.29999999999995</v>
      </c>
      <c r="L101" s="405">
        <f t="shared" si="86"/>
        <v>102.95666666666671</v>
      </c>
      <c r="M101" s="657">
        <f>(427.16/K101)*L101</f>
        <v>102.92293408222176</v>
      </c>
      <c r="N101" s="657">
        <f t="shared" si="55"/>
        <v>3.3322412044611838E-3</v>
      </c>
      <c r="O101" s="638">
        <f>-36.42+(0.355*M101)</f>
        <v>0.11764159918872252</v>
      </c>
      <c r="P101" s="639">
        <f t="shared" si="56"/>
        <v>1.182945627583365E-3</v>
      </c>
      <c r="Q101" s="444">
        <v>1458.51</v>
      </c>
      <c r="R101" s="445">
        <v>1031.21</v>
      </c>
      <c r="S101" s="445">
        <v>1388.19</v>
      </c>
      <c r="T101" s="445">
        <v>1285.24</v>
      </c>
      <c r="U101" s="445">
        <f>Q101-R101</f>
        <v>427.29999999999995</v>
      </c>
      <c r="V101" s="445">
        <f>S101-T101</f>
        <v>102.95000000000005</v>
      </c>
      <c r="W101" s="491">
        <f t="shared" si="57"/>
        <v>102.91626959981284</v>
      </c>
      <c r="X101" s="498">
        <f t="shared" si="58"/>
        <v>0.11527570793355579</v>
      </c>
      <c r="Y101" s="457">
        <v>1458.51</v>
      </c>
      <c r="Z101" s="458">
        <v>1031.21</v>
      </c>
      <c r="AA101" s="458">
        <v>1388.19</v>
      </c>
      <c r="AB101" s="458">
        <v>1285.23</v>
      </c>
      <c r="AC101" s="458">
        <f>Y101-Z101</f>
        <v>427.29999999999995</v>
      </c>
      <c r="AD101" s="458">
        <f>AA101-AB101</f>
        <v>102.96000000000004</v>
      </c>
      <c r="AE101" s="510">
        <f t="shared" si="59"/>
        <v>102.92626632342622</v>
      </c>
      <c r="AF101" s="511">
        <f t="shared" si="60"/>
        <v>0.11882454481630589</v>
      </c>
      <c r="AG101" s="444">
        <v>1458.5</v>
      </c>
      <c r="AH101" s="445">
        <v>1031.2</v>
      </c>
      <c r="AI101" s="445">
        <v>1388.18</v>
      </c>
      <c r="AJ101" s="445">
        <v>1285.22</v>
      </c>
      <c r="AK101" s="445">
        <f>AG101-AH101</f>
        <v>427.29999999999995</v>
      </c>
      <c r="AL101" s="445">
        <f>AI101-AJ101</f>
        <v>102.96000000000004</v>
      </c>
      <c r="AM101" s="491">
        <f t="shared" si="61"/>
        <v>102.92626632342622</v>
      </c>
      <c r="AN101" s="498">
        <f t="shared" si="62"/>
        <v>0.11882454481630589</v>
      </c>
      <c r="AO101" s="431"/>
      <c r="AP101" s="400"/>
    </row>
    <row r="102" spans="1:43" ht="14.45" customHeight="1">
      <c r="A102" s="400" t="s">
        <v>642</v>
      </c>
      <c r="B102" s="523" t="s">
        <v>30</v>
      </c>
      <c r="C102" s="523" t="s">
        <v>156</v>
      </c>
      <c r="D102" s="288">
        <v>1500</v>
      </c>
      <c r="E102" s="288" t="s">
        <v>468</v>
      </c>
      <c r="F102" s="288" t="s">
        <v>690</v>
      </c>
      <c r="G102" s="288" t="s">
        <v>692</v>
      </c>
      <c r="H102" s="401">
        <v>23.8</v>
      </c>
      <c r="I102" s="403">
        <f t="shared" si="85"/>
        <v>1388.3333333333333</v>
      </c>
      <c r="J102" s="404">
        <f t="shared" si="85"/>
        <v>1285.4566666666667</v>
      </c>
      <c r="K102" s="405">
        <f t="shared" si="86"/>
        <v>427.29999999999995</v>
      </c>
      <c r="L102" s="405">
        <f t="shared" si="86"/>
        <v>102.87666666666655</v>
      </c>
      <c r="M102" s="657">
        <f>(427.16/K102)*L102</f>
        <v>102.84296029331452</v>
      </c>
      <c r="N102" s="657">
        <f t="shared" si="55"/>
        <v>3.3322412044564471E-3</v>
      </c>
      <c r="O102" s="638">
        <f>-36.42+(0.355*M102)</f>
        <v>8.925090412665071E-2</v>
      </c>
      <c r="P102" s="639">
        <f t="shared" si="56"/>
        <v>1.1829456275809964E-3</v>
      </c>
      <c r="Q102" s="444">
        <v>1458.52</v>
      </c>
      <c r="R102" s="445">
        <v>1031.22</v>
      </c>
      <c r="S102" s="445">
        <v>1388.33</v>
      </c>
      <c r="T102" s="445">
        <v>1285.45</v>
      </c>
      <c r="U102" s="445">
        <f>Q102-R102</f>
        <v>427.29999999999995</v>
      </c>
      <c r="V102" s="445">
        <f>S102-T102</f>
        <v>102.87999999999988</v>
      </c>
      <c r="W102" s="491">
        <f t="shared" si="57"/>
        <v>102.84629253451897</v>
      </c>
      <c r="X102" s="498">
        <f t="shared" si="58"/>
        <v>9.0433849754226969E-2</v>
      </c>
      <c r="Y102" s="457">
        <v>1458.52</v>
      </c>
      <c r="Z102" s="458">
        <v>1031.22</v>
      </c>
      <c r="AA102" s="458">
        <v>1388.34</v>
      </c>
      <c r="AB102" s="458">
        <v>1285.46</v>
      </c>
      <c r="AC102" s="458">
        <f>Y102-Z102</f>
        <v>427.29999999999995</v>
      </c>
      <c r="AD102" s="458">
        <f>AA102-AB102</f>
        <v>102.87999999999988</v>
      </c>
      <c r="AE102" s="510">
        <f t="shared" si="59"/>
        <v>102.84629253451897</v>
      </c>
      <c r="AF102" s="511">
        <f t="shared" si="60"/>
        <v>9.0433849754226969E-2</v>
      </c>
      <c r="AG102" s="444">
        <v>1458.52</v>
      </c>
      <c r="AH102" s="445">
        <v>1031.22</v>
      </c>
      <c r="AI102" s="445">
        <v>1388.33</v>
      </c>
      <c r="AJ102" s="445">
        <v>1285.46</v>
      </c>
      <c r="AK102" s="445">
        <f>AG102-AH102</f>
        <v>427.29999999999995</v>
      </c>
      <c r="AL102" s="445">
        <f>AI102-AJ102</f>
        <v>102.86999999999989</v>
      </c>
      <c r="AM102" s="491">
        <f t="shared" si="61"/>
        <v>102.8362958109056</v>
      </c>
      <c r="AN102" s="498">
        <f t="shared" si="62"/>
        <v>8.688501287148398E-2</v>
      </c>
      <c r="AO102" s="431"/>
      <c r="AP102" s="400"/>
    </row>
    <row r="103" spans="1:43" ht="14.45" customHeight="1">
      <c r="A103" s="400" t="s">
        <v>643</v>
      </c>
      <c r="B103" s="523" t="s">
        <v>30</v>
      </c>
      <c r="C103" s="523" t="s">
        <v>156</v>
      </c>
      <c r="D103" s="288">
        <v>1500</v>
      </c>
      <c r="E103" s="288" t="s">
        <v>468</v>
      </c>
      <c r="F103" s="288" t="s">
        <v>691</v>
      </c>
      <c r="G103" s="288" t="s">
        <v>692</v>
      </c>
      <c r="H103" s="401">
        <v>23.8</v>
      </c>
      <c r="I103" s="403">
        <f t="shared" si="85"/>
        <v>1388.1866666666667</v>
      </c>
      <c r="J103" s="404">
        <f t="shared" si="85"/>
        <v>1285.1933333333334</v>
      </c>
      <c r="K103" s="405">
        <f t="shared" si="86"/>
        <v>427.29666666666662</v>
      </c>
      <c r="L103" s="405">
        <f t="shared" si="86"/>
        <v>102.99333333333334</v>
      </c>
      <c r="M103" s="657">
        <f>(427.16/K103)*L103</f>
        <v>102.96039192130372</v>
      </c>
      <c r="N103" s="657">
        <f t="shared" si="55"/>
        <v>4.1354915591540475E-3</v>
      </c>
      <c r="O103" s="638">
        <f>-36.42+(0.355*M103)</f>
        <v>0.13093913206282082</v>
      </c>
      <c r="P103" s="639">
        <f t="shared" si="56"/>
        <v>1.4680995034979107E-3</v>
      </c>
      <c r="Q103" s="444">
        <v>1458.54</v>
      </c>
      <c r="R103" s="445">
        <v>1031.24</v>
      </c>
      <c r="S103" s="445">
        <v>1388.19</v>
      </c>
      <c r="T103" s="445">
        <v>1285.2</v>
      </c>
      <c r="U103" s="445">
        <f>Q103-R103</f>
        <v>427.29999999999995</v>
      </c>
      <c r="V103" s="445">
        <f>S103-T103</f>
        <v>102.99000000000001</v>
      </c>
      <c r="W103" s="491">
        <f t="shared" si="57"/>
        <v>102.95625649426636</v>
      </c>
      <c r="X103" s="498">
        <f t="shared" si="58"/>
        <v>0.12947105546455617</v>
      </c>
      <c r="Y103" s="457">
        <v>1458.54</v>
      </c>
      <c r="Z103" s="458">
        <v>1031.25</v>
      </c>
      <c r="AA103" s="458">
        <v>1388.19</v>
      </c>
      <c r="AB103" s="458">
        <v>1285.19</v>
      </c>
      <c r="AC103" s="458">
        <f>Y103-Z103</f>
        <v>427.28999999999996</v>
      </c>
      <c r="AD103" s="458">
        <f>AA103-AB103</f>
        <v>103</v>
      </c>
      <c r="AE103" s="510">
        <f t="shared" si="59"/>
        <v>102.96866296894382</v>
      </c>
      <c r="AF103" s="511">
        <f t="shared" si="60"/>
        <v>0.1338753539750499</v>
      </c>
      <c r="AG103" s="444">
        <v>1458.53</v>
      </c>
      <c r="AH103" s="445">
        <v>1031.23</v>
      </c>
      <c r="AI103" s="445">
        <v>1388.18</v>
      </c>
      <c r="AJ103" s="445">
        <v>1285.19</v>
      </c>
      <c r="AK103" s="445">
        <f>AG103-AH103</f>
        <v>427.29999999999995</v>
      </c>
      <c r="AL103" s="445">
        <f>AI103-AJ103</f>
        <v>102.99000000000001</v>
      </c>
      <c r="AM103" s="491">
        <f t="shared" si="61"/>
        <v>102.95625649426636</v>
      </c>
      <c r="AN103" s="498">
        <f t="shared" si="62"/>
        <v>0.12947105546455617</v>
      </c>
      <c r="AO103" s="431"/>
      <c r="AP103" s="400"/>
    </row>
    <row r="104" spans="1:43" ht="14.45" customHeight="1">
      <c r="A104" s="400" t="s">
        <v>644</v>
      </c>
      <c r="B104" s="523" t="s">
        <v>30</v>
      </c>
      <c r="C104" s="523" t="s">
        <v>156</v>
      </c>
      <c r="D104" s="288">
        <v>1500</v>
      </c>
      <c r="E104" s="288" t="s">
        <v>468</v>
      </c>
      <c r="F104" s="288" t="s">
        <v>690</v>
      </c>
      <c r="G104" s="288" t="s">
        <v>692</v>
      </c>
      <c r="H104" s="401">
        <v>23.9</v>
      </c>
      <c r="I104" s="403">
        <f t="shared" si="85"/>
        <v>1388.1933333333334</v>
      </c>
      <c r="J104" s="404">
        <f t="shared" si="85"/>
        <v>1285.2233333333334</v>
      </c>
      <c r="K104" s="405">
        <f t="shared" si="86"/>
        <v>427.28999999999996</v>
      </c>
      <c r="L104" s="405">
        <f t="shared" si="86"/>
        <v>102.97000000000003</v>
      </c>
      <c r="M104" s="657">
        <f>(427.16/K104)*L104</f>
        <v>102.93867209623444</v>
      </c>
      <c r="N104" s="657">
        <f t="shared" ref="N104:N123" si="87">_xlfn.STDEV.S(W104,AE104,AM104)/SQRT(COUNT(W104,AE104,AM104))</f>
        <v>5.2172929056601598E-3</v>
      </c>
      <c r="O104" s="638">
        <f>-36.42+(0.355*M104)</f>
        <v>0.12322859416322274</v>
      </c>
      <c r="P104" s="639">
        <f t="shared" ref="P104:P123" si="88">_xlfn.STDEV.S(X104,AF104,AN104)/SQRT(COUNT(X104,AF104,AN104))</f>
        <v>1.8521389815105713E-3</v>
      </c>
      <c r="Q104" s="444">
        <v>1458.56</v>
      </c>
      <c r="R104" s="445">
        <v>1031.27</v>
      </c>
      <c r="S104" s="445">
        <v>1388.2</v>
      </c>
      <c r="T104" s="445">
        <v>1285.22</v>
      </c>
      <c r="U104" s="445">
        <f>Q104-R104</f>
        <v>427.28999999999996</v>
      </c>
      <c r="V104" s="445">
        <f>S104-T104</f>
        <v>102.98000000000002</v>
      </c>
      <c r="W104" s="491">
        <f t="shared" si="57"/>
        <v>102.94866905380424</v>
      </c>
      <c r="X104" s="498">
        <f t="shared" si="58"/>
        <v>0.1267775141005032</v>
      </c>
      <c r="Y104" s="457">
        <v>1458.56</v>
      </c>
      <c r="Z104" s="458">
        <v>1031.26</v>
      </c>
      <c r="AA104" s="458">
        <v>1388.2</v>
      </c>
      <c r="AB104" s="458">
        <v>1285.23</v>
      </c>
      <c r="AC104" s="458">
        <f>Y104-Z104</f>
        <v>427.29999999999995</v>
      </c>
      <c r="AD104" s="458">
        <f>AA104-AB104</f>
        <v>102.97000000000003</v>
      </c>
      <c r="AE104" s="510">
        <f t="shared" si="59"/>
        <v>102.93626304703959</v>
      </c>
      <c r="AF104" s="511">
        <f t="shared" si="60"/>
        <v>0.12237338169904888</v>
      </c>
      <c r="AG104" s="444">
        <v>1458.55</v>
      </c>
      <c r="AH104" s="445">
        <v>1031.27</v>
      </c>
      <c r="AI104" s="445">
        <v>1388.18</v>
      </c>
      <c r="AJ104" s="445">
        <v>1285.22</v>
      </c>
      <c r="AK104" s="445">
        <f>AG104-AH104</f>
        <v>427.28</v>
      </c>
      <c r="AL104" s="445">
        <f>AI104-AJ104</f>
        <v>102.96000000000004</v>
      </c>
      <c r="AM104" s="491">
        <f t="shared" si="61"/>
        <v>102.93108406665424</v>
      </c>
      <c r="AN104" s="498">
        <f t="shared" si="62"/>
        <v>0.12053484366224865</v>
      </c>
      <c r="AO104" s="431"/>
      <c r="AP104" s="400"/>
    </row>
    <row r="105" spans="1:43" s="409" customFormat="1" ht="14.45" customHeight="1">
      <c r="A105" s="410" t="s">
        <v>683</v>
      </c>
      <c r="B105" s="524" t="s">
        <v>30</v>
      </c>
      <c r="C105" s="524" t="s">
        <v>156</v>
      </c>
      <c r="D105" s="525">
        <v>1500</v>
      </c>
      <c r="E105" s="525" t="s">
        <v>468</v>
      </c>
      <c r="F105" s="288" t="s">
        <v>690</v>
      </c>
      <c r="G105" s="525" t="s">
        <v>692</v>
      </c>
      <c r="H105" s="411">
        <v>23.9</v>
      </c>
      <c r="I105" s="408" t="s">
        <v>419</v>
      </c>
      <c r="J105" s="406" t="s">
        <v>419</v>
      </c>
      <c r="K105" s="406" t="s">
        <v>419</v>
      </c>
      <c r="L105" s="406" t="s">
        <v>419</v>
      </c>
      <c r="M105" s="658" t="s">
        <v>419</v>
      </c>
      <c r="N105" s="658" t="s">
        <v>419</v>
      </c>
      <c r="O105" s="640" t="s">
        <v>419</v>
      </c>
      <c r="P105" s="641" t="s">
        <v>419</v>
      </c>
      <c r="Q105" s="446" t="s">
        <v>419</v>
      </c>
      <c r="R105" s="447" t="s">
        <v>419</v>
      </c>
      <c r="S105" s="447" t="s">
        <v>419</v>
      </c>
      <c r="T105" s="447" t="s">
        <v>419</v>
      </c>
      <c r="U105" s="447" t="s">
        <v>419</v>
      </c>
      <c r="V105" s="447" t="s">
        <v>419</v>
      </c>
      <c r="W105" s="447" t="s">
        <v>419</v>
      </c>
      <c r="X105" s="499" t="s">
        <v>419</v>
      </c>
      <c r="Y105" s="459" t="s">
        <v>419</v>
      </c>
      <c r="Z105" s="460" t="s">
        <v>419</v>
      </c>
      <c r="AA105" s="460" t="s">
        <v>419</v>
      </c>
      <c r="AB105" s="460" t="s">
        <v>419</v>
      </c>
      <c r="AC105" s="460" t="s">
        <v>419</v>
      </c>
      <c r="AD105" s="460" t="s">
        <v>419</v>
      </c>
      <c r="AE105" s="460" t="s">
        <v>419</v>
      </c>
      <c r="AF105" s="512" t="s">
        <v>419</v>
      </c>
      <c r="AG105" s="446" t="s">
        <v>419</v>
      </c>
      <c r="AH105" s="447" t="s">
        <v>419</v>
      </c>
      <c r="AI105" s="447" t="s">
        <v>419</v>
      </c>
      <c r="AJ105" s="447" t="s">
        <v>419</v>
      </c>
      <c r="AK105" s="447" t="s">
        <v>419</v>
      </c>
      <c r="AL105" s="447" t="s">
        <v>419</v>
      </c>
      <c r="AM105" s="447" t="s">
        <v>419</v>
      </c>
      <c r="AN105" s="499" t="s">
        <v>419</v>
      </c>
      <c r="AO105" s="434" t="s">
        <v>582</v>
      </c>
      <c r="AP105" s="410"/>
    </row>
    <row r="106" spans="1:43" s="409" customFormat="1" ht="14.45" customHeight="1">
      <c r="A106" s="410" t="s">
        <v>283</v>
      </c>
      <c r="B106" s="524" t="s">
        <v>30</v>
      </c>
      <c r="C106" s="524" t="s">
        <v>156</v>
      </c>
      <c r="D106" s="525">
        <v>1500</v>
      </c>
      <c r="E106" s="525" t="s">
        <v>468</v>
      </c>
      <c r="F106" s="288" t="s">
        <v>405</v>
      </c>
      <c r="G106" s="525" t="s">
        <v>692</v>
      </c>
      <c r="H106" s="411">
        <v>23.9</v>
      </c>
      <c r="I106" s="408" t="s">
        <v>419</v>
      </c>
      <c r="J106" s="406" t="s">
        <v>419</v>
      </c>
      <c r="K106" s="406" t="s">
        <v>419</v>
      </c>
      <c r="L106" s="406" t="s">
        <v>419</v>
      </c>
      <c r="M106" s="658" t="s">
        <v>419</v>
      </c>
      <c r="N106" s="658" t="s">
        <v>419</v>
      </c>
      <c r="O106" s="640" t="s">
        <v>419</v>
      </c>
      <c r="P106" s="641" t="s">
        <v>419</v>
      </c>
      <c r="Q106" s="446" t="s">
        <v>419</v>
      </c>
      <c r="R106" s="447" t="s">
        <v>419</v>
      </c>
      <c r="S106" s="447" t="s">
        <v>419</v>
      </c>
      <c r="T106" s="447" t="s">
        <v>419</v>
      </c>
      <c r="U106" s="447" t="s">
        <v>419</v>
      </c>
      <c r="V106" s="447" t="s">
        <v>419</v>
      </c>
      <c r="W106" s="447" t="s">
        <v>419</v>
      </c>
      <c r="X106" s="499" t="s">
        <v>419</v>
      </c>
      <c r="Y106" s="459" t="s">
        <v>419</v>
      </c>
      <c r="Z106" s="460" t="s">
        <v>419</v>
      </c>
      <c r="AA106" s="460" t="s">
        <v>419</v>
      </c>
      <c r="AB106" s="460" t="s">
        <v>419</v>
      </c>
      <c r="AC106" s="460" t="s">
        <v>419</v>
      </c>
      <c r="AD106" s="460" t="s">
        <v>419</v>
      </c>
      <c r="AE106" s="460" t="s">
        <v>419</v>
      </c>
      <c r="AF106" s="512" t="s">
        <v>419</v>
      </c>
      <c r="AG106" s="446" t="s">
        <v>419</v>
      </c>
      <c r="AH106" s="447" t="s">
        <v>419</v>
      </c>
      <c r="AI106" s="447" t="s">
        <v>419</v>
      </c>
      <c r="AJ106" s="447" t="s">
        <v>419</v>
      </c>
      <c r="AK106" s="447" t="s">
        <v>419</v>
      </c>
      <c r="AL106" s="447" t="s">
        <v>419</v>
      </c>
      <c r="AM106" s="447" t="s">
        <v>419</v>
      </c>
      <c r="AN106" s="499" t="s">
        <v>419</v>
      </c>
      <c r="AO106" s="434" t="s">
        <v>593</v>
      </c>
      <c r="AP106" s="410"/>
      <c r="AQ106" s="410"/>
    </row>
    <row r="107" spans="1:43" ht="14.45" customHeight="1">
      <c r="A107" s="400" t="s">
        <v>191</v>
      </c>
      <c r="B107" s="523" t="s">
        <v>30</v>
      </c>
      <c r="C107" s="523" t="s">
        <v>156</v>
      </c>
      <c r="D107" s="288">
        <v>1500</v>
      </c>
      <c r="E107" s="288" t="s">
        <v>468</v>
      </c>
      <c r="F107" s="288" t="s">
        <v>405</v>
      </c>
      <c r="G107" s="288" t="s">
        <v>692</v>
      </c>
      <c r="H107" s="401">
        <v>23.7</v>
      </c>
      <c r="I107" s="403">
        <f t="shared" ref="I107:J111" si="89">(S107+AA107+AI107)/3</f>
        <v>1388.6599999999999</v>
      </c>
      <c r="J107" s="404">
        <f t="shared" si="89"/>
        <v>1285.9666666666665</v>
      </c>
      <c r="K107" s="405">
        <f t="shared" ref="K107:L111" si="90">AVERAGE(AC107,AK107,U107)</f>
        <v>427.29333333333329</v>
      </c>
      <c r="L107" s="405">
        <f t="shared" si="90"/>
        <v>102.69333333333338</v>
      </c>
      <c r="M107" s="657">
        <f>(427.16/K107)*L107</f>
        <v>102.6612887321747</v>
      </c>
      <c r="N107" s="657">
        <f t="shared" si="87"/>
        <v>1.7035499991557547E-2</v>
      </c>
      <c r="O107" s="638">
        <f>-36.42+(0.355*M107)</f>
        <v>2.4757499922010595E-2</v>
      </c>
      <c r="P107" s="639">
        <f t="shared" si="88"/>
        <v>6.0476024970031539E-3</v>
      </c>
      <c r="Q107" s="444">
        <v>1458.59</v>
      </c>
      <c r="R107" s="445">
        <v>1031.29</v>
      </c>
      <c r="S107" s="445">
        <v>1388.69</v>
      </c>
      <c r="T107" s="445">
        <v>1285.97</v>
      </c>
      <c r="U107" s="445">
        <f>Q107-R107</f>
        <v>427.29999999999995</v>
      </c>
      <c r="V107" s="445">
        <f>S107-T107</f>
        <v>102.72000000000003</v>
      </c>
      <c r="W107" s="491">
        <f t="shared" si="57"/>
        <v>102.68634495670493</v>
      </c>
      <c r="X107" s="498">
        <f t="shared" si="58"/>
        <v>3.3652459630246767E-2</v>
      </c>
      <c r="Y107" s="457">
        <v>1458.59</v>
      </c>
      <c r="Z107" s="458">
        <v>1031.3</v>
      </c>
      <c r="AA107" s="458">
        <v>1388.64</v>
      </c>
      <c r="AB107" s="458">
        <v>1285.94</v>
      </c>
      <c r="AC107" s="458">
        <f>Y107-Z107</f>
        <v>427.28999999999996</v>
      </c>
      <c r="AD107" s="458">
        <f>AA107-AB107</f>
        <v>102.70000000000005</v>
      </c>
      <c r="AE107" s="510">
        <f t="shared" si="59"/>
        <v>102.66875424184985</v>
      </c>
      <c r="AF107" s="511">
        <f t="shared" si="60"/>
        <v>2.7407755856692972E-2</v>
      </c>
      <c r="AG107" s="444">
        <v>1458.58</v>
      </c>
      <c r="AH107" s="445">
        <v>1031.29</v>
      </c>
      <c r="AI107" s="445">
        <v>1388.65</v>
      </c>
      <c r="AJ107" s="445">
        <v>1285.99</v>
      </c>
      <c r="AK107" s="445">
        <f>AG107-AH107</f>
        <v>427.28999999999996</v>
      </c>
      <c r="AL107" s="445">
        <f>AI107-AJ107</f>
        <v>102.66000000000008</v>
      </c>
      <c r="AM107" s="491">
        <f t="shared" si="61"/>
        <v>102.62876641157069</v>
      </c>
      <c r="AN107" s="498">
        <f t="shared" si="62"/>
        <v>1.3212076107592452E-2</v>
      </c>
      <c r="AO107" s="431"/>
    </row>
    <row r="108" spans="1:43" ht="14.45" customHeight="1">
      <c r="A108" s="400" t="s">
        <v>645</v>
      </c>
      <c r="B108" s="523" t="s">
        <v>30</v>
      </c>
      <c r="C108" s="523" t="s">
        <v>156</v>
      </c>
      <c r="D108" s="288">
        <v>1500</v>
      </c>
      <c r="E108" s="288" t="s">
        <v>468</v>
      </c>
      <c r="F108" s="288" t="s">
        <v>691</v>
      </c>
      <c r="G108" s="288" t="s">
        <v>692</v>
      </c>
      <c r="H108" s="401">
        <v>23.7</v>
      </c>
      <c r="I108" s="403">
        <f t="shared" si="89"/>
        <v>1388.3033333333333</v>
      </c>
      <c r="J108" s="404">
        <f t="shared" si="89"/>
        <v>1285.32</v>
      </c>
      <c r="K108" s="405">
        <f t="shared" si="90"/>
        <v>427.29666666666662</v>
      </c>
      <c r="L108" s="405">
        <f t="shared" si="90"/>
        <v>102.98333333333335</v>
      </c>
      <c r="M108" s="657">
        <f>(427.16/K108)*L108</f>
        <v>102.9503951197061</v>
      </c>
      <c r="N108" s="657">
        <f t="shared" si="87"/>
        <v>2.2167600294656668E-3</v>
      </c>
      <c r="O108" s="638">
        <f>-36.42+(0.355*M108)</f>
        <v>0.12739026749566307</v>
      </c>
      <c r="P108" s="639">
        <f t="shared" si="88"/>
        <v>7.8694981046164029E-4</v>
      </c>
      <c r="Q108" s="444">
        <v>1458.61</v>
      </c>
      <c r="R108" s="445">
        <v>1031.3</v>
      </c>
      <c r="S108" s="445">
        <v>1388.31</v>
      </c>
      <c r="T108" s="445">
        <v>1285.32</v>
      </c>
      <c r="U108" s="445">
        <f>Q108-R108</f>
        <v>427.30999999999995</v>
      </c>
      <c r="V108" s="445">
        <f>S108-T108</f>
        <v>102.99000000000001</v>
      </c>
      <c r="W108" s="491">
        <f t="shared" si="57"/>
        <v>102.95384708993474</v>
      </c>
      <c r="X108" s="498">
        <f t="shared" si="58"/>
        <v>0.12861571692683071</v>
      </c>
      <c r="Y108" s="457">
        <v>1458.61</v>
      </c>
      <c r="Z108" s="458">
        <v>1031.31</v>
      </c>
      <c r="AA108" s="458">
        <v>1388.3</v>
      </c>
      <c r="AB108" s="458">
        <v>1285.32</v>
      </c>
      <c r="AC108" s="458">
        <f>Y108-Z108</f>
        <v>427.29999999999995</v>
      </c>
      <c r="AD108" s="458">
        <f>AA108-AB108</f>
        <v>102.98000000000002</v>
      </c>
      <c r="AE108" s="510">
        <f t="shared" si="59"/>
        <v>102.94625977065297</v>
      </c>
      <c r="AF108" s="511">
        <f t="shared" si="60"/>
        <v>0.12592221858179897</v>
      </c>
      <c r="AG108" s="444">
        <v>1458.6</v>
      </c>
      <c r="AH108" s="445">
        <v>1031.32</v>
      </c>
      <c r="AI108" s="445">
        <v>1388.3</v>
      </c>
      <c r="AJ108" s="445">
        <v>1285.32</v>
      </c>
      <c r="AK108" s="445">
        <f>AG108-AH108</f>
        <v>427.28</v>
      </c>
      <c r="AL108" s="445">
        <f>AI108-AJ108</f>
        <v>102.98000000000002</v>
      </c>
      <c r="AM108" s="491">
        <f t="shared" si="61"/>
        <v>102.95107844972856</v>
      </c>
      <c r="AN108" s="498">
        <f t="shared" si="62"/>
        <v>0.12763284965363653</v>
      </c>
      <c r="AO108" s="431"/>
      <c r="AP108" s="400"/>
      <c r="AQ108" s="400"/>
    </row>
    <row r="109" spans="1:43" ht="14.45" customHeight="1">
      <c r="A109" s="400" t="s">
        <v>646</v>
      </c>
      <c r="B109" s="523" t="s">
        <v>30</v>
      </c>
      <c r="C109" s="523" t="s">
        <v>156</v>
      </c>
      <c r="D109" s="288">
        <v>1500</v>
      </c>
      <c r="E109" s="288" t="s">
        <v>468</v>
      </c>
      <c r="F109" s="288" t="s">
        <v>690</v>
      </c>
      <c r="G109" s="288" t="s">
        <v>692</v>
      </c>
      <c r="H109" s="401">
        <v>23.7</v>
      </c>
      <c r="I109" s="403">
        <f t="shared" si="89"/>
        <v>1388.4400000000003</v>
      </c>
      <c r="J109" s="404">
        <f t="shared" si="89"/>
        <v>1285.5433333333333</v>
      </c>
      <c r="K109" s="405">
        <f t="shared" si="90"/>
        <v>427.28666666666663</v>
      </c>
      <c r="L109" s="405">
        <f t="shared" si="90"/>
        <v>102.89666666666676</v>
      </c>
      <c r="M109" s="657">
        <f>(427.16/K109)*L109</f>
        <v>102.86616354360081</v>
      </c>
      <c r="N109" s="657">
        <f t="shared" si="87"/>
        <v>3.7977076489933165E-3</v>
      </c>
      <c r="O109" s="638">
        <f>-36.42+(0.355*M109)</f>
        <v>9.7488057978281972E-2</v>
      </c>
      <c r="P109" s="639">
        <f t="shared" si="88"/>
        <v>1.3481862153930369E-3</v>
      </c>
      <c r="Q109" s="444">
        <v>1458.61</v>
      </c>
      <c r="R109" s="445">
        <v>1031.33</v>
      </c>
      <c r="S109" s="445">
        <v>1388.45</v>
      </c>
      <c r="T109" s="445">
        <v>1285.55</v>
      </c>
      <c r="U109" s="445">
        <f>Q109-R109</f>
        <v>427.28</v>
      </c>
      <c r="V109" s="445">
        <f>S109-T109</f>
        <v>102.90000000000009</v>
      </c>
      <c r="W109" s="491">
        <f t="shared" si="57"/>
        <v>102.87110091743131</v>
      </c>
      <c r="X109" s="498">
        <f t="shared" si="58"/>
        <v>9.9240825688113432E-2</v>
      </c>
      <c r="Y109" s="457">
        <v>1458.61</v>
      </c>
      <c r="Z109" s="458">
        <v>1031.32</v>
      </c>
      <c r="AA109" s="458">
        <v>1388.44</v>
      </c>
      <c r="AB109" s="458">
        <v>1285.54</v>
      </c>
      <c r="AC109" s="458">
        <f>Y109-Z109</f>
        <v>427.28999999999996</v>
      </c>
      <c r="AD109" s="458">
        <f>AA109-AB109</f>
        <v>102.90000000000009</v>
      </c>
      <c r="AE109" s="510">
        <f t="shared" si="59"/>
        <v>102.86869339324591</v>
      </c>
      <c r="AF109" s="511">
        <f t="shared" si="60"/>
        <v>9.8386154602295051E-2</v>
      </c>
      <c r="AG109" s="444">
        <v>1458.61</v>
      </c>
      <c r="AH109" s="445">
        <v>1031.32</v>
      </c>
      <c r="AI109" s="445">
        <v>1388.43</v>
      </c>
      <c r="AJ109" s="445">
        <v>1285.54</v>
      </c>
      <c r="AK109" s="445">
        <f>AG109-AH109</f>
        <v>427.28999999999996</v>
      </c>
      <c r="AL109" s="445">
        <f>AI109-AJ109</f>
        <v>102.8900000000001</v>
      </c>
      <c r="AM109" s="491">
        <f t="shared" si="61"/>
        <v>102.85869643567612</v>
      </c>
      <c r="AN109" s="498">
        <f t="shared" si="62"/>
        <v>9.4837234665021697E-2</v>
      </c>
      <c r="AO109" s="431"/>
      <c r="AP109" s="400"/>
      <c r="AQ109" s="400"/>
    </row>
    <row r="110" spans="1:43" ht="14.45" customHeight="1">
      <c r="A110" s="400" t="s">
        <v>647</v>
      </c>
      <c r="B110" s="523" t="s">
        <v>30</v>
      </c>
      <c r="C110" s="523" t="s">
        <v>156</v>
      </c>
      <c r="D110" s="288">
        <v>1500</v>
      </c>
      <c r="E110" s="288" t="s">
        <v>468</v>
      </c>
      <c r="F110" s="288" t="s">
        <v>690</v>
      </c>
      <c r="G110" s="288" t="s">
        <v>692</v>
      </c>
      <c r="H110" s="401">
        <v>23.7</v>
      </c>
      <c r="I110" s="403">
        <f t="shared" si="89"/>
        <v>1388.38</v>
      </c>
      <c r="J110" s="404">
        <f t="shared" si="89"/>
        <v>1285.4400000000003</v>
      </c>
      <c r="K110" s="405">
        <f t="shared" si="90"/>
        <v>427.28666666666663</v>
      </c>
      <c r="L110" s="405">
        <f t="shared" si="90"/>
        <v>102.94000000000005</v>
      </c>
      <c r="M110" s="657">
        <f>(427.16/K110)*L110</f>
        <v>102.9094840310175</v>
      </c>
      <c r="N110" s="657">
        <f t="shared" si="87"/>
        <v>6.4795243709659779E-3</v>
      </c>
      <c r="O110" s="638">
        <f>-36.42+(0.355*M110)</f>
        <v>0.11286683101121042</v>
      </c>
      <c r="P110" s="639">
        <f t="shared" si="88"/>
        <v>2.3002311516918303E-3</v>
      </c>
      <c r="Q110" s="444">
        <v>1458.62</v>
      </c>
      <c r="R110" s="445">
        <v>1031.33</v>
      </c>
      <c r="S110" s="445">
        <v>1388.38</v>
      </c>
      <c r="T110" s="445">
        <v>1285.45</v>
      </c>
      <c r="U110" s="445">
        <f>Q110-R110</f>
        <v>427.28999999999996</v>
      </c>
      <c r="V110" s="445">
        <f>S110-T110</f>
        <v>102.93000000000006</v>
      </c>
      <c r="W110" s="491">
        <f t="shared" si="57"/>
        <v>102.89868426595528</v>
      </c>
      <c r="X110" s="498">
        <f t="shared" si="58"/>
        <v>0.10903291441412222</v>
      </c>
      <c r="Y110" s="457">
        <v>1458.62</v>
      </c>
      <c r="Z110" s="458">
        <v>1031.33</v>
      </c>
      <c r="AA110" s="458">
        <v>1388.38</v>
      </c>
      <c r="AB110" s="458">
        <v>1285.44</v>
      </c>
      <c r="AC110" s="458">
        <f>Y110-Z110</f>
        <v>427.28999999999996</v>
      </c>
      <c r="AD110" s="458">
        <f>AA110-AB110</f>
        <v>102.94000000000005</v>
      </c>
      <c r="AE110" s="510">
        <f t="shared" si="59"/>
        <v>102.90868122352508</v>
      </c>
      <c r="AF110" s="511">
        <f t="shared" si="60"/>
        <v>0.11258183435140268</v>
      </c>
      <c r="AG110" s="444">
        <v>1458.61</v>
      </c>
      <c r="AH110" s="445">
        <v>1031.33</v>
      </c>
      <c r="AI110" s="445">
        <v>1388.38</v>
      </c>
      <c r="AJ110" s="445">
        <v>1285.43</v>
      </c>
      <c r="AK110" s="445">
        <f>AG110-AH110</f>
        <v>427.28</v>
      </c>
      <c r="AL110" s="445">
        <f>AI110-AJ110</f>
        <v>102.95000000000005</v>
      </c>
      <c r="AM110" s="491">
        <f t="shared" si="61"/>
        <v>102.92108687511708</v>
      </c>
      <c r="AN110" s="498">
        <f t="shared" si="62"/>
        <v>0.11698584066655826</v>
      </c>
      <c r="AO110" s="431"/>
      <c r="AP110" s="400"/>
      <c r="AQ110" s="400"/>
    </row>
    <row r="111" spans="1:43" ht="14.45" customHeight="1">
      <c r="A111" s="400" t="s">
        <v>648</v>
      </c>
      <c r="B111" s="523" t="s">
        <v>30</v>
      </c>
      <c r="C111" s="523" t="s">
        <v>156</v>
      </c>
      <c r="D111" s="288">
        <v>1500</v>
      </c>
      <c r="E111" s="288" t="s">
        <v>468</v>
      </c>
      <c r="F111" s="288" t="s">
        <v>690</v>
      </c>
      <c r="G111" s="288" t="s">
        <v>692</v>
      </c>
      <c r="H111" s="401">
        <v>23.7</v>
      </c>
      <c r="I111" s="403">
        <f t="shared" si="89"/>
        <v>1388.3499999999997</v>
      </c>
      <c r="J111" s="404">
        <f t="shared" si="89"/>
        <v>1285.3933333333334</v>
      </c>
      <c r="K111" s="405">
        <f t="shared" si="90"/>
        <v>427.28666666666686</v>
      </c>
      <c r="L111" s="405">
        <f t="shared" si="90"/>
        <v>102.95666666666648</v>
      </c>
      <c r="M111" s="657">
        <f>(427.16/K111)*L111</f>
        <v>102.92614575694671</v>
      </c>
      <c r="N111" s="657">
        <f t="shared" si="87"/>
        <v>7.5960511940708275E-3</v>
      </c>
      <c r="O111" s="638">
        <f>-36.42+(0.355*M111)</f>
        <v>0.11878174371607741</v>
      </c>
      <c r="P111" s="639">
        <f t="shared" si="88"/>
        <v>2.6965981738962743E-3</v>
      </c>
      <c r="Q111" s="444">
        <v>1458.63</v>
      </c>
      <c r="R111" s="445">
        <v>1031.3499999999999</v>
      </c>
      <c r="S111" s="445">
        <v>1388.34</v>
      </c>
      <c r="T111" s="445">
        <v>1285.3900000000001</v>
      </c>
      <c r="U111" s="445">
        <f>Q111-R111</f>
        <v>427.2800000000002</v>
      </c>
      <c r="V111" s="445">
        <f>S111-T111</f>
        <v>102.94999999999982</v>
      </c>
      <c r="W111" s="491">
        <f t="shared" si="57"/>
        <v>102.9210868751168</v>
      </c>
      <c r="X111" s="498">
        <f t="shared" si="58"/>
        <v>0.11698584066645878</v>
      </c>
      <c r="Y111" s="457">
        <v>1458.63</v>
      </c>
      <c r="Z111" s="458">
        <v>1031.3499999999999</v>
      </c>
      <c r="AA111" s="458">
        <v>1388.36</v>
      </c>
      <c r="AB111" s="458">
        <v>1285.3900000000001</v>
      </c>
      <c r="AC111" s="458">
        <f>Y111-Z111</f>
        <v>427.2800000000002</v>
      </c>
      <c r="AD111" s="458">
        <f>AA111-AB111</f>
        <v>102.9699999999998</v>
      </c>
      <c r="AE111" s="510">
        <f t="shared" si="59"/>
        <v>102.9410812581911</v>
      </c>
      <c r="AF111" s="511">
        <f t="shared" si="60"/>
        <v>0.12408384665783956</v>
      </c>
      <c r="AG111" s="444">
        <v>1458.63</v>
      </c>
      <c r="AH111" s="445">
        <v>1031.33</v>
      </c>
      <c r="AI111" s="445">
        <v>1388.35</v>
      </c>
      <c r="AJ111" s="445">
        <v>1285.4000000000001</v>
      </c>
      <c r="AK111" s="445">
        <f>AG111-AH111</f>
        <v>427.30000000000018</v>
      </c>
      <c r="AL111" s="445">
        <f>AI111-AJ111</f>
        <v>102.94999999999982</v>
      </c>
      <c r="AM111" s="491">
        <f t="shared" si="61"/>
        <v>102.91626959981255</v>
      </c>
      <c r="AN111" s="498">
        <f t="shared" si="62"/>
        <v>0.11527570793344921</v>
      </c>
      <c r="AO111" s="431"/>
      <c r="AP111" s="400"/>
      <c r="AQ111" s="400"/>
    </row>
    <row r="112" spans="1:43" s="410" customFormat="1" ht="14.45" customHeight="1">
      <c r="A112" s="410" t="s">
        <v>649</v>
      </c>
      <c r="B112" s="524" t="s">
        <v>30</v>
      </c>
      <c r="C112" s="524" t="s">
        <v>156</v>
      </c>
      <c r="D112" s="525">
        <v>1500</v>
      </c>
      <c r="E112" s="525" t="s">
        <v>468</v>
      </c>
      <c r="F112" s="288" t="s">
        <v>691</v>
      </c>
      <c r="G112" s="525" t="s">
        <v>692</v>
      </c>
      <c r="H112" s="411">
        <v>23.7</v>
      </c>
      <c r="I112" s="408" t="s">
        <v>419</v>
      </c>
      <c r="J112" s="406" t="s">
        <v>419</v>
      </c>
      <c r="K112" s="406" t="s">
        <v>419</v>
      </c>
      <c r="L112" s="406" t="s">
        <v>419</v>
      </c>
      <c r="M112" s="658" t="s">
        <v>419</v>
      </c>
      <c r="N112" s="658" t="s">
        <v>419</v>
      </c>
      <c r="O112" s="640" t="s">
        <v>419</v>
      </c>
      <c r="P112" s="641" t="s">
        <v>419</v>
      </c>
      <c r="Q112" s="446" t="s">
        <v>419</v>
      </c>
      <c r="R112" s="447" t="s">
        <v>419</v>
      </c>
      <c r="S112" s="447" t="s">
        <v>419</v>
      </c>
      <c r="T112" s="447" t="s">
        <v>419</v>
      </c>
      <c r="U112" s="447" t="s">
        <v>419</v>
      </c>
      <c r="V112" s="447" t="s">
        <v>419</v>
      </c>
      <c r="W112" s="447" t="s">
        <v>419</v>
      </c>
      <c r="X112" s="499" t="s">
        <v>419</v>
      </c>
      <c r="Y112" s="459" t="s">
        <v>419</v>
      </c>
      <c r="Z112" s="460" t="s">
        <v>419</v>
      </c>
      <c r="AA112" s="460" t="s">
        <v>419</v>
      </c>
      <c r="AB112" s="460" t="s">
        <v>419</v>
      </c>
      <c r="AC112" s="460" t="s">
        <v>419</v>
      </c>
      <c r="AD112" s="460" t="s">
        <v>419</v>
      </c>
      <c r="AE112" s="460" t="s">
        <v>419</v>
      </c>
      <c r="AF112" s="512" t="s">
        <v>419</v>
      </c>
      <c r="AG112" s="446" t="s">
        <v>419</v>
      </c>
      <c r="AH112" s="447" t="s">
        <v>419</v>
      </c>
      <c r="AI112" s="447" t="s">
        <v>419</v>
      </c>
      <c r="AJ112" s="447" t="s">
        <v>419</v>
      </c>
      <c r="AK112" s="447" t="s">
        <v>419</v>
      </c>
      <c r="AL112" s="447" t="s">
        <v>419</v>
      </c>
      <c r="AM112" s="447" t="s">
        <v>419</v>
      </c>
      <c r="AN112" s="499" t="s">
        <v>419</v>
      </c>
      <c r="AO112" s="434" t="s">
        <v>616</v>
      </c>
    </row>
    <row r="113" spans="1:45" s="410" customFormat="1" ht="14.45" customHeight="1">
      <c r="A113" s="410" t="s">
        <v>650</v>
      </c>
      <c r="B113" s="524" t="s">
        <v>30</v>
      </c>
      <c r="C113" s="524" t="s">
        <v>156</v>
      </c>
      <c r="D113" s="525">
        <v>1500</v>
      </c>
      <c r="E113" s="525" t="s">
        <v>468</v>
      </c>
      <c r="F113" s="288" t="s">
        <v>690</v>
      </c>
      <c r="G113" s="525" t="s">
        <v>692</v>
      </c>
      <c r="H113" s="411">
        <v>23.7</v>
      </c>
      <c r="I113" s="408" t="s">
        <v>419</v>
      </c>
      <c r="J113" s="406" t="s">
        <v>419</v>
      </c>
      <c r="K113" s="406" t="s">
        <v>419</v>
      </c>
      <c r="L113" s="406" t="s">
        <v>419</v>
      </c>
      <c r="M113" s="658" t="s">
        <v>419</v>
      </c>
      <c r="N113" s="658" t="s">
        <v>419</v>
      </c>
      <c r="O113" s="640" t="s">
        <v>419</v>
      </c>
      <c r="P113" s="641" t="s">
        <v>419</v>
      </c>
      <c r="Q113" s="446" t="s">
        <v>419</v>
      </c>
      <c r="R113" s="447" t="s">
        <v>419</v>
      </c>
      <c r="S113" s="447" t="s">
        <v>419</v>
      </c>
      <c r="T113" s="447" t="s">
        <v>419</v>
      </c>
      <c r="U113" s="447" t="s">
        <v>419</v>
      </c>
      <c r="V113" s="447" t="s">
        <v>419</v>
      </c>
      <c r="W113" s="447" t="s">
        <v>419</v>
      </c>
      <c r="X113" s="499" t="s">
        <v>419</v>
      </c>
      <c r="Y113" s="459" t="s">
        <v>419</v>
      </c>
      <c r="Z113" s="460" t="s">
        <v>419</v>
      </c>
      <c r="AA113" s="460" t="s">
        <v>419</v>
      </c>
      <c r="AB113" s="460" t="s">
        <v>419</v>
      </c>
      <c r="AC113" s="460" t="s">
        <v>419</v>
      </c>
      <c r="AD113" s="460" t="s">
        <v>419</v>
      </c>
      <c r="AE113" s="460" t="s">
        <v>419</v>
      </c>
      <c r="AF113" s="512" t="s">
        <v>419</v>
      </c>
      <c r="AG113" s="446" t="s">
        <v>419</v>
      </c>
      <c r="AH113" s="447" t="s">
        <v>419</v>
      </c>
      <c r="AI113" s="447" t="s">
        <v>419</v>
      </c>
      <c r="AJ113" s="447" t="s">
        <v>419</v>
      </c>
      <c r="AK113" s="447" t="s">
        <v>419</v>
      </c>
      <c r="AL113" s="447" t="s">
        <v>419</v>
      </c>
      <c r="AM113" s="447" t="s">
        <v>419</v>
      </c>
      <c r="AN113" s="499" t="s">
        <v>419</v>
      </c>
      <c r="AO113" s="434" t="s">
        <v>593</v>
      </c>
    </row>
    <row r="114" spans="1:45" s="479" customFormat="1" ht="14.45" customHeight="1">
      <c r="A114" s="479" t="s">
        <v>651</v>
      </c>
      <c r="B114" s="523" t="s">
        <v>30</v>
      </c>
      <c r="C114" s="523" t="s">
        <v>156</v>
      </c>
      <c r="D114" s="288">
        <v>1500</v>
      </c>
      <c r="E114" s="288" t="s">
        <v>468</v>
      </c>
      <c r="F114" s="288" t="s">
        <v>690</v>
      </c>
      <c r="G114" s="288" t="s">
        <v>692</v>
      </c>
      <c r="H114" s="480">
        <v>23.7</v>
      </c>
      <c r="I114" s="481">
        <f t="shared" ref="I114:J116" si="91">(S114+AA114+AI114)/3</f>
        <v>1388.45</v>
      </c>
      <c r="J114" s="482">
        <f t="shared" si="91"/>
        <v>1285.5466666666666</v>
      </c>
      <c r="K114" s="482">
        <f t="shared" ref="K114:L116" si="92">AVERAGE(AC114,AK114,U114)</f>
        <v>427.2800000000002</v>
      </c>
      <c r="L114" s="482">
        <f t="shared" si="92"/>
        <v>102.90333333333342</v>
      </c>
      <c r="M114" s="659">
        <f>(427.16/K114)*L114</f>
        <v>102.8744333146103</v>
      </c>
      <c r="N114" s="659">
        <f t="shared" si="87"/>
        <v>6.6647943581064819E-3</v>
      </c>
      <c r="O114" s="642">
        <f>-36.42+(0.355*M114)</f>
        <v>0.10042382668665084</v>
      </c>
      <c r="P114" s="643">
        <f t="shared" si="88"/>
        <v>2.3660019971292932E-3</v>
      </c>
      <c r="Q114" s="483">
        <v>1458.65</v>
      </c>
      <c r="R114" s="484">
        <v>1031.3699999999999</v>
      </c>
      <c r="S114" s="484">
        <v>1388.45</v>
      </c>
      <c r="T114" s="484">
        <v>1285.54</v>
      </c>
      <c r="U114" s="484">
        <f>Q114-R114</f>
        <v>427.2800000000002</v>
      </c>
      <c r="V114" s="484">
        <f>S114-T114</f>
        <v>102.91000000000008</v>
      </c>
      <c r="W114" s="492">
        <f t="shared" si="57"/>
        <v>102.8810981089684</v>
      </c>
      <c r="X114" s="500">
        <f t="shared" si="58"/>
        <v>0.1027898286837825</v>
      </c>
      <c r="Y114" s="485">
        <v>1458.65</v>
      </c>
      <c r="Z114" s="486">
        <v>1031.3699999999999</v>
      </c>
      <c r="AA114" s="486">
        <v>1388.45</v>
      </c>
      <c r="AB114" s="486">
        <v>1285.56</v>
      </c>
      <c r="AC114" s="486">
        <f>Y114-Z114</f>
        <v>427.2800000000002</v>
      </c>
      <c r="AD114" s="486">
        <f>AA114-AB114</f>
        <v>102.8900000000001</v>
      </c>
      <c r="AE114" s="513">
        <f t="shared" si="59"/>
        <v>102.86110372589408</v>
      </c>
      <c r="AF114" s="514">
        <f t="shared" si="60"/>
        <v>9.5691822692394624E-2</v>
      </c>
      <c r="AG114" s="483">
        <v>1458.65</v>
      </c>
      <c r="AH114" s="484">
        <v>1031.3699999999999</v>
      </c>
      <c r="AI114" s="484">
        <v>1388.45</v>
      </c>
      <c r="AJ114" s="484">
        <v>1285.54</v>
      </c>
      <c r="AK114" s="484">
        <f>AG114-AH114</f>
        <v>427.2800000000002</v>
      </c>
      <c r="AL114" s="484">
        <f>AI114-AJ114</f>
        <v>102.91000000000008</v>
      </c>
      <c r="AM114" s="492">
        <f t="shared" si="61"/>
        <v>102.8810981089684</v>
      </c>
      <c r="AN114" s="500">
        <f t="shared" si="62"/>
        <v>0.1027898286837825</v>
      </c>
      <c r="AO114" s="487" t="s">
        <v>685</v>
      </c>
    </row>
    <row r="115" spans="1:45" s="400" customFormat="1" ht="14.45" customHeight="1">
      <c r="A115" s="400" t="s">
        <v>652</v>
      </c>
      <c r="B115" s="523" t="s">
        <v>30</v>
      </c>
      <c r="C115" s="523" t="s">
        <v>156</v>
      </c>
      <c r="D115" s="288">
        <v>1500</v>
      </c>
      <c r="E115" s="288" t="s">
        <v>468</v>
      </c>
      <c r="F115" s="288" t="s">
        <v>690</v>
      </c>
      <c r="G115" s="288" t="s">
        <v>692</v>
      </c>
      <c r="H115" s="401">
        <v>23.7</v>
      </c>
      <c r="I115" s="403">
        <f t="shared" si="91"/>
        <v>1388.2833333333331</v>
      </c>
      <c r="J115" s="404">
        <f t="shared" si="91"/>
        <v>1285.3133333333333</v>
      </c>
      <c r="K115" s="405">
        <f t="shared" si="92"/>
        <v>427.29000000000013</v>
      </c>
      <c r="L115" s="405">
        <f t="shared" si="92"/>
        <v>102.97000000000003</v>
      </c>
      <c r="M115" s="657">
        <f>(427.16/K115)*L115</f>
        <v>102.93867209623441</v>
      </c>
      <c r="N115" s="657">
        <f t="shared" si="87"/>
        <v>4.3808483947896295E-3</v>
      </c>
      <c r="O115" s="638">
        <f>-36.42+(0.355*M115)</f>
        <v>0.12322859416321563</v>
      </c>
      <c r="P115" s="639">
        <f t="shared" si="88"/>
        <v>1.5552011801517748E-3</v>
      </c>
      <c r="Q115" s="444">
        <v>1458.66</v>
      </c>
      <c r="R115" s="445">
        <v>1031.3800000000001</v>
      </c>
      <c r="S115" s="445">
        <v>1388.28</v>
      </c>
      <c r="T115" s="445">
        <v>1285.32</v>
      </c>
      <c r="U115" s="445">
        <f>Q115-R115</f>
        <v>427.28</v>
      </c>
      <c r="V115" s="445">
        <f>S115-T115</f>
        <v>102.96000000000004</v>
      </c>
      <c r="W115" s="491">
        <f t="shared" si="57"/>
        <v>102.93108406665424</v>
      </c>
      <c r="X115" s="498">
        <f t="shared" si="58"/>
        <v>0.12053484366224865</v>
      </c>
      <c r="Y115" s="457">
        <v>1458.66</v>
      </c>
      <c r="Z115" s="458">
        <v>1031.3699999999999</v>
      </c>
      <c r="AA115" s="458">
        <v>1388.29</v>
      </c>
      <c r="AB115" s="458">
        <v>1285.32</v>
      </c>
      <c r="AC115" s="458">
        <f>Y115-Z115</f>
        <v>427.29000000000019</v>
      </c>
      <c r="AD115" s="458">
        <f>AA115-AB115</f>
        <v>102.97000000000003</v>
      </c>
      <c r="AE115" s="510">
        <f t="shared" si="59"/>
        <v>102.93867209623438</v>
      </c>
      <c r="AF115" s="511">
        <f t="shared" si="60"/>
        <v>0.12322859416320142</v>
      </c>
      <c r="AG115" s="444">
        <v>1458.66</v>
      </c>
      <c r="AH115" s="445">
        <v>1031.3599999999999</v>
      </c>
      <c r="AI115" s="445">
        <v>1388.28</v>
      </c>
      <c r="AJ115" s="445">
        <v>1285.3</v>
      </c>
      <c r="AK115" s="445">
        <f>AG115-AH115</f>
        <v>427.30000000000018</v>
      </c>
      <c r="AL115" s="445">
        <f>AI115-AJ115</f>
        <v>102.98000000000002</v>
      </c>
      <c r="AM115" s="491">
        <f t="shared" si="61"/>
        <v>102.94625977065292</v>
      </c>
      <c r="AN115" s="498">
        <f t="shared" si="62"/>
        <v>0.12592221858178476</v>
      </c>
      <c r="AO115" s="431"/>
      <c r="AR115" s="395"/>
      <c r="AS115" s="395"/>
    </row>
    <row r="116" spans="1:45" s="400" customFormat="1" ht="14.45" customHeight="1">
      <c r="A116" s="400" t="s">
        <v>653</v>
      </c>
      <c r="B116" s="523" t="s">
        <v>30</v>
      </c>
      <c r="C116" s="523" t="s">
        <v>156</v>
      </c>
      <c r="D116" s="288">
        <v>1500</v>
      </c>
      <c r="E116" s="288" t="s">
        <v>468</v>
      </c>
      <c r="F116" s="288" t="s">
        <v>691</v>
      </c>
      <c r="G116" s="288" t="s">
        <v>692</v>
      </c>
      <c r="H116" s="401">
        <v>23.7</v>
      </c>
      <c r="I116" s="403">
        <f t="shared" si="91"/>
        <v>1388.45</v>
      </c>
      <c r="J116" s="404">
        <f t="shared" si="91"/>
        <v>1285.5600000000002</v>
      </c>
      <c r="K116" s="405">
        <f t="shared" si="92"/>
        <v>427.2833333333333</v>
      </c>
      <c r="L116" s="405">
        <f t="shared" si="92"/>
        <v>102.8900000000001</v>
      </c>
      <c r="M116" s="657">
        <f>(427.16/K116)*L116</f>
        <v>102.8603012833016</v>
      </c>
      <c r="N116" s="657">
        <f t="shared" si="87"/>
        <v>6.479170410044143E-3</v>
      </c>
      <c r="O116" s="638">
        <f>-36.42+(0.355*M116)</f>
        <v>9.540695557205936E-2</v>
      </c>
      <c r="P116" s="639">
        <f t="shared" si="88"/>
        <v>2.3001054955668547E-3</v>
      </c>
      <c r="Q116" s="444">
        <v>1458.67</v>
      </c>
      <c r="R116" s="445">
        <v>1031.3800000000001</v>
      </c>
      <c r="S116" s="445">
        <v>1388.45</v>
      </c>
      <c r="T116" s="445">
        <v>1285.57</v>
      </c>
      <c r="U116" s="445">
        <f>Q116-R116</f>
        <v>427.28999999999996</v>
      </c>
      <c r="V116" s="445">
        <f>S116-T116</f>
        <v>102.88000000000011</v>
      </c>
      <c r="W116" s="491">
        <f t="shared" si="57"/>
        <v>102.84869947810633</v>
      </c>
      <c r="X116" s="498">
        <f t="shared" si="58"/>
        <v>9.1288314727741238E-2</v>
      </c>
      <c r="Y116" s="457">
        <v>1458.66</v>
      </c>
      <c r="Z116" s="458">
        <v>1031.3800000000001</v>
      </c>
      <c r="AA116" s="458">
        <v>1388.45</v>
      </c>
      <c r="AB116" s="458">
        <v>1285.56</v>
      </c>
      <c r="AC116" s="458">
        <f>Y116-Z116</f>
        <v>427.28</v>
      </c>
      <c r="AD116" s="458">
        <f>AA116-AB116</f>
        <v>102.8900000000001</v>
      </c>
      <c r="AE116" s="510">
        <f t="shared" si="59"/>
        <v>102.86110372589414</v>
      </c>
      <c r="AF116" s="511">
        <f t="shared" si="60"/>
        <v>9.569182269241594E-2</v>
      </c>
      <c r="AG116" s="444">
        <v>1458.67</v>
      </c>
      <c r="AH116" s="445">
        <v>1031.3900000000001</v>
      </c>
      <c r="AI116" s="445">
        <v>1388.45</v>
      </c>
      <c r="AJ116" s="445">
        <v>1285.55</v>
      </c>
      <c r="AK116" s="445">
        <f>AG116-AH116</f>
        <v>427.28</v>
      </c>
      <c r="AL116" s="445">
        <f>AI116-AJ116</f>
        <v>102.90000000000009</v>
      </c>
      <c r="AM116" s="491">
        <f t="shared" si="61"/>
        <v>102.87110091743131</v>
      </c>
      <c r="AN116" s="498">
        <f t="shared" si="62"/>
        <v>9.9240825688113432E-2</v>
      </c>
      <c r="AO116" s="431" t="s">
        <v>654</v>
      </c>
      <c r="AR116" s="395"/>
      <c r="AS116" s="395"/>
    </row>
    <row r="117" spans="1:45" s="410" customFormat="1" ht="14.45" customHeight="1">
      <c r="A117" s="410" t="s">
        <v>655</v>
      </c>
      <c r="B117" s="524" t="s">
        <v>30</v>
      </c>
      <c r="C117" s="524" t="s">
        <v>156</v>
      </c>
      <c r="D117" s="525">
        <v>1500</v>
      </c>
      <c r="E117" s="525" t="s">
        <v>468</v>
      </c>
      <c r="F117" s="288" t="s">
        <v>691</v>
      </c>
      <c r="G117" s="525" t="s">
        <v>692</v>
      </c>
      <c r="H117" s="411">
        <v>23.7</v>
      </c>
      <c r="I117" s="408" t="s">
        <v>419</v>
      </c>
      <c r="J117" s="406" t="s">
        <v>419</v>
      </c>
      <c r="K117" s="406" t="s">
        <v>419</v>
      </c>
      <c r="L117" s="406" t="s">
        <v>419</v>
      </c>
      <c r="M117" s="658" t="s">
        <v>419</v>
      </c>
      <c r="N117" s="658" t="s">
        <v>419</v>
      </c>
      <c r="O117" s="640" t="s">
        <v>419</v>
      </c>
      <c r="P117" s="641" t="s">
        <v>419</v>
      </c>
      <c r="Q117" s="446" t="s">
        <v>419</v>
      </c>
      <c r="R117" s="447" t="s">
        <v>419</v>
      </c>
      <c r="S117" s="447" t="s">
        <v>419</v>
      </c>
      <c r="T117" s="447" t="s">
        <v>419</v>
      </c>
      <c r="U117" s="447" t="s">
        <v>419</v>
      </c>
      <c r="V117" s="447" t="s">
        <v>419</v>
      </c>
      <c r="W117" s="447" t="s">
        <v>419</v>
      </c>
      <c r="X117" s="499" t="s">
        <v>419</v>
      </c>
      <c r="Y117" s="459" t="s">
        <v>419</v>
      </c>
      <c r="Z117" s="460" t="s">
        <v>419</v>
      </c>
      <c r="AA117" s="460" t="s">
        <v>419</v>
      </c>
      <c r="AB117" s="460" t="s">
        <v>419</v>
      </c>
      <c r="AC117" s="460" t="s">
        <v>419</v>
      </c>
      <c r="AD117" s="460" t="s">
        <v>419</v>
      </c>
      <c r="AE117" s="460" t="s">
        <v>419</v>
      </c>
      <c r="AF117" s="512" t="s">
        <v>419</v>
      </c>
      <c r="AG117" s="446" t="s">
        <v>419</v>
      </c>
      <c r="AH117" s="447" t="s">
        <v>419</v>
      </c>
      <c r="AI117" s="447" t="s">
        <v>419</v>
      </c>
      <c r="AJ117" s="447" t="s">
        <v>419</v>
      </c>
      <c r="AK117" s="447" t="s">
        <v>419</v>
      </c>
      <c r="AL117" s="447" t="s">
        <v>419</v>
      </c>
      <c r="AM117" s="447" t="s">
        <v>419</v>
      </c>
      <c r="AN117" s="499" t="s">
        <v>419</v>
      </c>
      <c r="AO117" s="434" t="s">
        <v>616</v>
      </c>
      <c r="AR117" s="409"/>
      <c r="AS117" s="409"/>
    </row>
    <row r="118" spans="1:45" ht="14.45" customHeight="1">
      <c r="A118" s="400" t="s">
        <v>656</v>
      </c>
      <c r="B118" s="523" t="s">
        <v>30</v>
      </c>
      <c r="C118" s="523" t="s">
        <v>156</v>
      </c>
      <c r="D118" s="288">
        <v>1500</v>
      </c>
      <c r="E118" s="288" t="s">
        <v>468</v>
      </c>
      <c r="F118" s="288" t="s">
        <v>690</v>
      </c>
      <c r="G118" s="288" t="s">
        <v>692</v>
      </c>
      <c r="H118" s="401">
        <v>23.7</v>
      </c>
      <c r="I118" s="403">
        <f>(S118+AA118+AI118)/3</f>
        <v>1388.4133333333332</v>
      </c>
      <c r="J118" s="404">
        <f>(T118+AB118+AJ118)/3</f>
        <v>1285.4566666666667</v>
      </c>
      <c r="K118" s="405">
        <f>AVERAGE(AC118,AK118,U118)</f>
        <v>427.28999999999996</v>
      </c>
      <c r="L118" s="405">
        <f>AVERAGE(AD118,AL118,V118)</f>
        <v>102.95666666666671</v>
      </c>
      <c r="M118" s="657">
        <f>(427.16/K118)*L118</f>
        <v>102.92534281947472</v>
      </c>
      <c r="N118" s="657">
        <f t="shared" si="87"/>
        <v>1.0185492466593175E-2</v>
      </c>
      <c r="O118" s="638">
        <f>-36.42+(0.355*M118)</f>
        <v>0.11849670091352493</v>
      </c>
      <c r="P118" s="639">
        <f t="shared" si="88"/>
        <v>3.6158498256408196E-3</v>
      </c>
      <c r="Q118" s="444">
        <v>1458.69</v>
      </c>
      <c r="R118" s="445">
        <v>1031.3900000000001</v>
      </c>
      <c r="S118" s="445">
        <v>1388.41</v>
      </c>
      <c r="T118" s="445">
        <v>1285.47</v>
      </c>
      <c r="U118" s="445">
        <f>Q118-R118</f>
        <v>427.29999999999995</v>
      </c>
      <c r="V118" s="445">
        <f>S118-T118</f>
        <v>102.94000000000005</v>
      </c>
      <c r="W118" s="491">
        <f t="shared" si="57"/>
        <v>102.90627287619947</v>
      </c>
      <c r="X118" s="498">
        <f t="shared" si="58"/>
        <v>0.1117268710508057</v>
      </c>
      <c r="Y118" s="457">
        <v>1458.68</v>
      </c>
      <c r="Z118" s="458">
        <v>1031.4000000000001</v>
      </c>
      <c r="AA118" s="458">
        <v>1388.42</v>
      </c>
      <c r="AB118" s="458">
        <v>1285.45</v>
      </c>
      <c r="AC118" s="458">
        <f>Y118-Z118</f>
        <v>427.28</v>
      </c>
      <c r="AD118" s="458">
        <f>AA118-AB118</f>
        <v>102.97000000000003</v>
      </c>
      <c r="AE118" s="510">
        <f t="shared" si="59"/>
        <v>102.94108125819139</v>
      </c>
      <c r="AF118" s="511">
        <f t="shared" si="60"/>
        <v>0.12408384665793903</v>
      </c>
      <c r="AG118" s="444">
        <v>1458.68</v>
      </c>
      <c r="AH118" s="445">
        <v>1031.3900000000001</v>
      </c>
      <c r="AI118" s="445">
        <v>1388.41</v>
      </c>
      <c r="AJ118" s="445">
        <v>1285.45</v>
      </c>
      <c r="AK118" s="445">
        <f>AG118-AH118</f>
        <v>427.28999999999996</v>
      </c>
      <c r="AL118" s="445">
        <f>AI118-AJ118</f>
        <v>102.96000000000004</v>
      </c>
      <c r="AM118" s="491">
        <f t="shared" si="61"/>
        <v>102.92867513866466</v>
      </c>
      <c r="AN118" s="498">
        <f t="shared" si="62"/>
        <v>0.11967967422594938</v>
      </c>
      <c r="AO118" s="431"/>
      <c r="AP118" s="400"/>
      <c r="AQ118" s="400"/>
    </row>
    <row r="119" spans="1:45" ht="14.45" customHeight="1">
      <c r="A119" s="400" t="s">
        <v>657</v>
      </c>
      <c r="B119" s="523" t="s">
        <v>30</v>
      </c>
      <c r="C119" s="523" t="s">
        <v>156</v>
      </c>
      <c r="D119" s="288">
        <v>1500</v>
      </c>
      <c r="E119" s="288" t="s">
        <v>468</v>
      </c>
      <c r="F119" s="288" t="s">
        <v>690</v>
      </c>
      <c r="G119" s="288" t="s">
        <v>692</v>
      </c>
      <c r="H119" s="401">
        <v>23.7</v>
      </c>
      <c r="I119" s="403">
        <f>(S119+AA119+AI119)/3</f>
        <v>1388.2933333333333</v>
      </c>
      <c r="J119" s="404">
        <f>(T119+AB119+AJ119)/3</f>
        <v>1285.2766666666666</v>
      </c>
      <c r="K119" s="405">
        <f>AVERAGE(AC119,AK119,U119)</f>
        <v>427.28666666666663</v>
      </c>
      <c r="L119" s="405">
        <f>AVERAGE(AD119,AL119,V119)</f>
        <v>103.01666666666665</v>
      </c>
      <c r="M119" s="657">
        <f>(427.16/K119)*L119</f>
        <v>102.98612797029317</v>
      </c>
      <c r="N119" s="657">
        <f t="shared" si="87"/>
        <v>9.0029612942581546E-3</v>
      </c>
      <c r="O119" s="638">
        <f>-36.42+(0.355*M119)</f>
        <v>0.14007542945407181</v>
      </c>
      <c r="P119" s="639">
        <f t="shared" si="88"/>
        <v>3.1960512594617074E-3</v>
      </c>
      <c r="Q119" s="444">
        <v>1458.69</v>
      </c>
      <c r="R119" s="445">
        <v>1031.4000000000001</v>
      </c>
      <c r="S119" s="445">
        <v>1388.29</v>
      </c>
      <c r="T119" s="445">
        <v>1285.29</v>
      </c>
      <c r="U119" s="445">
        <f>Q119-R119</f>
        <v>427.28999999999996</v>
      </c>
      <c r="V119" s="445">
        <f>S119-T119</f>
        <v>103</v>
      </c>
      <c r="W119" s="491">
        <f t="shared" si="57"/>
        <v>102.96866296894382</v>
      </c>
      <c r="X119" s="498">
        <f t="shared" si="58"/>
        <v>0.1338753539750499</v>
      </c>
      <c r="Y119" s="457">
        <v>1458.69</v>
      </c>
      <c r="Z119" s="458">
        <v>1031.4100000000001</v>
      </c>
      <c r="AA119" s="458">
        <v>1388.29</v>
      </c>
      <c r="AB119" s="458">
        <v>1285.27</v>
      </c>
      <c r="AC119" s="458">
        <f>Y119-Z119</f>
        <v>427.28</v>
      </c>
      <c r="AD119" s="458">
        <f>AA119-AB119</f>
        <v>103.01999999999998</v>
      </c>
      <c r="AE119" s="510">
        <f t="shared" si="59"/>
        <v>102.99106721587718</v>
      </c>
      <c r="AF119" s="511">
        <f t="shared" si="60"/>
        <v>0.14182886163639807</v>
      </c>
      <c r="AG119" s="444">
        <v>1458.69</v>
      </c>
      <c r="AH119" s="445">
        <v>1031.4000000000001</v>
      </c>
      <c r="AI119" s="445">
        <v>1388.3</v>
      </c>
      <c r="AJ119" s="445">
        <v>1285.27</v>
      </c>
      <c r="AK119" s="445">
        <f>AG119-AH119</f>
        <v>427.28999999999996</v>
      </c>
      <c r="AL119" s="445">
        <f>AI119-AJ119</f>
        <v>103.02999999999997</v>
      </c>
      <c r="AM119" s="491">
        <f t="shared" si="61"/>
        <v>102.99865384165319</v>
      </c>
      <c r="AN119" s="498">
        <f t="shared" si="62"/>
        <v>0.14452211378687707</v>
      </c>
      <c r="AO119" s="431"/>
      <c r="AP119" s="400"/>
      <c r="AQ119" s="400"/>
    </row>
    <row r="120" spans="1:45" s="409" customFormat="1" ht="14.45" customHeight="1">
      <c r="A120" s="410" t="s">
        <v>285</v>
      </c>
      <c r="B120" s="524" t="s">
        <v>30</v>
      </c>
      <c r="C120" s="524" t="s">
        <v>156</v>
      </c>
      <c r="D120" s="525">
        <v>1500</v>
      </c>
      <c r="E120" s="525" t="s">
        <v>468</v>
      </c>
      <c r="F120" s="288" t="s">
        <v>405</v>
      </c>
      <c r="G120" s="525" t="s">
        <v>692</v>
      </c>
      <c r="H120" s="411">
        <v>23.7</v>
      </c>
      <c r="I120" s="408" t="s">
        <v>419</v>
      </c>
      <c r="J120" s="406" t="s">
        <v>419</v>
      </c>
      <c r="K120" s="406" t="s">
        <v>419</v>
      </c>
      <c r="L120" s="406" t="s">
        <v>419</v>
      </c>
      <c r="M120" s="658" t="s">
        <v>419</v>
      </c>
      <c r="N120" s="658" t="s">
        <v>419</v>
      </c>
      <c r="O120" s="640" t="s">
        <v>419</v>
      </c>
      <c r="P120" s="641" t="s">
        <v>419</v>
      </c>
      <c r="Q120" s="446" t="s">
        <v>419</v>
      </c>
      <c r="R120" s="447" t="s">
        <v>419</v>
      </c>
      <c r="S120" s="447" t="s">
        <v>419</v>
      </c>
      <c r="T120" s="447" t="s">
        <v>419</v>
      </c>
      <c r="U120" s="447" t="s">
        <v>419</v>
      </c>
      <c r="V120" s="447" t="s">
        <v>419</v>
      </c>
      <c r="W120" s="447" t="s">
        <v>419</v>
      </c>
      <c r="X120" s="499" t="s">
        <v>419</v>
      </c>
      <c r="Y120" s="459" t="s">
        <v>419</v>
      </c>
      <c r="Z120" s="460" t="s">
        <v>419</v>
      </c>
      <c r="AA120" s="460" t="s">
        <v>419</v>
      </c>
      <c r="AB120" s="460" t="s">
        <v>419</v>
      </c>
      <c r="AC120" s="460" t="s">
        <v>419</v>
      </c>
      <c r="AD120" s="460" t="s">
        <v>419</v>
      </c>
      <c r="AE120" s="460" t="s">
        <v>419</v>
      </c>
      <c r="AF120" s="512" t="s">
        <v>419</v>
      </c>
      <c r="AG120" s="446" t="s">
        <v>419</v>
      </c>
      <c r="AH120" s="447" t="s">
        <v>419</v>
      </c>
      <c r="AI120" s="447" t="s">
        <v>419</v>
      </c>
      <c r="AJ120" s="447" t="s">
        <v>419</v>
      </c>
      <c r="AK120" s="447" t="s">
        <v>419</v>
      </c>
      <c r="AL120" s="447" t="s">
        <v>419</v>
      </c>
      <c r="AM120" s="447" t="s">
        <v>419</v>
      </c>
      <c r="AN120" s="499" t="s">
        <v>419</v>
      </c>
      <c r="AO120" s="434" t="s">
        <v>593</v>
      </c>
      <c r="AP120" s="410"/>
      <c r="AQ120" s="410"/>
    </row>
    <row r="121" spans="1:45" ht="14.45" customHeight="1">
      <c r="A121" s="400" t="s">
        <v>658</v>
      </c>
      <c r="B121" s="523" t="s">
        <v>30</v>
      </c>
      <c r="C121" s="523" t="s">
        <v>156</v>
      </c>
      <c r="D121" s="288">
        <v>1500</v>
      </c>
      <c r="E121" s="288" t="s">
        <v>468</v>
      </c>
      <c r="F121" s="288" t="s">
        <v>405</v>
      </c>
      <c r="G121" s="288" t="s">
        <v>692</v>
      </c>
      <c r="H121" s="401">
        <v>23.7</v>
      </c>
      <c r="I121" s="403">
        <f t="shared" ref="I121:J123" si="93">(S121+AA121+AI121)/3</f>
        <v>1388.7699999999998</v>
      </c>
      <c r="J121" s="404">
        <f t="shared" si="93"/>
        <v>1286.03</v>
      </c>
      <c r="K121" s="405">
        <f t="shared" ref="K121:L123" si="94">AVERAGE(AC121,AK121,U121)</f>
        <v>427.2833333333333</v>
      </c>
      <c r="L121" s="405">
        <f t="shared" si="94"/>
        <v>102.74000000000001</v>
      </c>
      <c r="M121" s="657">
        <f>(427.16/K121)*L121</f>
        <v>102.7103445800991</v>
      </c>
      <c r="N121" s="657">
        <f t="shared" si="87"/>
        <v>6.4781230496235836E-3</v>
      </c>
      <c r="O121" s="638">
        <f>-36.42+(0.355*M121)</f>
        <v>4.2172325935176502E-2</v>
      </c>
      <c r="P121" s="639">
        <f t="shared" si="88"/>
        <v>2.29973368261745E-3</v>
      </c>
      <c r="Q121" s="444">
        <v>1458.7</v>
      </c>
      <c r="R121" s="445">
        <v>1031.4100000000001</v>
      </c>
      <c r="S121" s="445">
        <v>1388.77</v>
      </c>
      <c r="T121" s="445">
        <v>1286.04</v>
      </c>
      <c r="U121" s="445">
        <f>Q121-R121</f>
        <v>427.28999999999996</v>
      </c>
      <c r="V121" s="445">
        <f>S121-T121</f>
        <v>102.73000000000002</v>
      </c>
      <c r="W121" s="491">
        <f t="shared" si="57"/>
        <v>102.69874511455923</v>
      </c>
      <c r="X121" s="498">
        <f t="shared" si="58"/>
        <v>3.8054515668520139E-2</v>
      </c>
      <c r="Y121" s="457">
        <v>1458.7</v>
      </c>
      <c r="Z121" s="458">
        <v>1031.42</v>
      </c>
      <c r="AA121" s="458">
        <v>1388.77</v>
      </c>
      <c r="AB121" s="458">
        <v>1286.02</v>
      </c>
      <c r="AC121" s="458">
        <f>Y121-Z121</f>
        <v>427.28</v>
      </c>
      <c r="AD121" s="458">
        <f>AA121-AB121</f>
        <v>102.75</v>
      </c>
      <c r="AE121" s="510">
        <f t="shared" si="59"/>
        <v>102.72114304437373</v>
      </c>
      <c r="AF121" s="511">
        <f t="shared" si="60"/>
        <v>4.6005780752672365E-2</v>
      </c>
      <c r="AG121" s="444">
        <v>1458.7</v>
      </c>
      <c r="AH121" s="445">
        <v>1031.42</v>
      </c>
      <c r="AI121" s="445">
        <v>1388.77</v>
      </c>
      <c r="AJ121" s="445">
        <v>1286.03</v>
      </c>
      <c r="AK121" s="445">
        <f>AG121-AH121</f>
        <v>427.28</v>
      </c>
      <c r="AL121" s="445">
        <f>AI121-AJ121</f>
        <v>102.74000000000001</v>
      </c>
      <c r="AM121" s="491">
        <f t="shared" si="61"/>
        <v>102.71114585283657</v>
      </c>
      <c r="AN121" s="498">
        <f t="shared" si="62"/>
        <v>4.2456777756974873E-2</v>
      </c>
      <c r="AO121" s="431"/>
    </row>
    <row r="122" spans="1:45" ht="14.45" customHeight="1">
      <c r="A122" s="400" t="s">
        <v>659</v>
      </c>
      <c r="B122" s="523" t="s">
        <v>30</v>
      </c>
      <c r="C122" s="523" t="s">
        <v>156</v>
      </c>
      <c r="D122" s="288">
        <v>1500</v>
      </c>
      <c r="E122" s="288" t="s">
        <v>468</v>
      </c>
      <c r="F122" s="288" t="s">
        <v>405</v>
      </c>
      <c r="G122" s="288" t="s">
        <v>692</v>
      </c>
      <c r="H122" s="401">
        <v>23.7</v>
      </c>
      <c r="I122" s="403">
        <f t="shared" si="93"/>
        <v>1388.78</v>
      </c>
      <c r="J122" s="404">
        <f t="shared" si="93"/>
        <v>1286.0566666666666</v>
      </c>
      <c r="K122" s="405">
        <f t="shared" si="94"/>
        <v>427.28</v>
      </c>
      <c r="L122" s="405">
        <f t="shared" si="94"/>
        <v>102.72333333333336</v>
      </c>
      <c r="M122" s="657">
        <f>(427.16/K122)*L122</f>
        <v>102.69448386694131</v>
      </c>
      <c r="N122" s="657">
        <f t="shared" si="87"/>
        <v>1.9652803632834042E-2</v>
      </c>
      <c r="O122" s="638">
        <f>-36.42+(0.355*M122)</f>
        <v>3.654177276415993E-2</v>
      </c>
      <c r="P122" s="639">
        <f t="shared" si="88"/>
        <v>6.97674528965619E-3</v>
      </c>
      <c r="Q122" s="444">
        <v>1458.7</v>
      </c>
      <c r="R122" s="445">
        <v>1031.43</v>
      </c>
      <c r="S122" s="445">
        <v>1388.8</v>
      </c>
      <c r="T122" s="445">
        <v>1286.04</v>
      </c>
      <c r="U122" s="445">
        <f>Q122-R122</f>
        <v>427.27</v>
      </c>
      <c r="V122" s="445">
        <f>S122-T122</f>
        <v>102.75999999999999</v>
      </c>
      <c r="W122" s="491">
        <f t="shared" si="57"/>
        <v>102.73354459709317</v>
      </c>
      <c r="X122" s="498">
        <f t="shared" si="58"/>
        <v>5.0408331968071707E-2</v>
      </c>
      <c r="Y122" s="457">
        <v>1458.7</v>
      </c>
      <c r="Z122" s="458">
        <v>1031.4100000000001</v>
      </c>
      <c r="AA122" s="458">
        <v>1388.77</v>
      </c>
      <c r="AB122" s="458">
        <v>1286.06</v>
      </c>
      <c r="AC122" s="458">
        <f>Y122-Z122</f>
        <v>427.28999999999996</v>
      </c>
      <c r="AD122" s="458">
        <f>AA122-AB122</f>
        <v>102.71000000000004</v>
      </c>
      <c r="AE122" s="510">
        <f t="shared" si="59"/>
        <v>102.67875119941965</v>
      </c>
      <c r="AF122" s="511">
        <f t="shared" si="60"/>
        <v>3.0956675793973432E-2</v>
      </c>
      <c r="AG122" s="444">
        <v>1458.7</v>
      </c>
      <c r="AH122" s="445">
        <v>1031.42</v>
      </c>
      <c r="AI122" s="445">
        <v>1388.77</v>
      </c>
      <c r="AJ122" s="445">
        <v>1286.07</v>
      </c>
      <c r="AK122" s="445">
        <f>AG122-AH122</f>
        <v>427.28</v>
      </c>
      <c r="AL122" s="445">
        <f>AI122-AJ122</f>
        <v>102.70000000000005</v>
      </c>
      <c r="AM122" s="491">
        <f t="shared" si="61"/>
        <v>102.67115708668794</v>
      </c>
      <c r="AN122" s="498">
        <f t="shared" si="62"/>
        <v>2.8260765774213326E-2</v>
      </c>
      <c r="AO122" s="431"/>
    </row>
    <row r="123" spans="1:45" ht="14.45" customHeight="1" thickBot="1">
      <c r="A123" s="470" t="s">
        <v>660</v>
      </c>
      <c r="B123" s="530" t="s">
        <v>30</v>
      </c>
      <c r="C123" s="530" t="s">
        <v>156</v>
      </c>
      <c r="D123" s="364">
        <v>1500</v>
      </c>
      <c r="E123" s="364" t="s">
        <v>468</v>
      </c>
      <c r="F123" s="364" t="s">
        <v>690</v>
      </c>
      <c r="G123" s="364" t="s">
        <v>692</v>
      </c>
      <c r="H123" s="471">
        <v>23.7</v>
      </c>
      <c r="I123" s="472">
        <f t="shared" si="93"/>
        <v>1388.33</v>
      </c>
      <c r="J123" s="473">
        <f t="shared" si="93"/>
        <v>1285.3366666666668</v>
      </c>
      <c r="K123" s="474">
        <f t="shared" si="94"/>
        <v>427.28</v>
      </c>
      <c r="L123" s="474">
        <f t="shared" si="94"/>
        <v>102.99333333333334</v>
      </c>
      <c r="M123" s="664">
        <f>(427.16/K123)*L123</f>
        <v>102.96440803844476</v>
      </c>
      <c r="N123" s="664">
        <f t="shared" si="87"/>
        <v>3.3323971790508726E-3</v>
      </c>
      <c r="O123" s="652">
        <f>-36.42+(0.355*M123)</f>
        <v>0.13236485364788564</v>
      </c>
      <c r="P123" s="653">
        <f t="shared" si="88"/>
        <v>1.1830009985634622E-3</v>
      </c>
      <c r="Q123" s="475">
        <v>1458.7</v>
      </c>
      <c r="R123" s="476">
        <v>1031.42</v>
      </c>
      <c r="S123" s="476">
        <v>1388.33</v>
      </c>
      <c r="T123" s="476">
        <v>1285.33</v>
      </c>
      <c r="U123" s="476">
        <f>Q123-R123</f>
        <v>427.28</v>
      </c>
      <c r="V123" s="476">
        <f>S123-T123</f>
        <v>103</v>
      </c>
      <c r="W123" s="495">
        <f t="shared" si="57"/>
        <v>102.97107283280286</v>
      </c>
      <c r="X123" s="505">
        <f t="shared" si="58"/>
        <v>0.13473085564501019</v>
      </c>
      <c r="Y123" s="477">
        <v>1458.7</v>
      </c>
      <c r="Z123" s="478">
        <v>1031.42</v>
      </c>
      <c r="AA123" s="478">
        <v>1388.33</v>
      </c>
      <c r="AB123" s="478">
        <v>1285.3399999999999</v>
      </c>
      <c r="AC123" s="478">
        <f>Y123-Z123</f>
        <v>427.28</v>
      </c>
      <c r="AD123" s="478">
        <f>AA123-AB123</f>
        <v>102.99000000000001</v>
      </c>
      <c r="AE123" s="521">
        <f t="shared" si="59"/>
        <v>102.96107564126571</v>
      </c>
      <c r="AF123" s="522">
        <f t="shared" si="60"/>
        <v>0.13118185264931981</v>
      </c>
      <c r="AG123" s="475">
        <v>1458.7</v>
      </c>
      <c r="AH123" s="476">
        <v>1031.42</v>
      </c>
      <c r="AI123" s="476">
        <v>1388.33</v>
      </c>
      <c r="AJ123" s="476">
        <v>1285.3399999999999</v>
      </c>
      <c r="AK123" s="476">
        <f>AG123-AH123</f>
        <v>427.28</v>
      </c>
      <c r="AL123" s="476">
        <f>AI123-AJ123</f>
        <v>102.99000000000001</v>
      </c>
      <c r="AM123" s="495">
        <f t="shared" si="61"/>
        <v>102.96107564126571</v>
      </c>
      <c r="AN123" s="505">
        <f t="shared" si="62"/>
        <v>0.13118185264931981</v>
      </c>
      <c r="AO123" s="431"/>
    </row>
    <row r="124" spans="1:45" ht="14.45" customHeight="1" thickTop="1">
      <c r="N124" s="466"/>
      <c r="P124" s="466"/>
    </row>
    <row r="125" spans="1:45" ht="14.45" customHeight="1">
      <c r="N125" s="466"/>
      <c r="P125" s="466"/>
    </row>
  </sheetData>
  <mergeCells count="5">
    <mergeCell ref="I2:P2"/>
    <mergeCell ref="A2:H2"/>
    <mergeCell ref="Q2:X2"/>
    <mergeCell ref="Y2:AF2"/>
    <mergeCell ref="AG2:AN2"/>
  </mergeCells>
  <conditionalFormatting sqref="F5:F123 F124:G197">
    <cfRule type="containsText" dxfId="6" priority="2" operator="containsText" text="bubble-dominated">
      <formula>NOT(ISERROR(SEARCH("bubble-dominated",F5)))</formula>
    </cfRule>
    <cfRule type="containsText" dxfId="5" priority="3" operator="containsText" text="isolated fluid inclusion">
      <formula>NOT(ISERROR(SEARCH("isolated fluid inclusion",F5)))</formula>
    </cfRule>
  </conditionalFormatting>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2AD69-B93A-4330-9242-31423FA2ACB9}">
  <dimension ref="A1:AP41"/>
  <sheetViews>
    <sheetView zoomScale="90" zoomScaleNormal="90" workbookViewId="0"/>
  </sheetViews>
  <sheetFormatPr defaultColWidth="9.140625" defaultRowHeight="14.45" customHeight="1"/>
  <cols>
    <col min="1" max="1" width="27.7109375" style="425" customWidth="1"/>
    <col min="2" max="2" width="9.140625" style="425"/>
    <col min="3" max="3" width="14.28515625" style="425" customWidth="1"/>
    <col min="4" max="5" width="9.140625" style="425"/>
    <col min="6" max="6" width="12.42578125" style="425" customWidth="1"/>
    <col min="7" max="11" width="9.140625" style="425"/>
    <col min="12" max="13" width="6.28515625" style="324" customWidth="1"/>
    <col min="14" max="15" width="17.28515625" style="313" customWidth="1"/>
    <col min="16" max="16" width="15.85546875" style="332" customWidth="1"/>
    <col min="17" max="17" width="13" style="333" customWidth="1"/>
    <col min="18" max="19" width="13" style="324" customWidth="1"/>
    <col min="20" max="20" width="13" style="345" customWidth="1"/>
    <col min="21" max="21" width="13" style="346" customWidth="1"/>
    <col min="22" max="22" width="11.28515625" style="332" customWidth="1"/>
    <col min="23" max="23" width="12.42578125" style="313" customWidth="1"/>
    <col min="24" max="24" width="13.28515625" style="313" customWidth="1"/>
    <col min="25" max="25" width="13.28515625" style="359" customWidth="1"/>
    <col min="26" max="27" width="13.7109375" style="359" customWidth="1"/>
    <col min="28" max="28" width="15.28515625" style="324" customWidth="1"/>
    <col min="29" max="29" width="11" style="360" customWidth="1"/>
    <col min="30" max="39" width="11" style="332" customWidth="1"/>
    <col min="40" max="40" width="11" style="313" customWidth="1"/>
    <col min="41" max="41" width="13.140625" style="313" customWidth="1"/>
    <col min="42" max="42" width="11" style="332" customWidth="1"/>
    <col min="43" max="16384" width="9.140625" style="425"/>
  </cols>
  <sheetData>
    <row r="1" spans="1:42" ht="14.45" customHeight="1">
      <c r="A1" s="76" t="s">
        <v>1507</v>
      </c>
      <c r="N1" s="761" t="s">
        <v>356</v>
      </c>
    </row>
    <row r="2" spans="1:42" ht="14.45" customHeight="1">
      <c r="A2" s="533" t="s">
        <v>1508</v>
      </c>
    </row>
    <row r="4" spans="1:42" ht="14.45" customHeight="1" thickBot="1"/>
    <row r="5" spans="1:42" ht="14.45" customHeight="1">
      <c r="A5" s="274" t="s">
        <v>567</v>
      </c>
      <c r="B5" s="275"/>
      <c r="C5" s="275"/>
      <c r="D5" s="276"/>
      <c r="E5" s="276"/>
      <c r="F5" s="275"/>
      <c r="G5" s="277"/>
      <c r="H5" s="275"/>
      <c r="I5" s="278" t="s">
        <v>495</v>
      </c>
      <c r="J5" s="279"/>
      <c r="K5" s="280"/>
      <c r="L5" s="314" t="s">
        <v>543</v>
      </c>
      <c r="M5" s="315"/>
      <c r="N5" s="334"/>
      <c r="O5" s="334"/>
      <c r="P5" s="325"/>
      <c r="Q5" s="326"/>
      <c r="R5" s="387" t="s">
        <v>571</v>
      </c>
      <c r="S5" s="388"/>
      <c r="T5" s="389"/>
      <c r="U5" s="390"/>
      <c r="V5" s="347" t="s">
        <v>551</v>
      </c>
      <c r="W5" s="334"/>
      <c r="X5" s="334"/>
      <c r="Y5" s="348"/>
      <c r="Z5" s="348"/>
      <c r="AA5" s="348"/>
      <c r="AB5" s="315"/>
      <c r="AC5" s="349"/>
      <c r="AD5" s="347" t="s">
        <v>570</v>
      </c>
      <c r="AE5" s="325"/>
      <c r="AF5" s="325"/>
      <c r="AG5" s="325"/>
      <c r="AH5" s="325"/>
      <c r="AI5" s="325"/>
      <c r="AJ5" s="325"/>
      <c r="AK5" s="325"/>
      <c r="AL5" s="325"/>
      <c r="AM5" s="325"/>
      <c r="AN5" s="334"/>
      <c r="AO5" s="334"/>
      <c r="AP5" s="381"/>
    </row>
    <row r="6" spans="1:42" ht="55.15" customHeight="1" thickBot="1">
      <c r="A6" s="281" t="s">
        <v>496</v>
      </c>
      <c r="B6" s="282" t="s">
        <v>497</v>
      </c>
      <c r="C6" s="282" t="s">
        <v>498</v>
      </c>
      <c r="D6" s="283" t="s">
        <v>499</v>
      </c>
      <c r="E6" s="283" t="s">
        <v>500</v>
      </c>
      <c r="F6" s="282" t="s">
        <v>501</v>
      </c>
      <c r="G6" s="282" t="s">
        <v>502</v>
      </c>
      <c r="H6" s="282" t="s">
        <v>503</v>
      </c>
      <c r="I6" s="284" t="s">
        <v>504</v>
      </c>
      <c r="J6" s="285" t="s">
        <v>505</v>
      </c>
      <c r="K6" s="286" t="s">
        <v>506</v>
      </c>
      <c r="L6" s="316" t="s">
        <v>544</v>
      </c>
      <c r="M6" s="317" t="s">
        <v>545</v>
      </c>
      <c r="N6" s="335" t="s">
        <v>549</v>
      </c>
      <c r="O6" s="335" t="s">
        <v>550</v>
      </c>
      <c r="P6" s="327" t="s">
        <v>546</v>
      </c>
      <c r="Q6" s="328" t="s">
        <v>547</v>
      </c>
      <c r="R6" s="391" t="s">
        <v>575</v>
      </c>
      <c r="S6" s="392" t="s">
        <v>574</v>
      </c>
      <c r="T6" s="393" t="s">
        <v>572</v>
      </c>
      <c r="U6" s="394" t="s">
        <v>573</v>
      </c>
      <c r="V6" s="336" t="s">
        <v>552</v>
      </c>
      <c r="W6" s="335" t="s">
        <v>553</v>
      </c>
      <c r="X6" s="285" t="s">
        <v>554</v>
      </c>
      <c r="Y6" s="350" t="s">
        <v>555</v>
      </c>
      <c r="Z6" s="285" t="s">
        <v>568</v>
      </c>
      <c r="AA6" s="350" t="s">
        <v>569</v>
      </c>
      <c r="AB6" s="317" t="s">
        <v>930</v>
      </c>
      <c r="AC6" s="351" t="s">
        <v>556</v>
      </c>
      <c r="AD6" s="336" t="s">
        <v>557</v>
      </c>
      <c r="AE6" s="327" t="s">
        <v>558</v>
      </c>
      <c r="AF6" s="327" t="s">
        <v>559</v>
      </c>
      <c r="AG6" s="327" t="s">
        <v>560</v>
      </c>
      <c r="AH6" s="327" t="s">
        <v>127</v>
      </c>
      <c r="AI6" s="327" t="s">
        <v>443</v>
      </c>
      <c r="AJ6" s="327" t="s">
        <v>387</v>
      </c>
      <c r="AK6" s="327" t="s">
        <v>561</v>
      </c>
      <c r="AL6" s="327" t="s">
        <v>562</v>
      </c>
      <c r="AM6" s="327" t="s">
        <v>563</v>
      </c>
      <c r="AN6" s="285" t="s">
        <v>564</v>
      </c>
      <c r="AO6" s="285" t="s">
        <v>565</v>
      </c>
      <c r="AP6" s="382" t="s">
        <v>566</v>
      </c>
    </row>
    <row r="7" spans="1:42" ht="14.45" customHeight="1">
      <c r="A7" s="287" t="s">
        <v>507</v>
      </c>
      <c r="B7" s="288"/>
      <c r="C7" s="288"/>
      <c r="D7" s="289"/>
      <c r="E7" s="289"/>
      <c r="F7" s="65"/>
      <c r="G7" s="43"/>
      <c r="H7" s="288"/>
      <c r="I7" s="290"/>
      <c r="J7" s="291"/>
      <c r="K7" s="292"/>
      <c r="L7" s="318"/>
      <c r="M7" s="319"/>
      <c r="N7" s="291"/>
      <c r="O7" s="291"/>
      <c r="P7" s="65"/>
      <c r="Q7" s="329"/>
      <c r="R7" s="318"/>
      <c r="S7" s="319"/>
      <c r="T7" s="337"/>
      <c r="U7" s="338"/>
      <c r="V7" s="352"/>
      <c r="W7" s="291"/>
      <c r="X7" s="291"/>
      <c r="Y7" s="353"/>
      <c r="Z7" s="353"/>
      <c r="AA7" s="353"/>
      <c r="AB7" s="319"/>
      <c r="AC7" s="354"/>
      <c r="AD7" s="352"/>
      <c r="AE7" s="65"/>
      <c r="AF7" s="65"/>
      <c r="AG7" s="65"/>
      <c r="AH7" s="65"/>
      <c r="AI7" s="65"/>
      <c r="AJ7" s="65"/>
      <c r="AK7" s="65"/>
      <c r="AL7" s="65"/>
      <c r="AM7" s="65"/>
      <c r="AN7" s="291"/>
      <c r="AO7" s="291"/>
      <c r="AP7" s="383"/>
    </row>
    <row r="8" spans="1:42" ht="14.45" customHeight="1">
      <c r="A8" s="299" t="s">
        <v>509</v>
      </c>
      <c r="B8" s="288">
        <v>9</v>
      </c>
      <c r="C8" s="288" t="s">
        <v>508</v>
      </c>
      <c r="D8" s="289">
        <v>43225</v>
      </c>
      <c r="E8" s="291">
        <v>2</v>
      </c>
      <c r="F8" s="65">
        <v>0.05</v>
      </c>
      <c r="G8" s="311" t="s">
        <v>405</v>
      </c>
      <c r="H8" s="294" t="s">
        <v>510</v>
      </c>
      <c r="I8" s="295">
        <v>22.5</v>
      </c>
      <c r="J8" s="296">
        <v>12.5</v>
      </c>
      <c r="K8" s="300">
        <v>6.9688888888888884E-2</v>
      </c>
      <c r="L8" s="320" t="s">
        <v>64</v>
      </c>
      <c r="M8" s="321" t="s">
        <v>64</v>
      </c>
      <c r="N8" s="291" t="s">
        <v>64</v>
      </c>
      <c r="O8" s="291" t="s">
        <v>64</v>
      </c>
      <c r="P8" s="65" t="s">
        <v>64</v>
      </c>
      <c r="Q8" s="330" t="s">
        <v>64</v>
      </c>
      <c r="R8" s="339">
        <v>102.68722718608008</v>
      </c>
      <c r="S8" s="340">
        <v>2.068208572204135E-2</v>
      </c>
      <c r="T8" s="340">
        <v>1.4110452347447714E-2</v>
      </c>
      <c r="U8" s="341">
        <v>7.3382521992094336E-3</v>
      </c>
      <c r="V8" s="339" t="s">
        <v>64</v>
      </c>
      <c r="W8" s="296" t="s">
        <v>64</v>
      </c>
      <c r="X8" s="296">
        <v>382.78844842189471</v>
      </c>
      <c r="Y8" s="355">
        <v>188.05913034954006</v>
      </c>
      <c r="Z8" s="355">
        <v>867</v>
      </c>
      <c r="AA8" s="355">
        <v>453.5</v>
      </c>
      <c r="AB8" s="321">
        <f>(0.0684*((Z8/1000))^3-0.5008*((Z8/1000))^2+4.47*((Z8/1000)))</f>
        <v>3.5436214112291995</v>
      </c>
      <c r="AC8" s="356">
        <f>AVERAGE(((((0.0684*(((Z8+AA8)/1000))^3-0.5008*(((Z8+AA8)/1000))^2+4.47*(((Z8+AA8)/1000))))) - Z8), (Z8 - (((0.0684*(((Z8-AA8)/1000))^3-0.5008*(((Z8-AA8)/1000))^2+4.47*(((Z8-AA8)/1000)))))))</f>
        <v>1.7096617496974318</v>
      </c>
      <c r="AD8" s="352" t="s">
        <v>64</v>
      </c>
      <c r="AE8" s="65" t="s">
        <v>64</v>
      </c>
      <c r="AF8" s="65" t="s">
        <v>64</v>
      </c>
      <c r="AG8" s="65" t="s">
        <v>64</v>
      </c>
      <c r="AH8" s="65" t="s">
        <v>64</v>
      </c>
      <c r="AI8" s="65" t="s">
        <v>64</v>
      </c>
      <c r="AJ8" s="65" t="s">
        <v>64</v>
      </c>
      <c r="AK8" s="65" t="s">
        <v>64</v>
      </c>
      <c r="AL8" s="65" t="s">
        <v>64</v>
      </c>
      <c r="AM8" s="65" t="s">
        <v>64</v>
      </c>
      <c r="AN8" s="291" t="s">
        <v>64</v>
      </c>
      <c r="AO8" s="291" t="s">
        <v>64</v>
      </c>
      <c r="AP8" s="383" t="s">
        <v>64</v>
      </c>
    </row>
    <row r="9" spans="1:42" ht="14.45" customHeight="1" thickBot="1">
      <c r="A9" s="301"/>
      <c r="B9" s="302"/>
      <c r="C9" s="302"/>
      <c r="D9" s="303"/>
      <c r="E9" s="304"/>
      <c r="F9" s="305"/>
      <c r="G9" s="386"/>
      <c r="H9" s="306"/>
      <c r="I9" s="307"/>
      <c r="J9" s="308"/>
      <c r="K9" s="309"/>
      <c r="L9" s="322"/>
      <c r="M9" s="323"/>
      <c r="N9" s="304"/>
      <c r="O9" s="304"/>
      <c r="P9" s="305"/>
      <c r="Q9" s="331"/>
      <c r="R9" s="342"/>
      <c r="S9" s="343"/>
      <c r="T9" s="343"/>
      <c r="U9" s="344"/>
      <c r="V9" s="342"/>
      <c r="W9" s="308"/>
      <c r="X9" s="308"/>
      <c r="Y9" s="357"/>
      <c r="Z9" s="357"/>
      <c r="AA9" s="357"/>
      <c r="AB9" s="323"/>
      <c r="AC9" s="358"/>
      <c r="AD9" s="361"/>
      <c r="AE9" s="305"/>
      <c r="AF9" s="305"/>
      <c r="AG9" s="305"/>
      <c r="AH9" s="305"/>
      <c r="AI9" s="305"/>
      <c r="AJ9" s="305"/>
      <c r="AK9" s="305"/>
      <c r="AL9" s="305"/>
      <c r="AM9" s="305"/>
      <c r="AN9" s="304"/>
      <c r="AO9" s="304"/>
      <c r="AP9" s="384"/>
    </row>
    <row r="10" spans="1:42" ht="14.45" customHeight="1">
      <c r="A10" s="293" t="s">
        <v>513</v>
      </c>
      <c r="B10" s="288">
        <v>8</v>
      </c>
      <c r="C10" s="288" t="s">
        <v>512</v>
      </c>
      <c r="D10" s="289">
        <v>43250</v>
      </c>
      <c r="E10" s="291">
        <v>27</v>
      </c>
      <c r="F10" s="65">
        <v>0.02</v>
      </c>
      <c r="G10" s="311" t="s">
        <v>405</v>
      </c>
      <c r="H10" s="294" t="s">
        <v>132</v>
      </c>
      <c r="I10" s="295">
        <v>90</v>
      </c>
      <c r="J10" s="296">
        <v>70</v>
      </c>
      <c r="K10" s="297">
        <v>5.4265442144710546E-2</v>
      </c>
      <c r="L10" s="320" t="s">
        <v>64</v>
      </c>
      <c r="M10" s="321">
        <v>89.032536396737186</v>
      </c>
      <c r="N10" s="291">
        <f t="shared" ref="N10:N15" si="0" xml:space="preserve"> 20.1*AH10+1014</f>
        <v>1289.2090426602622</v>
      </c>
      <c r="O10" s="291">
        <v>1140.3369344521921</v>
      </c>
      <c r="P10" s="65">
        <v>0.746</v>
      </c>
      <c r="Q10" s="330">
        <v>0.34048257372654156</v>
      </c>
      <c r="R10" s="339">
        <v>102.71463070821983</v>
      </c>
      <c r="S10" s="340" t="s">
        <v>419</v>
      </c>
      <c r="T10" s="340">
        <v>2.3833550844898355E-2</v>
      </c>
      <c r="U10" s="341">
        <v>7.4999999999999997E-3</v>
      </c>
      <c r="V10" s="339">
        <v>0.20204517177291234</v>
      </c>
      <c r="W10" s="296" t="s">
        <v>423</v>
      </c>
      <c r="X10" s="296">
        <v>415.38111658392154</v>
      </c>
      <c r="Y10" s="355">
        <v>148.46576024237228</v>
      </c>
      <c r="Z10" s="355">
        <v>813</v>
      </c>
      <c r="AA10" s="355">
        <v>314</v>
      </c>
      <c r="AB10" s="321">
        <f t="shared" ref="AB10:AB18" si="1">(0.0684*((Z10/1000))^3-0.5008*((Z10/1000))^2+4.47*((Z10/1000)))</f>
        <v>3.3398526821147998</v>
      </c>
      <c r="AC10" s="356">
        <f t="shared" ref="AC10:AC18" si="2">AVERAGE(((((0.0684*(((Z10+AA10)/1000))^3-0.5008*(((Z10+AA10)/1000))^2+4.47*(((Z10+AA10)/1000))))) - Z10), (Z10 - (((0.0684*(((Z10-AA10)/1000))^3-0.5008*(((Z10-AA10)/1000))^2+4.47*(((Z10-AA10)/1000)))))))</f>
        <v>1.1925952376327587</v>
      </c>
      <c r="AD10" s="352">
        <v>49.0300995256368</v>
      </c>
      <c r="AE10" s="65">
        <v>1.932697817423894</v>
      </c>
      <c r="AF10" s="65">
        <v>11.752770056721046</v>
      </c>
      <c r="AG10" s="65">
        <v>11.545498127716613</v>
      </c>
      <c r="AH10" s="65">
        <v>13.691992172152343</v>
      </c>
      <c r="AI10" s="65">
        <v>0.11492801874579894</v>
      </c>
      <c r="AJ10" s="65">
        <v>9.5350106032813731</v>
      </c>
      <c r="AK10" s="65">
        <v>1.8523987650250824</v>
      </c>
      <c r="AL10" s="65">
        <v>0.32521116221518653</v>
      </c>
      <c r="AM10" s="65">
        <v>0.17565417712240011</v>
      </c>
      <c r="AN10" s="291">
        <v>106.21056976314176</v>
      </c>
      <c r="AO10" s="291">
        <v>331.18516983145912</v>
      </c>
      <c r="AP10" s="383">
        <v>99.313904000000022</v>
      </c>
    </row>
    <row r="11" spans="1:42" ht="14.45" customHeight="1">
      <c r="A11" s="293" t="s">
        <v>514</v>
      </c>
      <c r="B11" s="288">
        <v>8</v>
      </c>
      <c r="C11" s="288" t="s">
        <v>512</v>
      </c>
      <c r="D11" s="289">
        <v>43250</v>
      </c>
      <c r="E11" s="291">
        <v>27</v>
      </c>
      <c r="F11" s="65">
        <v>0.02</v>
      </c>
      <c r="G11" s="311" t="s">
        <v>405</v>
      </c>
      <c r="H11" s="294" t="s">
        <v>132</v>
      </c>
      <c r="I11" s="295">
        <v>70</v>
      </c>
      <c r="J11" s="296">
        <v>60</v>
      </c>
      <c r="K11" s="297">
        <v>3.7445606090528612E-2</v>
      </c>
      <c r="L11" s="320" t="s">
        <v>64</v>
      </c>
      <c r="M11" s="321">
        <v>82.573013199470651</v>
      </c>
      <c r="N11" s="291">
        <f t="shared" si="0"/>
        <v>1174.2516157551565</v>
      </c>
      <c r="O11" s="291">
        <v>1140.3369344521921</v>
      </c>
      <c r="P11" s="65">
        <v>0.91900000000000004</v>
      </c>
      <c r="Q11" s="330">
        <v>8.8139281828073957E-2</v>
      </c>
      <c r="R11" s="339">
        <v>102.72217812419012</v>
      </c>
      <c r="S11" s="340" t="s">
        <v>419</v>
      </c>
      <c r="T11" s="340">
        <v>2.651146460014786E-2</v>
      </c>
      <c r="U11" s="341">
        <v>7.4999999999999997E-3</v>
      </c>
      <c r="V11" s="339">
        <v>0.30246293870806995</v>
      </c>
      <c r="W11" s="296" t="s">
        <v>292</v>
      </c>
      <c r="X11" s="296">
        <v>352.36041613971662</v>
      </c>
      <c r="Y11" s="355">
        <v>100.51827741451731</v>
      </c>
      <c r="Z11" s="355">
        <v>794</v>
      </c>
      <c r="AA11" s="355">
        <v>114.5</v>
      </c>
      <c r="AB11" s="321">
        <f t="shared" si="1"/>
        <v>3.2676963781855997</v>
      </c>
      <c r="AC11" s="356">
        <f t="shared" si="2"/>
        <v>0.43567156205034507</v>
      </c>
      <c r="AD11" s="352">
        <v>50.496886455942203</v>
      </c>
      <c r="AE11" s="65">
        <v>1.9891648406176581</v>
      </c>
      <c r="AF11" s="65">
        <v>14.218213066110172</v>
      </c>
      <c r="AG11" s="65">
        <v>11.551608130933017</v>
      </c>
      <c r="AH11" s="65">
        <v>7.9727172017490782</v>
      </c>
      <c r="AI11" s="65">
        <v>0.16760369746879358</v>
      </c>
      <c r="AJ11" s="65">
        <v>10.533942566661421</v>
      </c>
      <c r="AK11" s="65">
        <v>2.3464517645631102</v>
      </c>
      <c r="AL11" s="65">
        <v>0.39542429223176451</v>
      </c>
      <c r="AM11" s="65">
        <v>0.22079529007865023</v>
      </c>
      <c r="AN11" s="291">
        <v>113.84173370148012</v>
      </c>
      <c r="AO11" s="291">
        <v>1388.443526235634</v>
      </c>
      <c r="AP11" s="383">
        <v>99.417099000000007</v>
      </c>
    </row>
    <row r="12" spans="1:42" ht="14.45" customHeight="1">
      <c r="A12" s="293" t="s">
        <v>515</v>
      </c>
      <c r="B12" s="288">
        <v>8</v>
      </c>
      <c r="C12" s="288" t="s">
        <v>512</v>
      </c>
      <c r="D12" s="289">
        <v>43250</v>
      </c>
      <c r="E12" s="291">
        <v>27</v>
      </c>
      <c r="F12" s="65">
        <v>0.02</v>
      </c>
      <c r="G12" s="311" t="s">
        <v>405</v>
      </c>
      <c r="H12" s="294" t="s">
        <v>132</v>
      </c>
      <c r="I12" s="295">
        <v>85</v>
      </c>
      <c r="J12" s="296">
        <v>75</v>
      </c>
      <c r="K12" s="297">
        <v>2.2871200707148077E-2</v>
      </c>
      <c r="L12" s="320" t="s">
        <v>64</v>
      </c>
      <c r="M12" s="321">
        <v>82.455395458052507</v>
      </c>
      <c r="N12" s="291">
        <f t="shared" si="0"/>
        <v>1173.6526835683605</v>
      </c>
      <c r="O12" s="291">
        <v>1140.3369344521921</v>
      </c>
      <c r="P12" s="65">
        <v>0.92700000000000005</v>
      </c>
      <c r="Q12" s="330">
        <v>7.8748651564185534E-2</v>
      </c>
      <c r="R12" s="339">
        <v>102.67984604081994</v>
      </c>
      <c r="S12" s="340" t="s">
        <v>419</v>
      </c>
      <c r="T12" s="340">
        <v>1.1491533435403767E-2</v>
      </c>
      <c r="U12" s="341">
        <v>7.4999999999999997E-3</v>
      </c>
      <c r="V12" s="339">
        <v>0.22787551626363034</v>
      </c>
      <c r="W12" s="296" t="s">
        <v>292</v>
      </c>
      <c r="X12" s="296">
        <v>112.62798108136197</v>
      </c>
      <c r="Y12" s="355">
        <v>60.47875390225434</v>
      </c>
      <c r="Z12" s="355">
        <v>275</v>
      </c>
      <c r="AA12" s="355">
        <v>179</v>
      </c>
      <c r="AB12" s="321">
        <f t="shared" si="1"/>
        <v>1.1927995062499999</v>
      </c>
      <c r="AC12" s="356">
        <f t="shared" si="2"/>
        <v>0.75399630393761186</v>
      </c>
      <c r="AD12" s="352">
        <v>51.236449270824927</v>
      </c>
      <c r="AE12" s="65">
        <v>1.8200850858789814</v>
      </c>
      <c r="AF12" s="65">
        <v>14.121972919503383</v>
      </c>
      <c r="AG12" s="65">
        <v>11.570038949120388</v>
      </c>
      <c r="AH12" s="65">
        <v>7.9429195805154453</v>
      </c>
      <c r="AI12" s="65">
        <v>0.14857837435746787</v>
      </c>
      <c r="AJ12" s="65">
        <v>10.046106704021494</v>
      </c>
      <c r="AK12" s="65">
        <v>2.4716213355951755</v>
      </c>
      <c r="AL12" s="65">
        <v>0.33430134230430275</v>
      </c>
      <c r="AM12" s="65">
        <v>0.23190273294983163</v>
      </c>
      <c r="AN12" s="291">
        <v>135.85024004739165</v>
      </c>
      <c r="AO12" s="291">
        <v>624.38680923855782</v>
      </c>
      <c r="AP12" s="383">
        <v>99.754969999999986</v>
      </c>
    </row>
    <row r="13" spans="1:42" ht="14.45" customHeight="1">
      <c r="A13" s="293" t="s">
        <v>516</v>
      </c>
      <c r="B13" s="288">
        <v>8</v>
      </c>
      <c r="C13" s="288" t="s">
        <v>512</v>
      </c>
      <c r="D13" s="289">
        <v>43250</v>
      </c>
      <c r="E13" s="291">
        <v>27</v>
      </c>
      <c r="F13" s="65">
        <v>0.02</v>
      </c>
      <c r="G13" s="311" t="s">
        <v>405</v>
      </c>
      <c r="H13" s="294" t="s">
        <v>132</v>
      </c>
      <c r="I13" s="295">
        <v>165</v>
      </c>
      <c r="J13" s="296">
        <v>140</v>
      </c>
      <c r="K13" s="297">
        <v>3.597860179456018E-2</v>
      </c>
      <c r="L13" s="320" t="s">
        <v>64</v>
      </c>
      <c r="M13" s="321">
        <v>88.830364409328126</v>
      </c>
      <c r="N13" s="291">
        <f t="shared" si="0"/>
        <v>1283.0671863127677</v>
      </c>
      <c r="O13" s="291">
        <v>1140.3369344521921</v>
      </c>
      <c r="P13" s="65">
        <v>0.76</v>
      </c>
      <c r="Q13" s="330">
        <v>0.31578947368421062</v>
      </c>
      <c r="R13" s="339">
        <v>102.72290013438987</v>
      </c>
      <c r="S13" s="340" t="s">
        <v>419</v>
      </c>
      <c r="T13" s="340">
        <v>2.6767642483143561E-2</v>
      </c>
      <c r="U13" s="341">
        <v>7.4999999999999997E-3</v>
      </c>
      <c r="V13" s="339">
        <v>0.24759678028237253</v>
      </c>
      <c r="W13" s="296" t="s">
        <v>292</v>
      </c>
      <c r="X13" s="296">
        <v>286.67919082796033</v>
      </c>
      <c r="Y13" s="355">
        <v>97.389672749292245</v>
      </c>
      <c r="Z13" s="355">
        <v>526</v>
      </c>
      <c r="AA13" s="355">
        <v>197.5</v>
      </c>
      <c r="AB13" s="321">
        <f t="shared" si="1"/>
        <v>2.2226150189984</v>
      </c>
      <c r="AC13" s="356">
        <f t="shared" si="2"/>
        <v>0.79051356768326286</v>
      </c>
      <c r="AD13" s="352">
        <v>48.597176413441382</v>
      </c>
      <c r="AE13" s="65">
        <v>1.8219550599608225</v>
      </c>
      <c r="AF13" s="65">
        <v>12.221299212449956</v>
      </c>
      <c r="AG13" s="65">
        <v>11.545404564758623</v>
      </c>
      <c r="AH13" s="65">
        <v>13.386427179739693</v>
      </c>
      <c r="AI13" s="65">
        <v>0.12644799645004881</v>
      </c>
      <c r="AJ13" s="65">
        <v>9.630620618515028</v>
      </c>
      <c r="AK13" s="65">
        <v>2.0542781645496029</v>
      </c>
      <c r="AL13" s="65">
        <v>0.36579598973049843</v>
      </c>
      <c r="AM13" s="65">
        <v>0.18264710598340383</v>
      </c>
      <c r="AN13" s="291">
        <v>75.823544451092914</v>
      </c>
      <c r="AO13" s="291">
        <v>732.05755185969201</v>
      </c>
      <c r="AP13" s="383">
        <v>99.009893499999976</v>
      </c>
    </row>
    <row r="14" spans="1:42" ht="14.45" customHeight="1">
      <c r="A14" s="293" t="s">
        <v>517</v>
      </c>
      <c r="B14" s="288">
        <v>8</v>
      </c>
      <c r="C14" s="288" t="s">
        <v>512</v>
      </c>
      <c r="D14" s="289">
        <v>43250</v>
      </c>
      <c r="E14" s="291">
        <v>27</v>
      </c>
      <c r="F14" s="65">
        <v>0.02</v>
      </c>
      <c r="G14" s="311" t="s">
        <v>405</v>
      </c>
      <c r="H14" s="294" t="s">
        <v>132</v>
      </c>
      <c r="I14" s="295">
        <v>66</v>
      </c>
      <c r="J14" s="296">
        <v>50</v>
      </c>
      <c r="K14" s="297">
        <v>5.5752348457182244E-2</v>
      </c>
      <c r="L14" s="320" t="s">
        <v>64</v>
      </c>
      <c r="M14" s="321">
        <v>89.382583015687402</v>
      </c>
      <c r="N14" s="291">
        <f t="shared" si="0"/>
        <v>1301.5386099030247</v>
      </c>
      <c r="O14" s="291">
        <v>1140.3369344521921</v>
      </c>
      <c r="P14" s="65">
        <v>0.73099999999999998</v>
      </c>
      <c r="Q14" s="330">
        <v>0.36798905608755139</v>
      </c>
      <c r="R14" s="339">
        <v>102.85358649467007</v>
      </c>
      <c r="S14" s="340">
        <v>3.3379283455774664E-3</v>
      </c>
      <c r="T14" s="340">
        <v>7.3136731346880882E-2</v>
      </c>
      <c r="U14" s="341">
        <v>1.1843370321513362E-3</v>
      </c>
      <c r="V14" s="339">
        <v>0.26917950846240463</v>
      </c>
      <c r="W14" s="296" t="s">
        <v>292</v>
      </c>
      <c r="X14" s="296">
        <v>1167.4135006998558</v>
      </c>
      <c r="Y14" s="355">
        <v>54.731740057486491</v>
      </c>
      <c r="Z14" s="355">
        <v>1801</v>
      </c>
      <c r="AA14" s="355">
        <v>278</v>
      </c>
      <c r="AB14" s="321">
        <f t="shared" si="1"/>
        <v>6.825648636628399</v>
      </c>
      <c r="AC14" s="356">
        <f t="shared" si="2"/>
        <v>0.92768365112237916</v>
      </c>
      <c r="AD14" s="352">
        <v>48.096825892260881</v>
      </c>
      <c r="AE14" s="65">
        <v>1.8727292612252484</v>
      </c>
      <c r="AF14" s="65">
        <v>12.362421779084999</v>
      </c>
      <c r="AG14" s="65">
        <v>11.543479079642447</v>
      </c>
      <c r="AH14" s="65">
        <v>14.305403477762427</v>
      </c>
      <c r="AI14" s="65">
        <v>0.11039668742485387</v>
      </c>
      <c r="AJ14" s="65">
        <v>9.1438565375258527</v>
      </c>
      <c r="AK14" s="65">
        <v>2.0222665923734597</v>
      </c>
      <c r="AL14" s="65">
        <v>0.30810711854027401</v>
      </c>
      <c r="AM14" s="65">
        <v>0.18365994362498417</v>
      </c>
      <c r="AN14" s="291">
        <v>75.865624559467989</v>
      </c>
      <c r="AO14" s="291">
        <v>925.30910480075693</v>
      </c>
      <c r="AP14" s="383">
        <v>99.835270999999992</v>
      </c>
    </row>
    <row r="15" spans="1:42" ht="14.45" customHeight="1">
      <c r="A15" s="293" t="s">
        <v>518</v>
      </c>
      <c r="B15" s="288">
        <v>8</v>
      </c>
      <c r="C15" s="288" t="s">
        <v>512</v>
      </c>
      <c r="D15" s="289">
        <v>43250</v>
      </c>
      <c r="E15" s="291">
        <v>27</v>
      </c>
      <c r="F15" s="65">
        <v>0.02</v>
      </c>
      <c r="G15" s="311" t="s">
        <v>405</v>
      </c>
      <c r="H15" s="294" t="s">
        <v>511</v>
      </c>
      <c r="I15" s="295">
        <v>55</v>
      </c>
      <c r="J15" s="296">
        <v>27.5</v>
      </c>
      <c r="K15" s="297">
        <v>1.6028049085900324E-2</v>
      </c>
      <c r="L15" s="320">
        <v>54.311540553139494</v>
      </c>
      <c r="M15" s="321" t="s">
        <v>64</v>
      </c>
      <c r="N15" s="291">
        <f t="shared" si="0"/>
        <v>1036.2566053011151</v>
      </c>
      <c r="O15" s="291">
        <v>1140.3369344521921</v>
      </c>
      <c r="P15" s="65" t="s">
        <v>548</v>
      </c>
      <c r="Q15" s="330" t="s">
        <v>548</v>
      </c>
      <c r="R15" s="339">
        <v>102.65554751889999</v>
      </c>
      <c r="S15" s="340" t="s">
        <v>419</v>
      </c>
      <c r="T15" s="340">
        <v>2.8701262759440738E-3</v>
      </c>
      <c r="U15" s="341">
        <v>7.4999999999999997E-3</v>
      </c>
      <c r="V15" s="339">
        <v>0.54756917252183701</v>
      </c>
      <c r="W15" s="296" t="s">
        <v>423</v>
      </c>
      <c r="X15" s="296">
        <v>47.432709559580815</v>
      </c>
      <c r="Y15" s="355">
        <v>45.561595086369728</v>
      </c>
      <c r="Z15" s="355">
        <v>112</v>
      </c>
      <c r="AA15" s="355">
        <v>351</v>
      </c>
      <c r="AB15" s="321">
        <f t="shared" si="1"/>
        <v>0.49445406187519997</v>
      </c>
      <c r="AC15" s="356">
        <f t="shared" si="2"/>
        <v>1.5334564437971991</v>
      </c>
      <c r="AD15" s="352">
        <v>59.619255695145853</v>
      </c>
      <c r="AE15" s="65">
        <v>1.0338173771375438</v>
      </c>
      <c r="AF15" s="65">
        <v>16.871148281494992</v>
      </c>
      <c r="AG15" s="65">
        <v>7.1341978209170414</v>
      </c>
      <c r="AH15" s="65">
        <v>1.1072937960753724</v>
      </c>
      <c r="AI15" s="65">
        <v>0.12763393087622379</v>
      </c>
      <c r="AJ15" s="65">
        <v>6.2564607240518821</v>
      </c>
      <c r="AK15" s="65">
        <v>4.3718316974753382</v>
      </c>
      <c r="AL15" s="65">
        <v>1.6745455581971664</v>
      </c>
      <c r="AM15" s="65">
        <v>1.7248530966574318</v>
      </c>
      <c r="AN15" s="291">
        <v>441.07172418351405</v>
      </c>
      <c r="AO15" s="291">
        <v>348.54849552793394</v>
      </c>
      <c r="AP15" s="383">
        <v>98.494185000000002</v>
      </c>
    </row>
    <row r="16" spans="1:42" ht="14.45" customHeight="1">
      <c r="A16" s="299" t="s">
        <v>519</v>
      </c>
      <c r="B16" s="288">
        <v>8</v>
      </c>
      <c r="C16" s="288" t="s">
        <v>512</v>
      </c>
      <c r="D16" s="289">
        <v>43250</v>
      </c>
      <c r="E16" s="291">
        <v>27</v>
      </c>
      <c r="F16" s="65">
        <v>0.02</v>
      </c>
      <c r="G16" s="311" t="s">
        <v>405</v>
      </c>
      <c r="H16" s="294" t="s">
        <v>132</v>
      </c>
      <c r="I16" s="295">
        <v>65</v>
      </c>
      <c r="J16" s="296">
        <v>61</v>
      </c>
      <c r="K16" s="300">
        <v>1.386895726792441E-2</v>
      </c>
      <c r="L16" s="320" t="s">
        <v>64</v>
      </c>
      <c r="M16" s="321" t="s">
        <v>64</v>
      </c>
      <c r="N16" s="291" t="s">
        <v>64</v>
      </c>
      <c r="O16" s="291" t="s">
        <v>64</v>
      </c>
      <c r="P16" s="65" t="s">
        <v>64</v>
      </c>
      <c r="Q16" s="330" t="s">
        <v>64</v>
      </c>
      <c r="R16" s="339">
        <v>102.71484112052008</v>
      </c>
      <c r="S16" s="340" t="s">
        <v>419</v>
      </c>
      <c r="T16" s="340">
        <v>2.39082076539745E-2</v>
      </c>
      <c r="U16" s="341">
        <v>7.4999999999999997E-3</v>
      </c>
      <c r="V16" s="339" t="s">
        <v>64</v>
      </c>
      <c r="W16" s="296" t="s">
        <v>64</v>
      </c>
      <c r="X16" s="296">
        <v>120.94339566947619</v>
      </c>
      <c r="Y16" s="355">
        <v>36.451563934731489</v>
      </c>
      <c r="Z16" s="355">
        <v>288</v>
      </c>
      <c r="AA16" s="355">
        <v>94</v>
      </c>
      <c r="AB16" s="321">
        <f t="shared" si="1"/>
        <v>1.2474555752447998</v>
      </c>
      <c r="AC16" s="356">
        <f t="shared" si="2"/>
        <v>0.39472138697280457</v>
      </c>
      <c r="AD16" s="352" t="s">
        <v>64</v>
      </c>
      <c r="AE16" s="65" t="s">
        <v>64</v>
      </c>
      <c r="AF16" s="65" t="s">
        <v>64</v>
      </c>
      <c r="AG16" s="65" t="s">
        <v>64</v>
      </c>
      <c r="AH16" s="65" t="s">
        <v>64</v>
      </c>
      <c r="AI16" s="65" t="s">
        <v>64</v>
      </c>
      <c r="AJ16" s="65" t="s">
        <v>64</v>
      </c>
      <c r="AK16" s="362" t="s">
        <v>64</v>
      </c>
      <c r="AL16" s="362" t="s">
        <v>64</v>
      </c>
      <c r="AM16" s="65" t="s">
        <v>64</v>
      </c>
      <c r="AN16" s="291" t="s">
        <v>64</v>
      </c>
      <c r="AO16" s="291" t="s">
        <v>64</v>
      </c>
      <c r="AP16" s="383" t="s">
        <v>64</v>
      </c>
    </row>
    <row r="17" spans="1:42" ht="14.45" customHeight="1">
      <c r="A17" s="299" t="s">
        <v>520</v>
      </c>
      <c r="B17" s="288">
        <v>8</v>
      </c>
      <c r="C17" s="288" t="s">
        <v>512</v>
      </c>
      <c r="D17" s="289">
        <v>43250</v>
      </c>
      <c r="E17" s="291">
        <v>27</v>
      </c>
      <c r="F17" s="65">
        <v>0.02</v>
      </c>
      <c r="G17" s="311" t="s">
        <v>405</v>
      </c>
      <c r="H17" s="294" t="s">
        <v>132</v>
      </c>
      <c r="I17" s="295">
        <v>100</v>
      </c>
      <c r="J17" s="296">
        <v>72.5</v>
      </c>
      <c r="K17" s="300">
        <v>3.3462778045944025E-2</v>
      </c>
      <c r="L17" s="320" t="s">
        <v>64</v>
      </c>
      <c r="M17" s="321" t="s">
        <v>64</v>
      </c>
      <c r="N17" s="291" t="s">
        <v>64</v>
      </c>
      <c r="O17" s="291" t="s">
        <v>64</v>
      </c>
      <c r="P17" s="65" t="s">
        <v>64</v>
      </c>
      <c r="Q17" s="330" t="s">
        <v>64</v>
      </c>
      <c r="R17" s="339">
        <v>102.67250731340982</v>
      </c>
      <c r="S17" s="340" t="s">
        <v>419</v>
      </c>
      <c r="T17" s="340">
        <v>8.8876648855702456E-3</v>
      </c>
      <c r="U17" s="341">
        <v>7.4999999999999997E-3</v>
      </c>
      <c r="V17" s="339" t="s">
        <v>64</v>
      </c>
      <c r="W17" s="296" t="s">
        <v>64</v>
      </c>
      <c r="X17" s="296">
        <v>112.79145487931078</v>
      </c>
      <c r="Y17" s="355">
        <v>89.38888975003276</v>
      </c>
      <c r="Z17" s="355">
        <v>270</v>
      </c>
      <c r="AA17" s="355">
        <v>437</v>
      </c>
      <c r="AB17" s="321">
        <f t="shared" si="1"/>
        <v>1.1717379972000002</v>
      </c>
      <c r="AC17" s="356">
        <f t="shared" si="2"/>
        <v>1.8474565501451821</v>
      </c>
      <c r="AD17" s="352" t="s">
        <v>64</v>
      </c>
      <c r="AE17" s="65" t="s">
        <v>64</v>
      </c>
      <c r="AF17" s="65" t="s">
        <v>64</v>
      </c>
      <c r="AG17" s="65" t="s">
        <v>64</v>
      </c>
      <c r="AH17" s="65" t="s">
        <v>64</v>
      </c>
      <c r="AI17" s="65" t="s">
        <v>64</v>
      </c>
      <c r="AJ17" s="65" t="s">
        <v>64</v>
      </c>
      <c r="AK17" s="362" t="s">
        <v>64</v>
      </c>
      <c r="AL17" s="362" t="s">
        <v>64</v>
      </c>
      <c r="AM17" s="65" t="s">
        <v>64</v>
      </c>
      <c r="AN17" s="291" t="s">
        <v>64</v>
      </c>
      <c r="AO17" s="291" t="s">
        <v>64</v>
      </c>
      <c r="AP17" s="383" t="s">
        <v>64</v>
      </c>
    </row>
    <row r="18" spans="1:42" ht="14.45" customHeight="1">
      <c r="A18" s="299" t="s">
        <v>521</v>
      </c>
      <c r="B18" s="288">
        <v>8</v>
      </c>
      <c r="C18" s="288" t="s">
        <v>512</v>
      </c>
      <c r="D18" s="289">
        <v>43250</v>
      </c>
      <c r="E18" s="291">
        <v>27</v>
      </c>
      <c r="F18" s="65">
        <v>0.02</v>
      </c>
      <c r="G18" s="311" t="s">
        <v>405</v>
      </c>
      <c r="H18" s="294" t="s">
        <v>132</v>
      </c>
      <c r="I18" s="295">
        <v>130</v>
      </c>
      <c r="J18" s="296">
        <v>102.5</v>
      </c>
      <c r="K18" s="300">
        <v>4.2081431084885254E-2</v>
      </c>
      <c r="L18" s="320" t="s">
        <v>64</v>
      </c>
      <c r="M18" s="321" t="s">
        <v>64</v>
      </c>
      <c r="N18" s="291" t="s">
        <v>64</v>
      </c>
      <c r="O18" s="291" t="s">
        <v>64</v>
      </c>
      <c r="P18" s="65" t="s">
        <v>64</v>
      </c>
      <c r="Q18" s="330" t="s">
        <v>64</v>
      </c>
      <c r="R18" s="339">
        <v>102.69497826527</v>
      </c>
      <c r="S18" s="340">
        <v>1.7420876887081618E-2</v>
      </c>
      <c r="T18" s="340">
        <v>1.6860628256979739E-2</v>
      </c>
      <c r="U18" s="341">
        <v>6.1811361700591953E-3</v>
      </c>
      <c r="V18" s="339" t="s">
        <v>64</v>
      </c>
      <c r="W18" s="296" t="s">
        <v>64</v>
      </c>
      <c r="X18" s="296">
        <v>236.43709035359706</v>
      </c>
      <c r="Y18" s="355">
        <v>93.524290163047681</v>
      </c>
      <c r="Z18" s="355">
        <v>540</v>
      </c>
      <c r="AA18" s="355">
        <v>229.5</v>
      </c>
      <c r="AB18" s="321">
        <f t="shared" si="1"/>
        <v>2.2785372576</v>
      </c>
      <c r="AC18" s="356">
        <f t="shared" si="2"/>
        <v>0.91629595449040835</v>
      </c>
      <c r="AD18" s="352" t="s">
        <v>64</v>
      </c>
      <c r="AE18" s="65" t="s">
        <v>64</v>
      </c>
      <c r="AF18" s="65" t="s">
        <v>64</v>
      </c>
      <c r="AG18" s="65" t="s">
        <v>64</v>
      </c>
      <c r="AH18" s="65" t="s">
        <v>64</v>
      </c>
      <c r="AI18" s="65" t="s">
        <v>64</v>
      </c>
      <c r="AJ18" s="65" t="s">
        <v>64</v>
      </c>
      <c r="AK18" s="362" t="s">
        <v>64</v>
      </c>
      <c r="AL18" s="362" t="s">
        <v>64</v>
      </c>
      <c r="AM18" s="65" t="s">
        <v>64</v>
      </c>
      <c r="AN18" s="291" t="s">
        <v>64</v>
      </c>
      <c r="AO18" s="291" t="s">
        <v>64</v>
      </c>
      <c r="AP18" s="383" t="s">
        <v>64</v>
      </c>
    </row>
    <row r="19" spans="1:42" ht="14.45" customHeight="1" thickBot="1">
      <c r="A19" s="301"/>
      <c r="B19" s="302"/>
      <c r="C19" s="302"/>
      <c r="D19" s="303"/>
      <c r="E19" s="304"/>
      <c r="F19" s="305"/>
      <c r="G19" s="386"/>
      <c r="H19" s="306"/>
      <c r="I19" s="307"/>
      <c r="J19" s="308"/>
      <c r="K19" s="310"/>
      <c r="L19" s="322"/>
      <c r="M19" s="323"/>
      <c r="N19" s="304"/>
      <c r="O19" s="304"/>
      <c r="P19" s="305"/>
      <c r="Q19" s="331"/>
      <c r="R19" s="342"/>
      <c r="S19" s="343"/>
      <c r="T19" s="343"/>
      <c r="U19" s="344"/>
      <c r="V19" s="342"/>
      <c r="W19" s="308"/>
      <c r="X19" s="308"/>
      <c r="Y19" s="357"/>
      <c r="Z19" s="357"/>
      <c r="AA19" s="357"/>
      <c r="AB19" s="323"/>
      <c r="AC19" s="358"/>
      <c r="AD19" s="361"/>
      <c r="AE19" s="305"/>
      <c r="AF19" s="305"/>
      <c r="AG19" s="305"/>
      <c r="AH19" s="305"/>
      <c r="AI19" s="305"/>
      <c r="AJ19" s="305"/>
      <c r="AK19" s="305"/>
      <c r="AL19" s="305"/>
      <c r="AM19" s="305"/>
      <c r="AN19" s="304"/>
      <c r="AO19" s="304"/>
      <c r="AP19" s="384"/>
    </row>
    <row r="20" spans="1:42" ht="14.45" customHeight="1">
      <c r="A20" s="287" t="s">
        <v>522</v>
      </c>
      <c r="B20" s="288"/>
      <c r="C20" s="288"/>
      <c r="D20" s="289"/>
      <c r="E20" s="291"/>
      <c r="F20" s="65"/>
      <c r="G20" s="311"/>
      <c r="H20" s="294"/>
      <c r="I20" s="295"/>
      <c r="J20" s="296"/>
      <c r="K20" s="297"/>
      <c r="L20" s="320"/>
      <c r="M20" s="321"/>
      <c r="N20" s="291"/>
      <c r="O20" s="291"/>
      <c r="P20" s="65"/>
      <c r="Q20" s="330"/>
      <c r="R20" s="339"/>
      <c r="S20" s="340"/>
      <c r="T20" s="340"/>
      <c r="U20" s="341"/>
      <c r="V20" s="339"/>
      <c r="W20" s="296"/>
      <c r="X20" s="296"/>
      <c r="Y20" s="355"/>
      <c r="Z20" s="355"/>
      <c r="AA20" s="355"/>
      <c r="AB20" s="321"/>
      <c r="AC20" s="356"/>
      <c r="AD20" s="352"/>
      <c r="AE20" s="65"/>
      <c r="AF20" s="65"/>
      <c r="AG20" s="65"/>
      <c r="AH20" s="65"/>
      <c r="AI20" s="65"/>
      <c r="AJ20" s="65"/>
      <c r="AK20" s="65"/>
      <c r="AL20" s="65"/>
      <c r="AM20" s="65"/>
      <c r="AN20" s="291"/>
      <c r="AO20" s="291"/>
      <c r="AP20" s="383"/>
    </row>
    <row r="21" spans="1:42" ht="14.45" customHeight="1">
      <c r="A21" s="293" t="s">
        <v>524</v>
      </c>
      <c r="B21" s="288">
        <v>8</v>
      </c>
      <c r="C21" s="311" t="s">
        <v>523</v>
      </c>
      <c r="D21" s="289">
        <v>43316</v>
      </c>
      <c r="E21" s="291">
        <v>93</v>
      </c>
      <c r="F21" s="65">
        <v>0.2</v>
      </c>
      <c r="G21" s="311" t="s">
        <v>405</v>
      </c>
      <c r="H21" s="294" t="s">
        <v>132</v>
      </c>
      <c r="I21" s="295">
        <v>42.5</v>
      </c>
      <c r="J21" s="296">
        <v>35</v>
      </c>
      <c r="K21" s="300">
        <v>4.5287868708059231E-2</v>
      </c>
      <c r="L21" s="320" t="s">
        <v>64</v>
      </c>
      <c r="M21" s="321">
        <v>89.11873786125247</v>
      </c>
      <c r="N21" s="291">
        <f t="shared" ref="N21:N30" si="3" xml:space="preserve"> 20.1*AH21+1014</f>
        <v>1296.2363339228627</v>
      </c>
      <c r="O21" s="291">
        <v>1116.0913048159589</v>
      </c>
      <c r="P21" s="65">
        <v>0.71899999999999997</v>
      </c>
      <c r="Q21" s="330">
        <v>0.39082058414464549</v>
      </c>
      <c r="R21" s="339">
        <v>102.73256078667009</v>
      </c>
      <c r="S21" s="340" t="s">
        <v>419</v>
      </c>
      <c r="T21" s="340">
        <v>3.0195357839993164E-2</v>
      </c>
      <c r="U21" s="341">
        <v>7.4999999999999997E-3</v>
      </c>
      <c r="V21" s="339">
        <v>0.23193753772848058</v>
      </c>
      <c r="W21" s="296" t="s">
        <v>423</v>
      </c>
      <c r="X21" s="296">
        <v>388.90194175737236</v>
      </c>
      <c r="Y21" s="355">
        <v>126.14872488827783</v>
      </c>
      <c r="Z21" s="355">
        <v>722</v>
      </c>
      <c r="AA21" s="355">
        <v>257.5</v>
      </c>
      <c r="AB21" s="321">
        <f t="shared" ref="AB21:AB39" si="4">(0.0684*((Z21/1000))^3-0.5008*((Z21/1000))^2+4.47*((Z21/1000)))</f>
        <v>2.9920244788832</v>
      </c>
      <c r="AC21" s="356">
        <f t="shared" ref="AC21:AC39" si="5">AVERAGE(((((0.0684*(((Z21+AA21)/1000))^3-0.5008*(((Z21+AA21)/1000))^2+4.47*(((Z21+AA21)/1000))))) - Z21), (Z21 - (((0.0684*(((Z21-AA21)/1000))^3-0.5008*(((Z21-AA21)/1000))^2+4.47*(((Z21-AA21)/1000)))))))</f>
        <v>0.99352451325722768</v>
      </c>
      <c r="AD21" s="352">
        <v>48.460208707751683</v>
      </c>
      <c r="AE21" s="65">
        <v>1.9910342743933263</v>
      </c>
      <c r="AF21" s="65">
        <v>11.165949019172048</v>
      </c>
      <c r="AG21" s="65">
        <v>11.541776809373815</v>
      </c>
      <c r="AH21" s="65">
        <v>14.041608652878743</v>
      </c>
      <c r="AI21" s="65">
        <v>0.1219307783965671</v>
      </c>
      <c r="AJ21" s="65">
        <v>10.011871692784787</v>
      </c>
      <c r="AK21" s="65">
        <v>1.9784899556282476</v>
      </c>
      <c r="AL21" s="65">
        <v>0.32113456038602034</v>
      </c>
      <c r="AM21" s="65">
        <v>0.30407428686551302</v>
      </c>
      <c r="AN21" s="291">
        <v>87.78663837611488</v>
      </c>
      <c r="AO21" s="291">
        <v>531.42598531634735</v>
      </c>
      <c r="AP21" s="383">
        <v>99.581537999999981</v>
      </c>
    </row>
    <row r="22" spans="1:42" ht="14.45" customHeight="1">
      <c r="A22" s="293" t="s">
        <v>525</v>
      </c>
      <c r="B22" s="288">
        <v>8</v>
      </c>
      <c r="C22" s="311" t="s">
        <v>523</v>
      </c>
      <c r="D22" s="289">
        <v>43316</v>
      </c>
      <c r="E22" s="291">
        <v>93</v>
      </c>
      <c r="F22" s="65">
        <v>0.2</v>
      </c>
      <c r="G22" s="311" t="s">
        <v>405</v>
      </c>
      <c r="H22" s="294" t="s">
        <v>132</v>
      </c>
      <c r="I22" s="295">
        <v>57.5</v>
      </c>
      <c r="J22" s="296">
        <v>47.5</v>
      </c>
      <c r="K22" s="297">
        <v>3.7987958838565726E-2</v>
      </c>
      <c r="L22" s="320" t="s">
        <v>64</v>
      </c>
      <c r="M22" s="321">
        <v>89.495163634758953</v>
      </c>
      <c r="N22" s="291">
        <f t="shared" si="3"/>
        <v>1303.6293130649669</v>
      </c>
      <c r="O22" s="291">
        <v>1109.352681742532</v>
      </c>
      <c r="P22" s="65">
        <v>0.70150000000000001</v>
      </c>
      <c r="Q22" s="330">
        <v>0.42551674982181042</v>
      </c>
      <c r="R22" s="339">
        <v>102.66959466483991</v>
      </c>
      <c r="S22" s="340" t="s">
        <v>419</v>
      </c>
      <c r="T22" s="340">
        <v>7.8542222211765989E-3</v>
      </c>
      <c r="U22" s="341">
        <v>7.4999999999999997E-3</v>
      </c>
      <c r="V22" s="339">
        <v>0.21870465724276622</v>
      </c>
      <c r="W22" s="296" t="s">
        <v>423</v>
      </c>
      <c r="X22" s="296">
        <v>97.140185998254282</v>
      </c>
      <c r="Y22" s="355">
        <v>103.65375775422686</v>
      </c>
      <c r="Z22" s="355">
        <v>191</v>
      </c>
      <c r="AA22" s="355">
        <v>1130.5</v>
      </c>
      <c r="AB22" s="321">
        <f t="shared" si="4"/>
        <v>0.83597691757639991</v>
      </c>
      <c r="AC22" s="356">
        <f t="shared" si="5"/>
        <v>4.9443520532241507</v>
      </c>
      <c r="AD22" s="352">
        <v>48.273734738542487</v>
      </c>
      <c r="AE22" s="65">
        <v>1.9101172206420263</v>
      </c>
      <c r="AF22" s="65">
        <v>11.405010386764882</v>
      </c>
      <c r="AG22" s="65">
        <v>11.542486645881224</v>
      </c>
      <c r="AH22" s="65">
        <v>14.409418560446113</v>
      </c>
      <c r="AI22" s="65">
        <v>0.12443106664544851</v>
      </c>
      <c r="AJ22" s="65">
        <v>9.8541376972443917</v>
      </c>
      <c r="AK22" s="65">
        <v>1.7545783873352157</v>
      </c>
      <c r="AL22" s="65">
        <v>0.26692470748136538</v>
      </c>
      <c r="AM22" s="65">
        <v>0.40088879939400551</v>
      </c>
      <c r="AN22" s="291">
        <v>80.295968967208225</v>
      </c>
      <c r="AO22" s="291">
        <v>502.42192726136051</v>
      </c>
      <c r="AP22" s="383">
        <v>99.047316000000009</v>
      </c>
    </row>
    <row r="23" spans="1:42" ht="14.45" customHeight="1">
      <c r="A23" s="293" t="s">
        <v>526</v>
      </c>
      <c r="B23" s="288">
        <v>8</v>
      </c>
      <c r="C23" s="311" t="s">
        <v>523</v>
      </c>
      <c r="D23" s="289">
        <v>43316</v>
      </c>
      <c r="E23" s="291">
        <v>93</v>
      </c>
      <c r="F23" s="65">
        <v>0.2</v>
      </c>
      <c r="G23" s="311" t="s">
        <v>405</v>
      </c>
      <c r="H23" s="294" t="s">
        <v>132</v>
      </c>
      <c r="I23" s="295">
        <v>25</v>
      </c>
      <c r="J23" s="296">
        <v>25</v>
      </c>
      <c r="K23" s="297">
        <v>4.7856772742180781E-2</v>
      </c>
      <c r="L23" s="320" t="s">
        <v>64</v>
      </c>
      <c r="M23" s="321">
        <v>89.279066643612737</v>
      </c>
      <c r="N23" s="291">
        <f t="shared" si="3"/>
        <v>1297.8326211363669</v>
      </c>
      <c r="O23" s="291">
        <v>1068.9888466712414</v>
      </c>
      <c r="P23" s="65">
        <v>0.66300000000000003</v>
      </c>
      <c r="Q23" s="330">
        <v>0.50829562594268474</v>
      </c>
      <c r="R23" s="339">
        <v>102.75858191358998</v>
      </c>
      <c r="S23" s="340" t="s">
        <v>419</v>
      </c>
      <c r="T23" s="340">
        <v>3.9427965924687669E-2</v>
      </c>
      <c r="U23" s="341">
        <v>7.4999999999999997E-3</v>
      </c>
      <c r="V23" s="339" t="s">
        <v>64</v>
      </c>
      <c r="W23" s="296" t="s">
        <v>64</v>
      </c>
      <c r="X23" s="296">
        <v>490.96379209436901</v>
      </c>
      <c r="Y23" s="355">
        <v>145.3157822985394</v>
      </c>
      <c r="Z23" s="355">
        <v>924</v>
      </c>
      <c r="AA23" s="355">
        <v>300</v>
      </c>
      <c r="AB23" s="321">
        <f t="shared" si="4"/>
        <v>3.7566689884416</v>
      </c>
      <c r="AC23" s="356">
        <f t="shared" si="5"/>
        <v>1.1177617305599483</v>
      </c>
      <c r="AD23" s="352">
        <v>49.246977572655297</v>
      </c>
      <c r="AE23" s="65">
        <v>1.8032606304112309</v>
      </c>
      <c r="AF23" s="65">
        <v>11.417640207467439</v>
      </c>
      <c r="AG23" s="65">
        <v>11.543075699287918</v>
      </c>
      <c r="AH23" s="65">
        <v>14.121025927182437</v>
      </c>
      <c r="AI23" s="65">
        <v>9.9344909521820748E-2</v>
      </c>
      <c r="AJ23" s="65">
        <v>9.2912577501266504</v>
      </c>
      <c r="AK23" s="65">
        <v>1.9076229596058709</v>
      </c>
      <c r="AL23" s="65">
        <v>0.30606260004197294</v>
      </c>
      <c r="AM23" s="65">
        <v>0.21976298166948224</v>
      </c>
      <c r="AN23" s="291">
        <v>133.75101064031264</v>
      </c>
      <c r="AO23" s="291">
        <v>450.56127209290804</v>
      </c>
      <c r="AP23" s="383">
        <v>98.06220399999998</v>
      </c>
    </row>
    <row r="24" spans="1:42" ht="14.45" customHeight="1">
      <c r="A24" s="293" t="s">
        <v>527</v>
      </c>
      <c r="B24" s="288">
        <v>8</v>
      </c>
      <c r="C24" s="311" t="s">
        <v>523</v>
      </c>
      <c r="D24" s="289">
        <v>43316</v>
      </c>
      <c r="E24" s="291">
        <v>93</v>
      </c>
      <c r="F24" s="65">
        <v>0.2</v>
      </c>
      <c r="G24" s="311" t="s">
        <v>405</v>
      </c>
      <c r="H24" s="294" t="s">
        <v>132</v>
      </c>
      <c r="I24" s="295">
        <v>30</v>
      </c>
      <c r="J24" s="296">
        <v>32.5</v>
      </c>
      <c r="K24" s="297">
        <v>3.8409154430368048E-2</v>
      </c>
      <c r="L24" s="320" t="s">
        <v>64</v>
      </c>
      <c r="M24" s="321">
        <v>89.417265064899098</v>
      </c>
      <c r="N24" s="291">
        <f t="shared" si="3"/>
        <v>1300.8529709098552</v>
      </c>
      <c r="O24" s="291">
        <v>1072.0587859972861</v>
      </c>
      <c r="P24" s="65">
        <v>0.66500000000000004</v>
      </c>
      <c r="Q24" s="330">
        <v>0.50375939849624052</v>
      </c>
      <c r="R24" s="339">
        <v>102.65790297290005</v>
      </c>
      <c r="S24" s="340" t="s">
        <v>419</v>
      </c>
      <c r="T24" s="340">
        <v>3.7058696206173636E-3</v>
      </c>
      <c r="U24" s="341">
        <v>7.4999999999999997E-3</v>
      </c>
      <c r="V24" s="339" t="s">
        <v>64</v>
      </c>
      <c r="W24" s="296" t="s">
        <v>64</v>
      </c>
      <c r="X24" s="296">
        <v>55.068613415475653</v>
      </c>
      <c r="Y24" s="355">
        <v>126.84392136609043</v>
      </c>
      <c r="Z24" s="355">
        <v>112</v>
      </c>
      <c r="AA24" s="355">
        <v>1280</v>
      </c>
      <c r="AB24" s="321">
        <f t="shared" si="4"/>
        <v>0.49445406187519997</v>
      </c>
      <c r="AC24" s="356">
        <f t="shared" si="5"/>
        <v>5.724750577664004</v>
      </c>
      <c r="AD24" s="352">
        <v>48.9254133340336</v>
      </c>
      <c r="AE24" s="65">
        <v>1.9207687962041375</v>
      </c>
      <c r="AF24" s="65">
        <v>11.434294495271653</v>
      </c>
      <c r="AG24" s="65">
        <v>11.54267643361546</v>
      </c>
      <c r="AH24" s="65">
        <v>14.271292085067419</v>
      </c>
      <c r="AI24" s="65">
        <v>0.10537132894536803</v>
      </c>
      <c r="AJ24" s="65">
        <v>9.4181897347836099</v>
      </c>
      <c r="AK24" s="65">
        <v>1.8746061187614051</v>
      </c>
      <c r="AL24" s="65">
        <v>0.27998667405483513</v>
      </c>
      <c r="AM24" s="65">
        <v>0.18665778270322342</v>
      </c>
      <c r="AN24" s="291">
        <v>58.13223850792658</v>
      </c>
      <c r="AO24" s="291">
        <v>514.41307591447685</v>
      </c>
      <c r="AP24" s="383">
        <v>98.818872999999996</v>
      </c>
    </row>
    <row r="25" spans="1:42" ht="14.45" customHeight="1">
      <c r="A25" s="293" t="s">
        <v>528</v>
      </c>
      <c r="B25" s="288">
        <v>8</v>
      </c>
      <c r="C25" s="311" t="s">
        <v>523</v>
      </c>
      <c r="D25" s="289">
        <v>43316</v>
      </c>
      <c r="E25" s="291">
        <v>93</v>
      </c>
      <c r="F25" s="65">
        <v>0.2</v>
      </c>
      <c r="G25" s="311" t="s">
        <v>405</v>
      </c>
      <c r="H25" s="294" t="s">
        <v>132</v>
      </c>
      <c r="I25" s="295">
        <v>30</v>
      </c>
      <c r="J25" s="296">
        <v>26.5</v>
      </c>
      <c r="K25" s="297">
        <v>4.5430089776834506E-2</v>
      </c>
      <c r="L25" s="320" t="s">
        <v>64</v>
      </c>
      <c r="M25" s="321">
        <v>89.417265064899098</v>
      </c>
      <c r="N25" s="291">
        <f t="shared" si="3"/>
        <v>1300.7580297140807</v>
      </c>
      <c r="O25" s="291">
        <v>1072.0776691480166</v>
      </c>
      <c r="P25" s="65">
        <v>0.67100000000000004</v>
      </c>
      <c r="Q25" s="330">
        <v>0.49031296572280181</v>
      </c>
      <c r="R25" s="339">
        <v>102.66281896323994</v>
      </c>
      <c r="S25" s="340" t="s">
        <v>419</v>
      </c>
      <c r="T25" s="340">
        <v>5.4501219850919824E-3</v>
      </c>
      <c r="U25" s="341">
        <v>7.4999999999999997E-3</v>
      </c>
      <c r="V25" s="339" t="s">
        <v>64</v>
      </c>
      <c r="W25" s="296" t="s">
        <v>64</v>
      </c>
      <c r="X25" s="296">
        <v>81.908169558760562</v>
      </c>
      <c r="Y25" s="355">
        <v>106.92251656929177</v>
      </c>
      <c r="Z25" s="355">
        <v>156</v>
      </c>
      <c r="AA25" s="355">
        <v>1604.5</v>
      </c>
      <c r="AB25" s="321">
        <f t="shared" si="4"/>
        <v>0.68539220605439999</v>
      </c>
      <c r="AC25" s="356">
        <f t="shared" si="5"/>
        <v>7.211961942895357</v>
      </c>
      <c r="AD25" s="352">
        <v>48.518978204736939</v>
      </c>
      <c r="AE25" s="65">
        <v>1.8726376679016099</v>
      </c>
      <c r="AF25" s="65">
        <v>11.726565460573585</v>
      </c>
      <c r="AG25" s="65">
        <v>11.545925171065392</v>
      </c>
      <c r="AH25" s="65">
        <v>14.266568642491578</v>
      </c>
      <c r="AI25" s="65">
        <v>0.10436994504917868</v>
      </c>
      <c r="AJ25" s="65">
        <v>9.4173804263605074</v>
      </c>
      <c r="AK25" s="65">
        <v>1.9900538560819359</v>
      </c>
      <c r="AL25" s="65">
        <v>0.28199956306556934</v>
      </c>
      <c r="AM25" s="65">
        <v>0.23583593352458646</v>
      </c>
      <c r="AN25" s="291">
        <v>86.460844550042481</v>
      </c>
      <c r="AO25" s="291">
        <v>457.11959820338154</v>
      </c>
      <c r="AP25" s="383">
        <v>99.698686000000009</v>
      </c>
    </row>
    <row r="26" spans="1:42" ht="14.45" customHeight="1">
      <c r="A26" s="293" t="s">
        <v>529</v>
      </c>
      <c r="B26" s="288">
        <v>8</v>
      </c>
      <c r="C26" s="311" t="s">
        <v>523</v>
      </c>
      <c r="D26" s="289">
        <v>43316</v>
      </c>
      <c r="E26" s="291">
        <v>93</v>
      </c>
      <c r="F26" s="65">
        <v>0.2</v>
      </c>
      <c r="G26" s="311" t="s">
        <v>405</v>
      </c>
      <c r="H26" s="294" t="s">
        <v>132</v>
      </c>
      <c r="I26" s="295">
        <v>65</v>
      </c>
      <c r="J26" s="296">
        <v>52.5</v>
      </c>
      <c r="K26" s="297">
        <v>4.0399046388273213E-2</v>
      </c>
      <c r="L26" s="320" t="s">
        <v>64</v>
      </c>
      <c r="M26" s="321">
        <v>89.27682654397988</v>
      </c>
      <c r="N26" s="291">
        <f t="shared" si="3"/>
        <v>1297.6466844607253</v>
      </c>
      <c r="O26" s="291">
        <v>1084.6802111985344</v>
      </c>
      <c r="P26" s="65">
        <v>0.68700000000000006</v>
      </c>
      <c r="Q26" s="330">
        <v>0.45560407569141192</v>
      </c>
      <c r="R26" s="339">
        <v>102.71416621261005</v>
      </c>
      <c r="S26" s="340" t="s">
        <v>419</v>
      </c>
      <c r="T26" s="340">
        <v>2.3668742228601047E-2</v>
      </c>
      <c r="U26" s="341">
        <v>7.4999999999999997E-3</v>
      </c>
      <c r="V26" s="339" t="s">
        <v>64</v>
      </c>
      <c r="W26" s="296" t="s">
        <v>64</v>
      </c>
      <c r="X26" s="296">
        <v>263.14772888689168</v>
      </c>
      <c r="Y26" s="355">
        <v>112.42427775495854</v>
      </c>
      <c r="Z26" s="355">
        <v>507</v>
      </c>
      <c r="AA26" s="355">
        <v>244</v>
      </c>
      <c r="AB26" s="321">
        <f t="shared" si="4"/>
        <v>2.1464740116611996</v>
      </c>
      <c r="AC26" s="356">
        <f t="shared" si="5"/>
        <v>0.98063783419681272</v>
      </c>
      <c r="AD26" s="352">
        <v>49.097176578197512</v>
      </c>
      <c r="AE26" s="65">
        <v>1.729098913503277</v>
      </c>
      <c r="AF26" s="65">
        <v>11.484508395897562</v>
      </c>
      <c r="AG26" s="65">
        <v>11.543717238553796</v>
      </c>
      <c r="AH26" s="65">
        <v>14.111775346304745</v>
      </c>
      <c r="AI26" s="65">
        <v>0.11841768531247049</v>
      </c>
      <c r="AJ26" s="65">
        <v>9.4573581897010328</v>
      </c>
      <c r="AK26" s="65">
        <v>1.9348245532410431</v>
      </c>
      <c r="AL26" s="65">
        <v>0.26894864121815332</v>
      </c>
      <c r="AM26" s="65">
        <v>0.20672917944380442</v>
      </c>
      <c r="AN26" s="291">
        <v>83.878110806482624</v>
      </c>
      <c r="AO26" s="291">
        <v>458.09636712657999</v>
      </c>
      <c r="AP26" s="383">
        <v>100.08023999999999</v>
      </c>
    </row>
    <row r="27" spans="1:42" ht="14.45" customHeight="1">
      <c r="A27" s="293" t="s">
        <v>530</v>
      </c>
      <c r="B27" s="288">
        <v>8</v>
      </c>
      <c r="C27" s="311" t="s">
        <v>523</v>
      </c>
      <c r="D27" s="289">
        <v>43316</v>
      </c>
      <c r="E27" s="291">
        <v>93</v>
      </c>
      <c r="F27" s="65">
        <v>0.2</v>
      </c>
      <c r="G27" s="311" t="s">
        <v>405</v>
      </c>
      <c r="H27" s="294" t="s">
        <v>132</v>
      </c>
      <c r="I27" s="295">
        <v>42.5</v>
      </c>
      <c r="J27" s="296">
        <v>36</v>
      </c>
      <c r="K27" s="297">
        <v>4.3353575436579403E-2</v>
      </c>
      <c r="L27" s="320" t="s">
        <v>64</v>
      </c>
      <c r="M27" s="321">
        <v>89.408227878290262</v>
      </c>
      <c r="N27" s="291">
        <f t="shared" si="3"/>
        <v>1300.7158831606778</v>
      </c>
      <c r="O27" s="291">
        <v>1078.7812986518818</v>
      </c>
      <c r="P27" s="65">
        <v>0.67</v>
      </c>
      <c r="Q27" s="330">
        <v>0.49253731343283569</v>
      </c>
      <c r="R27" s="339">
        <v>102.7113668126799</v>
      </c>
      <c r="S27" s="340" t="s">
        <v>419</v>
      </c>
      <c r="T27" s="340">
        <v>2.2675481540581188E-2</v>
      </c>
      <c r="U27" s="341">
        <v>7.4999999999999997E-3</v>
      </c>
      <c r="V27" s="339" t="s">
        <v>64</v>
      </c>
      <c r="W27" s="296" t="s">
        <v>64</v>
      </c>
      <c r="X27" s="296">
        <v>265.29589014950744</v>
      </c>
      <c r="Y27" s="355">
        <v>122.2477450207227</v>
      </c>
      <c r="Z27" s="355">
        <v>489</v>
      </c>
      <c r="AA27" s="355">
        <v>258</v>
      </c>
      <c r="AB27" s="321">
        <f t="shared" si="4"/>
        <v>2.0740762267595998</v>
      </c>
      <c r="AC27" s="356">
        <f t="shared" si="5"/>
        <v>1.0407302573543973</v>
      </c>
      <c r="AD27" s="352">
        <v>48.745475495617455</v>
      </c>
      <c r="AE27" s="65">
        <v>1.7251039132227042</v>
      </c>
      <c r="AF27" s="65">
        <v>11.710434882720032</v>
      </c>
      <c r="AG27" s="65">
        <v>11.541838339717463</v>
      </c>
      <c r="AH27" s="65">
        <v>14.264471799038695</v>
      </c>
      <c r="AI27" s="65">
        <v>0.11139414448383952</v>
      </c>
      <c r="AJ27" s="65">
        <v>9.3942395181371339</v>
      </c>
      <c r="AK27" s="65">
        <v>1.9830164819825846</v>
      </c>
      <c r="AL27" s="65">
        <v>0.28199778918881907</v>
      </c>
      <c r="AM27" s="65">
        <v>0.20171372109235808</v>
      </c>
      <c r="AN27" s="291">
        <v>72.094102175114088</v>
      </c>
      <c r="AO27" s="291">
        <v>413.95367808099445</v>
      </c>
      <c r="AP27" s="383">
        <v>98.141759000000022</v>
      </c>
    </row>
    <row r="28" spans="1:42" ht="14.45" customHeight="1">
      <c r="A28" s="293" t="s">
        <v>531</v>
      </c>
      <c r="B28" s="288">
        <v>8</v>
      </c>
      <c r="C28" s="311" t="s">
        <v>523</v>
      </c>
      <c r="D28" s="289">
        <v>43316</v>
      </c>
      <c r="E28" s="291">
        <v>93</v>
      </c>
      <c r="F28" s="65">
        <v>0.2</v>
      </c>
      <c r="G28" s="311" t="s">
        <v>405</v>
      </c>
      <c r="H28" s="294" t="s">
        <v>132</v>
      </c>
      <c r="I28" s="295">
        <v>107.5</v>
      </c>
      <c r="J28" s="296">
        <v>70</v>
      </c>
      <c r="K28" s="297">
        <v>1.199170978165991E-2</v>
      </c>
      <c r="L28" s="320" t="s">
        <v>64</v>
      </c>
      <c r="M28" s="321">
        <v>89.599747308476509</v>
      </c>
      <c r="N28" s="291">
        <f t="shared" si="3"/>
        <v>1307.4867910936189</v>
      </c>
      <c r="O28" s="291">
        <v>1064.1522451333531</v>
      </c>
      <c r="P28" s="65">
        <v>0.65</v>
      </c>
      <c r="Q28" s="330">
        <v>0.53846153846153832</v>
      </c>
      <c r="R28" s="339">
        <v>102.67548837417007</v>
      </c>
      <c r="S28" s="340" t="s">
        <v>419</v>
      </c>
      <c r="T28" s="340">
        <v>9.9453810160312628E-3</v>
      </c>
      <c r="U28" s="341">
        <v>7.4999999999999997E-3</v>
      </c>
      <c r="V28" s="339">
        <v>9.8868933419766158E-2</v>
      </c>
      <c r="W28" s="296" t="s">
        <v>423</v>
      </c>
      <c r="X28" s="296">
        <v>47.50664277208692</v>
      </c>
      <c r="Y28" s="355">
        <v>32.505097009883301</v>
      </c>
      <c r="Z28" s="355">
        <v>89</v>
      </c>
      <c r="AA28" s="355">
        <v>107.5</v>
      </c>
      <c r="AB28" s="321">
        <f t="shared" si="4"/>
        <v>0.39391138307959994</v>
      </c>
      <c r="AC28" s="356">
        <f t="shared" si="5"/>
        <v>0.47120189444525096</v>
      </c>
      <c r="AD28" s="352">
        <v>48.175468979404492</v>
      </c>
      <c r="AE28" s="65">
        <v>1.9685161224923278</v>
      </c>
      <c r="AF28" s="65">
        <v>11.84922293916126</v>
      </c>
      <c r="AG28" s="65">
        <v>11.542206663176218</v>
      </c>
      <c r="AH28" s="65">
        <v>14.60133289022979</v>
      </c>
      <c r="AI28" s="65">
        <v>0.10434540098838026</v>
      </c>
      <c r="AJ28" s="65">
        <v>9.199451746754411</v>
      </c>
      <c r="AK28" s="65">
        <v>1.8842371447709436</v>
      </c>
      <c r="AL28" s="65">
        <v>0.39129525370642604</v>
      </c>
      <c r="AM28" s="65">
        <v>0.22775390408040697</v>
      </c>
      <c r="AN28" s="291">
        <v>133.9759762649546</v>
      </c>
      <c r="AO28" s="291">
        <v>517.7664735122803</v>
      </c>
      <c r="AP28" s="383">
        <v>98.965724999999992</v>
      </c>
    </row>
    <row r="29" spans="1:42" ht="14.45" customHeight="1">
      <c r="A29" s="293" t="s">
        <v>532</v>
      </c>
      <c r="B29" s="288">
        <v>8</v>
      </c>
      <c r="C29" s="311" t="s">
        <v>523</v>
      </c>
      <c r="D29" s="289">
        <v>43316</v>
      </c>
      <c r="E29" s="291">
        <v>93</v>
      </c>
      <c r="F29" s="65">
        <v>0.2</v>
      </c>
      <c r="G29" s="311" t="s">
        <v>405</v>
      </c>
      <c r="H29" s="294" t="s">
        <v>132</v>
      </c>
      <c r="I29" s="295">
        <v>74</v>
      </c>
      <c r="J29" s="296">
        <v>55</v>
      </c>
      <c r="K29" s="297">
        <v>8.3695327011411632E-3</v>
      </c>
      <c r="L29" s="320" t="s">
        <v>64</v>
      </c>
      <c r="M29" s="321">
        <v>89.448132667257809</v>
      </c>
      <c r="N29" s="291">
        <f t="shared" si="3"/>
        <v>1300.8630410312185</v>
      </c>
      <c r="O29" s="291">
        <v>1061.7787820065178</v>
      </c>
      <c r="P29" s="65">
        <v>0.65300000000000002</v>
      </c>
      <c r="Q29" s="330">
        <v>0.53139356814701366</v>
      </c>
      <c r="R29" s="339">
        <v>102.68536373162988</v>
      </c>
      <c r="S29" s="340" t="s">
        <v>419</v>
      </c>
      <c r="T29" s="340">
        <v>1.344927634706039E-2</v>
      </c>
      <c r="U29" s="341">
        <v>7.4999999999999997E-3</v>
      </c>
      <c r="V29" s="339" t="s">
        <v>64</v>
      </c>
      <c r="W29" s="296" t="s">
        <v>64</v>
      </c>
      <c r="X29" s="296">
        <v>46.162175835601907</v>
      </c>
      <c r="Y29" s="355">
        <v>22.720161948198403</v>
      </c>
      <c r="Z29" s="355">
        <v>87</v>
      </c>
      <c r="AA29" s="355">
        <v>51.5</v>
      </c>
      <c r="AB29" s="321">
        <f t="shared" si="4"/>
        <v>0.38514448640519994</v>
      </c>
      <c r="AC29" s="356">
        <f t="shared" si="5"/>
        <v>0.22580666169405106</v>
      </c>
      <c r="AD29" s="352">
        <v>48.475333195318619</v>
      </c>
      <c r="AE29" s="65">
        <v>1.8732731785577352</v>
      </c>
      <c r="AF29" s="65">
        <v>11.88981637167068</v>
      </c>
      <c r="AG29" s="65">
        <v>11.540647080755797</v>
      </c>
      <c r="AH29" s="65">
        <v>14.271793086130275</v>
      </c>
      <c r="AI29" s="65">
        <v>9.9332643105096818E-2</v>
      </c>
      <c r="AJ29" s="65">
        <v>9.178737566923493</v>
      </c>
      <c r="AK29" s="65">
        <v>2.0087267827919577</v>
      </c>
      <c r="AL29" s="65">
        <v>0.37927009185582422</v>
      </c>
      <c r="AM29" s="65">
        <v>0.22876608715113209</v>
      </c>
      <c r="AN29" s="291">
        <v>142.96393419062585</v>
      </c>
      <c r="AO29" s="291">
        <v>447.82437784868733</v>
      </c>
      <c r="AP29" s="383">
        <v>99.541288000000023</v>
      </c>
    </row>
    <row r="30" spans="1:42" ht="14.45" customHeight="1">
      <c r="A30" s="293" t="s">
        <v>533</v>
      </c>
      <c r="B30" s="288">
        <v>8</v>
      </c>
      <c r="C30" s="311" t="s">
        <v>523</v>
      </c>
      <c r="D30" s="289">
        <v>43316</v>
      </c>
      <c r="E30" s="291">
        <v>93</v>
      </c>
      <c r="F30" s="65">
        <v>0.2</v>
      </c>
      <c r="G30" s="311" t="s">
        <v>405</v>
      </c>
      <c r="H30" s="294" t="s">
        <v>132</v>
      </c>
      <c r="I30" s="295">
        <v>53.5</v>
      </c>
      <c r="J30" s="296">
        <v>32.5</v>
      </c>
      <c r="K30" s="297">
        <v>7.9526706447773293E-2</v>
      </c>
      <c r="L30" s="320" t="s">
        <v>64</v>
      </c>
      <c r="M30" s="321">
        <v>89.288719259208463</v>
      </c>
      <c r="N30" s="291">
        <f t="shared" si="3"/>
        <v>1297.8444590424497</v>
      </c>
      <c r="O30" s="291">
        <v>1082.0300760238038</v>
      </c>
      <c r="P30" s="65">
        <v>0.68250000000000011</v>
      </c>
      <c r="Q30" s="330">
        <v>0.46520146520146488</v>
      </c>
      <c r="R30" s="339">
        <v>102.71598155802008</v>
      </c>
      <c r="S30" s="340" t="s">
        <v>419</v>
      </c>
      <c r="T30" s="340">
        <v>2.4312848564221667E-2</v>
      </c>
      <c r="U30" s="341">
        <v>7.4999999999999997E-3</v>
      </c>
      <c r="V30" s="339">
        <v>0.2727119015168139</v>
      </c>
      <c r="W30" s="296" t="s">
        <v>423</v>
      </c>
      <c r="X30" s="296">
        <v>526.1862833514341</v>
      </c>
      <c r="Y30" s="355">
        <v>231.32476566830312</v>
      </c>
      <c r="Z30" s="355">
        <v>967</v>
      </c>
      <c r="AA30" s="355">
        <v>459</v>
      </c>
      <c r="AB30" s="321">
        <f t="shared" si="4"/>
        <v>3.9160468335091991</v>
      </c>
      <c r="AC30" s="356">
        <f t="shared" si="5"/>
        <v>1.7018543322288338</v>
      </c>
      <c r="AD30" s="352">
        <v>48.429437243866509</v>
      </c>
      <c r="AE30" s="65">
        <v>2.0852524935818693</v>
      </c>
      <c r="AF30" s="65">
        <v>11.681126877545598</v>
      </c>
      <c r="AG30" s="65">
        <v>11.546157454837822</v>
      </c>
      <c r="AH30" s="65">
        <v>14.121614877733812</v>
      </c>
      <c r="AI30" s="65">
        <v>0.11138740461385348</v>
      </c>
      <c r="AJ30" s="65">
        <v>9.6585925171922486</v>
      </c>
      <c r="AK30" s="65">
        <v>1.8439131169185206</v>
      </c>
      <c r="AL30" s="65">
        <v>0.28749992271954072</v>
      </c>
      <c r="AM30" s="65">
        <v>0.18464218422476611</v>
      </c>
      <c r="AN30" s="291">
        <v>111.62455543042115</v>
      </c>
      <c r="AO30" s="291">
        <v>392.13451222401977</v>
      </c>
      <c r="AP30" s="383">
        <v>98.933223999999981</v>
      </c>
    </row>
    <row r="31" spans="1:42" ht="14.45" customHeight="1">
      <c r="A31" s="299" t="s">
        <v>534</v>
      </c>
      <c r="B31" s="288">
        <v>8</v>
      </c>
      <c r="C31" s="311" t="s">
        <v>523</v>
      </c>
      <c r="D31" s="289">
        <v>43316</v>
      </c>
      <c r="E31" s="291">
        <v>93</v>
      </c>
      <c r="F31" s="65">
        <v>0.2</v>
      </c>
      <c r="G31" s="311" t="s">
        <v>405</v>
      </c>
      <c r="H31" s="294" t="s">
        <v>132</v>
      </c>
      <c r="I31" s="295">
        <v>26.5</v>
      </c>
      <c r="J31" s="296">
        <v>21.5</v>
      </c>
      <c r="K31" s="300">
        <v>7.0037790316591561E-2</v>
      </c>
      <c r="L31" s="320" t="s">
        <v>64</v>
      </c>
      <c r="M31" s="321" t="s">
        <v>64</v>
      </c>
      <c r="N31" s="291" t="s">
        <v>64</v>
      </c>
      <c r="O31" s="291" t="s">
        <v>64</v>
      </c>
      <c r="P31" s="65" t="s">
        <v>64</v>
      </c>
      <c r="Q31" s="330" t="s">
        <v>64</v>
      </c>
      <c r="R31" s="339">
        <v>102.68438173030995</v>
      </c>
      <c r="S31" s="340" t="s">
        <v>419</v>
      </c>
      <c r="T31" s="340">
        <v>1.3100850494737415E-2</v>
      </c>
      <c r="U31" s="341">
        <v>7.4999999999999997E-3</v>
      </c>
      <c r="V31" s="339" t="s">
        <v>64</v>
      </c>
      <c r="W31" s="296" t="s">
        <v>64</v>
      </c>
      <c r="X31" s="296">
        <v>254.53363804171036</v>
      </c>
      <c r="Y31" s="355">
        <v>202.71543647472427</v>
      </c>
      <c r="Z31" s="355">
        <v>474</v>
      </c>
      <c r="AA31" s="355">
        <v>732</v>
      </c>
      <c r="AB31" s="321">
        <f t="shared" si="4"/>
        <v>2.0135466146015997</v>
      </c>
      <c r="AC31" s="356">
        <f t="shared" si="5"/>
        <v>2.9850926890176197</v>
      </c>
      <c r="AD31" s="352" t="s">
        <v>64</v>
      </c>
      <c r="AE31" s="65" t="s">
        <v>64</v>
      </c>
      <c r="AF31" s="65" t="s">
        <v>64</v>
      </c>
      <c r="AG31" s="65" t="s">
        <v>64</v>
      </c>
      <c r="AH31" s="65" t="s">
        <v>64</v>
      </c>
      <c r="AI31" s="65" t="s">
        <v>64</v>
      </c>
      <c r="AJ31" s="65" t="s">
        <v>64</v>
      </c>
      <c r="AK31" s="65" t="s">
        <v>64</v>
      </c>
      <c r="AL31" s="65" t="s">
        <v>64</v>
      </c>
      <c r="AM31" s="65" t="s">
        <v>64</v>
      </c>
      <c r="AN31" s="291" t="s">
        <v>64</v>
      </c>
      <c r="AO31" s="291" t="s">
        <v>64</v>
      </c>
      <c r="AP31" s="383" t="s">
        <v>64</v>
      </c>
    </row>
    <row r="32" spans="1:42" ht="14.45" customHeight="1">
      <c r="A32" s="299" t="s">
        <v>535</v>
      </c>
      <c r="B32" s="288">
        <v>8</v>
      </c>
      <c r="C32" s="311" t="s">
        <v>523</v>
      </c>
      <c r="D32" s="289">
        <v>43316</v>
      </c>
      <c r="E32" s="291">
        <v>93</v>
      </c>
      <c r="F32" s="65">
        <v>0.2</v>
      </c>
      <c r="G32" s="311" t="s">
        <v>405</v>
      </c>
      <c r="H32" s="294" t="s">
        <v>132</v>
      </c>
      <c r="I32" s="295">
        <v>25</v>
      </c>
      <c r="J32" s="296">
        <v>19</v>
      </c>
      <c r="K32" s="300">
        <v>2.3886605916128761E-2</v>
      </c>
      <c r="L32" s="320" t="s">
        <v>64</v>
      </c>
      <c r="M32" s="321" t="s">
        <v>64</v>
      </c>
      <c r="N32" s="291" t="s">
        <v>64</v>
      </c>
      <c r="O32" s="291" t="s">
        <v>64</v>
      </c>
      <c r="P32" s="65" t="s">
        <v>64</v>
      </c>
      <c r="Q32" s="330" t="s">
        <v>64</v>
      </c>
      <c r="R32" s="339">
        <v>102.68741928092004</v>
      </c>
      <c r="S32" s="340" t="s">
        <v>419</v>
      </c>
      <c r="T32" s="340">
        <v>1.4178609901804862E-2</v>
      </c>
      <c r="U32" s="341">
        <v>7.4999999999999997E-3</v>
      </c>
      <c r="V32" s="339" t="s">
        <v>64</v>
      </c>
      <c r="W32" s="296" t="s">
        <v>64</v>
      </c>
      <c r="X32" s="296">
        <v>102.55930330685497</v>
      </c>
      <c r="Y32" s="355">
        <v>65.923415819090081</v>
      </c>
      <c r="Z32" s="355">
        <v>197</v>
      </c>
      <c r="AA32" s="355">
        <v>195.5</v>
      </c>
      <c r="AB32" s="321">
        <f t="shared" si="4"/>
        <v>0.86167739631319995</v>
      </c>
      <c r="AC32" s="356">
        <f t="shared" si="5"/>
        <v>0.8373778523564539</v>
      </c>
      <c r="AD32" s="352" t="s">
        <v>64</v>
      </c>
      <c r="AE32" s="65" t="s">
        <v>64</v>
      </c>
      <c r="AF32" s="65" t="s">
        <v>64</v>
      </c>
      <c r="AG32" s="65" t="s">
        <v>64</v>
      </c>
      <c r="AH32" s="65" t="s">
        <v>64</v>
      </c>
      <c r="AI32" s="65" t="s">
        <v>64</v>
      </c>
      <c r="AJ32" s="65" t="s">
        <v>64</v>
      </c>
      <c r="AK32" s="65" t="s">
        <v>64</v>
      </c>
      <c r="AL32" s="65" t="s">
        <v>64</v>
      </c>
      <c r="AM32" s="65" t="s">
        <v>64</v>
      </c>
      <c r="AN32" s="291" t="s">
        <v>64</v>
      </c>
      <c r="AO32" s="291" t="s">
        <v>64</v>
      </c>
      <c r="AP32" s="383" t="s">
        <v>64</v>
      </c>
    </row>
    <row r="33" spans="1:42" ht="14.45" customHeight="1">
      <c r="A33" s="299" t="s">
        <v>536</v>
      </c>
      <c r="B33" s="288">
        <v>8</v>
      </c>
      <c r="C33" s="311" t="s">
        <v>523</v>
      </c>
      <c r="D33" s="289">
        <v>43316</v>
      </c>
      <c r="E33" s="291">
        <v>93</v>
      </c>
      <c r="F33" s="65">
        <v>0.2</v>
      </c>
      <c r="G33" s="311" t="s">
        <v>405</v>
      </c>
      <c r="H33" s="294" t="s">
        <v>132</v>
      </c>
      <c r="I33" s="295">
        <v>22.5</v>
      </c>
      <c r="J33" s="296">
        <v>19</v>
      </c>
      <c r="K33" s="300">
        <v>6.8307411658058773E-2</v>
      </c>
      <c r="L33" s="320" t="s">
        <v>64</v>
      </c>
      <c r="M33" s="321" t="s">
        <v>64</v>
      </c>
      <c r="N33" s="291" t="s">
        <v>64</v>
      </c>
      <c r="O33" s="291" t="s">
        <v>64</v>
      </c>
      <c r="P33" s="65" t="s">
        <v>64</v>
      </c>
      <c r="Q33" s="330" t="s">
        <v>64</v>
      </c>
      <c r="R33" s="339">
        <v>102.71682686063991</v>
      </c>
      <c r="S33" s="340" t="s">
        <v>419</v>
      </c>
      <c r="T33" s="340">
        <v>2.4612772077368561E-2</v>
      </c>
      <c r="U33" s="341">
        <v>7.4999999999999997E-3</v>
      </c>
      <c r="V33" s="339" t="s">
        <v>64</v>
      </c>
      <c r="W33" s="296" t="s">
        <v>64</v>
      </c>
      <c r="X33" s="296">
        <v>448.73050831208525</v>
      </c>
      <c r="Y33" s="355">
        <v>207.2004501888197</v>
      </c>
      <c r="Z33" s="355">
        <v>813</v>
      </c>
      <c r="AA33" s="355">
        <v>288.5</v>
      </c>
      <c r="AB33" s="321">
        <f t="shared" si="4"/>
        <v>3.3398526821147998</v>
      </c>
      <c r="AC33" s="356">
        <f t="shared" si="5"/>
        <v>1.0954411714759544</v>
      </c>
      <c r="AD33" s="352" t="s">
        <v>64</v>
      </c>
      <c r="AE33" s="65" t="s">
        <v>64</v>
      </c>
      <c r="AF33" s="65" t="s">
        <v>64</v>
      </c>
      <c r="AG33" s="65" t="s">
        <v>64</v>
      </c>
      <c r="AH33" s="65" t="s">
        <v>64</v>
      </c>
      <c r="AI33" s="65" t="s">
        <v>64</v>
      </c>
      <c r="AJ33" s="65" t="s">
        <v>64</v>
      </c>
      <c r="AK33" s="65" t="s">
        <v>64</v>
      </c>
      <c r="AL33" s="65" t="s">
        <v>64</v>
      </c>
      <c r="AM33" s="65" t="s">
        <v>64</v>
      </c>
      <c r="AN33" s="291" t="s">
        <v>64</v>
      </c>
      <c r="AO33" s="291" t="s">
        <v>64</v>
      </c>
      <c r="AP33" s="383" t="s">
        <v>64</v>
      </c>
    </row>
    <row r="34" spans="1:42" ht="14.45" customHeight="1">
      <c r="A34" s="299" t="s">
        <v>537</v>
      </c>
      <c r="B34" s="288">
        <v>8</v>
      </c>
      <c r="C34" s="311" t="s">
        <v>523</v>
      </c>
      <c r="D34" s="289">
        <v>43316</v>
      </c>
      <c r="E34" s="291">
        <v>93</v>
      </c>
      <c r="F34" s="65">
        <v>0.2</v>
      </c>
      <c r="G34" s="311" t="s">
        <v>405</v>
      </c>
      <c r="H34" s="294" t="s">
        <v>132</v>
      </c>
      <c r="I34" s="295">
        <v>35.5</v>
      </c>
      <c r="J34" s="296">
        <v>28</v>
      </c>
      <c r="K34" s="300">
        <v>3.2421949358282159E-2</v>
      </c>
      <c r="L34" s="320" t="s">
        <v>64</v>
      </c>
      <c r="M34" s="321" t="s">
        <v>64</v>
      </c>
      <c r="N34" s="291" t="s">
        <v>64</v>
      </c>
      <c r="O34" s="291" t="s">
        <v>64</v>
      </c>
      <c r="P34" s="65" t="s">
        <v>64</v>
      </c>
      <c r="Q34" s="330" t="s">
        <v>64</v>
      </c>
      <c r="R34" s="339">
        <v>102.64333788242993</v>
      </c>
      <c r="S34" s="340" t="s">
        <v>419</v>
      </c>
      <c r="T34" s="340">
        <v>-1.4619992592699305E-3</v>
      </c>
      <c r="U34" s="341">
        <v>7.4999999999999997E-3</v>
      </c>
      <c r="V34" s="339" t="s">
        <v>64</v>
      </c>
      <c r="W34" s="296" t="s">
        <v>64</v>
      </c>
      <c r="X34" s="296">
        <v>8.4557075624550819</v>
      </c>
      <c r="Y34" s="355">
        <v>89.162227741423393</v>
      </c>
      <c r="Z34" s="355">
        <v>19</v>
      </c>
      <c r="AA34" s="355">
        <v>224.5</v>
      </c>
      <c r="AB34" s="321">
        <f t="shared" si="4"/>
        <v>8.4749680355599988E-2</v>
      </c>
      <c r="AC34" s="356">
        <f t="shared" si="5"/>
        <v>1.0000332416903497</v>
      </c>
      <c r="AD34" s="352" t="s">
        <v>64</v>
      </c>
      <c r="AE34" s="65" t="s">
        <v>64</v>
      </c>
      <c r="AF34" s="65" t="s">
        <v>64</v>
      </c>
      <c r="AG34" s="65" t="s">
        <v>64</v>
      </c>
      <c r="AH34" s="65" t="s">
        <v>64</v>
      </c>
      <c r="AI34" s="65" t="s">
        <v>64</v>
      </c>
      <c r="AJ34" s="65" t="s">
        <v>64</v>
      </c>
      <c r="AK34" s="65" t="s">
        <v>64</v>
      </c>
      <c r="AL34" s="65" t="s">
        <v>64</v>
      </c>
      <c r="AM34" s="65" t="s">
        <v>64</v>
      </c>
      <c r="AN34" s="291" t="s">
        <v>64</v>
      </c>
      <c r="AO34" s="291" t="s">
        <v>64</v>
      </c>
      <c r="AP34" s="383" t="s">
        <v>64</v>
      </c>
    </row>
    <row r="35" spans="1:42" ht="14.45" customHeight="1">
      <c r="A35" s="299" t="s">
        <v>538</v>
      </c>
      <c r="B35" s="288">
        <v>8</v>
      </c>
      <c r="C35" s="311" t="s">
        <v>523</v>
      </c>
      <c r="D35" s="289">
        <v>43316</v>
      </c>
      <c r="E35" s="291">
        <v>93</v>
      </c>
      <c r="F35" s="65">
        <v>0.2</v>
      </c>
      <c r="G35" s="311" t="s">
        <v>405</v>
      </c>
      <c r="H35" s="294" t="s">
        <v>132</v>
      </c>
      <c r="I35" s="295">
        <v>49</v>
      </c>
      <c r="J35" s="296">
        <v>31</v>
      </c>
      <c r="K35" s="300">
        <v>5.6887514182710631E-2</v>
      </c>
      <c r="L35" s="320" t="s">
        <v>64</v>
      </c>
      <c r="M35" s="321" t="s">
        <v>64</v>
      </c>
      <c r="N35" s="291" t="s">
        <v>64</v>
      </c>
      <c r="O35" s="291" t="s">
        <v>64</v>
      </c>
      <c r="P35" s="65" t="s">
        <v>64</v>
      </c>
      <c r="Q35" s="330" t="s">
        <v>64</v>
      </c>
      <c r="R35" s="339">
        <v>102.65311535548994</v>
      </c>
      <c r="S35" s="340" t="s">
        <v>419</v>
      </c>
      <c r="T35" s="340">
        <v>2.0071655121043364E-3</v>
      </c>
      <c r="U35" s="341">
        <v>7.4999999999999997E-3</v>
      </c>
      <c r="V35" s="339" t="s">
        <v>64</v>
      </c>
      <c r="W35" s="296" t="s">
        <v>64</v>
      </c>
      <c r="X35" s="296">
        <v>48.875526863046481</v>
      </c>
      <c r="Y35" s="355">
        <v>160.49642548985145</v>
      </c>
      <c r="Z35" s="355">
        <v>97</v>
      </c>
      <c r="AA35" s="355">
        <v>764.5</v>
      </c>
      <c r="AB35" s="321">
        <f t="shared" si="4"/>
        <v>0.42894039963319996</v>
      </c>
      <c r="AC35" s="356">
        <f t="shared" si="5"/>
        <v>3.3750783687395511</v>
      </c>
      <c r="AD35" s="352" t="s">
        <v>64</v>
      </c>
      <c r="AE35" s="65" t="s">
        <v>64</v>
      </c>
      <c r="AF35" s="65" t="s">
        <v>64</v>
      </c>
      <c r="AG35" s="65" t="s">
        <v>64</v>
      </c>
      <c r="AH35" s="65" t="s">
        <v>64</v>
      </c>
      <c r="AI35" s="65" t="s">
        <v>64</v>
      </c>
      <c r="AJ35" s="65" t="s">
        <v>64</v>
      </c>
      <c r="AK35" s="65" t="s">
        <v>64</v>
      </c>
      <c r="AL35" s="65" t="s">
        <v>64</v>
      </c>
      <c r="AM35" s="65" t="s">
        <v>64</v>
      </c>
      <c r="AN35" s="291" t="s">
        <v>64</v>
      </c>
      <c r="AO35" s="291" t="s">
        <v>64</v>
      </c>
      <c r="AP35" s="383" t="s">
        <v>64</v>
      </c>
    </row>
    <row r="36" spans="1:42" ht="14.45" customHeight="1">
      <c r="A36" s="299" t="s">
        <v>539</v>
      </c>
      <c r="B36" s="288">
        <v>8</v>
      </c>
      <c r="C36" s="311" t="s">
        <v>523</v>
      </c>
      <c r="D36" s="289">
        <v>43316</v>
      </c>
      <c r="E36" s="291">
        <v>93</v>
      </c>
      <c r="F36" s="65">
        <v>0.2</v>
      </c>
      <c r="G36" s="311" t="s">
        <v>405</v>
      </c>
      <c r="H36" s="294" t="s">
        <v>132</v>
      </c>
      <c r="I36" s="295">
        <v>50</v>
      </c>
      <c r="J36" s="296">
        <v>30</v>
      </c>
      <c r="K36" s="300">
        <v>5.0854122565574381E-2</v>
      </c>
      <c r="L36" s="320" t="s">
        <v>64</v>
      </c>
      <c r="M36" s="321" t="s">
        <v>64</v>
      </c>
      <c r="N36" s="291" t="s">
        <v>64</v>
      </c>
      <c r="O36" s="291" t="s">
        <v>64</v>
      </c>
      <c r="P36" s="65" t="s">
        <v>64</v>
      </c>
      <c r="Q36" s="330" t="s">
        <v>64</v>
      </c>
      <c r="R36" s="339">
        <v>102.67620537568332</v>
      </c>
      <c r="S36" s="340">
        <v>5.1897256374629627E-3</v>
      </c>
      <c r="T36" s="340">
        <v>1.0199781756957313E-2</v>
      </c>
      <c r="U36" s="341">
        <v>1.8413769328793044E-3</v>
      </c>
      <c r="V36" s="339" t="s">
        <v>64</v>
      </c>
      <c r="W36" s="296" t="s">
        <v>64</v>
      </c>
      <c r="X36" s="296">
        <v>149.96890478864142</v>
      </c>
      <c r="Y36" s="355">
        <v>36.2612577408226</v>
      </c>
      <c r="Z36" s="355">
        <v>286</v>
      </c>
      <c r="AA36" s="355">
        <v>82</v>
      </c>
      <c r="AB36" s="321">
        <f t="shared" si="4"/>
        <v>1.2390566892703998</v>
      </c>
      <c r="AC36" s="356">
        <f t="shared" si="5"/>
        <v>0.34446452258558224</v>
      </c>
      <c r="AD36" s="352" t="s">
        <v>64</v>
      </c>
      <c r="AE36" s="65" t="s">
        <v>64</v>
      </c>
      <c r="AF36" s="65" t="s">
        <v>64</v>
      </c>
      <c r="AG36" s="65" t="s">
        <v>64</v>
      </c>
      <c r="AH36" s="65" t="s">
        <v>64</v>
      </c>
      <c r="AI36" s="65" t="s">
        <v>64</v>
      </c>
      <c r="AJ36" s="65" t="s">
        <v>64</v>
      </c>
      <c r="AK36" s="65" t="s">
        <v>64</v>
      </c>
      <c r="AL36" s="65" t="s">
        <v>64</v>
      </c>
      <c r="AM36" s="65" t="s">
        <v>64</v>
      </c>
      <c r="AN36" s="291" t="s">
        <v>64</v>
      </c>
      <c r="AO36" s="291" t="s">
        <v>64</v>
      </c>
      <c r="AP36" s="383" t="s">
        <v>64</v>
      </c>
    </row>
    <row r="37" spans="1:42" ht="14.45" customHeight="1">
      <c r="A37" s="299" t="s">
        <v>540</v>
      </c>
      <c r="B37" s="288">
        <v>8</v>
      </c>
      <c r="C37" s="311" t="s">
        <v>523</v>
      </c>
      <c r="D37" s="289">
        <v>43316</v>
      </c>
      <c r="E37" s="291">
        <v>93</v>
      </c>
      <c r="F37" s="65">
        <v>0.2</v>
      </c>
      <c r="G37" s="311" t="s">
        <v>405</v>
      </c>
      <c r="H37" s="294" t="s">
        <v>132</v>
      </c>
      <c r="I37" s="295">
        <v>27.5</v>
      </c>
      <c r="J37" s="296">
        <v>21.25</v>
      </c>
      <c r="K37" s="300">
        <v>5.1364888303569368E-2</v>
      </c>
      <c r="L37" s="320" t="s">
        <v>64</v>
      </c>
      <c r="M37" s="321" t="s">
        <v>64</v>
      </c>
      <c r="N37" s="291" t="s">
        <v>64</v>
      </c>
      <c r="O37" s="291" t="s">
        <v>64</v>
      </c>
      <c r="P37" s="65" t="s">
        <v>64</v>
      </c>
      <c r="Q37" s="330" t="s">
        <v>64</v>
      </c>
      <c r="R37" s="339">
        <v>102.64469103839497</v>
      </c>
      <c r="S37" s="340">
        <v>1.179635475780982E-2</v>
      </c>
      <c r="T37" s="340">
        <v>-9.8188328500015132E-4</v>
      </c>
      <c r="U37" s="341">
        <v>4.1854882243271873E-3</v>
      </c>
      <c r="V37" s="339" t="s">
        <v>64</v>
      </c>
      <c r="W37" s="296" t="s">
        <v>64</v>
      </c>
      <c r="X37" s="296">
        <v>7.4631014381088017</v>
      </c>
      <c r="Y37" s="355">
        <v>80.412350393579956</v>
      </c>
      <c r="Z37" s="355">
        <v>17</v>
      </c>
      <c r="AA37" s="355">
        <v>218.5</v>
      </c>
      <c r="AB37" s="321">
        <f t="shared" si="4"/>
        <v>7.5845604849199999E-2</v>
      </c>
      <c r="AC37" s="356">
        <f t="shared" si="5"/>
        <v>0.97370104148494985</v>
      </c>
      <c r="AD37" s="352" t="s">
        <v>64</v>
      </c>
      <c r="AE37" s="65" t="s">
        <v>64</v>
      </c>
      <c r="AF37" s="65" t="s">
        <v>64</v>
      </c>
      <c r="AG37" s="65" t="s">
        <v>64</v>
      </c>
      <c r="AH37" s="65" t="s">
        <v>64</v>
      </c>
      <c r="AI37" s="65" t="s">
        <v>64</v>
      </c>
      <c r="AJ37" s="65" t="s">
        <v>64</v>
      </c>
      <c r="AK37" s="65" t="s">
        <v>64</v>
      </c>
      <c r="AL37" s="65" t="s">
        <v>64</v>
      </c>
      <c r="AM37" s="65" t="s">
        <v>64</v>
      </c>
      <c r="AN37" s="291" t="s">
        <v>64</v>
      </c>
      <c r="AO37" s="291" t="s">
        <v>64</v>
      </c>
      <c r="AP37" s="383" t="s">
        <v>64</v>
      </c>
    </row>
    <row r="38" spans="1:42" ht="14.45" customHeight="1">
      <c r="A38" s="299" t="s">
        <v>541</v>
      </c>
      <c r="B38" s="288">
        <v>8</v>
      </c>
      <c r="C38" s="311" t="s">
        <v>523</v>
      </c>
      <c r="D38" s="289">
        <v>43316</v>
      </c>
      <c r="E38" s="291">
        <v>93</v>
      </c>
      <c r="F38" s="65">
        <v>0.2</v>
      </c>
      <c r="G38" s="311" t="s">
        <v>405</v>
      </c>
      <c r="H38" s="294" t="s">
        <v>132</v>
      </c>
      <c r="I38" s="295">
        <v>31</v>
      </c>
      <c r="J38" s="296">
        <v>21.5</v>
      </c>
      <c r="K38" s="300">
        <v>1.591921657003792E-2</v>
      </c>
      <c r="L38" s="320" t="s">
        <v>64</v>
      </c>
      <c r="M38" s="321" t="s">
        <v>64</v>
      </c>
      <c r="N38" s="291" t="s">
        <v>64</v>
      </c>
      <c r="O38" s="291" t="s">
        <v>64</v>
      </c>
      <c r="P38" s="65" t="s">
        <v>64</v>
      </c>
      <c r="Q38" s="330" t="s">
        <v>64</v>
      </c>
      <c r="R38" s="339">
        <v>102.70171440504987</v>
      </c>
      <c r="S38" s="340" t="s">
        <v>419</v>
      </c>
      <c r="T38" s="340">
        <v>1.9250691484558047E-2</v>
      </c>
      <c r="U38" s="341">
        <v>7.4999999999999997E-3</v>
      </c>
      <c r="V38" s="339" t="s">
        <v>64</v>
      </c>
      <c r="W38" s="296" t="s">
        <v>64</v>
      </c>
      <c r="X38" s="296">
        <v>94.110712585091832</v>
      </c>
      <c r="Y38" s="355">
        <v>43.734056156345005</v>
      </c>
      <c r="Z38" s="355">
        <v>182</v>
      </c>
      <c r="AA38" s="355">
        <v>99.5</v>
      </c>
      <c r="AB38" s="321">
        <f t="shared" si="4"/>
        <v>0.79736385485119987</v>
      </c>
      <c r="AC38" s="356">
        <f t="shared" si="5"/>
        <v>0.42737071067904253</v>
      </c>
      <c r="AD38" s="352" t="s">
        <v>64</v>
      </c>
      <c r="AE38" s="65" t="s">
        <v>64</v>
      </c>
      <c r="AF38" s="65" t="s">
        <v>64</v>
      </c>
      <c r="AG38" s="65" t="s">
        <v>64</v>
      </c>
      <c r="AH38" s="65" t="s">
        <v>64</v>
      </c>
      <c r="AI38" s="65" t="s">
        <v>64</v>
      </c>
      <c r="AJ38" s="65" t="s">
        <v>64</v>
      </c>
      <c r="AK38" s="65" t="s">
        <v>64</v>
      </c>
      <c r="AL38" s="65" t="s">
        <v>64</v>
      </c>
      <c r="AM38" s="65" t="s">
        <v>64</v>
      </c>
      <c r="AN38" s="291" t="s">
        <v>64</v>
      </c>
      <c r="AO38" s="291" t="s">
        <v>64</v>
      </c>
      <c r="AP38" s="383" t="s">
        <v>64</v>
      </c>
    </row>
    <row r="39" spans="1:42" ht="14.45" customHeight="1">
      <c r="A39" s="299" t="s">
        <v>542</v>
      </c>
      <c r="B39" s="288">
        <v>8</v>
      </c>
      <c r="C39" s="311" t="s">
        <v>523</v>
      </c>
      <c r="D39" s="289">
        <v>43316</v>
      </c>
      <c r="E39" s="291">
        <v>93</v>
      </c>
      <c r="F39" s="65">
        <v>0.2</v>
      </c>
      <c r="G39" s="311" t="s">
        <v>405</v>
      </c>
      <c r="H39" s="294" t="s">
        <v>132</v>
      </c>
      <c r="I39" s="295">
        <v>38.75</v>
      </c>
      <c r="J39" s="296">
        <v>31.25</v>
      </c>
      <c r="K39" s="300">
        <v>4.6099568062327761E-2</v>
      </c>
      <c r="L39" s="320" t="s">
        <v>64</v>
      </c>
      <c r="M39" s="321" t="s">
        <v>64</v>
      </c>
      <c r="N39" s="291" t="s">
        <v>64</v>
      </c>
      <c r="O39" s="291" t="s">
        <v>64</v>
      </c>
      <c r="P39" s="65" t="s">
        <v>64</v>
      </c>
      <c r="Q39" s="330" t="s">
        <v>64</v>
      </c>
      <c r="R39" s="339">
        <v>102.64804018673999</v>
      </c>
      <c r="S39" s="340" t="s">
        <v>419</v>
      </c>
      <c r="T39" s="340">
        <v>2.0643473759207609E-4</v>
      </c>
      <c r="U39" s="341">
        <v>7.4999999999999997E-3</v>
      </c>
      <c r="V39" s="339" t="s">
        <v>64</v>
      </c>
      <c r="W39" s="296" t="s">
        <v>64</v>
      </c>
      <c r="X39" s="296">
        <v>22.471266367490948</v>
      </c>
      <c r="Y39" s="355">
        <v>128.58327462272567</v>
      </c>
      <c r="Z39" s="355">
        <v>46</v>
      </c>
      <c r="AA39" s="355">
        <v>428</v>
      </c>
      <c r="AB39" s="321">
        <f t="shared" si="4"/>
        <v>0.20456696498239998</v>
      </c>
      <c r="AC39" s="356">
        <f t="shared" si="5"/>
        <v>1.8989890864064023</v>
      </c>
      <c r="AD39" s="352" t="s">
        <v>64</v>
      </c>
      <c r="AE39" s="65" t="s">
        <v>64</v>
      </c>
      <c r="AF39" s="65" t="s">
        <v>64</v>
      </c>
      <c r="AG39" s="65" t="s">
        <v>64</v>
      </c>
      <c r="AH39" s="65" t="s">
        <v>64</v>
      </c>
      <c r="AI39" s="65" t="s">
        <v>64</v>
      </c>
      <c r="AJ39" s="65" t="s">
        <v>64</v>
      </c>
      <c r="AK39" s="65" t="s">
        <v>64</v>
      </c>
      <c r="AL39" s="65" t="s">
        <v>64</v>
      </c>
      <c r="AM39" s="65" t="s">
        <v>64</v>
      </c>
      <c r="AN39" s="291" t="s">
        <v>64</v>
      </c>
      <c r="AO39" s="291" t="s">
        <v>64</v>
      </c>
      <c r="AP39" s="383" t="s">
        <v>64</v>
      </c>
    </row>
    <row r="40" spans="1:42" ht="14.45" customHeight="1" thickBot="1">
      <c r="A40" s="363"/>
      <c r="B40" s="364"/>
      <c r="C40" s="364"/>
      <c r="D40" s="365"/>
      <c r="E40" s="366"/>
      <c r="F40" s="367"/>
      <c r="G40" s="44"/>
      <c r="H40" s="368"/>
      <c r="I40" s="369"/>
      <c r="J40" s="370"/>
      <c r="K40" s="371"/>
      <c r="L40" s="372"/>
      <c r="M40" s="373"/>
      <c r="N40" s="366"/>
      <c r="O40" s="366"/>
      <c r="P40" s="367"/>
      <c r="Q40" s="374"/>
      <c r="R40" s="375"/>
      <c r="S40" s="376"/>
      <c r="T40" s="376"/>
      <c r="U40" s="377"/>
      <c r="V40" s="375"/>
      <c r="W40" s="370"/>
      <c r="X40" s="370"/>
      <c r="Y40" s="378"/>
      <c r="Z40" s="378"/>
      <c r="AA40" s="378"/>
      <c r="AB40" s="373"/>
      <c r="AC40" s="379"/>
      <c r="AD40" s="380"/>
      <c r="AE40" s="367"/>
      <c r="AF40" s="367"/>
      <c r="AG40" s="367"/>
      <c r="AH40" s="367"/>
      <c r="AI40" s="367"/>
      <c r="AJ40" s="367"/>
      <c r="AK40" s="367"/>
      <c r="AL40" s="367"/>
      <c r="AM40" s="367"/>
      <c r="AN40" s="366"/>
      <c r="AO40" s="366"/>
      <c r="AP40" s="385"/>
    </row>
    <row r="41" spans="1:42" ht="14.45" customHeight="1" thickTop="1"/>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D8F98-11DD-4676-8661-40EE19036181}">
  <dimension ref="A1:BQ486"/>
  <sheetViews>
    <sheetView zoomScale="90" zoomScaleNormal="90" workbookViewId="0">
      <selection sqref="A1:K2"/>
    </sheetView>
  </sheetViews>
  <sheetFormatPr defaultRowHeight="14.45" customHeight="1"/>
  <cols>
    <col min="11" max="11" width="11" customWidth="1"/>
    <col min="13" max="13" width="23.7109375" customWidth="1"/>
    <col min="14" max="14" width="15.5703125" style="34" customWidth="1"/>
    <col min="15" max="15" width="19.42578125" style="34" customWidth="1"/>
    <col min="16" max="16" width="21.140625" customWidth="1"/>
    <col min="17" max="17" width="13.140625" bestFit="1" customWidth="1"/>
    <col min="18" max="18" width="12.7109375" customWidth="1"/>
    <col min="19" max="19" width="14.140625" customWidth="1"/>
    <col min="20" max="20" width="14.85546875" customWidth="1"/>
    <col min="21" max="21" width="10.7109375" customWidth="1"/>
    <col min="22" max="22" width="10.7109375" style="203" customWidth="1"/>
    <col min="23" max="23" width="14.7109375" customWidth="1"/>
    <col min="24" max="24" width="14.7109375" style="3" customWidth="1"/>
    <col min="25" max="25" width="13.28515625" customWidth="1"/>
    <col min="26" max="26" width="13.28515625" style="3" customWidth="1"/>
    <col min="27" max="27" width="19.42578125" customWidth="1"/>
    <col min="28" max="28" width="12.42578125" style="24" customWidth="1"/>
    <col min="29" max="29" width="15.42578125" customWidth="1"/>
    <col min="30" max="30" width="10.85546875" customWidth="1"/>
    <col min="31" max="31" width="12.85546875" style="24" customWidth="1"/>
    <col min="33" max="33" width="14.7109375" customWidth="1"/>
    <col min="34" max="34" width="11.7109375" style="64" customWidth="1"/>
    <col min="35" max="35" width="13" customWidth="1"/>
    <col min="36" max="36" width="8.42578125" customWidth="1"/>
    <col min="37" max="37" width="7.7109375" customWidth="1"/>
    <col min="38" max="38" width="9.5703125" bestFit="1" customWidth="1"/>
    <col min="39" max="41" width="8.42578125" customWidth="1"/>
    <col min="42" max="42" width="7.7109375" customWidth="1"/>
    <col min="44" max="44" width="7.7109375" customWidth="1"/>
    <col min="46" max="46" width="6.42578125" customWidth="1"/>
    <col min="47" max="47" width="7.85546875" style="1" customWidth="1"/>
    <col min="48" max="48" width="10.7109375" customWidth="1"/>
    <col min="49" max="49" width="11.28515625" customWidth="1"/>
    <col min="50" max="50" width="11" customWidth="1"/>
    <col min="66" max="66" width="10.140625" customWidth="1"/>
    <col min="67" max="67" width="11.7109375" customWidth="1"/>
    <col min="68" max="68" width="10.140625" customWidth="1"/>
    <col min="69" max="69" width="12.140625" customWidth="1"/>
  </cols>
  <sheetData>
    <row r="1" spans="1:69" ht="14.45" customHeight="1">
      <c r="A1" s="1121" t="s">
        <v>730</v>
      </c>
      <c r="B1" s="1121"/>
      <c r="C1" s="1121"/>
      <c r="D1" s="1121"/>
      <c r="E1" s="1121"/>
      <c r="F1" s="1121"/>
      <c r="G1" s="1121"/>
      <c r="H1" s="1121"/>
      <c r="I1" s="1121"/>
      <c r="J1" s="1121"/>
      <c r="K1" s="1121"/>
    </row>
    <row r="2" spans="1:69" ht="26.45" customHeight="1">
      <c r="A2" s="1121"/>
      <c r="B2" s="1121"/>
      <c r="C2" s="1121"/>
      <c r="D2" s="1121"/>
      <c r="E2" s="1121"/>
      <c r="F2" s="1121"/>
      <c r="G2" s="1121"/>
      <c r="H2" s="1121"/>
      <c r="I2" s="1121"/>
      <c r="J2" s="1121"/>
      <c r="K2" s="1121"/>
      <c r="L2" s="81"/>
      <c r="M2" s="159" t="s">
        <v>450</v>
      </c>
      <c r="N2" s="15"/>
      <c r="O2" s="7"/>
      <c r="P2" s="138"/>
      <c r="Q2" s="138"/>
      <c r="R2" s="81"/>
      <c r="S2" s="81"/>
      <c r="T2" s="139"/>
      <c r="U2" s="139"/>
      <c r="V2" s="204"/>
      <c r="W2" s="140" t="s">
        <v>430</v>
      </c>
      <c r="X2" s="182"/>
      <c r="Y2" s="139"/>
      <c r="Z2" s="141"/>
      <c r="AA2" s="140" t="s">
        <v>433</v>
      </c>
      <c r="AB2" s="143" t="s">
        <v>436</v>
      </c>
      <c r="AC2" s="140" t="s">
        <v>428</v>
      </c>
      <c r="AD2" s="142"/>
      <c r="AE2" s="143" t="s">
        <v>437</v>
      </c>
      <c r="AF2" s="142"/>
      <c r="AG2" s="144" t="s">
        <v>363</v>
      </c>
      <c r="AH2" s="124"/>
      <c r="AI2" s="140" t="s">
        <v>370</v>
      </c>
      <c r="AK2" s="145"/>
      <c r="AL2" s="145"/>
      <c r="AM2" s="145"/>
      <c r="AN2" s="145"/>
      <c r="AO2" s="145"/>
      <c r="AP2" s="145"/>
      <c r="AQ2" s="145"/>
      <c r="AR2" s="145"/>
      <c r="AS2" s="145"/>
      <c r="AT2" s="145"/>
      <c r="AU2" s="272"/>
      <c r="AV2" s="145"/>
      <c r="AW2" s="145"/>
      <c r="AX2" s="145"/>
      <c r="AY2" s="146" t="s">
        <v>445</v>
      </c>
      <c r="AZ2" s="145"/>
      <c r="BA2" s="85" t="s">
        <v>367</v>
      </c>
      <c r="BB2" s="124"/>
      <c r="BC2" s="124"/>
      <c r="BD2" s="86"/>
      <c r="BE2" s="86"/>
      <c r="BF2" s="124"/>
      <c r="BG2" s="86"/>
      <c r="BH2" s="124"/>
      <c r="BI2" s="86"/>
      <c r="BJ2" s="86"/>
      <c r="BK2" s="124"/>
      <c r="BL2" s="86"/>
      <c r="BM2" s="124"/>
      <c r="BN2" s="86"/>
      <c r="BO2" s="86"/>
      <c r="BP2" s="86"/>
      <c r="BQ2" s="124"/>
    </row>
    <row r="3" spans="1:69" ht="42" customHeight="1">
      <c r="A3" s="138"/>
      <c r="B3" s="82"/>
      <c r="C3" s="82"/>
      <c r="D3" s="82"/>
      <c r="E3" s="82"/>
      <c r="F3" s="82"/>
      <c r="G3" s="82"/>
      <c r="H3" s="82"/>
      <c r="I3" s="82"/>
      <c r="J3" s="82"/>
      <c r="K3" s="82"/>
      <c r="L3" s="147" t="s">
        <v>409</v>
      </c>
      <c r="M3" s="148" t="s">
        <v>406</v>
      </c>
      <c r="N3" s="147" t="s">
        <v>407</v>
      </c>
      <c r="O3" s="147" t="s">
        <v>411</v>
      </c>
      <c r="P3" s="147" t="s">
        <v>404</v>
      </c>
      <c r="Q3" s="147" t="s">
        <v>467</v>
      </c>
      <c r="R3" s="147" t="s">
        <v>466</v>
      </c>
      <c r="S3" s="147" t="s">
        <v>1014</v>
      </c>
      <c r="T3" s="149" t="s">
        <v>446</v>
      </c>
      <c r="U3" s="147" t="s">
        <v>364</v>
      </c>
      <c r="V3" s="1026" t="s">
        <v>62</v>
      </c>
      <c r="W3" s="1027" t="s">
        <v>432</v>
      </c>
      <c r="X3" s="174" t="s">
        <v>461</v>
      </c>
      <c r="Y3" s="149" t="s">
        <v>431</v>
      </c>
      <c r="Z3" s="172" t="s">
        <v>434</v>
      </c>
      <c r="AA3" s="173" t="s">
        <v>429</v>
      </c>
      <c r="AB3" s="175" t="s">
        <v>931</v>
      </c>
      <c r="AC3" s="173" t="s">
        <v>366</v>
      </c>
      <c r="AD3" s="174" t="s">
        <v>453</v>
      </c>
      <c r="AE3" s="175" t="s">
        <v>932</v>
      </c>
      <c r="AF3" s="176" t="s">
        <v>452</v>
      </c>
      <c r="AG3" s="125" t="s">
        <v>439</v>
      </c>
      <c r="AH3" s="1033" t="s">
        <v>440</v>
      </c>
      <c r="AI3" s="1029" t="s">
        <v>412</v>
      </c>
      <c r="AJ3" s="180" t="s">
        <v>129</v>
      </c>
      <c r="AK3" s="180" t="s">
        <v>390</v>
      </c>
      <c r="AL3" s="180" t="s">
        <v>386</v>
      </c>
      <c r="AM3" s="180" t="s">
        <v>130</v>
      </c>
      <c r="AN3" s="180" t="s">
        <v>443</v>
      </c>
      <c r="AO3" s="180" t="s">
        <v>127</v>
      </c>
      <c r="AP3" s="180" t="s">
        <v>387</v>
      </c>
      <c r="AQ3" s="180" t="s">
        <v>388</v>
      </c>
      <c r="AR3" s="180" t="s">
        <v>389</v>
      </c>
      <c r="AS3" s="180" t="s">
        <v>391</v>
      </c>
      <c r="AT3" s="180" t="s">
        <v>392</v>
      </c>
      <c r="AU3" s="180" t="s">
        <v>155</v>
      </c>
      <c r="AV3" s="1030" t="s">
        <v>393</v>
      </c>
      <c r="AW3" s="1030" t="s">
        <v>417</v>
      </c>
      <c r="AX3" s="1030" t="s">
        <v>418</v>
      </c>
      <c r="AY3" s="1029" t="s">
        <v>131</v>
      </c>
      <c r="AZ3" s="180" t="s">
        <v>128</v>
      </c>
      <c r="BA3" s="1031" t="s">
        <v>394</v>
      </c>
      <c r="BB3" s="1032" t="s">
        <v>400</v>
      </c>
      <c r="BC3" s="1032" t="s">
        <v>395</v>
      </c>
      <c r="BD3" s="1032" t="s">
        <v>441</v>
      </c>
      <c r="BE3" s="1032" t="s">
        <v>442</v>
      </c>
      <c r="BF3" s="1032" t="s">
        <v>396</v>
      </c>
      <c r="BG3" s="1032" t="s">
        <v>397</v>
      </c>
      <c r="BH3" s="1032" t="s">
        <v>398</v>
      </c>
      <c r="BI3" s="1032" t="s">
        <v>399</v>
      </c>
      <c r="BJ3" s="1032" t="s">
        <v>401</v>
      </c>
      <c r="BK3" s="1032" t="s">
        <v>424</v>
      </c>
      <c r="BL3" s="1032" t="s">
        <v>465</v>
      </c>
      <c r="BM3" s="1032" t="s">
        <v>403</v>
      </c>
      <c r="BN3" s="1032" t="s">
        <v>420</v>
      </c>
      <c r="BO3" s="1032" t="s">
        <v>421</v>
      </c>
      <c r="BP3" s="1032" t="s">
        <v>422</v>
      </c>
      <c r="BQ3" s="1033" t="s">
        <v>447</v>
      </c>
    </row>
    <row r="4" spans="1:69" ht="14.45" customHeight="1">
      <c r="A4" s="1131" t="s">
        <v>1476</v>
      </c>
      <c r="B4" s="1132"/>
      <c r="C4" s="1132"/>
      <c r="D4" s="1132"/>
      <c r="E4" s="1132"/>
      <c r="F4" s="1132"/>
      <c r="G4" s="1132"/>
      <c r="H4" s="1133"/>
      <c r="I4" s="81"/>
      <c r="J4" s="81"/>
      <c r="K4" s="81"/>
      <c r="L4" s="127" t="s">
        <v>64</v>
      </c>
      <c r="M4" s="762" t="s">
        <v>408</v>
      </c>
      <c r="N4" s="15" t="s">
        <v>448</v>
      </c>
      <c r="O4" s="15" t="s">
        <v>371</v>
      </c>
      <c r="P4" s="15" t="s">
        <v>405</v>
      </c>
      <c r="Q4" s="15" t="s">
        <v>468</v>
      </c>
      <c r="R4" s="15">
        <v>85.9</v>
      </c>
      <c r="S4" s="127" t="s">
        <v>64</v>
      </c>
      <c r="T4" s="14">
        <f xml:space="preserve"> 20.1*AO4+1014</f>
        <v>1225.3626299647485</v>
      </c>
      <c r="U4" s="15" t="s">
        <v>300</v>
      </c>
      <c r="V4" s="87">
        <v>0</v>
      </c>
      <c r="W4" s="57" t="s">
        <v>64</v>
      </c>
      <c r="X4" s="87" t="s">
        <v>64</v>
      </c>
      <c r="Y4" s="87" t="s">
        <v>64</v>
      </c>
      <c r="Z4" s="87" t="s">
        <v>64</v>
      </c>
      <c r="AA4" s="57" t="s">
        <v>64</v>
      </c>
      <c r="AB4" s="47" t="s">
        <v>64</v>
      </c>
      <c r="AC4" s="57">
        <v>450.78529246898961</v>
      </c>
      <c r="AD4" s="115">
        <v>123.27812404593101</v>
      </c>
      <c r="AE4" s="114">
        <f t="shared" ref="AE4:AE18" si="0">(0.0684*((AC4/1000))^3-0.5008*((AC4/1000))^2+4.47*((AC4/1000)))</f>
        <v>1.9195096397149953</v>
      </c>
      <c r="AF4" s="47">
        <f t="shared" ref="AF4:AF18" si="1">AVERAGE(((((0.0684*(((AC4+AD4)/1000))^3-0.5008*(((AC4+AD4)/1000))^2+4.47*(((AC4+AD4)/1000))))) - AC4), (AC4 - (((0.0684*(((AC4-AD4)/1000))^3-0.5008*(((AC4-AD4)/1000))^2+4.47*(((AC4-AD4)/1000)))))))</f>
        <v>0.50066095306780767</v>
      </c>
      <c r="AG4" s="83">
        <v>567</v>
      </c>
      <c r="AH4" s="84">
        <v>163</v>
      </c>
      <c r="AI4" s="8">
        <v>0.98899999999999999</v>
      </c>
      <c r="AJ4" s="9">
        <v>48.729313554301918</v>
      </c>
      <c r="AK4" s="9">
        <v>2.5548990394120326</v>
      </c>
      <c r="AL4" s="9">
        <v>12.071847628301457</v>
      </c>
      <c r="AM4" s="9">
        <v>12.258079433774753</v>
      </c>
      <c r="AN4" s="19" t="s">
        <v>64</v>
      </c>
      <c r="AO4" s="9">
        <v>10.515553729589477</v>
      </c>
      <c r="AP4" s="9">
        <v>10.853790954665303</v>
      </c>
      <c r="AQ4" s="9">
        <v>2.0666697115496073</v>
      </c>
      <c r="AR4" s="9">
        <v>0.50634917920577327</v>
      </c>
      <c r="AS4" s="9">
        <v>0.26777113651836121</v>
      </c>
      <c r="AT4" s="6">
        <v>1493.4595983037641</v>
      </c>
      <c r="AU4" s="26">
        <v>0.6</v>
      </c>
      <c r="AV4" s="6">
        <v>209.07288474999413</v>
      </c>
      <c r="AW4" s="35" t="s">
        <v>64</v>
      </c>
      <c r="AX4" s="6">
        <f>AV4</f>
        <v>209.07288474999413</v>
      </c>
      <c r="AY4" s="150">
        <f>IF(ISNUMBER(AM4),(AM4/71.84)*(0.18/2)*159.69,"-")</f>
        <v>2.4523154709097175</v>
      </c>
      <c r="AZ4" s="9">
        <f>IF(ISNUMBER(AM4),(AM4/71.84)*(1-0.18)*71.84,"-")</f>
        <v>10.051625135695298</v>
      </c>
      <c r="BA4" s="83">
        <v>48.84</v>
      </c>
      <c r="BB4" s="84">
        <v>2.58</v>
      </c>
      <c r="BC4" s="84">
        <v>12.2</v>
      </c>
      <c r="BD4" s="84">
        <v>12.23</v>
      </c>
      <c r="BE4" s="92" t="s">
        <v>64</v>
      </c>
      <c r="BF4" s="84">
        <v>10.16</v>
      </c>
      <c r="BG4" s="84">
        <v>10.97</v>
      </c>
      <c r="BH4" s="84">
        <v>2.09</v>
      </c>
      <c r="BI4" s="84">
        <v>0.51</v>
      </c>
      <c r="BJ4" s="84">
        <v>0.27</v>
      </c>
      <c r="BK4" s="84">
        <v>0.15</v>
      </c>
      <c r="BL4" s="84">
        <v>96.46</v>
      </c>
      <c r="BM4" s="84">
        <v>0.6</v>
      </c>
      <c r="BN4" s="84">
        <v>210</v>
      </c>
      <c r="BO4" s="92" t="s">
        <v>64</v>
      </c>
      <c r="BP4" s="84">
        <f>BN4</f>
        <v>210</v>
      </c>
      <c r="BQ4" s="63">
        <v>64</v>
      </c>
    </row>
    <row r="5" spans="1:69" ht="14.45" customHeight="1">
      <c r="A5" s="1134"/>
      <c r="B5" s="1135"/>
      <c r="C5" s="1135"/>
      <c r="D5" s="1135"/>
      <c r="E5" s="1135"/>
      <c r="F5" s="1135"/>
      <c r="G5" s="1135"/>
      <c r="H5" s="1136"/>
      <c r="I5" s="81"/>
      <c r="J5" s="81"/>
      <c r="K5" s="81"/>
      <c r="L5" s="127" t="s">
        <v>64</v>
      </c>
      <c r="M5" s="763" t="s">
        <v>408</v>
      </c>
      <c r="N5" s="15" t="s">
        <v>448</v>
      </c>
      <c r="O5" s="15" t="s">
        <v>372</v>
      </c>
      <c r="P5" s="15" t="s">
        <v>405</v>
      </c>
      <c r="Q5" s="15" t="s">
        <v>468</v>
      </c>
      <c r="R5" s="15">
        <v>87.1</v>
      </c>
      <c r="S5" s="127" t="s">
        <v>64</v>
      </c>
      <c r="T5" s="14">
        <f t="shared" ref="T5:T18" si="2" xml:space="preserve"> 20.1*AO5+1014</f>
        <v>1243.9836646806548</v>
      </c>
      <c r="U5" s="15" t="s">
        <v>300</v>
      </c>
      <c r="V5" s="87">
        <v>0</v>
      </c>
      <c r="W5" s="184" t="s">
        <v>64</v>
      </c>
      <c r="X5" s="87" t="s">
        <v>64</v>
      </c>
      <c r="Y5" s="87" t="s">
        <v>64</v>
      </c>
      <c r="Z5" s="87" t="s">
        <v>64</v>
      </c>
      <c r="AA5" s="57" t="s">
        <v>64</v>
      </c>
      <c r="AB5" s="47" t="s">
        <v>64</v>
      </c>
      <c r="AC5" s="57">
        <v>380.48491689156248</v>
      </c>
      <c r="AD5" s="48">
        <v>166.47885616671488</v>
      </c>
      <c r="AE5" s="28">
        <f t="shared" si="0"/>
        <v>1.6320350091543514</v>
      </c>
      <c r="AF5" s="47">
        <f t="shared" si="1"/>
        <v>0.68597755515449421</v>
      </c>
      <c r="AG5" s="83">
        <v>436</v>
      </c>
      <c r="AH5" s="84">
        <v>190</v>
      </c>
      <c r="AI5" s="8">
        <v>0.95899999999999996</v>
      </c>
      <c r="AJ5" s="9">
        <v>50.591608697520719</v>
      </c>
      <c r="AK5" s="9">
        <v>1.740162821555711</v>
      </c>
      <c r="AL5" s="9">
        <v>11.076418330029666</v>
      </c>
      <c r="AM5" s="9">
        <v>11.998865751641373</v>
      </c>
      <c r="AN5" s="19" t="s">
        <v>64</v>
      </c>
      <c r="AO5" s="9">
        <v>11.441973367196752</v>
      </c>
      <c r="AP5" s="9">
        <v>10.849834629306265</v>
      </c>
      <c r="AQ5" s="9">
        <v>1.9083382794259676</v>
      </c>
      <c r="AR5" s="9">
        <v>0.16414730319072968</v>
      </c>
      <c r="AS5" s="9">
        <v>9.6675712308650602E-2</v>
      </c>
      <c r="AT5" s="6">
        <v>1158.9107959764201</v>
      </c>
      <c r="AU5" s="26">
        <v>0.62</v>
      </c>
      <c r="AV5" s="6">
        <v>151.62276325341</v>
      </c>
      <c r="AW5" s="6" t="s">
        <v>64</v>
      </c>
      <c r="AX5" s="6">
        <f t="shared" ref="AX5:AX18" si="3">AV5</f>
        <v>151.62276325341</v>
      </c>
      <c r="AY5" s="8">
        <f t="shared" ref="AY5:AY11" si="4">IF(ISNUMBER(AM5),(AM5/71.84)*(0.18/2)*159.69,"-")</f>
        <v>2.4004579408291336</v>
      </c>
      <c r="AZ5" s="9">
        <f t="shared" ref="AZ5:AZ11" si="5">IF(ISNUMBER(AM5),(AM5/71.84)*(1-0.18)*71.84,"-")</f>
        <v>9.8390699163459256</v>
      </c>
      <c r="BA5" s="83">
        <v>51.04</v>
      </c>
      <c r="BB5" s="84">
        <v>1.81</v>
      </c>
      <c r="BC5" s="84">
        <v>11.55</v>
      </c>
      <c r="BD5" s="84">
        <v>11.97</v>
      </c>
      <c r="BE5" s="92" t="s">
        <v>64</v>
      </c>
      <c r="BF5" s="84">
        <v>9.9499999999999993</v>
      </c>
      <c r="BG5" s="84">
        <v>11.3</v>
      </c>
      <c r="BH5" s="84">
        <v>1.99</v>
      </c>
      <c r="BI5" s="84">
        <v>0.17</v>
      </c>
      <c r="BJ5" s="84">
        <v>0.1</v>
      </c>
      <c r="BK5" s="84">
        <v>0.12</v>
      </c>
      <c r="BL5" s="84">
        <v>99.21</v>
      </c>
      <c r="BM5" s="84">
        <v>0.62</v>
      </c>
      <c r="BN5" s="84">
        <v>157</v>
      </c>
      <c r="BO5" s="84" t="s">
        <v>64</v>
      </c>
      <c r="BP5" s="84">
        <f t="shared" ref="BP5:BP18" si="6">BN5</f>
        <v>157</v>
      </c>
      <c r="BQ5" s="63">
        <v>75</v>
      </c>
    </row>
    <row r="6" spans="1:69" ht="14.45" customHeight="1">
      <c r="A6" s="1134"/>
      <c r="B6" s="1135"/>
      <c r="C6" s="1135"/>
      <c r="D6" s="1135"/>
      <c r="E6" s="1135"/>
      <c r="F6" s="1135"/>
      <c r="G6" s="1135"/>
      <c r="H6" s="1136"/>
      <c r="I6" s="81"/>
      <c r="J6" s="81"/>
      <c r="K6" s="81"/>
      <c r="L6" s="127" t="s">
        <v>64</v>
      </c>
      <c r="M6" s="763" t="s">
        <v>408</v>
      </c>
      <c r="N6" s="15" t="s">
        <v>448</v>
      </c>
      <c r="O6" s="15" t="s">
        <v>373</v>
      </c>
      <c r="P6" s="15" t="s">
        <v>405</v>
      </c>
      <c r="Q6" s="15" t="s">
        <v>468</v>
      </c>
      <c r="R6" s="15">
        <v>87</v>
      </c>
      <c r="S6" s="127" t="s">
        <v>64</v>
      </c>
      <c r="T6" s="14">
        <f t="shared" si="2"/>
        <v>1240.7560923795941</v>
      </c>
      <c r="U6" s="15" t="s">
        <v>300</v>
      </c>
      <c r="V6" s="87">
        <v>0</v>
      </c>
      <c r="W6" s="57" t="s">
        <v>64</v>
      </c>
      <c r="X6" s="87" t="s">
        <v>64</v>
      </c>
      <c r="Y6" s="87" t="s">
        <v>64</v>
      </c>
      <c r="Z6" s="87" t="s">
        <v>64</v>
      </c>
      <c r="AA6" s="57" t="s">
        <v>64</v>
      </c>
      <c r="AB6" s="47" t="s">
        <v>64</v>
      </c>
      <c r="AC6" s="57">
        <v>74.576193496001039</v>
      </c>
      <c r="AD6" s="48">
        <v>49.923663921223131</v>
      </c>
      <c r="AE6" s="28">
        <f t="shared" si="0"/>
        <v>0.33059870115240314</v>
      </c>
      <c r="AF6" s="47">
        <f t="shared" si="1"/>
        <v>0.21949518980634508</v>
      </c>
      <c r="AG6" s="83">
        <v>110</v>
      </c>
      <c r="AH6" s="84">
        <v>124</v>
      </c>
      <c r="AI6" s="8">
        <v>0.96099999999999997</v>
      </c>
      <c r="AJ6" s="9">
        <v>49.59181815422901</v>
      </c>
      <c r="AK6" s="9">
        <v>1.8178507480804833</v>
      </c>
      <c r="AL6" s="9">
        <v>11.65164436081859</v>
      </c>
      <c r="AM6" s="9">
        <v>11.974345745703216</v>
      </c>
      <c r="AN6" s="19" t="s">
        <v>64</v>
      </c>
      <c r="AO6" s="9">
        <v>11.28139763082557</v>
      </c>
      <c r="AP6" s="9">
        <v>11.326919769759138</v>
      </c>
      <c r="AQ6" s="9">
        <v>2.0070205254266438</v>
      </c>
      <c r="AR6" s="9">
        <v>0.20333222056993722</v>
      </c>
      <c r="AS6" s="9">
        <v>0.14567084458741766</v>
      </c>
      <c r="AT6" s="35" t="s">
        <v>64</v>
      </c>
      <c r="AU6" s="26">
        <v>0.95</v>
      </c>
      <c r="AV6" s="6" t="s">
        <v>292</v>
      </c>
      <c r="AW6" s="6" t="s">
        <v>64</v>
      </c>
      <c r="AX6" s="6" t="str">
        <f t="shared" si="3"/>
        <v>bdl</v>
      </c>
      <c r="AY6" s="8">
        <f t="shared" si="4"/>
        <v>2.3955525402536355</v>
      </c>
      <c r="AZ6" s="9">
        <f t="shared" si="5"/>
        <v>9.8189635114766372</v>
      </c>
      <c r="BA6" s="83">
        <v>49.98</v>
      </c>
      <c r="BB6" s="84">
        <v>1.89</v>
      </c>
      <c r="BC6" s="84">
        <v>12.14</v>
      </c>
      <c r="BD6" s="84">
        <v>11.94</v>
      </c>
      <c r="BE6" s="92" t="s">
        <v>64</v>
      </c>
      <c r="BF6" s="84">
        <v>9.82</v>
      </c>
      <c r="BG6" s="84">
        <v>11.78</v>
      </c>
      <c r="BH6" s="84">
        <v>2.09</v>
      </c>
      <c r="BI6" s="84">
        <v>0.21</v>
      </c>
      <c r="BJ6" s="84">
        <v>0.15</v>
      </c>
      <c r="BK6" s="92" t="s">
        <v>64</v>
      </c>
      <c r="BL6" s="84">
        <v>99.4</v>
      </c>
      <c r="BM6" s="84">
        <v>0.95</v>
      </c>
      <c r="BN6" s="84" t="s">
        <v>292</v>
      </c>
      <c r="BO6" s="84" t="s">
        <v>64</v>
      </c>
      <c r="BP6" s="84" t="s">
        <v>292</v>
      </c>
      <c r="BQ6" s="63">
        <v>50</v>
      </c>
    </row>
    <row r="7" spans="1:69" ht="14.45" customHeight="1">
      <c r="A7" s="1134"/>
      <c r="B7" s="1135"/>
      <c r="C7" s="1135"/>
      <c r="D7" s="1135"/>
      <c r="E7" s="1135"/>
      <c r="F7" s="1135"/>
      <c r="G7" s="1135"/>
      <c r="H7" s="1136"/>
      <c r="I7" s="81"/>
      <c r="J7" s="81"/>
      <c r="K7" s="81"/>
      <c r="L7" s="127" t="s">
        <v>64</v>
      </c>
      <c r="M7" s="763" t="s">
        <v>408</v>
      </c>
      <c r="N7" s="15" t="s">
        <v>448</v>
      </c>
      <c r="O7" s="15" t="s">
        <v>374</v>
      </c>
      <c r="P7" s="15" t="s">
        <v>405</v>
      </c>
      <c r="Q7" s="15" t="s">
        <v>468</v>
      </c>
      <c r="R7" s="15">
        <v>86.7</v>
      </c>
      <c r="S7" s="127" t="s">
        <v>64</v>
      </c>
      <c r="T7" s="14">
        <f t="shared" si="2"/>
        <v>1256.6939046434502</v>
      </c>
      <c r="U7" s="15" t="s">
        <v>300</v>
      </c>
      <c r="V7" s="87">
        <v>0</v>
      </c>
      <c r="W7" s="57" t="s">
        <v>64</v>
      </c>
      <c r="X7" s="87" t="s">
        <v>64</v>
      </c>
      <c r="Y7" s="87" t="s">
        <v>64</v>
      </c>
      <c r="Z7" s="87" t="s">
        <v>64</v>
      </c>
      <c r="AA7" s="57" t="s">
        <v>64</v>
      </c>
      <c r="AB7" s="47" t="s">
        <v>64</v>
      </c>
      <c r="AC7" s="57">
        <v>327.74430217374868</v>
      </c>
      <c r="AD7" s="48">
        <v>81.983679582697263</v>
      </c>
      <c r="AE7" s="28">
        <f t="shared" si="0"/>
        <v>1.4136309619613199</v>
      </c>
      <c r="AF7" s="47">
        <f t="shared" si="1"/>
        <v>0.34139913380633402</v>
      </c>
      <c r="AG7" s="83">
        <v>498</v>
      </c>
      <c r="AH7" s="84">
        <v>122</v>
      </c>
      <c r="AI7" s="8">
        <v>0.93500000000000005</v>
      </c>
      <c r="AJ7" s="9">
        <v>47.611539837048653</v>
      </c>
      <c r="AK7" s="9">
        <v>2.2488717664284184</v>
      </c>
      <c r="AL7" s="9">
        <v>11.244358832142092</v>
      </c>
      <c r="AM7" s="9">
        <v>13.145310975513199</v>
      </c>
      <c r="AN7" s="19" t="s">
        <v>64</v>
      </c>
      <c r="AO7" s="9">
        <v>12.074323614101997</v>
      </c>
      <c r="AP7" s="9">
        <v>10.825846821797789</v>
      </c>
      <c r="AQ7" s="9">
        <v>1.9271721729348466</v>
      </c>
      <c r="AR7" s="9">
        <v>0.43263048780170021</v>
      </c>
      <c r="AS7" s="9">
        <v>0.38523274205186359</v>
      </c>
      <c r="AT7" s="6">
        <v>848.650568446119</v>
      </c>
      <c r="AU7" s="26">
        <v>0.73</v>
      </c>
      <c r="AV7" s="6">
        <v>164.06679268172169</v>
      </c>
      <c r="AW7" s="6" t="s">
        <v>64</v>
      </c>
      <c r="AX7" s="6">
        <f t="shared" si="3"/>
        <v>164.06679268172169</v>
      </c>
      <c r="AY7" s="8">
        <f t="shared" si="4"/>
        <v>2.6298124146878235</v>
      </c>
      <c r="AZ7" s="9">
        <f t="shared" si="5"/>
        <v>10.779154999920824</v>
      </c>
      <c r="BA7" s="83">
        <v>48.16</v>
      </c>
      <c r="BB7" s="84">
        <v>2.4</v>
      </c>
      <c r="BC7" s="84">
        <v>12.04</v>
      </c>
      <c r="BD7" s="84">
        <v>13.11</v>
      </c>
      <c r="BE7" s="92" t="s">
        <v>64</v>
      </c>
      <c r="BF7" s="84">
        <v>9.7100000000000009</v>
      </c>
      <c r="BG7" s="84">
        <v>11.56</v>
      </c>
      <c r="BH7" s="84">
        <v>2.06</v>
      </c>
      <c r="BI7" s="84">
        <v>0.46</v>
      </c>
      <c r="BJ7" s="84">
        <v>0.41</v>
      </c>
      <c r="BK7" s="84">
        <v>0.09</v>
      </c>
      <c r="BL7" s="84">
        <v>96.1</v>
      </c>
      <c r="BM7" s="84">
        <v>0.73</v>
      </c>
      <c r="BN7" s="84">
        <v>174</v>
      </c>
      <c r="BO7" s="84" t="s">
        <v>64</v>
      </c>
      <c r="BP7" s="84">
        <f t="shared" si="6"/>
        <v>174</v>
      </c>
      <c r="BQ7" s="63">
        <v>48</v>
      </c>
    </row>
    <row r="8" spans="1:69" ht="14.45" customHeight="1">
      <c r="A8" s="1134"/>
      <c r="B8" s="1135"/>
      <c r="C8" s="1135"/>
      <c r="D8" s="1135"/>
      <c r="E8" s="1135"/>
      <c r="F8" s="1135"/>
      <c r="G8" s="1135"/>
      <c r="H8" s="1136"/>
      <c r="I8" s="81"/>
      <c r="J8" s="81"/>
      <c r="K8" s="81"/>
      <c r="L8" s="127" t="s">
        <v>64</v>
      </c>
      <c r="M8" s="763" t="s">
        <v>408</v>
      </c>
      <c r="N8" s="15" t="s">
        <v>448</v>
      </c>
      <c r="O8" s="15" t="s">
        <v>492</v>
      </c>
      <c r="P8" s="15" t="s">
        <v>405</v>
      </c>
      <c r="Q8" s="15" t="s">
        <v>468</v>
      </c>
      <c r="R8" s="15">
        <v>86.8</v>
      </c>
      <c r="S8" s="127" t="s">
        <v>64</v>
      </c>
      <c r="T8" s="14">
        <f t="shared" si="2"/>
        <v>1238.567928876108</v>
      </c>
      <c r="U8" s="15" t="s">
        <v>300</v>
      </c>
      <c r="V8" s="87">
        <v>0</v>
      </c>
      <c r="W8" s="57" t="s">
        <v>64</v>
      </c>
      <c r="X8" s="87" t="s">
        <v>64</v>
      </c>
      <c r="Y8" s="87" t="s">
        <v>64</v>
      </c>
      <c r="Z8" s="87" t="s">
        <v>64</v>
      </c>
      <c r="AA8" s="57" t="s">
        <v>64</v>
      </c>
      <c r="AB8" s="47" t="s">
        <v>64</v>
      </c>
      <c r="AC8" s="57">
        <v>467.15579091483789</v>
      </c>
      <c r="AD8" s="48">
        <v>75.910204594147473</v>
      </c>
      <c r="AE8" s="28">
        <f t="shared" si="0"/>
        <v>1.9858678788392408</v>
      </c>
      <c r="AF8" s="47">
        <f t="shared" si="1"/>
        <v>0.30722929349443007</v>
      </c>
      <c r="AG8" s="83">
        <v>616</v>
      </c>
      <c r="AH8" s="84">
        <v>106</v>
      </c>
      <c r="AI8" s="8">
        <v>0.97899999999999998</v>
      </c>
      <c r="AJ8" s="9">
        <v>48.710031884718354</v>
      </c>
      <c r="AK8" s="9">
        <v>2.422813543261233</v>
      </c>
      <c r="AL8" s="9">
        <v>12.333591137931663</v>
      </c>
      <c r="AM8" s="9">
        <v>12.01538287539195</v>
      </c>
      <c r="AN8" s="19" t="s">
        <v>64</v>
      </c>
      <c r="AO8" s="9">
        <v>11.172533774930749</v>
      </c>
      <c r="AP8" s="9">
        <v>10.2360347744183</v>
      </c>
      <c r="AQ8" s="9">
        <v>2.1831503581838541</v>
      </c>
      <c r="AR8" s="9">
        <v>0.47227745294659945</v>
      </c>
      <c r="AS8" s="9">
        <v>0.32425019157527724</v>
      </c>
      <c r="AT8" s="6">
        <v>1084.4138045702107</v>
      </c>
      <c r="AU8" s="26">
        <v>0.6</v>
      </c>
      <c r="AV8" s="6">
        <v>225.75768540202787</v>
      </c>
      <c r="AW8" s="6" t="s">
        <v>64</v>
      </c>
      <c r="AX8" s="6">
        <f t="shared" si="3"/>
        <v>225.75768540202787</v>
      </c>
      <c r="AY8" s="8">
        <f t="shared" si="4"/>
        <v>2.4037623082324697</v>
      </c>
      <c r="AZ8" s="9">
        <f t="shared" si="5"/>
        <v>9.8526139578214007</v>
      </c>
      <c r="BA8" s="83">
        <v>48.91</v>
      </c>
      <c r="BB8" s="84">
        <v>2.4700000000000002</v>
      </c>
      <c r="BC8" s="84">
        <v>12.6</v>
      </c>
      <c r="BD8" s="84">
        <v>11.99</v>
      </c>
      <c r="BE8" s="92" t="s">
        <v>64</v>
      </c>
      <c r="BF8" s="84">
        <v>10.43</v>
      </c>
      <c r="BG8" s="84">
        <v>10.45</v>
      </c>
      <c r="BH8" s="84">
        <v>2.23</v>
      </c>
      <c r="BI8" s="84">
        <v>0.48</v>
      </c>
      <c r="BJ8" s="84">
        <v>0.33</v>
      </c>
      <c r="BK8" s="84">
        <v>0.11</v>
      </c>
      <c r="BL8" s="84">
        <v>101.01</v>
      </c>
      <c r="BM8" s="84">
        <v>0.6</v>
      </c>
      <c r="BN8" s="84">
        <v>229</v>
      </c>
      <c r="BO8" s="84" t="s">
        <v>64</v>
      </c>
      <c r="BP8" s="84">
        <f t="shared" si="6"/>
        <v>229</v>
      </c>
      <c r="BQ8" s="63">
        <v>41</v>
      </c>
    </row>
    <row r="9" spans="1:69" ht="14.45" customHeight="1">
      <c r="A9" s="1134"/>
      <c r="B9" s="1135"/>
      <c r="C9" s="1135"/>
      <c r="D9" s="1135"/>
      <c r="E9" s="1135"/>
      <c r="F9" s="1135"/>
      <c r="G9" s="1135"/>
      <c r="H9" s="1136"/>
      <c r="I9" s="81"/>
      <c r="J9" s="81"/>
      <c r="K9" s="81"/>
      <c r="L9" s="127" t="s">
        <v>64</v>
      </c>
      <c r="M9" s="763" t="s">
        <v>408</v>
      </c>
      <c r="N9" s="15" t="s">
        <v>448</v>
      </c>
      <c r="O9" s="15" t="s">
        <v>493</v>
      </c>
      <c r="P9" s="15" t="s">
        <v>405</v>
      </c>
      <c r="Q9" s="15" t="s">
        <v>468</v>
      </c>
      <c r="R9" s="15">
        <v>86.8</v>
      </c>
      <c r="S9" s="127" t="s">
        <v>64</v>
      </c>
      <c r="T9" s="14">
        <f t="shared" si="2"/>
        <v>1241.3075329389344</v>
      </c>
      <c r="U9" s="15" t="s">
        <v>300</v>
      </c>
      <c r="V9" s="87">
        <v>0</v>
      </c>
      <c r="W9" s="57" t="s">
        <v>64</v>
      </c>
      <c r="X9" s="87" t="s">
        <v>64</v>
      </c>
      <c r="Y9" s="87" t="s">
        <v>64</v>
      </c>
      <c r="Z9" s="87" t="s">
        <v>64</v>
      </c>
      <c r="AA9" s="57" t="s">
        <v>64</v>
      </c>
      <c r="AB9" s="47" t="s">
        <v>64</v>
      </c>
      <c r="AC9" s="57">
        <v>699.56471298166434</v>
      </c>
      <c r="AD9" s="48">
        <v>172.85421104246439</v>
      </c>
      <c r="AE9" s="28">
        <f t="shared" si="0"/>
        <v>2.9053848205447586</v>
      </c>
      <c r="AF9" s="47">
        <f t="shared" si="1"/>
        <v>0.66925393838033642</v>
      </c>
      <c r="AG9" s="83">
        <v>933</v>
      </c>
      <c r="AH9" s="84">
        <v>246</v>
      </c>
      <c r="AI9" s="8">
        <v>0.96599999999999997</v>
      </c>
      <c r="AJ9" s="9">
        <v>48.862976255915157</v>
      </c>
      <c r="AK9" s="9">
        <v>2.5674432723946272</v>
      </c>
      <c r="AL9" s="9">
        <v>11.13867644019677</v>
      </c>
      <c r="AM9" s="9">
        <v>12.235125743584121</v>
      </c>
      <c r="AN9" s="19" t="s">
        <v>64</v>
      </c>
      <c r="AO9" s="9">
        <v>11.308832484524098</v>
      </c>
      <c r="AP9" s="9">
        <v>11.073231807763181</v>
      </c>
      <c r="AQ9" s="9">
        <v>1.8918532975801978</v>
      </c>
      <c r="AR9" s="9">
        <v>0.49435868499833802</v>
      </c>
      <c r="AS9" s="9">
        <v>0.25271696524354959</v>
      </c>
      <c r="AT9" s="6">
        <v>1361.7147635417052</v>
      </c>
      <c r="AU9" s="26">
        <v>0.63</v>
      </c>
      <c r="AV9" s="6">
        <v>339.4401647825452</v>
      </c>
      <c r="AW9" s="6" t="s">
        <v>64</v>
      </c>
      <c r="AX9" s="6">
        <f t="shared" si="3"/>
        <v>339.4401647825452</v>
      </c>
      <c r="AY9" s="8">
        <f t="shared" si="4"/>
        <v>2.4477234228753524</v>
      </c>
      <c r="AZ9" s="9">
        <f t="shared" si="5"/>
        <v>10.03280310973898</v>
      </c>
      <c r="BA9" s="83">
        <v>49.19</v>
      </c>
      <c r="BB9" s="84">
        <v>2.65</v>
      </c>
      <c r="BC9" s="84">
        <v>11.54</v>
      </c>
      <c r="BD9" s="84">
        <v>12.21</v>
      </c>
      <c r="BE9" s="92" t="s">
        <v>64</v>
      </c>
      <c r="BF9" s="84">
        <v>10.08</v>
      </c>
      <c r="BG9" s="84">
        <v>11.46</v>
      </c>
      <c r="BH9" s="84">
        <v>1.96</v>
      </c>
      <c r="BI9" s="84">
        <v>0.51</v>
      </c>
      <c r="BJ9" s="84">
        <v>0.26</v>
      </c>
      <c r="BK9" s="84">
        <v>0.14000000000000001</v>
      </c>
      <c r="BL9" s="84">
        <v>96.68</v>
      </c>
      <c r="BM9" s="84">
        <v>0.63</v>
      </c>
      <c r="BN9" s="84">
        <v>349</v>
      </c>
      <c r="BO9" s="84" t="s">
        <v>64</v>
      </c>
      <c r="BP9" s="84">
        <f t="shared" si="6"/>
        <v>349</v>
      </c>
      <c r="BQ9" s="63">
        <v>93</v>
      </c>
    </row>
    <row r="10" spans="1:69" ht="14.45" customHeight="1">
      <c r="A10" s="1134"/>
      <c r="B10" s="1135"/>
      <c r="C10" s="1135"/>
      <c r="D10" s="1135"/>
      <c r="E10" s="1135"/>
      <c r="F10" s="1135"/>
      <c r="G10" s="1135"/>
      <c r="H10" s="1136"/>
      <c r="I10" s="81"/>
      <c r="J10" s="81"/>
      <c r="K10" s="81"/>
      <c r="L10" s="127" t="s">
        <v>64</v>
      </c>
      <c r="M10" s="763" t="s">
        <v>408</v>
      </c>
      <c r="N10" s="15" t="s">
        <v>448</v>
      </c>
      <c r="O10" s="15" t="s">
        <v>375</v>
      </c>
      <c r="P10" s="15" t="s">
        <v>405</v>
      </c>
      <c r="Q10" s="15" t="s">
        <v>468</v>
      </c>
      <c r="R10" s="15">
        <v>87.5</v>
      </c>
      <c r="S10" s="127" t="s">
        <v>64</v>
      </c>
      <c r="T10" s="14">
        <f t="shared" si="2"/>
        <v>1240.479923191662</v>
      </c>
      <c r="U10" s="15" t="s">
        <v>300</v>
      </c>
      <c r="V10" s="87">
        <v>0</v>
      </c>
      <c r="W10" s="57" t="s">
        <v>64</v>
      </c>
      <c r="X10" s="87" t="s">
        <v>64</v>
      </c>
      <c r="Y10" s="87" t="s">
        <v>64</v>
      </c>
      <c r="Z10" s="87" t="s">
        <v>64</v>
      </c>
      <c r="AA10" s="57" t="s">
        <v>64</v>
      </c>
      <c r="AB10" s="47" t="s">
        <v>64</v>
      </c>
      <c r="AC10" s="57">
        <v>42.239355598098037</v>
      </c>
      <c r="AD10" s="48">
        <v>83.852345373341691</v>
      </c>
      <c r="AE10" s="28">
        <f t="shared" si="0"/>
        <v>0.1879215653664095</v>
      </c>
      <c r="AF10" s="47">
        <f t="shared" si="1"/>
        <v>0.37134347454146521</v>
      </c>
      <c r="AG10" s="83">
        <v>54</v>
      </c>
      <c r="AH10" s="84">
        <v>206</v>
      </c>
      <c r="AI10" s="8">
        <v>0.86899999999999999</v>
      </c>
      <c r="AJ10" s="9">
        <v>49.681272848555537</v>
      </c>
      <c r="AK10" s="9">
        <v>2.2781162876325154</v>
      </c>
      <c r="AL10" s="9">
        <v>12.272205388484759</v>
      </c>
      <c r="AM10" s="9">
        <v>11.387558727475758</v>
      </c>
      <c r="AN10" s="19" t="s">
        <v>64</v>
      </c>
      <c r="AO10" s="9">
        <v>11.267657870231941</v>
      </c>
      <c r="AP10" s="9">
        <v>10.009202654286337</v>
      </c>
      <c r="AQ10" s="9">
        <v>2.325472088392678</v>
      </c>
      <c r="AR10" s="9">
        <v>0.44534604119131876</v>
      </c>
      <c r="AS10" s="9">
        <v>0.28816508547673564</v>
      </c>
      <c r="AT10" s="6">
        <v>437.79462343868795</v>
      </c>
      <c r="AU10" s="26">
        <v>0.66</v>
      </c>
      <c r="AV10" s="6" t="s">
        <v>292</v>
      </c>
      <c r="AW10" s="6" t="s">
        <v>64</v>
      </c>
      <c r="AX10" s="6" t="str">
        <f t="shared" si="3"/>
        <v>bdl</v>
      </c>
      <c r="AY10" s="8">
        <f t="shared" si="4"/>
        <v>2.2781616479280946</v>
      </c>
      <c r="AZ10" s="9">
        <f t="shared" si="5"/>
        <v>9.3377981565301216</v>
      </c>
      <c r="BA10" s="83">
        <v>51.24</v>
      </c>
      <c r="BB10" s="84">
        <v>2.6</v>
      </c>
      <c r="BC10" s="84">
        <v>14.13</v>
      </c>
      <c r="BD10" s="84">
        <v>10.49</v>
      </c>
      <c r="BE10" s="92" t="s">
        <v>64</v>
      </c>
      <c r="BF10" s="84">
        <v>6.5</v>
      </c>
      <c r="BG10" s="84">
        <v>11.47</v>
      </c>
      <c r="BH10" s="84">
        <v>2.68</v>
      </c>
      <c r="BI10" s="84">
        <v>0.51</v>
      </c>
      <c r="BJ10" s="84">
        <v>0.33</v>
      </c>
      <c r="BK10" s="84">
        <v>0.05</v>
      </c>
      <c r="BL10" s="84">
        <v>97.28</v>
      </c>
      <c r="BM10" s="84">
        <v>0.66</v>
      </c>
      <c r="BN10" s="84" t="s">
        <v>292</v>
      </c>
      <c r="BO10" s="84" t="s">
        <v>64</v>
      </c>
      <c r="BP10" s="84" t="s">
        <v>292</v>
      </c>
      <c r="BQ10" s="63">
        <v>84</v>
      </c>
    </row>
    <row r="11" spans="1:69" ht="14.45" customHeight="1">
      <c r="A11" s="1137"/>
      <c r="B11" s="1138"/>
      <c r="C11" s="1138"/>
      <c r="D11" s="1138"/>
      <c r="E11" s="1138"/>
      <c r="F11" s="1138"/>
      <c r="G11" s="1138"/>
      <c r="H11" s="1139"/>
      <c r="L11" s="38" t="s">
        <v>368</v>
      </c>
      <c r="M11" s="763" t="s">
        <v>408</v>
      </c>
      <c r="N11" s="15" t="s">
        <v>448</v>
      </c>
      <c r="O11" s="15" t="s">
        <v>376</v>
      </c>
      <c r="P11" s="15" t="s">
        <v>405</v>
      </c>
      <c r="Q11" s="15" t="s">
        <v>468</v>
      </c>
      <c r="R11" s="15">
        <v>86.4</v>
      </c>
      <c r="S11" s="127" t="s">
        <v>64</v>
      </c>
      <c r="T11" s="14">
        <f t="shared" si="2"/>
        <v>1235.9601558466838</v>
      </c>
      <c r="U11" s="15" t="s">
        <v>300</v>
      </c>
      <c r="V11" s="87">
        <v>0</v>
      </c>
      <c r="W11" s="57" t="s">
        <v>64</v>
      </c>
      <c r="X11" s="87" t="s">
        <v>64</v>
      </c>
      <c r="Y11" s="87" t="s">
        <v>64</v>
      </c>
      <c r="Z11" s="87" t="s">
        <v>64</v>
      </c>
      <c r="AA11" s="57" t="s">
        <v>64</v>
      </c>
      <c r="AB11" s="47" t="s">
        <v>64</v>
      </c>
      <c r="AC11" s="57">
        <v>435.81101593342112</v>
      </c>
      <c r="AD11" s="48">
        <v>60.951250361865249</v>
      </c>
      <c r="AE11" s="28">
        <f t="shared" si="0"/>
        <v>1.8586194257362796</v>
      </c>
      <c r="AF11" s="47">
        <f t="shared" si="1"/>
        <v>0.2482373572945562</v>
      </c>
      <c r="AG11" s="83">
        <v>544</v>
      </c>
      <c r="AH11" s="84">
        <v>77</v>
      </c>
      <c r="AI11" s="18">
        <v>0.95699999999999996</v>
      </c>
      <c r="AJ11" s="16">
        <v>49.478392321213377</v>
      </c>
      <c r="AK11" s="9">
        <v>2.0288400000000002</v>
      </c>
      <c r="AL11" s="16">
        <v>11.754237787950728</v>
      </c>
      <c r="AM11" s="16">
        <v>11.666943282637687</v>
      </c>
      <c r="AN11" s="151" t="s">
        <v>64</v>
      </c>
      <c r="AO11" s="16">
        <v>11.042793823218105</v>
      </c>
      <c r="AP11" s="16">
        <v>10.813104308362606</v>
      </c>
      <c r="AQ11" s="16">
        <v>2.0011456345954435</v>
      </c>
      <c r="AR11" s="9">
        <v>0.33494999999999997</v>
      </c>
      <c r="AS11" s="9">
        <v>0.18182999999999999</v>
      </c>
      <c r="AT11" s="6">
        <v>669.90000000000009</v>
      </c>
      <c r="AU11" s="26">
        <v>0.66</v>
      </c>
      <c r="AV11" s="6">
        <v>188.529</v>
      </c>
      <c r="AW11" s="6" t="s">
        <v>64</v>
      </c>
      <c r="AX11" s="6">
        <f t="shared" si="3"/>
        <v>188.529</v>
      </c>
      <c r="AY11" s="18">
        <f t="shared" si="4"/>
        <v>2.3340545037917186</v>
      </c>
      <c r="AZ11" s="16">
        <f t="shared" si="5"/>
        <v>9.5668934917629045</v>
      </c>
      <c r="BA11" s="83" t="s">
        <v>64</v>
      </c>
      <c r="BB11" s="84">
        <v>2.12</v>
      </c>
      <c r="BC11" s="84" t="s">
        <v>64</v>
      </c>
      <c r="BD11" s="84" t="s">
        <v>64</v>
      </c>
      <c r="BE11" s="92" t="s">
        <v>64</v>
      </c>
      <c r="BF11" s="84">
        <v>9.5</v>
      </c>
      <c r="BG11" s="84" t="s">
        <v>64</v>
      </c>
      <c r="BH11" s="84" t="s">
        <v>64</v>
      </c>
      <c r="BI11" s="84">
        <v>0.35</v>
      </c>
      <c r="BJ11" s="84">
        <v>0.19</v>
      </c>
      <c r="BK11" s="84">
        <v>7.0000000000000007E-2</v>
      </c>
      <c r="BL11" s="84" t="s">
        <v>64</v>
      </c>
      <c r="BM11" s="84">
        <v>0.66</v>
      </c>
      <c r="BN11" s="84">
        <v>197</v>
      </c>
      <c r="BO11" s="84" t="s">
        <v>64</v>
      </c>
      <c r="BP11" s="84">
        <f t="shared" si="6"/>
        <v>197</v>
      </c>
      <c r="BQ11" s="63">
        <v>30</v>
      </c>
    </row>
    <row r="12" spans="1:69" ht="14.45" customHeight="1">
      <c r="A12" s="1059"/>
      <c r="B12" s="81"/>
      <c r="C12" s="81"/>
      <c r="D12" s="81"/>
      <c r="E12" s="81"/>
      <c r="F12" s="81"/>
      <c r="G12" s="81"/>
      <c r="H12" s="81"/>
      <c r="L12" s="127" t="s">
        <v>64</v>
      </c>
      <c r="M12" s="763" t="s">
        <v>408</v>
      </c>
      <c r="N12" s="15" t="s">
        <v>448</v>
      </c>
      <c r="O12" s="15" t="s">
        <v>377</v>
      </c>
      <c r="P12" s="15" t="s">
        <v>405</v>
      </c>
      <c r="Q12" s="15" t="s">
        <v>468</v>
      </c>
      <c r="R12" s="15">
        <v>87.4</v>
      </c>
      <c r="S12" s="127" t="s">
        <v>64</v>
      </c>
      <c r="T12" s="14">
        <f t="shared" si="2"/>
        <v>1236.6939021588389</v>
      </c>
      <c r="U12" s="15" t="s">
        <v>300</v>
      </c>
      <c r="V12" s="87">
        <v>0</v>
      </c>
      <c r="W12" s="57" t="s">
        <v>64</v>
      </c>
      <c r="X12" s="87" t="s">
        <v>64</v>
      </c>
      <c r="Y12" s="87" t="s">
        <v>64</v>
      </c>
      <c r="Z12" s="87" t="s">
        <v>64</v>
      </c>
      <c r="AA12" s="57" t="s">
        <v>64</v>
      </c>
      <c r="AB12" s="47" t="s">
        <v>64</v>
      </c>
      <c r="AC12" s="57">
        <v>690.26873899815848</v>
      </c>
      <c r="AD12" s="48">
        <v>86.235535115574919</v>
      </c>
      <c r="AE12" s="28">
        <f t="shared" si="0"/>
        <v>2.8693809010339058</v>
      </c>
      <c r="AF12" s="47">
        <f t="shared" si="1"/>
        <v>0.33432717797973055</v>
      </c>
      <c r="AG12" s="83">
        <v>880</v>
      </c>
      <c r="AH12" s="84">
        <v>106</v>
      </c>
      <c r="AI12" s="8">
        <v>0.86599999999999999</v>
      </c>
      <c r="AJ12" s="9">
        <v>49.93455628773436</v>
      </c>
      <c r="AK12" s="9">
        <v>2.5920885980118342</v>
      </c>
      <c r="AL12" s="9">
        <v>11.416219995498929</v>
      </c>
      <c r="AM12" s="9">
        <v>11.336000619158138</v>
      </c>
      <c r="AN12" s="19" t="s">
        <v>64</v>
      </c>
      <c r="AO12" s="9">
        <v>11.079298614867604</v>
      </c>
      <c r="AP12" s="9">
        <v>10.802541766491872</v>
      </c>
      <c r="AQ12" s="9">
        <v>1.9332869698130817</v>
      </c>
      <c r="AR12" s="9">
        <v>0.47630254702345115</v>
      </c>
      <c r="AS12" s="9">
        <v>0.26873491074165246</v>
      </c>
      <c r="AT12" s="6">
        <v>1302.5708207554696</v>
      </c>
      <c r="AU12" s="26">
        <v>0.24</v>
      </c>
      <c r="AV12" s="6">
        <v>300.45766311561857</v>
      </c>
      <c r="AW12" s="6" t="s">
        <v>64</v>
      </c>
      <c r="AX12" s="6">
        <f t="shared" si="3"/>
        <v>300.45766311561857</v>
      </c>
      <c r="AY12" s="8">
        <f t="shared" ref="AY12:AY15" si="7">IF(ISNUMBER(AM12),(AM12/71.84)*(0.18/2)*159.69,"-")</f>
        <v>2.2678470837778768</v>
      </c>
      <c r="AZ12" s="9">
        <f t="shared" ref="AZ12:AZ15" si="8">IF(ISNUMBER(AM12),(AM12/71.84)*(1-0.18)*71.84,"-")</f>
        <v>9.295520507709675</v>
      </c>
      <c r="BA12" s="83">
        <v>51.68</v>
      </c>
      <c r="BB12" s="84">
        <v>2.96</v>
      </c>
      <c r="BC12" s="84">
        <v>13.18</v>
      </c>
      <c r="BD12" s="84">
        <v>9.94</v>
      </c>
      <c r="BE12" s="92" t="s">
        <v>64</v>
      </c>
      <c r="BF12" s="84">
        <v>6.58</v>
      </c>
      <c r="BG12" s="84">
        <v>12.42</v>
      </c>
      <c r="BH12" s="84">
        <v>2.23</v>
      </c>
      <c r="BI12" s="84">
        <v>0.55000000000000004</v>
      </c>
      <c r="BJ12" s="84">
        <v>0.31</v>
      </c>
      <c r="BK12" s="84">
        <v>0.15</v>
      </c>
      <c r="BL12" s="84">
        <v>99.49</v>
      </c>
      <c r="BM12" s="84">
        <v>0.24</v>
      </c>
      <c r="BN12" s="84">
        <v>346</v>
      </c>
      <c r="BO12" s="84" t="s">
        <v>64</v>
      </c>
      <c r="BP12" s="84">
        <f t="shared" si="6"/>
        <v>346</v>
      </c>
      <c r="BQ12" s="63">
        <v>40</v>
      </c>
    </row>
    <row r="13" spans="1:69" ht="14.45" customHeight="1">
      <c r="A13" s="1052" t="s">
        <v>357</v>
      </c>
      <c r="B13" s="1053"/>
      <c r="C13" s="1053"/>
      <c r="D13" s="1053"/>
      <c r="E13" s="1053"/>
      <c r="F13" s="1053"/>
      <c r="G13" s="1053"/>
      <c r="H13" s="1054"/>
      <c r="L13" s="127" t="s">
        <v>64</v>
      </c>
      <c r="M13" s="763" t="s">
        <v>408</v>
      </c>
      <c r="N13" s="15" t="s">
        <v>448</v>
      </c>
      <c r="O13" s="15" t="s">
        <v>378</v>
      </c>
      <c r="P13" s="15" t="s">
        <v>405</v>
      </c>
      <c r="Q13" s="15" t="s">
        <v>468</v>
      </c>
      <c r="R13" s="15">
        <v>88.3</v>
      </c>
      <c r="S13" s="127" t="s">
        <v>64</v>
      </c>
      <c r="T13" s="14">
        <f t="shared" si="2"/>
        <v>1257.7489057987573</v>
      </c>
      <c r="U13" s="15" t="s">
        <v>300</v>
      </c>
      <c r="V13" s="87">
        <v>0</v>
      </c>
      <c r="W13" s="57" t="s">
        <v>64</v>
      </c>
      <c r="X13" s="87" t="s">
        <v>64</v>
      </c>
      <c r="Y13" s="87" t="s">
        <v>64</v>
      </c>
      <c r="Z13" s="87" t="s">
        <v>64</v>
      </c>
      <c r="AA13" s="57" t="s">
        <v>64</v>
      </c>
      <c r="AB13" s="47" t="s">
        <v>64</v>
      </c>
      <c r="AC13" s="57">
        <v>45.564191389847572</v>
      </c>
      <c r="AD13" s="48">
        <v>38.511258808690613</v>
      </c>
      <c r="AE13" s="28">
        <f t="shared" si="0"/>
        <v>0.20263869720770811</v>
      </c>
      <c r="AF13" s="47">
        <f t="shared" si="1"/>
        <v>0.17040809808182189</v>
      </c>
      <c r="AG13" s="83">
        <v>66</v>
      </c>
      <c r="AH13" s="84">
        <v>93</v>
      </c>
      <c r="AI13" s="8">
        <v>0.82199999999999995</v>
      </c>
      <c r="AJ13" s="9">
        <v>49.136646780376331</v>
      </c>
      <c r="AK13" s="9">
        <v>2.3373466927070168</v>
      </c>
      <c r="AL13" s="9">
        <v>11.553803793807671</v>
      </c>
      <c r="AM13" s="9">
        <v>11.380592405981041</v>
      </c>
      <c r="AN13" s="19" t="s">
        <v>64</v>
      </c>
      <c r="AO13" s="9">
        <v>12.126811233769018</v>
      </c>
      <c r="AP13" s="9">
        <v>10.75018351772831</v>
      </c>
      <c r="AQ13" s="9">
        <v>1.9335224687623747</v>
      </c>
      <c r="AR13" s="9">
        <v>0.42195099708928913</v>
      </c>
      <c r="AS13" s="9">
        <v>0.23161987907049283</v>
      </c>
      <c r="AT13" s="6">
        <v>1241.7256058321827</v>
      </c>
      <c r="AU13" s="26">
        <v>0.73</v>
      </c>
      <c r="AV13" s="6" t="s">
        <v>292</v>
      </c>
      <c r="AW13" s="6" t="s">
        <v>64</v>
      </c>
      <c r="AX13" s="6" t="str">
        <f t="shared" si="3"/>
        <v>bdl</v>
      </c>
      <c r="AY13" s="8">
        <f t="shared" si="7"/>
        <v>2.2767679860523398</v>
      </c>
      <c r="AZ13" s="9">
        <f t="shared" si="8"/>
        <v>9.3320857729044544</v>
      </c>
      <c r="BA13" s="83">
        <v>51.6</v>
      </c>
      <c r="BB13" s="84">
        <v>2.81</v>
      </c>
      <c r="BC13" s="84">
        <v>14.06</v>
      </c>
      <c r="BD13" s="84">
        <v>8.3000000000000007</v>
      </c>
      <c r="BE13" s="92" t="s">
        <v>64</v>
      </c>
      <c r="BF13" s="84">
        <v>6.92</v>
      </c>
      <c r="BG13" s="84">
        <v>13.02</v>
      </c>
      <c r="BH13" s="84">
        <v>2.35</v>
      </c>
      <c r="BI13" s="84">
        <v>0.51</v>
      </c>
      <c r="BJ13" s="84">
        <v>0.28000000000000003</v>
      </c>
      <c r="BK13" s="84">
        <v>0.15</v>
      </c>
      <c r="BL13" s="84">
        <v>97.37</v>
      </c>
      <c r="BM13" s="84">
        <v>0.73</v>
      </c>
      <c r="BN13" s="84" t="s">
        <v>292</v>
      </c>
      <c r="BO13" s="84" t="s">
        <v>64</v>
      </c>
      <c r="BP13" s="84" t="s">
        <v>292</v>
      </c>
      <c r="BQ13" s="63">
        <v>38</v>
      </c>
    </row>
    <row r="14" spans="1:69" ht="14.45" customHeight="1">
      <c r="A14" s="1140" t="s">
        <v>365</v>
      </c>
      <c r="B14" s="1141"/>
      <c r="C14" s="1141"/>
      <c r="D14" s="1141"/>
      <c r="E14" s="1141"/>
      <c r="F14" s="1141"/>
      <c r="G14" s="1141"/>
      <c r="H14" s="1142"/>
      <c r="L14" s="127" t="s">
        <v>64</v>
      </c>
      <c r="M14" s="763" t="s">
        <v>408</v>
      </c>
      <c r="N14" s="15" t="s">
        <v>448</v>
      </c>
      <c r="O14" s="15" t="s">
        <v>379</v>
      </c>
      <c r="P14" s="15" t="s">
        <v>405</v>
      </c>
      <c r="Q14" s="15" t="s">
        <v>468</v>
      </c>
      <c r="R14" s="15">
        <v>84</v>
      </c>
      <c r="S14" s="127" t="s">
        <v>64</v>
      </c>
      <c r="T14" s="14">
        <f t="shared" si="2"/>
        <v>1214.1858856368915</v>
      </c>
      <c r="U14" s="15" t="s">
        <v>300</v>
      </c>
      <c r="V14" s="87">
        <v>0</v>
      </c>
      <c r="W14" s="57" t="s">
        <v>64</v>
      </c>
      <c r="X14" s="87" t="s">
        <v>64</v>
      </c>
      <c r="Y14" s="87" t="s">
        <v>64</v>
      </c>
      <c r="Z14" s="87" t="s">
        <v>64</v>
      </c>
      <c r="AA14" s="57" t="s">
        <v>64</v>
      </c>
      <c r="AB14" s="47" t="s">
        <v>64</v>
      </c>
      <c r="AC14" s="57">
        <v>499.0443315062671</v>
      </c>
      <c r="AD14" s="48">
        <v>60.49163087224548</v>
      </c>
      <c r="AE14" s="28">
        <f t="shared" si="0"/>
        <v>2.1145073710842821</v>
      </c>
      <c r="AF14" s="47">
        <f t="shared" si="1"/>
        <v>0.24326779366089113</v>
      </c>
      <c r="AG14" s="83">
        <v>569</v>
      </c>
      <c r="AH14" s="84">
        <v>72</v>
      </c>
      <c r="AI14" s="8">
        <v>0.96899999999999997</v>
      </c>
      <c r="AJ14" s="9">
        <v>49.491207872786688</v>
      </c>
      <c r="AK14" s="9">
        <v>2.323681749368538</v>
      </c>
      <c r="AL14" s="9">
        <v>11.707781121818405</v>
      </c>
      <c r="AM14" s="9">
        <v>13.41388971826488</v>
      </c>
      <c r="AN14" s="19" t="s">
        <v>64</v>
      </c>
      <c r="AO14" s="9">
        <v>9.959496797855298</v>
      </c>
      <c r="AP14" s="9">
        <v>10.27380638625303</v>
      </c>
      <c r="AQ14" s="9">
        <v>1.9792466413160712</v>
      </c>
      <c r="AR14" s="9">
        <v>0.45589953077498546</v>
      </c>
      <c r="AS14" s="9">
        <v>0.20384934966370494</v>
      </c>
      <c r="AT14" s="6">
        <v>1654.2604364356589</v>
      </c>
      <c r="AU14" s="26">
        <v>0.36</v>
      </c>
      <c r="AV14" s="6">
        <v>216.01805123624075</v>
      </c>
      <c r="AW14" s="6" t="s">
        <v>64</v>
      </c>
      <c r="AX14" s="6">
        <f t="shared" si="3"/>
        <v>216.01805123624075</v>
      </c>
      <c r="AY14" s="8">
        <f t="shared" si="7"/>
        <v>2.6835434913679657</v>
      </c>
      <c r="AZ14" s="9">
        <f t="shared" si="8"/>
        <v>10.999389568977202</v>
      </c>
      <c r="BA14" s="83">
        <v>49.82</v>
      </c>
      <c r="BB14" s="84">
        <v>2.39</v>
      </c>
      <c r="BC14" s="84">
        <v>12.09</v>
      </c>
      <c r="BD14" s="84">
        <v>13.38</v>
      </c>
      <c r="BE14" s="92" t="s">
        <v>64</v>
      </c>
      <c r="BF14" s="84">
        <v>8.83</v>
      </c>
      <c r="BG14" s="84">
        <v>10.6</v>
      </c>
      <c r="BH14" s="84">
        <v>2.04</v>
      </c>
      <c r="BI14" s="84">
        <v>0.47</v>
      </c>
      <c r="BJ14" s="84">
        <v>0.21</v>
      </c>
      <c r="BK14" s="84">
        <v>0.17</v>
      </c>
      <c r="BL14" s="84">
        <v>97.57</v>
      </c>
      <c r="BM14" s="84">
        <v>0.36</v>
      </c>
      <c r="BN14" s="84">
        <v>222</v>
      </c>
      <c r="BO14" s="84" t="s">
        <v>64</v>
      </c>
      <c r="BP14" s="84">
        <f t="shared" si="6"/>
        <v>222</v>
      </c>
      <c r="BQ14" s="63">
        <v>28</v>
      </c>
    </row>
    <row r="15" spans="1:69" ht="14.45" customHeight="1">
      <c r="A15" s="1140"/>
      <c r="B15" s="1141"/>
      <c r="C15" s="1141"/>
      <c r="D15" s="1141"/>
      <c r="E15" s="1141"/>
      <c r="F15" s="1141"/>
      <c r="G15" s="1141"/>
      <c r="H15" s="1142"/>
      <c r="L15" s="127" t="s">
        <v>64</v>
      </c>
      <c r="M15" s="763" t="s">
        <v>408</v>
      </c>
      <c r="N15" s="15" t="s">
        <v>448</v>
      </c>
      <c r="O15" s="15" t="s">
        <v>380</v>
      </c>
      <c r="P15" s="15" t="s">
        <v>405</v>
      </c>
      <c r="Q15" s="15" t="s">
        <v>468</v>
      </c>
      <c r="R15" s="15">
        <v>83.9</v>
      </c>
      <c r="S15" s="127" t="s">
        <v>64</v>
      </c>
      <c r="T15" s="14">
        <f t="shared" si="2"/>
        <v>1207.1225267372645</v>
      </c>
      <c r="U15" s="15" t="s">
        <v>300</v>
      </c>
      <c r="V15" s="87">
        <v>0</v>
      </c>
      <c r="W15" s="57" t="s">
        <v>64</v>
      </c>
      <c r="X15" s="87" t="s">
        <v>64</v>
      </c>
      <c r="Y15" s="87" t="s">
        <v>64</v>
      </c>
      <c r="Z15" s="87" t="s">
        <v>64</v>
      </c>
      <c r="AA15" s="57" t="s">
        <v>64</v>
      </c>
      <c r="AB15" s="47" t="s">
        <v>64</v>
      </c>
      <c r="AC15" s="57">
        <v>586.09015617311434</v>
      </c>
      <c r="AD15" s="48">
        <v>61.08511048391216</v>
      </c>
      <c r="AE15" s="28">
        <f t="shared" si="0"/>
        <v>2.4615678508252579</v>
      </c>
      <c r="AF15" s="47">
        <f t="shared" si="1"/>
        <v>0.24151304854785849</v>
      </c>
      <c r="AG15" s="83">
        <v>633</v>
      </c>
      <c r="AH15" s="84">
        <v>68</v>
      </c>
      <c r="AI15" s="8">
        <v>0.97299999999999998</v>
      </c>
      <c r="AJ15" s="9">
        <v>50.221849521652352</v>
      </c>
      <c r="AK15" s="9">
        <v>2.1472882411212595</v>
      </c>
      <c r="AL15" s="9">
        <v>11.835684134090533</v>
      </c>
      <c r="AM15" s="9">
        <v>13.026279671243323</v>
      </c>
      <c r="AN15" s="19" t="s">
        <v>64</v>
      </c>
      <c r="AO15" s="9">
        <v>9.6080859073265898</v>
      </c>
      <c r="AP15" s="9">
        <v>10.315817655802743</v>
      </c>
      <c r="AQ15" s="9">
        <v>1.9675946482457545</v>
      </c>
      <c r="AR15" s="9">
        <v>0.4095809267776877</v>
      </c>
      <c r="AS15" s="9">
        <v>0.25297645477445413</v>
      </c>
      <c r="AT15" s="6">
        <v>1855.9585965363376</v>
      </c>
      <c r="AU15" s="26">
        <v>0.36</v>
      </c>
      <c r="AV15" s="6">
        <v>241.26223949364817</v>
      </c>
      <c r="AW15" s="6" t="s">
        <v>64</v>
      </c>
      <c r="AX15" s="6">
        <f t="shared" si="3"/>
        <v>241.26223949364817</v>
      </c>
      <c r="AY15" s="8">
        <f t="shared" si="7"/>
        <v>2.6059993605662046</v>
      </c>
      <c r="AZ15" s="9">
        <f t="shared" si="8"/>
        <v>10.681549330419525</v>
      </c>
      <c r="BA15" s="83">
        <v>50.88</v>
      </c>
      <c r="BB15" s="84">
        <v>2.2200000000000002</v>
      </c>
      <c r="BC15" s="84">
        <v>12.26</v>
      </c>
      <c r="BD15" s="84">
        <v>13.08</v>
      </c>
      <c r="BE15" s="92" t="s">
        <v>64</v>
      </c>
      <c r="BF15" s="84">
        <v>8.68</v>
      </c>
      <c r="BG15" s="84">
        <v>10.67</v>
      </c>
      <c r="BH15" s="84">
        <v>2.04</v>
      </c>
      <c r="BI15" s="84">
        <v>0.42</v>
      </c>
      <c r="BJ15" s="84">
        <v>0.26</v>
      </c>
      <c r="BK15" s="84">
        <v>0.19</v>
      </c>
      <c r="BL15" s="84">
        <v>97.31</v>
      </c>
      <c r="BM15" s="84">
        <v>0.36</v>
      </c>
      <c r="BN15" s="84">
        <v>247</v>
      </c>
      <c r="BO15" s="84" t="s">
        <v>64</v>
      </c>
      <c r="BP15" s="84">
        <f t="shared" si="6"/>
        <v>247</v>
      </c>
      <c r="BQ15" s="63">
        <v>27</v>
      </c>
    </row>
    <row r="16" spans="1:69" ht="14.45" customHeight="1">
      <c r="A16" s="1055" t="s">
        <v>358</v>
      </c>
      <c r="B16" s="1056"/>
      <c r="C16" s="1056"/>
      <c r="D16" s="1056"/>
      <c r="E16" s="1056"/>
      <c r="F16" s="1056"/>
      <c r="G16" s="1056"/>
      <c r="H16" s="1057"/>
      <c r="L16" s="38" t="s">
        <v>369</v>
      </c>
      <c r="M16" s="763" t="s">
        <v>408</v>
      </c>
      <c r="N16" s="15" t="s">
        <v>448</v>
      </c>
      <c r="O16" s="15" t="s">
        <v>381</v>
      </c>
      <c r="P16" s="15" t="s">
        <v>405</v>
      </c>
      <c r="Q16" s="15" t="s">
        <v>468</v>
      </c>
      <c r="R16" s="15" t="s">
        <v>382</v>
      </c>
      <c r="S16" s="127" t="s">
        <v>64</v>
      </c>
      <c r="T16" s="14">
        <f t="shared" si="2"/>
        <v>1235.9601558466838</v>
      </c>
      <c r="U16" s="15" t="s">
        <v>300</v>
      </c>
      <c r="V16" s="87">
        <v>0</v>
      </c>
      <c r="W16" s="57" t="s">
        <v>64</v>
      </c>
      <c r="X16" s="87" t="s">
        <v>64</v>
      </c>
      <c r="Y16" s="87" t="s">
        <v>64</v>
      </c>
      <c r="Z16" s="87" t="s">
        <v>64</v>
      </c>
      <c r="AA16" s="57" t="s">
        <v>64</v>
      </c>
      <c r="AB16" s="47" t="s">
        <v>64</v>
      </c>
      <c r="AC16" s="57">
        <v>394.35732639585382</v>
      </c>
      <c r="AD16" s="48">
        <v>80.055749837999883</v>
      </c>
      <c r="AE16" s="28">
        <f t="shared" si="0"/>
        <v>1.6890889252470507</v>
      </c>
      <c r="AF16" s="47">
        <f t="shared" si="1"/>
        <v>0.32881796913841299</v>
      </c>
      <c r="AG16" s="83">
        <v>481</v>
      </c>
      <c r="AH16" s="84">
        <v>96</v>
      </c>
      <c r="AI16" s="18">
        <v>0.93500000000000005</v>
      </c>
      <c r="AJ16" s="16">
        <v>49.478392321213377</v>
      </c>
      <c r="AK16" s="16">
        <v>2.393322549189941</v>
      </c>
      <c r="AL16" s="16">
        <v>11.754237787950728</v>
      </c>
      <c r="AM16" s="16">
        <v>11.666943282637687</v>
      </c>
      <c r="AN16" s="151" t="s">
        <v>64</v>
      </c>
      <c r="AO16" s="16">
        <v>11.042793823218105</v>
      </c>
      <c r="AP16" s="16">
        <v>10.813104308362606</v>
      </c>
      <c r="AQ16" s="16">
        <v>2.0011456345954435</v>
      </c>
      <c r="AR16" s="16">
        <v>0.44508708361059957</v>
      </c>
      <c r="AS16" s="16">
        <v>0.2529780523389098</v>
      </c>
      <c r="AT16" s="17" t="s">
        <v>64</v>
      </c>
      <c r="AU16" s="26">
        <v>0.38</v>
      </c>
      <c r="AV16" s="6">
        <v>174.845</v>
      </c>
      <c r="AW16" s="6" t="s">
        <v>64</v>
      </c>
      <c r="AX16" s="6">
        <f t="shared" si="3"/>
        <v>174.845</v>
      </c>
      <c r="AY16" s="18">
        <f t="shared" ref="AY16" si="9">IF(ISNUMBER(AM16),(AM16/71.84)*(0.18/2)*159.69,"-")</f>
        <v>2.3340545037917186</v>
      </c>
      <c r="AZ16" s="16">
        <f t="shared" ref="AZ16" si="10">IF(ISNUMBER(AM16),(AM16/71.84)*(1-0.18)*71.84,"-")</f>
        <v>9.5668934917629045</v>
      </c>
      <c r="BA16" s="83" t="s">
        <v>64</v>
      </c>
      <c r="BB16" s="84" t="s">
        <v>64</v>
      </c>
      <c r="BC16" s="84" t="s">
        <v>64</v>
      </c>
      <c r="BD16" s="84" t="s">
        <v>64</v>
      </c>
      <c r="BE16" s="92" t="s">
        <v>64</v>
      </c>
      <c r="BF16" s="84" t="s">
        <v>385</v>
      </c>
      <c r="BG16" s="84" t="s">
        <v>64</v>
      </c>
      <c r="BH16" s="84" t="s">
        <v>64</v>
      </c>
      <c r="BI16" s="84" t="s">
        <v>64</v>
      </c>
      <c r="BJ16" s="84" t="s">
        <v>64</v>
      </c>
      <c r="BK16" s="84" t="s">
        <v>64</v>
      </c>
      <c r="BL16" s="84" t="s">
        <v>64</v>
      </c>
      <c r="BM16" s="84">
        <v>0.38</v>
      </c>
      <c r="BN16" s="84">
        <v>187</v>
      </c>
      <c r="BO16" s="84" t="s">
        <v>64</v>
      </c>
      <c r="BP16" s="84">
        <f t="shared" si="6"/>
        <v>187</v>
      </c>
      <c r="BQ16" s="63">
        <v>38</v>
      </c>
    </row>
    <row r="17" spans="1:69" ht="14.45" customHeight="1">
      <c r="A17" s="1055" t="s">
        <v>359</v>
      </c>
      <c r="B17" s="1056"/>
      <c r="C17" s="1056"/>
      <c r="D17" s="1056"/>
      <c r="E17" s="1056"/>
      <c r="F17" s="1056"/>
      <c r="G17" s="1056"/>
      <c r="H17" s="1057"/>
      <c r="L17" s="127" t="s">
        <v>64</v>
      </c>
      <c r="M17" s="763" t="s">
        <v>408</v>
      </c>
      <c r="N17" s="15" t="s">
        <v>448</v>
      </c>
      <c r="O17" s="15" t="s">
        <v>383</v>
      </c>
      <c r="P17" s="15" t="s">
        <v>405</v>
      </c>
      <c r="Q17" s="15" t="s">
        <v>468</v>
      </c>
      <c r="R17" s="15">
        <v>85.9</v>
      </c>
      <c r="S17" s="127" t="s">
        <v>64</v>
      </c>
      <c r="T17" s="14">
        <f t="shared" si="2"/>
        <v>1201.7775479089526</v>
      </c>
      <c r="U17" s="15" t="s">
        <v>300</v>
      </c>
      <c r="V17" s="87">
        <v>0</v>
      </c>
      <c r="W17" s="57" t="s">
        <v>64</v>
      </c>
      <c r="X17" s="87" t="s">
        <v>64</v>
      </c>
      <c r="Y17" s="87" t="s">
        <v>64</v>
      </c>
      <c r="Z17" s="87" t="s">
        <v>64</v>
      </c>
      <c r="AA17" s="57" t="s">
        <v>64</v>
      </c>
      <c r="AB17" s="47" t="s">
        <v>64</v>
      </c>
      <c r="AC17" s="57">
        <v>134.5456275152539</v>
      </c>
      <c r="AD17" s="48">
        <v>45.729632279854421</v>
      </c>
      <c r="AE17" s="28">
        <f t="shared" si="0"/>
        <v>0.59251980614493627</v>
      </c>
      <c r="AF17" s="47">
        <f t="shared" si="1"/>
        <v>0.19842529998504688</v>
      </c>
      <c r="AG17" s="83">
        <v>136</v>
      </c>
      <c r="AH17" s="84">
        <v>46</v>
      </c>
      <c r="AI17" s="8">
        <v>0.98899999999999999</v>
      </c>
      <c r="AJ17" s="9">
        <v>50.200595720164131</v>
      </c>
      <c r="AK17" s="9">
        <v>2.6366428405716289</v>
      </c>
      <c r="AL17" s="9">
        <v>12.462578664399663</v>
      </c>
      <c r="AM17" s="9">
        <v>10.920940520845031</v>
      </c>
      <c r="AN17" s="19" t="s">
        <v>64</v>
      </c>
      <c r="AO17" s="9">
        <v>9.3421665626344588</v>
      </c>
      <c r="AP17" s="9">
        <v>11.474966728684976</v>
      </c>
      <c r="AQ17" s="9">
        <v>2.0113560154189356</v>
      </c>
      <c r="AR17" s="9">
        <v>0.53495646517878881</v>
      </c>
      <c r="AS17" s="9">
        <v>0.25794336125881562</v>
      </c>
      <c r="AT17" s="6">
        <v>1489.003447571434</v>
      </c>
      <c r="AU17" s="26">
        <v>0.31</v>
      </c>
      <c r="AV17" s="6">
        <v>50.624144741375098</v>
      </c>
      <c r="AW17" s="6" t="s">
        <v>64</v>
      </c>
      <c r="AX17" s="6">
        <f t="shared" si="3"/>
        <v>50.624144741375098</v>
      </c>
      <c r="AY17" s="8">
        <f t="shared" ref="AY17:AY18" si="11">IF(ISNUMBER(AM17),(AM17/71.84)*(0.18/2)*159.69,"-")</f>
        <v>2.1848113761085313</v>
      </c>
      <c r="AZ17" s="9">
        <f t="shared" ref="AZ17:AZ18" si="12">IF(ISNUMBER(AM17),(AM17/71.84)*(1-0.18)*71.84,"-")</f>
        <v>8.9551712270929276</v>
      </c>
      <c r="BA17" s="83">
        <v>50.32</v>
      </c>
      <c r="BB17" s="84">
        <v>2.66</v>
      </c>
      <c r="BC17" s="84">
        <v>12.6</v>
      </c>
      <c r="BD17" s="84">
        <v>10.9</v>
      </c>
      <c r="BE17" s="92" t="s">
        <v>64</v>
      </c>
      <c r="BF17" s="84">
        <v>8.94</v>
      </c>
      <c r="BG17" s="84">
        <v>11.6</v>
      </c>
      <c r="BH17" s="84">
        <v>2.0299999999999998</v>
      </c>
      <c r="BI17" s="84">
        <v>0.54</v>
      </c>
      <c r="BJ17" s="84">
        <v>0.26</v>
      </c>
      <c r="BK17" s="84">
        <v>0.15</v>
      </c>
      <c r="BL17" s="84">
        <v>97.45</v>
      </c>
      <c r="BM17" s="84">
        <v>0.31</v>
      </c>
      <c r="BN17" s="84">
        <v>51</v>
      </c>
      <c r="BO17" s="84" t="s">
        <v>64</v>
      </c>
      <c r="BP17" s="84">
        <f t="shared" si="6"/>
        <v>51</v>
      </c>
      <c r="BQ17" s="63">
        <v>19</v>
      </c>
    </row>
    <row r="18" spans="1:69" ht="14.45" customHeight="1" thickBot="1">
      <c r="A18" s="1140" t="s">
        <v>360</v>
      </c>
      <c r="B18" s="1141"/>
      <c r="C18" s="1141"/>
      <c r="D18" s="1141"/>
      <c r="E18" s="1141"/>
      <c r="F18" s="1141"/>
      <c r="G18" s="1141"/>
      <c r="H18" s="1142"/>
      <c r="L18" s="257" t="s">
        <v>64</v>
      </c>
      <c r="M18" s="1024" t="s">
        <v>408</v>
      </c>
      <c r="N18" s="226" t="s">
        <v>448</v>
      </c>
      <c r="O18" s="226" t="s">
        <v>384</v>
      </c>
      <c r="P18" s="226" t="s">
        <v>405</v>
      </c>
      <c r="Q18" s="226" t="s">
        <v>468</v>
      </c>
      <c r="R18" s="226">
        <v>86.1</v>
      </c>
      <c r="S18" s="257" t="s">
        <v>64</v>
      </c>
      <c r="T18" s="227">
        <f t="shared" si="2"/>
        <v>1223.4135076917332</v>
      </c>
      <c r="U18" s="226" t="s">
        <v>300</v>
      </c>
      <c r="V18" s="269">
        <v>0</v>
      </c>
      <c r="W18" s="232" t="s">
        <v>64</v>
      </c>
      <c r="X18" s="269" t="s">
        <v>64</v>
      </c>
      <c r="Y18" s="269" t="s">
        <v>64</v>
      </c>
      <c r="Z18" s="269" t="s">
        <v>64</v>
      </c>
      <c r="AA18" s="232" t="s">
        <v>64</v>
      </c>
      <c r="AB18" s="234" t="s">
        <v>64</v>
      </c>
      <c r="AC18" s="232">
        <v>322.13385211778001</v>
      </c>
      <c r="AD18" s="233">
        <v>53.525727134591165</v>
      </c>
      <c r="AE18" s="235">
        <f t="shared" si="0"/>
        <v>1.3902566618304666</v>
      </c>
      <c r="AF18" s="234">
        <f t="shared" si="1"/>
        <v>0.22314021097909631</v>
      </c>
      <c r="AG18" s="236">
        <v>393</v>
      </c>
      <c r="AH18" s="245">
        <v>66</v>
      </c>
      <c r="AI18" s="237">
        <v>0.95699999999999996</v>
      </c>
      <c r="AJ18" s="238">
        <v>49.132095197150285</v>
      </c>
      <c r="AK18" s="238">
        <v>2.5090139344792908</v>
      </c>
      <c r="AL18" s="238">
        <v>11.080223201646039</v>
      </c>
      <c r="AM18" s="238">
        <v>12.052102148655223</v>
      </c>
      <c r="AN18" s="270" t="s">
        <v>64</v>
      </c>
      <c r="AO18" s="238">
        <v>10.41858247222553</v>
      </c>
      <c r="AP18" s="238">
        <v>12.064150234775173</v>
      </c>
      <c r="AQ18" s="238">
        <v>1.8403451548221448</v>
      </c>
      <c r="AR18" s="238">
        <v>0.48895149503457963</v>
      </c>
      <c r="AS18" s="238">
        <v>0.22991764345568533</v>
      </c>
      <c r="AT18" s="240">
        <v>1633.5266934331898</v>
      </c>
      <c r="AU18" s="273">
        <v>0.35</v>
      </c>
      <c r="AV18" s="240">
        <v>147.00773481408251</v>
      </c>
      <c r="AW18" s="240" t="s">
        <v>64</v>
      </c>
      <c r="AX18" s="240">
        <f t="shared" si="3"/>
        <v>147.00773481408251</v>
      </c>
      <c r="AY18" s="237">
        <f t="shared" si="11"/>
        <v>2.411108258500664</v>
      </c>
      <c r="AZ18" s="238">
        <f t="shared" si="12"/>
        <v>9.8827237618972834</v>
      </c>
      <c r="BA18" s="236">
        <v>49.55</v>
      </c>
      <c r="BB18" s="245">
        <v>2.61</v>
      </c>
      <c r="BC18" s="245">
        <v>11.58</v>
      </c>
      <c r="BD18" s="245">
        <v>12.02</v>
      </c>
      <c r="BE18" s="244" t="s">
        <v>64</v>
      </c>
      <c r="BF18" s="245">
        <v>8.81</v>
      </c>
      <c r="BG18" s="245">
        <v>12.59</v>
      </c>
      <c r="BH18" s="245">
        <v>1.92</v>
      </c>
      <c r="BI18" s="245">
        <v>0.51</v>
      </c>
      <c r="BJ18" s="245">
        <v>0.24</v>
      </c>
      <c r="BK18" s="245">
        <v>0.17</v>
      </c>
      <c r="BL18" s="245">
        <v>96.13</v>
      </c>
      <c r="BM18" s="245">
        <v>0.35</v>
      </c>
      <c r="BN18" s="245">
        <v>153</v>
      </c>
      <c r="BO18" s="245" t="s">
        <v>64</v>
      </c>
      <c r="BP18" s="245">
        <f t="shared" si="6"/>
        <v>153</v>
      </c>
      <c r="BQ18" s="271">
        <v>26</v>
      </c>
    </row>
    <row r="19" spans="1:69" ht="14.45" customHeight="1" thickTop="1">
      <c r="A19" s="1140"/>
      <c r="B19" s="1141"/>
      <c r="C19" s="1141"/>
      <c r="D19" s="1141"/>
      <c r="E19" s="1141"/>
      <c r="F19" s="1141"/>
      <c r="G19" s="1141"/>
      <c r="H19" s="1142"/>
      <c r="M19" s="34"/>
      <c r="O19" s="15"/>
      <c r="P19" s="81"/>
      <c r="Q19" s="81"/>
      <c r="R19" s="81"/>
      <c r="S19" s="81"/>
      <c r="T19" s="81"/>
      <c r="U19" s="81"/>
      <c r="V19" s="205"/>
      <c r="W19" s="2"/>
      <c r="X19" s="68"/>
      <c r="Y19" s="81"/>
      <c r="Z19" s="106"/>
      <c r="AA19" s="2"/>
      <c r="AC19" s="2"/>
      <c r="AD19" s="2"/>
      <c r="AF19" s="24"/>
      <c r="AG19" s="64"/>
      <c r="AI19" s="9"/>
      <c r="AJ19" s="9"/>
      <c r="AK19" s="9"/>
      <c r="AL19" s="9"/>
      <c r="AM19" s="9"/>
      <c r="AN19" s="9"/>
      <c r="AO19" s="9"/>
      <c r="AP19" s="9"/>
      <c r="AQ19" s="9"/>
      <c r="AR19" s="9"/>
      <c r="AS19" s="9"/>
      <c r="AT19" s="6"/>
      <c r="AU19" s="26"/>
      <c r="AV19" s="6"/>
      <c r="AW19" s="6"/>
      <c r="AX19" s="6"/>
      <c r="AY19" s="34"/>
      <c r="AZ19" s="34"/>
      <c r="BA19" s="84"/>
      <c r="BB19" s="84"/>
      <c r="BC19" s="84"/>
      <c r="BD19" s="84"/>
      <c r="BE19" s="84"/>
      <c r="BF19" s="84"/>
      <c r="BG19" s="84"/>
      <c r="BH19" s="84"/>
      <c r="BI19" s="84"/>
      <c r="BJ19" s="84"/>
      <c r="BK19" s="84"/>
      <c r="BL19" s="84"/>
      <c r="BM19" s="84"/>
      <c r="BN19" s="84"/>
      <c r="BO19" s="84"/>
      <c r="BP19" s="84"/>
      <c r="BQ19" s="84"/>
    </row>
    <row r="20" spans="1:69" ht="14.45" customHeight="1">
      <c r="A20" s="1140"/>
      <c r="B20" s="1141"/>
      <c r="C20" s="1141"/>
      <c r="D20" s="1141"/>
      <c r="E20" s="1141"/>
      <c r="F20" s="1141"/>
      <c r="G20" s="1141"/>
      <c r="H20" s="1142"/>
      <c r="O20" s="15"/>
      <c r="P20" s="81"/>
      <c r="Q20" s="81"/>
      <c r="R20" s="81"/>
      <c r="S20" s="81"/>
      <c r="T20" s="81"/>
      <c r="U20" s="81"/>
      <c r="V20" s="205"/>
      <c r="W20" s="2"/>
      <c r="X20" s="185"/>
      <c r="Y20" s="81"/>
      <c r="Z20" s="106"/>
      <c r="AA20" s="2"/>
      <c r="AC20" s="2"/>
      <c r="AD20" s="2"/>
      <c r="AF20" s="24"/>
      <c r="AG20" s="64"/>
      <c r="AI20" s="9"/>
      <c r="AJ20" s="9"/>
      <c r="AK20" s="9"/>
      <c r="AL20" s="9"/>
      <c r="AM20" s="9"/>
      <c r="AN20" s="9"/>
      <c r="AO20" s="9"/>
      <c r="AP20" s="9"/>
      <c r="AQ20" s="9"/>
      <c r="AR20" s="9"/>
      <c r="AS20" s="9"/>
      <c r="AT20" s="10"/>
      <c r="AU20" s="26"/>
      <c r="AV20" s="6"/>
      <c r="AW20" s="6"/>
      <c r="AX20" s="6"/>
      <c r="AY20" s="34"/>
      <c r="AZ20" s="34"/>
      <c r="BA20" s="84"/>
      <c r="BB20" s="84"/>
      <c r="BC20" s="84"/>
      <c r="BD20" s="84"/>
      <c r="BE20" s="84"/>
      <c r="BF20" s="84"/>
      <c r="BG20" s="84"/>
      <c r="BH20" s="84"/>
      <c r="BI20" s="84"/>
      <c r="BJ20" s="84"/>
      <c r="BK20" s="84"/>
      <c r="BL20" s="84"/>
      <c r="BM20" s="84"/>
      <c r="BN20" s="84"/>
      <c r="BO20" s="84"/>
      <c r="BP20" s="84"/>
      <c r="BQ20" s="84"/>
    </row>
    <row r="21" spans="1:69" ht="14.45" customHeight="1">
      <c r="A21" s="1058" t="s">
        <v>361</v>
      </c>
      <c r="B21" s="1050"/>
      <c r="C21" s="1050"/>
      <c r="D21" s="1050"/>
      <c r="E21" s="1050"/>
      <c r="F21" s="1050"/>
      <c r="G21" s="1050"/>
      <c r="H21" s="1051"/>
      <c r="M21" s="159" t="s">
        <v>455</v>
      </c>
      <c r="O21" s="7"/>
      <c r="P21" s="138"/>
      <c r="Q21" s="138"/>
      <c r="R21" s="81"/>
      <c r="S21" s="81"/>
      <c r="T21" s="139"/>
      <c r="U21" s="139"/>
      <c r="V21" s="204"/>
      <c r="W21" s="140" t="s">
        <v>430</v>
      </c>
      <c r="X21" s="182"/>
      <c r="Y21" s="139"/>
      <c r="Z21" s="141"/>
      <c r="AA21" s="140" t="s">
        <v>433</v>
      </c>
      <c r="AB21" s="143" t="s">
        <v>436</v>
      </c>
      <c r="AC21" s="140" t="s">
        <v>362</v>
      </c>
      <c r="AD21" s="142"/>
      <c r="AE21" s="143" t="s">
        <v>435</v>
      </c>
      <c r="AF21" s="142"/>
      <c r="AG21" s="144" t="s">
        <v>363</v>
      </c>
      <c r="AH21" s="124"/>
      <c r="AI21" s="140" t="s">
        <v>370</v>
      </c>
      <c r="AK21" s="145"/>
      <c r="AL21" s="145"/>
      <c r="AM21" s="145"/>
      <c r="AN21" s="145"/>
      <c r="AO21" s="145"/>
      <c r="AP21" s="145"/>
      <c r="AQ21" s="145"/>
      <c r="AR21" s="145"/>
      <c r="AS21" s="145"/>
      <c r="AT21" s="145"/>
      <c r="AU21" s="272"/>
      <c r="AV21" s="145"/>
      <c r="AW21" s="145"/>
      <c r="AX21" s="145"/>
      <c r="AY21" s="146" t="s">
        <v>445</v>
      </c>
      <c r="AZ21" s="145"/>
      <c r="BA21" s="85" t="s">
        <v>425</v>
      </c>
      <c r="BB21" s="128"/>
      <c r="BC21" s="128"/>
      <c r="BD21" s="94"/>
      <c r="BE21" s="94"/>
      <c r="BF21" s="128"/>
      <c r="BG21" s="94"/>
      <c r="BH21" s="128"/>
      <c r="BI21" s="94"/>
      <c r="BJ21" s="94"/>
      <c r="BK21" s="128"/>
      <c r="BL21" s="94"/>
      <c r="BM21" s="128"/>
      <c r="BN21" s="94"/>
      <c r="BO21" s="94"/>
      <c r="BP21" s="94"/>
      <c r="BQ21" s="128"/>
    </row>
    <row r="22" spans="1:69" ht="40.9" customHeight="1">
      <c r="A22" s="138"/>
      <c r="L22" s="147" t="s">
        <v>409</v>
      </c>
      <c r="M22" s="148" t="s">
        <v>406</v>
      </c>
      <c r="N22" s="147" t="s">
        <v>407</v>
      </c>
      <c r="O22" s="147" t="s">
        <v>411</v>
      </c>
      <c r="P22" s="147" t="s">
        <v>404</v>
      </c>
      <c r="Q22" s="147" t="s">
        <v>467</v>
      </c>
      <c r="R22" s="147" t="s">
        <v>466</v>
      </c>
      <c r="S22" s="147" t="s">
        <v>1014</v>
      </c>
      <c r="T22" s="149" t="s">
        <v>446</v>
      </c>
      <c r="U22" s="147" t="s">
        <v>364</v>
      </c>
      <c r="V22" s="1026" t="s">
        <v>62</v>
      </c>
      <c r="W22" s="1028" t="s">
        <v>432</v>
      </c>
      <c r="X22" s="174" t="s">
        <v>461</v>
      </c>
      <c r="Y22" s="149" t="s">
        <v>431</v>
      </c>
      <c r="Z22" s="172" t="s">
        <v>434</v>
      </c>
      <c r="AA22" s="173" t="s">
        <v>429</v>
      </c>
      <c r="AB22" s="175" t="s">
        <v>931</v>
      </c>
      <c r="AC22" s="173" t="s">
        <v>366</v>
      </c>
      <c r="AD22" s="174" t="s">
        <v>453</v>
      </c>
      <c r="AE22" s="175" t="s">
        <v>932</v>
      </c>
      <c r="AF22" s="181" t="s">
        <v>452</v>
      </c>
      <c r="AG22" s="125" t="s">
        <v>456</v>
      </c>
      <c r="AH22" s="1033" t="s">
        <v>440</v>
      </c>
      <c r="AI22" s="1029" t="s">
        <v>412</v>
      </c>
      <c r="AJ22" s="180" t="s">
        <v>129</v>
      </c>
      <c r="AK22" s="180" t="s">
        <v>390</v>
      </c>
      <c r="AL22" s="180" t="s">
        <v>386</v>
      </c>
      <c r="AM22" s="180" t="s">
        <v>130</v>
      </c>
      <c r="AN22" s="180" t="s">
        <v>443</v>
      </c>
      <c r="AO22" s="180" t="s">
        <v>127</v>
      </c>
      <c r="AP22" s="180" t="s">
        <v>387</v>
      </c>
      <c r="AQ22" s="180" t="s">
        <v>388</v>
      </c>
      <c r="AR22" s="180" t="s">
        <v>389</v>
      </c>
      <c r="AS22" s="180" t="s">
        <v>391</v>
      </c>
      <c r="AT22" s="180" t="s">
        <v>392</v>
      </c>
      <c r="AU22" s="180" t="s">
        <v>155</v>
      </c>
      <c r="AV22" s="1030" t="s">
        <v>393</v>
      </c>
      <c r="AW22" s="1030" t="s">
        <v>417</v>
      </c>
      <c r="AX22" s="1030" t="s">
        <v>418</v>
      </c>
      <c r="AY22" s="1029" t="s">
        <v>131</v>
      </c>
      <c r="AZ22" s="180" t="s">
        <v>128</v>
      </c>
      <c r="BA22" s="1031" t="s">
        <v>394</v>
      </c>
      <c r="BB22" s="1032" t="s">
        <v>400</v>
      </c>
      <c r="BC22" s="1032" t="s">
        <v>395</v>
      </c>
      <c r="BD22" s="1032" t="s">
        <v>441</v>
      </c>
      <c r="BE22" s="1032" t="s">
        <v>442</v>
      </c>
      <c r="BF22" s="1032" t="s">
        <v>396</v>
      </c>
      <c r="BG22" s="1032" t="s">
        <v>397</v>
      </c>
      <c r="BH22" s="1032" t="s">
        <v>398</v>
      </c>
      <c r="BI22" s="1032" t="s">
        <v>399</v>
      </c>
      <c r="BJ22" s="1032" t="s">
        <v>401</v>
      </c>
      <c r="BK22" s="1032" t="s">
        <v>424</v>
      </c>
      <c r="BL22" s="1032" t="s">
        <v>402</v>
      </c>
      <c r="BM22" s="1032" t="s">
        <v>403</v>
      </c>
      <c r="BN22" s="1032" t="s">
        <v>420</v>
      </c>
      <c r="BO22" s="1032" t="s">
        <v>421</v>
      </c>
      <c r="BP22" s="1032" t="s">
        <v>422</v>
      </c>
      <c r="BQ22" s="1033" t="s">
        <v>447</v>
      </c>
    </row>
    <row r="23" spans="1:69" ht="14.45" customHeight="1">
      <c r="A23" s="1122" t="s">
        <v>1475</v>
      </c>
      <c r="B23" s="1123"/>
      <c r="C23" s="1123"/>
      <c r="D23" s="1123"/>
      <c r="E23" s="1123"/>
      <c r="F23" s="1123"/>
      <c r="G23" s="1123"/>
      <c r="H23" s="1124"/>
      <c r="L23" s="129" t="s">
        <v>471</v>
      </c>
      <c r="M23" s="762" t="s">
        <v>426</v>
      </c>
      <c r="N23" s="15" t="s">
        <v>448</v>
      </c>
      <c r="O23" s="15" t="s">
        <v>1015</v>
      </c>
      <c r="P23" s="15" t="str">
        <f t="shared" ref="P23:P54" si="13">IF(V23&lt;0.095,"melt inclusion","bubble-dominated MI")</f>
        <v>melt inclusion</v>
      </c>
      <c r="Q23" s="15" t="s">
        <v>468</v>
      </c>
      <c r="R23" s="89">
        <v>87.4</v>
      </c>
      <c r="S23" s="191" t="s">
        <v>64</v>
      </c>
      <c r="T23" s="102">
        <f t="shared" ref="T23:T67" si="14" xml:space="preserve"> 20.1*AO23+1014</f>
        <v>1245.7429500000001</v>
      </c>
      <c r="U23" s="27" t="s">
        <v>416</v>
      </c>
      <c r="V23" s="90">
        <v>7.1688547933868155E-2</v>
      </c>
      <c r="W23" s="108">
        <v>102.74000000000001</v>
      </c>
      <c r="X23" s="183" t="s">
        <v>462</v>
      </c>
      <c r="Y23" s="104">
        <v>3.3463216408563312E-2</v>
      </c>
      <c r="Z23" s="186" t="s">
        <v>462</v>
      </c>
      <c r="AA23" s="111" t="s">
        <v>64</v>
      </c>
      <c r="AB23" s="28" t="str">
        <f t="shared" ref="AB23:AB54" si="15">IF(ISNUMBER(AA23),(0.0684*((AA23/1000))^3-0.5008*((AA23/1000))^2+4.47*((AA23/1000))),"-")</f>
        <v>-</v>
      </c>
      <c r="AC23" s="200" t="s">
        <v>472</v>
      </c>
      <c r="AD23" s="27" t="s">
        <v>64</v>
      </c>
      <c r="AE23" s="198" t="s">
        <v>64</v>
      </c>
      <c r="AF23" s="199" t="s">
        <v>64</v>
      </c>
      <c r="AG23" s="1037" t="s">
        <v>1113</v>
      </c>
      <c r="AH23" s="1036" t="s">
        <v>64</v>
      </c>
      <c r="AI23" s="18">
        <v>0.87</v>
      </c>
      <c r="AJ23" s="16">
        <v>49.402285714285711</v>
      </c>
      <c r="AK23" s="16">
        <v>2.3015714285714282</v>
      </c>
      <c r="AL23" s="16">
        <v>11.88007142857143</v>
      </c>
      <c r="AM23" s="16">
        <v>11.2</v>
      </c>
      <c r="AN23" s="16">
        <v>9.7285714285714295E-2</v>
      </c>
      <c r="AO23" s="16">
        <v>11.529500000000001</v>
      </c>
      <c r="AP23" s="16">
        <v>10.665714285714285</v>
      </c>
      <c r="AQ23" s="16">
        <v>2.046785714285714</v>
      </c>
      <c r="AR23" s="16">
        <v>0.46864285714285725</v>
      </c>
      <c r="AS23" s="16">
        <v>0.26749999999999996</v>
      </c>
      <c r="AT23" s="152" t="s">
        <v>64</v>
      </c>
      <c r="AU23" s="16">
        <v>0.47058823529411759</v>
      </c>
      <c r="AV23" s="17">
        <f t="shared" ref="AV23:AV54" si="16">BN23*AI23</f>
        <v>147.9</v>
      </c>
      <c r="AW23" s="27" t="str">
        <f>IF(ISNUMBER(BO23),BO23*AI23,BO23)</f>
        <v>not calculated</v>
      </c>
      <c r="AX23" s="27" t="str">
        <f>IF(AND(ISNUMBER(AV23),ISNUMBER(AW23)),AV23+AW23,"not calculated")</f>
        <v>not calculated</v>
      </c>
      <c r="AY23" s="18">
        <f>IF(ISNUMBER(AM23),(AM23/71.84)*(0.18/2)*159.69,"-")</f>
        <v>2.2406391982182625</v>
      </c>
      <c r="AZ23" s="16">
        <f>IF(ISNUMBER(AM23),(AM23/71.84)*(1-0.18)*71.84,"-")</f>
        <v>9.1839999999999993</v>
      </c>
      <c r="BA23" s="91" t="s">
        <v>64</v>
      </c>
      <c r="BB23" s="92" t="s">
        <v>64</v>
      </c>
      <c r="BC23" s="92" t="s">
        <v>64</v>
      </c>
      <c r="BD23" s="92" t="s">
        <v>64</v>
      </c>
      <c r="BE23" s="92" t="s">
        <v>64</v>
      </c>
      <c r="BF23" s="92" t="s">
        <v>64</v>
      </c>
      <c r="BG23" s="92" t="s">
        <v>64</v>
      </c>
      <c r="BH23" s="92" t="s">
        <v>64</v>
      </c>
      <c r="BI23" s="92" t="s">
        <v>64</v>
      </c>
      <c r="BJ23" s="92" t="s">
        <v>64</v>
      </c>
      <c r="BK23" s="92" t="s">
        <v>64</v>
      </c>
      <c r="BL23" s="92" t="s">
        <v>64</v>
      </c>
      <c r="BM23" s="92" t="s">
        <v>64</v>
      </c>
      <c r="BN23" s="42">
        <v>170</v>
      </c>
      <c r="BO23" s="95" t="s">
        <v>475</v>
      </c>
      <c r="BP23" s="95" t="str">
        <f>IF(AND(ISNUMBER(BN23),ISNUMBER(BO23)),BN23+BO23,"not calculated")</f>
        <v>not calculated</v>
      </c>
      <c r="BQ23" s="92" t="s">
        <v>64</v>
      </c>
    </row>
    <row r="24" spans="1:69" ht="14.45" customHeight="1">
      <c r="A24" s="1125"/>
      <c r="B24" s="1126"/>
      <c r="C24" s="1126"/>
      <c r="D24" s="1126"/>
      <c r="E24" s="1126"/>
      <c r="F24" s="1126"/>
      <c r="G24" s="1126"/>
      <c r="H24" s="1127"/>
      <c r="L24" s="127" t="s">
        <v>64</v>
      </c>
      <c r="M24" s="763" t="s">
        <v>426</v>
      </c>
      <c r="N24" s="15" t="s">
        <v>448</v>
      </c>
      <c r="O24" s="15" t="s">
        <v>1016</v>
      </c>
      <c r="P24" s="15" t="str">
        <f t="shared" si="13"/>
        <v>melt inclusion</v>
      </c>
      <c r="Q24" s="15" t="s">
        <v>468</v>
      </c>
      <c r="R24" s="89">
        <v>87.4</v>
      </c>
      <c r="S24" s="191" t="s">
        <v>64</v>
      </c>
      <c r="T24" s="102">
        <f t="shared" si="14"/>
        <v>1245.7429500000001</v>
      </c>
      <c r="U24" s="27" t="s">
        <v>416</v>
      </c>
      <c r="V24" s="90">
        <v>4.2117154303310297E-2</v>
      </c>
      <c r="W24" s="109">
        <v>102.80999999999995</v>
      </c>
      <c r="X24" s="183" t="s">
        <v>462</v>
      </c>
      <c r="Y24" s="104">
        <v>5.9368935784732457E-2</v>
      </c>
      <c r="Z24" s="187" t="s">
        <v>462</v>
      </c>
      <c r="AA24" s="112" t="s">
        <v>64</v>
      </c>
      <c r="AB24" s="28" t="str">
        <f t="shared" si="15"/>
        <v>-</v>
      </c>
      <c r="AC24" s="57">
        <v>1775</v>
      </c>
      <c r="AD24" s="27">
        <v>245</v>
      </c>
      <c r="AE24" s="28">
        <f>(0.0684*((AC24/1000))^3-0.5008*((AC24/1000))^2+4.47*((AC24/1000)))</f>
        <v>6.7389343812499991</v>
      </c>
      <c r="AF24" s="47">
        <f>AVERAGE(((((0.0684*(((AC24+AD24)/1000))^3-0.5008*(((AC24+AD24)/1000))^2+4.47*(((AC24+AD24)/1000))))) - AC24), (AC24 - (((0.0684*(((AC24-AD24)/1000))^3-0.5008*(((AC24-AD24)/1000))^2+4.47*(((AC24-AD24)/1000)))))))</f>
        <v>0.81897962020002524</v>
      </c>
      <c r="AG24" s="1038" t="s">
        <v>1113</v>
      </c>
      <c r="AH24" s="157" t="s">
        <v>64</v>
      </c>
      <c r="AI24" s="18">
        <v>0.87</v>
      </c>
      <c r="AJ24" s="16">
        <v>49.402285714285711</v>
      </c>
      <c r="AK24" s="16">
        <v>2.3015714285714282</v>
      </c>
      <c r="AL24" s="16">
        <v>11.88007142857143</v>
      </c>
      <c r="AM24" s="16">
        <v>11.2</v>
      </c>
      <c r="AN24" s="16">
        <v>9.7285714285714295E-2</v>
      </c>
      <c r="AO24" s="16">
        <v>11.529500000000001</v>
      </c>
      <c r="AP24" s="16">
        <v>10.665714285714285</v>
      </c>
      <c r="AQ24" s="16">
        <v>2.046785714285714</v>
      </c>
      <c r="AR24" s="16">
        <v>0.46864285714285725</v>
      </c>
      <c r="AS24" s="16">
        <v>0.26749999999999996</v>
      </c>
      <c r="AT24" s="152" t="s">
        <v>64</v>
      </c>
      <c r="AU24" s="16">
        <v>0.47058823529411759</v>
      </c>
      <c r="AV24" s="17">
        <f t="shared" si="16"/>
        <v>147.9</v>
      </c>
      <c r="AW24" s="27">
        <f>IF(ISNUMBER(BO24),BO24*AI24,BO24)</f>
        <v>825.0502410633942</v>
      </c>
      <c r="AX24" s="27">
        <f>IF(AND(ISNUMBER(AV24),ISNUMBER(AW24)),AV24+AW24,"not calculated")</f>
        <v>972.95024106339417</v>
      </c>
      <c r="AY24" s="18">
        <f t="shared" ref="AY24:AY87" si="17">IF(ISNUMBER(AM24),(AM24/71.84)*(0.18/2)*159.69,"-")</f>
        <v>2.2406391982182625</v>
      </c>
      <c r="AZ24" s="16">
        <f t="shared" ref="AZ24:AZ87" si="18">IF(ISNUMBER(AM24),(AM24/71.84)*(1-0.18)*71.84,"-")</f>
        <v>9.1839999999999993</v>
      </c>
      <c r="BA24" s="93" t="s">
        <v>64</v>
      </c>
      <c r="BB24" s="92" t="s">
        <v>64</v>
      </c>
      <c r="BC24" s="92" t="s">
        <v>64</v>
      </c>
      <c r="BD24" s="92" t="s">
        <v>64</v>
      </c>
      <c r="BE24" s="92" t="s">
        <v>64</v>
      </c>
      <c r="BF24" s="92" t="s">
        <v>64</v>
      </c>
      <c r="BG24" s="92" t="s">
        <v>64</v>
      </c>
      <c r="BH24" s="92" t="s">
        <v>64</v>
      </c>
      <c r="BI24" s="92" t="s">
        <v>64</v>
      </c>
      <c r="BJ24" s="92" t="s">
        <v>64</v>
      </c>
      <c r="BK24" s="92" t="s">
        <v>64</v>
      </c>
      <c r="BL24" s="92" t="s">
        <v>64</v>
      </c>
      <c r="BM24" s="92" t="s">
        <v>64</v>
      </c>
      <c r="BN24" s="42">
        <v>170</v>
      </c>
      <c r="BO24" s="95">
        <v>948.33361041769444</v>
      </c>
      <c r="BP24" s="95">
        <f t="shared" ref="BP24:BP39" si="19">BN24+BO24</f>
        <v>1118.3336104176944</v>
      </c>
      <c r="BQ24" s="92" t="s">
        <v>64</v>
      </c>
    </row>
    <row r="25" spans="1:69" ht="14.45" customHeight="1">
      <c r="A25" s="1128"/>
      <c r="B25" s="1129"/>
      <c r="C25" s="1129"/>
      <c r="D25" s="1129"/>
      <c r="E25" s="1129"/>
      <c r="F25" s="1129"/>
      <c r="G25" s="1129"/>
      <c r="H25" s="1130"/>
      <c r="L25" s="129" t="s">
        <v>471</v>
      </c>
      <c r="M25" s="763" t="s">
        <v>426</v>
      </c>
      <c r="N25" s="15" t="s">
        <v>448</v>
      </c>
      <c r="O25" s="15" t="s">
        <v>1017</v>
      </c>
      <c r="P25" s="15" t="str">
        <f t="shared" si="13"/>
        <v>melt inclusion</v>
      </c>
      <c r="Q25" s="15" t="s">
        <v>468</v>
      </c>
      <c r="R25" s="89">
        <v>87.4</v>
      </c>
      <c r="S25" s="191" t="s">
        <v>64</v>
      </c>
      <c r="T25" s="102">
        <f t="shared" si="14"/>
        <v>1245.7429500000001</v>
      </c>
      <c r="U25" s="27" t="s">
        <v>416</v>
      </c>
      <c r="V25" s="90">
        <v>6.0857101682966638E-2</v>
      </c>
      <c r="W25" s="109">
        <v>102.66200000000003</v>
      </c>
      <c r="X25" s="183" t="s">
        <v>462</v>
      </c>
      <c r="Y25" s="104">
        <v>5.6303362289327197E-3</v>
      </c>
      <c r="Z25" s="187" t="s">
        <v>462</v>
      </c>
      <c r="AA25" s="112" t="s">
        <v>64</v>
      </c>
      <c r="AB25" s="28" t="str">
        <f t="shared" si="15"/>
        <v>-</v>
      </c>
      <c r="AC25" s="201" t="s">
        <v>472</v>
      </c>
      <c r="AD25" s="27" t="s">
        <v>64</v>
      </c>
      <c r="AE25" s="202" t="s">
        <v>64</v>
      </c>
      <c r="AF25" s="199" t="s">
        <v>64</v>
      </c>
      <c r="AG25" s="1038" t="s">
        <v>1113</v>
      </c>
      <c r="AH25" s="157" t="s">
        <v>64</v>
      </c>
      <c r="AI25" s="18">
        <v>0.87</v>
      </c>
      <c r="AJ25" s="16">
        <v>49.402285714285711</v>
      </c>
      <c r="AK25" s="16">
        <v>2.3015714285714282</v>
      </c>
      <c r="AL25" s="16">
        <v>11.88007142857143</v>
      </c>
      <c r="AM25" s="16">
        <v>11.2</v>
      </c>
      <c r="AN25" s="16">
        <v>9.7285714285714295E-2</v>
      </c>
      <c r="AO25" s="16">
        <v>11.529500000000001</v>
      </c>
      <c r="AP25" s="16">
        <v>10.665714285714285</v>
      </c>
      <c r="AQ25" s="16">
        <v>2.046785714285714</v>
      </c>
      <c r="AR25" s="16">
        <v>0.46864285714285725</v>
      </c>
      <c r="AS25" s="16">
        <v>0.26749999999999996</v>
      </c>
      <c r="AT25" s="152" t="s">
        <v>64</v>
      </c>
      <c r="AU25" s="16">
        <v>0.47058823529411759</v>
      </c>
      <c r="AV25" s="17">
        <f t="shared" si="16"/>
        <v>147.9</v>
      </c>
      <c r="AW25" s="27" t="str">
        <f t="shared" ref="AW25:AW88" si="20">IF(ISNUMBER(BO25),BO25*AI25,BO25)</f>
        <v>not calculated</v>
      </c>
      <c r="AX25" s="27" t="str">
        <f t="shared" ref="AX25:AX88" si="21">IF(AND(ISNUMBER(AV25),ISNUMBER(AW25)),AV25+AW25,"not calculated")</f>
        <v>not calculated</v>
      </c>
      <c r="AY25" s="18">
        <f t="shared" si="17"/>
        <v>2.2406391982182625</v>
      </c>
      <c r="AZ25" s="16">
        <f t="shared" si="18"/>
        <v>9.1839999999999993</v>
      </c>
      <c r="BA25" s="93" t="s">
        <v>64</v>
      </c>
      <c r="BB25" s="92" t="s">
        <v>64</v>
      </c>
      <c r="BC25" s="92" t="s">
        <v>64</v>
      </c>
      <c r="BD25" s="92" t="s">
        <v>64</v>
      </c>
      <c r="BE25" s="92" t="s">
        <v>64</v>
      </c>
      <c r="BF25" s="92" t="s">
        <v>64</v>
      </c>
      <c r="BG25" s="92" t="s">
        <v>64</v>
      </c>
      <c r="BH25" s="92" t="s">
        <v>64</v>
      </c>
      <c r="BI25" s="92" t="s">
        <v>64</v>
      </c>
      <c r="BJ25" s="92" t="s">
        <v>64</v>
      </c>
      <c r="BK25" s="92" t="s">
        <v>64</v>
      </c>
      <c r="BL25" s="92" t="s">
        <v>64</v>
      </c>
      <c r="BM25" s="92" t="s">
        <v>64</v>
      </c>
      <c r="BN25" s="42">
        <v>170</v>
      </c>
      <c r="BO25" s="95" t="s">
        <v>475</v>
      </c>
      <c r="BP25" s="95" t="str">
        <f>IF(AND(ISNUMBER(BN25),ISNUMBER(BO25)),BN25+BO25,"not calculated")</f>
        <v>not calculated</v>
      </c>
      <c r="BQ25" s="92" t="s">
        <v>64</v>
      </c>
    </row>
    <row r="26" spans="1:69" ht="14.45" customHeight="1">
      <c r="L26" s="127" t="s">
        <v>64</v>
      </c>
      <c r="M26" s="763" t="s">
        <v>426</v>
      </c>
      <c r="N26" s="15" t="s">
        <v>448</v>
      </c>
      <c r="O26" s="15" t="s">
        <v>1018</v>
      </c>
      <c r="P26" s="15" t="str">
        <f t="shared" si="13"/>
        <v>melt inclusion</v>
      </c>
      <c r="Q26" s="15" t="s">
        <v>468</v>
      </c>
      <c r="R26" s="89">
        <v>87.4</v>
      </c>
      <c r="S26" s="191" t="s">
        <v>64</v>
      </c>
      <c r="T26" s="102">
        <f t="shared" si="14"/>
        <v>1245.7429500000001</v>
      </c>
      <c r="U26" s="27" t="s">
        <v>416</v>
      </c>
      <c r="V26" s="90">
        <v>4.5750098284928022E-2</v>
      </c>
      <c r="W26" s="109">
        <v>102.72199999999998</v>
      </c>
      <c r="X26" s="183" t="s">
        <v>462</v>
      </c>
      <c r="Y26" s="104">
        <v>2.6940674455545377E-2</v>
      </c>
      <c r="Z26" s="187" t="s">
        <v>462</v>
      </c>
      <c r="AA26" s="112" t="s">
        <v>64</v>
      </c>
      <c r="AB26" s="28" t="str">
        <f t="shared" si="15"/>
        <v>-</v>
      </c>
      <c r="AC26" s="57">
        <v>1081</v>
      </c>
      <c r="AD26" s="27">
        <v>155.5</v>
      </c>
      <c r="AE26" s="28">
        <f>(0.0684*((AC26/1000))^3-0.5008*((AC26/1000))^2+4.47*((AC26/1000)))</f>
        <v>4.3332585189644002</v>
      </c>
      <c r="AF26" s="47">
        <f>AVERAGE(((((0.0684*(((AC26+AD26)/1000))^3-0.5008*(((AC26+AD26)/1000))^2+4.47*(((AC26+AD26)/1000))))) - AC26), (AC26 - (((0.0684*(((AC26-AD26)/1000))^3-0.5008*(((AC26-AD26)/1000))^2+4.47*(((AC26-AD26)/1000)))))))</f>
        <v>0.56426487869964603</v>
      </c>
      <c r="AG26" s="1038" t="s">
        <v>1113</v>
      </c>
      <c r="AH26" s="157" t="s">
        <v>64</v>
      </c>
      <c r="AI26" s="18">
        <v>0.87</v>
      </c>
      <c r="AJ26" s="16">
        <v>49.402285714285711</v>
      </c>
      <c r="AK26" s="16">
        <v>2.3015714285714282</v>
      </c>
      <c r="AL26" s="16">
        <v>11.88007142857143</v>
      </c>
      <c r="AM26" s="16">
        <v>11.2</v>
      </c>
      <c r="AN26" s="16">
        <v>9.7285714285714295E-2</v>
      </c>
      <c r="AO26" s="16">
        <v>11.529500000000001</v>
      </c>
      <c r="AP26" s="16">
        <v>10.665714285714285</v>
      </c>
      <c r="AQ26" s="16">
        <v>2.046785714285714</v>
      </c>
      <c r="AR26" s="16">
        <v>0.46864285714285725</v>
      </c>
      <c r="AS26" s="16">
        <v>0.26749999999999996</v>
      </c>
      <c r="AT26" s="152" t="s">
        <v>64</v>
      </c>
      <c r="AU26" s="16">
        <v>0.47058823529411759</v>
      </c>
      <c r="AV26" s="17">
        <f t="shared" si="16"/>
        <v>147.9</v>
      </c>
      <c r="AW26" s="27">
        <f t="shared" si="20"/>
        <v>408.43316243624798</v>
      </c>
      <c r="AX26" s="27">
        <f t="shared" si="21"/>
        <v>556.33316243624802</v>
      </c>
      <c r="AY26" s="18">
        <f t="shared" si="17"/>
        <v>2.2406391982182625</v>
      </c>
      <c r="AZ26" s="16">
        <f t="shared" si="18"/>
        <v>9.1839999999999993</v>
      </c>
      <c r="BA26" s="93" t="s">
        <v>64</v>
      </c>
      <c r="BB26" s="92" t="s">
        <v>64</v>
      </c>
      <c r="BC26" s="92" t="s">
        <v>64</v>
      </c>
      <c r="BD26" s="92" t="s">
        <v>64</v>
      </c>
      <c r="BE26" s="92" t="s">
        <v>64</v>
      </c>
      <c r="BF26" s="92" t="s">
        <v>64</v>
      </c>
      <c r="BG26" s="92" t="s">
        <v>64</v>
      </c>
      <c r="BH26" s="92" t="s">
        <v>64</v>
      </c>
      <c r="BI26" s="92" t="s">
        <v>64</v>
      </c>
      <c r="BJ26" s="92" t="s">
        <v>64</v>
      </c>
      <c r="BK26" s="92" t="s">
        <v>64</v>
      </c>
      <c r="BL26" s="92" t="s">
        <v>64</v>
      </c>
      <c r="BM26" s="92" t="s">
        <v>64</v>
      </c>
      <c r="BN26" s="42">
        <v>170</v>
      </c>
      <c r="BO26" s="95">
        <v>469.46340509913563</v>
      </c>
      <c r="BP26" s="95">
        <f t="shared" si="19"/>
        <v>639.46340509913557</v>
      </c>
      <c r="BQ26" s="92" t="s">
        <v>64</v>
      </c>
    </row>
    <row r="27" spans="1:69" ht="14.45" customHeight="1">
      <c r="A27" s="1122" t="s">
        <v>1477</v>
      </c>
      <c r="B27" s="1123"/>
      <c r="C27" s="1123"/>
      <c r="D27" s="1123"/>
      <c r="E27" s="1123"/>
      <c r="F27" s="1123"/>
      <c r="G27" s="1123"/>
      <c r="H27" s="1124"/>
      <c r="L27" s="129" t="s">
        <v>471</v>
      </c>
      <c r="M27" s="763" t="s">
        <v>426</v>
      </c>
      <c r="N27" s="15" t="s">
        <v>448</v>
      </c>
      <c r="O27" s="15" t="s">
        <v>1019</v>
      </c>
      <c r="P27" s="15" t="str">
        <f t="shared" si="13"/>
        <v>melt inclusion</v>
      </c>
      <c r="Q27" s="15" t="s">
        <v>468</v>
      </c>
      <c r="R27" s="89">
        <v>87.4</v>
      </c>
      <c r="S27" s="191" t="s">
        <v>64</v>
      </c>
      <c r="T27" s="102">
        <f t="shared" si="14"/>
        <v>1245.7429500000001</v>
      </c>
      <c r="U27" s="27" t="s">
        <v>416</v>
      </c>
      <c r="V27" s="90">
        <v>7.7872476279453498E-2</v>
      </c>
      <c r="W27" s="109">
        <v>102.80099999999993</v>
      </c>
      <c r="X27" s="183" t="s">
        <v>462</v>
      </c>
      <c r="Y27" s="104">
        <v>5.5991363762586843E-2</v>
      </c>
      <c r="Z27" s="187" t="s">
        <v>462</v>
      </c>
      <c r="AA27" s="112" t="s">
        <v>64</v>
      </c>
      <c r="AB27" s="28" t="str">
        <f t="shared" si="15"/>
        <v>-</v>
      </c>
      <c r="AC27" s="201" t="s">
        <v>472</v>
      </c>
      <c r="AD27" s="27" t="s">
        <v>64</v>
      </c>
      <c r="AE27" s="202" t="s">
        <v>64</v>
      </c>
      <c r="AF27" s="199" t="s">
        <v>64</v>
      </c>
      <c r="AG27" s="1038" t="s">
        <v>1113</v>
      </c>
      <c r="AH27" s="157" t="s">
        <v>64</v>
      </c>
      <c r="AI27" s="18">
        <v>0.87</v>
      </c>
      <c r="AJ27" s="16">
        <v>49.402285714285711</v>
      </c>
      <c r="AK27" s="16">
        <v>2.3015714285714282</v>
      </c>
      <c r="AL27" s="16">
        <v>11.88007142857143</v>
      </c>
      <c r="AM27" s="16">
        <v>11.2</v>
      </c>
      <c r="AN27" s="16">
        <v>9.7285714285714295E-2</v>
      </c>
      <c r="AO27" s="16">
        <v>11.529500000000001</v>
      </c>
      <c r="AP27" s="16">
        <v>10.665714285714285</v>
      </c>
      <c r="AQ27" s="16">
        <v>2.046785714285714</v>
      </c>
      <c r="AR27" s="16">
        <v>0.46864285714285725</v>
      </c>
      <c r="AS27" s="16">
        <v>0.26749999999999996</v>
      </c>
      <c r="AT27" s="152" t="s">
        <v>64</v>
      </c>
      <c r="AU27" s="16">
        <v>0.47058823529411759</v>
      </c>
      <c r="AV27" s="17">
        <f t="shared" si="16"/>
        <v>147.9</v>
      </c>
      <c r="AW27" s="27" t="str">
        <f t="shared" si="20"/>
        <v>not calculated</v>
      </c>
      <c r="AX27" s="27" t="str">
        <f t="shared" si="21"/>
        <v>not calculated</v>
      </c>
      <c r="AY27" s="18">
        <f t="shared" si="17"/>
        <v>2.2406391982182625</v>
      </c>
      <c r="AZ27" s="16">
        <f t="shared" si="18"/>
        <v>9.1839999999999993</v>
      </c>
      <c r="BA27" s="93" t="s">
        <v>64</v>
      </c>
      <c r="BB27" s="92" t="s">
        <v>64</v>
      </c>
      <c r="BC27" s="92" t="s">
        <v>64</v>
      </c>
      <c r="BD27" s="92" t="s">
        <v>64</v>
      </c>
      <c r="BE27" s="92" t="s">
        <v>64</v>
      </c>
      <c r="BF27" s="92" t="s">
        <v>64</v>
      </c>
      <c r="BG27" s="92" t="s">
        <v>64</v>
      </c>
      <c r="BH27" s="92" t="s">
        <v>64</v>
      </c>
      <c r="BI27" s="92" t="s">
        <v>64</v>
      </c>
      <c r="BJ27" s="92" t="s">
        <v>64</v>
      </c>
      <c r="BK27" s="92" t="s">
        <v>64</v>
      </c>
      <c r="BL27" s="92" t="s">
        <v>64</v>
      </c>
      <c r="BM27" s="92" t="s">
        <v>64</v>
      </c>
      <c r="BN27" s="42">
        <v>170</v>
      </c>
      <c r="BO27" s="95" t="s">
        <v>475</v>
      </c>
      <c r="BP27" s="95" t="str">
        <f t="shared" ref="BP27:BP28" si="22">IF(AND(ISNUMBER(BN27),ISNUMBER(BO27)),BN27+BO27,"not calculated")</f>
        <v>not calculated</v>
      </c>
      <c r="BQ27" s="92" t="s">
        <v>64</v>
      </c>
    </row>
    <row r="28" spans="1:69" ht="14.45" customHeight="1">
      <c r="A28" s="1125"/>
      <c r="B28" s="1126"/>
      <c r="C28" s="1126"/>
      <c r="D28" s="1126"/>
      <c r="E28" s="1126"/>
      <c r="F28" s="1126"/>
      <c r="G28" s="1126"/>
      <c r="H28" s="1127"/>
      <c r="L28" s="131" t="s">
        <v>473</v>
      </c>
      <c r="M28" s="763" t="s">
        <v>426</v>
      </c>
      <c r="N28" s="15" t="s">
        <v>448</v>
      </c>
      <c r="O28" s="15" t="s">
        <v>1020</v>
      </c>
      <c r="P28" s="15" t="str">
        <f t="shared" si="13"/>
        <v>bubble-dominated MI</v>
      </c>
      <c r="Q28" s="15" t="s">
        <v>468</v>
      </c>
      <c r="R28" s="89">
        <v>87.4</v>
      </c>
      <c r="S28" s="191" t="s">
        <v>64</v>
      </c>
      <c r="T28" s="102">
        <f t="shared" si="14"/>
        <v>1245.7429500000001</v>
      </c>
      <c r="U28" s="27" t="s">
        <v>416</v>
      </c>
      <c r="V28" s="90">
        <v>0.33891682004793866</v>
      </c>
      <c r="W28" s="109">
        <v>102.98399999999992</v>
      </c>
      <c r="X28" s="183" t="s">
        <v>462</v>
      </c>
      <c r="Y28" s="104">
        <v>0.12714966035127873</v>
      </c>
      <c r="Z28" s="187" t="s">
        <v>462</v>
      </c>
      <c r="AA28" s="112">
        <v>399</v>
      </c>
      <c r="AB28" s="28">
        <f t="shared" si="15"/>
        <v>1.7081469892116001</v>
      </c>
      <c r="AC28" s="201" t="s">
        <v>474</v>
      </c>
      <c r="AD28" s="27" t="s">
        <v>64</v>
      </c>
      <c r="AE28" s="202" t="s">
        <v>64</v>
      </c>
      <c r="AF28" s="199" t="s">
        <v>64</v>
      </c>
      <c r="AG28" s="1038" t="s">
        <v>1113</v>
      </c>
      <c r="AH28" s="157" t="s">
        <v>64</v>
      </c>
      <c r="AI28" s="18">
        <v>0.87</v>
      </c>
      <c r="AJ28" s="16">
        <v>49.402285714285711</v>
      </c>
      <c r="AK28" s="16">
        <v>2.3015714285714282</v>
      </c>
      <c r="AL28" s="16">
        <v>11.88007142857143</v>
      </c>
      <c r="AM28" s="16">
        <v>11.2</v>
      </c>
      <c r="AN28" s="16">
        <v>9.7285714285714295E-2</v>
      </c>
      <c r="AO28" s="16">
        <v>11.529500000000001</v>
      </c>
      <c r="AP28" s="16">
        <v>10.665714285714285</v>
      </c>
      <c r="AQ28" s="16">
        <v>2.046785714285714</v>
      </c>
      <c r="AR28" s="16">
        <v>0.46864285714285725</v>
      </c>
      <c r="AS28" s="16">
        <v>0.26749999999999996</v>
      </c>
      <c r="AT28" s="152" t="s">
        <v>64</v>
      </c>
      <c r="AU28" s="16">
        <v>0.47058823529411759</v>
      </c>
      <c r="AV28" s="17">
        <f t="shared" si="16"/>
        <v>147.9</v>
      </c>
      <c r="AW28" s="27" t="str">
        <f t="shared" si="20"/>
        <v>not calculated</v>
      </c>
      <c r="AX28" s="27" t="str">
        <f t="shared" si="21"/>
        <v>not calculated</v>
      </c>
      <c r="AY28" s="18">
        <f t="shared" si="17"/>
        <v>2.2406391982182625</v>
      </c>
      <c r="AZ28" s="16">
        <f t="shared" si="18"/>
        <v>9.1839999999999993</v>
      </c>
      <c r="BA28" s="93" t="s">
        <v>64</v>
      </c>
      <c r="BB28" s="92" t="s">
        <v>64</v>
      </c>
      <c r="BC28" s="92" t="s">
        <v>64</v>
      </c>
      <c r="BD28" s="92" t="s">
        <v>64</v>
      </c>
      <c r="BE28" s="92" t="s">
        <v>64</v>
      </c>
      <c r="BF28" s="92" t="s">
        <v>64</v>
      </c>
      <c r="BG28" s="92" t="s">
        <v>64</v>
      </c>
      <c r="BH28" s="92" t="s">
        <v>64</v>
      </c>
      <c r="BI28" s="92" t="s">
        <v>64</v>
      </c>
      <c r="BJ28" s="92" t="s">
        <v>64</v>
      </c>
      <c r="BK28" s="92" t="s">
        <v>64</v>
      </c>
      <c r="BL28" s="92" t="s">
        <v>64</v>
      </c>
      <c r="BM28" s="92" t="s">
        <v>64</v>
      </c>
      <c r="BN28" s="42">
        <v>170</v>
      </c>
      <c r="BO28" s="95" t="s">
        <v>475</v>
      </c>
      <c r="BP28" s="95" t="str">
        <f t="shared" si="22"/>
        <v>not calculated</v>
      </c>
      <c r="BQ28" s="92" t="s">
        <v>64</v>
      </c>
    </row>
    <row r="29" spans="1:69" ht="14.45" customHeight="1">
      <c r="A29" s="1128"/>
      <c r="B29" s="1129"/>
      <c r="C29" s="1129"/>
      <c r="D29" s="1129"/>
      <c r="E29" s="1129"/>
      <c r="F29" s="1129"/>
      <c r="G29" s="1129"/>
      <c r="H29" s="1130"/>
      <c r="L29" s="127" t="s">
        <v>64</v>
      </c>
      <c r="M29" s="763" t="s">
        <v>426</v>
      </c>
      <c r="N29" s="15" t="s">
        <v>448</v>
      </c>
      <c r="O29" s="15" t="s">
        <v>1021</v>
      </c>
      <c r="P29" s="15" t="str">
        <f t="shared" si="13"/>
        <v>melt inclusion</v>
      </c>
      <c r="Q29" s="15" t="s">
        <v>468</v>
      </c>
      <c r="R29" s="89">
        <v>87.4</v>
      </c>
      <c r="S29" s="191" t="s">
        <v>64</v>
      </c>
      <c r="T29" s="102">
        <f t="shared" si="14"/>
        <v>1245.7429500000001</v>
      </c>
      <c r="U29" s="27" t="s">
        <v>416</v>
      </c>
      <c r="V29" s="90">
        <v>3.5597793555722367E-2</v>
      </c>
      <c r="W29" s="109">
        <v>102.77099999999996</v>
      </c>
      <c r="X29" s="183" t="s">
        <v>462</v>
      </c>
      <c r="Y29" s="104">
        <v>4.4831506740592886E-2</v>
      </c>
      <c r="Z29" s="187" t="s">
        <v>462</v>
      </c>
      <c r="AA29" s="112" t="s">
        <v>64</v>
      </c>
      <c r="AB29" s="116" t="str">
        <f t="shared" si="15"/>
        <v>-</v>
      </c>
      <c r="AC29" s="57">
        <v>1279</v>
      </c>
      <c r="AD29" s="27">
        <v>182</v>
      </c>
      <c r="AE29" s="28">
        <f>(0.0684*((AC29/1000))^3-0.5008*((AC29/1000))^2+4.47*((AC29/1000)))</f>
        <v>5.0410100869075993</v>
      </c>
      <c r="AF29" s="47">
        <f>AVERAGE(((((0.0684*(((AC29+AD29)/1000))^3-0.5008*(((AC29+AD29)/1000))^2+4.47*(((AC29+AD29)/1000))))) - AC29), (AC29 - (((0.0684*(((AC29-AD29)/1000))^3-0.5008*(((AC29-AD29)/1000))^2+4.47*(((AC29-AD29)/1000)))))))</f>
        <v>0.64189468157360352</v>
      </c>
      <c r="AG29" s="1038" t="s">
        <v>1113</v>
      </c>
      <c r="AH29" s="157" t="s">
        <v>64</v>
      </c>
      <c r="AI29" s="18">
        <v>0.87</v>
      </c>
      <c r="AJ29" s="16">
        <v>49.402285714285711</v>
      </c>
      <c r="AK29" s="16">
        <v>2.3015714285714282</v>
      </c>
      <c r="AL29" s="16">
        <v>11.88007142857143</v>
      </c>
      <c r="AM29" s="16">
        <v>11.2</v>
      </c>
      <c r="AN29" s="16">
        <v>9.7285714285714295E-2</v>
      </c>
      <c r="AO29" s="16">
        <v>11.529500000000001</v>
      </c>
      <c r="AP29" s="16">
        <v>10.665714285714285</v>
      </c>
      <c r="AQ29" s="16">
        <v>2.046785714285714</v>
      </c>
      <c r="AR29" s="16">
        <v>0.46864285714285725</v>
      </c>
      <c r="AS29" s="16">
        <v>0.26749999999999996</v>
      </c>
      <c r="AT29" s="152" t="s">
        <v>64</v>
      </c>
      <c r="AU29" s="16">
        <v>0.47058823529411759</v>
      </c>
      <c r="AV29" s="17">
        <f t="shared" si="16"/>
        <v>147.9</v>
      </c>
      <c r="AW29" s="27">
        <f t="shared" si="20"/>
        <v>523.20697025555091</v>
      </c>
      <c r="AX29" s="27">
        <f t="shared" si="21"/>
        <v>671.10697025555089</v>
      </c>
      <c r="AY29" s="18">
        <f t="shared" si="17"/>
        <v>2.2406391982182625</v>
      </c>
      <c r="AZ29" s="16">
        <f t="shared" si="18"/>
        <v>9.1839999999999993</v>
      </c>
      <c r="BA29" s="93" t="s">
        <v>64</v>
      </c>
      <c r="BB29" s="92" t="s">
        <v>64</v>
      </c>
      <c r="BC29" s="92" t="s">
        <v>64</v>
      </c>
      <c r="BD29" s="92" t="s">
        <v>64</v>
      </c>
      <c r="BE29" s="92" t="s">
        <v>64</v>
      </c>
      <c r="BF29" s="92" t="s">
        <v>64</v>
      </c>
      <c r="BG29" s="92" t="s">
        <v>64</v>
      </c>
      <c r="BH29" s="92" t="s">
        <v>64</v>
      </c>
      <c r="BI29" s="92" t="s">
        <v>64</v>
      </c>
      <c r="BJ29" s="92" t="s">
        <v>64</v>
      </c>
      <c r="BK29" s="92" t="s">
        <v>64</v>
      </c>
      <c r="BL29" s="92" t="s">
        <v>64</v>
      </c>
      <c r="BM29" s="92" t="s">
        <v>64</v>
      </c>
      <c r="BN29" s="42">
        <v>170</v>
      </c>
      <c r="BO29" s="95">
        <v>601.38732213281719</v>
      </c>
      <c r="BP29" s="95">
        <f t="shared" si="19"/>
        <v>771.38732213281719</v>
      </c>
      <c r="BQ29" s="92" t="s">
        <v>64</v>
      </c>
    </row>
    <row r="30" spans="1:69" ht="14.45" customHeight="1">
      <c r="L30" s="129" t="s">
        <v>471</v>
      </c>
      <c r="M30" s="763" t="s">
        <v>426</v>
      </c>
      <c r="N30" s="15" t="s">
        <v>448</v>
      </c>
      <c r="O30" s="15" t="s">
        <v>1022</v>
      </c>
      <c r="P30" s="15" t="str">
        <f t="shared" si="13"/>
        <v>melt inclusion</v>
      </c>
      <c r="Q30" s="15" t="s">
        <v>468</v>
      </c>
      <c r="R30" s="89">
        <v>87.4</v>
      </c>
      <c r="S30" s="191" t="s">
        <v>64</v>
      </c>
      <c r="T30" s="102">
        <f t="shared" si="14"/>
        <v>1245.7429500000001</v>
      </c>
      <c r="U30" s="27" t="s">
        <v>416</v>
      </c>
      <c r="V30" s="90">
        <v>5.8981817463531198E-2</v>
      </c>
      <c r="W30" s="109">
        <v>102.73500000000013</v>
      </c>
      <c r="X30" s="183" t="s">
        <v>462</v>
      </c>
      <c r="Y30" s="104">
        <v>3.1645550443499815E-2</v>
      </c>
      <c r="Z30" s="187" t="s">
        <v>462</v>
      </c>
      <c r="AA30" s="112" t="s">
        <v>64</v>
      </c>
      <c r="AB30" s="116" t="str">
        <f t="shared" si="15"/>
        <v>-</v>
      </c>
      <c r="AC30" s="201" t="s">
        <v>472</v>
      </c>
      <c r="AD30" s="27" t="s">
        <v>64</v>
      </c>
      <c r="AE30" s="202" t="s">
        <v>64</v>
      </c>
      <c r="AF30" s="199" t="s">
        <v>64</v>
      </c>
      <c r="AG30" s="1038" t="s">
        <v>1113</v>
      </c>
      <c r="AH30" s="157" t="s">
        <v>64</v>
      </c>
      <c r="AI30" s="18">
        <v>0.87</v>
      </c>
      <c r="AJ30" s="16">
        <v>49.402285714285711</v>
      </c>
      <c r="AK30" s="16">
        <v>2.3015714285714282</v>
      </c>
      <c r="AL30" s="16">
        <v>11.88007142857143</v>
      </c>
      <c r="AM30" s="16">
        <v>11.2</v>
      </c>
      <c r="AN30" s="16">
        <v>9.7285714285714295E-2</v>
      </c>
      <c r="AO30" s="16">
        <v>11.529500000000001</v>
      </c>
      <c r="AP30" s="16">
        <v>10.665714285714285</v>
      </c>
      <c r="AQ30" s="16">
        <v>2.046785714285714</v>
      </c>
      <c r="AR30" s="16">
        <v>0.46864285714285725</v>
      </c>
      <c r="AS30" s="16">
        <v>0.26749999999999996</v>
      </c>
      <c r="AT30" s="152" t="s">
        <v>64</v>
      </c>
      <c r="AU30" s="16">
        <v>0.47058823529411759</v>
      </c>
      <c r="AV30" s="17">
        <f t="shared" si="16"/>
        <v>147.9</v>
      </c>
      <c r="AW30" s="27" t="str">
        <f t="shared" si="20"/>
        <v>not calculated</v>
      </c>
      <c r="AX30" s="27" t="str">
        <f t="shared" si="21"/>
        <v>not calculated</v>
      </c>
      <c r="AY30" s="18">
        <f t="shared" si="17"/>
        <v>2.2406391982182625</v>
      </c>
      <c r="AZ30" s="16">
        <f t="shared" si="18"/>
        <v>9.1839999999999993</v>
      </c>
      <c r="BA30" s="93" t="s">
        <v>64</v>
      </c>
      <c r="BB30" s="92" t="s">
        <v>64</v>
      </c>
      <c r="BC30" s="92" t="s">
        <v>64</v>
      </c>
      <c r="BD30" s="92" t="s">
        <v>64</v>
      </c>
      <c r="BE30" s="92" t="s">
        <v>64</v>
      </c>
      <c r="BF30" s="92" t="s">
        <v>64</v>
      </c>
      <c r="BG30" s="92" t="s">
        <v>64</v>
      </c>
      <c r="BH30" s="92" t="s">
        <v>64</v>
      </c>
      <c r="BI30" s="92" t="s">
        <v>64</v>
      </c>
      <c r="BJ30" s="92" t="s">
        <v>64</v>
      </c>
      <c r="BK30" s="92" t="s">
        <v>64</v>
      </c>
      <c r="BL30" s="92" t="s">
        <v>64</v>
      </c>
      <c r="BM30" s="92" t="s">
        <v>64</v>
      </c>
      <c r="BN30" s="42">
        <v>170</v>
      </c>
      <c r="BO30" s="95" t="s">
        <v>475</v>
      </c>
      <c r="BP30" s="95" t="str">
        <f t="shared" ref="BP30:BP32" si="23">IF(AND(ISNUMBER(BN30),ISNUMBER(BO30)),BN30+BO30,"not calculated")</f>
        <v>not calculated</v>
      </c>
      <c r="BQ30" s="92" t="s">
        <v>64</v>
      </c>
    </row>
    <row r="31" spans="1:69" ht="14.45" customHeight="1">
      <c r="A31" s="88" t="s">
        <v>923</v>
      </c>
      <c r="L31" s="129" t="s">
        <v>471</v>
      </c>
      <c r="M31" s="763" t="s">
        <v>426</v>
      </c>
      <c r="N31" s="15" t="s">
        <v>448</v>
      </c>
      <c r="O31" s="15" t="s">
        <v>1023</v>
      </c>
      <c r="P31" s="15" t="str">
        <f t="shared" si="13"/>
        <v>melt inclusion</v>
      </c>
      <c r="Q31" s="15" t="s">
        <v>468</v>
      </c>
      <c r="R31" s="89">
        <v>87.4</v>
      </c>
      <c r="S31" s="191" t="s">
        <v>64</v>
      </c>
      <c r="T31" s="102">
        <f t="shared" si="14"/>
        <v>1245.7429500000001</v>
      </c>
      <c r="U31" s="27" t="s">
        <v>416</v>
      </c>
      <c r="V31" s="90">
        <v>6.0330330819474517E-2</v>
      </c>
      <c r="W31" s="109">
        <v>102.68900000000008</v>
      </c>
      <c r="X31" s="183" t="s">
        <v>462</v>
      </c>
      <c r="Y31" s="104">
        <v>1.5136465990508441E-2</v>
      </c>
      <c r="Z31" s="187" t="s">
        <v>462</v>
      </c>
      <c r="AA31" s="112" t="s">
        <v>64</v>
      </c>
      <c r="AB31" s="116" t="str">
        <f t="shared" si="15"/>
        <v>-</v>
      </c>
      <c r="AC31" s="201" t="s">
        <v>472</v>
      </c>
      <c r="AD31" s="27" t="s">
        <v>64</v>
      </c>
      <c r="AE31" s="202" t="s">
        <v>64</v>
      </c>
      <c r="AF31" s="199" t="s">
        <v>64</v>
      </c>
      <c r="AG31" s="1038" t="s">
        <v>1113</v>
      </c>
      <c r="AH31" s="157" t="s">
        <v>64</v>
      </c>
      <c r="AI31" s="18">
        <v>0.87</v>
      </c>
      <c r="AJ31" s="16">
        <v>49.402285714285711</v>
      </c>
      <c r="AK31" s="16">
        <v>2.3015714285714282</v>
      </c>
      <c r="AL31" s="16">
        <v>11.88007142857143</v>
      </c>
      <c r="AM31" s="16">
        <v>11.2</v>
      </c>
      <c r="AN31" s="16">
        <v>9.7285714285714295E-2</v>
      </c>
      <c r="AO31" s="16">
        <v>11.529500000000001</v>
      </c>
      <c r="AP31" s="16">
        <v>10.665714285714285</v>
      </c>
      <c r="AQ31" s="16">
        <v>2.046785714285714</v>
      </c>
      <c r="AR31" s="16">
        <v>0.46864285714285725</v>
      </c>
      <c r="AS31" s="16">
        <v>0.26749999999999996</v>
      </c>
      <c r="AT31" s="152" t="s">
        <v>64</v>
      </c>
      <c r="AU31" s="16">
        <v>0.47058823529411759</v>
      </c>
      <c r="AV31" s="17">
        <f t="shared" si="16"/>
        <v>147.9</v>
      </c>
      <c r="AW31" s="27" t="str">
        <f t="shared" si="20"/>
        <v>not calculated</v>
      </c>
      <c r="AX31" s="27" t="str">
        <f t="shared" si="21"/>
        <v>not calculated</v>
      </c>
      <c r="AY31" s="18">
        <f t="shared" si="17"/>
        <v>2.2406391982182625</v>
      </c>
      <c r="AZ31" s="16">
        <f t="shared" si="18"/>
        <v>9.1839999999999993</v>
      </c>
      <c r="BA31" s="93" t="s">
        <v>64</v>
      </c>
      <c r="BB31" s="92" t="s">
        <v>64</v>
      </c>
      <c r="BC31" s="92" t="s">
        <v>64</v>
      </c>
      <c r="BD31" s="92" t="s">
        <v>64</v>
      </c>
      <c r="BE31" s="92" t="s">
        <v>64</v>
      </c>
      <c r="BF31" s="92" t="s">
        <v>64</v>
      </c>
      <c r="BG31" s="92" t="s">
        <v>64</v>
      </c>
      <c r="BH31" s="92" t="s">
        <v>64</v>
      </c>
      <c r="BI31" s="92" t="s">
        <v>64</v>
      </c>
      <c r="BJ31" s="92" t="s">
        <v>64</v>
      </c>
      <c r="BK31" s="92" t="s">
        <v>64</v>
      </c>
      <c r="BL31" s="92" t="s">
        <v>64</v>
      </c>
      <c r="BM31" s="92" t="s">
        <v>64</v>
      </c>
      <c r="BN31" s="42">
        <v>170</v>
      </c>
      <c r="BO31" s="95" t="s">
        <v>475</v>
      </c>
      <c r="BP31" s="95" t="str">
        <f t="shared" si="23"/>
        <v>not calculated</v>
      </c>
      <c r="BQ31" s="92" t="s">
        <v>64</v>
      </c>
    </row>
    <row r="32" spans="1:69" ht="14.45" customHeight="1">
      <c r="A32" t="s">
        <v>488</v>
      </c>
      <c r="L32" s="129" t="s">
        <v>471</v>
      </c>
      <c r="M32" s="763" t="s">
        <v>426</v>
      </c>
      <c r="N32" s="15" t="s">
        <v>448</v>
      </c>
      <c r="O32" s="15" t="s">
        <v>1024</v>
      </c>
      <c r="P32" s="15" t="str">
        <f t="shared" si="13"/>
        <v>melt inclusion</v>
      </c>
      <c r="Q32" s="15" t="s">
        <v>468</v>
      </c>
      <c r="R32" s="89">
        <v>87.4</v>
      </c>
      <c r="S32" s="191" t="s">
        <v>64</v>
      </c>
      <c r="T32" s="102">
        <f t="shared" si="14"/>
        <v>1245.7429500000001</v>
      </c>
      <c r="U32" s="27" t="s">
        <v>416</v>
      </c>
      <c r="V32" s="90">
        <v>6.8218465183991675E-2</v>
      </c>
      <c r="W32" s="109">
        <v>102.96000000000004</v>
      </c>
      <c r="X32" s="183" t="s">
        <v>462</v>
      </c>
      <c r="Y32" s="104">
        <v>0.11753744958696188</v>
      </c>
      <c r="Z32" s="187" t="s">
        <v>462</v>
      </c>
      <c r="AA32" s="112" t="s">
        <v>64</v>
      </c>
      <c r="AB32" s="116" t="str">
        <f t="shared" si="15"/>
        <v>-</v>
      </c>
      <c r="AC32" s="201" t="s">
        <v>472</v>
      </c>
      <c r="AD32" s="27" t="s">
        <v>64</v>
      </c>
      <c r="AE32" s="202" t="s">
        <v>64</v>
      </c>
      <c r="AF32" s="199" t="s">
        <v>64</v>
      </c>
      <c r="AG32" s="1038" t="s">
        <v>1113</v>
      </c>
      <c r="AH32" s="157" t="s">
        <v>64</v>
      </c>
      <c r="AI32" s="18">
        <v>0.87</v>
      </c>
      <c r="AJ32" s="16">
        <v>49.402285714285711</v>
      </c>
      <c r="AK32" s="16">
        <v>2.3015714285714282</v>
      </c>
      <c r="AL32" s="16">
        <v>11.88007142857143</v>
      </c>
      <c r="AM32" s="16">
        <v>11.2</v>
      </c>
      <c r="AN32" s="16">
        <v>9.7285714285714295E-2</v>
      </c>
      <c r="AO32" s="16">
        <v>11.529500000000001</v>
      </c>
      <c r="AP32" s="16">
        <v>10.665714285714285</v>
      </c>
      <c r="AQ32" s="16">
        <v>2.046785714285714</v>
      </c>
      <c r="AR32" s="16">
        <v>0.46864285714285725</v>
      </c>
      <c r="AS32" s="16">
        <v>0.26749999999999996</v>
      </c>
      <c r="AT32" s="152" t="s">
        <v>64</v>
      </c>
      <c r="AU32" s="16">
        <v>0.47058823529411759</v>
      </c>
      <c r="AV32" s="17">
        <f t="shared" si="16"/>
        <v>147.9</v>
      </c>
      <c r="AW32" s="27" t="str">
        <f t="shared" si="20"/>
        <v>not calculated</v>
      </c>
      <c r="AX32" s="27" t="str">
        <f t="shared" si="21"/>
        <v>not calculated</v>
      </c>
      <c r="AY32" s="18">
        <f t="shared" si="17"/>
        <v>2.2406391982182625</v>
      </c>
      <c r="AZ32" s="16">
        <f t="shared" si="18"/>
        <v>9.1839999999999993</v>
      </c>
      <c r="BA32" s="93" t="s">
        <v>64</v>
      </c>
      <c r="BB32" s="92" t="s">
        <v>64</v>
      </c>
      <c r="BC32" s="92" t="s">
        <v>64</v>
      </c>
      <c r="BD32" s="92" t="s">
        <v>64</v>
      </c>
      <c r="BE32" s="92" t="s">
        <v>64</v>
      </c>
      <c r="BF32" s="92" t="s">
        <v>64</v>
      </c>
      <c r="BG32" s="92" t="s">
        <v>64</v>
      </c>
      <c r="BH32" s="92" t="s">
        <v>64</v>
      </c>
      <c r="BI32" s="92" t="s">
        <v>64</v>
      </c>
      <c r="BJ32" s="92" t="s">
        <v>64</v>
      </c>
      <c r="BK32" s="92" t="s">
        <v>64</v>
      </c>
      <c r="BL32" s="92" t="s">
        <v>64</v>
      </c>
      <c r="BM32" s="92" t="s">
        <v>64</v>
      </c>
      <c r="BN32" s="42">
        <v>170</v>
      </c>
      <c r="BO32" s="95" t="s">
        <v>475</v>
      </c>
      <c r="BP32" s="95" t="str">
        <f t="shared" si="23"/>
        <v>not calculated</v>
      </c>
      <c r="BQ32" s="92" t="s">
        <v>64</v>
      </c>
    </row>
    <row r="33" spans="1:69" ht="14.45" customHeight="1">
      <c r="A33" t="s">
        <v>494</v>
      </c>
      <c r="L33" s="127" t="s">
        <v>64</v>
      </c>
      <c r="M33" s="763" t="s">
        <v>426</v>
      </c>
      <c r="N33" s="15" t="s">
        <v>448</v>
      </c>
      <c r="O33" s="15" t="s">
        <v>1025</v>
      </c>
      <c r="P33" s="15" t="str">
        <f t="shared" si="13"/>
        <v>melt inclusion</v>
      </c>
      <c r="Q33" s="15" t="s">
        <v>468</v>
      </c>
      <c r="R33" s="89">
        <v>87.4</v>
      </c>
      <c r="S33" s="191" t="s">
        <v>64</v>
      </c>
      <c r="T33" s="102">
        <f t="shared" si="14"/>
        <v>1245.7429500000001</v>
      </c>
      <c r="U33" s="27" t="s">
        <v>416</v>
      </c>
      <c r="V33" s="90">
        <v>2.7716777227001024E-2</v>
      </c>
      <c r="W33" s="109">
        <v>102.721</v>
      </c>
      <c r="X33" s="183" t="s">
        <v>462</v>
      </c>
      <c r="Y33" s="104">
        <v>2.6580028723401483E-2</v>
      </c>
      <c r="Z33" s="187" t="s">
        <v>462</v>
      </c>
      <c r="AA33" s="112" t="s">
        <v>64</v>
      </c>
      <c r="AB33" s="116" t="str">
        <f t="shared" si="15"/>
        <v>-</v>
      </c>
      <c r="AC33" s="57">
        <v>779</v>
      </c>
      <c r="AD33" s="27">
        <v>113.5</v>
      </c>
      <c r="AE33" s="28">
        <f t="shared" ref="AE33:AE58" si="24">(0.0684*((AC33/1000))^3-0.5008*((AC33/1000))^2+4.47*((AC33/1000)))</f>
        <v>3.2105587003075997</v>
      </c>
      <c r="AF33" s="47">
        <f t="shared" ref="AF33:AF58" si="25">AVERAGE(((((0.0684*(((AC33+AD33)/1000))^3-0.5008*(((AC33+AD33)/1000))^2+4.47*(((AC33+AD33)/1000))))) - AC33), (AC33 - (((0.0684*(((AC33-AD33)/1000))^3-0.5008*(((AC33-AD33)/1000))^2+4.47*(((AC33-AD33)/1000)))))))</f>
        <v>0.43302049191782999</v>
      </c>
      <c r="AG33" s="1038" t="s">
        <v>1113</v>
      </c>
      <c r="AH33" s="157" t="s">
        <v>64</v>
      </c>
      <c r="AI33" s="18">
        <v>0.87</v>
      </c>
      <c r="AJ33" s="16">
        <v>49.402285714285711</v>
      </c>
      <c r="AK33" s="16">
        <v>2.3015714285714282</v>
      </c>
      <c r="AL33" s="16">
        <v>11.88007142857143</v>
      </c>
      <c r="AM33" s="16">
        <v>11.2</v>
      </c>
      <c r="AN33" s="16">
        <v>9.7285714285714295E-2</v>
      </c>
      <c r="AO33" s="16">
        <v>11.529500000000001</v>
      </c>
      <c r="AP33" s="16">
        <v>10.665714285714285</v>
      </c>
      <c r="AQ33" s="16">
        <v>2.046785714285714</v>
      </c>
      <c r="AR33" s="16">
        <v>0.46864285714285725</v>
      </c>
      <c r="AS33" s="16">
        <v>0.26749999999999996</v>
      </c>
      <c r="AT33" s="152" t="s">
        <v>64</v>
      </c>
      <c r="AU33" s="16">
        <v>0.47058823529411759</v>
      </c>
      <c r="AV33" s="17">
        <f t="shared" si="16"/>
        <v>147.9</v>
      </c>
      <c r="AW33" s="27">
        <f t="shared" si="20"/>
        <v>239.64716645989427</v>
      </c>
      <c r="AX33" s="27">
        <f t="shared" si="21"/>
        <v>387.54716645989424</v>
      </c>
      <c r="AY33" s="18">
        <f t="shared" si="17"/>
        <v>2.2406391982182625</v>
      </c>
      <c r="AZ33" s="16">
        <f t="shared" si="18"/>
        <v>9.1839999999999993</v>
      </c>
      <c r="BA33" s="93" t="s">
        <v>64</v>
      </c>
      <c r="BB33" s="92" t="s">
        <v>64</v>
      </c>
      <c r="BC33" s="92" t="s">
        <v>64</v>
      </c>
      <c r="BD33" s="92" t="s">
        <v>64</v>
      </c>
      <c r="BE33" s="92" t="s">
        <v>64</v>
      </c>
      <c r="BF33" s="92" t="s">
        <v>64</v>
      </c>
      <c r="BG33" s="92" t="s">
        <v>64</v>
      </c>
      <c r="BH33" s="92" t="s">
        <v>64</v>
      </c>
      <c r="BI33" s="92" t="s">
        <v>64</v>
      </c>
      <c r="BJ33" s="92" t="s">
        <v>64</v>
      </c>
      <c r="BK33" s="92" t="s">
        <v>64</v>
      </c>
      <c r="BL33" s="92" t="s">
        <v>64</v>
      </c>
      <c r="BM33" s="92" t="s">
        <v>64</v>
      </c>
      <c r="BN33" s="42">
        <v>170</v>
      </c>
      <c r="BO33" s="95">
        <v>275.45651317229226</v>
      </c>
      <c r="BP33" s="95">
        <f t="shared" si="19"/>
        <v>445.45651317229226</v>
      </c>
      <c r="BQ33" s="92" t="s">
        <v>64</v>
      </c>
    </row>
    <row r="34" spans="1:69" ht="14.45" customHeight="1">
      <c r="A34" t="s">
        <v>413</v>
      </c>
      <c r="L34" s="127" t="s">
        <v>64</v>
      </c>
      <c r="M34" s="763" t="s">
        <v>426</v>
      </c>
      <c r="N34" s="15" t="s">
        <v>448</v>
      </c>
      <c r="O34" s="15" t="s">
        <v>1026</v>
      </c>
      <c r="P34" s="15" t="str">
        <f t="shared" si="13"/>
        <v>melt inclusion</v>
      </c>
      <c r="Q34" s="15" t="s">
        <v>468</v>
      </c>
      <c r="R34" s="89">
        <v>87.4</v>
      </c>
      <c r="S34" s="191" t="s">
        <v>64</v>
      </c>
      <c r="T34" s="102">
        <f t="shared" si="14"/>
        <v>1245.7429500000001</v>
      </c>
      <c r="U34" s="27" t="s">
        <v>416</v>
      </c>
      <c r="V34" s="90">
        <v>4.2663751835268555E-2</v>
      </c>
      <c r="W34" s="109">
        <v>102.74900000000002</v>
      </c>
      <c r="X34" s="183" t="s">
        <v>462</v>
      </c>
      <c r="Y34" s="104">
        <v>3.6746249686984811E-2</v>
      </c>
      <c r="Z34" s="187" t="s">
        <v>462</v>
      </c>
      <c r="AA34" s="112" t="s">
        <v>64</v>
      </c>
      <c r="AB34" s="116" t="str">
        <f t="shared" si="15"/>
        <v>-</v>
      </c>
      <c r="AC34" s="57">
        <v>1271</v>
      </c>
      <c r="AD34" s="27">
        <v>181</v>
      </c>
      <c r="AE34" s="28">
        <f t="shared" si="24"/>
        <v>5.0127977721523997</v>
      </c>
      <c r="AF34" s="47">
        <f t="shared" si="25"/>
        <v>0.63905592995365623</v>
      </c>
      <c r="AG34" s="1038" t="s">
        <v>1113</v>
      </c>
      <c r="AH34" s="157" t="s">
        <v>64</v>
      </c>
      <c r="AI34" s="18">
        <v>0.87</v>
      </c>
      <c r="AJ34" s="16">
        <v>49.402285714285711</v>
      </c>
      <c r="AK34" s="16">
        <v>2.3015714285714282</v>
      </c>
      <c r="AL34" s="16">
        <v>11.88007142857143</v>
      </c>
      <c r="AM34" s="16">
        <v>11.2</v>
      </c>
      <c r="AN34" s="16">
        <v>9.7285714285714295E-2</v>
      </c>
      <c r="AO34" s="16">
        <v>11.529500000000001</v>
      </c>
      <c r="AP34" s="16">
        <v>10.665714285714285</v>
      </c>
      <c r="AQ34" s="16">
        <v>2.046785714285714</v>
      </c>
      <c r="AR34" s="16">
        <v>0.46864285714285725</v>
      </c>
      <c r="AS34" s="16">
        <v>0.26749999999999996</v>
      </c>
      <c r="AT34" s="152" t="s">
        <v>64</v>
      </c>
      <c r="AU34" s="16">
        <v>0.47058823529411759</v>
      </c>
      <c r="AV34" s="17">
        <f t="shared" si="16"/>
        <v>147.9</v>
      </c>
      <c r="AW34" s="27">
        <f t="shared" si="20"/>
        <v>517.7684466345105</v>
      </c>
      <c r="AX34" s="27">
        <f t="shared" si="21"/>
        <v>665.66844663451047</v>
      </c>
      <c r="AY34" s="18">
        <f t="shared" si="17"/>
        <v>2.2406391982182625</v>
      </c>
      <c r="AZ34" s="16">
        <f t="shared" si="18"/>
        <v>9.1839999999999993</v>
      </c>
      <c r="BA34" s="93" t="s">
        <v>64</v>
      </c>
      <c r="BB34" s="92" t="s">
        <v>64</v>
      </c>
      <c r="BC34" s="92" t="s">
        <v>64</v>
      </c>
      <c r="BD34" s="92" t="s">
        <v>64</v>
      </c>
      <c r="BE34" s="92" t="s">
        <v>64</v>
      </c>
      <c r="BF34" s="92" t="s">
        <v>64</v>
      </c>
      <c r="BG34" s="92" t="s">
        <v>64</v>
      </c>
      <c r="BH34" s="92" t="s">
        <v>64</v>
      </c>
      <c r="BI34" s="92" t="s">
        <v>64</v>
      </c>
      <c r="BJ34" s="92" t="s">
        <v>64</v>
      </c>
      <c r="BK34" s="92" t="s">
        <v>64</v>
      </c>
      <c r="BL34" s="92" t="s">
        <v>64</v>
      </c>
      <c r="BM34" s="92" t="s">
        <v>64</v>
      </c>
      <c r="BN34" s="42">
        <v>170</v>
      </c>
      <c r="BO34" s="95">
        <v>595.13614555690856</v>
      </c>
      <c r="BP34" s="95">
        <f t="shared" si="19"/>
        <v>765.13614555690856</v>
      </c>
      <c r="BQ34" s="92" t="s">
        <v>64</v>
      </c>
    </row>
    <row r="35" spans="1:69" ht="14.45" customHeight="1">
      <c r="A35" t="s">
        <v>414</v>
      </c>
      <c r="L35" s="127" t="s">
        <v>64</v>
      </c>
      <c r="M35" s="763" t="s">
        <v>426</v>
      </c>
      <c r="N35" s="15" t="s">
        <v>448</v>
      </c>
      <c r="O35" s="15" t="s">
        <v>1027</v>
      </c>
      <c r="P35" s="15" t="str">
        <f t="shared" si="13"/>
        <v>melt inclusion</v>
      </c>
      <c r="Q35" s="15" t="s">
        <v>468</v>
      </c>
      <c r="R35" s="89">
        <v>87.4</v>
      </c>
      <c r="S35" s="191" t="s">
        <v>64</v>
      </c>
      <c r="T35" s="102">
        <f t="shared" si="14"/>
        <v>1245.7429500000001</v>
      </c>
      <c r="U35" s="27" t="s">
        <v>416</v>
      </c>
      <c r="V35" s="90">
        <v>2.6165008544921868E-2</v>
      </c>
      <c r="W35" s="109">
        <v>102.74300000000017</v>
      </c>
      <c r="X35" s="183" t="s">
        <v>462</v>
      </c>
      <c r="Y35" s="104">
        <v>3.4555960279249121E-2</v>
      </c>
      <c r="Z35" s="187" t="s">
        <v>462</v>
      </c>
      <c r="AA35" s="112" t="s">
        <v>64</v>
      </c>
      <c r="AB35" s="116" t="str">
        <f t="shared" si="15"/>
        <v>-</v>
      </c>
      <c r="AC35" s="57">
        <v>877</v>
      </c>
      <c r="AD35" s="27">
        <v>127.5</v>
      </c>
      <c r="AE35" s="28">
        <f t="shared" si="24"/>
        <v>3.5811477842971997</v>
      </c>
      <c r="AF35" s="47">
        <f t="shared" si="25"/>
        <v>0.47819308478324274</v>
      </c>
      <c r="AG35" s="1038" t="s">
        <v>1113</v>
      </c>
      <c r="AH35" s="157" t="s">
        <v>64</v>
      </c>
      <c r="AI35" s="18">
        <v>0.87</v>
      </c>
      <c r="AJ35" s="16">
        <v>49.402285714285711</v>
      </c>
      <c r="AK35" s="16">
        <v>2.3015714285714282</v>
      </c>
      <c r="AL35" s="16">
        <v>11.88007142857143</v>
      </c>
      <c r="AM35" s="16">
        <v>11.2</v>
      </c>
      <c r="AN35" s="16">
        <v>9.7285714285714295E-2</v>
      </c>
      <c r="AO35" s="16">
        <v>11.529500000000001</v>
      </c>
      <c r="AP35" s="16">
        <v>10.665714285714285</v>
      </c>
      <c r="AQ35" s="16">
        <v>2.046785714285714</v>
      </c>
      <c r="AR35" s="16">
        <v>0.46864285714285725</v>
      </c>
      <c r="AS35" s="16">
        <v>0.26749999999999996</v>
      </c>
      <c r="AT35" s="152" t="s">
        <v>64</v>
      </c>
      <c r="AU35" s="16">
        <v>0.47058823529411759</v>
      </c>
      <c r="AV35" s="17">
        <f t="shared" si="16"/>
        <v>147.9</v>
      </c>
      <c r="AW35" s="27">
        <f t="shared" si="20"/>
        <v>293.6286507402923</v>
      </c>
      <c r="AX35" s="27">
        <f t="shared" si="21"/>
        <v>441.52865074029228</v>
      </c>
      <c r="AY35" s="18">
        <f t="shared" si="17"/>
        <v>2.2406391982182625</v>
      </c>
      <c r="AZ35" s="16">
        <f t="shared" si="18"/>
        <v>9.1839999999999993</v>
      </c>
      <c r="BA35" s="93" t="s">
        <v>64</v>
      </c>
      <c r="BB35" s="92" t="s">
        <v>64</v>
      </c>
      <c r="BC35" s="92" t="s">
        <v>64</v>
      </c>
      <c r="BD35" s="92" t="s">
        <v>64</v>
      </c>
      <c r="BE35" s="92" t="s">
        <v>64</v>
      </c>
      <c r="BF35" s="92" t="s">
        <v>64</v>
      </c>
      <c r="BG35" s="92" t="s">
        <v>64</v>
      </c>
      <c r="BH35" s="92" t="s">
        <v>64</v>
      </c>
      <c r="BI35" s="92" t="s">
        <v>64</v>
      </c>
      <c r="BJ35" s="92" t="s">
        <v>64</v>
      </c>
      <c r="BK35" s="92" t="s">
        <v>64</v>
      </c>
      <c r="BL35" s="92" t="s">
        <v>64</v>
      </c>
      <c r="BM35" s="92" t="s">
        <v>64</v>
      </c>
      <c r="BN35" s="42">
        <v>170</v>
      </c>
      <c r="BO35" s="95">
        <v>337.50419625320956</v>
      </c>
      <c r="BP35" s="95">
        <f t="shared" si="19"/>
        <v>507.50419625320956</v>
      </c>
      <c r="BQ35" s="92" t="s">
        <v>64</v>
      </c>
    </row>
    <row r="36" spans="1:69" ht="14.45" customHeight="1">
      <c r="A36" t="s">
        <v>489</v>
      </c>
      <c r="L36" s="127" t="s">
        <v>64</v>
      </c>
      <c r="M36" s="763" t="s">
        <v>426</v>
      </c>
      <c r="N36" s="15" t="s">
        <v>448</v>
      </c>
      <c r="O36" s="15" t="s">
        <v>1028</v>
      </c>
      <c r="P36" s="15" t="str">
        <f t="shared" si="13"/>
        <v>melt inclusion</v>
      </c>
      <c r="Q36" s="15" t="s">
        <v>468</v>
      </c>
      <c r="R36" s="89">
        <v>87.4</v>
      </c>
      <c r="S36" s="191" t="s">
        <v>64</v>
      </c>
      <c r="T36" s="102">
        <f t="shared" si="14"/>
        <v>1245.7429500000001</v>
      </c>
      <c r="U36" s="27" t="s">
        <v>416</v>
      </c>
      <c r="V36" s="90">
        <v>2.1736131011133406E-2</v>
      </c>
      <c r="W36" s="109">
        <v>102.76600000000008</v>
      </c>
      <c r="X36" s="183" t="s">
        <v>462</v>
      </c>
      <c r="Y36" s="104">
        <v>4.2986529246263672E-2</v>
      </c>
      <c r="Z36" s="187" t="s">
        <v>462</v>
      </c>
      <c r="AA36" s="112" t="s">
        <v>64</v>
      </c>
      <c r="AB36" s="116" t="str">
        <f t="shared" si="15"/>
        <v>-</v>
      </c>
      <c r="AC36" s="57">
        <v>892</v>
      </c>
      <c r="AD36" s="27">
        <v>129.5</v>
      </c>
      <c r="AE36" s="28">
        <f t="shared" si="24"/>
        <v>3.6373171572991998</v>
      </c>
      <c r="AF36" s="47">
        <f t="shared" si="25"/>
        <v>0.48445822285805207</v>
      </c>
      <c r="AG36" s="1038" t="s">
        <v>1113</v>
      </c>
      <c r="AH36" s="157" t="s">
        <v>64</v>
      </c>
      <c r="AI36" s="18">
        <v>0.87</v>
      </c>
      <c r="AJ36" s="16">
        <v>49.402285714285711</v>
      </c>
      <c r="AK36" s="16">
        <v>2.3015714285714282</v>
      </c>
      <c r="AL36" s="16">
        <v>11.88007142857143</v>
      </c>
      <c r="AM36" s="16">
        <v>11.2</v>
      </c>
      <c r="AN36" s="16">
        <v>9.7285714285714295E-2</v>
      </c>
      <c r="AO36" s="16">
        <v>11.529500000000001</v>
      </c>
      <c r="AP36" s="16">
        <v>10.665714285714285</v>
      </c>
      <c r="AQ36" s="16">
        <v>2.046785714285714</v>
      </c>
      <c r="AR36" s="16">
        <v>0.46864285714285725</v>
      </c>
      <c r="AS36" s="16">
        <v>0.26749999999999996</v>
      </c>
      <c r="AT36" s="152" t="s">
        <v>64</v>
      </c>
      <c r="AU36" s="16">
        <v>0.47058823529411759</v>
      </c>
      <c r="AV36" s="17">
        <f t="shared" si="16"/>
        <v>147.9</v>
      </c>
      <c r="AW36" s="27">
        <f t="shared" si="20"/>
        <v>302.06079280345278</v>
      </c>
      <c r="AX36" s="27">
        <f t="shared" si="21"/>
        <v>449.96079280345282</v>
      </c>
      <c r="AY36" s="18">
        <f t="shared" si="17"/>
        <v>2.2406391982182625</v>
      </c>
      <c r="AZ36" s="16">
        <f t="shared" si="18"/>
        <v>9.1839999999999993</v>
      </c>
      <c r="BA36" s="93" t="s">
        <v>64</v>
      </c>
      <c r="BB36" s="92" t="s">
        <v>64</v>
      </c>
      <c r="BC36" s="92" t="s">
        <v>64</v>
      </c>
      <c r="BD36" s="92" t="s">
        <v>64</v>
      </c>
      <c r="BE36" s="92" t="s">
        <v>64</v>
      </c>
      <c r="BF36" s="92" t="s">
        <v>64</v>
      </c>
      <c r="BG36" s="92" t="s">
        <v>64</v>
      </c>
      <c r="BH36" s="92" t="s">
        <v>64</v>
      </c>
      <c r="BI36" s="92" t="s">
        <v>64</v>
      </c>
      <c r="BJ36" s="92" t="s">
        <v>64</v>
      </c>
      <c r="BK36" s="92" t="s">
        <v>64</v>
      </c>
      <c r="BL36" s="92" t="s">
        <v>64</v>
      </c>
      <c r="BM36" s="92" t="s">
        <v>64</v>
      </c>
      <c r="BN36" s="42">
        <v>170</v>
      </c>
      <c r="BO36" s="95">
        <v>347.19631356718713</v>
      </c>
      <c r="BP36" s="95">
        <f t="shared" si="19"/>
        <v>517.19631356718719</v>
      </c>
      <c r="BQ36" s="92" t="s">
        <v>64</v>
      </c>
    </row>
    <row r="37" spans="1:69" ht="14.45" customHeight="1">
      <c r="A37" t="s">
        <v>415</v>
      </c>
      <c r="L37" s="127" t="s">
        <v>64</v>
      </c>
      <c r="M37" s="763" t="s">
        <v>426</v>
      </c>
      <c r="N37" s="15" t="s">
        <v>448</v>
      </c>
      <c r="O37" s="15" t="s">
        <v>1029</v>
      </c>
      <c r="P37" s="15" t="str">
        <f t="shared" si="13"/>
        <v>melt inclusion</v>
      </c>
      <c r="Q37" s="15" t="s">
        <v>468</v>
      </c>
      <c r="R37" s="89">
        <v>87.4</v>
      </c>
      <c r="S37" s="191" t="s">
        <v>64</v>
      </c>
      <c r="T37" s="102">
        <f t="shared" si="14"/>
        <v>1245.7429500000001</v>
      </c>
      <c r="U37" s="27" t="s">
        <v>416</v>
      </c>
      <c r="V37" s="90">
        <v>2.6193058439127784E-2</v>
      </c>
      <c r="W37" s="109">
        <v>102.73799999999983</v>
      </c>
      <c r="X37" s="183" t="s">
        <v>462</v>
      </c>
      <c r="Y37" s="104">
        <v>3.273561305104522E-2</v>
      </c>
      <c r="Z37" s="187" t="s">
        <v>462</v>
      </c>
      <c r="AA37" s="112" t="s">
        <v>64</v>
      </c>
      <c r="AB37" s="116" t="str">
        <f t="shared" si="15"/>
        <v>-</v>
      </c>
      <c r="AC37" s="57">
        <v>848</v>
      </c>
      <c r="AD37" s="27">
        <v>123.5</v>
      </c>
      <c r="AE37" s="28">
        <f t="shared" si="24"/>
        <v>3.4721430499327997</v>
      </c>
      <c r="AF37" s="47">
        <f t="shared" si="25"/>
        <v>0.46550195444547171</v>
      </c>
      <c r="AG37" s="1038" t="s">
        <v>1113</v>
      </c>
      <c r="AH37" s="157" t="s">
        <v>64</v>
      </c>
      <c r="AI37" s="18">
        <v>0.87</v>
      </c>
      <c r="AJ37" s="16">
        <v>49.402285714285711</v>
      </c>
      <c r="AK37" s="16">
        <v>2.3015714285714282</v>
      </c>
      <c r="AL37" s="16">
        <v>11.88007142857143</v>
      </c>
      <c r="AM37" s="16">
        <v>11.2</v>
      </c>
      <c r="AN37" s="16">
        <v>9.7285714285714295E-2</v>
      </c>
      <c r="AO37" s="16">
        <v>11.529500000000001</v>
      </c>
      <c r="AP37" s="16">
        <v>10.665714285714285</v>
      </c>
      <c r="AQ37" s="16">
        <v>2.046785714285714</v>
      </c>
      <c r="AR37" s="16">
        <v>0.46864285714285725</v>
      </c>
      <c r="AS37" s="16">
        <v>0.26749999999999996</v>
      </c>
      <c r="AT37" s="152" t="s">
        <v>64</v>
      </c>
      <c r="AU37" s="16">
        <v>0.47058823529411759</v>
      </c>
      <c r="AV37" s="17">
        <f t="shared" si="16"/>
        <v>147.9</v>
      </c>
      <c r="AW37" s="27">
        <f t="shared" si="20"/>
        <v>278.47188258292601</v>
      </c>
      <c r="AX37" s="27">
        <f t="shared" si="21"/>
        <v>426.37188258292599</v>
      </c>
      <c r="AY37" s="18">
        <f t="shared" si="17"/>
        <v>2.2406391982182625</v>
      </c>
      <c r="AZ37" s="16">
        <f t="shared" si="18"/>
        <v>9.1839999999999993</v>
      </c>
      <c r="BA37" s="93" t="s">
        <v>64</v>
      </c>
      <c r="BB37" s="92" t="s">
        <v>64</v>
      </c>
      <c r="BC37" s="92" t="s">
        <v>64</v>
      </c>
      <c r="BD37" s="92" t="s">
        <v>64</v>
      </c>
      <c r="BE37" s="92" t="s">
        <v>64</v>
      </c>
      <c r="BF37" s="92" t="s">
        <v>64</v>
      </c>
      <c r="BG37" s="92" t="s">
        <v>64</v>
      </c>
      <c r="BH37" s="92" t="s">
        <v>64</v>
      </c>
      <c r="BI37" s="92" t="s">
        <v>64</v>
      </c>
      <c r="BJ37" s="92" t="s">
        <v>64</v>
      </c>
      <c r="BK37" s="92" t="s">
        <v>64</v>
      </c>
      <c r="BL37" s="92" t="s">
        <v>64</v>
      </c>
      <c r="BM37" s="92" t="s">
        <v>64</v>
      </c>
      <c r="BN37" s="42">
        <v>170</v>
      </c>
      <c r="BO37" s="95">
        <v>320.08262365853568</v>
      </c>
      <c r="BP37" s="95">
        <f t="shared" si="19"/>
        <v>490.08262365853568</v>
      </c>
      <c r="BQ37" s="92" t="s">
        <v>64</v>
      </c>
    </row>
    <row r="38" spans="1:69" ht="14.45" customHeight="1">
      <c r="L38" s="127" t="s">
        <v>64</v>
      </c>
      <c r="M38" s="763" t="s">
        <v>426</v>
      </c>
      <c r="N38" s="15" t="s">
        <v>448</v>
      </c>
      <c r="O38" s="15" t="s">
        <v>1030</v>
      </c>
      <c r="P38" s="15" t="str">
        <f t="shared" si="13"/>
        <v>melt inclusion</v>
      </c>
      <c r="Q38" s="15" t="s">
        <v>468</v>
      </c>
      <c r="R38" s="89">
        <v>87.4</v>
      </c>
      <c r="S38" s="191" t="s">
        <v>64</v>
      </c>
      <c r="T38" s="102">
        <f t="shared" si="14"/>
        <v>1245.7429500000001</v>
      </c>
      <c r="U38" s="27" t="s">
        <v>416</v>
      </c>
      <c r="V38" s="90">
        <v>3.1738715926603232E-2</v>
      </c>
      <c r="W38" s="109">
        <v>102.70299999999997</v>
      </c>
      <c r="X38" s="183" t="s">
        <v>462</v>
      </c>
      <c r="Y38" s="104">
        <v>2.0119707747653592E-2</v>
      </c>
      <c r="Z38" s="187" t="s">
        <v>462</v>
      </c>
      <c r="AA38" s="112" t="s">
        <v>64</v>
      </c>
      <c r="AB38" s="116" t="str">
        <f t="shared" si="15"/>
        <v>-</v>
      </c>
      <c r="AC38" s="57">
        <v>720</v>
      </c>
      <c r="AD38" s="27">
        <v>105</v>
      </c>
      <c r="AE38" s="28">
        <f t="shared" si="24"/>
        <v>2.9843154431999994</v>
      </c>
      <c r="AF38" s="47">
        <f t="shared" si="25"/>
        <v>0.40487766795001789</v>
      </c>
      <c r="AG38" s="1038" t="s">
        <v>1113</v>
      </c>
      <c r="AH38" s="157" t="s">
        <v>64</v>
      </c>
      <c r="AI38" s="18">
        <v>0.87</v>
      </c>
      <c r="AJ38" s="16">
        <v>49.402285714285711</v>
      </c>
      <c r="AK38" s="16">
        <v>2.3015714285714282</v>
      </c>
      <c r="AL38" s="16">
        <v>11.88007142857143</v>
      </c>
      <c r="AM38" s="16">
        <v>11.2</v>
      </c>
      <c r="AN38" s="16">
        <v>9.7285714285714295E-2</v>
      </c>
      <c r="AO38" s="16">
        <v>11.529500000000001</v>
      </c>
      <c r="AP38" s="16">
        <v>10.665714285714285</v>
      </c>
      <c r="AQ38" s="16">
        <v>2.046785714285714</v>
      </c>
      <c r="AR38" s="16">
        <v>0.46864285714285725</v>
      </c>
      <c r="AS38" s="16">
        <v>0.26749999999999996</v>
      </c>
      <c r="AT38" s="152" t="s">
        <v>64</v>
      </c>
      <c r="AU38" s="16">
        <v>0.47058823529411759</v>
      </c>
      <c r="AV38" s="17">
        <f t="shared" si="16"/>
        <v>147.9</v>
      </c>
      <c r="AW38" s="27">
        <f t="shared" si="20"/>
        <v>208.59354841081463</v>
      </c>
      <c r="AX38" s="27">
        <f t="shared" si="21"/>
        <v>356.49354841081464</v>
      </c>
      <c r="AY38" s="18">
        <f t="shared" si="17"/>
        <v>2.2406391982182625</v>
      </c>
      <c r="AZ38" s="16">
        <f t="shared" si="18"/>
        <v>9.1839999999999993</v>
      </c>
      <c r="BA38" s="93" t="s">
        <v>64</v>
      </c>
      <c r="BB38" s="92" t="s">
        <v>64</v>
      </c>
      <c r="BC38" s="92" t="s">
        <v>64</v>
      </c>
      <c r="BD38" s="92" t="s">
        <v>64</v>
      </c>
      <c r="BE38" s="92" t="s">
        <v>64</v>
      </c>
      <c r="BF38" s="92" t="s">
        <v>64</v>
      </c>
      <c r="BG38" s="92" t="s">
        <v>64</v>
      </c>
      <c r="BH38" s="92" t="s">
        <v>64</v>
      </c>
      <c r="BI38" s="92" t="s">
        <v>64</v>
      </c>
      <c r="BJ38" s="92" t="s">
        <v>64</v>
      </c>
      <c r="BK38" s="92" t="s">
        <v>64</v>
      </c>
      <c r="BL38" s="92" t="s">
        <v>64</v>
      </c>
      <c r="BM38" s="92" t="s">
        <v>64</v>
      </c>
      <c r="BN38" s="42">
        <v>170</v>
      </c>
      <c r="BO38" s="95">
        <v>239.76269932277543</v>
      </c>
      <c r="BP38" s="95">
        <f t="shared" si="19"/>
        <v>409.76269932277546</v>
      </c>
      <c r="BQ38" s="92" t="s">
        <v>64</v>
      </c>
    </row>
    <row r="39" spans="1:69" ht="14.45" customHeight="1">
      <c r="L39" s="127" t="s">
        <v>64</v>
      </c>
      <c r="M39" s="763" t="s">
        <v>426</v>
      </c>
      <c r="N39" s="15" t="s">
        <v>448</v>
      </c>
      <c r="O39" s="15" t="s">
        <v>1031</v>
      </c>
      <c r="P39" s="15" t="str">
        <f t="shared" si="13"/>
        <v>melt inclusion</v>
      </c>
      <c r="Q39" s="15" t="s">
        <v>468</v>
      </c>
      <c r="R39" s="89">
        <v>87.4</v>
      </c>
      <c r="S39" s="191" t="s">
        <v>64</v>
      </c>
      <c r="T39" s="102">
        <f t="shared" si="14"/>
        <v>1245.7429500000001</v>
      </c>
      <c r="U39" s="27" t="s">
        <v>416</v>
      </c>
      <c r="V39" s="90">
        <v>2.9515836926747918E-2</v>
      </c>
      <c r="W39" s="109">
        <v>102.82500000000005</v>
      </c>
      <c r="X39" s="183" t="s">
        <v>462</v>
      </c>
      <c r="Y39" s="104">
        <v>6.5028007396904286E-2</v>
      </c>
      <c r="Z39" s="187" t="s">
        <v>462</v>
      </c>
      <c r="AA39" s="112" t="s">
        <v>64</v>
      </c>
      <c r="AB39" s="116" t="str">
        <f t="shared" si="15"/>
        <v>-</v>
      </c>
      <c r="AC39" s="57">
        <v>1451</v>
      </c>
      <c r="AD39" s="27">
        <v>204.5</v>
      </c>
      <c r="AE39" s="28">
        <f t="shared" si="24"/>
        <v>5.6405428598083995</v>
      </c>
      <c r="AF39" s="47">
        <f t="shared" si="25"/>
        <v>0.70584549041632272</v>
      </c>
      <c r="AG39" s="1038" t="s">
        <v>1113</v>
      </c>
      <c r="AH39" s="157" t="s">
        <v>64</v>
      </c>
      <c r="AI39" s="18">
        <v>0.87</v>
      </c>
      <c r="AJ39" s="16">
        <v>49.402285714285711</v>
      </c>
      <c r="AK39" s="16">
        <v>2.3015714285714282</v>
      </c>
      <c r="AL39" s="16">
        <v>11.88007142857143</v>
      </c>
      <c r="AM39" s="16">
        <v>11.2</v>
      </c>
      <c r="AN39" s="16">
        <v>9.7285714285714295E-2</v>
      </c>
      <c r="AO39" s="16">
        <v>11.529500000000001</v>
      </c>
      <c r="AP39" s="16">
        <v>10.665714285714285</v>
      </c>
      <c r="AQ39" s="16">
        <v>2.046785714285714</v>
      </c>
      <c r="AR39" s="16">
        <v>0.46864285714285725</v>
      </c>
      <c r="AS39" s="16">
        <v>0.26749999999999996</v>
      </c>
      <c r="AT39" s="152" t="s">
        <v>64</v>
      </c>
      <c r="AU39" s="16">
        <v>0.47058823529411759</v>
      </c>
      <c r="AV39" s="17">
        <f t="shared" si="16"/>
        <v>147.9</v>
      </c>
      <c r="AW39" s="27">
        <f t="shared" si="20"/>
        <v>625.2323395790595</v>
      </c>
      <c r="AX39" s="27">
        <f t="shared" si="21"/>
        <v>773.13233957905948</v>
      </c>
      <c r="AY39" s="18">
        <f t="shared" si="17"/>
        <v>2.2406391982182625</v>
      </c>
      <c r="AZ39" s="16">
        <f t="shared" si="18"/>
        <v>9.1839999999999993</v>
      </c>
      <c r="BA39" s="93" t="s">
        <v>64</v>
      </c>
      <c r="BB39" s="92" t="s">
        <v>64</v>
      </c>
      <c r="BC39" s="92" t="s">
        <v>64</v>
      </c>
      <c r="BD39" s="92" t="s">
        <v>64</v>
      </c>
      <c r="BE39" s="92" t="s">
        <v>64</v>
      </c>
      <c r="BF39" s="92" t="s">
        <v>64</v>
      </c>
      <c r="BG39" s="92" t="s">
        <v>64</v>
      </c>
      <c r="BH39" s="92" t="s">
        <v>64</v>
      </c>
      <c r="BI39" s="92" t="s">
        <v>64</v>
      </c>
      <c r="BJ39" s="92" t="s">
        <v>64</v>
      </c>
      <c r="BK39" s="92" t="s">
        <v>64</v>
      </c>
      <c r="BL39" s="92" t="s">
        <v>64</v>
      </c>
      <c r="BM39" s="92" t="s">
        <v>64</v>
      </c>
      <c r="BN39" s="42">
        <v>170</v>
      </c>
      <c r="BO39" s="95">
        <v>718.65786158512583</v>
      </c>
      <c r="BP39" s="95">
        <f t="shared" si="19"/>
        <v>888.65786158512583</v>
      </c>
      <c r="BQ39" s="92" t="s">
        <v>64</v>
      </c>
    </row>
    <row r="40" spans="1:69" ht="14.45" customHeight="1">
      <c r="L40" s="127" t="s">
        <v>64</v>
      </c>
      <c r="M40" s="763" t="s">
        <v>426</v>
      </c>
      <c r="N40" s="15" t="s">
        <v>448</v>
      </c>
      <c r="O40" s="15" t="s">
        <v>1032</v>
      </c>
      <c r="P40" s="15" t="str">
        <f t="shared" si="13"/>
        <v>melt inclusion</v>
      </c>
      <c r="Q40" s="15" t="s">
        <v>468</v>
      </c>
      <c r="R40" s="89">
        <v>87.4</v>
      </c>
      <c r="S40" s="191" t="s">
        <v>64</v>
      </c>
      <c r="T40" s="102">
        <f t="shared" si="14"/>
        <v>1245.7429500000001</v>
      </c>
      <c r="U40" s="27" t="s">
        <v>416</v>
      </c>
      <c r="V40" s="90">
        <v>3.1203237093218865E-2</v>
      </c>
      <c r="W40" s="109">
        <v>102.68299999999999</v>
      </c>
      <c r="X40" s="183" t="s">
        <v>462</v>
      </c>
      <c r="Y40" s="104">
        <v>1.3012032497499604E-2</v>
      </c>
      <c r="Z40" s="187" t="s">
        <v>462</v>
      </c>
      <c r="AA40" s="112" t="s">
        <v>64</v>
      </c>
      <c r="AB40" s="116" t="str">
        <f t="shared" si="15"/>
        <v>-</v>
      </c>
      <c r="AC40" s="57">
        <v>578</v>
      </c>
      <c r="AD40" s="27">
        <v>84.5</v>
      </c>
      <c r="AE40" s="28">
        <f t="shared" si="24"/>
        <v>2.4295588105567996</v>
      </c>
      <c r="AF40" s="47">
        <f t="shared" si="25"/>
        <v>0.33462993972653976</v>
      </c>
      <c r="AG40" s="1038" t="s">
        <v>1113</v>
      </c>
      <c r="AH40" s="157" t="s">
        <v>64</v>
      </c>
      <c r="AI40" s="18">
        <v>0.87</v>
      </c>
      <c r="AJ40" s="16">
        <v>49.402285714285711</v>
      </c>
      <c r="AK40" s="16">
        <v>2.3015714285714282</v>
      </c>
      <c r="AL40" s="16">
        <v>11.88007142857143</v>
      </c>
      <c r="AM40" s="16">
        <v>11.2</v>
      </c>
      <c r="AN40" s="16">
        <v>9.7285714285714295E-2</v>
      </c>
      <c r="AO40" s="16">
        <v>11.529500000000001</v>
      </c>
      <c r="AP40" s="16">
        <v>10.665714285714285</v>
      </c>
      <c r="AQ40" s="16">
        <v>2.046785714285714</v>
      </c>
      <c r="AR40" s="16">
        <v>0.46864285714285725</v>
      </c>
      <c r="AS40" s="16">
        <v>0.26749999999999996</v>
      </c>
      <c r="AT40" s="152" t="s">
        <v>64</v>
      </c>
      <c r="AU40" s="16">
        <v>0.47058823529411759</v>
      </c>
      <c r="AV40" s="17">
        <f t="shared" si="16"/>
        <v>147.9</v>
      </c>
      <c r="AW40" s="27">
        <f t="shared" si="20"/>
        <v>132.56610294465384</v>
      </c>
      <c r="AX40" s="27">
        <f t="shared" si="21"/>
        <v>280.46610294465381</v>
      </c>
      <c r="AY40" s="18">
        <f t="shared" si="17"/>
        <v>2.2406391982182625</v>
      </c>
      <c r="AZ40" s="16">
        <f t="shared" si="18"/>
        <v>9.1839999999999993</v>
      </c>
      <c r="BA40" s="93" t="s">
        <v>64</v>
      </c>
      <c r="BB40" s="92" t="s">
        <v>64</v>
      </c>
      <c r="BC40" s="92" t="s">
        <v>64</v>
      </c>
      <c r="BD40" s="92" t="s">
        <v>64</v>
      </c>
      <c r="BE40" s="92" t="s">
        <v>64</v>
      </c>
      <c r="BF40" s="92" t="s">
        <v>64</v>
      </c>
      <c r="BG40" s="92" t="s">
        <v>64</v>
      </c>
      <c r="BH40" s="92" t="s">
        <v>64</v>
      </c>
      <c r="BI40" s="92" t="s">
        <v>64</v>
      </c>
      <c r="BJ40" s="92" t="s">
        <v>64</v>
      </c>
      <c r="BK40" s="92" t="s">
        <v>64</v>
      </c>
      <c r="BL40" s="92" t="s">
        <v>64</v>
      </c>
      <c r="BM40" s="92" t="s">
        <v>64</v>
      </c>
      <c r="BN40" s="42">
        <v>170</v>
      </c>
      <c r="BO40" s="95">
        <v>152.37483097086647</v>
      </c>
      <c r="BP40" s="95">
        <f t="shared" ref="BP40:BP41" si="26">BN40+BO40</f>
        <v>322.37483097086647</v>
      </c>
      <c r="BQ40" s="92" t="s">
        <v>64</v>
      </c>
    </row>
    <row r="41" spans="1:69" ht="14.45" customHeight="1">
      <c r="L41" s="127" t="s">
        <v>64</v>
      </c>
      <c r="M41" s="763" t="s">
        <v>426</v>
      </c>
      <c r="N41" s="15" t="s">
        <v>448</v>
      </c>
      <c r="O41" s="15" t="s">
        <v>1033</v>
      </c>
      <c r="P41" s="15" t="str">
        <f t="shared" si="13"/>
        <v>melt inclusion</v>
      </c>
      <c r="Q41" s="15" t="s">
        <v>468</v>
      </c>
      <c r="R41" s="89">
        <v>87.4</v>
      </c>
      <c r="S41" s="191" t="s">
        <v>64</v>
      </c>
      <c r="T41" s="102">
        <f t="shared" si="14"/>
        <v>1245.7429500000001</v>
      </c>
      <c r="U41" s="27" t="s">
        <v>416</v>
      </c>
      <c r="V41" s="90">
        <v>3.490605912822381E-2</v>
      </c>
      <c r="W41" s="109">
        <v>102.75700000000006</v>
      </c>
      <c r="X41" s="183" t="s">
        <v>462</v>
      </c>
      <c r="Y41" s="104">
        <v>3.9676536900515202E-2</v>
      </c>
      <c r="Z41" s="187" t="s">
        <v>462</v>
      </c>
      <c r="AA41" s="112" t="s">
        <v>64</v>
      </c>
      <c r="AB41" s="116" t="str">
        <f t="shared" si="15"/>
        <v>-</v>
      </c>
      <c r="AC41" s="57">
        <v>1161</v>
      </c>
      <c r="AD41" s="27">
        <v>166</v>
      </c>
      <c r="AE41" s="28">
        <f t="shared" si="24"/>
        <v>4.621672804820399</v>
      </c>
      <c r="AF41" s="47">
        <f t="shared" si="25"/>
        <v>0.59521302285349975</v>
      </c>
      <c r="AG41" s="1038" t="s">
        <v>1113</v>
      </c>
      <c r="AH41" s="157" t="s">
        <v>64</v>
      </c>
      <c r="AI41" s="18">
        <v>0.87</v>
      </c>
      <c r="AJ41" s="16">
        <v>49.402285714285711</v>
      </c>
      <c r="AK41" s="16">
        <v>2.3015714285714282</v>
      </c>
      <c r="AL41" s="16">
        <v>11.88007142857143</v>
      </c>
      <c r="AM41" s="16">
        <v>11.2</v>
      </c>
      <c r="AN41" s="16">
        <v>9.7285714285714295E-2</v>
      </c>
      <c r="AO41" s="16">
        <v>11.529500000000001</v>
      </c>
      <c r="AP41" s="16">
        <v>10.665714285714285</v>
      </c>
      <c r="AQ41" s="16">
        <v>2.046785714285714</v>
      </c>
      <c r="AR41" s="16">
        <v>0.46864285714285725</v>
      </c>
      <c r="AS41" s="16">
        <v>0.26749999999999996</v>
      </c>
      <c r="AT41" s="152" t="s">
        <v>64</v>
      </c>
      <c r="AU41" s="16">
        <v>0.47058823529411759</v>
      </c>
      <c r="AV41" s="17">
        <f t="shared" si="16"/>
        <v>147.9</v>
      </c>
      <c r="AW41" s="27">
        <f t="shared" si="20"/>
        <v>453.75871343581406</v>
      </c>
      <c r="AX41" s="27">
        <f t="shared" si="21"/>
        <v>601.65871343581409</v>
      </c>
      <c r="AY41" s="18">
        <f t="shared" si="17"/>
        <v>2.2406391982182625</v>
      </c>
      <c r="AZ41" s="16">
        <f t="shared" si="18"/>
        <v>9.1839999999999993</v>
      </c>
      <c r="BA41" s="93" t="s">
        <v>64</v>
      </c>
      <c r="BB41" s="92" t="s">
        <v>64</v>
      </c>
      <c r="BC41" s="92" t="s">
        <v>64</v>
      </c>
      <c r="BD41" s="92" t="s">
        <v>64</v>
      </c>
      <c r="BE41" s="92" t="s">
        <v>64</v>
      </c>
      <c r="BF41" s="92" t="s">
        <v>64</v>
      </c>
      <c r="BG41" s="92" t="s">
        <v>64</v>
      </c>
      <c r="BH41" s="92" t="s">
        <v>64</v>
      </c>
      <c r="BI41" s="92" t="s">
        <v>64</v>
      </c>
      <c r="BJ41" s="92" t="s">
        <v>64</v>
      </c>
      <c r="BK41" s="92" t="s">
        <v>64</v>
      </c>
      <c r="BL41" s="92" t="s">
        <v>64</v>
      </c>
      <c r="BM41" s="92" t="s">
        <v>64</v>
      </c>
      <c r="BN41" s="42">
        <v>170</v>
      </c>
      <c r="BO41" s="95">
        <v>521.5617395813955</v>
      </c>
      <c r="BP41" s="95">
        <f t="shared" si="26"/>
        <v>691.5617395813955</v>
      </c>
      <c r="BQ41" s="92" t="s">
        <v>64</v>
      </c>
    </row>
    <row r="42" spans="1:69" ht="14.45" customHeight="1">
      <c r="L42" s="127" t="s">
        <v>64</v>
      </c>
      <c r="M42" s="763" t="s">
        <v>426</v>
      </c>
      <c r="N42" s="15" t="s">
        <v>448</v>
      </c>
      <c r="O42" s="15" t="s">
        <v>1034</v>
      </c>
      <c r="P42" s="15" t="str">
        <f t="shared" si="13"/>
        <v>melt inclusion</v>
      </c>
      <c r="Q42" s="15" t="s">
        <v>468</v>
      </c>
      <c r="R42" s="89">
        <v>87.4</v>
      </c>
      <c r="S42" s="191" t="s">
        <v>64</v>
      </c>
      <c r="T42" s="102">
        <f t="shared" si="14"/>
        <v>1245.7429500000001</v>
      </c>
      <c r="U42" s="27" t="s">
        <v>416</v>
      </c>
      <c r="V42" s="90">
        <v>4.4535312826993551E-2</v>
      </c>
      <c r="W42" s="109">
        <v>102.75599999999986</v>
      </c>
      <c r="X42" s="183" t="s">
        <v>462</v>
      </c>
      <c r="Y42" s="104">
        <v>3.9309634921664838E-2</v>
      </c>
      <c r="Z42" s="187" t="s">
        <v>462</v>
      </c>
      <c r="AA42" s="112" t="s">
        <v>64</v>
      </c>
      <c r="AB42" s="116" t="str">
        <f t="shared" si="15"/>
        <v>-</v>
      </c>
      <c r="AC42" s="57">
        <v>1374</v>
      </c>
      <c r="AD42" s="27">
        <v>194.5</v>
      </c>
      <c r="AE42" s="28">
        <f t="shared" si="24"/>
        <v>5.3737573062815995</v>
      </c>
      <c r="AF42" s="47">
        <f t="shared" si="25"/>
        <v>0.67759547146636123</v>
      </c>
      <c r="AG42" s="1038" t="s">
        <v>1113</v>
      </c>
      <c r="AH42" s="157" t="s">
        <v>64</v>
      </c>
      <c r="AI42" s="18">
        <v>0.87</v>
      </c>
      <c r="AJ42" s="16">
        <v>49.402285714285711</v>
      </c>
      <c r="AK42" s="16">
        <v>2.3015714285714282</v>
      </c>
      <c r="AL42" s="16">
        <v>11.88007142857143</v>
      </c>
      <c r="AM42" s="16">
        <v>11.2</v>
      </c>
      <c r="AN42" s="16">
        <v>9.7285714285714295E-2</v>
      </c>
      <c r="AO42" s="16">
        <v>11.529500000000001</v>
      </c>
      <c r="AP42" s="16">
        <v>10.665714285714285</v>
      </c>
      <c r="AQ42" s="16">
        <v>2.046785714285714</v>
      </c>
      <c r="AR42" s="16">
        <v>0.46864285714285725</v>
      </c>
      <c r="AS42" s="16">
        <v>0.26749999999999996</v>
      </c>
      <c r="AT42" s="152" t="s">
        <v>64</v>
      </c>
      <c r="AU42" s="16">
        <v>0.47058823529411759</v>
      </c>
      <c r="AV42" s="17">
        <f t="shared" si="16"/>
        <v>147.9</v>
      </c>
      <c r="AW42" s="27">
        <f t="shared" si="20"/>
        <v>579.27684726830648</v>
      </c>
      <c r="AX42" s="27">
        <f t="shared" si="21"/>
        <v>727.17684726830646</v>
      </c>
      <c r="AY42" s="18">
        <f t="shared" si="17"/>
        <v>2.2406391982182625</v>
      </c>
      <c r="AZ42" s="16">
        <f t="shared" si="18"/>
        <v>9.1839999999999993</v>
      </c>
      <c r="BA42" s="93" t="s">
        <v>64</v>
      </c>
      <c r="BB42" s="92" t="s">
        <v>64</v>
      </c>
      <c r="BC42" s="92" t="s">
        <v>64</v>
      </c>
      <c r="BD42" s="92" t="s">
        <v>64</v>
      </c>
      <c r="BE42" s="92" t="s">
        <v>64</v>
      </c>
      <c r="BF42" s="92" t="s">
        <v>64</v>
      </c>
      <c r="BG42" s="92" t="s">
        <v>64</v>
      </c>
      <c r="BH42" s="92" t="s">
        <v>64</v>
      </c>
      <c r="BI42" s="92" t="s">
        <v>64</v>
      </c>
      <c r="BJ42" s="92" t="s">
        <v>64</v>
      </c>
      <c r="BK42" s="92" t="s">
        <v>64</v>
      </c>
      <c r="BL42" s="92" t="s">
        <v>64</v>
      </c>
      <c r="BM42" s="92" t="s">
        <v>64</v>
      </c>
      <c r="BN42" s="42">
        <v>170</v>
      </c>
      <c r="BO42" s="95">
        <v>665.83545663023733</v>
      </c>
      <c r="BP42" s="95">
        <f t="shared" ref="BP42:BP78" si="27">BN42+BO42</f>
        <v>835.83545663023733</v>
      </c>
      <c r="BQ42" s="92" t="s">
        <v>64</v>
      </c>
    </row>
    <row r="43" spans="1:69" ht="14.45" customHeight="1">
      <c r="L43" s="127" t="s">
        <v>64</v>
      </c>
      <c r="M43" s="763" t="s">
        <v>426</v>
      </c>
      <c r="N43" s="15" t="s">
        <v>448</v>
      </c>
      <c r="O43" s="15" t="s">
        <v>1035</v>
      </c>
      <c r="P43" s="15" t="str">
        <f t="shared" si="13"/>
        <v>melt inclusion</v>
      </c>
      <c r="Q43" s="15" t="s">
        <v>468</v>
      </c>
      <c r="R43" s="89">
        <v>87.4</v>
      </c>
      <c r="S43" s="191" t="s">
        <v>64</v>
      </c>
      <c r="T43" s="102">
        <f t="shared" si="14"/>
        <v>1245.7429500000001</v>
      </c>
      <c r="U43" s="27" t="s">
        <v>416</v>
      </c>
      <c r="V43" s="90">
        <v>2.1423023820230605E-2</v>
      </c>
      <c r="W43" s="109">
        <v>102.67200000000003</v>
      </c>
      <c r="X43" s="183" t="s">
        <v>462</v>
      </c>
      <c r="Y43" s="104">
        <v>9.134931540756952E-3</v>
      </c>
      <c r="Z43" s="187" t="s">
        <v>462</v>
      </c>
      <c r="AA43" s="112" t="s">
        <v>64</v>
      </c>
      <c r="AB43" s="116" t="str">
        <f t="shared" si="15"/>
        <v>-</v>
      </c>
      <c r="AC43" s="57">
        <v>289</v>
      </c>
      <c r="AD43" s="27">
        <v>41.4</v>
      </c>
      <c r="AE43" s="28">
        <f t="shared" si="24"/>
        <v>1.2516536929195998</v>
      </c>
      <c r="AF43" s="47">
        <f t="shared" si="25"/>
        <v>0.1737886444442438</v>
      </c>
      <c r="AG43" s="1038" t="s">
        <v>1113</v>
      </c>
      <c r="AH43" s="157" t="s">
        <v>64</v>
      </c>
      <c r="AI43" s="18">
        <v>0.87</v>
      </c>
      <c r="AJ43" s="16">
        <v>49.402285714285711</v>
      </c>
      <c r="AK43" s="16">
        <v>2.3015714285714282</v>
      </c>
      <c r="AL43" s="16">
        <v>11.88007142857143</v>
      </c>
      <c r="AM43" s="16">
        <v>11.2</v>
      </c>
      <c r="AN43" s="16">
        <v>9.7285714285714295E-2</v>
      </c>
      <c r="AO43" s="16">
        <v>11.529500000000001</v>
      </c>
      <c r="AP43" s="16">
        <v>10.665714285714285</v>
      </c>
      <c r="AQ43" s="16">
        <v>2.046785714285714</v>
      </c>
      <c r="AR43" s="16">
        <v>0.46864285714285725</v>
      </c>
      <c r="AS43" s="16">
        <v>0.26749999999999996</v>
      </c>
      <c r="AT43" s="152" t="s">
        <v>64</v>
      </c>
      <c r="AU43" s="16">
        <v>0.47058823529411759</v>
      </c>
      <c r="AV43" s="17">
        <f t="shared" si="16"/>
        <v>67.86</v>
      </c>
      <c r="AW43" s="27">
        <f t="shared" si="20"/>
        <v>63.262456526738362</v>
      </c>
      <c r="AX43" s="27">
        <f t="shared" si="21"/>
        <v>131.12245652673835</v>
      </c>
      <c r="AY43" s="18">
        <f t="shared" si="17"/>
        <v>2.2406391982182625</v>
      </c>
      <c r="AZ43" s="16">
        <f t="shared" si="18"/>
        <v>9.1839999999999993</v>
      </c>
      <c r="BA43" s="93" t="s">
        <v>64</v>
      </c>
      <c r="BB43" s="92" t="s">
        <v>64</v>
      </c>
      <c r="BC43" s="92" t="s">
        <v>64</v>
      </c>
      <c r="BD43" s="92" t="s">
        <v>64</v>
      </c>
      <c r="BE43" s="92" t="s">
        <v>64</v>
      </c>
      <c r="BF43" s="92" t="s">
        <v>64</v>
      </c>
      <c r="BG43" s="92" t="s">
        <v>64</v>
      </c>
      <c r="BH43" s="92" t="s">
        <v>64</v>
      </c>
      <c r="BI43" s="92" t="s">
        <v>64</v>
      </c>
      <c r="BJ43" s="92" t="s">
        <v>64</v>
      </c>
      <c r="BK43" s="92" t="s">
        <v>64</v>
      </c>
      <c r="BL43" s="92" t="s">
        <v>64</v>
      </c>
      <c r="BM43" s="92" t="s">
        <v>64</v>
      </c>
      <c r="BN43" s="84">
        <v>78</v>
      </c>
      <c r="BO43" s="95">
        <v>72.715467272113059</v>
      </c>
      <c r="BP43" s="95">
        <f t="shared" si="27"/>
        <v>150.71546727211307</v>
      </c>
      <c r="BQ43" s="92" t="s">
        <v>64</v>
      </c>
    </row>
    <row r="44" spans="1:69" ht="14.45" customHeight="1">
      <c r="L44" s="127" t="s">
        <v>64</v>
      </c>
      <c r="M44" s="763" t="s">
        <v>426</v>
      </c>
      <c r="N44" s="15" t="s">
        <v>448</v>
      </c>
      <c r="O44" s="15" t="s">
        <v>1036</v>
      </c>
      <c r="P44" s="15" t="str">
        <f t="shared" si="13"/>
        <v>melt inclusion</v>
      </c>
      <c r="Q44" s="15" t="s">
        <v>468</v>
      </c>
      <c r="R44" s="89">
        <v>87.4</v>
      </c>
      <c r="S44" s="191" t="s">
        <v>64</v>
      </c>
      <c r="T44" s="102">
        <f t="shared" si="14"/>
        <v>1245.7429500000001</v>
      </c>
      <c r="U44" s="27" t="s">
        <v>416</v>
      </c>
      <c r="V44" s="90">
        <v>4.2476375552507238E-2</v>
      </c>
      <c r="W44" s="109">
        <v>102.64800000000014</v>
      </c>
      <c r="X44" s="183" t="s">
        <v>462</v>
      </c>
      <c r="Y44" s="104">
        <v>7.5632638618117198E-4</v>
      </c>
      <c r="Z44" s="187" t="s">
        <v>462</v>
      </c>
      <c r="AA44" s="112" t="s">
        <v>64</v>
      </c>
      <c r="AB44" s="116" t="str">
        <f t="shared" si="15"/>
        <v>-</v>
      </c>
      <c r="AC44" s="57">
        <v>344</v>
      </c>
      <c r="AD44" s="27">
        <v>49.795000000000002</v>
      </c>
      <c r="AE44" s="28">
        <f t="shared" si="24"/>
        <v>1.4812017299455997</v>
      </c>
      <c r="AF44" s="47">
        <f t="shared" si="25"/>
        <v>0.20664435753542421</v>
      </c>
      <c r="AG44" s="1038" t="s">
        <v>1113</v>
      </c>
      <c r="AH44" s="157" t="s">
        <v>64</v>
      </c>
      <c r="AI44" s="18">
        <v>0.87</v>
      </c>
      <c r="AJ44" s="16">
        <v>49.402285714285711</v>
      </c>
      <c r="AK44" s="16">
        <v>2.3015714285714282</v>
      </c>
      <c r="AL44" s="16">
        <v>11.88007142857143</v>
      </c>
      <c r="AM44" s="16">
        <v>11.2</v>
      </c>
      <c r="AN44" s="16">
        <v>9.7285714285714295E-2</v>
      </c>
      <c r="AO44" s="16">
        <v>11.529500000000001</v>
      </c>
      <c r="AP44" s="16">
        <v>10.665714285714285</v>
      </c>
      <c r="AQ44" s="16">
        <v>2.046785714285714</v>
      </c>
      <c r="AR44" s="16">
        <v>0.46864285714285725</v>
      </c>
      <c r="AS44" s="16">
        <v>0.26749999999999996</v>
      </c>
      <c r="AT44" s="152" t="s">
        <v>64</v>
      </c>
      <c r="AU44" s="16">
        <v>0.47058823529411759</v>
      </c>
      <c r="AV44" s="17">
        <f t="shared" si="16"/>
        <v>147.9</v>
      </c>
      <c r="AW44" s="27">
        <f t="shared" si="20"/>
        <v>10.614229320403432</v>
      </c>
      <c r="AX44" s="27">
        <f t="shared" si="21"/>
        <v>158.51422932040344</v>
      </c>
      <c r="AY44" s="18">
        <f t="shared" si="17"/>
        <v>2.2406391982182625</v>
      </c>
      <c r="AZ44" s="16">
        <f t="shared" si="18"/>
        <v>9.1839999999999993</v>
      </c>
      <c r="BA44" s="93" t="s">
        <v>64</v>
      </c>
      <c r="BB44" s="92" t="s">
        <v>64</v>
      </c>
      <c r="BC44" s="92" t="s">
        <v>64</v>
      </c>
      <c r="BD44" s="92" t="s">
        <v>64</v>
      </c>
      <c r="BE44" s="92" t="s">
        <v>64</v>
      </c>
      <c r="BF44" s="92" t="s">
        <v>64</v>
      </c>
      <c r="BG44" s="92" t="s">
        <v>64</v>
      </c>
      <c r="BH44" s="92" t="s">
        <v>64</v>
      </c>
      <c r="BI44" s="92" t="s">
        <v>64</v>
      </c>
      <c r="BJ44" s="92" t="s">
        <v>64</v>
      </c>
      <c r="BK44" s="92" t="s">
        <v>64</v>
      </c>
      <c r="BL44" s="92" t="s">
        <v>64</v>
      </c>
      <c r="BM44" s="92" t="s">
        <v>64</v>
      </c>
      <c r="BN44" s="42">
        <v>170</v>
      </c>
      <c r="BO44" s="95">
        <v>12.20026358667061</v>
      </c>
      <c r="BP44" s="95">
        <f t="shared" si="27"/>
        <v>182.20026358667062</v>
      </c>
      <c r="BQ44" s="92" t="s">
        <v>64</v>
      </c>
    </row>
    <row r="45" spans="1:69" ht="14.45" customHeight="1">
      <c r="L45" s="129" t="s">
        <v>471</v>
      </c>
      <c r="M45" s="763" t="s">
        <v>426</v>
      </c>
      <c r="N45" s="15" t="s">
        <v>448</v>
      </c>
      <c r="O45" s="15" t="s">
        <v>1037</v>
      </c>
      <c r="P45" s="15" t="str">
        <f t="shared" si="13"/>
        <v>melt inclusion</v>
      </c>
      <c r="Q45" s="15" t="s">
        <v>468</v>
      </c>
      <c r="R45" s="89">
        <v>87.4</v>
      </c>
      <c r="S45" s="191" t="s">
        <v>64</v>
      </c>
      <c r="T45" s="102">
        <f t="shared" si="14"/>
        <v>1245.7429500000001</v>
      </c>
      <c r="U45" s="27" t="s">
        <v>416</v>
      </c>
      <c r="V45" s="90">
        <v>5.1273580211290977E-2</v>
      </c>
      <c r="W45" s="109">
        <v>102.74699999999984</v>
      </c>
      <c r="X45" s="183" t="s">
        <v>462</v>
      </c>
      <c r="Y45" s="104">
        <v>3.6015443554788362E-2</v>
      </c>
      <c r="Z45" s="187" t="s">
        <v>462</v>
      </c>
      <c r="AA45" s="112" t="s">
        <v>64</v>
      </c>
      <c r="AB45" s="116" t="str">
        <f t="shared" si="15"/>
        <v>-</v>
      </c>
      <c r="AC45" s="57">
        <v>1434</v>
      </c>
      <c r="AD45" s="27">
        <v>202</v>
      </c>
      <c r="AE45" s="28">
        <f t="shared" si="24"/>
        <v>5.581855827273599</v>
      </c>
      <c r="AF45" s="47">
        <f t="shared" si="25"/>
        <v>0.69860909064959742</v>
      </c>
      <c r="AG45" s="1038" t="s">
        <v>1113</v>
      </c>
      <c r="AH45" s="157" t="s">
        <v>64</v>
      </c>
      <c r="AI45" s="18">
        <v>0.87</v>
      </c>
      <c r="AJ45" s="16">
        <v>49.402285714285711</v>
      </c>
      <c r="AK45" s="16">
        <v>2.3015714285714282</v>
      </c>
      <c r="AL45" s="16">
        <v>11.88007142857143</v>
      </c>
      <c r="AM45" s="16">
        <v>11.2</v>
      </c>
      <c r="AN45" s="16">
        <v>9.7285714285714295E-2</v>
      </c>
      <c r="AO45" s="16">
        <v>11.529500000000001</v>
      </c>
      <c r="AP45" s="16">
        <v>10.665714285714285</v>
      </c>
      <c r="AQ45" s="16">
        <v>2.046785714285714</v>
      </c>
      <c r="AR45" s="16">
        <v>0.46864285714285725</v>
      </c>
      <c r="AS45" s="16">
        <v>0.26749999999999996</v>
      </c>
      <c r="AT45" s="152" t="s">
        <v>64</v>
      </c>
      <c r="AU45" s="16">
        <v>0.47058823529411759</v>
      </c>
      <c r="AV45" s="17">
        <f t="shared" si="16"/>
        <v>147.9</v>
      </c>
      <c r="AW45" s="27">
        <f t="shared" si="20"/>
        <v>615.34785568047812</v>
      </c>
      <c r="AX45" s="27">
        <f t="shared" si="21"/>
        <v>763.2478556804781</v>
      </c>
      <c r="AY45" s="18">
        <f t="shared" si="17"/>
        <v>2.2406391982182625</v>
      </c>
      <c r="AZ45" s="16">
        <f t="shared" si="18"/>
        <v>9.1839999999999993</v>
      </c>
      <c r="BA45" s="93" t="s">
        <v>64</v>
      </c>
      <c r="BB45" s="92" t="s">
        <v>64</v>
      </c>
      <c r="BC45" s="92" t="s">
        <v>64</v>
      </c>
      <c r="BD45" s="92" t="s">
        <v>64</v>
      </c>
      <c r="BE45" s="92" t="s">
        <v>64</v>
      </c>
      <c r="BF45" s="92" t="s">
        <v>64</v>
      </c>
      <c r="BG45" s="92" t="s">
        <v>64</v>
      </c>
      <c r="BH45" s="92" t="s">
        <v>64</v>
      </c>
      <c r="BI45" s="92" t="s">
        <v>64</v>
      </c>
      <c r="BJ45" s="92" t="s">
        <v>64</v>
      </c>
      <c r="BK45" s="92" t="s">
        <v>64</v>
      </c>
      <c r="BL45" s="92" t="s">
        <v>64</v>
      </c>
      <c r="BM45" s="92" t="s">
        <v>64</v>
      </c>
      <c r="BN45" s="42">
        <v>170</v>
      </c>
      <c r="BO45" s="95">
        <v>707.29638583963003</v>
      </c>
      <c r="BP45" s="95">
        <f t="shared" si="27"/>
        <v>877.29638583963003</v>
      </c>
      <c r="BQ45" s="92" t="s">
        <v>64</v>
      </c>
    </row>
    <row r="46" spans="1:69" ht="14.45" customHeight="1">
      <c r="L46" s="127" t="s">
        <v>64</v>
      </c>
      <c r="M46" s="763" t="s">
        <v>426</v>
      </c>
      <c r="N46" s="15" t="s">
        <v>448</v>
      </c>
      <c r="O46" s="15" t="s">
        <v>1038</v>
      </c>
      <c r="P46" s="15" t="str">
        <f t="shared" si="13"/>
        <v>melt inclusion</v>
      </c>
      <c r="Q46" s="15" t="s">
        <v>468</v>
      </c>
      <c r="R46" s="89">
        <v>87.4</v>
      </c>
      <c r="S46" s="191" t="s">
        <v>64</v>
      </c>
      <c r="T46" s="102">
        <f t="shared" si="14"/>
        <v>1245.7429500000001</v>
      </c>
      <c r="U46" s="27" t="s">
        <v>416</v>
      </c>
      <c r="V46" s="90">
        <v>3.7810777039087744E-2</v>
      </c>
      <c r="W46" s="109">
        <v>102.71299999999997</v>
      </c>
      <c r="X46" s="183" t="s">
        <v>462</v>
      </c>
      <c r="Y46" s="104">
        <v>2.3701430945948232E-2</v>
      </c>
      <c r="Z46" s="187" t="s">
        <v>462</v>
      </c>
      <c r="AA46" s="112" t="s">
        <v>64</v>
      </c>
      <c r="AB46" s="116" t="str">
        <f t="shared" si="15"/>
        <v>-</v>
      </c>
      <c r="AC46" s="57">
        <v>877</v>
      </c>
      <c r="AD46" s="27">
        <v>127.5</v>
      </c>
      <c r="AE46" s="28">
        <f t="shared" si="24"/>
        <v>3.5811477842971997</v>
      </c>
      <c r="AF46" s="47">
        <f t="shared" si="25"/>
        <v>0.47819308478324274</v>
      </c>
      <c r="AG46" s="1038" t="s">
        <v>1113</v>
      </c>
      <c r="AH46" s="157" t="s">
        <v>64</v>
      </c>
      <c r="AI46" s="18">
        <v>0.87</v>
      </c>
      <c r="AJ46" s="16">
        <v>49.402285714285711</v>
      </c>
      <c r="AK46" s="16">
        <v>2.3015714285714282</v>
      </c>
      <c r="AL46" s="16">
        <v>11.88007142857143</v>
      </c>
      <c r="AM46" s="16">
        <v>11.2</v>
      </c>
      <c r="AN46" s="16">
        <v>9.7285714285714295E-2</v>
      </c>
      <c r="AO46" s="16">
        <v>11.529500000000001</v>
      </c>
      <c r="AP46" s="16">
        <v>10.665714285714285</v>
      </c>
      <c r="AQ46" s="16">
        <v>2.046785714285714</v>
      </c>
      <c r="AR46" s="16">
        <v>0.46864285714285725</v>
      </c>
      <c r="AS46" s="16">
        <v>0.26749999999999996</v>
      </c>
      <c r="AT46" s="152" t="s">
        <v>64</v>
      </c>
      <c r="AU46" s="16">
        <v>0.47058823529411759</v>
      </c>
      <c r="AV46" s="17">
        <f t="shared" si="16"/>
        <v>147.9</v>
      </c>
      <c r="AW46" s="27">
        <f t="shared" si="20"/>
        <v>294.55688294388</v>
      </c>
      <c r="AX46" s="27">
        <f t="shared" si="21"/>
        <v>442.45688294388003</v>
      </c>
      <c r="AY46" s="18">
        <f t="shared" si="17"/>
        <v>2.2406391982182625</v>
      </c>
      <c r="AZ46" s="16">
        <f t="shared" si="18"/>
        <v>9.1839999999999993</v>
      </c>
      <c r="BA46" s="93" t="s">
        <v>64</v>
      </c>
      <c r="BB46" s="92" t="s">
        <v>64</v>
      </c>
      <c r="BC46" s="92" t="s">
        <v>64</v>
      </c>
      <c r="BD46" s="92" t="s">
        <v>64</v>
      </c>
      <c r="BE46" s="92" t="s">
        <v>64</v>
      </c>
      <c r="BF46" s="92" t="s">
        <v>64</v>
      </c>
      <c r="BG46" s="92" t="s">
        <v>64</v>
      </c>
      <c r="BH46" s="92" t="s">
        <v>64</v>
      </c>
      <c r="BI46" s="92" t="s">
        <v>64</v>
      </c>
      <c r="BJ46" s="92" t="s">
        <v>64</v>
      </c>
      <c r="BK46" s="92" t="s">
        <v>64</v>
      </c>
      <c r="BL46" s="92" t="s">
        <v>64</v>
      </c>
      <c r="BM46" s="92" t="s">
        <v>64</v>
      </c>
      <c r="BN46" s="42">
        <v>170</v>
      </c>
      <c r="BO46" s="95">
        <v>338.57112982055173</v>
      </c>
      <c r="BP46" s="95">
        <f t="shared" si="27"/>
        <v>508.57112982055173</v>
      </c>
      <c r="BQ46" s="92" t="s">
        <v>64</v>
      </c>
    </row>
    <row r="47" spans="1:69" ht="14.45" customHeight="1">
      <c r="L47" s="127" t="s">
        <v>64</v>
      </c>
      <c r="M47" s="763" t="s">
        <v>426</v>
      </c>
      <c r="N47" s="15" t="s">
        <v>448</v>
      </c>
      <c r="O47" s="15" t="s">
        <v>1039</v>
      </c>
      <c r="P47" s="15" t="str">
        <f t="shared" si="13"/>
        <v>melt inclusion</v>
      </c>
      <c r="Q47" s="15" t="s">
        <v>468</v>
      </c>
      <c r="R47" s="89">
        <v>87.4</v>
      </c>
      <c r="S47" s="191" t="s">
        <v>64</v>
      </c>
      <c r="T47" s="102">
        <f t="shared" si="14"/>
        <v>1245.7429500000001</v>
      </c>
      <c r="U47" s="27" t="s">
        <v>416</v>
      </c>
      <c r="V47" s="90">
        <v>4.1097860593512781E-2</v>
      </c>
      <c r="W47" s="109">
        <v>102.73799999999983</v>
      </c>
      <c r="X47" s="183" t="s">
        <v>462</v>
      </c>
      <c r="Y47" s="104">
        <v>3.273561305104522E-2</v>
      </c>
      <c r="Z47" s="187" t="s">
        <v>462</v>
      </c>
      <c r="AA47" s="112" t="s">
        <v>64</v>
      </c>
      <c r="AB47" s="116" t="str">
        <f t="shared" si="15"/>
        <v>-</v>
      </c>
      <c r="AC47" s="57">
        <v>1143</v>
      </c>
      <c r="AD47" s="27">
        <v>164</v>
      </c>
      <c r="AE47" s="28">
        <f t="shared" si="24"/>
        <v>4.5570800913587997</v>
      </c>
      <c r="AF47" s="47">
        <f t="shared" si="25"/>
        <v>0.58959545227685339</v>
      </c>
      <c r="AG47" s="1038" t="s">
        <v>1113</v>
      </c>
      <c r="AH47" s="157" t="s">
        <v>64</v>
      </c>
      <c r="AI47" s="18">
        <v>0.87</v>
      </c>
      <c r="AJ47" s="16">
        <v>49.402285714285711</v>
      </c>
      <c r="AK47" s="16">
        <v>2.3015714285714282</v>
      </c>
      <c r="AL47" s="16">
        <v>11.88007142857143</v>
      </c>
      <c r="AM47" s="16">
        <v>11.2</v>
      </c>
      <c r="AN47" s="16">
        <v>9.7285714285714295E-2</v>
      </c>
      <c r="AO47" s="16">
        <v>11.529500000000001</v>
      </c>
      <c r="AP47" s="16">
        <v>10.665714285714285</v>
      </c>
      <c r="AQ47" s="16">
        <v>2.046785714285714</v>
      </c>
      <c r="AR47" s="16">
        <v>0.46864285714285725</v>
      </c>
      <c r="AS47" s="16">
        <v>0.26749999999999996</v>
      </c>
      <c r="AT47" s="152" t="s">
        <v>64</v>
      </c>
      <c r="AU47" s="16">
        <v>0.47058823529411759</v>
      </c>
      <c r="AV47" s="17">
        <f t="shared" si="16"/>
        <v>147.9</v>
      </c>
      <c r="AW47" s="27">
        <f t="shared" si="20"/>
        <v>443.63974581344195</v>
      </c>
      <c r="AX47" s="27">
        <f t="shared" si="21"/>
        <v>591.53974581344198</v>
      </c>
      <c r="AY47" s="18">
        <f t="shared" si="17"/>
        <v>2.2406391982182625</v>
      </c>
      <c r="AZ47" s="16">
        <f t="shared" si="18"/>
        <v>9.1839999999999993</v>
      </c>
      <c r="BA47" s="93" t="s">
        <v>64</v>
      </c>
      <c r="BB47" s="92" t="s">
        <v>64</v>
      </c>
      <c r="BC47" s="92" t="s">
        <v>64</v>
      </c>
      <c r="BD47" s="92" t="s">
        <v>64</v>
      </c>
      <c r="BE47" s="92" t="s">
        <v>64</v>
      </c>
      <c r="BF47" s="92" t="s">
        <v>64</v>
      </c>
      <c r="BG47" s="92" t="s">
        <v>64</v>
      </c>
      <c r="BH47" s="92" t="s">
        <v>64</v>
      </c>
      <c r="BI47" s="92" t="s">
        <v>64</v>
      </c>
      <c r="BJ47" s="92" t="s">
        <v>64</v>
      </c>
      <c r="BK47" s="92" t="s">
        <v>64</v>
      </c>
      <c r="BL47" s="92" t="s">
        <v>64</v>
      </c>
      <c r="BM47" s="92" t="s">
        <v>64</v>
      </c>
      <c r="BN47" s="42">
        <v>170</v>
      </c>
      <c r="BO47" s="95">
        <v>509.93074231430109</v>
      </c>
      <c r="BP47" s="95">
        <f t="shared" si="27"/>
        <v>679.93074231430114</v>
      </c>
      <c r="BQ47" s="92" t="s">
        <v>64</v>
      </c>
    </row>
    <row r="48" spans="1:69" ht="14.45" customHeight="1">
      <c r="L48" s="127" t="s">
        <v>64</v>
      </c>
      <c r="M48" s="763" t="s">
        <v>426</v>
      </c>
      <c r="N48" s="15" t="s">
        <v>448</v>
      </c>
      <c r="O48" s="15" t="s">
        <v>1040</v>
      </c>
      <c r="P48" s="15" t="str">
        <f t="shared" si="13"/>
        <v>melt inclusion</v>
      </c>
      <c r="Q48" s="15" t="s">
        <v>468</v>
      </c>
      <c r="R48" s="89">
        <v>87.4</v>
      </c>
      <c r="S48" s="191" t="s">
        <v>64</v>
      </c>
      <c r="T48" s="102">
        <f t="shared" si="14"/>
        <v>1245.7429500000001</v>
      </c>
      <c r="U48" s="27" t="s">
        <v>416</v>
      </c>
      <c r="V48" s="90">
        <v>4.2817861473926945E-2</v>
      </c>
      <c r="W48" s="109">
        <v>102.81700000000001</v>
      </c>
      <c r="X48" s="183" t="s">
        <v>462</v>
      </c>
      <c r="Y48" s="104">
        <v>6.2005229825444985E-2</v>
      </c>
      <c r="Z48" s="187" t="s">
        <v>462</v>
      </c>
      <c r="AA48" s="112" t="s">
        <v>64</v>
      </c>
      <c r="AB48" s="116" t="str">
        <f t="shared" si="15"/>
        <v>-</v>
      </c>
      <c r="AC48" s="57">
        <v>1856</v>
      </c>
      <c r="AD48" s="27">
        <v>255</v>
      </c>
      <c r="AE48" s="28">
        <f t="shared" si="24"/>
        <v>7.0085068242943995</v>
      </c>
      <c r="AF48" s="47">
        <f t="shared" si="25"/>
        <v>0.84719617398593527</v>
      </c>
      <c r="AG48" s="1038" t="s">
        <v>1113</v>
      </c>
      <c r="AH48" s="157" t="s">
        <v>64</v>
      </c>
      <c r="AI48" s="18">
        <v>0.87</v>
      </c>
      <c r="AJ48" s="16">
        <v>49.402285714285711</v>
      </c>
      <c r="AK48" s="16">
        <v>2.3015714285714282</v>
      </c>
      <c r="AL48" s="16">
        <v>11.88007142857143</v>
      </c>
      <c r="AM48" s="16">
        <v>11.2</v>
      </c>
      <c r="AN48" s="16">
        <v>9.7285714285714295E-2</v>
      </c>
      <c r="AO48" s="16">
        <v>11.529500000000001</v>
      </c>
      <c r="AP48" s="16">
        <v>10.665714285714285</v>
      </c>
      <c r="AQ48" s="16">
        <v>2.046785714285714</v>
      </c>
      <c r="AR48" s="16">
        <v>0.46864285714285725</v>
      </c>
      <c r="AS48" s="16">
        <v>0.26749999999999996</v>
      </c>
      <c r="AT48" s="152" t="s">
        <v>64</v>
      </c>
      <c r="AU48" s="16">
        <v>0.47058823529411759</v>
      </c>
      <c r="AV48" s="17">
        <f t="shared" si="16"/>
        <v>147.9</v>
      </c>
      <c r="AW48" s="27">
        <f t="shared" si="20"/>
        <v>876.61208084965961</v>
      </c>
      <c r="AX48" s="27">
        <f t="shared" si="21"/>
        <v>1024.5120808496597</v>
      </c>
      <c r="AY48" s="18">
        <f t="shared" si="17"/>
        <v>2.2406391982182625</v>
      </c>
      <c r="AZ48" s="16">
        <f t="shared" si="18"/>
        <v>9.1839999999999993</v>
      </c>
      <c r="BA48" s="93" t="s">
        <v>64</v>
      </c>
      <c r="BB48" s="92" t="s">
        <v>64</v>
      </c>
      <c r="BC48" s="92" t="s">
        <v>64</v>
      </c>
      <c r="BD48" s="92" t="s">
        <v>64</v>
      </c>
      <c r="BE48" s="92" t="s">
        <v>64</v>
      </c>
      <c r="BF48" s="92" t="s">
        <v>64</v>
      </c>
      <c r="BG48" s="92" t="s">
        <v>64</v>
      </c>
      <c r="BH48" s="92" t="s">
        <v>64</v>
      </c>
      <c r="BI48" s="92" t="s">
        <v>64</v>
      </c>
      <c r="BJ48" s="92" t="s">
        <v>64</v>
      </c>
      <c r="BK48" s="92" t="s">
        <v>64</v>
      </c>
      <c r="BL48" s="92" t="s">
        <v>64</v>
      </c>
      <c r="BM48" s="92" t="s">
        <v>64</v>
      </c>
      <c r="BN48" s="42">
        <v>170</v>
      </c>
      <c r="BO48" s="95">
        <v>1007.6000929306432</v>
      </c>
      <c r="BP48" s="95">
        <f t="shared" si="27"/>
        <v>1177.6000929306433</v>
      </c>
      <c r="BQ48" s="92" t="s">
        <v>64</v>
      </c>
    </row>
    <row r="49" spans="12:69" ht="14.45" customHeight="1">
      <c r="L49" s="127" t="s">
        <v>64</v>
      </c>
      <c r="M49" s="763" t="s">
        <v>426</v>
      </c>
      <c r="N49" s="15" t="s">
        <v>448</v>
      </c>
      <c r="O49" s="15" t="s">
        <v>1041</v>
      </c>
      <c r="P49" s="15" t="str">
        <f t="shared" si="13"/>
        <v>melt inclusion</v>
      </c>
      <c r="Q49" s="15" t="s">
        <v>468</v>
      </c>
      <c r="R49" s="89">
        <v>87.4</v>
      </c>
      <c r="S49" s="191" t="s">
        <v>64</v>
      </c>
      <c r="T49" s="102">
        <f t="shared" si="14"/>
        <v>1245.7429500000001</v>
      </c>
      <c r="U49" s="27" t="s">
        <v>416</v>
      </c>
      <c r="V49" s="90">
        <v>3.6109435842395204E-2</v>
      </c>
      <c r="W49" s="109">
        <v>102.77800000000002</v>
      </c>
      <c r="X49" s="183" t="s">
        <v>462</v>
      </c>
      <c r="Y49" s="104">
        <v>4.7421733172086533E-2</v>
      </c>
      <c r="Z49" s="187" t="s">
        <v>462</v>
      </c>
      <c r="AA49" s="112" t="s">
        <v>64</v>
      </c>
      <c r="AB49" s="116" t="str">
        <f t="shared" si="15"/>
        <v>-</v>
      </c>
      <c r="AC49" s="57">
        <v>1345</v>
      </c>
      <c r="AD49" s="27">
        <v>190.5</v>
      </c>
      <c r="AE49" s="28">
        <f t="shared" si="24"/>
        <v>5.272616961949999</v>
      </c>
      <c r="AF49" s="47">
        <f t="shared" si="25"/>
        <v>0.66609128588049771</v>
      </c>
      <c r="AG49" s="1038" t="s">
        <v>1113</v>
      </c>
      <c r="AH49" s="157" t="s">
        <v>64</v>
      </c>
      <c r="AI49" s="18">
        <v>0.87</v>
      </c>
      <c r="AJ49" s="16">
        <v>49.402285714285711</v>
      </c>
      <c r="AK49" s="16">
        <v>2.3015714285714282</v>
      </c>
      <c r="AL49" s="16">
        <v>11.88007142857143</v>
      </c>
      <c r="AM49" s="16">
        <v>11.2</v>
      </c>
      <c r="AN49" s="16">
        <v>9.7285714285714295E-2</v>
      </c>
      <c r="AO49" s="16">
        <v>11.529500000000001</v>
      </c>
      <c r="AP49" s="16">
        <v>10.665714285714285</v>
      </c>
      <c r="AQ49" s="16">
        <v>2.046785714285714</v>
      </c>
      <c r="AR49" s="16">
        <v>0.46864285714285725</v>
      </c>
      <c r="AS49" s="16">
        <v>0.26749999999999996</v>
      </c>
      <c r="AT49" s="152" t="s">
        <v>64</v>
      </c>
      <c r="AU49" s="16">
        <v>0.47058823529411759</v>
      </c>
      <c r="AV49" s="17">
        <f t="shared" si="16"/>
        <v>147.9</v>
      </c>
      <c r="AW49" s="27">
        <f t="shared" si="20"/>
        <v>561.66387093517926</v>
      </c>
      <c r="AX49" s="27">
        <f t="shared" si="21"/>
        <v>709.56387093517924</v>
      </c>
      <c r="AY49" s="18">
        <f t="shared" si="17"/>
        <v>2.2406391982182625</v>
      </c>
      <c r="AZ49" s="16">
        <f t="shared" si="18"/>
        <v>9.1839999999999993</v>
      </c>
      <c r="BA49" s="93" t="s">
        <v>64</v>
      </c>
      <c r="BB49" s="92" t="s">
        <v>64</v>
      </c>
      <c r="BC49" s="92" t="s">
        <v>64</v>
      </c>
      <c r="BD49" s="92" t="s">
        <v>64</v>
      </c>
      <c r="BE49" s="92" t="s">
        <v>64</v>
      </c>
      <c r="BF49" s="92" t="s">
        <v>64</v>
      </c>
      <c r="BG49" s="92" t="s">
        <v>64</v>
      </c>
      <c r="BH49" s="92" t="s">
        <v>64</v>
      </c>
      <c r="BI49" s="92" t="s">
        <v>64</v>
      </c>
      <c r="BJ49" s="92" t="s">
        <v>64</v>
      </c>
      <c r="BK49" s="92" t="s">
        <v>64</v>
      </c>
      <c r="BL49" s="92" t="s">
        <v>64</v>
      </c>
      <c r="BM49" s="92" t="s">
        <v>64</v>
      </c>
      <c r="BN49" s="42">
        <v>170</v>
      </c>
      <c r="BO49" s="95">
        <v>645.5906562473325</v>
      </c>
      <c r="BP49" s="95">
        <f t="shared" si="27"/>
        <v>815.5906562473325</v>
      </c>
      <c r="BQ49" s="92" t="s">
        <v>64</v>
      </c>
    </row>
    <row r="50" spans="12:69" ht="14.45" customHeight="1">
      <c r="L50" s="127" t="s">
        <v>64</v>
      </c>
      <c r="M50" s="763" t="s">
        <v>426</v>
      </c>
      <c r="N50" s="15" t="s">
        <v>448</v>
      </c>
      <c r="O50" s="15" t="s">
        <v>1042</v>
      </c>
      <c r="P50" s="15" t="str">
        <f t="shared" si="13"/>
        <v>melt inclusion</v>
      </c>
      <c r="Q50" s="15" t="s">
        <v>468</v>
      </c>
      <c r="R50" s="89">
        <v>87.4</v>
      </c>
      <c r="S50" s="191" t="s">
        <v>64</v>
      </c>
      <c r="T50" s="102">
        <f t="shared" si="14"/>
        <v>1245.7429500000001</v>
      </c>
      <c r="U50" s="27" t="s">
        <v>416</v>
      </c>
      <c r="V50" s="90">
        <v>3.4195570978232136E-2</v>
      </c>
      <c r="W50" s="109">
        <v>102.77199999999993</v>
      </c>
      <c r="X50" s="183" t="s">
        <v>462</v>
      </c>
      <c r="Y50" s="104">
        <v>4.5201021748653147E-2</v>
      </c>
      <c r="Z50" s="187" t="s">
        <v>462</v>
      </c>
      <c r="AA50" s="112" t="s">
        <v>64</v>
      </c>
      <c r="AB50" s="116" t="str">
        <f t="shared" si="15"/>
        <v>-</v>
      </c>
      <c r="AC50" s="57">
        <v>1250</v>
      </c>
      <c r="AD50" s="27">
        <v>178</v>
      </c>
      <c r="AE50" s="28">
        <f t="shared" si="24"/>
        <v>4.938593749999999</v>
      </c>
      <c r="AF50" s="47">
        <f t="shared" si="25"/>
        <v>0.63026100903675797</v>
      </c>
      <c r="AG50" s="1038" t="s">
        <v>1113</v>
      </c>
      <c r="AH50" s="157" t="s">
        <v>64</v>
      </c>
      <c r="AI50" s="18">
        <v>0.87</v>
      </c>
      <c r="AJ50" s="16">
        <v>49.402285714285711</v>
      </c>
      <c r="AK50" s="16">
        <v>2.3015714285714282</v>
      </c>
      <c r="AL50" s="16">
        <v>11.88007142857143</v>
      </c>
      <c r="AM50" s="16">
        <v>11.2</v>
      </c>
      <c r="AN50" s="16">
        <v>9.7285714285714295E-2</v>
      </c>
      <c r="AO50" s="16">
        <v>11.529500000000001</v>
      </c>
      <c r="AP50" s="16">
        <v>10.665714285714285</v>
      </c>
      <c r="AQ50" s="16">
        <v>2.046785714285714</v>
      </c>
      <c r="AR50" s="16">
        <v>0.46864285714285725</v>
      </c>
      <c r="AS50" s="16">
        <v>0.26749999999999996</v>
      </c>
      <c r="AT50" s="152" t="s">
        <v>64</v>
      </c>
      <c r="AU50" s="16">
        <v>0.47058823529411759</v>
      </c>
      <c r="AV50" s="17">
        <f t="shared" si="16"/>
        <v>147.9</v>
      </c>
      <c r="AW50" s="27">
        <f t="shared" si="20"/>
        <v>506.01432015122236</v>
      </c>
      <c r="AX50" s="27">
        <f t="shared" si="21"/>
        <v>653.91432015122234</v>
      </c>
      <c r="AY50" s="18">
        <f t="shared" si="17"/>
        <v>2.2406391982182625</v>
      </c>
      <c r="AZ50" s="16">
        <f t="shared" si="18"/>
        <v>9.1839999999999993</v>
      </c>
      <c r="BA50" s="93" t="s">
        <v>64</v>
      </c>
      <c r="BB50" s="92" t="s">
        <v>64</v>
      </c>
      <c r="BC50" s="92" t="s">
        <v>64</v>
      </c>
      <c r="BD50" s="92" t="s">
        <v>64</v>
      </c>
      <c r="BE50" s="92" t="s">
        <v>64</v>
      </c>
      <c r="BF50" s="92" t="s">
        <v>64</v>
      </c>
      <c r="BG50" s="92" t="s">
        <v>64</v>
      </c>
      <c r="BH50" s="92" t="s">
        <v>64</v>
      </c>
      <c r="BI50" s="92" t="s">
        <v>64</v>
      </c>
      <c r="BJ50" s="92" t="s">
        <v>64</v>
      </c>
      <c r="BK50" s="92" t="s">
        <v>64</v>
      </c>
      <c r="BL50" s="92" t="s">
        <v>64</v>
      </c>
      <c r="BM50" s="92" t="s">
        <v>64</v>
      </c>
      <c r="BN50" s="42">
        <v>170</v>
      </c>
      <c r="BO50" s="95">
        <v>581.62565534623263</v>
      </c>
      <c r="BP50" s="95">
        <f t="shared" si="27"/>
        <v>751.62565534623263</v>
      </c>
      <c r="BQ50" s="92" t="s">
        <v>64</v>
      </c>
    </row>
    <row r="51" spans="12:69" ht="14.45" customHeight="1">
      <c r="L51" s="127" t="s">
        <v>64</v>
      </c>
      <c r="M51" s="763" t="s">
        <v>426</v>
      </c>
      <c r="N51" s="15" t="s">
        <v>448</v>
      </c>
      <c r="O51" s="15" t="s">
        <v>1043</v>
      </c>
      <c r="P51" s="15" t="str">
        <f t="shared" si="13"/>
        <v>melt inclusion</v>
      </c>
      <c r="Q51" s="15" t="s">
        <v>468</v>
      </c>
      <c r="R51" s="89">
        <v>87.4</v>
      </c>
      <c r="S51" s="191" t="s">
        <v>64</v>
      </c>
      <c r="T51" s="102">
        <f t="shared" si="14"/>
        <v>1245.7429500000001</v>
      </c>
      <c r="U51" s="27" t="s">
        <v>416</v>
      </c>
      <c r="V51" s="90">
        <v>4.3670292293130623E-2</v>
      </c>
      <c r="W51" s="109">
        <v>102.99000000000001</v>
      </c>
      <c r="X51" s="183" t="s">
        <v>462</v>
      </c>
      <c r="Y51" s="104">
        <v>0.12956488811323652</v>
      </c>
      <c r="Z51" s="187" t="s">
        <v>462</v>
      </c>
      <c r="AA51" s="112" t="s">
        <v>64</v>
      </c>
      <c r="AB51" s="116" t="str">
        <f t="shared" si="15"/>
        <v>-</v>
      </c>
      <c r="AC51" s="57">
        <v>3253</v>
      </c>
      <c r="AD51" s="27">
        <v>410.5</v>
      </c>
      <c r="AE51" s="28">
        <f t="shared" si="24"/>
        <v>11.595991921746799</v>
      </c>
      <c r="AF51" s="47">
        <f t="shared" si="25"/>
        <v>1.39354468941292</v>
      </c>
      <c r="AG51" s="1038" t="s">
        <v>1113</v>
      </c>
      <c r="AH51" s="157" t="s">
        <v>64</v>
      </c>
      <c r="AI51" s="18">
        <v>0.87</v>
      </c>
      <c r="AJ51" s="16">
        <v>49.402285714285711</v>
      </c>
      <c r="AK51" s="16">
        <v>2.3015714285714282</v>
      </c>
      <c r="AL51" s="16">
        <v>11.88007142857143</v>
      </c>
      <c r="AM51" s="16">
        <v>11.2</v>
      </c>
      <c r="AN51" s="16">
        <v>9.7285714285714295E-2</v>
      </c>
      <c r="AO51" s="16">
        <v>11.529500000000001</v>
      </c>
      <c r="AP51" s="16">
        <v>10.665714285714285</v>
      </c>
      <c r="AQ51" s="16">
        <v>2.046785714285714</v>
      </c>
      <c r="AR51" s="16">
        <v>0.46864285714285725</v>
      </c>
      <c r="AS51" s="16">
        <v>0.26749999999999996</v>
      </c>
      <c r="AT51" s="152" t="s">
        <v>64</v>
      </c>
      <c r="AU51" s="16">
        <v>0.47058823529411759</v>
      </c>
      <c r="AV51" s="17">
        <f t="shared" si="16"/>
        <v>147.9</v>
      </c>
      <c r="AW51" s="27">
        <f t="shared" si="20"/>
        <v>1867.7509747339795</v>
      </c>
      <c r="AX51" s="27">
        <f t="shared" si="21"/>
        <v>2015.6509747339796</v>
      </c>
      <c r="AY51" s="18">
        <f t="shared" si="17"/>
        <v>2.2406391982182625</v>
      </c>
      <c r="AZ51" s="16">
        <f t="shared" si="18"/>
        <v>9.1839999999999993</v>
      </c>
      <c r="BA51" s="93" t="s">
        <v>64</v>
      </c>
      <c r="BB51" s="92" t="s">
        <v>64</v>
      </c>
      <c r="BC51" s="92" t="s">
        <v>64</v>
      </c>
      <c r="BD51" s="92" t="s">
        <v>64</v>
      </c>
      <c r="BE51" s="92" t="s">
        <v>64</v>
      </c>
      <c r="BF51" s="92" t="s">
        <v>64</v>
      </c>
      <c r="BG51" s="92" t="s">
        <v>64</v>
      </c>
      <c r="BH51" s="92" t="s">
        <v>64</v>
      </c>
      <c r="BI51" s="92" t="s">
        <v>64</v>
      </c>
      <c r="BJ51" s="92" t="s">
        <v>64</v>
      </c>
      <c r="BK51" s="92" t="s">
        <v>64</v>
      </c>
      <c r="BL51" s="92" t="s">
        <v>64</v>
      </c>
      <c r="BM51" s="92" t="s">
        <v>64</v>
      </c>
      <c r="BN51" s="42">
        <v>170</v>
      </c>
      <c r="BO51" s="95">
        <v>2146.8402008436547</v>
      </c>
      <c r="BP51" s="95">
        <f t="shared" si="27"/>
        <v>2316.8402008436547</v>
      </c>
      <c r="BQ51" s="92" t="s">
        <v>64</v>
      </c>
    </row>
    <row r="52" spans="12:69" ht="14.45" customHeight="1">
      <c r="L52" s="127" t="s">
        <v>64</v>
      </c>
      <c r="M52" s="763" t="s">
        <v>426</v>
      </c>
      <c r="N52" s="15" t="s">
        <v>448</v>
      </c>
      <c r="O52" s="15" t="s">
        <v>1044</v>
      </c>
      <c r="P52" s="15" t="str">
        <f t="shared" si="13"/>
        <v>melt inclusion</v>
      </c>
      <c r="Q52" s="15" t="s">
        <v>468</v>
      </c>
      <c r="R52" s="89">
        <v>87.4</v>
      </c>
      <c r="S52" s="191" t="s">
        <v>64</v>
      </c>
      <c r="T52" s="102">
        <f t="shared" si="14"/>
        <v>1245.7429500000001</v>
      </c>
      <c r="U52" s="27" t="s">
        <v>416</v>
      </c>
      <c r="V52" s="90">
        <v>3.8800964045054342E-2</v>
      </c>
      <c r="W52" s="109">
        <v>102.77499999999986</v>
      </c>
      <c r="X52" s="183" t="s">
        <v>462</v>
      </c>
      <c r="Y52" s="104">
        <v>4.6310602549056057E-2</v>
      </c>
      <c r="Z52" s="187" t="s">
        <v>462</v>
      </c>
      <c r="AA52" s="112" t="s">
        <v>64</v>
      </c>
      <c r="AB52" s="116" t="str">
        <f t="shared" si="15"/>
        <v>-</v>
      </c>
      <c r="AC52" s="57">
        <v>1394</v>
      </c>
      <c r="AD52" s="27">
        <v>197</v>
      </c>
      <c r="AE52" s="28">
        <f t="shared" si="24"/>
        <v>5.4432941865055993</v>
      </c>
      <c r="AF52" s="47">
        <f t="shared" si="25"/>
        <v>0.68460970407159039</v>
      </c>
      <c r="AG52" s="1038" t="s">
        <v>1113</v>
      </c>
      <c r="AH52" s="157" t="s">
        <v>64</v>
      </c>
      <c r="AI52" s="18">
        <v>0.87</v>
      </c>
      <c r="AJ52" s="16">
        <v>49.402285714285711</v>
      </c>
      <c r="AK52" s="16">
        <v>2.3015714285714282</v>
      </c>
      <c r="AL52" s="16">
        <v>11.88007142857143</v>
      </c>
      <c r="AM52" s="16">
        <v>11.2</v>
      </c>
      <c r="AN52" s="16">
        <v>9.7285714285714295E-2</v>
      </c>
      <c r="AO52" s="16">
        <v>11.529500000000001</v>
      </c>
      <c r="AP52" s="16">
        <v>10.665714285714285</v>
      </c>
      <c r="AQ52" s="16">
        <v>2.046785714285714</v>
      </c>
      <c r="AR52" s="16">
        <v>0.46864285714285725</v>
      </c>
      <c r="AS52" s="16">
        <v>0.26749999999999996</v>
      </c>
      <c r="AT52" s="152" t="s">
        <v>64</v>
      </c>
      <c r="AU52" s="16">
        <v>0.47058823529411759</v>
      </c>
      <c r="AV52" s="17">
        <f t="shared" si="16"/>
        <v>147.9</v>
      </c>
      <c r="AW52" s="27">
        <f t="shared" si="20"/>
        <v>591.01846531601791</v>
      </c>
      <c r="AX52" s="27">
        <f t="shared" si="21"/>
        <v>738.91846531601789</v>
      </c>
      <c r="AY52" s="18">
        <f t="shared" si="17"/>
        <v>2.2406391982182625</v>
      </c>
      <c r="AZ52" s="16">
        <f t="shared" si="18"/>
        <v>9.1839999999999993</v>
      </c>
      <c r="BA52" s="93" t="s">
        <v>64</v>
      </c>
      <c r="BB52" s="92" t="s">
        <v>64</v>
      </c>
      <c r="BC52" s="92" t="s">
        <v>64</v>
      </c>
      <c r="BD52" s="92" t="s">
        <v>64</v>
      </c>
      <c r="BE52" s="92" t="s">
        <v>64</v>
      </c>
      <c r="BF52" s="92" t="s">
        <v>64</v>
      </c>
      <c r="BG52" s="92" t="s">
        <v>64</v>
      </c>
      <c r="BH52" s="92" t="s">
        <v>64</v>
      </c>
      <c r="BI52" s="92" t="s">
        <v>64</v>
      </c>
      <c r="BJ52" s="92" t="s">
        <v>64</v>
      </c>
      <c r="BK52" s="92" t="s">
        <v>64</v>
      </c>
      <c r="BL52" s="92" t="s">
        <v>64</v>
      </c>
      <c r="BM52" s="92" t="s">
        <v>64</v>
      </c>
      <c r="BN52" s="42">
        <v>170</v>
      </c>
      <c r="BO52" s="95">
        <v>679.33156932875625</v>
      </c>
      <c r="BP52" s="95">
        <f t="shared" si="27"/>
        <v>849.33156932875625</v>
      </c>
      <c r="BQ52" s="92" t="s">
        <v>64</v>
      </c>
    </row>
    <row r="53" spans="12:69" ht="14.45" customHeight="1">
      <c r="L53" s="127" t="s">
        <v>64</v>
      </c>
      <c r="M53" s="763" t="s">
        <v>426</v>
      </c>
      <c r="N53" s="15" t="s">
        <v>448</v>
      </c>
      <c r="O53" s="15" t="s">
        <v>1045</v>
      </c>
      <c r="P53" s="15" t="str">
        <f t="shared" si="13"/>
        <v>melt inclusion</v>
      </c>
      <c r="Q53" s="15" t="s">
        <v>468</v>
      </c>
      <c r="R53" s="89">
        <v>87.4</v>
      </c>
      <c r="S53" s="191" t="s">
        <v>64</v>
      </c>
      <c r="T53" s="102">
        <f t="shared" si="14"/>
        <v>1245.7429500000001</v>
      </c>
      <c r="U53" s="27" t="s">
        <v>416</v>
      </c>
      <c r="V53" s="90">
        <v>2.1798270089285712E-2</v>
      </c>
      <c r="W53" s="109">
        <v>102.7639999999999</v>
      </c>
      <c r="X53" s="183" t="s">
        <v>462</v>
      </c>
      <c r="Y53" s="104">
        <v>4.2249753860232886E-2</v>
      </c>
      <c r="Z53" s="187" t="s">
        <v>462</v>
      </c>
      <c r="AA53" s="112" t="s">
        <v>64</v>
      </c>
      <c r="AB53" s="116" t="str">
        <f t="shared" si="15"/>
        <v>-</v>
      </c>
      <c r="AC53" s="57">
        <v>885</v>
      </c>
      <c r="AD53" s="27">
        <v>128.5</v>
      </c>
      <c r="AE53" s="28">
        <f t="shared" si="24"/>
        <v>3.6111226621499997</v>
      </c>
      <c r="AF53" s="47">
        <f t="shared" si="25"/>
        <v>0.48128791021514417</v>
      </c>
      <c r="AG53" s="1038" t="s">
        <v>1113</v>
      </c>
      <c r="AH53" s="157" t="s">
        <v>64</v>
      </c>
      <c r="AI53" s="18">
        <v>0.87</v>
      </c>
      <c r="AJ53" s="16">
        <v>49.402285714285711</v>
      </c>
      <c r="AK53" s="16">
        <v>2.3015714285714282</v>
      </c>
      <c r="AL53" s="16">
        <v>11.88007142857143</v>
      </c>
      <c r="AM53" s="16">
        <v>11.2</v>
      </c>
      <c r="AN53" s="16">
        <v>9.7285714285714295E-2</v>
      </c>
      <c r="AO53" s="16">
        <v>11.529500000000001</v>
      </c>
      <c r="AP53" s="16">
        <v>10.665714285714285</v>
      </c>
      <c r="AQ53" s="16">
        <v>2.046785714285714</v>
      </c>
      <c r="AR53" s="16">
        <v>0.46864285714285725</v>
      </c>
      <c r="AS53" s="16">
        <v>0.26749999999999996</v>
      </c>
      <c r="AT53" s="152" t="s">
        <v>64</v>
      </c>
      <c r="AU53" s="16">
        <v>0.47058823529411759</v>
      </c>
      <c r="AV53" s="17">
        <f t="shared" si="16"/>
        <v>147.9</v>
      </c>
      <c r="AW53" s="27">
        <f t="shared" si="20"/>
        <v>297.75268365120166</v>
      </c>
      <c r="AX53" s="27">
        <f t="shared" si="21"/>
        <v>445.65268365120164</v>
      </c>
      <c r="AY53" s="18">
        <f t="shared" si="17"/>
        <v>2.2406391982182625</v>
      </c>
      <c r="AZ53" s="16">
        <f t="shared" si="18"/>
        <v>9.1839999999999993</v>
      </c>
      <c r="BA53" s="93" t="s">
        <v>64</v>
      </c>
      <c r="BB53" s="92" t="s">
        <v>64</v>
      </c>
      <c r="BC53" s="92" t="s">
        <v>64</v>
      </c>
      <c r="BD53" s="92" t="s">
        <v>64</v>
      </c>
      <c r="BE53" s="92" t="s">
        <v>64</v>
      </c>
      <c r="BF53" s="92" t="s">
        <v>64</v>
      </c>
      <c r="BG53" s="92" t="s">
        <v>64</v>
      </c>
      <c r="BH53" s="92" t="s">
        <v>64</v>
      </c>
      <c r="BI53" s="92" t="s">
        <v>64</v>
      </c>
      <c r="BJ53" s="92" t="s">
        <v>64</v>
      </c>
      <c r="BK53" s="92" t="s">
        <v>64</v>
      </c>
      <c r="BL53" s="92" t="s">
        <v>64</v>
      </c>
      <c r="BM53" s="92" t="s">
        <v>64</v>
      </c>
      <c r="BN53" s="42">
        <v>170</v>
      </c>
      <c r="BO53" s="95">
        <v>342.24446396689848</v>
      </c>
      <c r="BP53" s="95">
        <f t="shared" si="27"/>
        <v>512.24446396689848</v>
      </c>
      <c r="BQ53" s="92" t="s">
        <v>64</v>
      </c>
    </row>
    <row r="54" spans="12:69" ht="14.45" customHeight="1">
      <c r="L54" s="127" t="s">
        <v>64</v>
      </c>
      <c r="M54" s="763" t="s">
        <v>426</v>
      </c>
      <c r="N54" s="15" t="s">
        <v>448</v>
      </c>
      <c r="O54" s="15" t="s">
        <v>1046</v>
      </c>
      <c r="P54" s="15" t="str">
        <f t="shared" si="13"/>
        <v>melt inclusion</v>
      </c>
      <c r="Q54" s="15" t="s">
        <v>468</v>
      </c>
      <c r="R54" s="89">
        <v>87.4</v>
      </c>
      <c r="S54" s="191" t="s">
        <v>64</v>
      </c>
      <c r="T54" s="102">
        <f t="shared" si="14"/>
        <v>1245.7429500000001</v>
      </c>
      <c r="U54" s="27" t="s">
        <v>416</v>
      </c>
      <c r="V54" s="90">
        <v>2.3763370191589358E-2</v>
      </c>
      <c r="W54" s="109">
        <v>102.74000000000001</v>
      </c>
      <c r="X54" s="183" t="s">
        <v>462</v>
      </c>
      <c r="Y54" s="104">
        <v>3.3463216408563312E-2</v>
      </c>
      <c r="Z54" s="187" t="s">
        <v>462</v>
      </c>
      <c r="AA54" s="112" t="s">
        <v>64</v>
      </c>
      <c r="AB54" s="116" t="str">
        <f t="shared" si="15"/>
        <v>-</v>
      </c>
      <c r="AC54" s="57">
        <v>812</v>
      </c>
      <c r="AD54" s="27">
        <v>118</v>
      </c>
      <c r="AE54" s="28">
        <f t="shared" si="24"/>
        <v>3.3360610180351999</v>
      </c>
      <c r="AF54" s="47">
        <f t="shared" si="25"/>
        <v>0.44756816966719271</v>
      </c>
      <c r="AG54" s="1038" t="s">
        <v>1113</v>
      </c>
      <c r="AH54" s="157" t="s">
        <v>64</v>
      </c>
      <c r="AI54" s="18">
        <v>0.87</v>
      </c>
      <c r="AJ54" s="16">
        <v>49.402285714285711</v>
      </c>
      <c r="AK54" s="16">
        <v>2.3015714285714282</v>
      </c>
      <c r="AL54" s="16">
        <v>11.88007142857143</v>
      </c>
      <c r="AM54" s="16">
        <v>11.2</v>
      </c>
      <c r="AN54" s="16">
        <v>9.7285714285714295E-2</v>
      </c>
      <c r="AO54" s="16">
        <v>11.529500000000001</v>
      </c>
      <c r="AP54" s="16">
        <v>10.665714285714285</v>
      </c>
      <c r="AQ54" s="16">
        <v>2.046785714285714</v>
      </c>
      <c r="AR54" s="16">
        <v>0.46864285714285725</v>
      </c>
      <c r="AS54" s="16">
        <v>0.26749999999999996</v>
      </c>
      <c r="AT54" s="152" t="s">
        <v>64</v>
      </c>
      <c r="AU54" s="16">
        <v>0.47058823529411759</v>
      </c>
      <c r="AV54" s="17">
        <f t="shared" si="16"/>
        <v>147.9</v>
      </c>
      <c r="AW54" s="27">
        <f t="shared" si="20"/>
        <v>257.61939478246188</v>
      </c>
      <c r="AX54" s="27">
        <f t="shared" si="21"/>
        <v>405.51939478246186</v>
      </c>
      <c r="AY54" s="18">
        <f t="shared" si="17"/>
        <v>2.2406391982182625</v>
      </c>
      <c r="AZ54" s="16">
        <f t="shared" si="18"/>
        <v>9.1839999999999993</v>
      </c>
      <c r="BA54" s="93" t="s">
        <v>64</v>
      </c>
      <c r="BB54" s="92" t="s">
        <v>64</v>
      </c>
      <c r="BC54" s="92" t="s">
        <v>64</v>
      </c>
      <c r="BD54" s="92" t="s">
        <v>64</v>
      </c>
      <c r="BE54" s="92" t="s">
        <v>64</v>
      </c>
      <c r="BF54" s="92" t="s">
        <v>64</v>
      </c>
      <c r="BG54" s="92" t="s">
        <v>64</v>
      </c>
      <c r="BH54" s="92" t="s">
        <v>64</v>
      </c>
      <c r="BI54" s="92" t="s">
        <v>64</v>
      </c>
      <c r="BJ54" s="92" t="s">
        <v>64</v>
      </c>
      <c r="BK54" s="92" t="s">
        <v>64</v>
      </c>
      <c r="BL54" s="92" t="s">
        <v>64</v>
      </c>
      <c r="BM54" s="92" t="s">
        <v>64</v>
      </c>
      <c r="BN54" s="42">
        <v>170</v>
      </c>
      <c r="BO54" s="95">
        <v>296.11424687639294</v>
      </c>
      <c r="BP54" s="95">
        <f t="shared" si="27"/>
        <v>466.11424687639294</v>
      </c>
      <c r="BQ54" s="92" t="s">
        <v>64</v>
      </c>
    </row>
    <row r="55" spans="12:69" ht="14.45" customHeight="1">
      <c r="L55" s="129" t="s">
        <v>471</v>
      </c>
      <c r="M55" s="763" t="s">
        <v>426</v>
      </c>
      <c r="N55" s="15" t="s">
        <v>448</v>
      </c>
      <c r="O55" s="15" t="s">
        <v>1047</v>
      </c>
      <c r="P55" s="15" t="str">
        <f t="shared" ref="P55:P86" si="28">IF(V55&lt;0.095,"melt inclusion","bubble-dominated MI")</f>
        <v>melt inclusion</v>
      </c>
      <c r="Q55" s="15" t="s">
        <v>468</v>
      </c>
      <c r="R55" s="89">
        <v>87.4</v>
      </c>
      <c r="S55" s="191" t="s">
        <v>64</v>
      </c>
      <c r="T55" s="102">
        <f t="shared" si="14"/>
        <v>1245.7429500000001</v>
      </c>
      <c r="U55" s="27" t="s">
        <v>416</v>
      </c>
      <c r="V55" s="90">
        <v>5.208072784102754E-2</v>
      </c>
      <c r="W55" s="109">
        <v>102.76999999999998</v>
      </c>
      <c r="X55" s="183" t="s">
        <v>462</v>
      </c>
      <c r="Y55" s="104">
        <v>4.4462164652941283E-2</v>
      </c>
      <c r="Z55" s="187" t="s">
        <v>462</v>
      </c>
      <c r="AA55" s="112" t="s">
        <v>64</v>
      </c>
      <c r="AB55" s="116" t="str">
        <f t="shared" ref="AB55:AB86" si="29">IF(ISNUMBER(AA55),(0.0684*((AA55/1000))^3-0.5008*((AA55/1000))^2+4.47*((AA55/1000))),"-")</f>
        <v>-</v>
      </c>
      <c r="AC55" s="57">
        <v>1690</v>
      </c>
      <c r="AD55" s="27">
        <v>234.5</v>
      </c>
      <c r="AE55" s="28">
        <f t="shared" si="24"/>
        <v>6.4541188555999991</v>
      </c>
      <c r="AF55" s="47">
        <f t="shared" si="25"/>
        <v>0.78959176295199995</v>
      </c>
      <c r="AG55" s="1038" t="s">
        <v>1113</v>
      </c>
      <c r="AH55" s="157" t="s">
        <v>64</v>
      </c>
      <c r="AI55" s="18">
        <v>0.87</v>
      </c>
      <c r="AJ55" s="16">
        <v>49.402285714285711</v>
      </c>
      <c r="AK55" s="16">
        <v>2.3015714285714282</v>
      </c>
      <c r="AL55" s="16">
        <v>11.88007142857143</v>
      </c>
      <c r="AM55" s="16">
        <v>11.2</v>
      </c>
      <c r="AN55" s="16">
        <v>9.7285714285714295E-2</v>
      </c>
      <c r="AO55" s="16">
        <v>11.529500000000001</v>
      </c>
      <c r="AP55" s="16">
        <v>10.665714285714285</v>
      </c>
      <c r="AQ55" s="16">
        <v>2.046785714285714</v>
      </c>
      <c r="AR55" s="16">
        <v>0.46864285714285725</v>
      </c>
      <c r="AS55" s="16">
        <v>0.26749999999999996</v>
      </c>
      <c r="AT55" s="152" t="s">
        <v>64</v>
      </c>
      <c r="AU55" s="16">
        <v>0.47058823529411759</v>
      </c>
      <c r="AV55" s="17">
        <f t="shared" ref="AV55:AV86" si="30">BN55*AI55</f>
        <v>147.9</v>
      </c>
      <c r="AW55" s="27">
        <f t="shared" si="20"/>
        <v>772.1421087636071</v>
      </c>
      <c r="AX55" s="27">
        <f t="shared" si="21"/>
        <v>920.04210876360708</v>
      </c>
      <c r="AY55" s="18">
        <f t="shared" si="17"/>
        <v>2.2406391982182625</v>
      </c>
      <c r="AZ55" s="16">
        <f t="shared" si="18"/>
        <v>9.1839999999999993</v>
      </c>
      <c r="BA55" s="93" t="s">
        <v>64</v>
      </c>
      <c r="BB55" s="92" t="s">
        <v>64</v>
      </c>
      <c r="BC55" s="92" t="s">
        <v>64</v>
      </c>
      <c r="BD55" s="92" t="s">
        <v>64</v>
      </c>
      <c r="BE55" s="92" t="s">
        <v>64</v>
      </c>
      <c r="BF55" s="92" t="s">
        <v>64</v>
      </c>
      <c r="BG55" s="92" t="s">
        <v>64</v>
      </c>
      <c r="BH55" s="92" t="s">
        <v>64</v>
      </c>
      <c r="BI55" s="92" t="s">
        <v>64</v>
      </c>
      <c r="BJ55" s="92" t="s">
        <v>64</v>
      </c>
      <c r="BK55" s="92" t="s">
        <v>64</v>
      </c>
      <c r="BL55" s="92" t="s">
        <v>64</v>
      </c>
      <c r="BM55" s="92" t="s">
        <v>64</v>
      </c>
      <c r="BN55" s="42">
        <v>170</v>
      </c>
      <c r="BO55" s="95">
        <v>887.5196652455254</v>
      </c>
      <c r="BP55" s="95">
        <f t="shared" si="27"/>
        <v>1057.5196652455254</v>
      </c>
      <c r="BQ55" s="92" t="s">
        <v>64</v>
      </c>
    </row>
    <row r="56" spans="12:69" ht="14.45" customHeight="1">
      <c r="L56" s="127" t="s">
        <v>64</v>
      </c>
      <c r="M56" s="763" t="s">
        <v>426</v>
      </c>
      <c r="N56" s="15" t="s">
        <v>448</v>
      </c>
      <c r="O56" s="15" t="s">
        <v>1048</v>
      </c>
      <c r="P56" s="15" t="str">
        <f t="shared" si="28"/>
        <v>melt inclusion</v>
      </c>
      <c r="Q56" s="15" t="s">
        <v>468</v>
      </c>
      <c r="R56" s="89">
        <v>87.4</v>
      </c>
      <c r="S56" s="191" t="s">
        <v>64</v>
      </c>
      <c r="T56" s="102">
        <f t="shared" si="14"/>
        <v>1245.7429500000001</v>
      </c>
      <c r="U56" s="27" t="s">
        <v>416</v>
      </c>
      <c r="V56" s="90">
        <v>3.9737753271831759E-2</v>
      </c>
      <c r="W56" s="109">
        <v>103.3599999999999</v>
      </c>
      <c r="X56" s="183" t="s">
        <v>462</v>
      </c>
      <c r="Y56" s="104">
        <v>0.28622696863749297</v>
      </c>
      <c r="Z56" s="187" t="s">
        <v>462</v>
      </c>
      <c r="AA56" s="112" t="s">
        <v>64</v>
      </c>
      <c r="AB56" s="116" t="str">
        <f t="shared" si="29"/>
        <v>-</v>
      </c>
      <c r="AC56" s="57">
        <v>5308</v>
      </c>
      <c r="AD56" s="27">
        <v>597</v>
      </c>
      <c r="AE56" s="28">
        <f t="shared" si="24"/>
        <v>19.846157091660796</v>
      </c>
      <c r="AF56" s="47">
        <f t="shared" si="25"/>
        <v>2.9607424980349606</v>
      </c>
      <c r="AG56" s="1038" t="s">
        <v>1113</v>
      </c>
      <c r="AH56" s="157" t="s">
        <v>64</v>
      </c>
      <c r="AI56" s="18">
        <v>0.87</v>
      </c>
      <c r="AJ56" s="16">
        <v>49.402285714285711</v>
      </c>
      <c r="AK56" s="16">
        <v>2.3015714285714282</v>
      </c>
      <c r="AL56" s="16">
        <v>11.88007142857143</v>
      </c>
      <c r="AM56" s="16">
        <v>11.2</v>
      </c>
      <c r="AN56" s="16">
        <v>9.7285714285714295E-2</v>
      </c>
      <c r="AO56" s="16">
        <v>11.529500000000001</v>
      </c>
      <c r="AP56" s="16">
        <v>10.665714285714285</v>
      </c>
      <c r="AQ56" s="16">
        <v>2.046785714285714</v>
      </c>
      <c r="AR56" s="16">
        <v>0.46864285714285725</v>
      </c>
      <c r="AS56" s="16">
        <v>0.26749999999999996</v>
      </c>
      <c r="AT56" s="152" t="s">
        <v>64</v>
      </c>
      <c r="AU56" s="16">
        <v>0.47058823529411759</v>
      </c>
      <c r="AV56" s="17">
        <f t="shared" si="30"/>
        <v>147.9</v>
      </c>
      <c r="AW56" s="27">
        <f t="shared" si="20"/>
        <v>3731.1611256574542</v>
      </c>
      <c r="AX56" s="27">
        <f t="shared" si="21"/>
        <v>3879.0611256574543</v>
      </c>
      <c r="AY56" s="18">
        <f t="shared" si="17"/>
        <v>2.2406391982182625</v>
      </c>
      <c r="AZ56" s="16">
        <f t="shared" si="18"/>
        <v>9.1839999999999993</v>
      </c>
      <c r="BA56" s="93" t="s">
        <v>64</v>
      </c>
      <c r="BB56" s="92" t="s">
        <v>64</v>
      </c>
      <c r="BC56" s="92" t="s">
        <v>64</v>
      </c>
      <c r="BD56" s="92" t="s">
        <v>64</v>
      </c>
      <c r="BE56" s="92" t="s">
        <v>64</v>
      </c>
      <c r="BF56" s="92" t="s">
        <v>64</v>
      </c>
      <c r="BG56" s="92" t="s">
        <v>64</v>
      </c>
      <c r="BH56" s="92" t="s">
        <v>64</v>
      </c>
      <c r="BI56" s="92" t="s">
        <v>64</v>
      </c>
      <c r="BJ56" s="92" t="s">
        <v>64</v>
      </c>
      <c r="BK56" s="92" t="s">
        <v>64</v>
      </c>
      <c r="BL56" s="92" t="s">
        <v>64</v>
      </c>
      <c r="BM56" s="92" t="s">
        <v>64</v>
      </c>
      <c r="BN56" s="42">
        <v>170</v>
      </c>
      <c r="BO56" s="95">
        <v>4288.6909490315566</v>
      </c>
      <c r="BP56" s="95">
        <f t="shared" si="27"/>
        <v>4458.6909490315566</v>
      </c>
      <c r="BQ56" s="92" t="s">
        <v>64</v>
      </c>
    </row>
    <row r="57" spans="12:69" ht="14.45" customHeight="1">
      <c r="L57" s="127" t="s">
        <v>64</v>
      </c>
      <c r="M57" s="763" t="s">
        <v>426</v>
      </c>
      <c r="N57" s="15" t="s">
        <v>448</v>
      </c>
      <c r="O57" s="15" t="s">
        <v>1049</v>
      </c>
      <c r="P57" s="15" t="str">
        <f t="shared" si="28"/>
        <v>melt inclusion</v>
      </c>
      <c r="Q57" s="15" t="s">
        <v>468</v>
      </c>
      <c r="R57" s="89">
        <v>87.4</v>
      </c>
      <c r="S57" s="191" t="s">
        <v>64</v>
      </c>
      <c r="T57" s="102">
        <f t="shared" si="14"/>
        <v>1245.7429500000001</v>
      </c>
      <c r="U57" s="27" t="s">
        <v>416</v>
      </c>
      <c r="V57" s="90">
        <v>3.4108077632396511E-2</v>
      </c>
      <c r="W57" s="109">
        <v>103.00999999999999</v>
      </c>
      <c r="X57" s="183" t="s">
        <v>462</v>
      </c>
      <c r="Y57" s="104">
        <v>0.13765003160369815</v>
      </c>
      <c r="Z57" s="187" t="s">
        <v>462</v>
      </c>
      <c r="AA57" s="112" t="s">
        <v>64</v>
      </c>
      <c r="AB57" s="116" t="str">
        <f t="shared" si="29"/>
        <v>-</v>
      </c>
      <c r="AC57" s="57">
        <v>2814</v>
      </c>
      <c r="AD57" s="27">
        <v>364.5</v>
      </c>
      <c r="AE57" s="28">
        <f t="shared" si="24"/>
        <v>10.137099476649599</v>
      </c>
      <c r="AF57" s="47">
        <f t="shared" si="25"/>
        <v>1.1975578756394043</v>
      </c>
      <c r="AG57" s="1038" t="s">
        <v>1113</v>
      </c>
      <c r="AH57" s="157" t="s">
        <v>64</v>
      </c>
      <c r="AI57" s="18">
        <v>0.87</v>
      </c>
      <c r="AJ57" s="16">
        <v>49.402285714285711</v>
      </c>
      <c r="AK57" s="16">
        <v>2.3015714285714282</v>
      </c>
      <c r="AL57" s="16">
        <v>11.88007142857143</v>
      </c>
      <c r="AM57" s="16">
        <v>11.2</v>
      </c>
      <c r="AN57" s="16">
        <v>9.7285714285714295E-2</v>
      </c>
      <c r="AO57" s="16">
        <v>11.529500000000001</v>
      </c>
      <c r="AP57" s="16">
        <v>10.665714285714285</v>
      </c>
      <c r="AQ57" s="16">
        <v>2.046785714285714</v>
      </c>
      <c r="AR57" s="16">
        <v>0.46864285714285725</v>
      </c>
      <c r="AS57" s="16">
        <v>0.26749999999999996</v>
      </c>
      <c r="AT57" s="152" t="s">
        <v>64</v>
      </c>
      <c r="AU57" s="16">
        <v>0.47058823529411759</v>
      </c>
      <c r="AV57" s="17">
        <f t="shared" si="30"/>
        <v>147.9</v>
      </c>
      <c r="AW57" s="27">
        <f t="shared" si="20"/>
        <v>1535.0574092881207</v>
      </c>
      <c r="AX57" s="27">
        <f t="shared" si="21"/>
        <v>1682.9574092881207</v>
      </c>
      <c r="AY57" s="18">
        <f t="shared" si="17"/>
        <v>2.2406391982182625</v>
      </c>
      <c r="AZ57" s="16">
        <f t="shared" si="18"/>
        <v>9.1839999999999993</v>
      </c>
      <c r="BA57" s="93" t="s">
        <v>64</v>
      </c>
      <c r="BB57" s="92" t="s">
        <v>64</v>
      </c>
      <c r="BC57" s="92" t="s">
        <v>64</v>
      </c>
      <c r="BD57" s="92" t="s">
        <v>64</v>
      </c>
      <c r="BE57" s="92" t="s">
        <v>64</v>
      </c>
      <c r="BF57" s="92" t="s">
        <v>64</v>
      </c>
      <c r="BG57" s="92" t="s">
        <v>64</v>
      </c>
      <c r="BH57" s="92" t="s">
        <v>64</v>
      </c>
      <c r="BI57" s="92" t="s">
        <v>64</v>
      </c>
      <c r="BJ57" s="92" t="s">
        <v>64</v>
      </c>
      <c r="BK57" s="92" t="s">
        <v>64</v>
      </c>
      <c r="BL57" s="92" t="s">
        <v>64</v>
      </c>
      <c r="BM57" s="92" t="s">
        <v>64</v>
      </c>
      <c r="BN57" s="42">
        <v>170</v>
      </c>
      <c r="BO57" s="95">
        <v>1764.4338037794489</v>
      </c>
      <c r="BP57" s="95">
        <f t="shared" si="27"/>
        <v>1934.4338037794489</v>
      </c>
      <c r="BQ57" s="92" t="s">
        <v>64</v>
      </c>
    </row>
    <row r="58" spans="12:69" ht="14.45" customHeight="1">
      <c r="L58" s="127" t="s">
        <v>64</v>
      </c>
      <c r="M58" s="763" t="s">
        <v>426</v>
      </c>
      <c r="N58" s="15" t="s">
        <v>448</v>
      </c>
      <c r="O58" s="15" t="s">
        <v>1050</v>
      </c>
      <c r="P58" s="15" t="str">
        <f t="shared" si="28"/>
        <v>melt inclusion</v>
      </c>
      <c r="Q58" s="15" t="s">
        <v>468</v>
      </c>
      <c r="R58" s="89">
        <v>87.4</v>
      </c>
      <c r="S58" s="191" t="s">
        <v>64</v>
      </c>
      <c r="T58" s="102">
        <f t="shared" si="14"/>
        <v>1245.7429500000001</v>
      </c>
      <c r="U58" s="27" t="s">
        <v>416</v>
      </c>
      <c r="V58" s="90">
        <v>3.2063609467455623E-2</v>
      </c>
      <c r="W58" s="109">
        <v>102.72000000000003</v>
      </c>
      <c r="X58" s="183" t="s">
        <v>462</v>
      </c>
      <c r="Y58" s="104">
        <v>2.6219565006613266E-2</v>
      </c>
      <c r="Z58" s="187" t="s">
        <v>462</v>
      </c>
      <c r="AA58" s="112" t="s">
        <v>64</v>
      </c>
      <c r="AB58" s="116" t="str">
        <f t="shared" si="29"/>
        <v>-</v>
      </c>
      <c r="AC58" s="57">
        <v>937</v>
      </c>
      <c r="AD58" s="27">
        <v>135.5</v>
      </c>
      <c r="AE58" s="28">
        <f t="shared" si="24"/>
        <v>3.8049728603851998</v>
      </c>
      <c r="AF58" s="47">
        <f t="shared" si="25"/>
        <v>0.50310010172648845</v>
      </c>
      <c r="AG58" s="1038" t="s">
        <v>1113</v>
      </c>
      <c r="AH58" s="157" t="s">
        <v>64</v>
      </c>
      <c r="AI58" s="18">
        <v>0.87</v>
      </c>
      <c r="AJ58" s="16">
        <v>49.402285714285711</v>
      </c>
      <c r="AK58" s="16">
        <v>2.3015714285714282</v>
      </c>
      <c r="AL58" s="16">
        <v>11.88007142857143</v>
      </c>
      <c r="AM58" s="16">
        <v>11.2</v>
      </c>
      <c r="AN58" s="16">
        <v>9.7285714285714295E-2</v>
      </c>
      <c r="AO58" s="16">
        <v>11.529500000000001</v>
      </c>
      <c r="AP58" s="16">
        <v>10.665714285714285</v>
      </c>
      <c r="AQ58" s="16">
        <v>2.046785714285714</v>
      </c>
      <c r="AR58" s="16">
        <v>0.46864285714285725</v>
      </c>
      <c r="AS58" s="16">
        <v>0.26749999999999996</v>
      </c>
      <c r="AT58" s="152" t="s">
        <v>64</v>
      </c>
      <c r="AU58" s="16">
        <v>0.47058823529411759</v>
      </c>
      <c r="AV58" s="17">
        <f t="shared" si="30"/>
        <v>200.1</v>
      </c>
      <c r="AW58" s="27">
        <f t="shared" si="20"/>
        <v>274.68850786554987</v>
      </c>
      <c r="AX58" s="27">
        <f t="shared" si="21"/>
        <v>474.78850786554983</v>
      </c>
      <c r="AY58" s="18">
        <f t="shared" si="17"/>
        <v>2.2406391982182625</v>
      </c>
      <c r="AZ58" s="16">
        <f t="shared" si="18"/>
        <v>9.1839999999999993</v>
      </c>
      <c r="BA58" s="93" t="s">
        <v>64</v>
      </c>
      <c r="BB58" s="92" t="s">
        <v>64</v>
      </c>
      <c r="BC58" s="92" t="s">
        <v>64</v>
      </c>
      <c r="BD58" s="92" t="s">
        <v>64</v>
      </c>
      <c r="BE58" s="92" t="s">
        <v>64</v>
      </c>
      <c r="BF58" s="92" t="s">
        <v>64</v>
      </c>
      <c r="BG58" s="92" t="s">
        <v>64</v>
      </c>
      <c r="BH58" s="92" t="s">
        <v>64</v>
      </c>
      <c r="BI58" s="92" t="s">
        <v>64</v>
      </c>
      <c r="BJ58" s="92" t="s">
        <v>64</v>
      </c>
      <c r="BK58" s="92" t="s">
        <v>64</v>
      </c>
      <c r="BL58" s="92" t="s">
        <v>64</v>
      </c>
      <c r="BM58" s="92" t="s">
        <v>64</v>
      </c>
      <c r="BN58" s="84">
        <v>230</v>
      </c>
      <c r="BO58" s="95">
        <v>315.73391708683891</v>
      </c>
      <c r="BP58" s="95">
        <f t="shared" si="27"/>
        <v>545.73391708683891</v>
      </c>
      <c r="BQ58" s="92" t="s">
        <v>64</v>
      </c>
    </row>
    <row r="59" spans="12:69" ht="14.45" customHeight="1">
      <c r="L59" s="129" t="s">
        <v>471</v>
      </c>
      <c r="M59" s="763" t="s">
        <v>426</v>
      </c>
      <c r="N59" s="15" t="s">
        <v>448</v>
      </c>
      <c r="O59" s="15" t="s">
        <v>1051</v>
      </c>
      <c r="P59" s="15" t="str">
        <f t="shared" si="28"/>
        <v>melt inclusion</v>
      </c>
      <c r="Q59" s="15" t="s">
        <v>468</v>
      </c>
      <c r="R59" s="89">
        <v>87.4</v>
      </c>
      <c r="S59" s="191" t="s">
        <v>64</v>
      </c>
      <c r="T59" s="102">
        <f t="shared" si="14"/>
        <v>1245.7429500000001</v>
      </c>
      <c r="U59" s="27" t="s">
        <v>416</v>
      </c>
      <c r="V59" s="90">
        <v>6.2450039968025568E-2</v>
      </c>
      <c r="W59" s="109">
        <v>102.90000000000009</v>
      </c>
      <c r="X59" s="183" t="s">
        <v>462</v>
      </c>
      <c r="Y59" s="104">
        <v>9.3861575434857514E-2</v>
      </c>
      <c r="Z59" s="187" t="s">
        <v>462</v>
      </c>
      <c r="AA59" s="112" t="s">
        <v>64</v>
      </c>
      <c r="AB59" s="116" t="str">
        <f t="shared" si="29"/>
        <v>-</v>
      </c>
      <c r="AC59" s="201" t="s">
        <v>472</v>
      </c>
      <c r="AD59" s="27" t="s">
        <v>64</v>
      </c>
      <c r="AE59" s="202" t="s">
        <v>64</v>
      </c>
      <c r="AF59" s="199" t="s">
        <v>64</v>
      </c>
      <c r="AG59" s="1038" t="s">
        <v>1113</v>
      </c>
      <c r="AH59" s="157" t="s">
        <v>64</v>
      </c>
      <c r="AI59" s="18">
        <v>0.87</v>
      </c>
      <c r="AJ59" s="16">
        <v>49.402285714285711</v>
      </c>
      <c r="AK59" s="16">
        <v>2.3015714285714282</v>
      </c>
      <c r="AL59" s="16">
        <v>11.88007142857143</v>
      </c>
      <c r="AM59" s="16">
        <v>11.2</v>
      </c>
      <c r="AN59" s="16">
        <v>9.7285714285714295E-2</v>
      </c>
      <c r="AO59" s="16">
        <v>11.529500000000001</v>
      </c>
      <c r="AP59" s="16">
        <v>10.665714285714285</v>
      </c>
      <c r="AQ59" s="16">
        <v>2.046785714285714</v>
      </c>
      <c r="AR59" s="16">
        <v>0.46864285714285725</v>
      </c>
      <c r="AS59" s="16">
        <v>0.26749999999999996</v>
      </c>
      <c r="AT59" s="152" t="s">
        <v>64</v>
      </c>
      <c r="AU59" s="16">
        <v>0.47058823529411759</v>
      </c>
      <c r="AV59" s="17">
        <f t="shared" si="30"/>
        <v>147.9</v>
      </c>
      <c r="AW59" s="27" t="str">
        <f t="shared" si="20"/>
        <v>not calculated</v>
      </c>
      <c r="AX59" s="27" t="str">
        <f t="shared" si="21"/>
        <v>not calculated</v>
      </c>
      <c r="AY59" s="18">
        <f t="shared" si="17"/>
        <v>2.2406391982182625</v>
      </c>
      <c r="AZ59" s="16">
        <f t="shared" si="18"/>
        <v>9.1839999999999993</v>
      </c>
      <c r="BA59" s="93" t="s">
        <v>64</v>
      </c>
      <c r="BB59" s="92" t="s">
        <v>64</v>
      </c>
      <c r="BC59" s="92" t="s">
        <v>64</v>
      </c>
      <c r="BD59" s="92" t="s">
        <v>64</v>
      </c>
      <c r="BE59" s="92" t="s">
        <v>64</v>
      </c>
      <c r="BF59" s="92" t="s">
        <v>64</v>
      </c>
      <c r="BG59" s="92" t="s">
        <v>64</v>
      </c>
      <c r="BH59" s="92" t="s">
        <v>64</v>
      </c>
      <c r="BI59" s="92" t="s">
        <v>64</v>
      </c>
      <c r="BJ59" s="92" t="s">
        <v>64</v>
      </c>
      <c r="BK59" s="92" t="s">
        <v>64</v>
      </c>
      <c r="BL59" s="92" t="s">
        <v>64</v>
      </c>
      <c r="BM59" s="92" t="s">
        <v>64</v>
      </c>
      <c r="BN59" s="42">
        <v>170</v>
      </c>
      <c r="BO59" s="95" t="s">
        <v>475</v>
      </c>
      <c r="BP59" s="95" t="str">
        <f t="shared" ref="BP59:BP66" si="31">IF(AND(ISNUMBER(BN59),ISNUMBER(BO59)),BN59+BO59,"not calculated")</f>
        <v>not calculated</v>
      </c>
      <c r="BQ59" s="92" t="s">
        <v>64</v>
      </c>
    </row>
    <row r="60" spans="12:69" ht="14.45" customHeight="1">
      <c r="L60" s="131" t="s">
        <v>473</v>
      </c>
      <c r="M60" s="763" t="s">
        <v>426</v>
      </c>
      <c r="N60" s="15" t="s">
        <v>448</v>
      </c>
      <c r="O60" s="15" t="s">
        <v>1052</v>
      </c>
      <c r="P60" s="15" t="str">
        <f t="shared" si="28"/>
        <v>bubble-dominated MI</v>
      </c>
      <c r="Q60" s="15" t="s">
        <v>468</v>
      </c>
      <c r="R60" s="89">
        <v>87.4</v>
      </c>
      <c r="S60" s="191" t="s">
        <v>64</v>
      </c>
      <c r="T60" s="102">
        <f t="shared" si="14"/>
        <v>1245.7429500000001</v>
      </c>
      <c r="U60" s="27" t="s">
        <v>416</v>
      </c>
      <c r="V60" s="90">
        <v>0.56296363456842657</v>
      </c>
      <c r="W60" s="109">
        <v>102.69000000000005</v>
      </c>
      <c r="X60" s="183" t="s">
        <v>462</v>
      </c>
      <c r="Y60" s="104">
        <v>1.5491196762013715E-2</v>
      </c>
      <c r="Z60" s="187" t="s">
        <v>462</v>
      </c>
      <c r="AA60" s="112">
        <v>45</v>
      </c>
      <c r="AB60" s="118">
        <f t="shared" si="29"/>
        <v>0.20014211294999998</v>
      </c>
      <c r="AC60" s="201" t="s">
        <v>474</v>
      </c>
      <c r="AD60" s="27" t="s">
        <v>64</v>
      </c>
      <c r="AE60" s="202" t="s">
        <v>64</v>
      </c>
      <c r="AF60" s="199" t="s">
        <v>64</v>
      </c>
      <c r="AG60" s="1038" t="s">
        <v>1113</v>
      </c>
      <c r="AH60" s="157" t="s">
        <v>64</v>
      </c>
      <c r="AI60" s="18">
        <v>0.87</v>
      </c>
      <c r="AJ60" s="16">
        <v>49.402285714285711</v>
      </c>
      <c r="AK60" s="16">
        <v>2.3015714285714282</v>
      </c>
      <c r="AL60" s="16">
        <v>11.88007142857143</v>
      </c>
      <c r="AM60" s="16">
        <v>11.2</v>
      </c>
      <c r="AN60" s="16">
        <v>9.7285714285714295E-2</v>
      </c>
      <c r="AO60" s="16">
        <v>11.529500000000001</v>
      </c>
      <c r="AP60" s="16">
        <v>10.665714285714285</v>
      </c>
      <c r="AQ60" s="16">
        <v>2.046785714285714</v>
      </c>
      <c r="AR60" s="16">
        <v>0.46864285714285725</v>
      </c>
      <c r="AS60" s="16">
        <v>0.26749999999999996</v>
      </c>
      <c r="AT60" s="152" t="s">
        <v>64</v>
      </c>
      <c r="AU60" s="16">
        <v>0.47058823529411759</v>
      </c>
      <c r="AV60" s="17">
        <f t="shared" si="30"/>
        <v>147.9</v>
      </c>
      <c r="AW60" s="27" t="str">
        <f t="shared" si="20"/>
        <v>not calculated</v>
      </c>
      <c r="AX60" s="27" t="str">
        <f t="shared" si="21"/>
        <v>not calculated</v>
      </c>
      <c r="AY60" s="18">
        <f t="shared" si="17"/>
        <v>2.2406391982182625</v>
      </c>
      <c r="AZ60" s="16">
        <f t="shared" si="18"/>
        <v>9.1839999999999993</v>
      </c>
      <c r="BA60" s="93" t="s">
        <v>64</v>
      </c>
      <c r="BB60" s="92" t="s">
        <v>64</v>
      </c>
      <c r="BC60" s="92" t="s">
        <v>64</v>
      </c>
      <c r="BD60" s="92" t="s">
        <v>64</v>
      </c>
      <c r="BE60" s="92" t="s">
        <v>64</v>
      </c>
      <c r="BF60" s="92" t="s">
        <v>64</v>
      </c>
      <c r="BG60" s="92" t="s">
        <v>64</v>
      </c>
      <c r="BH60" s="92" t="s">
        <v>64</v>
      </c>
      <c r="BI60" s="92" t="s">
        <v>64</v>
      </c>
      <c r="BJ60" s="92" t="s">
        <v>64</v>
      </c>
      <c r="BK60" s="92" t="s">
        <v>64</v>
      </c>
      <c r="BL60" s="92" t="s">
        <v>64</v>
      </c>
      <c r="BM60" s="92" t="s">
        <v>64</v>
      </c>
      <c r="BN60" s="42">
        <v>170</v>
      </c>
      <c r="BO60" s="95" t="s">
        <v>475</v>
      </c>
      <c r="BP60" s="95" t="str">
        <f t="shared" si="31"/>
        <v>not calculated</v>
      </c>
      <c r="BQ60" s="92" t="s">
        <v>64</v>
      </c>
    </row>
    <row r="61" spans="12:69" ht="14.45" customHeight="1">
      <c r="L61" s="131" t="s">
        <v>473</v>
      </c>
      <c r="M61" s="763" t="s">
        <v>426</v>
      </c>
      <c r="N61" s="15" t="s">
        <v>448</v>
      </c>
      <c r="O61" s="15" t="s">
        <v>1053</v>
      </c>
      <c r="P61" s="15" t="str">
        <f t="shared" si="28"/>
        <v>bubble-dominated MI</v>
      </c>
      <c r="Q61" s="15" t="s">
        <v>468</v>
      </c>
      <c r="R61" s="89">
        <v>87.4</v>
      </c>
      <c r="S61" s="191" t="s">
        <v>64</v>
      </c>
      <c r="T61" s="102">
        <f t="shared" si="14"/>
        <v>1245.7429500000001</v>
      </c>
      <c r="U61" s="27" t="s">
        <v>416</v>
      </c>
      <c r="V61" s="90">
        <v>0.13305135298444212</v>
      </c>
      <c r="W61" s="109">
        <v>102.97000000000003</v>
      </c>
      <c r="X61" s="183" t="s">
        <v>462</v>
      </c>
      <c r="Y61" s="104">
        <v>0.121532983022917</v>
      </c>
      <c r="Z61" s="187" t="s">
        <v>462</v>
      </c>
      <c r="AA61" s="112">
        <v>380</v>
      </c>
      <c r="AB61" s="118">
        <f t="shared" si="29"/>
        <v>1.6300377248</v>
      </c>
      <c r="AC61" s="201" t="s">
        <v>474</v>
      </c>
      <c r="AD61" s="27" t="s">
        <v>64</v>
      </c>
      <c r="AE61" s="202" t="s">
        <v>64</v>
      </c>
      <c r="AF61" s="199" t="s">
        <v>64</v>
      </c>
      <c r="AG61" s="1038" t="s">
        <v>1113</v>
      </c>
      <c r="AH61" s="157" t="s">
        <v>64</v>
      </c>
      <c r="AI61" s="18">
        <v>0.87</v>
      </c>
      <c r="AJ61" s="16">
        <v>49.402285714285711</v>
      </c>
      <c r="AK61" s="16">
        <v>2.3015714285714282</v>
      </c>
      <c r="AL61" s="16">
        <v>11.88007142857143</v>
      </c>
      <c r="AM61" s="16">
        <v>11.2</v>
      </c>
      <c r="AN61" s="16">
        <v>9.7285714285714295E-2</v>
      </c>
      <c r="AO61" s="16">
        <v>11.529500000000001</v>
      </c>
      <c r="AP61" s="16">
        <v>10.665714285714285</v>
      </c>
      <c r="AQ61" s="16">
        <v>2.046785714285714</v>
      </c>
      <c r="AR61" s="16">
        <v>0.46864285714285725</v>
      </c>
      <c r="AS61" s="16">
        <v>0.26749999999999996</v>
      </c>
      <c r="AT61" s="152" t="s">
        <v>64</v>
      </c>
      <c r="AU61" s="16">
        <v>0.47058823529411759</v>
      </c>
      <c r="AV61" s="17">
        <f t="shared" si="30"/>
        <v>147.9</v>
      </c>
      <c r="AW61" s="27" t="str">
        <f t="shared" si="20"/>
        <v>not calculated</v>
      </c>
      <c r="AX61" s="27" t="str">
        <f t="shared" si="21"/>
        <v>not calculated</v>
      </c>
      <c r="AY61" s="18">
        <f t="shared" si="17"/>
        <v>2.2406391982182625</v>
      </c>
      <c r="AZ61" s="16">
        <f t="shared" si="18"/>
        <v>9.1839999999999993</v>
      </c>
      <c r="BA61" s="93" t="s">
        <v>64</v>
      </c>
      <c r="BB61" s="92" t="s">
        <v>64</v>
      </c>
      <c r="BC61" s="92" t="s">
        <v>64</v>
      </c>
      <c r="BD61" s="92" t="s">
        <v>64</v>
      </c>
      <c r="BE61" s="92" t="s">
        <v>64</v>
      </c>
      <c r="BF61" s="92" t="s">
        <v>64</v>
      </c>
      <c r="BG61" s="92" t="s">
        <v>64</v>
      </c>
      <c r="BH61" s="92" t="s">
        <v>64</v>
      </c>
      <c r="BI61" s="92" t="s">
        <v>64</v>
      </c>
      <c r="BJ61" s="92" t="s">
        <v>64</v>
      </c>
      <c r="BK61" s="92" t="s">
        <v>64</v>
      </c>
      <c r="BL61" s="92" t="s">
        <v>64</v>
      </c>
      <c r="BM61" s="92" t="s">
        <v>64</v>
      </c>
      <c r="BN61" s="42">
        <v>170</v>
      </c>
      <c r="BO61" s="95" t="s">
        <v>475</v>
      </c>
      <c r="BP61" s="95" t="str">
        <f t="shared" si="31"/>
        <v>not calculated</v>
      </c>
      <c r="BQ61" s="92" t="s">
        <v>64</v>
      </c>
    </row>
    <row r="62" spans="12:69" ht="14.45" customHeight="1">
      <c r="L62" s="131" t="s">
        <v>473</v>
      </c>
      <c r="M62" s="763" t="s">
        <v>426</v>
      </c>
      <c r="N62" s="15" t="s">
        <v>448</v>
      </c>
      <c r="O62" s="15" t="s">
        <v>1054</v>
      </c>
      <c r="P62" s="15" t="str">
        <f t="shared" si="28"/>
        <v>bubble-dominated MI</v>
      </c>
      <c r="Q62" s="15" t="s">
        <v>468</v>
      </c>
      <c r="R62" s="89">
        <v>87.4</v>
      </c>
      <c r="S62" s="191" t="s">
        <v>64</v>
      </c>
      <c r="T62" s="102">
        <f t="shared" si="14"/>
        <v>1245.7429500000001</v>
      </c>
      <c r="U62" s="27" t="s">
        <v>416</v>
      </c>
      <c r="V62" s="90">
        <v>0.41058190843905129</v>
      </c>
      <c r="W62" s="109">
        <v>103.01999999999998</v>
      </c>
      <c r="X62" s="183" t="s">
        <v>462</v>
      </c>
      <c r="Y62" s="104">
        <v>0.14171211299981223</v>
      </c>
      <c r="Z62" s="187" t="s">
        <v>462</v>
      </c>
      <c r="AA62" s="112">
        <v>450</v>
      </c>
      <c r="AB62" s="118">
        <f t="shared" si="29"/>
        <v>1.9163209499999998</v>
      </c>
      <c r="AC62" s="201" t="s">
        <v>474</v>
      </c>
      <c r="AD62" s="27" t="s">
        <v>64</v>
      </c>
      <c r="AE62" s="202" t="s">
        <v>64</v>
      </c>
      <c r="AF62" s="199" t="s">
        <v>64</v>
      </c>
      <c r="AG62" s="1038" t="s">
        <v>1113</v>
      </c>
      <c r="AH62" s="157" t="s">
        <v>64</v>
      </c>
      <c r="AI62" s="18">
        <v>0.87</v>
      </c>
      <c r="AJ62" s="16">
        <v>49.402285714285711</v>
      </c>
      <c r="AK62" s="16">
        <v>2.3015714285714282</v>
      </c>
      <c r="AL62" s="16">
        <v>11.88007142857143</v>
      </c>
      <c r="AM62" s="16">
        <v>11.2</v>
      </c>
      <c r="AN62" s="16">
        <v>9.7285714285714295E-2</v>
      </c>
      <c r="AO62" s="16">
        <v>11.529500000000001</v>
      </c>
      <c r="AP62" s="16">
        <v>10.665714285714285</v>
      </c>
      <c r="AQ62" s="16">
        <v>2.046785714285714</v>
      </c>
      <c r="AR62" s="16">
        <v>0.46864285714285725</v>
      </c>
      <c r="AS62" s="16">
        <v>0.26749999999999996</v>
      </c>
      <c r="AT62" s="152" t="s">
        <v>64</v>
      </c>
      <c r="AU62" s="16">
        <v>0.47058823529411759</v>
      </c>
      <c r="AV62" s="17">
        <f t="shared" si="30"/>
        <v>147.9</v>
      </c>
      <c r="AW62" s="27" t="str">
        <f t="shared" si="20"/>
        <v>not calculated</v>
      </c>
      <c r="AX62" s="27" t="str">
        <f t="shared" si="21"/>
        <v>not calculated</v>
      </c>
      <c r="AY62" s="18">
        <f t="shared" si="17"/>
        <v>2.2406391982182625</v>
      </c>
      <c r="AZ62" s="16">
        <f t="shared" si="18"/>
        <v>9.1839999999999993</v>
      </c>
      <c r="BA62" s="93" t="s">
        <v>64</v>
      </c>
      <c r="BB62" s="92" t="s">
        <v>64</v>
      </c>
      <c r="BC62" s="92" t="s">
        <v>64</v>
      </c>
      <c r="BD62" s="92" t="s">
        <v>64</v>
      </c>
      <c r="BE62" s="92" t="s">
        <v>64</v>
      </c>
      <c r="BF62" s="92" t="s">
        <v>64</v>
      </c>
      <c r="BG62" s="92" t="s">
        <v>64</v>
      </c>
      <c r="BH62" s="92" t="s">
        <v>64</v>
      </c>
      <c r="BI62" s="92" t="s">
        <v>64</v>
      </c>
      <c r="BJ62" s="92" t="s">
        <v>64</v>
      </c>
      <c r="BK62" s="92" t="s">
        <v>64</v>
      </c>
      <c r="BL62" s="92" t="s">
        <v>64</v>
      </c>
      <c r="BM62" s="92" t="s">
        <v>64</v>
      </c>
      <c r="BN62" s="42">
        <v>170</v>
      </c>
      <c r="BO62" s="95" t="s">
        <v>475</v>
      </c>
      <c r="BP62" s="95" t="str">
        <f t="shared" si="31"/>
        <v>not calculated</v>
      </c>
      <c r="BQ62" s="92" t="s">
        <v>64</v>
      </c>
    </row>
    <row r="63" spans="12:69" ht="14.45" customHeight="1">
      <c r="L63" s="131" t="s">
        <v>473</v>
      </c>
      <c r="M63" s="763" t="s">
        <v>426</v>
      </c>
      <c r="N63" s="15" t="s">
        <v>448</v>
      </c>
      <c r="O63" s="15" t="s">
        <v>1055</v>
      </c>
      <c r="P63" s="15" t="str">
        <f t="shared" si="28"/>
        <v>bubble-dominated MI</v>
      </c>
      <c r="Q63" s="15" t="s">
        <v>468</v>
      </c>
      <c r="R63" s="89">
        <v>87.4</v>
      </c>
      <c r="S63" s="191" t="s">
        <v>64</v>
      </c>
      <c r="T63" s="102">
        <f t="shared" si="14"/>
        <v>1245.7429500000001</v>
      </c>
      <c r="U63" s="27" t="s">
        <v>416</v>
      </c>
      <c r="V63" s="90">
        <v>0.4064592592592593</v>
      </c>
      <c r="W63" s="109">
        <v>100.09999999999991</v>
      </c>
      <c r="X63" s="183" t="s">
        <v>462</v>
      </c>
      <c r="Y63" s="104">
        <v>0.25260799041279824</v>
      </c>
      <c r="Z63" s="187" t="s">
        <v>462</v>
      </c>
      <c r="AA63" s="112">
        <v>890</v>
      </c>
      <c r="AB63" s="118">
        <f t="shared" si="29"/>
        <v>3.6298361995999997</v>
      </c>
      <c r="AC63" s="201" t="s">
        <v>474</v>
      </c>
      <c r="AD63" s="27" t="s">
        <v>64</v>
      </c>
      <c r="AE63" s="202" t="s">
        <v>64</v>
      </c>
      <c r="AF63" s="199" t="s">
        <v>64</v>
      </c>
      <c r="AG63" s="1038" t="s">
        <v>1113</v>
      </c>
      <c r="AH63" s="157" t="s">
        <v>64</v>
      </c>
      <c r="AI63" s="18">
        <v>0.87</v>
      </c>
      <c r="AJ63" s="16">
        <v>49.402285714285711</v>
      </c>
      <c r="AK63" s="16">
        <v>2.3015714285714282</v>
      </c>
      <c r="AL63" s="16">
        <v>11.88007142857143</v>
      </c>
      <c r="AM63" s="16">
        <v>11.2</v>
      </c>
      <c r="AN63" s="16">
        <v>9.7285714285714295E-2</v>
      </c>
      <c r="AO63" s="16">
        <v>11.529500000000001</v>
      </c>
      <c r="AP63" s="16">
        <v>10.665714285714285</v>
      </c>
      <c r="AQ63" s="16">
        <v>2.046785714285714</v>
      </c>
      <c r="AR63" s="16">
        <v>0.46864285714285725</v>
      </c>
      <c r="AS63" s="16">
        <v>0.26749999999999996</v>
      </c>
      <c r="AT63" s="152" t="s">
        <v>64</v>
      </c>
      <c r="AU63" s="16">
        <v>0.47058823529411759</v>
      </c>
      <c r="AV63" s="17">
        <f t="shared" si="30"/>
        <v>147.9</v>
      </c>
      <c r="AW63" s="27" t="str">
        <f t="shared" si="20"/>
        <v>not calculated</v>
      </c>
      <c r="AX63" s="27" t="str">
        <f t="shared" si="21"/>
        <v>not calculated</v>
      </c>
      <c r="AY63" s="18">
        <f t="shared" si="17"/>
        <v>2.2406391982182625</v>
      </c>
      <c r="AZ63" s="16">
        <f t="shared" si="18"/>
        <v>9.1839999999999993</v>
      </c>
      <c r="BA63" s="93" t="s">
        <v>64</v>
      </c>
      <c r="BB63" s="92" t="s">
        <v>64</v>
      </c>
      <c r="BC63" s="92" t="s">
        <v>64</v>
      </c>
      <c r="BD63" s="92" t="s">
        <v>64</v>
      </c>
      <c r="BE63" s="92" t="s">
        <v>64</v>
      </c>
      <c r="BF63" s="92" t="s">
        <v>64</v>
      </c>
      <c r="BG63" s="92" t="s">
        <v>64</v>
      </c>
      <c r="BH63" s="92" t="s">
        <v>64</v>
      </c>
      <c r="BI63" s="92" t="s">
        <v>64</v>
      </c>
      <c r="BJ63" s="92" t="s">
        <v>64</v>
      </c>
      <c r="BK63" s="92" t="s">
        <v>64</v>
      </c>
      <c r="BL63" s="92" t="s">
        <v>64</v>
      </c>
      <c r="BM63" s="92" t="s">
        <v>64</v>
      </c>
      <c r="BN63" s="42">
        <v>170</v>
      </c>
      <c r="BO63" s="95" t="s">
        <v>475</v>
      </c>
      <c r="BP63" s="95" t="str">
        <f t="shared" si="31"/>
        <v>not calculated</v>
      </c>
      <c r="BQ63" s="92" t="s">
        <v>64</v>
      </c>
    </row>
    <row r="64" spans="12:69" ht="14.45" customHeight="1">
      <c r="L64" s="131" t="s">
        <v>473</v>
      </c>
      <c r="M64" s="763" t="s">
        <v>426</v>
      </c>
      <c r="N64" s="15" t="s">
        <v>448</v>
      </c>
      <c r="O64" s="15" t="s">
        <v>1056</v>
      </c>
      <c r="P64" s="15" t="str">
        <f t="shared" si="28"/>
        <v>bubble-dominated MI</v>
      </c>
      <c r="Q64" s="15" t="s">
        <v>468</v>
      </c>
      <c r="R64" s="89">
        <v>87.4</v>
      </c>
      <c r="S64" s="191" t="s">
        <v>64</v>
      </c>
      <c r="T64" s="102">
        <f t="shared" si="14"/>
        <v>1245.7429500000001</v>
      </c>
      <c r="U64" s="27" t="s">
        <v>416</v>
      </c>
      <c r="V64" s="90">
        <v>0.99</v>
      </c>
      <c r="W64" s="109">
        <v>103.01999999999998</v>
      </c>
      <c r="X64" s="183" t="s">
        <v>462</v>
      </c>
      <c r="Y64" s="104">
        <v>0.14171211299981223</v>
      </c>
      <c r="Z64" s="187" t="s">
        <v>462</v>
      </c>
      <c r="AA64" s="112">
        <v>450</v>
      </c>
      <c r="AB64" s="118">
        <f t="shared" si="29"/>
        <v>1.9163209499999998</v>
      </c>
      <c r="AC64" s="201" t="s">
        <v>474</v>
      </c>
      <c r="AD64" s="27" t="s">
        <v>64</v>
      </c>
      <c r="AE64" s="202" t="s">
        <v>64</v>
      </c>
      <c r="AF64" s="199" t="s">
        <v>64</v>
      </c>
      <c r="AG64" s="1038" t="s">
        <v>1113</v>
      </c>
      <c r="AH64" s="157" t="s">
        <v>64</v>
      </c>
      <c r="AI64" s="18">
        <v>0.87</v>
      </c>
      <c r="AJ64" s="16">
        <v>49.402285714285711</v>
      </c>
      <c r="AK64" s="16">
        <v>2.3015714285714282</v>
      </c>
      <c r="AL64" s="16">
        <v>11.88007142857143</v>
      </c>
      <c r="AM64" s="16">
        <v>11.2</v>
      </c>
      <c r="AN64" s="16">
        <v>9.7285714285714295E-2</v>
      </c>
      <c r="AO64" s="16">
        <v>11.529500000000001</v>
      </c>
      <c r="AP64" s="16">
        <v>10.665714285714285</v>
      </c>
      <c r="AQ64" s="16">
        <v>2.046785714285714</v>
      </c>
      <c r="AR64" s="16">
        <v>0.46864285714285725</v>
      </c>
      <c r="AS64" s="16">
        <v>0.26749999999999996</v>
      </c>
      <c r="AT64" s="152" t="s">
        <v>64</v>
      </c>
      <c r="AU64" s="16">
        <v>0.47058823529411759</v>
      </c>
      <c r="AV64" s="17">
        <f t="shared" si="30"/>
        <v>147.9</v>
      </c>
      <c r="AW64" s="27" t="str">
        <f t="shared" si="20"/>
        <v>not calculated</v>
      </c>
      <c r="AX64" s="27" t="str">
        <f t="shared" si="21"/>
        <v>not calculated</v>
      </c>
      <c r="AY64" s="18">
        <f t="shared" si="17"/>
        <v>2.2406391982182625</v>
      </c>
      <c r="AZ64" s="16">
        <f t="shared" si="18"/>
        <v>9.1839999999999993</v>
      </c>
      <c r="BA64" s="93" t="s">
        <v>64</v>
      </c>
      <c r="BB64" s="92" t="s">
        <v>64</v>
      </c>
      <c r="BC64" s="92" t="s">
        <v>64</v>
      </c>
      <c r="BD64" s="92" t="s">
        <v>64</v>
      </c>
      <c r="BE64" s="92" t="s">
        <v>64</v>
      </c>
      <c r="BF64" s="92" t="s">
        <v>64</v>
      </c>
      <c r="BG64" s="92" t="s">
        <v>64</v>
      </c>
      <c r="BH64" s="92" t="s">
        <v>64</v>
      </c>
      <c r="BI64" s="92" t="s">
        <v>64</v>
      </c>
      <c r="BJ64" s="92" t="s">
        <v>64</v>
      </c>
      <c r="BK64" s="92" t="s">
        <v>64</v>
      </c>
      <c r="BL64" s="92" t="s">
        <v>64</v>
      </c>
      <c r="BM64" s="92" t="s">
        <v>64</v>
      </c>
      <c r="BN64" s="42">
        <v>170</v>
      </c>
      <c r="BO64" s="95" t="s">
        <v>475</v>
      </c>
      <c r="BP64" s="95" t="str">
        <f t="shared" si="31"/>
        <v>not calculated</v>
      </c>
      <c r="BQ64" s="92" t="s">
        <v>64</v>
      </c>
    </row>
    <row r="65" spans="12:69" ht="14.45" customHeight="1">
      <c r="L65" s="127" t="s">
        <v>64</v>
      </c>
      <c r="M65" s="763" t="s">
        <v>426</v>
      </c>
      <c r="N65" s="15" t="s">
        <v>448</v>
      </c>
      <c r="O65" s="15" t="s">
        <v>1057</v>
      </c>
      <c r="P65" s="15" t="str">
        <f t="shared" si="28"/>
        <v>melt inclusion</v>
      </c>
      <c r="Q65" s="15" t="s">
        <v>468</v>
      </c>
      <c r="R65" s="89">
        <v>87.4</v>
      </c>
      <c r="S65" s="191" t="s">
        <v>64</v>
      </c>
      <c r="T65" s="102">
        <f t="shared" si="14"/>
        <v>1245.7429500000001</v>
      </c>
      <c r="U65" s="27" t="s">
        <v>416</v>
      </c>
      <c r="V65" s="90">
        <v>3.0898397166049793E-2</v>
      </c>
      <c r="W65" s="109">
        <v>102.82000000000016</v>
      </c>
      <c r="X65" s="183" t="s">
        <v>462</v>
      </c>
      <c r="Y65" s="104">
        <v>6.3137542172626127E-2</v>
      </c>
      <c r="Z65" s="187" t="s">
        <v>462</v>
      </c>
      <c r="AA65" s="112" t="s">
        <v>64</v>
      </c>
      <c r="AB65" s="118" t="str">
        <f t="shared" si="29"/>
        <v>-</v>
      </c>
      <c r="AC65" s="57" t="s">
        <v>475</v>
      </c>
      <c r="AD65" s="27" t="s">
        <v>64</v>
      </c>
      <c r="AE65" s="202" t="s">
        <v>64</v>
      </c>
      <c r="AF65" s="199" t="s">
        <v>64</v>
      </c>
      <c r="AG65" s="1038" t="s">
        <v>1113</v>
      </c>
      <c r="AH65" s="157" t="s">
        <v>64</v>
      </c>
      <c r="AI65" s="18">
        <v>0.87</v>
      </c>
      <c r="AJ65" s="16">
        <v>49.402285714285711</v>
      </c>
      <c r="AK65" s="16">
        <v>2.3015714285714282</v>
      </c>
      <c r="AL65" s="16">
        <v>11.88007142857143</v>
      </c>
      <c r="AM65" s="16">
        <v>11.2</v>
      </c>
      <c r="AN65" s="16">
        <v>9.7285714285714295E-2</v>
      </c>
      <c r="AO65" s="16">
        <v>11.529500000000001</v>
      </c>
      <c r="AP65" s="16">
        <v>10.665714285714285</v>
      </c>
      <c r="AQ65" s="16">
        <v>2.046785714285714</v>
      </c>
      <c r="AR65" s="16">
        <v>0.46864285714285725</v>
      </c>
      <c r="AS65" s="16">
        <v>0.26749999999999996</v>
      </c>
      <c r="AT65" s="152" t="s">
        <v>64</v>
      </c>
      <c r="AU65" s="16">
        <v>0.47058823529411759</v>
      </c>
      <c r="AV65" s="17">
        <f t="shared" si="30"/>
        <v>147.9</v>
      </c>
      <c r="AW65" s="27" t="str">
        <f t="shared" si="20"/>
        <v>not calculated</v>
      </c>
      <c r="AX65" s="27" t="str">
        <f t="shared" si="21"/>
        <v>not calculated</v>
      </c>
      <c r="AY65" s="18">
        <f t="shared" si="17"/>
        <v>2.2406391982182625</v>
      </c>
      <c r="AZ65" s="16">
        <f t="shared" si="18"/>
        <v>9.1839999999999993</v>
      </c>
      <c r="BA65" s="93" t="s">
        <v>64</v>
      </c>
      <c r="BB65" s="92" t="s">
        <v>64</v>
      </c>
      <c r="BC65" s="92" t="s">
        <v>64</v>
      </c>
      <c r="BD65" s="92" t="s">
        <v>64</v>
      </c>
      <c r="BE65" s="92" t="s">
        <v>64</v>
      </c>
      <c r="BF65" s="92" t="s">
        <v>64</v>
      </c>
      <c r="BG65" s="92" t="s">
        <v>64</v>
      </c>
      <c r="BH65" s="92" t="s">
        <v>64</v>
      </c>
      <c r="BI65" s="92" t="s">
        <v>64</v>
      </c>
      <c r="BJ65" s="92" t="s">
        <v>64</v>
      </c>
      <c r="BK65" s="92" t="s">
        <v>64</v>
      </c>
      <c r="BL65" s="92" t="s">
        <v>64</v>
      </c>
      <c r="BM65" s="92" t="s">
        <v>64</v>
      </c>
      <c r="BN65" s="42">
        <v>170</v>
      </c>
      <c r="BO65" s="95" t="s">
        <v>475</v>
      </c>
      <c r="BP65" s="95" t="str">
        <f t="shared" si="31"/>
        <v>not calculated</v>
      </c>
      <c r="BQ65" s="92" t="s">
        <v>64</v>
      </c>
    </row>
    <row r="66" spans="12:69" ht="14.45" customHeight="1">
      <c r="L66" s="131" t="s">
        <v>473</v>
      </c>
      <c r="M66" s="763" t="s">
        <v>426</v>
      </c>
      <c r="N66" s="15" t="s">
        <v>448</v>
      </c>
      <c r="O66" s="15" t="s">
        <v>1058</v>
      </c>
      <c r="P66" s="15" t="str">
        <f t="shared" si="28"/>
        <v>bubble-dominated MI</v>
      </c>
      <c r="Q66" s="15" t="s">
        <v>468</v>
      </c>
      <c r="R66" s="89">
        <v>87.4</v>
      </c>
      <c r="S66" s="191" t="s">
        <v>64</v>
      </c>
      <c r="T66" s="102">
        <f t="shared" si="14"/>
        <v>1245.7429500000001</v>
      </c>
      <c r="U66" s="27" t="s">
        <v>416</v>
      </c>
      <c r="V66" s="90">
        <v>0.74007811469145857</v>
      </c>
      <c r="W66" s="109">
        <v>103.1099999999999</v>
      </c>
      <c r="X66" s="183" t="s">
        <v>462</v>
      </c>
      <c r="Y66" s="104">
        <v>0.17882339619245613</v>
      </c>
      <c r="Z66" s="187" t="s">
        <v>462</v>
      </c>
      <c r="AA66" s="112">
        <v>587</v>
      </c>
      <c r="AB66" s="118">
        <f t="shared" si="29"/>
        <v>2.4651645658051997</v>
      </c>
      <c r="AC66" s="201" t="s">
        <v>474</v>
      </c>
      <c r="AD66" s="27" t="s">
        <v>64</v>
      </c>
      <c r="AE66" s="202" t="s">
        <v>64</v>
      </c>
      <c r="AF66" s="199" t="s">
        <v>64</v>
      </c>
      <c r="AG66" s="1038" t="s">
        <v>1113</v>
      </c>
      <c r="AH66" s="157" t="s">
        <v>64</v>
      </c>
      <c r="AI66" s="18">
        <v>0.87</v>
      </c>
      <c r="AJ66" s="16">
        <v>49.402285714285711</v>
      </c>
      <c r="AK66" s="16">
        <v>2.3015714285714282</v>
      </c>
      <c r="AL66" s="16">
        <v>11.88007142857143</v>
      </c>
      <c r="AM66" s="16">
        <v>11.2</v>
      </c>
      <c r="AN66" s="16">
        <v>9.7285714285714295E-2</v>
      </c>
      <c r="AO66" s="16">
        <v>11.529500000000001</v>
      </c>
      <c r="AP66" s="16">
        <v>10.665714285714285</v>
      </c>
      <c r="AQ66" s="16">
        <v>2.046785714285714</v>
      </c>
      <c r="AR66" s="16">
        <v>0.46864285714285725</v>
      </c>
      <c r="AS66" s="16">
        <v>0.26749999999999996</v>
      </c>
      <c r="AT66" s="152" t="s">
        <v>64</v>
      </c>
      <c r="AU66" s="16">
        <v>0.47058823529411759</v>
      </c>
      <c r="AV66" s="17">
        <f t="shared" si="30"/>
        <v>147.9</v>
      </c>
      <c r="AW66" s="27" t="str">
        <f t="shared" si="20"/>
        <v>not calculated</v>
      </c>
      <c r="AX66" s="27" t="str">
        <f t="shared" si="21"/>
        <v>not calculated</v>
      </c>
      <c r="AY66" s="18">
        <f t="shared" si="17"/>
        <v>2.2406391982182625</v>
      </c>
      <c r="AZ66" s="16">
        <f t="shared" si="18"/>
        <v>9.1839999999999993</v>
      </c>
      <c r="BA66" s="93" t="s">
        <v>64</v>
      </c>
      <c r="BB66" s="92" t="s">
        <v>64</v>
      </c>
      <c r="BC66" s="92" t="s">
        <v>64</v>
      </c>
      <c r="BD66" s="92" t="s">
        <v>64</v>
      </c>
      <c r="BE66" s="92" t="s">
        <v>64</v>
      </c>
      <c r="BF66" s="92" t="s">
        <v>64</v>
      </c>
      <c r="BG66" s="92" t="s">
        <v>64</v>
      </c>
      <c r="BH66" s="92" t="s">
        <v>64</v>
      </c>
      <c r="BI66" s="92" t="s">
        <v>64</v>
      </c>
      <c r="BJ66" s="92" t="s">
        <v>64</v>
      </c>
      <c r="BK66" s="92" t="s">
        <v>64</v>
      </c>
      <c r="BL66" s="92" t="s">
        <v>64</v>
      </c>
      <c r="BM66" s="92" t="s">
        <v>64</v>
      </c>
      <c r="BN66" s="42">
        <v>170</v>
      </c>
      <c r="BO66" s="95" t="s">
        <v>475</v>
      </c>
      <c r="BP66" s="95" t="str">
        <f t="shared" si="31"/>
        <v>not calculated</v>
      </c>
      <c r="BQ66" s="92" t="s">
        <v>64</v>
      </c>
    </row>
    <row r="67" spans="12:69" ht="14.45" customHeight="1">
      <c r="L67" s="127" t="s">
        <v>64</v>
      </c>
      <c r="M67" s="763" t="s">
        <v>426</v>
      </c>
      <c r="N67" s="15" t="s">
        <v>448</v>
      </c>
      <c r="O67" s="15" t="s">
        <v>1059</v>
      </c>
      <c r="P67" s="15" t="str">
        <f t="shared" si="28"/>
        <v>melt inclusion</v>
      </c>
      <c r="Q67" s="15" t="s">
        <v>468</v>
      </c>
      <c r="R67" s="89">
        <v>87.4</v>
      </c>
      <c r="S67" s="191" t="s">
        <v>64</v>
      </c>
      <c r="T67" s="102">
        <f t="shared" si="14"/>
        <v>1245.7429500000001</v>
      </c>
      <c r="U67" s="27" t="s">
        <v>416</v>
      </c>
      <c r="V67" s="90">
        <v>1.4207147961397505E-2</v>
      </c>
      <c r="W67" s="109">
        <v>102.65000000000009</v>
      </c>
      <c r="X67" s="183" t="s">
        <v>462</v>
      </c>
      <c r="Y67" s="104">
        <v>1.4502815392916091E-3</v>
      </c>
      <c r="Z67" s="187" t="s">
        <v>462</v>
      </c>
      <c r="AA67" s="112" t="s">
        <v>64</v>
      </c>
      <c r="AB67" s="116" t="str">
        <f t="shared" si="29"/>
        <v>-</v>
      </c>
      <c r="AC67" s="57">
        <v>336</v>
      </c>
      <c r="AD67" s="27">
        <v>48.604999999999997</v>
      </c>
      <c r="AE67" s="28">
        <f>(0.0684*((AC67/1000))^3-0.5008*((AC67/1000))^2+4.47*((AC67/1000)))</f>
        <v>1.4479763042303999</v>
      </c>
      <c r="AF67" s="47">
        <f>AVERAGE(((((0.0684*(((AC67+AD67)/1000))^3-0.5008*(((AC67+AD67)/1000))^2+4.47*(((AC67+AD67)/1000))))) - AC67), (AC67 - (((0.0684*(((AC67-AD67)/1000))^3-0.5008*(((AC67-AD67)/1000))^2+4.47*(((AC67-AD67)/1000)))))))</f>
        <v>0.20204079012594889</v>
      </c>
      <c r="AG67" s="1038" t="s">
        <v>1113</v>
      </c>
      <c r="AH67" s="157" t="s">
        <v>64</v>
      </c>
      <c r="AI67" s="18">
        <v>0.87</v>
      </c>
      <c r="AJ67" s="16">
        <v>49.402285714285711</v>
      </c>
      <c r="AK67" s="16">
        <v>2.3015714285714282</v>
      </c>
      <c r="AL67" s="16">
        <v>11.88007142857143</v>
      </c>
      <c r="AM67" s="16">
        <v>11.2</v>
      </c>
      <c r="AN67" s="16">
        <v>9.7285714285714295E-2</v>
      </c>
      <c r="AO67" s="16">
        <v>11.529500000000001</v>
      </c>
      <c r="AP67" s="16">
        <v>10.665714285714285</v>
      </c>
      <c r="AQ67" s="16">
        <v>2.046785714285714</v>
      </c>
      <c r="AR67" s="16">
        <v>0.46864285714285725</v>
      </c>
      <c r="AS67" s="16">
        <v>0.26749999999999996</v>
      </c>
      <c r="AT67" s="152" t="s">
        <v>64</v>
      </c>
      <c r="AU67" s="16">
        <v>0.47058823529411759</v>
      </c>
      <c r="AV67" s="17">
        <f t="shared" si="30"/>
        <v>147.9</v>
      </c>
      <c r="AW67" s="27">
        <f t="shared" si="20"/>
        <v>6.612364955276238</v>
      </c>
      <c r="AX67" s="27">
        <f t="shared" si="21"/>
        <v>154.51236495527624</v>
      </c>
      <c r="AY67" s="18">
        <f t="shared" si="17"/>
        <v>2.2406391982182625</v>
      </c>
      <c r="AZ67" s="16">
        <f t="shared" si="18"/>
        <v>9.1839999999999993</v>
      </c>
      <c r="BA67" s="93" t="s">
        <v>64</v>
      </c>
      <c r="BB67" s="92" t="s">
        <v>64</v>
      </c>
      <c r="BC67" s="92" t="s">
        <v>64</v>
      </c>
      <c r="BD67" s="92" t="s">
        <v>64</v>
      </c>
      <c r="BE67" s="92" t="s">
        <v>64</v>
      </c>
      <c r="BF67" s="92" t="s">
        <v>64</v>
      </c>
      <c r="BG67" s="92" t="s">
        <v>64</v>
      </c>
      <c r="BH67" s="92" t="s">
        <v>64</v>
      </c>
      <c r="BI67" s="92" t="s">
        <v>64</v>
      </c>
      <c r="BJ67" s="92" t="s">
        <v>64</v>
      </c>
      <c r="BK67" s="92" t="s">
        <v>64</v>
      </c>
      <c r="BL67" s="92" t="s">
        <v>64</v>
      </c>
      <c r="BM67" s="92" t="s">
        <v>64</v>
      </c>
      <c r="BN67" s="42">
        <v>170</v>
      </c>
      <c r="BO67" s="95">
        <v>7.6004194888232623</v>
      </c>
      <c r="BP67" s="95">
        <f t="shared" si="27"/>
        <v>177.60041948882326</v>
      </c>
      <c r="BQ67" s="92" t="s">
        <v>64</v>
      </c>
    </row>
    <row r="68" spans="12:69" ht="14.45" customHeight="1">
      <c r="L68" s="127" t="s">
        <v>64</v>
      </c>
      <c r="M68" s="763" t="s">
        <v>426</v>
      </c>
      <c r="N68" s="15" t="s">
        <v>448</v>
      </c>
      <c r="O68" s="15" t="s">
        <v>1060</v>
      </c>
      <c r="P68" s="15" t="str">
        <f t="shared" si="28"/>
        <v>melt inclusion</v>
      </c>
      <c r="Q68" s="15" t="s">
        <v>468</v>
      </c>
      <c r="R68" s="89">
        <v>87.4</v>
      </c>
      <c r="S68" s="191" t="s">
        <v>64</v>
      </c>
      <c r="T68" s="102">
        <f t="shared" ref="T68:T113" si="32" xml:space="preserve"> 20.1*AO68+1014</f>
        <v>1245.7429500000001</v>
      </c>
      <c r="U68" s="27" t="s">
        <v>416</v>
      </c>
      <c r="V68" s="90">
        <v>1.2537495471561402E-2</v>
      </c>
      <c r="W68" s="109">
        <v>102.7800000000002</v>
      </c>
      <c r="X68" s="183" t="s">
        <v>462</v>
      </c>
      <c r="Y68" s="104">
        <v>4.8163345498323906E-2</v>
      </c>
      <c r="Z68" s="187" t="s">
        <v>462</v>
      </c>
      <c r="AA68" s="112" t="s">
        <v>64</v>
      </c>
      <c r="AB68" s="116" t="str">
        <f t="shared" si="29"/>
        <v>-</v>
      </c>
      <c r="AC68" s="57">
        <v>692</v>
      </c>
      <c r="AD68" s="27">
        <v>101</v>
      </c>
      <c r="AE68" s="28">
        <f>(0.0684*((AC68/1000))^3-0.5008*((AC68/1000))^2+4.47*((AC68/1000)))</f>
        <v>2.8760908827391996</v>
      </c>
      <c r="AF68" s="47">
        <f>AVERAGE(((((0.0684*(((AC68+AD68)/1000))^3-0.5008*(((AC68+AD68)/1000))^2+4.47*(((AC68+AD68)/1000))))) - AC68), (AC68 - (((0.0684*(((AC68-AD68)/1000))^3-0.5008*(((AC68-AD68)/1000))^2+4.47*(((AC68-AD68)/1000)))))))</f>
        <v>0.39146119756117059</v>
      </c>
      <c r="AG68" s="1038" t="s">
        <v>1113</v>
      </c>
      <c r="AH68" s="157" t="s">
        <v>64</v>
      </c>
      <c r="AI68" s="18">
        <v>0.87</v>
      </c>
      <c r="AJ68" s="16">
        <v>49.402285714285711</v>
      </c>
      <c r="AK68" s="16">
        <v>2.3015714285714282</v>
      </c>
      <c r="AL68" s="16">
        <v>11.88007142857143</v>
      </c>
      <c r="AM68" s="16">
        <v>11.2</v>
      </c>
      <c r="AN68" s="16">
        <v>9.7285714285714295E-2</v>
      </c>
      <c r="AO68" s="16">
        <v>11.529500000000001</v>
      </c>
      <c r="AP68" s="16">
        <v>10.665714285714285</v>
      </c>
      <c r="AQ68" s="16">
        <v>2.046785714285714</v>
      </c>
      <c r="AR68" s="16">
        <v>0.46864285714285725</v>
      </c>
      <c r="AS68" s="16">
        <v>0.26749999999999996</v>
      </c>
      <c r="AT68" s="152" t="s">
        <v>64</v>
      </c>
      <c r="AU68" s="16">
        <v>0.47058823529411759</v>
      </c>
      <c r="AV68" s="17">
        <f t="shared" si="30"/>
        <v>147.9</v>
      </c>
      <c r="AW68" s="27">
        <f t="shared" si="20"/>
        <v>193.41796842676106</v>
      </c>
      <c r="AX68" s="27">
        <f t="shared" si="21"/>
        <v>341.31796842676107</v>
      </c>
      <c r="AY68" s="18">
        <f t="shared" si="17"/>
        <v>2.2406391982182625</v>
      </c>
      <c r="AZ68" s="16">
        <f t="shared" si="18"/>
        <v>9.1839999999999993</v>
      </c>
      <c r="BA68" s="93" t="s">
        <v>64</v>
      </c>
      <c r="BB68" s="92" t="s">
        <v>64</v>
      </c>
      <c r="BC68" s="92" t="s">
        <v>64</v>
      </c>
      <c r="BD68" s="92" t="s">
        <v>64</v>
      </c>
      <c r="BE68" s="92" t="s">
        <v>64</v>
      </c>
      <c r="BF68" s="92" t="s">
        <v>64</v>
      </c>
      <c r="BG68" s="92" t="s">
        <v>64</v>
      </c>
      <c r="BH68" s="92" t="s">
        <v>64</v>
      </c>
      <c r="BI68" s="92" t="s">
        <v>64</v>
      </c>
      <c r="BJ68" s="92" t="s">
        <v>64</v>
      </c>
      <c r="BK68" s="92" t="s">
        <v>64</v>
      </c>
      <c r="BL68" s="92" t="s">
        <v>64</v>
      </c>
      <c r="BM68" s="92" t="s">
        <v>64</v>
      </c>
      <c r="BN68" s="42">
        <v>170</v>
      </c>
      <c r="BO68" s="95">
        <v>222.31950393880584</v>
      </c>
      <c r="BP68" s="95">
        <f t="shared" si="27"/>
        <v>392.31950393880584</v>
      </c>
      <c r="BQ68" s="92" t="s">
        <v>64</v>
      </c>
    </row>
    <row r="69" spans="12:69" ht="14.45" customHeight="1" thickBot="1">
      <c r="L69" s="132" t="s">
        <v>64</v>
      </c>
      <c r="M69" s="1025" t="s">
        <v>426</v>
      </c>
      <c r="N69" s="133" t="s">
        <v>448</v>
      </c>
      <c r="O69" s="133" t="s">
        <v>1061</v>
      </c>
      <c r="P69" s="133" t="str">
        <f t="shared" si="28"/>
        <v>melt inclusion</v>
      </c>
      <c r="Q69" s="133" t="s">
        <v>468</v>
      </c>
      <c r="R69" s="96">
        <v>87.4</v>
      </c>
      <c r="S69" s="192" t="s">
        <v>64</v>
      </c>
      <c r="T69" s="103">
        <f t="shared" si="32"/>
        <v>1245.7429500000001</v>
      </c>
      <c r="U69" s="134" t="s">
        <v>416</v>
      </c>
      <c r="V69" s="206">
        <v>3.5759420351300725E-2</v>
      </c>
      <c r="W69" s="110">
        <v>103.00999999999999</v>
      </c>
      <c r="X69" s="107" t="s">
        <v>462</v>
      </c>
      <c r="Y69" s="105">
        <v>0.13765003160369815</v>
      </c>
      <c r="Z69" s="188" t="s">
        <v>462</v>
      </c>
      <c r="AA69" s="113" t="s">
        <v>64</v>
      </c>
      <c r="AB69" s="117" t="str">
        <f t="shared" si="29"/>
        <v>-</v>
      </c>
      <c r="AC69" s="135">
        <v>2918</v>
      </c>
      <c r="AD69" s="134">
        <v>375.5</v>
      </c>
      <c r="AE69" s="136">
        <f>(0.0684*((AC69/1000))^3-0.5008*((AC69/1000))^2+4.47*((AC69/1000)))</f>
        <v>10.478750201628799</v>
      </c>
      <c r="AF69" s="97">
        <f>AVERAGE(((((0.0684*(((AC69+AD69)/1000))^3-0.5008*(((AC69+AD69)/1000))^2+4.47*(((AC69+AD69)/1000))))) - AC69), (AC69 - (((0.0684*(((AC69-AD69)/1000))^3-0.5008*(((AC69-AD69)/1000))^2+4.47*(((AC69-AD69)/1000)))))))</f>
        <v>1.2407259667036215</v>
      </c>
      <c r="AG69" s="1039" t="s">
        <v>1113</v>
      </c>
      <c r="AH69" s="213" t="s">
        <v>64</v>
      </c>
      <c r="AI69" s="153">
        <v>0.87</v>
      </c>
      <c r="AJ69" s="154">
        <v>49.402285714285711</v>
      </c>
      <c r="AK69" s="154">
        <v>2.3015714285714282</v>
      </c>
      <c r="AL69" s="154">
        <v>11.88007142857143</v>
      </c>
      <c r="AM69" s="154">
        <v>11.2</v>
      </c>
      <c r="AN69" s="154">
        <v>9.7285714285714295E-2</v>
      </c>
      <c r="AO69" s="154">
        <v>11.529500000000001</v>
      </c>
      <c r="AP69" s="154">
        <v>10.665714285714285</v>
      </c>
      <c r="AQ69" s="154">
        <v>2.046785714285714</v>
      </c>
      <c r="AR69" s="154">
        <v>0.46864285714285725</v>
      </c>
      <c r="AS69" s="154">
        <v>0.26749999999999996</v>
      </c>
      <c r="AT69" s="155" t="s">
        <v>64</v>
      </c>
      <c r="AU69" s="154">
        <v>0.47058823529411759</v>
      </c>
      <c r="AV69" s="156">
        <f t="shared" si="30"/>
        <v>147.9</v>
      </c>
      <c r="AW69" s="134">
        <f t="shared" si="20"/>
        <v>1611.9906020434273</v>
      </c>
      <c r="AX69" s="1035">
        <f t="shared" si="21"/>
        <v>1759.8906020434274</v>
      </c>
      <c r="AY69" s="153">
        <f t="shared" si="17"/>
        <v>2.2406391982182625</v>
      </c>
      <c r="AZ69" s="154">
        <f t="shared" si="18"/>
        <v>9.1839999999999993</v>
      </c>
      <c r="BA69" s="98" t="s">
        <v>64</v>
      </c>
      <c r="BB69" s="99" t="s">
        <v>64</v>
      </c>
      <c r="BC69" s="99" t="s">
        <v>64</v>
      </c>
      <c r="BD69" s="99" t="s">
        <v>64</v>
      </c>
      <c r="BE69" s="99" t="s">
        <v>64</v>
      </c>
      <c r="BF69" s="99" t="s">
        <v>64</v>
      </c>
      <c r="BG69" s="99" t="s">
        <v>64</v>
      </c>
      <c r="BH69" s="99" t="s">
        <v>64</v>
      </c>
      <c r="BI69" s="99" t="s">
        <v>64</v>
      </c>
      <c r="BJ69" s="99" t="s">
        <v>64</v>
      </c>
      <c r="BK69" s="99" t="s">
        <v>64</v>
      </c>
      <c r="BL69" s="99" t="s">
        <v>64</v>
      </c>
      <c r="BM69" s="99" t="s">
        <v>64</v>
      </c>
      <c r="BN69" s="100">
        <v>170</v>
      </c>
      <c r="BO69" s="101">
        <v>1852.8627609694568</v>
      </c>
      <c r="BP69" s="101">
        <f t="shared" si="27"/>
        <v>2022.8627609694568</v>
      </c>
      <c r="BQ69" s="99" t="s">
        <v>64</v>
      </c>
    </row>
    <row r="70" spans="12:69" ht="14.45" customHeight="1">
      <c r="L70" s="127" t="s">
        <v>64</v>
      </c>
      <c r="M70" s="763" t="s">
        <v>426</v>
      </c>
      <c r="N70" s="15" t="s">
        <v>427</v>
      </c>
      <c r="O70" s="15" t="s">
        <v>1062</v>
      </c>
      <c r="P70" s="15" t="str">
        <f t="shared" si="28"/>
        <v>melt inclusion</v>
      </c>
      <c r="Q70" s="15" t="s">
        <v>468</v>
      </c>
      <c r="R70" s="89">
        <v>87.75</v>
      </c>
      <c r="S70" s="191" t="s">
        <v>64</v>
      </c>
      <c r="T70" s="102">
        <f t="shared" si="32"/>
        <v>1253.9124833333333</v>
      </c>
      <c r="U70" s="27" t="s">
        <v>416</v>
      </c>
      <c r="V70" s="90">
        <v>2.531925059864807E-2</v>
      </c>
      <c r="W70" s="109">
        <v>102.97800000000007</v>
      </c>
      <c r="X70" s="183" t="s">
        <v>462</v>
      </c>
      <c r="Y70" s="104">
        <v>0.12473926333041163</v>
      </c>
      <c r="Z70" s="187" t="s">
        <v>462</v>
      </c>
      <c r="AA70" s="112" t="s">
        <v>64</v>
      </c>
      <c r="AB70" s="116" t="str">
        <f t="shared" si="29"/>
        <v>-</v>
      </c>
      <c r="AC70" s="57">
        <v>2045</v>
      </c>
      <c r="AD70" s="27">
        <v>280</v>
      </c>
      <c r="AE70" s="28">
        <f>(0.0684*((AC70/1000))^3-0.5008*((AC70/1000))^2+4.47*((AC70/1000)))</f>
        <v>7.6317651729499998</v>
      </c>
      <c r="AF70" s="47">
        <f>AVERAGE(((((0.0684*(((AC70+AD70)/1000))^3-0.5008*(((AC70+AD70)/1000))^2+4.47*(((AC70+AD70)/1000))))) - AC70), (AC70 - (((0.0684*(((AC70-AD70)/1000))^3-0.5008*(((AC70-AD70)/1000))^2+4.47*(((AC70-AD70)/1000)))))))</f>
        <v>0.91986778520004009</v>
      </c>
      <c r="AG70" s="1038" t="s">
        <v>1113</v>
      </c>
      <c r="AH70" s="157" t="s">
        <v>64</v>
      </c>
      <c r="AI70" s="18">
        <v>0.87</v>
      </c>
      <c r="AJ70" s="16">
        <v>49.415444444444439</v>
      </c>
      <c r="AK70" s="16">
        <v>2.2743888888888892</v>
      </c>
      <c r="AL70" s="16">
        <v>11.723777777777778</v>
      </c>
      <c r="AM70" s="16">
        <v>11.199999999999996</v>
      </c>
      <c r="AN70" s="16">
        <v>0.11344444444444446</v>
      </c>
      <c r="AO70" s="16">
        <v>11.935944444444445</v>
      </c>
      <c r="AP70" s="16">
        <v>10.445000000000002</v>
      </c>
      <c r="AQ70" s="16">
        <v>2.0337777777777775</v>
      </c>
      <c r="AR70" s="16">
        <v>0.43277777777777776</v>
      </c>
      <c r="AS70" s="16">
        <v>0.2842777777777778</v>
      </c>
      <c r="AT70" s="152" t="s">
        <v>64</v>
      </c>
      <c r="AU70" s="16">
        <v>0.56437500000000007</v>
      </c>
      <c r="AV70" s="17">
        <f t="shared" si="30"/>
        <v>121.8</v>
      </c>
      <c r="AW70" s="27">
        <f t="shared" si="20"/>
        <v>1023.921732449467</v>
      </c>
      <c r="AX70" s="27">
        <f t="shared" si="21"/>
        <v>1145.721732449467</v>
      </c>
      <c r="AY70" s="18">
        <f t="shared" si="17"/>
        <v>2.2406391982182616</v>
      </c>
      <c r="AZ70" s="16">
        <f t="shared" si="18"/>
        <v>9.1839999999999975</v>
      </c>
      <c r="BA70" s="93" t="s">
        <v>64</v>
      </c>
      <c r="BB70" s="92" t="s">
        <v>64</v>
      </c>
      <c r="BC70" s="92" t="s">
        <v>64</v>
      </c>
      <c r="BD70" s="92" t="s">
        <v>64</v>
      </c>
      <c r="BE70" s="92" t="s">
        <v>64</v>
      </c>
      <c r="BF70" s="92" t="s">
        <v>64</v>
      </c>
      <c r="BG70" s="92" t="s">
        <v>64</v>
      </c>
      <c r="BH70" s="92" t="s">
        <v>64</v>
      </c>
      <c r="BI70" s="92" t="s">
        <v>64</v>
      </c>
      <c r="BJ70" s="92" t="s">
        <v>64</v>
      </c>
      <c r="BK70" s="92" t="s">
        <v>64</v>
      </c>
      <c r="BL70" s="92" t="s">
        <v>64</v>
      </c>
      <c r="BM70" s="92" t="s">
        <v>64</v>
      </c>
      <c r="BN70" s="84">
        <v>140</v>
      </c>
      <c r="BO70" s="95">
        <v>1176.9215315511115</v>
      </c>
      <c r="BP70" s="95">
        <f t="shared" si="27"/>
        <v>1316.9215315511115</v>
      </c>
      <c r="BQ70" s="92" t="s">
        <v>64</v>
      </c>
    </row>
    <row r="71" spans="12:69" ht="14.45" customHeight="1">
      <c r="L71" s="127" t="s">
        <v>64</v>
      </c>
      <c r="M71" s="763" t="s">
        <v>426</v>
      </c>
      <c r="N71" s="15" t="s">
        <v>427</v>
      </c>
      <c r="O71" s="15" t="s">
        <v>1063</v>
      </c>
      <c r="P71" s="15" t="str">
        <f t="shared" si="28"/>
        <v>melt inclusion</v>
      </c>
      <c r="Q71" s="15" t="s">
        <v>468</v>
      </c>
      <c r="R71" s="89">
        <v>87.75</v>
      </c>
      <c r="S71" s="191" t="s">
        <v>64</v>
      </c>
      <c r="T71" s="102">
        <f t="shared" si="32"/>
        <v>1253.9124833333333</v>
      </c>
      <c r="U71" s="27" t="s">
        <v>416</v>
      </c>
      <c r="V71" s="90">
        <v>8.1549030756309822E-3</v>
      </c>
      <c r="W71" s="109">
        <v>102.88499999999999</v>
      </c>
      <c r="X71" s="183" t="s">
        <v>462</v>
      </c>
      <c r="Y71" s="104">
        <v>8.8025146738800686E-2</v>
      </c>
      <c r="Z71" s="187" t="s">
        <v>462</v>
      </c>
      <c r="AA71" s="112" t="s">
        <v>64</v>
      </c>
      <c r="AB71" s="116" t="str">
        <f t="shared" si="29"/>
        <v>-</v>
      </c>
      <c r="AC71" s="57">
        <v>759</v>
      </c>
      <c r="AD71" s="27">
        <v>111.5</v>
      </c>
      <c r="AE71" s="28">
        <f>(0.0684*((AC71/1000))^3-0.5008*((AC71/1000))^2+4.47*((AC71/1000)))</f>
        <v>3.1341362259635996</v>
      </c>
      <c r="AF71" s="47">
        <f>AVERAGE(((((0.0684*(((AC71+AD71)/1000))^3-0.5008*(((AC71+AD71)/1000))^2+4.47*(((AC71+AD71)/1000))))) - AC71), (AC71 - (((0.0684*(((AC71-AD71)/1000))^3-0.5008*(((AC71-AD71)/1000))^2+4.47*(((AC71-AD71)/1000)))))))</f>
        <v>0.42691652826164272</v>
      </c>
      <c r="AG71" s="1038" t="s">
        <v>1113</v>
      </c>
      <c r="AH71" s="157" t="s">
        <v>64</v>
      </c>
      <c r="AI71" s="18">
        <v>0.87</v>
      </c>
      <c r="AJ71" s="16">
        <v>49.415444444444439</v>
      </c>
      <c r="AK71" s="16">
        <v>2.2743888888888892</v>
      </c>
      <c r="AL71" s="16">
        <v>11.723777777777778</v>
      </c>
      <c r="AM71" s="16">
        <v>11.199999999999996</v>
      </c>
      <c r="AN71" s="16">
        <v>0.11344444444444446</v>
      </c>
      <c r="AO71" s="16">
        <v>11.935944444444445</v>
      </c>
      <c r="AP71" s="16">
        <v>10.445000000000002</v>
      </c>
      <c r="AQ71" s="16">
        <v>2.0337777777777775</v>
      </c>
      <c r="AR71" s="16">
        <v>0.43277777777777776</v>
      </c>
      <c r="AS71" s="16">
        <v>0.2842777777777778</v>
      </c>
      <c r="AT71" s="152" t="s">
        <v>64</v>
      </c>
      <c r="AU71" s="16">
        <v>0.56437500000000007</v>
      </c>
      <c r="AV71" s="17">
        <f t="shared" si="30"/>
        <v>147.9</v>
      </c>
      <c r="AW71" s="27">
        <f t="shared" si="20"/>
        <v>228.90431937629836</v>
      </c>
      <c r="AX71" s="27">
        <f t="shared" si="21"/>
        <v>376.80431937629839</v>
      </c>
      <c r="AY71" s="18">
        <f t="shared" si="17"/>
        <v>2.2406391982182616</v>
      </c>
      <c r="AZ71" s="16">
        <f t="shared" si="18"/>
        <v>9.1839999999999975</v>
      </c>
      <c r="BA71" s="93" t="s">
        <v>64</v>
      </c>
      <c r="BB71" s="92" t="s">
        <v>64</v>
      </c>
      <c r="BC71" s="92" t="s">
        <v>64</v>
      </c>
      <c r="BD71" s="92" t="s">
        <v>64</v>
      </c>
      <c r="BE71" s="92" t="s">
        <v>64</v>
      </c>
      <c r="BF71" s="92" t="s">
        <v>64</v>
      </c>
      <c r="BG71" s="92" t="s">
        <v>64</v>
      </c>
      <c r="BH71" s="92" t="s">
        <v>64</v>
      </c>
      <c r="BI71" s="92" t="s">
        <v>64</v>
      </c>
      <c r="BJ71" s="92" t="s">
        <v>64</v>
      </c>
      <c r="BK71" s="92" t="s">
        <v>64</v>
      </c>
      <c r="BL71" s="92" t="s">
        <v>64</v>
      </c>
      <c r="BM71" s="92" t="s">
        <v>64</v>
      </c>
      <c r="BN71" s="42">
        <v>170</v>
      </c>
      <c r="BO71" s="95">
        <v>263.10841307620501</v>
      </c>
      <c r="BP71" s="95">
        <f t="shared" si="27"/>
        <v>433.10841307620501</v>
      </c>
      <c r="BQ71" s="92" t="s">
        <v>64</v>
      </c>
    </row>
    <row r="72" spans="12:69" ht="14.45" customHeight="1">
      <c r="L72" s="129" t="s">
        <v>471</v>
      </c>
      <c r="M72" s="763" t="s">
        <v>426</v>
      </c>
      <c r="N72" s="15" t="s">
        <v>427</v>
      </c>
      <c r="O72" s="15" t="s">
        <v>1064</v>
      </c>
      <c r="P72" s="15" t="str">
        <f t="shared" si="28"/>
        <v>melt inclusion</v>
      </c>
      <c r="Q72" s="15" t="s">
        <v>468</v>
      </c>
      <c r="R72" s="89">
        <v>87.75</v>
      </c>
      <c r="S72" s="191" t="s">
        <v>64</v>
      </c>
      <c r="T72" s="102">
        <f t="shared" si="32"/>
        <v>1253.9124833333333</v>
      </c>
      <c r="U72" s="27" t="s">
        <v>416</v>
      </c>
      <c r="V72" s="90">
        <v>6.4625402763874684E-2</v>
      </c>
      <c r="W72" s="109">
        <v>102.86700000000019</v>
      </c>
      <c r="X72" s="183" t="s">
        <v>462</v>
      </c>
      <c r="Y72" s="104">
        <v>8.1066687976999674E-2</v>
      </c>
      <c r="Z72" s="187" t="s">
        <v>462</v>
      </c>
      <c r="AA72" s="112" t="s">
        <v>64</v>
      </c>
      <c r="AB72" s="116" t="str">
        <f t="shared" si="29"/>
        <v>-</v>
      </c>
      <c r="AC72" s="201" t="s">
        <v>472</v>
      </c>
      <c r="AD72" s="27" t="s">
        <v>64</v>
      </c>
      <c r="AE72" s="202" t="s">
        <v>64</v>
      </c>
      <c r="AF72" s="199" t="s">
        <v>64</v>
      </c>
      <c r="AG72" s="1038" t="s">
        <v>1113</v>
      </c>
      <c r="AH72" s="157" t="s">
        <v>64</v>
      </c>
      <c r="AI72" s="18">
        <v>0.87</v>
      </c>
      <c r="AJ72" s="16">
        <v>49.415444444444439</v>
      </c>
      <c r="AK72" s="16">
        <v>2.2743888888888892</v>
      </c>
      <c r="AL72" s="16">
        <v>11.723777777777778</v>
      </c>
      <c r="AM72" s="16">
        <v>11.199999999999996</v>
      </c>
      <c r="AN72" s="16">
        <v>0.11344444444444446</v>
      </c>
      <c r="AO72" s="16">
        <v>11.935944444444445</v>
      </c>
      <c r="AP72" s="16">
        <v>10.445000000000002</v>
      </c>
      <c r="AQ72" s="16">
        <v>2.0337777777777775</v>
      </c>
      <c r="AR72" s="16">
        <v>0.43277777777777776</v>
      </c>
      <c r="AS72" s="16">
        <v>0.2842777777777778</v>
      </c>
      <c r="AT72" s="152" t="s">
        <v>64</v>
      </c>
      <c r="AU72" s="16">
        <v>0.56437500000000007</v>
      </c>
      <c r="AV72" s="17">
        <f t="shared" si="30"/>
        <v>147.9</v>
      </c>
      <c r="AW72" s="27" t="str">
        <f t="shared" si="20"/>
        <v>not calculated</v>
      </c>
      <c r="AX72" s="27" t="str">
        <f t="shared" si="21"/>
        <v>not calculated</v>
      </c>
      <c r="AY72" s="18">
        <f t="shared" si="17"/>
        <v>2.2406391982182616</v>
      </c>
      <c r="AZ72" s="16">
        <f t="shared" si="18"/>
        <v>9.1839999999999975</v>
      </c>
      <c r="BA72" s="93" t="s">
        <v>64</v>
      </c>
      <c r="BB72" s="92" t="s">
        <v>64</v>
      </c>
      <c r="BC72" s="92" t="s">
        <v>64</v>
      </c>
      <c r="BD72" s="92" t="s">
        <v>64</v>
      </c>
      <c r="BE72" s="92" t="s">
        <v>64</v>
      </c>
      <c r="BF72" s="92" t="s">
        <v>64</v>
      </c>
      <c r="BG72" s="92" t="s">
        <v>64</v>
      </c>
      <c r="BH72" s="92" t="s">
        <v>64</v>
      </c>
      <c r="BI72" s="92" t="s">
        <v>64</v>
      </c>
      <c r="BJ72" s="92" t="s">
        <v>64</v>
      </c>
      <c r="BK72" s="92" t="s">
        <v>64</v>
      </c>
      <c r="BL72" s="92" t="s">
        <v>64</v>
      </c>
      <c r="BM72" s="92" t="s">
        <v>64</v>
      </c>
      <c r="BN72" s="42">
        <v>170</v>
      </c>
      <c r="BO72" s="95" t="s">
        <v>475</v>
      </c>
      <c r="BP72" s="95" t="str">
        <f t="shared" ref="BP72:BP74" si="33">IF(AND(ISNUMBER(BN72),ISNUMBER(BO72)),BN72+BO72,"not calculated")</f>
        <v>not calculated</v>
      </c>
      <c r="BQ72" s="92" t="s">
        <v>64</v>
      </c>
    </row>
    <row r="73" spans="12:69" ht="14.45" customHeight="1">
      <c r="L73" s="129" t="s">
        <v>471</v>
      </c>
      <c r="M73" s="763" t="s">
        <v>426</v>
      </c>
      <c r="N73" s="15" t="s">
        <v>427</v>
      </c>
      <c r="O73" s="15" t="s">
        <v>1065</v>
      </c>
      <c r="P73" s="15" t="str">
        <f t="shared" si="28"/>
        <v>melt inclusion</v>
      </c>
      <c r="Q73" s="15" t="s">
        <v>468</v>
      </c>
      <c r="R73" s="89">
        <v>87.75</v>
      </c>
      <c r="S73" s="191" t="s">
        <v>64</v>
      </c>
      <c r="T73" s="102">
        <f t="shared" si="32"/>
        <v>1253.9124833333333</v>
      </c>
      <c r="U73" s="27" t="s">
        <v>416</v>
      </c>
      <c r="V73" s="90">
        <v>7.6245350652892022E-2</v>
      </c>
      <c r="W73" s="109">
        <v>102.83800000000019</v>
      </c>
      <c r="X73" s="183" t="s">
        <v>462</v>
      </c>
      <c r="Y73" s="104">
        <v>6.9962243745976593E-2</v>
      </c>
      <c r="Z73" s="187" t="s">
        <v>462</v>
      </c>
      <c r="AA73" s="112" t="s">
        <v>64</v>
      </c>
      <c r="AB73" s="116" t="str">
        <f t="shared" si="29"/>
        <v>-</v>
      </c>
      <c r="AC73" s="201" t="s">
        <v>472</v>
      </c>
      <c r="AD73" s="27" t="s">
        <v>64</v>
      </c>
      <c r="AE73" s="202" t="s">
        <v>64</v>
      </c>
      <c r="AF73" s="199" t="s">
        <v>64</v>
      </c>
      <c r="AG73" s="1038" t="s">
        <v>1113</v>
      </c>
      <c r="AH73" s="157" t="s">
        <v>64</v>
      </c>
      <c r="AI73" s="18">
        <v>0.87</v>
      </c>
      <c r="AJ73" s="16">
        <v>49.415444444444439</v>
      </c>
      <c r="AK73" s="16">
        <v>2.2743888888888892</v>
      </c>
      <c r="AL73" s="16">
        <v>11.723777777777778</v>
      </c>
      <c r="AM73" s="16">
        <v>11.199999999999996</v>
      </c>
      <c r="AN73" s="16">
        <v>0.11344444444444446</v>
      </c>
      <c r="AO73" s="16">
        <v>11.935944444444445</v>
      </c>
      <c r="AP73" s="16">
        <v>10.445000000000002</v>
      </c>
      <c r="AQ73" s="16">
        <v>2.0337777777777775</v>
      </c>
      <c r="AR73" s="16">
        <v>0.43277777777777776</v>
      </c>
      <c r="AS73" s="16">
        <v>0.2842777777777778</v>
      </c>
      <c r="AT73" s="152" t="s">
        <v>64</v>
      </c>
      <c r="AU73" s="16">
        <v>0.56437500000000007</v>
      </c>
      <c r="AV73" s="17">
        <f t="shared" si="30"/>
        <v>147.9</v>
      </c>
      <c r="AW73" s="27" t="str">
        <f t="shared" si="20"/>
        <v>not calculated</v>
      </c>
      <c r="AX73" s="27" t="str">
        <f t="shared" si="21"/>
        <v>not calculated</v>
      </c>
      <c r="AY73" s="18">
        <f t="shared" si="17"/>
        <v>2.2406391982182616</v>
      </c>
      <c r="AZ73" s="16">
        <f t="shared" si="18"/>
        <v>9.1839999999999975</v>
      </c>
      <c r="BA73" s="93" t="s">
        <v>64</v>
      </c>
      <c r="BB73" s="92" t="s">
        <v>64</v>
      </c>
      <c r="BC73" s="92" t="s">
        <v>64</v>
      </c>
      <c r="BD73" s="92" t="s">
        <v>64</v>
      </c>
      <c r="BE73" s="92" t="s">
        <v>64</v>
      </c>
      <c r="BF73" s="92" t="s">
        <v>64</v>
      </c>
      <c r="BG73" s="92" t="s">
        <v>64</v>
      </c>
      <c r="BH73" s="92" t="s">
        <v>64</v>
      </c>
      <c r="BI73" s="92" t="s">
        <v>64</v>
      </c>
      <c r="BJ73" s="92" t="s">
        <v>64</v>
      </c>
      <c r="BK73" s="92" t="s">
        <v>64</v>
      </c>
      <c r="BL73" s="92" t="s">
        <v>64</v>
      </c>
      <c r="BM73" s="92" t="s">
        <v>64</v>
      </c>
      <c r="BN73" s="42">
        <v>170</v>
      </c>
      <c r="BO73" s="95" t="s">
        <v>475</v>
      </c>
      <c r="BP73" s="95" t="str">
        <f t="shared" si="33"/>
        <v>not calculated</v>
      </c>
      <c r="BQ73" s="92" t="s">
        <v>64</v>
      </c>
    </row>
    <row r="74" spans="12:69" ht="14.45" customHeight="1">
      <c r="L74" s="129" t="s">
        <v>471</v>
      </c>
      <c r="M74" s="763" t="s">
        <v>426</v>
      </c>
      <c r="N74" s="15" t="s">
        <v>427</v>
      </c>
      <c r="O74" s="15" t="s">
        <v>1066</v>
      </c>
      <c r="P74" s="15" t="str">
        <f t="shared" si="28"/>
        <v>melt inclusion</v>
      </c>
      <c r="Q74" s="15" t="s">
        <v>468</v>
      </c>
      <c r="R74" s="89">
        <v>87.75</v>
      </c>
      <c r="S74" s="191" t="s">
        <v>64</v>
      </c>
      <c r="T74" s="102">
        <f t="shared" si="32"/>
        <v>1253.9124833333333</v>
      </c>
      <c r="U74" s="27" t="s">
        <v>416</v>
      </c>
      <c r="V74" s="90">
        <v>5.564416329668518E-2</v>
      </c>
      <c r="W74" s="109">
        <v>103.02400000000011</v>
      </c>
      <c r="X74" s="183" t="s">
        <v>462</v>
      </c>
      <c r="Y74" s="104">
        <v>0.1433405296629644</v>
      </c>
      <c r="Z74" s="187" t="s">
        <v>462</v>
      </c>
      <c r="AA74" s="112" t="s">
        <v>64</v>
      </c>
      <c r="AB74" s="116" t="str">
        <f t="shared" si="29"/>
        <v>-</v>
      </c>
      <c r="AC74" s="201" t="s">
        <v>472</v>
      </c>
      <c r="AD74" s="27" t="s">
        <v>64</v>
      </c>
      <c r="AE74" s="202" t="s">
        <v>64</v>
      </c>
      <c r="AF74" s="199" t="s">
        <v>64</v>
      </c>
      <c r="AG74" s="1038" t="s">
        <v>1113</v>
      </c>
      <c r="AH74" s="157" t="s">
        <v>64</v>
      </c>
      <c r="AI74" s="18">
        <v>0.87</v>
      </c>
      <c r="AJ74" s="16">
        <v>49.415444444444439</v>
      </c>
      <c r="AK74" s="16">
        <v>2.2743888888888892</v>
      </c>
      <c r="AL74" s="16">
        <v>11.723777777777778</v>
      </c>
      <c r="AM74" s="16">
        <v>11.199999999999996</v>
      </c>
      <c r="AN74" s="16">
        <v>0.11344444444444446</v>
      </c>
      <c r="AO74" s="16">
        <v>11.935944444444445</v>
      </c>
      <c r="AP74" s="16">
        <v>10.445000000000002</v>
      </c>
      <c r="AQ74" s="16">
        <v>2.0337777777777775</v>
      </c>
      <c r="AR74" s="16">
        <v>0.43277777777777776</v>
      </c>
      <c r="AS74" s="16">
        <v>0.2842777777777778</v>
      </c>
      <c r="AT74" s="152" t="s">
        <v>64</v>
      </c>
      <c r="AU74" s="16">
        <v>0.56437500000000007</v>
      </c>
      <c r="AV74" s="17">
        <f t="shared" si="30"/>
        <v>147.9</v>
      </c>
      <c r="AW74" s="27" t="str">
        <f t="shared" si="20"/>
        <v>not calculated</v>
      </c>
      <c r="AX74" s="27" t="str">
        <f t="shared" si="21"/>
        <v>not calculated</v>
      </c>
      <c r="AY74" s="18">
        <f t="shared" si="17"/>
        <v>2.2406391982182616</v>
      </c>
      <c r="AZ74" s="16">
        <f t="shared" si="18"/>
        <v>9.1839999999999975</v>
      </c>
      <c r="BA74" s="93" t="s">
        <v>64</v>
      </c>
      <c r="BB74" s="92" t="s">
        <v>64</v>
      </c>
      <c r="BC74" s="92" t="s">
        <v>64</v>
      </c>
      <c r="BD74" s="92" t="s">
        <v>64</v>
      </c>
      <c r="BE74" s="92" t="s">
        <v>64</v>
      </c>
      <c r="BF74" s="92" t="s">
        <v>64</v>
      </c>
      <c r="BG74" s="92" t="s">
        <v>64</v>
      </c>
      <c r="BH74" s="92" t="s">
        <v>64</v>
      </c>
      <c r="BI74" s="92" t="s">
        <v>64</v>
      </c>
      <c r="BJ74" s="92" t="s">
        <v>64</v>
      </c>
      <c r="BK74" s="92" t="s">
        <v>64</v>
      </c>
      <c r="BL74" s="92" t="s">
        <v>64</v>
      </c>
      <c r="BM74" s="92" t="s">
        <v>64</v>
      </c>
      <c r="BN74" s="42">
        <v>170</v>
      </c>
      <c r="BO74" s="95" t="s">
        <v>475</v>
      </c>
      <c r="BP74" s="95" t="str">
        <f t="shared" si="33"/>
        <v>not calculated</v>
      </c>
      <c r="BQ74" s="92" t="s">
        <v>64</v>
      </c>
    </row>
    <row r="75" spans="12:69" ht="14.45" customHeight="1">
      <c r="L75" s="127" t="s">
        <v>64</v>
      </c>
      <c r="M75" s="763" t="s">
        <v>426</v>
      </c>
      <c r="N75" s="15" t="s">
        <v>427</v>
      </c>
      <c r="O75" s="15" t="s">
        <v>1067</v>
      </c>
      <c r="P75" s="15" t="str">
        <f t="shared" si="28"/>
        <v>melt inclusion</v>
      </c>
      <c r="Q75" s="15" t="s">
        <v>468</v>
      </c>
      <c r="R75" s="89">
        <v>87.75</v>
      </c>
      <c r="S75" s="191" t="s">
        <v>64</v>
      </c>
      <c r="T75" s="102">
        <f t="shared" si="32"/>
        <v>1253.9124833333333</v>
      </c>
      <c r="U75" s="27" t="s">
        <v>416</v>
      </c>
      <c r="V75" s="90">
        <v>4.4572771724147954E-2</v>
      </c>
      <c r="W75" s="109">
        <v>102.88200000000006</v>
      </c>
      <c r="X75" s="183" t="s">
        <v>462</v>
      </c>
      <c r="Y75" s="104">
        <v>8.6861950585443992E-2</v>
      </c>
      <c r="Z75" s="187" t="s">
        <v>462</v>
      </c>
      <c r="AA75" s="112" t="s">
        <v>64</v>
      </c>
      <c r="AB75" s="116" t="str">
        <f t="shared" si="29"/>
        <v>-</v>
      </c>
      <c r="AC75" s="57">
        <v>2461</v>
      </c>
      <c r="AD75" s="27">
        <v>328.5</v>
      </c>
      <c r="AE75" s="28">
        <f>(0.0684*((AC75/1000))^3-0.5008*((AC75/1000))^2+4.47*((AC75/1000)))</f>
        <v>8.9870729987804001</v>
      </c>
      <c r="AF75" s="47">
        <f>AVERAGE(((((0.0684*(((AC75+AD75)/1000))^3-0.5008*(((AC75+AD75)/1000))^2+4.47*(((AC75+AD75)/1000))))) - AC75), (AC75 - (((0.0684*(((AC75-AD75)/1000))^3-0.5008*(((AC75-AD75)/1000))^2+4.47*(((AC75-AD75)/1000)))))))</f>
        <v>1.0693469007824206</v>
      </c>
      <c r="AG75" s="1038" t="s">
        <v>1113</v>
      </c>
      <c r="AH75" s="157" t="s">
        <v>64</v>
      </c>
      <c r="AI75" s="18">
        <v>0.87</v>
      </c>
      <c r="AJ75" s="16">
        <v>49.415444444444439</v>
      </c>
      <c r="AK75" s="16">
        <v>2.2743888888888892</v>
      </c>
      <c r="AL75" s="16">
        <v>11.723777777777778</v>
      </c>
      <c r="AM75" s="16">
        <v>11.199999999999996</v>
      </c>
      <c r="AN75" s="16">
        <v>0.11344444444444446</v>
      </c>
      <c r="AO75" s="16">
        <v>11.935944444444445</v>
      </c>
      <c r="AP75" s="16">
        <v>10.445000000000002</v>
      </c>
      <c r="AQ75" s="16">
        <v>2.0337777777777775</v>
      </c>
      <c r="AR75" s="16">
        <v>0.43277777777777776</v>
      </c>
      <c r="AS75" s="16">
        <v>0.2842777777777778</v>
      </c>
      <c r="AT75" s="152" t="s">
        <v>64</v>
      </c>
      <c r="AU75" s="16">
        <v>0.56437500000000007</v>
      </c>
      <c r="AV75" s="17">
        <f t="shared" si="30"/>
        <v>147.9</v>
      </c>
      <c r="AW75" s="27">
        <f t="shared" si="20"/>
        <v>1280.1140796453844</v>
      </c>
      <c r="AX75" s="27">
        <f t="shared" si="21"/>
        <v>1428.0140796453845</v>
      </c>
      <c r="AY75" s="18">
        <f t="shared" si="17"/>
        <v>2.2406391982182616</v>
      </c>
      <c r="AZ75" s="16">
        <f t="shared" si="18"/>
        <v>9.1839999999999975</v>
      </c>
      <c r="BA75" s="93" t="s">
        <v>64</v>
      </c>
      <c r="BB75" s="92" t="s">
        <v>64</v>
      </c>
      <c r="BC75" s="92" t="s">
        <v>64</v>
      </c>
      <c r="BD75" s="92" t="s">
        <v>64</v>
      </c>
      <c r="BE75" s="92" t="s">
        <v>64</v>
      </c>
      <c r="BF75" s="92" t="s">
        <v>64</v>
      </c>
      <c r="BG75" s="92" t="s">
        <v>64</v>
      </c>
      <c r="BH75" s="92" t="s">
        <v>64</v>
      </c>
      <c r="BI75" s="92" t="s">
        <v>64</v>
      </c>
      <c r="BJ75" s="92" t="s">
        <v>64</v>
      </c>
      <c r="BK75" s="92" t="s">
        <v>64</v>
      </c>
      <c r="BL75" s="92" t="s">
        <v>64</v>
      </c>
      <c r="BM75" s="92" t="s">
        <v>64</v>
      </c>
      <c r="BN75" s="42">
        <v>170</v>
      </c>
      <c r="BO75" s="95">
        <v>1471.3954938452694</v>
      </c>
      <c r="BP75" s="95">
        <f t="shared" si="27"/>
        <v>1641.3954938452694</v>
      </c>
      <c r="BQ75" s="92" t="s">
        <v>64</v>
      </c>
    </row>
    <row r="76" spans="12:69" ht="14.45" customHeight="1">
      <c r="L76" s="127" t="s">
        <v>64</v>
      </c>
      <c r="M76" s="763" t="s">
        <v>426</v>
      </c>
      <c r="N76" s="15" t="s">
        <v>427</v>
      </c>
      <c r="O76" s="15" t="s">
        <v>1068</v>
      </c>
      <c r="P76" s="15" t="str">
        <f t="shared" si="28"/>
        <v>melt inclusion</v>
      </c>
      <c r="Q76" s="15" t="s">
        <v>468</v>
      </c>
      <c r="R76" s="89">
        <v>87.75</v>
      </c>
      <c r="S76" s="191" t="s">
        <v>64</v>
      </c>
      <c r="T76" s="102">
        <f t="shared" si="32"/>
        <v>1253.9124833333333</v>
      </c>
      <c r="U76" s="27" t="s">
        <v>416</v>
      </c>
      <c r="V76" s="90">
        <v>2.3597401654812014E-2</v>
      </c>
      <c r="W76" s="109">
        <v>103.048</v>
      </c>
      <c r="X76" s="183" t="s">
        <v>462</v>
      </c>
      <c r="Y76" s="104">
        <v>0.15315326449490385</v>
      </c>
      <c r="Z76" s="187" t="s">
        <v>462</v>
      </c>
      <c r="AA76" s="112" t="s">
        <v>64</v>
      </c>
      <c r="AB76" s="116" t="str">
        <f t="shared" si="29"/>
        <v>-</v>
      </c>
      <c r="AC76" s="57">
        <v>2300</v>
      </c>
      <c r="AD76" s="27">
        <v>310</v>
      </c>
      <c r="AE76" s="28">
        <f>(0.0684*((AC76/1000))^3-0.5008*((AC76/1000))^2+4.47*((AC76/1000)))</f>
        <v>8.4639907999999995</v>
      </c>
      <c r="AF76" s="47">
        <f>AVERAGE(((((0.0684*(((AC76+AD76)/1000))^3-0.5008*(((AC76+AD76)/1000))^2+4.47*(((AC76+AD76)/1000))))) - AC76), (AC76 - (((0.0684*(((AC76-AD76)/1000))^3-0.5008*(((AC76-AD76)/1000))^2+4.47*(((AC76-AD76)/1000)))))))</f>
        <v>1.0101043843999378</v>
      </c>
      <c r="AG76" s="1038" t="s">
        <v>1113</v>
      </c>
      <c r="AH76" s="157" t="s">
        <v>64</v>
      </c>
      <c r="AI76" s="18">
        <v>0.87</v>
      </c>
      <c r="AJ76" s="16">
        <v>49.415444444444439</v>
      </c>
      <c r="AK76" s="16">
        <v>2.2743888888888892</v>
      </c>
      <c r="AL76" s="16">
        <v>11.723777777777778</v>
      </c>
      <c r="AM76" s="16">
        <v>11.199999999999996</v>
      </c>
      <c r="AN76" s="16">
        <v>0.11344444444444446</v>
      </c>
      <c r="AO76" s="16">
        <v>11.935944444444445</v>
      </c>
      <c r="AP76" s="16">
        <v>10.445000000000002</v>
      </c>
      <c r="AQ76" s="16">
        <v>2.0337777777777775</v>
      </c>
      <c r="AR76" s="16">
        <v>0.43277777777777776</v>
      </c>
      <c r="AS76" s="16">
        <v>0.2842777777777778</v>
      </c>
      <c r="AT76" s="152" t="s">
        <v>64</v>
      </c>
      <c r="AU76" s="16">
        <v>0.56437500000000007</v>
      </c>
      <c r="AV76" s="17">
        <f t="shared" si="30"/>
        <v>147.9</v>
      </c>
      <c r="AW76" s="27">
        <f t="shared" si="20"/>
        <v>1169.4022630079296</v>
      </c>
      <c r="AX76" s="27">
        <f t="shared" si="21"/>
        <v>1317.3022630079297</v>
      </c>
      <c r="AY76" s="18">
        <f t="shared" si="17"/>
        <v>2.2406391982182616</v>
      </c>
      <c r="AZ76" s="16">
        <f t="shared" si="18"/>
        <v>9.1839999999999975</v>
      </c>
      <c r="BA76" s="93" t="s">
        <v>64</v>
      </c>
      <c r="BB76" s="92" t="s">
        <v>64</v>
      </c>
      <c r="BC76" s="92" t="s">
        <v>64</v>
      </c>
      <c r="BD76" s="92" t="s">
        <v>64</v>
      </c>
      <c r="BE76" s="92" t="s">
        <v>64</v>
      </c>
      <c r="BF76" s="92" t="s">
        <v>64</v>
      </c>
      <c r="BG76" s="92" t="s">
        <v>64</v>
      </c>
      <c r="BH76" s="92" t="s">
        <v>64</v>
      </c>
      <c r="BI76" s="92" t="s">
        <v>64</v>
      </c>
      <c r="BJ76" s="92" t="s">
        <v>64</v>
      </c>
      <c r="BK76" s="92" t="s">
        <v>64</v>
      </c>
      <c r="BL76" s="92" t="s">
        <v>64</v>
      </c>
      <c r="BM76" s="92" t="s">
        <v>64</v>
      </c>
      <c r="BN76" s="42">
        <v>170</v>
      </c>
      <c r="BO76" s="95">
        <v>1344.1405321930226</v>
      </c>
      <c r="BP76" s="95">
        <f t="shared" si="27"/>
        <v>1514.1405321930226</v>
      </c>
      <c r="BQ76" s="92" t="s">
        <v>64</v>
      </c>
    </row>
    <row r="77" spans="12:69" ht="14.45" customHeight="1">
      <c r="L77" s="127" t="s">
        <v>64</v>
      </c>
      <c r="M77" s="763" t="s">
        <v>426</v>
      </c>
      <c r="N77" s="15" t="s">
        <v>427</v>
      </c>
      <c r="O77" s="15" t="s">
        <v>1069</v>
      </c>
      <c r="P77" s="15" t="str">
        <f t="shared" si="28"/>
        <v>melt inclusion</v>
      </c>
      <c r="Q77" s="15" t="s">
        <v>468</v>
      </c>
      <c r="R77" s="89">
        <v>87.75</v>
      </c>
      <c r="S77" s="191" t="s">
        <v>64</v>
      </c>
      <c r="T77" s="102">
        <f t="shared" si="32"/>
        <v>1253.9124833333333</v>
      </c>
      <c r="U77" s="27" t="s">
        <v>416</v>
      </c>
      <c r="V77" s="90">
        <v>1.8248371737087016E-2</v>
      </c>
      <c r="W77" s="109">
        <v>103.09000000000015</v>
      </c>
      <c r="X77" s="183" t="s">
        <v>462</v>
      </c>
      <c r="Y77" s="104">
        <v>0.17049388730811188</v>
      </c>
      <c r="Z77" s="187" t="s">
        <v>462</v>
      </c>
      <c r="AA77" s="112" t="s">
        <v>64</v>
      </c>
      <c r="AB77" s="116" t="str">
        <f t="shared" si="29"/>
        <v>-</v>
      </c>
      <c r="AC77" s="57">
        <v>2049</v>
      </c>
      <c r="AD77" s="27">
        <v>280.5</v>
      </c>
      <c r="AE77" s="28">
        <f>(0.0684*((AC77/1000))^3-0.5008*((AC77/1000))^2+4.47*((AC77/1000)))</f>
        <v>7.6448833967915997</v>
      </c>
      <c r="AF77" s="47">
        <f>AVERAGE(((((0.0684*(((AC77+AD77)/1000))^3-0.5008*(((AC77+AD77)/1000))^2+4.47*(((AC77+AD77)/1000))))) - AC77), (AC77 - (((0.0684*(((AC77-AD77)/1000))^3-0.5008*(((AC77-AD77)/1000))^2+4.47*(((AC77-AD77)/1000)))))))</f>
        <v>0.92133456761109755</v>
      </c>
      <c r="AG77" s="1038" t="s">
        <v>1113</v>
      </c>
      <c r="AH77" s="157" t="s">
        <v>64</v>
      </c>
      <c r="AI77" s="18">
        <v>0.87</v>
      </c>
      <c r="AJ77" s="16">
        <v>49.415444444444439</v>
      </c>
      <c r="AK77" s="16">
        <v>2.2743888888888892</v>
      </c>
      <c r="AL77" s="16">
        <v>11.723777777777778</v>
      </c>
      <c r="AM77" s="16">
        <v>11.199999999999996</v>
      </c>
      <c r="AN77" s="16">
        <v>0.11344444444444446</v>
      </c>
      <c r="AO77" s="16">
        <v>11.935944444444445</v>
      </c>
      <c r="AP77" s="16">
        <v>10.445000000000002</v>
      </c>
      <c r="AQ77" s="16">
        <v>2.0337777777777775</v>
      </c>
      <c r="AR77" s="16">
        <v>0.43277777777777776</v>
      </c>
      <c r="AS77" s="16">
        <v>0.2842777777777778</v>
      </c>
      <c r="AT77" s="152" t="s">
        <v>64</v>
      </c>
      <c r="AU77" s="16">
        <v>0.56437500000000007</v>
      </c>
      <c r="AV77" s="17">
        <f t="shared" si="30"/>
        <v>147.9</v>
      </c>
      <c r="AW77" s="27">
        <f t="shared" si="20"/>
        <v>1001.4232573538995</v>
      </c>
      <c r="AX77" s="27">
        <f t="shared" si="21"/>
        <v>1149.3232573538996</v>
      </c>
      <c r="AY77" s="18">
        <f t="shared" si="17"/>
        <v>2.2406391982182616</v>
      </c>
      <c r="AZ77" s="16">
        <f t="shared" si="18"/>
        <v>9.1839999999999975</v>
      </c>
      <c r="BA77" s="93" t="s">
        <v>64</v>
      </c>
      <c r="BB77" s="92" t="s">
        <v>64</v>
      </c>
      <c r="BC77" s="92" t="s">
        <v>64</v>
      </c>
      <c r="BD77" s="92" t="s">
        <v>64</v>
      </c>
      <c r="BE77" s="92" t="s">
        <v>64</v>
      </c>
      <c r="BF77" s="92" t="s">
        <v>64</v>
      </c>
      <c r="BG77" s="92" t="s">
        <v>64</v>
      </c>
      <c r="BH77" s="92" t="s">
        <v>64</v>
      </c>
      <c r="BI77" s="92" t="s">
        <v>64</v>
      </c>
      <c r="BJ77" s="92" t="s">
        <v>64</v>
      </c>
      <c r="BK77" s="92" t="s">
        <v>64</v>
      </c>
      <c r="BL77" s="92" t="s">
        <v>64</v>
      </c>
      <c r="BM77" s="92" t="s">
        <v>64</v>
      </c>
      <c r="BN77" s="42">
        <v>170</v>
      </c>
      <c r="BO77" s="95">
        <v>1151.0612153493098</v>
      </c>
      <c r="BP77" s="95">
        <f t="shared" si="27"/>
        <v>1321.0612153493098</v>
      </c>
      <c r="BQ77" s="92" t="s">
        <v>64</v>
      </c>
    </row>
    <row r="78" spans="12:69" ht="14.45" customHeight="1">
      <c r="L78" s="127" t="s">
        <v>64</v>
      </c>
      <c r="M78" s="763" t="s">
        <v>426</v>
      </c>
      <c r="N78" s="15" t="s">
        <v>427</v>
      </c>
      <c r="O78" s="15" t="s">
        <v>1070</v>
      </c>
      <c r="P78" s="15" t="str">
        <f t="shared" si="28"/>
        <v>melt inclusion</v>
      </c>
      <c r="Q78" s="15" t="s">
        <v>468</v>
      </c>
      <c r="R78" s="89">
        <v>87.75</v>
      </c>
      <c r="S78" s="191" t="s">
        <v>64</v>
      </c>
      <c r="T78" s="102">
        <f t="shared" si="32"/>
        <v>1253.9124833333333</v>
      </c>
      <c r="U78" s="27" t="s">
        <v>416</v>
      </c>
      <c r="V78" s="90">
        <v>4.0436972636834614E-2</v>
      </c>
      <c r="W78" s="109">
        <v>102.98299999999995</v>
      </c>
      <c r="X78" s="183" t="s">
        <v>462</v>
      </c>
      <c r="Y78" s="104">
        <v>0.12674759099172661</v>
      </c>
      <c r="Z78" s="187" t="s">
        <v>462</v>
      </c>
      <c r="AA78" s="112" t="s">
        <v>64</v>
      </c>
      <c r="AB78" s="116" t="str">
        <f t="shared" si="29"/>
        <v>-</v>
      </c>
      <c r="AC78" s="57">
        <v>3019</v>
      </c>
      <c r="AD78" s="27">
        <v>389.5</v>
      </c>
      <c r="AE78" s="28">
        <f>(0.0684*((AC78/1000))^3-0.5008*((AC78/1000))^2+4.47*((AC78/1000)))</f>
        <v>10.812569911955601</v>
      </c>
      <c r="AF78" s="47">
        <f>AVERAGE(((((0.0684*(((AC78+AD78)/1000))^3-0.5008*(((AC78+AD78)/1000))^2+4.47*(((AC78+AD78)/1000))))) - AC78), (AC78 - (((0.0684*(((AC78-AD78)/1000))^3-0.5008*(((AC78-AD78)/1000))^2+4.47*(((AC78-AD78)/1000)))))))</f>
        <v>1.2957938420079245</v>
      </c>
      <c r="AG78" s="1038" t="s">
        <v>1113</v>
      </c>
      <c r="AH78" s="157" t="s">
        <v>64</v>
      </c>
      <c r="AI78" s="18">
        <v>0.87</v>
      </c>
      <c r="AJ78" s="16">
        <v>49.415444444444439</v>
      </c>
      <c r="AK78" s="16">
        <v>2.2743888888888892</v>
      </c>
      <c r="AL78" s="16">
        <v>11.723777777777778</v>
      </c>
      <c r="AM78" s="16">
        <v>11.199999999999996</v>
      </c>
      <c r="AN78" s="16">
        <v>0.11344444444444446</v>
      </c>
      <c r="AO78" s="16">
        <v>11.935944444444445</v>
      </c>
      <c r="AP78" s="16">
        <v>10.445000000000002</v>
      </c>
      <c r="AQ78" s="16">
        <v>2.0337777777777775</v>
      </c>
      <c r="AR78" s="16">
        <v>0.43277777777777776</v>
      </c>
      <c r="AS78" s="16">
        <v>0.2842777777777778</v>
      </c>
      <c r="AT78" s="152" t="s">
        <v>64</v>
      </c>
      <c r="AU78" s="16">
        <v>0.56437500000000007</v>
      </c>
      <c r="AV78" s="17">
        <f t="shared" si="30"/>
        <v>147.9</v>
      </c>
      <c r="AW78" s="27">
        <f t="shared" si="20"/>
        <v>1686.5091305871183</v>
      </c>
      <c r="AX78" s="27">
        <f t="shared" si="21"/>
        <v>1834.4091305871184</v>
      </c>
      <c r="AY78" s="18">
        <f t="shared" si="17"/>
        <v>2.2406391982182616</v>
      </c>
      <c r="AZ78" s="16">
        <f t="shared" si="18"/>
        <v>9.1839999999999975</v>
      </c>
      <c r="BA78" s="93" t="s">
        <v>64</v>
      </c>
      <c r="BB78" s="92" t="s">
        <v>64</v>
      </c>
      <c r="BC78" s="92" t="s">
        <v>64</v>
      </c>
      <c r="BD78" s="92" t="s">
        <v>64</v>
      </c>
      <c r="BE78" s="92" t="s">
        <v>64</v>
      </c>
      <c r="BF78" s="92" t="s">
        <v>64</v>
      </c>
      <c r="BG78" s="92" t="s">
        <v>64</v>
      </c>
      <c r="BH78" s="92" t="s">
        <v>64</v>
      </c>
      <c r="BI78" s="92" t="s">
        <v>64</v>
      </c>
      <c r="BJ78" s="92" t="s">
        <v>64</v>
      </c>
      <c r="BK78" s="92" t="s">
        <v>64</v>
      </c>
      <c r="BL78" s="92" t="s">
        <v>64</v>
      </c>
      <c r="BM78" s="92" t="s">
        <v>64</v>
      </c>
      <c r="BN78" s="42">
        <v>170</v>
      </c>
      <c r="BO78" s="95">
        <v>1938.516242054159</v>
      </c>
      <c r="BP78" s="95">
        <f t="shared" si="27"/>
        <v>2108.5162420541592</v>
      </c>
      <c r="BQ78" s="92" t="s">
        <v>64</v>
      </c>
    </row>
    <row r="79" spans="12:69" ht="14.45" customHeight="1">
      <c r="L79" s="127" t="s">
        <v>64</v>
      </c>
      <c r="M79" s="763" t="s">
        <v>426</v>
      </c>
      <c r="N79" s="15" t="s">
        <v>427</v>
      </c>
      <c r="O79" s="15" t="s">
        <v>1071</v>
      </c>
      <c r="P79" s="15" t="str">
        <f t="shared" si="28"/>
        <v>melt inclusion</v>
      </c>
      <c r="Q79" s="15" t="s">
        <v>468</v>
      </c>
      <c r="R79" s="89">
        <v>87.75</v>
      </c>
      <c r="S79" s="191" t="s">
        <v>64</v>
      </c>
      <c r="T79" s="102">
        <f t="shared" si="32"/>
        <v>1253.9124833333333</v>
      </c>
      <c r="U79" s="27" t="s">
        <v>416</v>
      </c>
      <c r="V79" s="90">
        <v>3.2440780931059614E-2</v>
      </c>
      <c r="W79" s="109">
        <v>102.94700000000012</v>
      </c>
      <c r="X79" s="183" t="s">
        <v>462</v>
      </c>
      <c r="Y79" s="104">
        <v>0.11236399693734711</v>
      </c>
      <c r="Z79" s="187" t="s">
        <v>462</v>
      </c>
      <c r="AA79" s="112" t="s">
        <v>64</v>
      </c>
      <c r="AB79" s="116" t="str">
        <f t="shared" si="29"/>
        <v>-</v>
      </c>
      <c r="AC79" s="57">
        <v>2331</v>
      </c>
      <c r="AD79" s="27">
        <v>313.5</v>
      </c>
      <c r="AE79" s="28">
        <f>(0.0684*((AC79/1000))^3-0.5008*((AC79/1000))^2+4.47*((AC79/1000)))</f>
        <v>8.5647717904643983</v>
      </c>
      <c r="AF79" s="47">
        <f>AVERAGE(((((0.0684*(((AC79+AD79)/1000))^3-0.5008*(((AC79+AD79)/1000))^2+4.47*(((AC79+AD79)/1000))))) - AC79), (AC79 - (((0.0684*(((AC79-AD79)/1000))^3-0.5008*(((AC79-AD79)/1000))^2+4.47*(((AC79-AD79)/1000)))))))</f>
        <v>1.0210568418417552</v>
      </c>
      <c r="AG79" s="1038" t="s">
        <v>1113</v>
      </c>
      <c r="AH79" s="157" t="s">
        <v>64</v>
      </c>
      <c r="AI79" s="18">
        <v>0.87</v>
      </c>
      <c r="AJ79" s="16">
        <v>49.415444444444439</v>
      </c>
      <c r="AK79" s="16">
        <v>2.2743888888888892</v>
      </c>
      <c r="AL79" s="16">
        <v>11.723777777777778</v>
      </c>
      <c r="AM79" s="16">
        <v>11.199999999999996</v>
      </c>
      <c r="AN79" s="16">
        <v>0.11344444444444446</v>
      </c>
      <c r="AO79" s="16">
        <v>11.935944444444445</v>
      </c>
      <c r="AP79" s="16">
        <v>10.445000000000002</v>
      </c>
      <c r="AQ79" s="16">
        <v>2.0337777777777775</v>
      </c>
      <c r="AR79" s="16">
        <v>0.43277777777777776</v>
      </c>
      <c r="AS79" s="16">
        <v>0.2842777777777778</v>
      </c>
      <c r="AT79" s="152" t="s">
        <v>64</v>
      </c>
      <c r="AU79" s="16">
        <v>0.56437500000000007</v>
      </c>
      <c r="AV79" s="17">
        <f t="shared" si="30"/>
        <v>147.9</v>
      </c>
      <c r="AW79" s="27">
        <f t="shared" si="20"/>
        <v>1190.2355662034984</v>
      </c>
      <c r="AX79" s="27">
        <f t="shared" si="21"/>
        <v>1338.1355662034985</v>
      </c>
      <c r="AY79" s="18">
        <f t="shared" si="17"/>
        <v>2.2406391982182616</v>
      </c>
      <c r="AZ79" s="16">
        <f t="shared" si="18"/>
        <v>9.1839999999999975</v>
      </c>
      <c r="BA79" s="93" t="s">
        <v>64</v>
      </c>
      <c r="BB79" s="92" t="s">
        <v>64</v>
      </c>
      <c r="BC79" s="92" t="s">
        <v>64</v>
      </c>
      <c r="BD79" s="92" t="s">
        <v>64</v>
      </c>
      <c r="BE79" s="92" t="s">
        <v>64</v>
      </c>
      <c r="BF79" s="92" t="s">
        <v>64</v>
      </c>
      <c r="BG79" s="92" t="s">
        <v>64</v>
      </c>
      <c r="BH79" s="92" t="s">
        <v>64</v>
      </c>
      <c r="BI79" s="92" t="s">
        <v>64</v>
      </c>
      <c r="BJ79" s="92" t="s">
        <v>64</v>
      </c>
      <c r="BK79" s="92" t="s">
        <v>64</v>
      </c>
      <c r="BL79" s="92" t="s">
        <v>64</v>
      </c>
      <c r="BM79" s="92" t="s">
        <v>64</v>
      </c>
      <c r="BN79" s="42">
        <v>170</v>
      </c>
      <c r="BO79" s="95">
        <v>1368.0868577051706</v>
      </c>
      <c r="BP79" s="95">
        <f t="shared" ref="BP79:BP120" si="34">BN79+BO79</f>
        <v>1538.0868577051706</v>
      </c>
      <c r="BQ79" s="92" t="s">
        <v>64</v>
      </c>
    </row>
    <row r="80" spans="12:69" ht="14.45" customHeight="1">
      <c r="L80" s="129" t="s">
        <v>471</v>
      </c>
      <c r="M80" s="763" t="s">
        <v>426</v>
      </c>
      <c r="N80" s="15" t="s">
        <v>427</v>
      </c>
      <c r="O80" s="15" t="s">
        <v>1072</v>
      </c>
      <c r="P80" s="15" t="str">
        <f t="shared" si="28"/>
        <v>melt inclusion</v>
      </c>
      <c r="Q80" s="15" t="s">
        <v>468</v>
      </c>
      <c r="R80" s="89">
        <v>87.75</v>
      </c>
      <c r="S80" s="191" t="s">
        <v>64</v>
      </c>
      <c r="T80" s="102">
        <f t="shared" si="32"/>
        <v>1253.9124833333333</v>
      </c>
      <c r="U80" s="27" t="s">
        <v>416</v>
      </c>
      <c r="V80" s="90">
        <v>6.4471520083102474E-2</v>
      </c>
      <c r="W80" s="109">
        <v>102.923</v>
      </c>
      <c r="X80" s="183" t="s">
        <v>462</v>
      </c>
      <c r="Y80" s="104">
        <v>0.10287587070342852</v>
      </c>
      <c r="Z80" s="187" t="s">
        <v>462</v>
      </c>
      <c r="AA80" s="112" t="s">
        <v>64</v>
      </c>
      <c r="AB80" s="116" t="str">
        <f t="shared" si="29"/>
        <v>-</v>
      </c>
      <c r="AC80" s="201" t="s">
        <v>472</v>
      </c>
      <c r="AD80" s="27" t="s">
        <v>64</v>
      </c>
      <c r="AE80" s="202" t="s">
        <v>64</v>
      </c>
      <c r="AF80" s="199" t="s">
        <v>64</v>
      </c>
      <c r="AG80" s="1038" t="s">
        <v>1113</v>
      </c>
      <c r="AH80" s="157" t="s">
        <v>64</v>
      </c>
      <c r="AI80" s="18">
        <v>0.87</v>
      </c>
      <c r="AJ80" s="16">
        <v>49.415444444444439</v>
      </c>
      <c r="AK80" s="16">
        <v>2.2743888888888892</v>
      </c>
      <c r="AL80" s="16">
        <v>11.723777777777778</v>
      </c>
      <c r="AM80" s="16">
        <v>11.199999999999996</v>
      </c>
      <c r="AN80" s="16">
        <v>0.11344444444444446</v>
      </c>
      <c r="AO80" s="16">
        <v>11.935944444444445</v>
      </c>
      <c r="AP80" s="16">
        <v>10.445000000000002</v>
      </c>
      <c r="AQ80" s="16">
        <v>2.0337777777777775</v>
      </c>
      <c r="AR80" s="16">
        <v>0.43277777777777776</v>
      </c>
      <c r="AS80" s="16">
        <v>0.2842777777777778</v>
      </c>
      <c r="AT80" s="152" t="s">
        <v>64</v>
      </c>
      <c r="AU80" s="16">
        <v>0.56437500000000007</v>
      </c>
      <c r="AV80" s="17">
        <f t="shared" si="30"/>
        <v>147.9</v>
      </c>
      <c r="AW80" s="27" t="str">
        <f t="shared" si="20"/>
        <v>not calculated</v>
      </c>
      <c r="AX80" s="27" t="str">
        <f t="shared" si="21"/>
        <v>not calculated</v>
      </c>
      <c r="AY80" s="18">
        <f t="shared" si="17"/>
        <v>2.2406391982182616</v>
      </c>
      <c r="AZ80" s="16">
        <f t="shared" si="18"/>
        <v>9.1839999999999975</v>
      </c>
      <c r="BA80" s="93" t="s">
        <v>64</v>
      </c>
      <c r="BB80" s="92" t="s">
        <v>64</v>
      </c>
      <c r="BC80" s="92" t="s">
        <v>64</v>
      </c>
      <c r="BD80" s="92" t="s">
        <v>64</v>
      </c>
      <c r="BE80" s="92" t="s">
        <v>64</v>
      </c>
      <c r="BF80" s="92" t="s">
        <v>64</v>
      </c>
      <c r="BG80" s="92" t="s">
        <v>64</v>
      </c>
      <c r="BH80" s="92" t="s">
        <v>64</v>
      </c>
      <c r="BI80" s="92" t="s">
        <v>64</v>
      </c>
      <c r="BJ80" s="92" t="s">
        <v>64</v>
      </c>
      <c r="BK80" s="92" t="s">
        <v>64</v>
      </c>
      <c r="BL80" s="92" t="s">
        <v>64</v>
      </c>
      <c r="BM80" s="92" t="s">
        <v>64</v>
      </c>
      <c r="BN80" s="42">
        <v>170</v>
      </c>
      <c r="BO80" s="95" t="s">
        <v>475</v>
      </c>
      <c r="BP80" s="95" t="str">
        <f t="shared" ref="BP80:BP81" si="35">IF(AND(ISNUMBER(BN80),ISNUMBER(BO80)),BN80+BO80,"not calculated")</f>
        <v>not calculated</v>
      </c>
      <c r="BQ80" s="92" t="s">
        <v>64</v>
      </c>
    </row>
    <row r="81" spans="12:69" ht="14.45" customHeight="1">
      <c r="L81" s="129" t="s">
        <v>471</v>
      </c>
      <c r="M81" s="763" t="s">
        <v>426</v>
      </c>
      <c r="N81" s="15" t="s">
        <v>427</v>
      </c>
      <c r="O81" s="15" t="s">
        <v>1073</v>
      </c>
      <c r="P81" s="15" t="str">
        <f t="shared" si="28"/>
        <v>melt inclusion</v>
      </c>
      <c r="Q81" s="15" t="s">
        <v>468</v>
      </c>
      <c r="R81" s="89">
        <v>87.75</v>
      </c>
      <c r="S81" s="191" t="s">
        <v>64</v>
      </c>
      <c r="T81" s="102">
        <f t="shared" si="32"/>
        <v>1253.9124833333333</v>
      </c>
      <c r="U81" s="27" t="s">
        <v>416</v>
      </c>
      <c r="V81" s="90">
        <v>6.9311077315707209E-2</v>
      </c>
      <c r="W81" s="109">
        <v>102.98300000000017</v>
      </c>
      <c r="X81" s="183" t="s">
        <v>462</v>
      </c>
      <c r="Y81" s="104">
        <v>0.1267475909771747</v>
      </c>
      <c r="Z81" s="187" t="s">
        <v>462</v>
      </c>
      <c r="AA81" s="112" t="s">
        <v>64</v>
      </c>
      <c r="AB81" s="116" t="str">
        <f t="shared" si="29"/>
        <v>-</v>
      </c>
      <c r="AC81" s="201" t="s">
        <v>472</v>
      </c>
      <c r="AD81" s="27" t="s">
        <v>64</v>
      </c>
      <c r="AE81" s="202" t="s">
        <v>64</v>
      </c>
      <c r="AF81" s="199" t="s">
        <v>64</v>
      </c>
      <c r="AG81" s="1038" t="s">
        <v>1113</v>
      </c>
      <c r="AH81" s="157" t="s">
        <v>64</v>
      </c>
      <c r="AI81" s="18">
        <v>0.87</v>
      </c>
      <c r="AJ81" s="16">
        <v>49.415444444444439</v>
      </c>
      <c r="AK81" s="16">
        <v>2.2743888888888892</v>
      </c>
      <c r="AL81" s="16">
        <v>11.723777777777778</v>
      </c>
      <c r="AM81" s="16">
        <v>11.199999999999996</v>
      </c>
      <c r="AN81" s="16">
        <v>0.11344444444444446</v>
      </c>
      <c r="AO81" s="16">
        <v>11.935944444444445</v>
      </c>
      <c r="AP81" s="16">
        <v>10.445000000000002</v>
      </c>
      <c r="AQ81" s="16">
        <v>2.0337777777777775</v>
      </c>
      <c r="AR81" s="16">
        <v>0.43277777777777776</v>
      </c>
      <c r="AS81" s="16">
        <v>0.2842777777777778</v>
      </c>
      <c r="AT81" s="152" t="s">
        <v>64</v>
      </c>
      <c r="AU81" s="16">
        <v>0.56437500000000007</v>
      </c>
      <c r="AV81" s="17">
        <f t="shared" si="30"/>
        <v>147.9</v>
      </c>
      <c r="AW81" s="27" t="str">
        <f t="shared" si="20"/>
        <v>not calculated</v>
      </c>
      <c r="AX81" s="27" t="str">
        <f t="shared" si="21"/>
        <v>not calculated</v>
      </c>
      <c r="AY81" s="18">
        <f t="shared" si="17"/>
        <v>2.2406391982182616</v>
      </c>
      <c r="AZ81" s="16">
        <f t="shared" si="18"/>
        <v>9.1839999999999975</v>
      </c>
      <c r="BA81" s="93" t="s">
        <v>64</v>
      </c>
      <c r="BB81" s="92" t="s">
        <v>64</v>
      </c>
      <c r="BC81" s="92" t="s">
        <v>64</v>
      </c>
      <c r="BD81" s="92" t="s">
        <v>64</v>
      </c>
      <c r="BE81" s="92" t="s">
        <v>64</v>
      </c>
      <c r="BF81" s="92" t="s">
        <v>64</v>
      </c>
      <c r="BG81" s="92" t="s">
        <v>64</v>
      </c>
      <c r="BH81" s="92" t="s">
        <v>64</v>
      </c>
      <c r="BI81" s="92" t="s">
        <v>64</v>
      </c>
      <c r="BJ81" s="92" t="s">
        <v>64</v>
      </c>
      <c r="BK81" s="92" t="s">
        <v>64</v>
      </c>
      <c r="BL81" s="92" t="s">
        <v>64</v>
      </c>
      <c r="BM81" s="92" t="s">
        <v>64</v>
      </c>
      <c r="BN81" s="42">
        <v>170</v>
      </c>
      <c r="BO81" s="95" t="s">
        <v>475</v>
      </c>
      <c r="BP81" s="95" t="str">
        <f t="shared" si="35"/>
        <v>not calculated</v>
      </c>
      <c r="BQ81" s="92" t="s">
        <v>64</v>
      </c>
    </row>
    <row r="82" spans="12:69" ht="14.45" customHeight="1">
      <c r="L82" s="129" t="s">
        <v>471</v>
      </c>
      <c r="M82" s="763" t="s">
        <v>426</v>
      </c>
      <c r="N82" s="15" t="s">
        <v>427</v>
      </c>
      <c r="O82" s="15" t="s">
        <v>1074</v>
      </c>
      <c r="P82" s="15" t="str">
        <f t="shared" si="28"/>
        <v>melt inclusion</v>
      </c>
      <c r="Q82" s="15" t="s">
        <v>468</v>
      </c>
      <c r="R82" s="89">
        <v>87.75</v>
      </c>
      <c r="S82" s="191" t="s">
        <v>64</v>
      </c>
      <c r="T82" s="102">
        <f t="shared" si="32"/>
        <v>1253.9124833333333</v>
      </c>
      <c r="U82" s="27" t="s">
        <v>416</v>
      </c>
      <c r="V82" s="90">
        <v>5.1553397085285668E-2</v>
      </c>
      <c r="W82" s="109">
        <v>103.00199999999995</v>
      </c>
      <c r="X82" s="183" t="s">
        <v>462</v>
      </c>
      <c r="Y82" s="104">
        <v>0.13440967872884357</v>
      </c>
      <c r="Z82" s="187" t="s">
        <v>462</v>
      </c>
      <c r="AA82" s="112" t="s">
        <v>64</v>
      </c>
      <c r="AB82" s="116" t="str">
        <f t="shared" si="29"/>
        <v>-</v>
      </c>
      <c r="AC82" s="57">
        <v>3793</v>
      </c>
      <c r="AD82" s="27">
        <v>467.5</v>
      </c>
      <c r="AE82" s="28">
        <f>(0.0684*((AC82/1000))^3-0.5008*((AC82/1000))^2+4.47*((AC82/1000)))</f>
        <v>13.4823173895788</v>
      </c>
      <c r="AF82" s="47">
        <f>AVERAGE(((((0.0684*(((AC82+AD82)/1000))^3-0.5008*(((AC82+AD82)/1000))^2+4.47*(((AC82+AD82)/1000))))) - AC82), (AC82 - (((0.0684*(((AC82-AD82)/1000))^3-0.5008*(((AC82-AD82)/1000))^2+4.47*(((AC82-AD82)/1000)))))))</f>
        <v>1.7007939206253013</v>
      </c>
      <c r="AG82" s="1038" t="s">
        <v>1113</v>
      </c>
      <c r="AH82" s="157" t="s">
        <v>64</v>
      </c>
      <c r="AI82" s="18">
        <v>0.87</v>
      </c>
      <c r="AJ82" s="16">
        <v>49.415444444444439</v>
      </c>
      <c r="AK82" s="16">
        <v>2.2743888888888892</v>
      </c>
      <c r="AL82" s="16">
        <v>11.723777777777778</v>
      </c>
      <c r="AM82" s="16">
        <v>11.199999999999996</v>
      </c>
      <c r="AN82" s="16">
        <v>0.11344444444444446</v>
      </c>
      <c r="AO82" s="16">
        <v>11.935944444444445</v>
      </c>
      <c r="AP82" s="16">
        <v>10.445000000000002</v>
      </c>
      <c r="AQ82" s="16">
        <v>2.0337777777777775</v>
      </c>
      <c r="AR82" s="16">
        <v>0.43277777777777776</v>
      </c>
      <c r="AS82" s="16">
        <v>0.2842777777777778</v>
      </c>
      <c r="AT82" s="152" t="s">
        <v>64</v>
      </c>
      <c r="AU82" s="16">
        <v>0.56437500000000007</v>
      </c>
      <c r="AV82" s="17">
        <f t="shared" si="30"/>
        <v>147.9</v>
      </c>
      <c r="AW82" s="27">
        <f t="shared" si="20"/>
        <v>2305.2033663873085</v>
      </c>
      <c r="AX82" s="27">
        <f t="shared" si="21"/>
        <v>2453.1033663873086</v>
      </c>
      <c r="AY82" s="18">
        <f t="shared" si="17"/>
        <v>2.2406391982182616</v>
      </c>
      <c r="AZ82" s="16">
        <f t="shared" si="18"/>
        <v>9.1839999999999975</v>
      </c>
      <c r="BA82" s="93" t="s">
        <v>64</v>
      </c>
      <c r="BB82" s="92" t="s">
        <v>64</v>
      </c>
      <c r="BC82" s="92" t="s">
        <v>64</v>
      </c>
      <c r="BD82" s="92" t="s">
        <v>64</v>
      </c>
      <c r="BE82" s="92" t="s">
        <v>64</v>
      </c>
      <c r="BF82" s="92" t="s">
        <v>64</v>
      </c>
      <c r="BG82" s="92" t="s">
        <v>64</v>
      </c>
      <c r="BH82" s="92" t="s">
        <v>64</v>
      </c>
      <c r="BI82" s="92" t="s">
        <v>64</v>
      </c>
      <c r="BJ82" s="92" t="s">
        <v>64</v>
      </c>
      <c r="BK82" s="92" t="s">
        <v>64</v>
      </c>
      <c r="BL82" s="92" t="s">
        <v>64</v>
      </c>
      <c r="BM82" s="92" t="s">
        <v>64</v>
      </c>
      <c r="BN82" s="42">
        <v>170</v>
      </c>
      <c r="BO82" s="95">
        <v>2649.6590418244928</v>
      </c>
      <c r="BP82" s="95">
        <f t="shared" si="34"/>
        <v>2819.6590418244928</v>
      </c>
      <c r="BQ82" s="92" t="s">
        <v>64</v>
      </c>
    </row>
    <row r="83" spans="12:69" ht="14.45" customHeight="1">
      <c r="L83" s="129" t="s">
        <v>471</v>
      </c>
      <c r="M83" s="763" t="s">
        <v>426</v>
      </c>
      <c r="N83" s="15" t="s">
        <v>427</v>
      </c>
      <c r="O83" s="15" t="s">
        <v>1075</v>
      </c>
      <c r="P83" s="15" t="str">
        <f t="shared" si="28"/>
        <v>melt inclusion</v>
      </c>
      <c r="Q83" s="15" t="s">
        <v>468</v>
      </c>
      <c r="R83" s="89">
        <v>87.75</v>
      </c>
      <c r="S83" s="191" t="s">
        <v>64</v>
      </c>
      <c r="T83" s="102">
        <f t="shared" si="32"/>
        <v>1253.9124833333333</v>
      </c>
      <c r="U83" s="27" t="s">
        <v>416</v>
      </c>
      <c r="V83" s="90">
        <v>7.8571428571428584E-2</v>
      </c>
      <c r="W83" s="109">
        <v>102.87300000000005</v>
      </c>
      <c r="X83" s="183" t="s">
        <v>462</v>
      </c>
      <c r="Y83" s="104">
        <v>8.3380629752355162E-2</v>
      </c>
      <c r="Z83" s="187" t="s">
        <v>462</v>
      </c>
      <c r="AA83" s="112" t="s">
        <v>64</v>
      </c>
      <c r="AB83" s="116" t="str">
        <f t="shared" si="29"/>
        <v>-</v>
      </c>
      <c r="AC83" s="201" t="s">
        <v>472</v>
      </c>
      <c r="AD83" s="27" t="s">
        <v>64</v>
      </c>
      <c r="AE83" s="202" t="s">
        <v>64</v>
      </c>
      <c r="AF83" s="199" t="s">
        <v>64</v>
      </c>
      <c r="AG83" s="1038" t="s">
        <v>1113</v>
      </c>
      <c r="AH83" s="157" t="s">
        <v>64</v>
      </c>
      <c r="AI83" s="18">
        <v>0.87</v>
      </c>
      <c r="AJ83" s="16">
        <v>49.415444444444439</v>
      </c>
      <c r="AK83" s="16">
        <v>2.2743888888888892</v>
      </c>
      <c r="AL83" s="16">
        <v>11.723777777777778</v>
      </c>
      <c r="AM83" s="16">
        <v>11.199999999999996</v>
      </c>
      <c r="AN83" s="16">
        <v>0.11344444444444446</v>
      </c>
      <c r="AO83" s="16">
        <v>11.935944444444445</v>
      </c>
      <c r="AP83" s="16">
        <v>10.445000000000002</v>
      </c>
      <c r="AQ83" s="16">
        <v>2.0337777777777775</v>
      </c>
      <c r="AR83" s="16">
        <v>0.43277777777777776</v>
      </c>
      <c r="AS83" s="16">
        <v>0.2842777777777778</v>
      </c>
      <c r="AT83" s="152" t="s">
        <v>64</v>
      </c>
      <c r="AU83" s="16">
        <v>0.56437500000000007</v>
      </c>
      <c r="AV83" s="17">
        <f t="shared" si="30"/>
        <v>147.9</v>
      </c>
      <c r="AW83" s="27" t="str">
        <f t="shared" si="20"/>
        <v>not calculated</v>
      </c>
      <c r="AX83" s="27" t="str">
        <f t="shared" si="21"/>
        <v>not calculated</v>
      </c>
      <c r="AY83" s="18">
        <f t="shared" si="17"/>
        <v>2.2406391982182616</v>
      </c>
      <c r="AZ83" s="16">
        <f t="shared" si="18"/>
        <v>9.1839999999999975</v>
      </c>
      <c r="BA83" s="93" t="s">
        <v>64</v>
      </c>
      <c r="BB83" s="92" t="s">
        <v>64</v>
      </c>
      <c r="BC83" s="92" t="s">
        <v>64</v>
      </c>
      <c r="BD83" s="92" t="s">
        <v>64</v>
      </c>
      <c r="BE83" s="92" t="s">
        <v>64</v>
      </c>
      <c r="BF83" s="92" t="s">
        <v>64</v>
      </c>
      <c r="BG83" s="92" t="s">
        <v>64</v>
      </c>
      <c r="BH83" s="92" t="s">
        <v>64</v>
      </c>
      <c r="BI83" s="92" t="s">
        <v>64</v>
      </c>
      <c r="BJ83" s="92" t="s">
        <v>64</v>
      </c>
      <c r="BK83" s="92" t="s">
        <v>64</v>
      </c>
      <c r="BL83" s="92" t="s">
        <v>64</v>
      </c>
      <c r="BM83" s="92" t="s">
        <v>64</v>
      </c>
      <c r="BN83" s="42">
        <v>170</v>
      </c>
      <c r="BO83" s="95" t="s">
        <v>475</v>
      </c>
      <c r="BP83" s="95" t="str">
        <f t="shared" ref="BP83:BP84" si="36">IF(AND(ISNUMBER(BN83),ISNUMBER(BO83)),BN83+BO83,"not calculated")</f>
        <v>not calculated</v>
      </c>
      <c r="BQ83" s="92" t="s">
        <v>64</v>
      </c>
    </row>
    <row r="84" spans="12:69" ht="14.45" customHeight="1">
      <c r="L84" s="129" t="s">
        <v>471</v>
      </c>
      <c r="M84" s="763" t="s">
        <v>426</v>
      </c>
      <c r="N84" s="15" t="s">
        <v>427</v>
      </c>
      <c r="O84" s="15" t="s">
        <v>1076</v>
      </c>
      <c r="P84" s="15" t="str">
        <f t="shared" si="28"/>
        <v>melt inclusion</v>
      </c>
      <c r="Q84" s="15" t="s">
        <v>468</v>
      </c>
      <c r="R84" s="89">
        <v>87.75</v>
      </c>
      <c r="S84" s="191" t="s">
        <v>64</v>
      </c>
      <c r="T84" s="102">
        <f t="shared" si="32"/>
        <v>1253.9124833333333</v>
      </c>
      <c r="U84" s="27" t="s">
        <v>416</v>
      </c>
      <c r="V84" s="90">
        <v>7.7670231812009979E-2</v>
      </c>
      <c r="W84" s="109">
        <v>102.91100000000006</v>
      </c>
      <c r="X84" s="183" t="s">
        <v>462</v>
      </c>
      <c r="Y84" s="104">
        <v>9.8163031427247915E-2</v>
      </c>
      <c r="Z84" s="187" t="s">
        <v>462</v>
      </c>
      <c r="AA84" s="112" t="s">
        <v>64</v>
      </c>
      <c r="AB84" s="116" t="str">
        <f t="shared" si="29"/>
        <v>-</v>
      </c>
      <c r="AC84" s="201" t="s">
        <v>472</v>
      </c>
      <c r="AD84" s="27" t="s">
        <v>64</v>
      </c>
      <c r="AE84" s="202" t="s">
        <v>64</v>
      </c>
      <c r="AF84" s="199" t="s">
        <v>64</v>
      </c>
      <c r="AG84" s="1038" t="s">
        <v>1113</v>
      </c>
      <c r="AH84" s="157" t="s">
        <v>64</v>
      </c>
      <c r="AI84" s="18">
        <v>0.87</v>
      </c>
      <c r="AJ84" s="16">
        <v>49.415444444444439</v>
      </c>
      <c r="AK84" s="16">
        <v>2.2743888888888892</v>
      </c>
      <c r="AL84" s="16">
        <v>11.723777777777778</v>
      </c>
      <c r="AM84" s="16">
        <v>11.199999999999996</v>
      </c>
      <c r="AN84" s="16">
        <v>0.11344444444444446</v>
      </c>
      <c r="AO84" s="16">
        <v>11.935944444444445</v>
      </c>
      <c r="AP84" s="16">
        <v>10.445000000000002</v>
      </c>
      <c r="AQ84" s="16">
        <v>2.0337777777777775</v>
      </c>
      <c r="AR84" s="16">
        <v>0.43277777777777776</v>
      </c>
      <c r="AS84" s="16">
        <v>0.2842777777777778</v>
      </c>
      <c r="AT84" s="152" t="s">
        <v>64</v>
      </c>
      <c r="AU84" s="16">
        <v>0.56437500000000007</v>
      </c>
      <c r="AV84" s="17">
        <f t="shared" si="30"/>
        <v>147.9</v>
      </c>
      <c r="AW84" s="27" t="str">
        <f t="shared" si="20"/>
        <v>not calculated</v>
      </c>
      <c r="AX84" s="27" t="str">
        <f t="shared" si="21"/>
        <v>not calculated</v>
      </c>
      <c r="AY84" s="18">
        <f t="shared" si="17"/>
        <v>2.2406391982182616</v>
      </c>
      <c r="AZ84" s="16">
        <f t="shared" si="18"/>
        <v>9.1839999999999975</v>
      </c>
      <c r="BA84" s="93" t="s">
        <v>64</v>
      </c>
      <c r="BB84" s="92" t="s">
        <v>64</v>
      </c>
      <c r="BC84" s="92" t="s">
        <v>64</v>
      </c>
      <c r="BD84" s="92" t="s">
        <v>64</v>
      </c>
      <c r="BE84" s="92" t="s">
        <v>64</v>
      </c>
      <c r="BF84" s="92" t="s">
        <v>64</v>
      </c>
      <c r="BG84" s="92" t="s">
        <v>64</v>
      </c>
      <c r="BH84" s="92" t="s">
        <v>64</v>
      </c>
      <c r="BI84" s="92" t="s">
        <v>64</v>
      </c>
      <c r="BJ84" s="92" t="s">
        <v>64</v>
      </c>
      <c r="BK84" s="92" t="s">
        <v>64</v>
      </c>
      <c r="BL84" s="92" t="s">
        <v>64</v>
      </c>
      <c r="BM84" s="92" t="s">
        <v>64</v>
      </c>
      <c r="BN84" s="42">
        <v>170</v>
      </c>
      <c r="BO84" s="95" t="s">
        <v>475</v>
      </c>
      <c r="BP84" s="95" t="str">
        <f t="shared" si="36"/>
        <v>not calculated</v>
      </c>
      <c r="BQ84" s="92" t="s">
        <v>64</v>
      </c>
    </row>
    <row r="85" spans="12:69" ht="14.45" customHeight="1">
      <c r="L85" s="127" t="s">
        <v>64</v>
      </c>
      <c r="M85" s="763" t="s">
        <v>426</v>
      </c>
      <c r="N85" s="15" t="s">
        <v>427</v>
      </c>
      <c r="O85" s="15" t="s">
        <v>1077</v>
      </c>
      <c r="P85" s="15" t="str">
        <f t="shared" si="28"/>
        <v>melt inclusion</v>
      </c>
      <c r="Q85" s="15" t="s">
        <v>468</v>
      </c>
      <c r="R85" s="89">
        <v>87.75</v>
      </c>
      <c r="S85" s="191" t="s">
        <v>64</v>
      </c>
      <c r="T85" s="102">
        <f t="shared" si="32"/>
        <v>1253.9124833333333</v>
      </c>
      <c r="U85" s="27" t="s">
        <v>416</v>
      </c>
      <c r="V85" s="90">
        <v>3.7782003708830766E-2</v>
      </c>
      <c r="W85" s="109">
        <v>102.76199999999994</v>
      </c>
      <c r="X85" s="183" t="s">
        <v>462</v>
      </c>
      <c r="Y85" s="104">
        <v>4.151367526355898E-2</v>
      </c>
      <c r="Z85" s="187" t="s">
        <v>462</v>
      </c>
      <c r="AA85" s="112" t="s">
        <v>64</v>
      </c>
      <c r="AB85" s="116" t="str">
        <f t="shared" si="29"/>
        <v>-</v>
      </c>
      <c r="AC85" s="57">
        <v>1241</v>
      </c>
      <c r="AD85" s="27">
        <v>178.5</v>
      </c>
      <c r="AE85" s="28">
        <f>(0.0684*((AC85/1000))^3-0.5008*((AC85/1000))^2+4.47*((AC85/1000)))</f>
        <v>4.9067262868363999</v>
      </c>
      <c r="AF85" s="47">
        <f>AVERAGE(((((0.0684*(((AC85+AD85)/1000))^3-0.5008*(((AC85+AD85)/1000))^2+4.47*(((AC85+AD85)/1000))))) - AC85), (AC85 - (((0.0684*(((AC85-AD85)/1000))^3-0.5008*(((AC85-AD85)/1000))^2+4.47*(((AC85-AD85)/1000)))))))</f>
        <v>0.63282148423934359</v>
      </c>
      <c r="AG85" s="1038" t="s">
        <v>1113</v>
      </c>
      <c r="AH85" s="157" t="s">
        <v>64</v>
      </c>
      <c r="AI85" s="18">
        <v>0.87</v>
      </c>
      <c r="AJ85" s="16">
        <v>49.415444444444439</v>
      </c>
      <c r="AK85" s="16">
        <v>2.2743888888888892</v>
      </c>
      <c r="AL85" s="16">
        <v>11.723777777777778</v>
      </c>
      <c r="AM85" s="16">
        <v>11.199999999999996</v>
      </c>
      <c r="AN85" s="16">
        <v>0.11344444444444446</v>
      </c>
      <c r="AO85" s="16">
        <v>11.935944444444445</v>
      </c>
      <c r="AP85" s="16">
        <v>10.445000000000002</v>
      </c>
      <c r="AQ85" s="16">
        <v>2.0337777777777775</v>
      </c>
      <c r="AR85" s="16">
        <v>0.43277777777777776</v>
      </c>
      <c r="AS85" s="16">
        <v>0.2842777777777778</v>
      </c>
      <c r="AT85" s="152" t="s">
        <v>64</v>
      </c>
      <c r="AU85" s="16">
        <v>0.56437500000000007</v>
      </c>
      <c r="AV85" s="17">
        <f t="shared" si="30"/>
        <v>132.24</v>
      </c>
      <c r="AW85" s="27">
        <f t="shared" si="20"/>
        <v>515.38515226173888</v>
      </c>
      <c r="AX85" s="27">
        <f t="shared" si="21"/>
        <v>647.62515226173889</v>
      </c>
      <c r="AY85" s="18">
        <f t="shared" si="17"/>
        <v>2.2406391982182616</v>
      </c>
      <c r="AZ85" s="16">
        <f t="shared" si="18"/>
        <v>9.1839999999999975</v>
      </c>
      <c r="BA85" s="93" t="s">
        <v>64</v>
      </c>
      <c r="BB85" s="92" t="s">
        <v>64</v>
      </c>
      <c r="BC85" s="92" t="s">
        <v>64</v>
      </c>
      <c r="BD85" s="92" t="s">
        <v>64</v>
      </c>
      <c r="BE85" s="92" t="s">
        <v>64</v>
      </c>
      <c r="BF85" s="92" t="s">
        <v>64</v>
      </c>
      <c r="BG85" s="92" t="s">
        <v>64</v>
      </c>
      <c r="BH85" s="92" t="s">
        <v>64</v>
      </c>
      <c r="BI85" s="92" t="s">
        <v>64</v>
      </c>
      <c r="BJ85" s="92" t="s">
        <v>64</v>
      </c>
      <c r="BK85" s="92" t="s">
        <v>64</v>
      </c>
      <c r="BL85" s="92" t="s">
        <v>64</v>
      </c>
      <c r="BM85" s="92" t="s">
        <v>64</v>
      </c>
      <c r="BN85" s="84">
        <v>152</v>
      </c>
      <c r="BO85" s="95">
        <v>592.39672673763084</v>
      </c>
      <c r="BP85" s="95">
        <f t="shared" si="34"/>
        <v>744.39672673763084</v>
      </c>
      <c r="BQ85" s="92" t="s">
        <v>64</v>
      </c>
    </row>
    <row r="86" spans="12:69" ht="14.45" customHeight="1">
      <c r="L86" s="127" t="s">
        <v>64</v>
      </c>
      <c r="M86" s="763" t="s">
        <v>426</v>
      </c>
      <c r="N86" s="15" t="s">
        <v>427</v>
      </c>
      <c r="O86" s="15" t="s">
        <v>1078</v>
      </c>
      <c r="P86" s="15" t="str">
        <f t="shared" si="28"/>
        <v>melt inclusion</v>
      </c>
      <c r="Q86" s="15" t="s">
        <v>468</v>
      </c>
      <c r="R86" s="89">
        <v>87.75</v>
      </c>
      <c r="S86" s="191" t="s">
        <v>64</v>
      </c>
      <c r="T86" s="102">
        <f t="shared" si="32"/>
        <v>1253.9124833333333</v>
      </c>
      <c r="U86" s="27" t="s">
        <v>416</v>
      </c>
      <c r="V86" s="90">
        <v>3.7341224253275504E-2</v>
      </c>
      <c r="W86" s="109">
        <v>102.73800000000006</v>
      </c>
      <c r="X86" s="183" t="s">
        <v>462</v>
      </c>
      <c r="Y86" s="104">
        <v>3.273561305104522E-2</v>
      </c>
      <c r="Z86" s="187" t="s">
        <v>462</v>
      </c>
      <c r="AA86" s="112" t="s">
        <v>64</v>
      </c>
      <c r="AB86" s="116" t="str">
        <f t="shared" si="29"/>
        <v>-</v>
      </c>
      <c r="AC86" s="57">
        <v>1069</v>
      </c>
      <c r="AD86" s="27">
        <v>155</v>
      </c>
      <c r="AE86" s="28">
        <f>(0.0684*((AC86/1000))^3-0.5008*((AC86/1000))^2+4.47*((AC86/1000)))</f>
        <v>4.2896935184155991</v>
      </c>
      <c r="AF86" s="47">
        <f>AVERAGE(((((0.0684*(((AC86+AD86)/1000))^3-0.5008*(((AC86+AD86)/1000))^2+4.47*(((AC86+AD86)/1000))))) - AC86), (AC86 - (((0.0684*(((AC86-AD86)/1000))^3-0.5008*(((AC86-AD86)/1000))^2+4.47*(((AC86-AD86)/1000)))))))</f>
        <v>0.56349125741598982</v>
      </c>
      <c r="AG86" s="1038" t="s">
        <v>1113</v>
      </c>
      <c r="AH86" s="157" t="s">
        <v>64</v>
      </c>
      <c r="AI86" s="18">
        <v>0.87</v>
      </c>
      <c r="AJ86" s="16">
        <v>49.415444444444439</v>
      </c>
      <c r="AK86" s="16">
        <v>2.2743888888888892</v>
      </c>
      <c r="AL86" s="16">
        <v>11.723777777777778</v>
      </c>
      <c r="AM86" s="16">
        <v>11.199999999999996</v>
      </c>
      <c r="AN86" s="16">
        <v>0.11344444444444446</v>
      </c>
      <c r="AO86" s="16">
        <v>11.935944444444445</v>
      </c>
      <c r="AP86" s="16">
        <v>10.445000000000002</v>
      </c>
      <c r="AQ86" s="16">
        <v>2.0337777777777775</v>
      </c>
      <c r="AR86" s="16">
        <v>0.43277777777777776</v>
      </c>
      <c r="AS86" s="16">
        <v>0.2842777777777778</v>
      </c>
      <c r="AT86" s="152" t="s">
        <v>64</v>
      </c>
      <c r="AU86" s="16">
        <v>0.56437500000000007</v>
      </c>
      <c r="AV86" s="17">
        <f t="shared" si="30"/>
        <v>147.9</v>
      </c>
      <c r="AW86" s="27">
        <f t="shared" si="20"/>
        <v>401.53437209621171</v>
      </c>
      <c r="AX86" s="27">
        <f t="shared" si="21"/>
        <v>549.43437209621175</v>
      </c>
      <c r="AY86" s="18">
        <f t="shared" si="17"/>
        <v>2.2406391982182616</v>
      </c>
      <c r="AZ86" s="16">
        <f t="shared" si="18"/>
        <v>9.1839999999999975</v>
      </c>
      <c r="BA86" s="93" t="s">
        <v>64</v>
      </c>
      <c r="BB86" s="92" t="s">
        <v>64</v>
      </c>
      <c r="BC86" s="92" t="s">
        <v>64</v>
      </c>
      <c r="BD86" s="92" t="s">
        <v>64</v>
      </c>
      <c r="BE86" s="92" t="s">
        <v>64</v>
      </c>
      <c r="BF86" s="92" t="s">
        <v>64</v>
      </c>
      <c r="BG86" s="92" t="s">
        <v>64</v>
      </c>
      <c r="BH86" s="92" t="s">
        <v>64</v>
      </c>
      <c r="BI86" s="92" t="s">
        <v>64</v>
      </c>
      <c r="BJ86" s="92" t="s">
        <v>64</v>
      </c>
      <c r="BK86" s="92" t="s">
        <v>64</v>
      </c>
      <c r="BL86" s="92" t="s">
        <v>64</v>
      </c>
      <c r="BM86" s="92" t="s">
        <v>64</v>
      </c>
      <c r="BN86" s="42">
        <v>170</v>
      </c>
      <c r="BO86" s="95">
        <v>461.5337610301284</v>
      </c>
      <c r="BP86" s="95">
        <f t="shared" si="34"/>
        <v>631.5337610301284</v>
      </c>
      <c r="BQ86" s="92" t="s">
        <v>64</v>
      </c>
    </row>
    <row r="87" spans="12:69" ht="14.45" customHeight="1">
      <c r="L87" s="127" t="s">
        <v>64</v>
      </c>
      <c r="M87" s="763" t="s">
        <v>426</v>
      </c>
      <c r="N87" s="15" t="s">
        <v>427</v>
      </c>
      <c r="O87" s="15" t="s">
        <v>1079</v>
      </c>
      <c r="P87" s="15" t="str">
        <f t="shared" ref="P87:P120" si="37">IF(V87&lt;0.095,"melt inclusion","bubble-dominated MI")</f>
        <v>melt inclusion</v>
      </c>
      <c r="Q87" s="15" t="s">
        <v>468</v>
      </c>
      <c r="R87" s="89">
        <v>87.75</v>
      </c>
      <c r="S87" s="191" t="s">
        <v>64</v>
      </c>
      <c r="T87" s="102">
        <f t="shared" si="32"/>
        <v>1253.9124833333333</v>
      </c>
      <c r="U87" s="27" t="s">
        <v>416</v>
      </c>
      <c r="V87" s="90">
        <v>2.7964210196569819E-2</v>
      </c>
      <c r="W87" s="109">
        <v>102.70600000000013</v>
      </c>
      <c r="X87" s="183" t="s">
        <v>462</v>
      </c>
      <c r="Y87" s="104">
        <v>2.1192287349549588E-2</v>
      </c>
      <c r="Z87" s="187" t="s">
        <v>462</v>
      </c>
      <c r="AA87" s="112" t="s">
        <v>64</v>
      </c>
      <c r="AB87" s="116" t="str">
        <f t="shared" ref="AB87:AB118" si="38">IF(ISNUMBER(AA87),(0.0684*((AA87/1000))^3-0.5008*((AA87/1000))^2+4.47*((AA87/1000))),"-")</f>
        <v>-</v>
      </c>
      <c r="AC87" s="57">
        <v>693</v>
      </c>
      <c r="AD87" s="27">
        <v>102</v>
      </c>
      <c r="AE87" s="28">
        <f>(0.0684*((AC87/1000))^3-0.5008*((AC87/1000))^2+4.47*((AC87/1000)))</f>
        <v>2.8799656796987998</v>
      </c>
      <c r="AF87" s="47">
        <f>AVERAGE(((((0.0684*(((AC87+AD87)/1000))^3-0.5008*(((AC87+AD87)/1000))^2+4.47*(((AC87+AD87)/1000))))) - AC87), (AC87 - (((0.0684*(((AC87-AD87)/1000))^3-0.5008*(((AC87-AD87)/1000))^2+4.47*(((AC87-AD87)/1000)))))))</f>
        <v>0.39526529269676303</v>
      </c>
      <c r="AG87" s="1038" t="s">
        <v>1113</v>
      </c>
      <c r="AH87" s="157" t="s">
        <v>64</v>
      </c>
      <c r="AI87" s="18">
        <v>0.87</v>
      </c>
      <c r="AJ87" s="16">
        <v>49.415444444444439</v>
      </c>
      <c r="AK87" s="16">
        <v>2.2743888888888892</v>
      </c>
      <c r="AL87" s="16">
        <v>11.723777777777778</v>
      </c>
      <c r="AM87" s="16">
        <v>11.199999999999996</v>
      </c>
      <c r="AN87" s="16">
        <v>0.11344444444444446</v>
      </c>
      <c r="AO87" s="16">
        <v>11.935944444444445</v>
      </c>
      <c r="AP87" s="16">
        <v>10.445000000000002</v>
      </c>
      <c r="AQ87" s="16">
        <v>2.0337777777777775</v>
      </c>
      <c r="AR87" s="16">
        <v>0.43277777777777776</v>
      </c>
      <c r="AS87" s="16">
        <v>0.2842777777777778</v>
      </c>
      <c r="AT87" s="152" t="s">
        <v>64</v>
      </c>
      <c r="AU87" s="16">
        <v>0.56437500000000007</v>
      </c>
      <c r="AV87" s="17">
        <f t="shared" ref="AV87:AV120" si="39">BN87*AI87</f>
        <v>147.9</v>
      </c>
      <c r="AW87" s="27">
        <f t="shared" si="20"/>
        <v>192.8361368921916</v>
      </c>
      <c r="AX87" s="27">
        <f t="shared" si="21"/>
        <v>340.73613689219161</v>
      </c>
      <c r="AY87" s="18">
        <f t="shared" si="17"/>
        <v>2.2406391982182616</v>
      </c>
      <c r="AZ87" s="16">
        <f t="shared" si="18"/>
        <v>9.1839999999999975</v>
      </c>
      <c r="BA87" s="93" t="s">
        <v>64</v>
      </c>
      <c r="BB87" s="92" t="s">
        <v>64</v>
      </c>
      <c r="BC87" s="92" t="s">
        <v>64</v>
      </c>
      <c r="BD87" s="92" t="s">
        <v>64</v>
      </c>
      <c r="BE87" s="92" t="s">
        <v>64</v>
      </c>
      <c r="BF87" s="92" t="s">
        <v>64</v>
      </c>
      <c r="BG87" s="92" t="s">
        <v>64</v>
      </c>
      <c r="BH87" s="92" t="s">
        <v>64</v>
      </c>
      <c r="BI87" s="92" t="s">
        <v>64</v>
      </c>
      <c r="BJ87" s="92" t="s">
        <v>64</v>
      </c>
      <c r="BK87" s="92" t="s">
        <v>64</v>
      </c>
      <c r="BL87" s="92" t="s">
        <v>64</v>
      </c>
      <c r="BM87" s="92" t="s">
        <v>64</v>
      </c>
      <c r="BN87" s="42">
        <v>170</v>
      </c>
      <c r="BO87" s="95">
        <v>221.65073205999036</v>
      </c>
      <c r="BP87" s="95">
        <f t="shared" si="34"/>
        <v>391.65073205999033</v>
      </c>
      <c r="BQ87" s="92" t="s">
        <v>64</v>
      </c>
    </row>
    <row r="88" spans="12:69" ht="14.45" customHeight="1">
      <c r="L88" s="131" t="s">
        <v>473</v>
      </c>
      <c r="M88" s="763" t="s">
        <v>426</v>
      </c>
      <c r="N88" s="15" t="s">
        <v>427</v>
      </c>
      <c r="O88" s="15" t="s">
        <v>1080</v>
      </c>
      <c r="P88" s="15" t="str">
        <f t="shared" si="37"/>
        <v>bubble-dominated MI</v>
      </c>
      <c r="Q88" s="15" t="s">
        <v>468</v>
      </c>
      <c r="R88" s="89">
        <v>87.75</v>
      </c>
      <c r="S88" s="191" t="s">
        <v>64</v>
      </c>
      <c r="T88" s="102">
        <f t="shared" si="32"/>
        <v>1253.9124833333333</v>
      </c>
      <c r="U88" s="27" t="s">
        <v>416</v>
      </c>
      <c r="V88" s="90">
        <v>0.49209498614260522</v>
      </c>
      <c r="W88" s="109">
        <v>102.96399999999994</v>
      </c>
      <c r="X88" s="183" t="s">
        <v>462</v>
      </c>
      <c r="Y88" s="104">
        <v>0.11913401052152039</v>
      </c>
      <c r="Z88" s="187" t="s">
        <v>462</v>
      </c>
      <c r="AA88" s="112">
        <v>374</v>
      </c>
      <c r="AB88" s="118">
        <f t="shared" si="38"/>
        <v>1.6053083510815997</v>
      </c>
      <c r="AC88" s="201" t="s">
        <v>474</v>
      </c>
      <c r="AD88" s="27" t="s">
        <v>64</v>
      </c>
      <c r="AE88" s="202" t="s">
        <v>64</v>
      </c>
      <c r="AF88" s="199" t="s">
        <v>64</v>
      </c>
      <c r="AG88" s="1038" t="s">
        <v>1113</v>
      </c>
      <c r="AH88" s="157" t="s">
        <v>64</v>
      </c>
      <c r="AI88" s="18">
        <v>0.87</v>
      </c>
      <c r="AJ88" s="16">
        <v>49.415444444444439</v>
      </c>
      <c r="AK88" s="16">
        <v>2.2743888888888892</v>
      </c>
      <c r="AL88" s="16">
        <v>11.723777777777778</v>
      </c>
      <c r="AM88" s="16">
        <v>11.199999999999996</v>
      </c>
      <c r="AN88" s="16">
        <v>0.11344444444444446</v>
      </c>
      <c r="AO88" s="16">
        <v>11.935944444444445</v>
      </c>
      <c r="AP88" s="16">
        <v>10.445000000000002</v>
      </c>
      <c r="AQ88" s="16">
        <v>2.0337777777777775</v>
      </c>
      <c r="AR88" s="16">
        <v>0.43277777777777776</v>
      </c>
      <c r="AS88" s="16">
        <v>0.2842777777777778</v>
      </c>
      <c r="AT88" s="152" t="s">
        <v>64</v>
      </c>
      <c r="AU88" s="16">
        <v>0.56437500000000007</v>
      </c>
      <c r="AV88" s="17">
        <f t="shared" si="39"/>
        <v>147.9</v>
      </c>
      <c r="AW88" s="27" t="str">
        <f t="shared" si="20"/>
        <v>not calculated</v>
      </c>
      <c r="AX88" s="27" t="str">
        <f t="shared" si="21"/>
        <v>not calculated</v>
      </c>
      <c r="AY88" s="18">
        <f t="shared" ref="AY88:AY120" si="40">IF(ISNUMBER(AM88),(AM88/71.84)*(0.18/2)*159.69,"-")</f>
        <v>2.2406391982182616</v>
      </c>
      <c r="AZ88" s="16">
        <f t="shared" ref="AZ88:AZ120" si="41">IF(ISNUMBER(AM88),(AM88/71.84)*(1-0.18)*71.84,"-")</f>
        <v>9.1839999999999975</v>
      </c>
      <c r="BA88" s="93" t="s">
        <v>64</v>
      </c>
      <c r="BB88" s="92" t="s">
        <v>64</v>
      </c>
      <c r="BC88" s="92" t="s">
        <v>64</v>
      </c>
      <c r="BD88" s="92" t="s">
        <v>64</v>
      </c>
      <c r="BE88" s="92" t="s">
        <v>64</v>
      </c>
      <c r="BF88" s="92" t="s">
        <v>64</v>
      </c>
      <c r="BG88" s="92" t="s">
        <v>64</v>
      </c>
      <c r="BH88" s="92" t="s">
        <v>64</v>
      </c>
      <c r="BI88" s="92" t="s">
        <v>64</v>
      </c>
      <c r="BJ88" s="92" t="s">
        <v>64</v>
      </c>
      <c r="BK88" s="92" t="s">
        <v>64</v>
      </c>
      <c r="BL88" s="92" t="s">
        <v>64</v>
      </c>
      <c r="BM88" s="92" t="s">
        <v>64</v>
      </c>
      <c r="BN88" s="42">
        <v>170</v>
      </c>
      <c r="BO88" s="95" t="s">
        <v>475</v>
      </c>
      <c r="BP88" s="95" t="str">
        <f t="shared" ref="BP88:BP89" si="42">IF(AND(ISNUMBER(BN88),ISNUMBER(BO88)),BN88+BO88,"not calculated")</f>
        <v>not calculated</v>
      </c>
      <c r="BQ88" s="92" t="s">
        <v>64</v>
      </c>
    </row>
    <row r="89" spans="12:69" ht="14.45" customHeight="1">
      <c r="L89" s="131" t="s">
        <v>473</v>
      </c>
      <c r="M89" s="763" t="s">
        <v>426</v>
      </c>
      <c r="N89" s="15" t="s">
        <v>427</v>
      </c>
      <c r="O89" s="15" t="s">
        <v>1081</v>
      </c>
      <c r="P89" s="15" t="str">
        <f t="shared" si="37"/>
        <v>bubble-dominated MI</v>
      </c>
      <c r="Q89" s="15" t="s">
        <v>468</v>
      </c>
      <c r="R89" s="89">
        <v>87.75</v>
      </c>
      <c r="S89" s="191" t="s">
        <v>64</v>
      </c>
      <c r="T89" s="102">
        <f t="shared" si="32"/>
        <v>1253.9124833333333</v>
      </c>
      <c r="U89" s="27" t="s">
        <v>416</v>
      </c>
      <c r="V89" s="90">
        <v>0.8741970268216096</v>
      </c>
      <c r="W89" s="109">
        <v>102.96299999999997</v>
      </c>
      <c r="X89" s="183" t="s">
        <v>462</v>
      </c>
      <c r="Y89" s="104">
        <v>0.11873466308316</v>
      </c>
      <c r="Z89" s="187" t="s">
        <v>462</v>
      </c>
      <c r="AA89" s="112">
        <v>373</v>
      </c>
      <c r="AB89" s="118">
        <f t="shared" si="38"/>
        <v>1.6011838228027999</v>
      </c>
      <c r="AC89" s="201" t="s">
        <v>474</v>
      </c>
      <c r="AD89" s="27" t="s">
        <v>64</v>
      </c>
      <c r="AE89" s="202" t="s">
        <v>64</v>
      </c>
      <c r="AF89" s="199" t="s">
        <v>64</v>
      </c>
      <c r="AG89" s="1038" t="s">
        <v>1113</v>
      </c>
      <c r="AH89" s="157" t="s">
        <v>64</v>
      </c>
      <c r="AI89" s="18">
        <v>0.87</v>
      </c>
      <c r="AJ89" s="16">
        <v>49.415444444444439</v>
      </c>
      <c r="AK89" s="16">
        <v>2.2743888888888892</v>
      </c>
      <c r="AL89" s="16">
        <v>11.723777777777778</v>
      </c>
      <c r="AM89" s="16">
        <v>11.199999999999996</v>
      </c>
      <c r="AN89" s="16">
        <v>0.11344444444444446</v>
      </c>
      <c r="AO89" s="16">
        <v>11.935944444444445</v>
      </c>
      <c r="AP89" s="16">
        <v>10.445000000000002</v>
      </c>
      <c r="AQ89" s="16">
        <v>2.0337777777777775</v>
      </c>
      <c r="AR89" s="16">
        <v>0.43277777777777776</v>
      </c>
      <c r="AS89" s="16">
        <v>0.2842777777777778</v>
      </c>
      <c r="AT89" s="152" t="s">
        <v>64</v>
      </c>
      <c r="AU89" s="16">
        <v>0.56437500000000007</v>
      </c>
      <c r="AV89" s="17">
        <f t="shared" si="39"/>
        <v>147.9</v>
      </c>
      <c r="AW89" s="27" t="str">
        <f t="shared" ref="AW89:AW120" si="43">IF(ISNUMBER(BO89),BO89*AI89,BO89)</f>
        <v>not calculated</v>
      </c>
      <c r="AX89" s="27" t="str">
        <f t="shared" ref="AX89:AX120" si="44">IF(AND(ISNUMBER(AV89),ISNUMBER(AW89)),AV89+AW89,"not calculated")</f>
        <v>not calculated</v>
      </c>
      <c r="AY89" s="18">
        <f t="shared" si="40"/>
        <v>2.2406391982182616</v>
      </c>
      <c r="AZ89" s="16">
        <f t="shared" si="41"/>
        <v>9.1839999999999975</v>
      </c>
      <c r="BA89" s="93" t="s">
        <v>64</v>
      </c>
      <c r="BB89" s="92" t="s">
        <v>64</v>
      </c>
      <c r="BC89" s="92" t="s">
        <v>64</v>
      </c>
      <c r="BD89" s="92" t="s">
        <v>64</v>
      </c>
      <c r="BE89" s="92" t="s">
        <v>64</v>
      </c>
      <c r="BF89" s="92" t="s">
        <v>64</v>
      </c>
      <c r="BG89" s="92" t="s">
        <v>64</v>
      </c>
      <c r="BH89" s="92" t="s">
        <v>64</v>
      </c>
      <c r="BI89" s="92" t="s">
        <v>64</v>
      </c>
      <c r="BJ89" s="92" t="s">
        <v>64</v>
      </c>
      <c r="BK89" s="92" t="s">
        <v>64</v>
      </c>
      <c r="BL89" s="92" t="s">
        <v>64</v>
      </c>
      <c r="BM89" s="92" t="s">
        <v>64</v>
      </c>
      <c r="BN89" s="42">
        <v>170</v>
      </c>
      <c r="BO89" s="95" t="s">
        <v>475</v>
      </c>
      <c r="BP89" s="95" t="str">
        <f t="shared" si="42"/>
        <v>not calculated</v>
      </c>
      <c r="BQ89" s="92" t="s">
        <v>64</v>
      </c>
    </row>
    <row r="90" spans="12:69" ht="14.45" customHeight="1">
      <c r="L90" s="127" t="s">
        <v>64</v>
      </c>
      <c r="M90" s="763" t="s">
        <v>426</v>
      </c>
      <c r="N90" s="15" t="s">
        <v>427</v>
      </c>
      <c r="O90" s="15" t="s">
        <v>1082</v>
      </c>
      <c r="P90" s="15" t="str">
        <f t="shared" si="37"/>
        <v>melt inclusion</v>
      </c>
      <c r="Q90" s="15" t="s">
        <v>468</v>
      </c>
      <c r="R90" s="89">
        <v>87.75</v>
      </c>
      <c r="S90" s="191" t="s">
        <v>64</v>
      </c>
      <c r="T90" s="102">
        <f t="shared" si="32"/>
        <v>1253.9124833333333</v>
      </c>
      <c r="U90" s="27" t="s">
        <v>416</v>
      </c>
      <c r="V90" s="90">
        <v>3.1822857155603297E-2</v>
      </c>
      <c r="W90" s="109">
        <v>102.75499999999988</v>
      </c>
      <c r="X90" s="183" t="s">
        <v>462</v>
      </c>
      <c r="Y90" s="104">
        <v>3.8942908598983195E-2</v>
      </c>
      <c r="Z90" s="187" t="s">
        <v>462</v>
      </c>
      <c r="AA90" s="112" t="s">
        <v>64</v>
      </c>
      <c r="AB90" s="118" t="str">
        <f t="shared" si="38"/>
        <v>-</v>
      </c>
      <c r="AC90" s="57">
        <v>1076</v>
      </c>
      <c r="AD90" s="27">
        <v>156</v>
      </c>
      <c r="AE90" s="28">
        <f>(0.0684*((AC90/1000))^3-0.5008*((AC90/1000))^2+4.47*((AC90/1000)))</f>
        <v>4.3151162403584005</v>
      </c>
      <c r="AF90" s="47">
        <f>AVERAGE(((((0.0684*(((AC90+AD90)/1000))^3-0.5008*(((AC90+AD90)/1000))^2+4.47*(((AC90+AD90)/1000))))) - AC90), (AC90 - (((0.0684*(((AC90-AD90)/1000))^3-0.5008*(((AC90-AD90)/1000))^2+4.47*(((AC90-AD90)/1000)))))))</f>
        <v>0.56651690434568991</v>
      </c>
      <c r="AG90" s="1038" t="s">
        <v>1113</v>
      </c>
      <c r="AH90" s="157" t="s">
        <v>64</v>
      </c>
      <c r="AI90" s="18">
        <v>0.87</v>
      </c>
      <c r="AJ90" s="16">
        <v>49.415444444444439</v>
      </c>
      <c r="AK90" s="16">
        <v>2.2743888888888892</v>
      </c>
      <c r="AL90" s="16">
        <v>11.723777777777778</v>
      </c>
      <c r="AM90" s="16">
        <v>11.199999999999996</v>
      </c>
      <c r="AN90" s="16">
        <v>0.11344444444444446</v>
      </c>
      <c r="AO90" s="16">
        <v>11.935944444444445</v>
      </c>
      <c r="AP90" s="16">
        <v>10.445000000000002</v>
      </c>
      <c r="AQ90" s="16">
        <v>2.0337777777777775</v>
      </c>
      <c r="AR90" s="16">
        <v>0.43277777777777776</v>
      </c>
      <c r="AS90" s="16">
        <v>0.2842777777777778</v>
      </c>
      <c r="AT90" s="152" t="s">
        <v>64</v>
      </c>
      <c r="AU90" s="16">
        <v>0.56437500000000007</v>
      </c>
      <c r="AV90" s="17">
        <f t="shared" si="39"/>
        <v>147.9</v>
      </c>
      <c r="AW90" s="27">
        <f t="shared" si="43"/>
        <v>404.75962930212978</v>
      </c>
      <c r="AX90" s="27">
        <f t="shared" si="44"/>
        <v>552.65962930212982</v>
      </c>
      <c r="AY90" s="18">
        <f t="shared" si="40"/>
        <v>2.2406391982182616</v>
      </c>
      <c r="AZ90" s="16">
        <f t="shared" si="41"/>
        <v>9.1839999999999975</v>
      </c>
      <c r="BA90" s="93" t="s">
        <v>64</v>
      </c>
      <c r="BB90" s="92" t="s">
        <v>64</v>
      </c>
      <c r="BC90" s="92" t="s">
        <v>64</v>
      </c>
      <c r="BD90" s="92" t="s">
        <v>64</v>
      </c>
      <c r="BE90" s="92" t="s">
        <v>64</v>
      </c>
      <c r="BF90" s="92" t="s">
        <v>64</v>
      </c>
      <c r="BG90" s="92" t="s">
        <v>64</v>
      </c>
      <c r="BH90" s="92" t="s">
        <v>64</v>
      </c>
      <c r="BI90" s="92" t="s">
        <v>64</v>
      </c>
      <c r="BJ90" s="92" t="s">
        <v>64</v>
      </c>
      <c r="BK90" s="92" t="s">
        <v>64</v>
      </c>
      <c r="BL90" s="92" t="s">
        <v>64</v>
      </c>
      <c r="BM90" s="92" t="s">
        <v>64</v>
      </c>
      <c r="BN90" s="42">
        <v>170</v>
      </c>
      <c r="BO90" s="95">
        <v>465.24095322083883</v>
      </c>
      <c r="BP90" s="95">
        <f t="shared" si="34"/>
        <v>635.24095322083883</v>
      </c>
      <c r="BQ90" s="92" t="s">
        <v>64</v>
      </c>
    </row>
    <row r="91" spans="12:69" ht="14.45" customHeight="1">
      <c r="L91" s="129" t="s">
        <v>471</v>
      </c>
      <c r="M91" s="763" t="s">
        <v>426</v>
      </c>
      <c r="N91" s="15" t="s">
        <v>427</v>
      </c>
      <c r="O91" s="15" t="s">
        <v>1083</v>
      </c>
      <c r="P91" s="15" t="str">
        <f t="shared" si="37"/>
        <v>melt inclusion</v>
      </c>
      <c r="Q91" s="15" t="s">
        <v>468</v>
      </c>
      <c r="R91" s="89">
        <v>87.75</v>
      </c>
      <c r="S91" s="191" t="s">
        <v>64</v>
      </c>
      <c r="T91" s="102">
        <f t="shared" si="32"/>
        <v>1253.9124833333333</v>
      </c>
      <c r="U91" s="27" t="s">
        <v>416</v>
      </c>
      <c r="V91" s="90">
        <v>5.5757057445664115E-2</v>
      </c>
      <c r="W91" s="109">
        <v>102.923</v>
      </c>
      <c r="X91" s="183" t="s">
        <v>462</v>
      </c>
      <c r="Y91" s="104">
        <v>0.10287587070342852</v>
      </c>
      <c r="Z91" s="187" t="s">
        <v>462</v>
      </c>
      <c r="AA91" s="112" t="s">
        <v>64</v>
      </c>
      <c r="AB91" s="118" t="str">
        <f t="shared" si="38"/>
        <v>-</v>
      </c>
      <c r="AC91" s="201" t="s">
        <v>472</v>
      </c>
      <c r="AD91" s="27" t="s">
        <v>64</v>
      </c>
      <c r="AE91" s="202" t="s">
        <v>64</v>
      </c>
      <c r="AF91" s="199" t="s">
        <v>64</v>
      </c>
      <c r="AG91" s="1038" t="s">
        <v>1113</v>
      </c>
      <c r="AH91" s="157" t="s">
        <v>64</v>
      </c>
      <c r="AI91" s="18">
        <v>0.87</v>
      </c>
      <c r="AJ91" s="16">
        <v>49.415444444444439</v>
      </c>
      <c r="AK91" s="16">
        <v>2.2743888888888892</v>
      </c>
      <c r="AL91" s="16">
        <v>11.723777777777778</v>
      </c>
      <c r="AM91" s="16">
        <v>11.199999999999996</v>
      </c>
      <c r="AN91" s="16">
        <v>0.11344444444444446</v>
      </c>
      <c r="AO91" s="16">
        <v>11.935944444444445</v>
      </c>
      <c r="AP91" s="16">
        <v>10.445000000000002</v>
      </c>
      <c r="AQ91" s="16">
        <v>2.0337777777777775</v>
      </c>
      <c r="AR91" s="16">
        <v>0.43277777777777776</v>
      </c>
      <c r="AS91" s="16">
        <v>0.2842777777777778</v>
      </c>
      <c r="AT91" s="152" t="s">
        <v>64</v>
      </c>
      <c r="AU91" s="16">
        <v>0.56437500000000007</v>
      </c>
      <c r="AV91" s="17">
        <f t="shared" si="39"/>
        <v>147.9</v>
      </c>
      <c r="AW91" s="27" t="str">
        <f t="shared" si="43"/>
        <v>not calculated</v>
      </c>
      <c r="AX91" s="27" t="str">
        <f t="shared" si="44"/>
        <v>not calculated</v>
      </c>
      <c r="AY91" s="18">
        <f t="shared" si="40"/>
        <v>2.2406391982182616</v>
      </c>
      <c r="AZ91" s="16">
        <f t="shared" si="41"/>
        <v>9.1839999999999975</v>
      </c>
      <c r="BA91" s="93" t="s">
        <v>64</v>
      </c>
      <c r="BB91" s="92" t="s">
        <v>64</v>
      </c>
      <c r="BC91" s="92" t="s">
        <v>64</v>
      </c>
      <c r="BD91" s="92" t="s">
        <v>64</v>
      </c>
      <c r="BE91" s="92" t="s">
        <v>64</v>
      </c>
      <c r="BF91" s="92" t="s">
        <v>64</v>
      </c>
      <c r="BG91" s="92" t="s">
        <v>64</v>
      </c>
      <c r="BH91" s="92" t="s">
        <v>64</v>
      </c>
      <c r="BI91" s="92" t="s">
        <v>64</v>
      </c>
      <c r="BJ91" s="92" t="s">
        <v>64</v>
      </c>
      <c r="BK91" s="92" t="s">
        <v>64</v>
      </c>
      <c r="BL91" s="92" t="s">
        <v>64</v>
      </c>
      <c r="BM91" s="92" t="s">
        <v>64</v>
      </c>
      <c r="BN91" s="42">
        <v>170</v>
      </c>
      <c r="BO91" s="95" t="s">
        <v>475</v>
      </c>
      <c r="BP91" s="95" t="str">
        <f t="shared" ref="BP91:BP96" si="45">IF(AND(ISNUMBER(BN91),ISNUMBER(BO91)),BN91+BO91,"not calculated")</f>
        <v>not calculated</v>
      </c>
      <c r="BQ91" s="92" t="s">
        <v>64</v>
      </c>
    </row>
    <row r="92" spans="12:69" ht="14.45" customHeight="1">
      <c r="L92" s="129" t="s">
        <v>471</v>
      </c>
      <c r="M92" s="763" t="s">
        <v>426</v>
      </c>
      <c r="N92" s="15" t="s">
        <v>427</v>
      </c>
      <c r="O92" s="15" t="s">
        <v>1084</v>
      </c>
      <c r="P92" s="15" t="str">
        <f t="shared" si="37"/>
        <v>melt inclusion</v>
      </c>
      <c r="Q92" s="15" t="s">
        <v>468</v>
      </c>
      <c r="R92" s="89">
        <v>87.75</v>
      </c>
      <c r="S92" s="191" t="s">
        <v>64</v>
      </c>
      <c r="T92" s="102">
        <f t="shared" si="32"/>
        <v>1253.9124833333333</v>
      </c>
      <c r="U92" s="27" t="s">
        <v>416</v>
      </c>
      <c r="V92" s="90">
        <v>5.6262937292029129E-2</v>
      </c>
      <c r="W92" s="109">
        <v>102.91699999999992</v>
      </c>
      <c r="X92" s="183" t="s">
        <v>462</v>
      </c>
      <c r="Y92" s="104">
        <v>0.10051681634649867</v>
      </c>
      <c r="Z92" s="187" t="s">
        <v>462</v>
      </c>
      <c r="AA92" s="112" t="s">
        <v>64</v>
      </c>
      <c r="AB92" s="118" t="str">
        <f t="shared" si="38"/>
        <v>-</v>
      </c>
      <c r="AC92" s="201" t="s">
        <v>472</v>
      </c>
      <c r="AD92" s="27" t="s">
        <v>64</v>
      </c>
      <c r="AE92" s="202" t="s">
        <v>64</v>
      </c>
      <c r="AF92" s="199" t="s">
        <v>64</v>
      </c>
      <c r="AG92" s="1038" t="s">
        <v>1113</v>
      </c>
      <c r="AH92" s="157" t="s">
        <v>64</v>
      </c>
      <c r="AI92" s="18">
        <v>0.87</v>
      </c>
      <c r="AJ92" s="16">
        <v>49.415444444444439</v>
      </c>
      <c r="AK92" s="16">
        <v>2.2743888888888892</v>
      </c>
      <c r="AL92" s="16">
        <v>11.723777777777778</v>
      </c>
      <c r="AM92" s="16">
        <v>11.199999999999996</v>
      </c>
      <c r="AN92" s="16">
        <v>0.11344444444444446</v>
      </c>
      <c r="AO92" s="16">
        <v>11.935944444444445</v>
      </c>
      <c r="AP92" s="16">
        <v>10.445000000000002</v>
      </c>
      <c r="AQ92" s="16">
        <v>2.0337777777777775</v>
      </c>
      <c r="AR92" s="16">
        <v>0.43277777777777776</v>
      </c>
      <c r="AS92" s="16">
        <v>0.2842777777777778</v>
      </c>
      <c r="AT92" s="152" t="s">
        <v>64</v>
      </c>
      <c r="AU92" s="16">
        <v>0.56437500000000007</v>
      </c>
      <c r="AV92" s="17">
        <f t="shared" si="39"/>
        <v>147.9</v>
      </c>
      <c r="AW92" s="27" t="str">
        <f t="shared" si="43"/>
        <v>not calculated</v>
      </c>
      <c r="AX92" s="27" t="str">
        <f t="shared" si="44"/>
        <v>not calculated</v>
      </c>
      <c r="AY92" s="18">
        <f t="shared" si="40"/>
        <v>2.2406391982182616</v>
      </c>
      <c r="AZ92" s="16">
        <f t="shared" si="41"/>
        <v>9.1839999999999975</v>
      </c>
      <c r="BA92" s="93" t="s">
        <v>64</v>
      </c>
      <c r="BB92" s="92" t="s">
        <v>64</v>
      </c>
      <c r="BC92" s="92" t="s">
        <v>64</v>
      </c>
      <c r="BD92" s="92" t="s">
        <v>64</v>
      </c>
      <c r="BE92" s="92" t="s">
        <v>64</v>
      </c>
      <c r="BF92" s="92" t="s">
        <v>64</v>
      </c>
      <c r="BG92" s="92" t="s">
        <v>64</v>
      </c>
      <c r="BH92" s="92" t="s">
        <v>64</v>
      </c>
      <c r="BI92" s="92" t="s">
        <v>64</v>
      </c>
      <c r="BJ92" s="92" t="s">
        <v>64</v>
      </c>
      <c r="BK92" s="92" t="s">
        <v>64</v>
      </c>
      <c r="BL92" s="92" t="s">
        <v>64</v>
      </c>
      <c r="BM92" s="92" t="s">
        <v>64</v>
      </c>
      <c r="BN92" s="42">
        <v>170</v>
      </c>
      <c r="BO92" s="95" t="s">
        <v>475</v>
      </c>
      <c r="BP92" s="95" t="str">
        <f t="shared" si="45"/>
        <v>not calculated</v>
      </c>
      <c r="BQ92" s="92" t="s">
        <v>64</v>
      </c>
    </row>
    <row r="93" spans="12:69" ht="14.45" customHeight="1">
      <c r="L93" s="131" t="s">
        <v>473</v>
      </c>
      <c r="M93" s="763" t="s">
        <v>426</v>
      </c>
      <c r="N93" s="15" t="s">
        <v>427</v>
      </c>
      <c r="O93" s="15" t="s">
        <v>1085</v>
      </c>
      <c r="P93" s="15" t="str">
        <f t="shared" si="37"/>
        <v>bubble-dominated MI</v>
      </c>
      <c r="Q93" s="15" t="s">
        <v>468</v>
      </c>
      <c r="R93" s="89">
        <v>87.75</v>
      </c>
      <c r="S93" s="191" t="s">
        <v>64</v>
      </c>
      <c r="T93" s="102">
        <f t="shared" si="32"/>
        <v>1253.9124833333333</v>
      </c>
      <c r="U93" s="27" t="s">
        <v>416</v>
      </c>
      <c r="V93" s="90">
        <v>0.58674102859382338</v>
      </c>
      <c r="W93" s="109">
        <v>102.91599999999994</v>
      </c>
      <c r="X93" s="183" t="s">
        <v>462</v>
      </c>
      <c r="Y93" s="104">
        <v>0.10012415186065482</v>
      </c>
      <c r="Z93" s="187" t="s">
        <v>462</v>
      </c>
      <c r="AA93" s="112">
        <v>310</v>
      </c>
      <c r="AB93" s="118">
        <f t="shared" si="38"/>
        <v>1.3396108244</v>
      </c>
      <c r="AC93" s="201" t="s">
        <v>474</v>
      </c>
      <c r="AD93" s="27" t="s">
        <v>64</v>
      </c>
      <c r="AE93" s="202" t="s">
        <v>64</v>
      </c>
      <c r="AF93" s="199" t="s">
        <v>64</v>
      </c>
      <c r="AG93" s="1038" t="s">
        <v>1113</v>
      </c>
      <c r="AH93" s="157" t="s">
        <v>64</v>
      </c>
      <c r="AI93" s="18">
        <v>0.87</v>
      </c>
      <c r="AJ93" s="16">
        <v>49.415444444444439</v>
      </c>
      <c r="AK93" s="16">
        <v>2.2743888888888892</v>
      </c>
      <c r="AL93" s="16">
        <v>11.723777777777778</v>
      </c>
      <c r="AM93" s="16">
        <v>11.199999999999996</v>
      </c>
      <c r="AN93" s="16">
        <v>0.11344444444444446</v>
      </c>
      <c r="AO93" s="16">
        <v>11.935944444444445</v>
      </c>
      <c r="AP93" s="16">
        <v>10.445000000000002</v>
      </c>
      <c r="AQ93" s="16">
        <v>2.0337777777777775</v>
      </c>
      <c r="AR93" s="16">
        <v>0.43277777777777776</v>
      </c>
      <c r="AS93" s="16">
        <v>0.2842777777777778</v>
      </c>
      <c r="AT93" s="152" t="s">
        <v>64</v>
      </c>
      <c r="AU93" s="16">
        <v>0.56437500000000007</v>
      </c>
      <c r="AV93" s="17">
        <f t="shared" si="39"/>
        <v>147.9</v>
      </c>
      <c r="AW93" s="27" t="str">
        <f t="shared" si="43"/>
        <v>not calculated</v>
      </c>
      <c r="AX93" s="27" t="str">
        <f t="shared" si="44"/>
        <v>not calculated</v>
      </c>
      <c r="AY93" s="18">
        <f t="shared" si="40"/>
        <v>2.2406391982182616</v>
      </c>
      <c r="AZ93" s="16">
        <f t="shared" si="41"/>
        <v>9.1839999999999975</v>
      </c>
      <c r="BA93" s="93" t="s">
        <v>64</v>
      </c>
      <c r="BB93" s="92" t="s">
        <v>64</v>
      </c>
      <c r="BC93" s="92" t="s">
        <v>64</v>
      </c>
      <c r="BD93" s="92" t="s">
        <v>64</v>
      </c>
      <c r="BE93" s="92" t="s">
        <v>64</v>
      </c>
      <c r="BF93" s="92" t="s">
        <v>64</v>
      </c>
      <c r="BG93" s="92" t="s">
        <v>64</v>
      </c>
      <c r="BH93" s="92" t="s">
        <v>64</v>
      </c>
      <c r="BI93" s="92" t="s">
        <v>64</v>
      </c>
      <c r="BJ93" s="92" t="s">
        <v>64</v>
      </c>
      <c r="BK93" s="92" t="s">
        <v>64</v>
      </c>
      <c r="BL93" s="92" t="s">
        <v>64</v>
      </c>
      <c r="BM93" s="92" t="s">
        <v>64</v>
      </c>
      <c r="BN93" s="42">
        <v>170</v>
      </c>
      <c r="BO93" s="95" t="s">
        <v>475</v>
      </c>
      <c r="BP93" s="95" t="str">
        <f t="shared" si="45"/>
        <v>not calculated</v>
      </c>
      <c r="BQ93" s="92" t="s">
        <v>64</v>
      </c>
    </row>
    <row r="94" spans="12:69" ht="14.45" customHeight="1">
      <c r="L94" s="131" t="s">
        <v>473</v>
      </c>
      <c r="M94" s="763" t="s">
        <v>426</v>
      </c>
      <c r="N94" s="15" t="s">
        <v>427</v>
      </c>
      <c r="O94" s="15" t="s">
        <v>1086</v>
      </c>
      <c r="P94" s="15" t="str">
        <f t="shared" si="37"/>
        <v>bubble-dominated MI</v>
      </c>
      <c r="Q94" s="15" t="s">
        <v>468</v>
      </c>
      <c r="R94" s="89">
        <v>87.75</v>
      </c>
      <c r="S94" s="191" t="s">
        <v>64</v>
      </c>
      <c r="T94" s="102">
        <f t="shared" si="32"/>
        <v>1253.9124833333333</v>
      </c>
      <c r="U94" s="27" t="s">
        <v>416</v>
      </c>
      <c r="V94" s="90">
        <v>0.12377649115203164</v>
      </c>
      <c r="W94" s="109">
        <v>103.16099999999983</v>
      </c>
      <c r="X94" s="183" t="s">
        <v>462</v>
      </c>
      <c r="Y94" s="104">
        <v>0.20026169441553066</v>
      </c>
      <c r="Z94" s="187" t="s">
        <v>462</v>
      </c>
      <c r="AA94" s="112">
        <v>675</v>
      </c>
      <c r="AB94" s="118">
        <f t="shared" si="38"/>
        <v>2.8101092062499999</v>
      </c>
      <c r="AC94" s="201" t="s">
        <v>474</v>
      </c>
      <c r="AD94" s="27" t="s">
        <v>64</v>
      </c>
      <c r="AE94" s="202" t="s">
        <v>64</v>
      </c>
      <c r="AF94" s="199" t="s">
        <v>64</v>
      </c>
      <c r="AG94" s="1038" t="s">
        <v>1113</v>
      </c>
      <c r="AH94" s="157" t="s">
        <v>64</v>
      </c>
      <c r="AI94" s="18">
        <v>0.87</v>
      </c>
      <c r="AJ94" s="16">
        <v>49.415444444444439</v>
      </c>
      <c r="AK94" s="16">
        <v>2.2743888888888892</v>
      </c>
      <c r="AL94" s="16">
        <v>11.723777777777778</v>
      </c>
      <c r="AM94" s="16">
        <v>11.199999999999996</v>
      </c>
      <c r="AN94" s="16">
        <v>0.11344444444444446</v>
      </c>
      <c r="AO94" s="16">
        <v>11.935944444444445</v>
      </c>
      <c r="AP94" s="16">
        <v>10.445000000000002</v>
      </c>
      <c r="AQ94" s="16">
        <v>2.0337777777777775</v>
      </c>
      <c r="AR94" s="16">
        <v>0.43277777777777776</v>
      </c>
      <c r="AS94" s="16">
        <v>0.2842777777777778</v>
      </c>
      <c r="AT94" s="152" t="s">
        <v>64</v>
      </c>
      <c r="AU94" s="16">
        <v>0.56437500000000007</v>
      </c>
      <c r="AV94" s="17">
        <f t="shared" si="39"/>
        <v>278.39999999999998</v>
      </c>
      <c r="AW94" s="27" t="str">
        <f t="shared" si="43"/>
        <v>not calculated</v>
      </c>
      <c r="AX94" s="27" t="str">
        <f t="shared" si="44"/>
        <v>not calculated</v>
      </c>
      <c r="AY94" s="18">
        <f t="shared" si="40"/>
        <v>2.2406391982182616</v>
      </c>
      <c r="AZ94" s="16">
        <f t="shared" si="41"/>
        <v>9.1839999999999975</v>
      </c>
      <c r="BA94" s="93" t="s">
        <v>64</v>
      </c>
      <c r="BB94" s="92" t="s">
        <v>64</v>
      </c>
      <c r="BC94" s="92" t="s">
        <v>64</v>
      </c>
      <c r="BD94" s="92" t="s">
        <v>64</v>
      </c>
      <c r="BE94" s="92" t="s">
        <v>64</v>
      </c>
      <c r="BF94" s="92" t="s">
        <v>64</v>
      </c>
      <c r="BG94" s="92" t="s">
        <v>64</v>
      </c>
      <c r="BH94" s="92" t="s">
        <v>64</v>
      </c>
      <c r="BI94" s="92" t="s">
        <v>64</v>
      </c>
      <c r="BJ94" s="92" t="s">
        <v>64</v>
      </c>
      <c r="BK94" s="92" t="s">
        <v>64</v>
      </c>
      <c r="BL94" s="92" t="s">
        <v>64</v>
      </c>
      <c r="BM94" s="92" t="s">
        <v>64</v>
      </c>
      <c r="BN94" s="84">
        <v>320</v>
      </c>
      <c r="BO94" s="95" t="s">
        <v>475</v>
      </c>
      <c r="BP94" s="95" t="str">
        <f t="shared" si="45"/>
        <v>not calculated</v>
      </c>
      <c r="BQ94" s="92" t="s">
        <v>64</v>
      </c>
    </row>
    <row r="95" spans="12:69" ht="14.45" customHeight="1">
      <c r="L95" s="129" t="s">
        <v>471</v>
      </c>
      <c r="M95" s="763" t="s">
        <v>426</v>
      </c>
      <c r="N95" s="15" t="s">
        <v>427</v>
      </c>
      <c r="O95" s="15" t="s">
        <v>1087</v>
      </c>
      <c r="P95" s="15" t="str">
        <f t="shared" si="37"/>
        <v>melt inclusion</v>
      </c>
      <c r="Q95" s="15" t="s">
        <v>468</v>
      </c>
      <c r="R95" s="89">
        <v>87.75</v>
      </c>
      <c r="S95" s="191" t="s">
        <v>64</v>
      </c>
      <c r="T95" s="102">
        <f t="shared" si="32"/>
        <v>1253.9124833333333</v>
      </c>
      <c r="U95" s="27" t="s">
        <v>416</v>
      </c>
      <c r="V95" s="90">
        <v>8.5547745362742178E-2</v>
      </c>
      <c r="W95" s="109">
        <v>103.00800000000004</v>
      </c>
      <c r="X95" s="183" t="s">
        <v>462</v>
      </c>
      <c r="Y95" s="104">
        <v>0.13683916298759868</v>
      </c>
      <c r="Z95" s="187" t="s">
        <v>462</v>
      </c>
      <c r="AA95" s="112" t="s">
        <v>64</v>
      </c>
      <c r="AB95" s="118" t="str">
        <f t="shared" si="38"/>
        <v>-</v>
      </c>
      <c r="AC95" s="201" t="s">
        <v>472</v>
      </c>
      <c r="AD95" s="27" t="s">
        <v>64</v>
      </c>
      <c r="AE95" s="202" t="s">
        <v>64</v>
      </c>
      <c r="AF95" s="199" t="s">
        <v>64</v>
      </c>
      <c r="AG95" s="1038" t="s">
        <v>1113</v>
      </c>
      <c r="AH95" s="157" t="s">
        <v>64</v>
      </c>
      <c r="AI95" s="18">
        <v>0.87</v>
      </c>
      <c r="AJ95" s="16">
        <v>49.415444444444439</v>
      </c>
      <c r="AK95" s="16">
        <v>2.2743888888888892</v>
      </c>
      <c r="AL95" s="16">
        <v>11.723777777777778</v>
      </c>
      <c r="AM95" s="16">
        <v>11.199999999999996</v>
      </c>
      <c r="AN95" s="16">
        <v>0.11344444444444446</v>
      </c>
      <c r="AO95" s="16">
        <v>11.935944444444445</v>
      </c>
      <c r="AP95" s="16">
        <v>10.445000000000002</v>
      </c>
      <c r="AQ95" s="16">
        <v>2.0337777777777775</v>
      </c>
      <c r="AR95" s="16">
        <v>0.43277777777777776</v>
      </c>
      <c r="AS95" s="16">
        <v>0.2842777777777778</v>
      </c>
      <c r="AT95" s="152" t="s">
        <v>64</v>
      </c>
      <c r="AU95" s="16">
        <v>0.56437500000000007</v>
      </c>
      <c r="AV95" s="17">
        <f t="shared" si="39"/>
        <v>147.9</v>
      </c>
      <c r="AW95" s="27" t="str">
        <f t="shared" si="43"/>
        <v>not calculated</v>
      </c>
      <c r="AX95" s="27" t="str">
        <f t="shared" si="44"/>
        <v>not calculated</v>
      </c>
      <c r="AY95" s="18">
        <f t="shared" si="40"/>
        <v>2.2406391982182616</v>
      </c>
      <c r="AZ95" s="16">
        <f t="shared" si="41"/>
        <v>9.1839999999999975</v>
      </c>
      <c r="BA95" s="93" t="s">
        <v>64</v>
      </c>
      <c r="BB95" s="92" t="s">
        <v>64</v>
      </c>
      <c r="BC95" s="92" t="s">
        <v>64</v>
      </c>
      <c r="BD95" s="92" t="s">
        <v>64</v>
      </c>
      <c r="BE95" s="92" t="s">
        <v>64</v>
      </c>
      <c r="BF95" s="92" t="s">
        <v>64</v>
      </c>
      <c r="BG95" s="92" t="s">
        <v>64</v>
      </c>
      <c r="BH95" s="92" t="s">
        <v>64</v>
      </c>
      <c r="BI95" s="92" t="s">
        <v>64</v>
      </c>
      <c r="BJ95" s="92" t="s">
        <v>64</v>
      </c>
      <c r="BK95" s="92" t="s">
        <v>64</v>
      </c>
      <c r="BL95" s="92" t="s">
        <v>64</v>
      </c>
      <c r="BM95" s="92" t="s">
        <v>64</v>
      </c>
      <c r="BN95" s="42">
        <v>170</v>
      </c>
      <c r="BO95" s="95" t="s">
        <v>475</v>
      </c>
      <c r="BP95" s="95" t="str">
        <f t="shared" si="45"/>
        <v>not calculated</v>
      </c>
      <c r="BQ95" s="92" t="s">
        <v>64</v>
      </c>
    </row>
    <row r="96" spans="12:69" ht="14.45" customHeight="1">
      <c r="L96" s="129" t="s">
        <v>471</v>
      </c>
      <c r="M96" s="763" t="s">
        <v>426</v>
      </c>
      <c r="N96" s="15" t="s">
        <v>427</v>
      </c>
      <c r="O96" s="15" t="s">
        <v>1088</v>
      </c>
      <c r="P96" s="15" t="str">
        <f t="shared" si="37"/>
        <v>melt inclusion</v>
      </c>
      <c r="Q96" s="15" t="s">
        <v>468</v>
      </c>
      <c r="R96" s="89">
        <v>87.75</v>
      </c>
      <c r="S96" s="191" t="s">
        <v>64</v>
      </c>
      <c r="T96" s="102">
        <f t="shared" si="32"/>
        <v>1253.9124833333333</v>
      </c>
      <c r="U96" s="27" t="s">
        <v>416</v>
      </c>
      <c r="V96" s="90">
        <v>5.7580012102582748E-2</v>
      </c>
      <c r="W96" s="109">
        <v>102.86999999999989</v>
      </c>
      <c r="X96" s="183" t="s">
        <v>462</v>
      </c>
      <c r="Y96" s="104">
        <v>8.2222961696970742E-2</v>
      </c>
      <c r="Z96" s="187" t="s">
        <v>462</v>
      </c>
      <c r="AA96" s="112" t="s">
        <v>64</v>
      </c>
      <c r="AB96" s="118" t="str">
        <f t="shared" si="38"/>
        <v>-</v>
      </c>
      <c r="AC96" s="201" t="s">
        <v>472</v>
      </c>
      <c r="AD96" s="27" t="s">
        <v>64</v>
      </c>
      <c r="AE96" s="202" t="s">
        <v>64</v>
      </c>
      <c r="AF96" s="199" t="s">
        <v>64</v>
      </c>
      <c r="AG96" s="1038" t="s">
        <v>1113</v>
      </c>
      <c r="AH96" s="157" t="s">
        <v>64</v>
      </c>
      <c r="AI96" s="18">
        <v>0.87</v>
      </c>
      <c r="AJ96" s="16">
        <v>49.415444444444439</v>
      </c>
      <c r="AK96" s="16">
        <v>2.2743888888888892</v>
      </c>
      <c r="AL96" s="16">
        <v>11.723777777777778</v>
      </c>
      <c r="AM96" s="16">
        <v>11.199999999999996</v>
      </c>
      <c r="AN96" s="16">
        <v>0.11344444444444446</v>
      </c>
      <c r="AO96" s="16">
        <v>11.935944444444445</v>
      </c>
      <c r="AP96" s="16">
        <v>10.445000000000002</v>
      </c>
      <c r="AQ96" s="16">
        <v>2.0337777777777775</v>
      </c>
      <c r="AR96" s="16">
        <v>0.43277777777777776</v>
      </c>
      <c r="AS96" s="16">
        <v>0.2842777777777778</v>
      </c>
      <c r="AT96" s="152" t="s">
        <v>64</v>
      </c>
      <c r="AU96" s="16">
        <v>0.56437500000000007</v>
      </c>
      <c r="AV96" s="17">
        <f t="shared" si="39"/>
        <v>147.9</v>
      </c>
      <c r="AW96" s="27" t="str">
        <f t="shared" si="43"/>
        <v>not calculated</v>
      </c>
      <c r="AX96" s="27" t="str">
        <f t="shared" si="44"/>
        <v>not calculated</v>
      </c>
      <c r="AY96" s="18">
        <f t="shared" si="40"/>
        <v>2.2406391982182616</v>
      </c>
      <c r="AZ96" s="16">
        <f t="shared" si="41"/>
        <v>9.1839999999999975</v>
      </c>
      <c r="BA96" s="93" t="s">
        <v>64</v>
      </c>
      <c r="BB96" s="92" t="s">
        <v>64</v>
      </c>
      <c r="BC96" s="92" t="s">
        <v>64</v>
      </c>
      <c r="BD96" s="92" t="s">
        <v>64</v>
      </c>
      <c r="BE96" s="92" t="s">
        <v>64</v>
      </c>
      <c r="BF96" s="92" t="s">
        <v>64</v>
      </c>
      <c r="BG96" s="92" t="s">
        <v>64</v>
      </c>
      <c r="BH96" s="92" t="s">
        <v>64</v>
      </c>
      <c r="BI96" s="92" t="s">
        <v>64</v>
      </c>
      <c r="BJ96" s="92" t="s">
        <v>64</v>
      </c>
      <c r="BK96" s="92" t="s">
        <v>64</v>
      </c>
      <c r="BL96" s="92" t="s">
        <v>64</v>
      </c>
      <c r="BM96" s="92" t="s">
        <v>64</v>
      </c>
      <c r="BN96" s="42">
        <v>170</v>
      </c>
      <c r="BO96" s="95" t="s">
        <v>475</v>
      </c>
      <c r="BP96" s="95" t="str">
        <f t="shared" si="45"/>
        <v>not calculated</v>
      </c>
      <c r="BQ96" s="92" t="s">
        <v>64</v>
      </c>
    </row>
    <row r="97" spans="12:69" ht="14.45" customHeight="1">
      <c r="L97" s="127" t="s">
        <v>64</v>
      </c>
      <c r="M97" s="763" t="s">
        <v>426</v>
      </c>
      <c r="N97" s="15" t="s">
        <v>427</v>
      </c>
      <c r="O97" s="15" t="s">
        <v>1089</v>
      </c>
      <c r="P97" s="15" t="str">
        <f t="shared" si="37"/>
        <v>melt inclusion</v>
      </c>
      <c r="Q97" s="15" t="s">
        <v>468</v>
      </c>
      <c r="R97" s="89">
        <v>87.75</v>
      </c>
      <c r="S97" s="191" t="s">
        <v>64</v>
      </c>
      <c r="T97" s="102">
        <f t="shared" si="32"/>
        <v>1253.9124833333333</v>
      </c>
      <c r="U97" s="27" t="s">
        <v>416</v>
      </c>
      <c r="V97" s="90">
        <v>4.30436908593861E-2</v>
      </c>
      <c r="W97" s="109">
        <v>102.78099999999995</v>
      </c>
      <c r="X97" s="183" t="s">
        <v>462</v>
      </c>
      <c r="Y97" s="104">
        <v>4.8534408670093399E-2</v>
      </c>
      <c r="Z97" s="187" t="s">
        <v>462</v>
      </c>
      <c r="AA97" s="112" t="s">
        <v>64</v>
      </c>
      <c r="AB97" s="118" t="str">
        <f t="shared" si="38"/>
        <v>-</v>
      </c>
      <c r="AC97" s="57">
        <v>1559</v>
      </c>
      <c r="AD97" s="27">
        <v>220</v>
      </c>
      <c r="AE97" s="28">
        <f>(0.0684*((AC97/1000))^3-0.5008*((AC97/1000))^2+4.47*((AC97/1000)))</f>
        <v>6.0107209149235992</v>
      </c>
      <c r="AF97" s="47">
        <f>AVERAGE(((((0.0684*(((AC97+AD97)/1000))^3-0.5008*(((AC97+AD97)/1000))^2+4.47*(((AC97+AD97)/1000))))) - AC97), (AC97 - (((0.0684*(((AC97-AD97)/1000))^3-0.5008*(((AC97-AD97)/1000))^2+4.47*(((AC97-AD97)/1000)))))))</f>
        <v>0.75032118946398896</v>
      </c>
      <c r="AG97" s="1038" t="s">
        <v>1113</v>
      </c>
      <c r="AH97" s="157" t="s">
        <v>64</v>
      </c>
      <c r="AI97" s="18">
        <v>0.87</v>
      </c>
      <c r="AJ97" s="16">
        <v>49.415444444444439</v>
      </c>
      <c r="AK97" s="16">
        <v>2.2743888888888892</v>
      </c>
      <c r="AL97" s="16">
        <v>11.723777777777778</v>
      </c>
      <c r="AM97" s="16">
        <v>11.199999999999996</v>
      </c>
      <c r="AN97" s="16">
        <v>0.11344444444444446</v>
      </c>
      <c r="AO97" s="16">
        <v>11.935944444444445</v>
      </c>
      <c r="AP97" s="16">
        <v>10.445000000000002</v>
      </c>
      <c r="AQ97" s="16">
        <v>2.0337777777777775</v>
      </c>
      <c r="AR97" s="16">
        <v>0.43277777777777776</v>
      </c>
      <c r="AS97" s="16">
        <v>0.2842777777777778</v>
      </c>
      <c r="AT97" s="152" t="s">
        <v>64</v>
      </c>
      <c r="AU97" s="16">
        <v>0.56437500000000007</v>
      </c>
      <c r="AV97" s="17">
        <f t="shared" si="39"/>
        <v>147.9</v>
      </c>
      <c r="AW97" s="27">
        <f t="shared" si="43"/>
        <v>690.09530113989376</v>
      </c>
      <c r="AX97" s="27">
        <f t="shared" si="44"/>
        <v>837.99530113989374</v>
      </c>
      <c r="AY97" s="18">
        <f t="shared" si="40"/>
        <v>2.2406391982182616</v>
      </c>
      <c r="AZ97" s="16">
        <f t="shared" si="41"/>
        <v>9.1839999999999975</v>
      </c>
      <c r="BA97" s="93" t="s">
        <v>64</v>
      </c>
      <c r="BB97" s="92" t="s">
        <v>64</v>
      </c>
      <c r="BC97" s="92" t="s">
        <v>64</v>
      </c>
      <c r="BD97" s="92" t="s">
        <v>64</v>
      </c>
      <c r="BE97" s="92" t="s">
        <v>64</v>
      </c>
      <c r="BF97" s="92" t="s">
        <v>64</v>
      </c>
      <c r="BG97" s="92" t="s">
        <v>64</v>
      </c>
      <c r="BH97" s="92" t="s">
        <v>64</v>
      </c>
      <c r="BI97" s="92" t="s">
        <v>64</v>
      </c>
      <c r="BJ97" s="92" t="s">
        <v>64</v>
      </c>
      <c r="BK97" s="92" t="s">
        <v>64</v>
      </c>
      <c r="BL97" s="92" t="s">
        <v>64</v>
      </c>
      <c r="BM97" s="92" t="s">
        <v>64</v>
      </c>
      <c r="BN97" s="42">
        <v>170</v>
      </c>
      <c r="BO97" s="95">
        <v>793.21298981596988</v>
      </c>
      <c r="BP97" s="95">
        <f t="shared" si="34"/>
        <v>963.21298981596988</v>
      </c>
      <c r="BQ97" s="92" t="s">
        <v>64</v>
      </c>
    </row>
    <row r="98" spans="12:69" ht="14.45" customHeight="1">
      <c r="L98" s="127" t="s">
        <v>64</v>
      </c>
      <c r="M98" s="763" t="s">
        <v>426</v>
      </c>
      <c r="N98" s="15" t="s">
        <v>427</v>
      </c>
      <c r="O98" s="15" t="s">
        <v>1090</v>
      </c>
      <c r="P98" s="15" t="str">
        <f t="shared" si="37"/>
        <v>melt inclusion</v>
      </c>
      <c r="Q98" s="15" t="s">
        <v>468</v>
      </c>
      <c r="R98" s="89">
        <v>87.75</v>
      </c>
      <c r="S98" s="191" t="s">
        <v>64</v>
      </c>
      <c r="T98" s="102">
        <f t="shared" si="32"/>
        <v>1253.9124833333333</v>
      </c>
      <c r="U98" s="27" t="s">
        <v>416</v>
      </c>
      <c r="V98" s="90">
        <v>4.6334805860373807E-2</v>
      </c>
      <c r="W98" s="109">
        <v>102.79399999999987</v>
      </c>
      <c r="X98" s="183" t="s">
        <v>462</v>
      </c>
      <c r="Y98" s="104">
        <v>5.3373734997876454E-2</v>
      </c>
      <c r="Z98" s="187" t="s">
        <v>462</v>
      </c>
      <c r="AA98" s="112" t="s">
        <v>64</v>
      </c>
      <c r="AB98" s="118" t="str">
        <f t="shared" si="38"/>
        <v>-</v>
      </c>
      <c r="AC98" s="57">
        <v>1768</v>
      </c>
      <c r="AD98" s="27">
        <v>246.5</v>
      </c>
      <c r="AE98" s="28">
        <f>(0.0684*((AC98/1000))^3-0.5008*((AC98/1000))^2+4.47*((AC98/1000)))</f>
        <v>6.7155569881087995</v>
      </c>
      <c r="AF98" s="47">
        <f>AVERAGE(((((0.0684*(((AC98+AD98)/1000))^3-0.5008*(((AC98+AD98)/1000))^2+4.47*(((AC98+AD98)/1000))))) - AC98), (AC98 - (((0.0684*(((AC98-AD98)/1000))^3-0.5008*(((AC98-AD98)/1000))^2+4.47*(((AC98-AD98)/1000)))))))</f>
        <v>0.8244799931956095</v>
      </c>
      <c r="AG98" s="1038" t="s">
        <v>1113</v>
      </c>
      <c r="AH98" s="157" t="s">
        <v>64</v>
      </c>
      <c r="AI98" s="18">
        <v>0.87</v>
      </c>
      <c r="AJ98" s="16">
        <v>49.415444444444439</v>
      </c>
      <c r="AK98" s="16">
        <v>2.2743888888888892</v>
      </c>
      <c r="AL98" s="16">
        <v>11.723777777777778</v>
      </c>
      <c r="AM98" s="16">
        <v>11.199999999999996</v>
      </c>
      <c r="AN98" s="16">
        <v>0.11344444444444446</v>
      </c>
      <c r="AO98" s="16">
        <v>11.935944444444445</v>
      </c>
      <c r="AP98" s="16">
        <v>10.445000000000002</v>
      </c>
      <c r="AQ98" s="16">
        <v>2.0337777777777775</v>
      </c>
      <c r="AR98" s="16">
        <v>0.43277777777777776</v>
      </c>
      <c r="AS98" s="16">
        <v>0.2842777777777778</v>
      </c>
      <c r="AT98" s="152" t="s">
        <v>64</v>
      </c>
      <c r="AU98" s="16">
        <v>0.56437500000000007</v>
      </c>
      <c r="AV98" s="17">
        <f t="shared" si="39"/>
        <v>147.9</v>
      </c>
      <c r="AW98" s="27">
        <f t="shared" si="43"/>
        <v>819.62694513073177</v>
      </c>
      <c r="AX98" s="27">
        <f t="shared" si="44"/>
        <v>967.52694513073175</v>
      </c>
      <c r="AY98" s="18">
        <f t="shared" si="40"/>
        <v>2.2406391982182616</v>
      </c>
      <c r="AZ98" s="16">
        <f t="shared" si="41"/>
        <v>9.1839999999999975</v>
      </c>
      <c r="BA98" s="93" t="s">
        <v>64</v>
      </c>
      <c r="BB98" s="92" t="s">
        <v>64</v>
      </c>
      <c r="BC98" s="92" t="s">
        <v>64</v>
      </c>
      <c r="BD98" s="92" t="s">
        <v>64</v>
      </c>
      <c r="BE98" s="92" t="s">
        <v>64</v>
      </c>
      <c r="BF98" s="92" t="s">
        <v>64</v>
      </c>
      <c r="BG98" s="92" t="s">
        <v>64</v>
      </c>
      <c r="BH98" s="92" t="s">
        <v>64</v>
      </c>
      <c r="BI98" s="92" t="s">
        <v>64</v>
      </c>
      <c r="BJ98" s="92" t="s">
        <v>64</v>
      </c>
      <c r="BK98" s="92" t="s">
        <v>64</v>
      </c>
      <c r="BL98" s="92" t="s">
        <v>64</v>
      </c>
      <c r="BM98" s="92" t="s">
        <v>64</v>
      </c>
      <c r="BN98" s="42">
        <v>170</v>
      </c>
      <c r="BO98" s="95">
        <v>942.09993693187562</v>
      </c>
      <c r="BP98" s="95">
        <f t="shared" si="34"/>
        <v>1112.0999369318756</v>
      </c>
      <c r="BQ98" s="92" t="s">
        <v>64</v>
      </c>
    </row>
    <row r="99" spans="12:69" ht="14.45" customHeight="1">
      <c r="L99" s="129" t="s">
        <v>471</v>
      </c>
      <c r="M99" s="763" t="s">
        <v>426</v>
      </c>
      <c r="N99" s="15" t="s">
        <v>427</v>
      </c>
      <c r="O99" s="15" t="s">
        <v>1091</v>
      </c>
      <c r="P99" s="15" t="str">
        <f t="shared" si="37"/>
        <v>melt inclusion</v>
      </c>
      <c r="Q99" s="15" t="s">
        <v>468</v>
      </c>
      <c r="R99" s="89">
        <v>87.75</v>
      </c>
      <c r="S99" s="191" t="s">
        <v>64</v>
      </c>
      <c r="T99" s="102">
        <f t="shared" si="32"/>
        <v>1253.9124833333333</v>
      </c>
      <c r="U99" s="27" t="s">
        <v>416</v>
      </c>
      <c r="V99" s="90">
        <v>6.6132269776873212E-2</v>
      </c>
      <c r="W99" s="109">
        <v>102.8610000000001</v>
      </c>
      <c r="X99" s="183" t="s">
        <v>462</v>
      </c>
      <c r="Y99" s="104">
        <v>7.8758343028312083E-2</v>
      </c>
      <c r="Z99" s="187" t="s">
        <v>462</v>
      </c>
      <c r="AA99" s="112" t="s">
        <v>64</v>
      </c>
      <c r="AB99" s="118" t="str">
        <f t="shared" si="38"/>
        <v>-</v>
      </c>
      <c r="AC99" s="201" t="s">
        <v>472</v>
      </c>
      <c r="AD99" s="27" t="s">
        <v>64</v>
      </c>
      <c r="AE99" s="202" t="s">
        <v>64</v>
      </c>
      <c r="AF99" s="199" t="s">
        <v>64</v>
      </c>
      <c r="AG99" s="1038" t="s">
        <v>1113</v>
      </c>
      <c r="AH99" s="157" t="s">
        <v>64</v>
      </c>
      <c r="AI99" s="18">
        <v>0.87</v>
      </c>
      <c r="AJ99" s="16">
        <v>49.415444444444439</v>
      </c>
      <c r="AK99" s="16">
        <v>2.2743888888888892</v>
      </c>
      <c r="AL99" s="16">
        <v>11.723777777777778</v>
      </c>
      <c r="AM99" s="16">
        <v>11.199999999999996</v>
      </c>
      <c r="AN99" s="16">
        <v>0.11344444444444446</v>
      </c>
      <c r="AO99" s="16">
        <v>11.935944444444445</v>
      </c>
      <c r="AP99" s="16">
        <v>10.445000000000002</v>
      </c>
      <c r="AQ99" s="16">
        <v>2.0337777777777775</v>
      </c>
      <c r="AR99" s="16">
        <v>0.43277777777777776</v>
      </c>
      <c r="AS99" s="16">
        <v>0.2842777777777778</v>
      </c>
      <c r="AT99" s="152" t="s">
        <v>64</v>
      </c>
      <c r="AU99" s="16">
        <v>0.56437500000000007</v>
      </c>
      <c r="AV99" s="17">
        <f t="shared" si="39"/>
        <v>147.9</v>
      </c>
      <c r="AW99" s="27" t="str">
        <f t="shared" si="43"/>
        <v>not calculated</v>
      </c>
      <c r="AX99" s="27" t="str">
        <f t="shared" si="44"/>
        <v>not calculated</v>
      </c>
      <c r="AY99" s="18">
        <f t="shared" si="40"/>
        <v>2.2406391982182616</v>
      </c>
      <c r="AZ99" s="16">
        <f t="shared" si="41"/>
        <v>9.1839999999999975</v>
      </c>
      <c r="BA99" s="93" t="s">
        <v>64</v>
      </c>
      <c r="BB99" s="92" t="s">
        <v>64</v>
      </c>
      <c r="BC99" s="92" t="s">
        <v>64</v>
      </c>
      <c r="BD99" s="92" t="s">
        <v>64</v>
      </c>
      <c r="BE99" s="92" t="s">
        <v>64</v>
      </c>
      <c r="BF99" s="92" t="s">
        <v>64</v>
      </c>
      <c r="BG99" s="92" t="s">
        <v>64</v>
      </c>
      <c r="BH99" s="92" t="s">
        <v>64</v>
      </c>
      <c r="BI99" s="92" t="s">
        <v>64</v>
      </c>
      <c r="BJ99" s="92" t="s">
        <v>64</v>
      </c>
      <c r="BK99" s="92" t="s">
        <v>64</v>
      </c>
      <c r="BL99" s="92" t="s">
        <v>64</v>
      </c>
      <c r="BM99" s="92" t="s">
        <v>64</v>
      </c>
      <c r="BN99" s="42">
        <v>170</v>
      </c>
      <c r="BO99" s="95" t="s">
        <v>475</v>
      </c>
      <c r="BP99" s="95" t="str">
        <f>IF(AND(ISNUMBER(BN99),ISNUMBER(BO99)),BN99+BO99,"not calculated")</f>
        <v>not calculated</v>
      </c>
      <c r="BQ99" s="92" t="s">
        <v>64</v>
      </c>
    </row>
    <row r="100" spans="12:69" ht="14.45" customHeight="1">
      <c r="L100" s="127" t="s">
        <v>64</v>
      </c>
      <c r="M100" s="763" t="s">
        <v>426</v>
      </c>
      <c r="N100" s="15" t="s">
        <v>427</v>
      </c>
      <c r="O100" s="15" t="s">
        <v>1092</v>
      </c>
      <c r="P100" s="15" t="str">
        <f t="shared" si="37"/>
        <v>melt inclusion</v>
      </c>
      <c r="Q100" s="15" t="s">
        <v>468</v>
      </c>
      <c r="R100" s="89">
        <v>87.75</v>
      </c>
      <c r="S100" s="191" t="s">
        <v>64</v>
      </c>
      <c r="T100" s="102">
        <f t="shared" si="32"/>
        <v>1253.9124833333333</v>
      </c>
      <c r="U100" s="27" t="s">
        <v>416</v>
      </c>
      <c r="V100" s="90">
        <v>5.0355329949238588E-2</v>
      </c>
      <c r="W100" s="109">
        <v>102.86200000000008</v>
      </c>
      <c r="X100" s="183" t="s">
        <v>462</v>
      </c>
      <c r="Y100" s="104">
        <v>7.9142676848277915E-2</v>
      </c>
      <c r="Z100" s="187" t="s">
        <v>462</v>
      </c>
      <c r="AA100" s="112" t="s">
        <v>64</v>
      </c>
      <c r="AB100" s="118" t="str">
        <f t="shared" si="38"/>
        <v>-</v>
      </c>
      <c r="AC100" s="57">
        <v>2527</v>
      </c>
      <c r="AD100" s="27">
        <v>336</v>
      </c>
      <c r="AE100" s="28">
        <f>(0.0684*((AC100/1000))^3-0.5008*((AC100/1000))^2+4.47*((AC100/1000)))</f>
        <v>9.2014697401172008</v>
      </c>
      <c r="AF100" s="47">
        <f>AVERAGE(((((0.0684*(((AC100+AD100)/1000))^3-0.5008*(((AC100+AD100)/1000))^2+4.47*(((AC100+AD100)/1000))))) - AC100), (AC100 - (((0.0684*(((AC100-AD100)/1000))^3-0.5008*(((AC100-AD100)/1000))^2+4.47*(((AC100-AD100)/1000)))))))</f>
        <v>1.094362240339251</v>
      </c>
      <c r="AG100" s="1038" t="s">
        <v>1113</v>
      </c>
      <c r="AH100" s="157" t="s">
        <v>64</v>
      </c>
      <c r="AI100" s="18">
        <v>0.87</v>
      </c>
      <c r="AJ100" s="16">
        <v>49.415444444444439</v>
      </c>
      <c r="AK100" s="16">
        <v>2.2743888888888892</v>
      </c>
      <c r="AL100" s="16">
        <v>11.723777777777778</v>
      </c>
      <c r="AM100" s="16">
        <v>11.199999999999996</v>
      </c>
      <c r="AN100" s="16">
        <v>0.11344444444444446</v>
      </c>
      <c r="AO100" s="16">
        <v>11.935944444444445</v>
      </c>
      <c r="AP100" s="16">
        <v>10.445000000000002</v>
      </c>
      <c r="AQ100" s="16">
        <v>2.0337777777777775</v>
      </c>
      <c r="AR100" s="16">
        <v>0.43277777777777776</v>
      </c>
      <c r="AS100" s="16">
        <v>0.2842777777777778</v>
      </c>
      <c r="AT100" s="152" t="s">
        <v>64</v>
      </c>
      <c r="AU100" s="16">
        <v>0.56437500000000007</v>
      </c>
      <c r="AV100" s="17">
        <f t="shared" si="39"/>
        <v>147.9</v>
      </c>
      <c r="AW100" s="27">
        <f t="shared" si="43"/>
        <v>1325.6209680016148</v>
      </c>
      <c r="AX100" s="27">
        <f t="shared" si="44"/>
        <v>1473.5209680016148</v>
      </c>
      <c r="AY100" s="18">
        <f t="shared" si="40"/>
        <v>2.2406391982182616</v>
      </c>
      <c r="AZ100" s="16">
        <f t="shared" si="41"/>
        <v>9.1839999999999975</v>
      </c>
      <c r="BA100" s="93" t="s">
        <v>64</v>
      </c>
      <c r="BB100" s="92" t="s">
        <v>64</v>
      </c>
      <c r="BC100" s="92" t="s">
        <v>64</v>
      </c>
      <c r="BD100" s="92" t="s">
        <v>64</v>
      </c>
      <c r="BE100" s="92" t="s">
        <v>64</v>
      </c>
      <c r="BF100" s="92" t="s">
        <v>64</v>
      </c>
      <c r="BG100" s="92" t="s">
        <v>64</v>
      </c>
      <c r="BH100" s="92" t="s">
        <v>64</v>
      </c>
      <c r="BI100" s="92" t="s">
        <v>64</v>
      </c>
      <c r="BJ100" s="92" t="s">
        <v>64</v>
      </c>
      <c r="BK100" s="92" t="s">
        <v>64</v>
      </c>
      <c r="BL100" s="92" t="s">
        <v>64</v>
      </c>
      <c r="BM100" s="92" t="s">
        <v>64</v>
      </c>
      <c r="BN100" s="42">
        <v>170</v>
      </c>
      <c r="BO100" s="95">
        <v>1523.7022620708217</v>
      </c>
      <c r="BP100" s="95">
        <f t="shared" si="34"/>
        <v>1693.7022620708217</v>
      </c>
      <c r="BQ100" s="92" t="s">
        <v>64</v>
      </c>
    </row>
    <row r="101" spans="12:69" ht="14.45" customHeight="1">
      <c r="L101" s="129" t="s">
        <v>471</v>
      </c>
      <c r="M101" s="763" t="s">
        <v>426</v>
      </c>
      <c r="N101" s="15" t="s">
        <v>427</v>
      </c>
      <c r="O101" s="15" t="s">
        <v>1093</v>
      </c>
      <c r="P101" s="15" t="str">
        <f t="shared" si="37"/>
        <v>melt inclusion</v>
      </c>
      <c r="Q101" s="15" t="s">
        <v>468</v>
      </c>
      <c r="R101" s="89">
        <v>87.75</v>
      </c>
      <c r="S101" s="191" t="s">
        <v>64</v>
      </c>
      <c r="T101" s="102">
        <f t="shared" si="32"/>
        <v>1253.9124833333333</v>
      </c>
      <c r="U101" s="27" t="s">
        <v>416</v>
      </c>
      <c r="V101" s="90">
        <v>7.5471758476566161E-2</v>
      </c>
      <c r="W101" s="109">
        <v>102.99800000000005</v>
      </c>
      <c r="X101" s="183" t="s">
        <v>462</v>
      </c>
      <c r="Y101" s="104">
        <v>0.13279263838921906</v>
      </c>
      <c r="Z101" s="187" t="s">
        <v>462</v>
      </c>
      <c r="AA101" s="112" t="s">
        <v>64</v>
      </c>
      <c r="AB101" s="118" t="str">
        <f t="shared" si="38"/>
        <v>-</v>
      </c>
      <c r="AC101" s="201" t="s">
        <v>472</v>
      </c>
      <c r="AD101" s="27" t="s">
        <v>64</v>
      </c>
      <c r="AE101" s="202" t="s">
        <v>64</v>
      </c>
      <c r="AF101" s="199" t="s">
        <v>64</v>
      </c>
      <c r="AG101" s="1038" t="s">
        <v>1113</v>
      </c>
      <c r="AH101" s="157" t="s">
        <v>64</v>
      </c>
      <c r="AI101" s="18">
        <v>0.87</v>
      </c>
      <c r="AJ101" s="16">
        <v>49.415444444444439</v>
      </c>
      <c r="AK101" s="16">
        <v>2.2743888888888892</v>
      </c>
      <c r="AL101" s="16">
        <v>11.723777777777778</v>
      </c>
      <c r="AM101" s="16">
        <v>11.199999999999996</v>
      </c>
      <c r="AN101" s="16">
        <v>0.11344444444444446</v>
      </c>
      <c r="AO101" s="16">
        <v>11.935944444444445</v>
      </c>
      <c r="AP101" s="16">
        <v>10.445000000000002</v>
      </c>
      <c r="AQ101" s="16">
        <v>2.0337777777777775</v>
      </c>
      <c r="AR101" s="16">
        <v>0.43277777777777776</v>
      </c>
      <c r="AS101" s="16">
        <v>0.2842777777777778</v>
      </c>
      <c r="AT101" s="152" t="s">
        <v>64</v>
      </c>
      <c r="AU101" s="16">
        <v>0.56437500000000007</v>
      </c>
      <c r="AV101" s="17">
        <f t="shared" si="39"/>
        <v>147.9</v>
      </c>
      <c r="AW101" s="27" t="str">
        <f t="shared" si="43"/>
        <v>not calculated</v>
      </c>
      <c r="AX101" s="27" t="str">
        <f t="shared" si="44"/>
        <v>not calculated</v>
      </c>
      <c r="AY101" s="18">
        <f t="shared" si="40"/>
        <v>2.2406391982182616</v>
      </c>
      <c r="AZ101" s="16">
        <f t="shared" si="41"/>
        <v>9.1839999999999975</v>
      </c>
      <c r="BA101" s="93" t="s">
        <v>64</v>
      </c>
      <c r="BB101" s="92" t="s">
        <v>64</v>
      </c>
      <c r="BC101" s="92" t="s">
        <v>64</v>
      </c>
      <c r="BD101" s="92" t="s">
        <v>64</v>
      </c>
      <c r="BE101" s="92" t="s">
        <v>64</v>
      </c>
      <c r="BF101" s="92" t="s">
        <v>64</v>
      </c>
      <c r="BG101" s="92" t="s">
        <v>64</v>
      </c>
      <c r="BH101" s="92" t="s">
        <v>64</v>
      </c>
      <c r="BI101" s="92" t="s">
        <v>64</v>
      </c>
      <c r="BJ101" s="92" t="s">
        <v>64</v>
      </c>
      <c r="BK101" s="92" t="s">
        <v>64</v>
      </c>
      <c r="BL101" s="92" t="s">
        <v>64</v>
      </c>
      <c r="BM101" s="92" t="s">
        <v>64</v>
      </c>
      <c r="BN101" s="42">
        <v>170</v>
      </c>
      <c r="BO101" s="95" t="s">
        <v>475</v>
      </c>
      <c r="BP101" s="95" t="str">
        <f t="shared" ref="BP101:BP106" si="46">IF(AND(ISNUMBER(BN101),ISNUMBER(BO101)),BN101+BO101,"not calculated")</f>
        <v>not calculated</v>
      </c>
      <c r="BQ101" s="92" t="s">
        <v>64</v>
      </c>
    </row>
    <row r="102" spans="12:69" ht="14.45" customHeight="1">
      <c r="L102" s="129" t="s">
        <v>471</v>
      </c>
      <c r="M102" s="763" t="s">
        <v>426</v>
      </c>
      <c r="N102" s="15" t="s">
        <v>427</v>
      </c>
      <c r="O102" s="15" t="s">
        <v>1094</v>
      </c>
      <c r="P102" s="15" t="str">
        <f t="shared" si="37"/>
        <v>melt inclusion</v>
      </c>
      <c r="Q102" s="15" t="s">
        <v>468</v>
      </c>
      <c r="R102" s="89">
        <v>87.75</v>
      </c>
      <c r="S102" s="191" t="s">
        <v>64</v>
      </c>
      <c r="T102" s="102">
        <f t="shared" si="32"/>
        <v>1253.9124833333333</v>
      </c>
      <c r="U102" s="27" t="s">
        <v>416</v>
      </c>
      <c r="V102" s="90">
        <v>7.7800601959710974E-2</v>
      </c>
      <c r="W102" s="109">
        <v>102.89799999999991</v>
      </c>
      <c r="X102" s="183" t="s">
        <v>462</v>
      </c>
      <c r="Y102" s="104">
        <v>9.3081428502046037E-2</v>
      </c>
      <c r="Z102" s="187" t="s">
        <v>462</v>
      </c>
      <c r="AA102" s="112" t="s">
        <v>64</v>
      </c>
      <c r="AB102" s="118" t="str">
        <f t="shared" si="38"/>
        <v>-</v>
      </c>
      <c r="AC102" s="201" t="s">
        <v>472</v>
      </c>
      <c r="AD102" s="27" t="s">
        <v>64</v>
      </c>
      <c r="AE102" s="202" t="s">
        <v>64</v>
      </c>
      <c r="AF102" s="199" t="s">
        <v>64</v>
      </c>
      <c r="AG102" s="1038" t="s">
        <v>1113</v>
      </c>
      <c r="AH102" s="157" t="s">
        <v>64</v>
      </c>
      <c r="AI102" s="18">
        <v>0.87</v>
      </c>
      <c r="AJ102" s="16">
        <v>49.415444444444439</v>
      </c>
      <c r="AK102" s="16">
        <v>2.2743888888888892</v>
      </c>
      <c r="AL102" s="16">
        <v>11.723777777777778</v>
      </c>
      <c r="AM102" s="16">
        <v>11.199999999999996</v>
      </c>
      <c r="AN102" s="16">
        <v>0.11344444444444446</v>
      </c>
      <c r="AO102" s="16">
        <v>11.935944444444445</v>
      </c>
      <c r="AP102" s="16">
        <v>10.445000000000002</v>
      </c>
      <c r="AQ102" s="16">
        <v>2.0337777777777775</v>
      </c>
      <c r="AR102" s="16">
        <v>0.43277777777777776</v>
      </c>
      <c r="AS102" s="16">
        <v>0.2842777777777778</v>
      </c>
      <c r="AT102" s="152" t="s">
        <v>64</v>
      </c>
      <c r="AU102" s="16">
        <v>0.56437500000000007</v>
      </c>
      <c r="AV102" s="17">
        <f t="shared" si="39"/>
        <v>147.9</v>
      </c>
      <c r="AW102" s="27" t="str">
        <f t="shared" si="43"/>
        <v>not calculated</v>
      </c>
      <c r="AX102" s="27" t="str">
        <f t="shared" si="44"/>
        <v>not calculated</v>
      </c>
      <c r="AY102" s="18">
        <f t="shared" si="40"/>
        <v>2.2406391982182616</v>
      </c>
      <c r="AZ102" s="16">
        <f t="shared" si="41"/>
        <v>9.1839999999999975</v>
      </c>
      <c r="BA102" s="93" t="s">
        <v>64</v>
      </c>
      <c r="BB102" s="92" t="s">
        <v>64</v>
      </c>
      <c r="BC102" s="92" t="s">
        <v>64</v>
      </c>
      <c r="BD102" s="92" t="s">
        <v>64</v>
      </c>
      <c r="BE102" s="92" t="s">
        <v>64</v>
      </c>
      <c r="BF102" s="92" t="s">
        <v>64</v>
      </c>
      <c r="BG102" s="92" t="s">
        <v>64</v>
      </c>
      <c r="BH102" s="92" t="s">
        <v>64</v>
      </c>
      <c r="BI102" s="92" t="s">
        <v>64</v>
      </c>
      <c r="BJ102" s="92" t="s">
        <v>64</v>
      </c>
      <c r="BK102" s="92" t="s">
        <v>64</v>
      </c>
      <c r="BL102" s="92" t="s">
        <v>64</v>
      </c>
      <c r="BM102" s="92" t="s">
        <v>64</v>
      </c>
      <c r="BN102" s="42">
        <v>170</v>
      </c>
      <c r="BO102" s="95" t="s">
        <v>475</v>
      </c>
      <c r="BP102" s="95" t="str">
        <f t="shared" si="46"/>
        <v>not calculated</v>
      </c>
      <c r="BQ102" s="92" t="s">
        <v>64</v>
      </c>
    </row>
    <row r="103" spans="12:69" ht="14.45" customHeight="1">
      <c r="L103" s="129" t="s">
        <v>471</v>
      </c>
      <c r="M103" s="763" t="s">
        <v>426</v>
      </c>
      <c r="N103" s="15" t="s">
        <v>427</v>
      </c>
      <c r="O103" s="15" t="s">
        <v>1095</v>
      </c>
      <c r="P103" s="15" t="str">
        <f t="shared" si="37"/>
        <v>melt inclusion</v>
      </c>
      <c r="Q103" s="15" t="s">
        <v>468</v>
      </c>
      <c r="R103" s="89">
        <v>87.75</v>
      </c>
      <c r="S103" s="191" t="s">
        <v>64</v>
      </c>
      <c r="T103" s="102">
        <f t="shared" si="32"/>
        <v>1253.9124833333333</v>
      </c>
      <c r="U103" s="27" t="s">
        <v>416</v>
      </c>
      <c r="V103" s="90">
        <v>7.5543120473996028E-2</v>
      </c>
      <c r="W103" s="109">
        <v>102.86000000000013</v>
      </c>
      <c r="X103" s="183" t="s">
        <v>462</v>
      </c>
      <c r="Y103" s="104">
        <v>7.8374165772402193E-2</v>
      </c>
      <c r="Z103" s="187" t="s">
        <v>462</v>
      </c>
      <c r="AA103" s="112" t="s">
        <v>64</v>
      </c>
      <c r="AB103" s="118" t="str">
        <f t="shared" si="38"/>
        <v>-</v>
      </c>
      <c r="AC103" s="201" t="s">
        <v>472</v>
      </c>
      <c r="AD103" s="27" t="s">
        <v>64</v>
      </c>
      <c r="AE103" s="202" t="s">
        <v>64</v>
      </c>
      <c r="AF103" s="199" t="s">
        <v>64</v>
      </c>
      <c r="AG103" s="1038" t="s">
        <v>1113</v>
      </c>
      <c r="AH103" s="157" t="s">
        <v>64</v>
      </c>
      <c r="AI103" s="18">
        <v>0.87</v>
      </c>
      <c r="AJ103" s="16">
        <v>49.415444444444439</v>
      </c>
      <c r="AK103" s="16">
        <v>2.2743888888888892</v>
      </c>
      <c r="AL103" s="16">
        <v>11.723777777777778</v>
      </c>
      <c r="AM103" s="16">
        <v>11.199999999999996</v>
      </c>
      <c r="AN103" s="16">
        <v>0.11344444444444446</v>
      </c>
      <c r="AO103" s="16">
        <v>11.935944444444445</v>
      </c>
      <c r="AP103" s="16">
        <v>10.445000000000002</v>
      </c>
      <c r="AQ103" s="16">
        <v>2.0337777777777775</v>
      </c>
      <c r="AR103" s="16">
        <v>0.43277777777777776</v>
      </c>
      <c r="AS103" s="16">
        <v>0.2842777777777778</v>
      </c>
      <c r="AT103" s="152" t="s">
        <v>64</v>
      </c>
      <c r="AU103" s="16">
        <v>0.56437500000000007</v>
      </c>
      <c r="AV103" s="17">
        <f t="shared" si="39"/>
        <v>147.9</v>
      </c>
      <c r="AW103" s="27" t="str">
        <f t="shared" si="43"/>
        <v>not calculated</v>
      </c>
      <c r="AX103" s="27" t="str">
        <f t="shared" si="44"/>
        <v>not calculated</v>
      </c>
      <c r="AY103" s="18">
        <f t="shared" si="40"/>
        <v>2.2406391982182616</v>
      </c>
      <c r="AZ103" s="16">
        <f t="shared" si="41"/>
        <v>9.1839999999999975</v>
      </c>
      <c r="BA103" s="93" t="s">
        <v>64</v>
      </c>
      <c r="BB103" s="92" t="s">
        <v>64</v>
      </c>
      <c r="BC103" s="92" t="s">
        <v>64</v>
      </c>
      <c r="BD103" s="92" t="s">
        <v>64</v>
      </c>
      <c r="BE103" s="92" t="s">
        <v>64</v>
      </c>
      <c r="BF103" s="92" t="s">
        <v>64</v>
      </c>
      <c r="BG103" s="92" t="s">
        <v>64</v>
      </c>
      <c r="BH103" s="92" t="s">
        <v>64</v>
      </c>
      <c r="BI103" s="92" t="s">
        <v>64</v>
      </c>
      <c r="BJ103" s="92" t="s">
        <v>64</v>
      </c>
      <c r="BK103" s="92" t="s">
        <v>64</v>
      </c>
      <c r="BL103" s="92" t="s">
        <v>64</v>
      </c>
      <c r="BM103" s="92" t="s">
        <v>64</v>
      </c>
      <c r="BN103" s="42">
        <v>170</v>
      </c>
      <c r="BO103" s="95" t="s">
        <v>475</v>
      </c>
      <c r="BP103" s="95" t="str">
        <f t="shared" si="46"/>
        <v>not calculated</v>
      </c>
      <c r="BQ103" s="92" t="s">
        <v>64</v>
      </c>
    </row>
    <row r="104" spans="12:69" ht="14.45" customHeight="1">
      <c r="L104" s="131" t="s">
        <v>473</v>
      </c>
      <c r="M104" s="763" t="s">
        <v>426</v>
      </c>
      <c r="N104" s="15" t="s">
        <v>427</v>
      </c>
      <c r="O104" s="15" t="s">
        <v>1096</v>
      </c>
      <c r="P104" s="15" t="str">
        <f t="shared" si="37"/>
        <v>bubble-dominated MI</v>
      </c>
      <c r="Q104" s="15" t="s">
        <v>468</v>
      </c>
      <c r="R104" s="89">
        <v>87.75</v>
      </c>
      <c r="S104" s="191" t="s">
        <v>64</v>
      </c>
      <c r="T104" s="102">
        <f t="shared" si="32"/>
        <v>1253.9124833333333</v>
      </c>
      <c r="U104" s="27" t="s">
        <v>416</v>
      </c>
      <c r="V104" s="90">
        <v>9.5076274908940661E-2</v>
      </c>
      <c r="W104" s="109">
        <v>103.01999999999998</v>
      </c>
      <c r="X104" s="183" t="s">
        <v>462</v>
      </c>
      <c r="Y104" s="104">
        <v>0.14171211299981223</v>
      </c>
      <c r="Z104" s="187" t="s">
        <v>462</v>
      </c>
      <c r="AA104" s="112">
        <v>453</v>
      </c>
      <c r="AB104" s="118">
        <f t="shared" si="38"/>
        <v>1.9284997747067998</v>
      </c>
      <c r="AC104" s="201" t="s">
        <v>474</v>
      </c>
      <c r="AD104" s="27" t="s">
        <v>64</v>
      </c>
      <c r="AE104" s="202" t="s">
        <v>64</v>
      </c>
      <c r="AF104" s="199" t="s">
        <v>64</v>
      </c>
      <c r="AG104" s="1038" t="s">
        <v>1113</v>
      </c>
      <c r="AH104" s="157" t="s">
        <v>64</v>
      </c>
      <c r="AI104" s="18">
        <v>0.87</v>
      </c>
      <c r="AJ104" s="16">
        <v>49.415444444444439</v>
      </c>
      <c r="AK104" s="16">
        <v>2.2743888888888892</v>
      </c>
      <c r="AL104" s="16">
        <v>11.723777777777778</v>
      </c>
      <c r="AM104" s="16">
        <v>11.199999999999996</v>
      </c>
      <c r="AN104" s="16">
        <v>0.11344444444444446</v>
      </c>
      <c r="AO104" s="16">
        <v>11.935944444444445</v>
      </c>
      <c r="AP104" s="16">
        <v>10.445000000000002</v>
      </c>
      <c r="AQ104" s="16">
        <v>2.0337777777777775</v>
      </c>
      <c r="AR104" s="16">
        <v>0.43277777777777776</v>
      </c>
      <c r="AS104" s="16">
        <v>0.2842777777777778</v>
      </c>
      <c r="AT104" s="152" t="s">
        <v>64</v>
      </c>
      <c r="AU104" s="16">
        <v>0.56437500000000007</v>
      </c>
      <c r="AV104" s="17">
        <f t="shared" si="39"/>
        <v>147.9</v>
      </c>
      <c r="AW104" s="27" t="str">
        <f t="shared" si="43"/>
        <v>not calculated</v>
      </c>
      <c r="AX104" s="27" t="str">
        <f t="shared" si="44"/>
        <v>not calculated</v>
      </c>
      <c r="AY104" s="18">
        <f t="shared" si="40"/>
        <v>2.2406391982182616</v>
      </c>
      <c r="AZ104" s="16">
        <f t="shared" si="41"/>
        <v>9.1839999999999975</v>
      </c>
      <c r="BA104" s="93" t="s">
        <v>64</v>
      </c>
      <c r="BB104" s="92" t="s">
        <v>64</v>
      </c>
      <c r="BC104" s="92" t="s">
        <v>64</v>
      </c>
      <c r="BD104" s="92" t="s">
        <v>64</v>
      </c>
      <c r="BE104" s="92" t="s">
        <v>64</v>
      </c>
      <c r="BF104" s="92" t="s">
        <v>64</v>
      </c>
      <c r="BG104" s="92" t="s">
        <v>64</v>
      </c>
      <c r="BH104" s="92" t="s">
        <v>64</v>
      </c>
      <c r="BI104" s="92" t="s">
        <v>64</v>
      </c>
      <c r="BJ104" s="92" t="s">
        <v>64</v>
      </c>
      <c r="BK104" s="92" t="s">
        <v>64</v>
      </c>
      <c r="BL104" s="92" t="s">
        <v>64</v>
      </c>
      <c r="BM104" s="92" t="s">
        <v>64</v>
      </c>
      <c r="BN104" s="42">
        <v>170</v>
      </c>
      <c r="BO104" s="95" t="s">
        <v>475</v>
      </c>
      <c r="BP104" s="95" t="str">
        <f t="shared" si="46"/>
        <v>not calculated</v>
      </c>
      <c r="BQ104" s="92" t="s">
        <v>64</v>
      </c>
    </row>
    <row r="105" spans="12:69" ht="14.45" customHeight="1">
      <c r="L105" s="129" t="s">
        <v>471</v>
      </c>
      <c r="M105" s="763" t="s">
        <v>426</v>
      </c>
      <c r="N105" s="15" t="s">
        <v>427</v>
      </c>
      <c r="O105" s="15" t="s">
        <v>1097</v>
      </c>
      <c r="P105" s="15" t="str">
        <f t="shared" si="37"/>
        <v>melt inclusion</v>
      </c>
      <c r="Q105" s="15" t="s">
        <v>468</v>
      </c>
      <c r="R105" s="89">
        <v>87.75</v>
      </c>
      <c r="S105" s="191" t="s">
        <v>64</v>
      </c>
      <c r="T105" s="102">
        <f t="shared" si="32"/>
        <v>1253.9124833333333</v>
      </c>
      <c r="U105" s="27" t="s">
        <v>416</v>
      </c>
      <c r="V105" s="90">
        <v>6.5089623401337546E-2</v>
      </c>
      <c r="W105" s="109">
        <v>102.91000000000008</v>
      </c>
      <c r="X105" s="183" t="s">
        <v>462</v>
      </c>
      <c r="Y105" s="104">
        <v>9.7771249020297546E-2</v>
      </c>
      <c r="Z105" s="187" t="s">
        <v>462</v>
      </c>
      <c r="AA105" s="112" t="s">
        <v>64</v>
      </c>
      <c r="AB105" s="118" t="str">
        <f t="shared" si="38"/>
        <v>-</v>
      </c>
      <c r="AC105" s="201" t="s">
        <v>472</v>
      </c>
      <c r="AD105" s="27" t="s">
        <v>64</v>
      </c>
      <c r="AE105" s="202" t="s">
        <v>64</v>
      </c>
      <c r="AF105" s="199" t="s">
        <v>64</v>
      </c>
      <c r="AG105" s="1038" t="s">
        <v>1113</v>
      </c>
      <c r="AH105" s="157" t="s">
        <v>64</v>
      </c>
      <c r="AI105" s="18">
        <v>0.87</v>
      </c>
      <c r="AJ105" s="16">
        <v>49.415444444444439</v>
      </c>
      <c r="AK105" s="16">
        <v>2.2743888888888892</v>
      </c>
      <c r="AL105" s="16">
        <v>11.723777777777778</v>
      </c>
      <c r="AM105" s="16">
        <v>11.199999999999996</v>
      </c>
      <c r="AN105" s="16">
        <v>0.11344444444444446</v>
      </c>
      <c r="AO105" s="16">
        <v>11.935944444444445</v>
      </c>
      <c r="AP105" s="16">
        <v>10.445000000000002</v>
      </c>
      <c r="AQ105" s="16">
        <v>2.0337777777777775</v>
      </c>
      <c r="AR105" s="16">
        <v>0.43277777777777776</v>
      </c>
      <c r="AS105" s="16">
        <v>0.2842777777777778</v>
      </c>
      <c r="AT105" s="152" t="s">
        <v>64</v>
      </c>
      <c r="AU105" s="16">
        <v>0.56437500000000007</v>
      </c>
      <c r="AV105" s="17">
        <f t="shared" si="39"/>
        <v>147.9</v>
      </c>
      <c r="AW105" s="27" t="str">
        <f t="shared" si="43"/>
        <v>not calculated</v>
      </c>
      <c r="AX105" s="27" t="str">
        <f t="shared" si="44"/>
        <v>not calculated</v>
      </c>
      <c r="AY105" s="18">
        <f t="shared" si="40"/>
        <v>2.2406391982182616</v>
      </c>
      <c r="AZ105" s="16">
        <f t="shared" si="41"/>
        <v>9.1839999999999975</v>
      </c>
      <c r="BA105" s="93" t="s">
        <v>64</v>
      </c>
      <c r="BB105" s="92" t="s">
        <v>64</v>
      </c>
      <c r="BC105" s="92" t="s">
        <v>64</v>
      </c>
      <c r="BD105" s="92" t="s">
        <v>64</v>
      </c>
      <c r="BE105" s="92" t="s">
        <v>64</v>
      </c>
      <c r="BF105" s="92" t="s">
        <v>64</v>
      </c>
      <c r="BG105" s="92" t="s">
        <v>64</v>
      </c>
      <c r="BH105" s="92" t="s">
        <v>64</v>
      </c>
      <c r="BI105" s="92" t="s">
        <v>64</v>
      </c>
      <c r="BJ105" s="92" t="s">
        <v>64</v>
      </c>
      <c r="BK105" s="92" t="s">
        <v>64</v>
      </c>
      <c r="BL105" s="92" t="s">
        <v>64</v>
      </c>
      <c r="BM105" s="92" t="s">
        <v>64</v>
      </c>
      <c r="BN105" s="42">
        <v>170</v>
      </c>
      <c r="BO105" s="95" t="s">
        <v>475</v>
      </c>
      <c r="BP105" s="95" t="str">
        <f t="shared" si="46"/>
        <v>not calculated</v>
      </c>
      <c r="BQ105" s="92" t="s">
        <v>64</v>
      </c>
    </row>
    <row r="106" spans="12:69" ht="14.45" customHeight="1">
      <c r="L106" s="131" t="s">
        <v>473</v>
      </c>
      <c r="M106" s="763" t="s">
        <v>426</v>
      </c>
      <c r="N106" s="15" t="s">
        <v>427</v>
      </c>
      <c r="O106" s="15" t="s">
        <v>1098</v>
      </c>
      <c r="P106" s="15" t="str">
        <f t="shared" si="37"/>
        <v>bubble-dominated MI</v>
      </c>
      <c r="Q106" s="15" t="s">
        <v>468</v>
      </c>
      <c r="R106" s="89">
        <v>87.75</v>
      </c>
      <c r="S106" s="191" t="s">
        <v>64</v>
      </c>
      <c r="T106" s="102">
        <f t="shared" si="32"/>
        <v>1253.9124833333333</v>
      </c>
      <c r="U106" s="27" t="s">
        <v>416</v>
      </c>
      <c r="V106" s="90">
        <v>0.19267587001106776</v>
      </c>
      <c r="W106" s="109">
        <v>103.14300000000003</v>
      </c>
      <c r="X106" s="183" t="s">
        <v>462</v>
      </c>
      <c r="Y106" s="104">
        <v>0.19266370176774217</v>
      </c>
      <c r="Z106" s="187" t="s">
        <v>462</v>
      </c>
      <c r="AA106" s="112">
        <v>645</v>
      </c>
      <c r="AB106" s="118">
        <f t="shared" si="38"/>
        <v>2.6931588709500001</v>
      </c>
      <c r="AC106" s="201" t="s">
        <v>474</v>
      </c>
      <c r="AD106" s="27" t="s">
        <v>64</v>
      </c>
      <c r="AE106" s="202" t="s">
        <v>64</v>
      </c>
      <c r="AF106" s="199" t="s">
        <v>64</v>
      </c>
      <c r="AG106" s="1038" t="s">
        <v>1113</v>
      </c>
      <c r="AH106" s="157" t="s">
        <v>64</v>
      </c>
      <c r="AI106" s="18">
        <v>0.87</v>
      </c>
      <c r="AJ106" s="16">
        <v>49.415444444444439</v>
      </c>
      <c r="AK106" s="16">
        <v>2.2743888888888892</v>
      </c>
      <c r="AL106" s="16">
        <v>11.723777777777778</v>
      </c>
      <c r="AM106" s="16">
        <v>11.199999999999996</v>
      </c>
      <c r="AN106" s="16">
        <v>0.11344444444444446</v>
      </c>
      <c r="AO106" s="16">
        <v>11.935944444444445</v>
      </c>
      <c r="AP106" s="16">
        <v>10.445000000000002</v>
      </c>
      <c r="AQ106" s="16">
        <v>2.0337777777777775</v>
      </c>
      <c r="AR106" s="16">
        <v>0.43277777777777776</v>
      </c>
      <c r="AS106" s="16">
        <v>0.2842777777777778</v>
      </c>
      <c r="AT106" s="152" t="s">
        <v>64</v>
      </c>
      <c r="AU106" s="16">
        <v>0.56437500000000007</v>
      </c>
      <c r="AV106" s="17">
        <f t="shared" si="39"/>
        <v>147.9</v>
      </c>
      <c r="AW106" s="27" t="str">
        <f t="shared" si="43"/>
        <v>not calculated</v>
      </c>
      <c r="AX106" s="27" t="str">
        <f t="shared" si="44"/>
        <v>not calculated</v>
      </c>
      <c r="AY106" s="18">
        <f t="shared" si="40"/>
        <v>2.2406391982182616</v>
      </c>
      <c r="AZ106" s="16">
        <f t="shared" si="41"/>
        <v>9.1839999999999975</v>
      </c>
      <c r="BA106" s="93" t="s">
        <v>64</v>
      </c>
      <c r="BB106" s="92" t="s">
        <v>64</v>
      </c>
      <c r="BC106" s="92" t="s">
        <v>64</v>
      </c>
      <c r="BD106" s="92" t="s">
        <v>64</v>
      </c>
      <c r="BE106" s="92" t="s">
        <v>64</v>
      </c>
      <c r="BF106" s="92" t="s">
        <v>64</v>
      </c>
      <c r="BG106" s="92" t="s">
        <v>64</v>
      </c>
      <c r="BH106" s="92" t="s">
        <v>64</v>
      </c>
      <c r="BI106" s="92" t="s">
        <v>64</v>
      </c>
      <c r="BJ106" s="92" t="s">
        <v>64</v>
      </c>
      <c r="BK106" s="92" t="s">
        <v>64</v>
      </c>
      <c r="BL106" s="92" t="s">
        <v>64</v>
      </c>
      <c r="BM106" s="92" t="s">
        <v>64</v>
      </c>
      <c r="BN106" s="42">
        <v>170</v>
      </c>
      <c r="BO106" s="95" t="s">
        <v>475</v>
      </c>
      <c r="BP106" s="95" t="str">
        <f t="shared" si="46"/>
        <v>not calculated</v>
      </c>
      <c r="BQ106" s="92" t="s">
        <v>64</v>
      </c>
    </row>
    <row r="107" spans="12:69" ht="14.45" customHeight="1">
      <c r="L107" s="127" t="s">
        <v>64</v>
      </c>
      <c r="M107" s="763" t="s">
        <v>426</v>
      </c>
      <c r="N107" s="15" t="s">
        <v>427</v>
      </c>
      <c r="O107" s="15" t="s">
        <v>1099</v>
      </c>
      <c r="P107" s="15" t="str">
        <f t="shared" si="37"/>
        <v>melt inclusion</v>
      </c>
      <c r="Q107" s="15" t="s">
        <v>468</v>
      </c>
      <c r="R107" s="89">
        <v>87.75</v>
      </c>
      <c r="S107" s="191" t="s">
        <v>64</v>
      </c>
      <c r="T107" s="102">
        <f t="shared" si="32"/>
        <v>1253.9124833333333</v>
      </c>
      <c r="U107" s="27" t="s">
        <v>416</v>
      </c>
      <c r="V107" s="90">
        <v>2.742851911802047E-2</v>
      </c>
      <c r="W107" s="109">
        <v>102.79100000000017</v>
      </c>
      <c r="X107" s="183" t="s">
        <v>462</v>
      </c>
      <c r="Y107" s="104">
        <v>5.2254421643738169E-2</v>
      </c>
      <c r="Z107" s="187" t="s">
        <v>462</v>
      </c>
      <c r="AA107" s="112" t="s">
        <v>64</v>
      </c>
      <c r="AB107" s="118" t="str">
        <f t="shared" si="38"/>
        <v>-</v>
      </c>
      <c r="AC107" s="57">
        <v>1183</v>
      </c>
      <c r="AD107" s="27">
        <v>170.5</v>
      </c>
      <c r="AE107" s="28">
        <f>(0.0684*((AC107/1000))^3-0.5008*((AC107/1000))^2+4.47*((AC107/1000)))</f>
        <v>4.7003886401108002</v>
      </c>
      <c r="AF107" s="47">
        <f>AVERAGE(((((0.0684*(((AC107+AD107)/1000))^3-0.5008*(((AC107+AD107)/1000))^2+4.47*(((AC107+AD107)/1000))))) - AC107), (AC107 - (((0.0684*(((AC107-AD107)/1000))^3-0.5008*(((AC107-AD107)/1000))^2+4.47*(((AC107-AD107)/1000)))))))</f>
        <v>0.60941316251694388</v>
      </c>
      <c r="AG107" s="1038" t="s">
        <v>1113</v>
      </c>
      <c r="AH107" s="157" t="s">
        <v>64</v>
      </c>
      <c r="AI107" s="18">
        <v>0.87</v>
      </c>
      <c r="AJ107" s="16">
        <v>49.415444444444439</v>
      </c>
      <c r="AK107" s="16">
        <v>2.2743888888888892</v>
      </c>
      <c r="AL107" s="16">
        <v>11.723777777777778</v>
      </c>
      <c r="AM107" s="16">
        <v>11.199999999999996</v>
      </c>
      <c r="AN107" s="16">
        <v>0.11344444444444446</v>
      </c>
      <c r="AO107" s="16">
        <v>11.935944444444445</v>
      </c>
      <c r="AP107" s="16">
        <v>10.445000000000002</v>
      </c>
      <c r="AQ107" s="16">
        <v>2.0337777777777775</v>
      </c>
      <c r="AR107" s="16">
        <v>0.43277777777777776</v>
      </c>
      <c r="AS107" s="16">
        <v>0.2842777777777778</v>
      </c>
      <c r="AT107" s="152" t="s">
        <v>64</v>
      </c>
      <c r="AU107" s="16">
        <v>0.56437500000000007</v>
      </c>
      <c r="AV107" s="17">
        <f t="shared" si="39"/>
        <v>147.9</v>
      </c>
      <c r="AW107" s="27">
        <f t="shared" si="43"/>
        <v>465.96979381202419</v>
      </c>
      <c r="AX107" s="27">
        <f t="shared" si="44"/>
        <v>613.86979381202423</v>
      </c>
      <c r="AY107" s="18">
        <f t="shared" si="40"/>
        <v>2.2406391982182616</v>
      </c>
      <c r="AZ107" s="16">
        <f t="shared" si="41"/>
        <v>9.1839999999999975</v>
      </c>
      <c r="BA107" s="93" t="s">
        <v>64</v>
      </c>
      <c r="BB107" s="92" t="s">
        <v>64</v>
      </c>
      <c r="BC107" s="92" t="s">
        <v>64</v>
      </c>
      <c r="BD107" s="92" t="s">
        <v>64</v>
      </c>
      <c r="BE107" s="92" t="s">
        <v>64</v>
      </c>
      <c r="BF107" s="92" t="s">
        <v>64</v>
      </c>
      <c r="BG107" s="92" t="s">
        <v>64</v>
      </c>
      <c r="BH107" s="92" t="s">
        <v>64</v>
      </c>
      <c r="BI107" s="92" t="s">
        <v>64</v>
      </c>
      <c r="BJ107" s="92" t="s">
        <v>64</v>
      </c>
      <c r="BK107" s="92" t="s">
        <v>64</v>
      </c>
      <c r="BL107" s="92" t="s">
        <v>64</v>
      </c>
      <c r="BM107" s="92" t="s">
        <v>64</v>
      </c>
      <c r="BN107" s="42">
        <v>170</v>
      </c>
      <c r="BO107" s="95">
        <v>535.59746415175198</v>
      </c>
      <c r="BP107" s="95">
        <f t="shared" si="34"/>
        <v>705.59746415175198</v>
      </c>
      <c r="BQ107" s="92" t="s">
        <v>64</v>
      </c>
    </row>
    <row r="108" spans="12:69" ht="14.45" customHeight="1">
      <c r="L108" s="127" t="s">
        <v>64</v>
      </c>
      <c r="M108" s="763" t="s">
        <v>426</v>
      </c>
      <c r="N108" s="15" t="s">
        <v>427</v>
      </c>
      <c r="O108" s="15" t="s">
        <v>1100</v>
      </c>
      <c r="P108" s="15" t="str">
        <f t="shared" si="37"/>
        <v>melt inclusion</v>
      </c>
      <c r="Q108" s="15" t="s">
        <v>468</v>
      </c>
      <c r="R108" s="89">
        <v>87.75</v>
      </c>
      <c r="S108" s="191" t="s">
        <v>64</v>
      </c>
      <c r="T108" s="102">
        <f t="shared" si="32"/>
        <v>1253.9124833333333</v>
      </c>
      <c r="U108" s="27" t="s">
        <v>416</v>
      </c>
      <c r="V108" s="90">
        <v>1.5270185097294735E-2</v>
      </c>
      <c r="W108" s="109">
        <v>102.90000000000009</v>
      </c>
      <c r="X108" s="183" t="s">
        <v>462</v>
      </c>
      <c r="Y108" s="104">
        <v>9.3861575434857514E-2</v>
      </c>
      <c r="Z108" s="187" t="s">
        <v>462</v>
      </c>
      <c r="AA108" s="112" t="s">
        <v>64</v>
      </c>
      <c r="AB108" s="118" t="str">
        <f t="shared" si="38"/>
        <v>-</v>
      </c>
      <c r="AC108" s="57">
        <v>1172</v>
      </c>
      <c r="AD108" s="27">
        <v>169</v>
      </c>
      <c r="AE108" s="28">
        <f>(0.0684*((AC108/1000))^3-0.5008*((AC108/1000))^2+4.47*((AC108/1000)))</f>
        <v>4.6610622194431999</v>
      </c>
      <c r="AF108" s="47">
        <f>AVERAGE(((((0.0684*(((AC108+AD108)/1000))^3-0.5008*(((AC108+AD108)/1000))^2+4.47*(((AC108+AD108)/1000))))) - AC108), (AC108 - (((0.0684*(((AC108-AD108)/1000))^3-0.5008*(((AC108-AD108)/1000))^2+4.47*(((AC108-AD108)/1000)))))))</f>
        <v>0.60500948975482061</v>
      </c>
      <c r="AG108" s="1038" t="s">
        <v>1113</v>
      </c>
      <c r="AH108" s="157" t="s">
        <v>64</v>
      </c>
      <c r="AI108" s="18">
        <v>0.87</v>
      </c>
      <c r="AJ108" s="16">
        <v>49.415444444444439</v>
      </c>
      <c r="AK108" s="16">
        <v>2.2743888888888892</v>
      </c>
      <c r="AL108" s="16">
        <v>11.723777777777778</v>
      </c>
      <c r="AM108" s="16">
        <v>11.199999999999996</v>
      </c>
      <c r="AN108" s="16">
        <v>0.11344444444444446</v>
      </c>
      <c r="AO108" s="16">
        <v>11.935944444444445</v>
      </c>
      <c r="AP108" s="16">
        <v>10.445000000000002</v>
      </c>
      <c r="AQ108" s="16">
        <v>2.0337777777777775</v>
      </c>
      <c r="AR108" s="16">
        <v>0.43277777777777776</v>
      </c>
      <c r="AS108" s="16">
        <v>0.2842777777777778</v>
      </c>
      <c r="AT108" s="152" t="s">
        <v>64</v>
      </c>
      <c r="AU108" s="16">
        <v>0.56437500000000007</v>
      </c>
      <c r="AV108" s="17">
        <f t="shared" si="39"/>
        <v>147.9</v>
      </c>
      <c r="AW108" s="27">
        <f t="shared" si="43"/>
        <v>460.2267007484881</v>
      </c>
      <c r="AX108" s="27">
        <f t="shared" si="44"/>
        <v>608.12670074848813</v>
      </c>
      <c r="AY108" s="18">
        <f t="shared" si="40"/>
        <v>2.2406391982182616</v>
      </c>
      <c r="AZ108" s="16">
        <f t="shared" si="41"/>
        <v>9.1839999999999975</v>
      </c>
      <c r="BA108" s="93" t="s">
        <v>64</v>
      </c>
      <c r="BB108" s="92" t="s">
        <v>64</v>
      </c>
      <c r="BC108" s="92" t="s">
        <v>64</v>
      </c>
      <c r="BD108" s="92" t="s">
        <v>64</v>
      </c>
      <c r="BE108" s="92" t="s">
        <v>64</v>
      </c>
      <c r="BF108" s="92" t="s">
        <v>64</v>
      </c>
      <c r="BG108" s="92" t="s">
        <v>64</v>
      </c>
      <c r="BH108" s="92" t="s">
        <v>64</v>
      </c>
      <c r="BI108" s="92" t="s">
        <v>64</v>
      </c>
      <c r="BJ108" s="92" t="s">
        <v>64</v>
      </c>
      <c r="BK108" s="92" t="s">
        <v>64</v>
      </c>
      <c r="BL108" s="92" t="s">
        <v>64</v>
      </c>
      <c r="BM108" s="92" t="s">
        <v>64</v>
      </c>
      <c r="BN108" s="42">
        <v>170</v>
      </c>
      <c r="BO108" s="95">
        <v>528.99620775688288</v>
      </c>
      <c r="BP108" s="95">
        <f t="shared" si="34"/>
        <v>698.99620775688288</v>
      </c>
      <c r="BQ108" s="92" t="s">
        <v>64</v>
      </c>
    </row>
    <row r="109" spans="12:69" ht="14.45" customHeight="1">
      <c r="L109" s="127" t="s">
        <v>64</v>
      </c>
      <c r="M109" s="763" t="s">
        <v>426</v>
      </c>
      <c r="N109" s="15" t="s">
        <v>427</v>
      </c>
      <c r="O109" s="15" t="s">
        <v>1101</v>
      </c>
      <c r="P109" s="15" t="str">
        <f t="shared" si="37"/>
        <v>melt inclusion</v>
      </c>
      <c r="Q109" s="15" t="s">
        <v>468</v>
      </c>
      <c r="R109" s="89">
        <v>87.75</v>
      </c>
      <c r="S109" s="191" t="s">
        <v>64</v>
      </c>
      <c r="T109" s="102">
        <f t="shared" si="32"/>
        <v>1253.9124833333333</v>
      </c>
      <c r="U109" s="27" t="s">
        <v>416</v>
      </c>
      <c r="V109" s="90">
        <v>4.1017344701415735E-2</v>
      </c>
      <c r="W109" s="109">
        <v>102.83899999999994</v>
      </c>
      <c r="X109" s="183" t="s">
        <v>462</v>
      </c>
      <c r="Y109" s="104">
        <v>7.0342930681363214E-2</v>
      </c>
      <c r="Z109" s="187" t="s">
        <v>462</v>
      </c>
      <c r="AA109" s="112" t="s">
        <v>64</v>
      </c>
      <c r="AB109" s="118" t="str">
        <f t="shared" si="38"/>
        <v>-</v>
      </c>
      <c r="AC109" s="57">
        <v>1973</v>
      </c>
      <c r="AD109" s="27">
        <v>271.5</v>
      </c>
      <c r="AE109" s="28">
        <f>(0.0684*((AC109/1000))^3-0.5008*((AC109/1000))^2+4.47*((AC109/1000)))</f>
        <v>7.3951675520827997</v>
      </c>
      <c r="AF109" s="47">
        <f>AVERAGE(((((0.0684*(((AC109+AD109)/1000))^3-0.5008*(((AC109+AD109)/1000))^2+4.47*(((AC109+AD109)/1000))))) - AC109), (AC109 - (((0.0684*(((AC109-AD109)/1000))^3-0.5008*(((AC109-AD109)/1000))^2+4.47*(((AC109-AD109)/1000)))))))</f>
        <v>0.89531824901212076</v>
      </c>
      <c r="AG109" s="1038" t="s">
        <v>1113</v>
      </c>
      <c r="AH109" s="157" t="s">
        <v>64</v>
      </c>
      <c r="AI109" s="18">
        <v>0.87</v>
      </c>
      <c r="AJ109" s="16">
        <v>49.415444444444439</v>
      </c>
      <c r="AK109" s="16">
        <v>2.2743888888888892</v>
      </c>
      <c r="AL109" s="16">
        <v>11.723777777777778</v>
      </c>
      <c r="AM109" s="16">
        <v>11.199999999999996</v>
      </c>
      <c r="AN109" s="16">
        <v>0.11344444444444446</v>
      </c>
      <c r="AO109" s="16">
        <v>11.935944444444445</v>
      </c>
      <c r="AP109" s="16">
        <v>10.445000000000002</v>
      </c>
      <c r="AQ109" s="16">
        <v>2.0337777777777775</v>
      </c>
      <c r="AR109" s="16">
        <v>0.43277777777777776</v>
      </c>
      <c r="AS109" s="16">
        <v>0.2842777777777778</v>
      </c>
      <c r="AT109" s="152" t="s">
        <v>64</v>
      </c>
      <c r="AU109" s="16">
        <v>0.56437500000000007</v>
      </c>
      <c r="AV109" s="17">
        <f t="shared" si="39"/>
        <v>147.9</v>
      </c>
      <c r="AW109" s="27">
        <f t="shared" si="43"/>
        <v>950.79944367378766</v>
      </c>
      <c r="AX109" s="27">
        <f t="shared" si="44"/>
        <v>1098.6994436737878</v>
      </c>
      <c r="AY109" s="18">
        <f t="shared" si="40"/>
        <v>2.2406391982182616</v>
      </c>
      <c r="AZ109" s="16">
        <f t="shared" si="41"/>
        <v>9.1839999999999975</v>
      </c>
      <c r="BA109" s="93" t="s">
        <v>64</v>
      </c>
      <c r="BB109" s="92" t="s">
        <v>64</v>
      </c>
      <c r="BC109" s="92" t="s">
        <v>64</v>
      </c>
      <c r="BD109" s="92" t="s">
        <v>64</v>
      </c>
      <c r="BE109" s="92" t="s">
        <v>64</v>
      </c>
      <c r="BF109" s="92" t="s">
        <v>64</v>
      </c>
      <c r="BG109" s="92" t="s">
        <v>64</v>
      </c>
      <c r="BH109" s="92" t="s">
        <v>64</v>
      </c>
      <c r="BI109" s="92" t="s">
        <v>64</v>
      </c>
      <c r="BJ109" s="92" t="s">
        <v>64</v>
      </c>
      <c r="BK109" s="92" t="s">
        <v>64</v>
      </c>
      <c r="BL109" s="92" t="s">
        <v>64</v>
      </c>
      <c r="BM109" s="92" t="s">
        <v>64</v>
      </c>
      <c r="BN109" s="42">
        <v>170</v>
      </c>
      <c r="BO109" s="95">
        <v>1092.8729237629743</v>
      </c>
      <c r="BP109" s="95">
        <f t="shared" si="34"/>
        <v>1262.8729237629743</v>
      </c>
      <c r="BQ109" s="92" t="s">
        <v>64</v>
      </c>
    </row>
    <row r="110" spans="12:69" ht="14.45" customHeight="1">
      <c r="L110" s="129" t="s">
        <v>471</v>
      </c>
      <c r="M110" s="763" t="s">
        <v>426</v>
      </c>
      <c r="N110" s="15" t="s">
        <v>427</v>
      </c>
      <c r="O110" s="15" t="s">
        <v>1102</v>
      </c>
      <c r="P110" s="15" t="str">
        <f t="shared" si="37"/>
        <v>melt inclusion</v>
      </c>
      <c r="Q110" s="15" t="s">
        <v>468</v>
      </c>
      <c r="R110" s="89">
        <v>87.75</v>
      </c>
      <c r="S110" s="191" t="s">
        <v>64</v>
      </c>
      <c r="T110" s="102">
        <f t="shared" si="32"/>
        <v>1253.9124833333333</v>
      </c>
      <c r="U110" s="27" t="s">
        <v>416</v>
      </c>
      <c r="V110" s="90">
        <v>5.2355540113479856E-2</v>
      </c>
      <c r="W110" s="109">
        <v>102.90599999999995</v>
      </c>
      <c r="X110" s="183" t="s">
        <v>462</v>
      </c>
      <c r="Y110" s="104">
        <v>9.6205597648804542E-2</v>
      </c>
      <c r="Z110" s="187" t="s">
        <v>462</v>
      </c>
      <c r="AA110" s="112" t="s">
        <v>64</v>
      </c>
      <c r="AB110" s="118" t="str">
        <f t="shared" si="38"/>
        <v>-</v>
      </c>
      <c r="AC110" s="57">
        <v>3009</v>
      </c>
      <c r="AD110" s="27">
        <v>388.5</v>
      </c>
      <c r="AE110" s="28">
        <f>(0.0684*((AC110/1000))^3-0.5008*((AC110/1000))^2+4.47*((AC110/1000)))</f>
        <v>10.7794173486636</v>
      </c>
      <c r="AF110" s="47">
        <f>AVERAGE(((((0.0684*(((AC110+AD110)/1000))^3-0.5008*(((AC110+AD110)/1000))^2+4.47*(((AC110+AD110)/1000))))) - AC110), (AC110 - (((0.0684*(((AC110-AD110)/1000))^3-0.5008*(((AC110-AD110)/1000))^2+4.47*(((AC110-AD110)/1000)))))))</f>
        <v>1.2915320367883396</v>
      </c>
      <c r="AG110" s="1038" t="s">
        <v>1113</v>
      </c>
      <c r="AH110" s="157" t="s">
        <v>64</v>
      </c>
      <c r="AI110" s="18">
        <v>0.87</v>
      </c>
      <c r="AJ110" s="16">
        <v>49.415444444444439</v>
      </c>
      <c r="AK110" s="16">
        <v>2.2743888888888892</v>
      </c>
      <c r="AL110" s="16">
        <v>11.723777777777778</v>
      </c>
      <c r="AM110" s="16">
        <v>11.199999999999996</v>
      </c>
      <c r="AN110" s="16">
        <v>0.11344444444444446</v>
      </c>
      <c r="AO110" s="16">
        <v>11.935944444444445</v>
      </c>
      <c r="AP110" s="16">
        <v>10.445000000000002</v>
      </c>
      <c r="AQ110" s="16">
        <v>2.0337777777777775</v>
      </c>
      <c r="AR110" s="16">
        <v>0.43277777777777776</v>
      </c>
      <c r="AS110" s="16">
        <v>0.2842777777777778</v>
      </c>
      <c r="AT110" s="152" t="s">
        <v>64</v>
      </c>
      <c r="AU110" s="16">
        <v>0.56437500000000007</v>
      </c>
      <c r="AV110" s="17">
        <f t="shared" si="39"/>
        <v>147.9</v>
      </c>
      <c r="AW110" s="27">
        <f t="shared" si="43"/>
        <v>1678.2842799142352</v>
      </c>
      <c r="AX110" s="27">
        <f t="shared" si="44"/>
        <v>1826.1842799142353</v>
      </c>
      <c r="AY110" s="18">
        <f t="shared" si="40"/>
        <v>2.2406391982182616</v>
      </c>
      <c r="AZ110" s="16">
        <f t="shared" si="41"/>
        <v>9.1839999999999975</v>
      </c>
      <c r="BA110" s="93" t="s">
        <v>64</v>
      </c>
      <c r="BB110" s="92" t="s">
        <v>64</v>
      </c>
      <c r="BC110" s="92" t="s">
        <v>64</v>
      </c>
      <c r="BD110" s="92" t="s">
        <v>64</v>
      </c>
      <c r="BE110" s="92" t="s">
        <v>64</v>
      </c>
      <c r="BF110" s="92" t="s">
        <v>64</v>
      </c>
      <c r="BG110" s="92" t="s">
        <v>64</v>
      </c>
      <c r="BH110" s="92" t="s">
        <v>64</v>
      </c>
      <c r="BI110" s="92" t="s">
        <v>64</v>
      </c>
      <c r="BJ110" s="92" t="s">
        <v>64</v>
      </c>
      <c r="BK110" s="92" t="s">
        <v>64</v>
      </c>
      <c r="BL110" s="92" t="s">
        <v>64</v>
      </c>
      <c r="BM110" s="92" t="s">
        <v>64</v>
      </c>
      <c r="BN110" s="42">
        <v>170</v>
      </c>
      <c r="BO110" s="95">
        <v>1929.0623907060174</v>
      </c>
      <c r="BP110" s="95">
        <f t="shared" si="34"/>
        <v>2099.0623907060171</v>
      </c>
      <c r="BQ110" s="92" t="s">
        <v>64</v>
      </c>
    </row>
    <row r="111" spans="12:69" ht="14.45" customHeight="1">
      <c r="L111" s="129" t="s">
        <v>471</v>
      </c>
      <c r="M111" s="763" t="s">
        <v>426</v>
      </c>
      <c r="N111" s="15" t="s">
        <v>427</v>
      </c>
      <c r="O111" s="15" t="s">
        <v>1103</v>
      </c>
      <c r="P111" s="15" t="str">
        <f t="shared" si="37"/>
        <v>melt inclusion</v>
      </c>
      <c r="Q111" s="15" t="s">
        <v>468</v>
      </c>
      <c r="R111" s="89">
        <v>87.75</v>
      </c>
      <c r="S111" s="191" t="s">
        <v>64</v>
      </c>
      <c r="T111" s="102">
        <f t="shared" si="32"/>
        <v>1253.9124833333333</v>
      </c>
      <c r="U111" s="27" t="s">
        <v>416</v>
      </c>
      <c r="V111" s="90">
        <v>7.8450971350461043E-2</v>
      </c>
      <c r="W111" s="109">
        <v>102.97299999999996</v>
      </c>
      <c r="X111" s="183" t="s">
        <v>462</v>
      </c>
      <c r="Y111" s="104">
        <v>0.12273431763605913</v>
      </c>
      <c r="Z111" s="187" t="s">
        <v>462</v>
      </c>
      <c r="AA111" s="112" t="s">
        <v>64</v>
      </c>
      <c r="AB111" s="118" t="str">
        <f t="shared" si="38"/>
        <v>-</v>
      </c>
      <c r="AC111" s="201" t="s">
        <v>472</v>
      </c>
      <c r="AD111" s="27" t="s">
        <v>64</v>
      </c>
      <c r="AE111" s="202" t="s">
        <v>64</v>
      </c>
      <c r="AF111" s="199" t="s">
        <v>64</v>
      </c>
      <c r="AG111" s="1038" t="s">
        <v>1113</v>
      </c>
      <c r="AH111" s="157" t="s">
        <v>64</v>
      </c>
      <c r="AI111" s="18">
        <v>0.87</v>
      </c>
      <c r="AJ111" s="16">
        <v>49.415444444444439</v>
      </c>
      <c r="AK111" s="16">
        <v>2.2743888888888892</v>
      </c>
      <c r="AL111" s="16">
        <v>11.723777777777778</v>
      </c>
      <c r="AM111" s="16">
        <v>11.199999999999996</v>
      </c>
      <c r="AN111" s="16">
        <v>0.11344444444444446</v>
      </c>
      <c r="AO111" s="16">
        <v>11.935944444444445</v>
      </c>
      <c r="AP111" s="16">
        <v>10.445000000000002</v>
      </c>
      <c r="AQ111" s="16">
        <v>2.0337777777777775</v>
      </c>
      <c r="AR111" s="16">
        <v>0.43277777777777776</v>
      </c>
      <c r="AS111" s="16">
        <v>0.2842777777777778</v>
      </c>
      <c r="AT111" s="152" t="s">
        <v>64</v>
      </c>
      <c r="AU111" s="16">
        <v>0.56437500000000007</v>
      </c>
      <c r="AV111" s="17">
        <f t="shared" si="39"/>
        <v>147.9</v>
      </c>
      <c r="AW111" s="27" t="str">
        <f t="shared" si="43"/>
        <v>not calculated</v>
      </c>
      <c r="AX111" s="27" t="str">
        <f t="shared" si="44"/>
        <v>not calculated</v>
      </c>
      <c r="AY111" s="18">
        <f t="shared" si="40"/>
        <v>2.2406391982182616</v>
      </c>
      <c r="AZ111" s="16">
        <f t="shared" si="41"/>
        <v>9.1839999999999975</v>
      </c>
      <c r="BA111" s="93" t="s">
        <v>64</v>
      </c>
      <c r="BB111" s="92" t="s">
        <v>64</v>
      </c>
      <c r="BC111" s="92" t="s">
        <v>64</v>
      </c>
      <c r="BD111" s="92" t="s">
        <v>64</v>
      </c>
      <c r="BE111" s="92" t="s">
        <v>64</v>
      </c>
      <c r="BF111" s="92" t="s">
        <v>64</v>
      </c>
      <c r="BG111" s="92" t="s">
        <v>64</v>
      </c>
      <c r="BH111" s="92" t="s">
        <v>64</v>
      </c>
      <c r="BI111" s="92" t="s">
        <v>64</v>
      </c>
      <c r="BJ111" s="92" t="s">
        <v>64</v>
      </c>
      <c r="BK111" s="92" t="s">
        <v>64</v>
      </c>
      <c r="BL111" s="92" t="s">
        <v>64</v>
      </c>
      <c r="BM111" s="92" t="s">
        <v>64</v>
      </c>
      <c r="BN111" s="42">
        <v>170</v>
      </c>
      <c r="BO111" s="95" t="s">
        <v>475</v>
      </c>
      <c r="BP111" s="95" t="str">
        <f t="shared" ref="BP111:BP114" si="47">IF(AND(ISNUMBER(BN111),ISNUMBER(BO111)),BN111+BO111,"not calculated")</f>
        <v>not calculated</v>
      </c>
      <c r="BQ111" s="92" t="s">
        <v>64</v>
      </c>
    </row>
    <row r="112" spans="12:69" ht="14.45" customHeight="1">
      <c r="L112" s="129" t="s">
        <v>471</v>
      </c>
      <c r="M112" s="763" t="s">
        <v>426</v>
      </c>
      <c r="N112" s="15" t="s">
        <v>427</v>
      </c>
      <c r="O112" s="15" t="s">
        <v>1104</v>
      </c>
      <c r="P112" s="15" t="str">
        <f t="shared" si="37"/>
        <v>melt inclusion</v>
      </c>
      <c r="Q112" s="15" t="s">
        <v>468</v>
      </c>
      <c r="R112" s="89">
        <v>87.75</v>
      </c>
      <c r="S112" s="191" t="s">
        <v>64</v>
      </c>
      <c r="T112" s="102">
        <f t="shared" si="32"/>
        <v>1253.9124833333333</v>
      </c>
      <c r="U112" s="27" t="s">
        <v>416</v>
      </c>
      <c r="V112" s="90">
        <v>6.6752717391304339E-2</v>
      </c>
      <c r="W112" s="109">
        <v>102.97299999999996</v>
      </c>
      <c r="X112" s="183" t="s">
        <v>462</v>
      </c>
      <c r="Y112" s="104">
        <v>0.12273431763605913</v>
      </c>
      <c r="Z112" s="187" t="s">
        <v>462</v>
      </c>
      <c r="AA112" s="112" t="s">
        <v>64</v>
      </c>
      <c r="AB112" s="118" t="str">
        <f t="shared" si="38"/>
        <v>-</v>
      </c>
      <c r="AC112" s="201" t="s">
        <v>472</v>
      </c>
      <c r="AD112" s="27" t="s">
        <v>64</v>
      </c>
      <c r="AE112" s="202" t="s">
        <v>64</v>
      </c>
      <c r="AF112" s="199" t="s">
        <v>64</v>
      </c>
      <c r="AG112" s="1038" t="s">
        <v>1113</v>
      </c>
      <c r="AH112" s="157" t="s">
        <v>64</v>
      </c>
      <c r="AI112" s="18">
        <v>0.87</v>
      </c>
      <c r="AJ112" s="16">
        <v>49.415444444444439</v>
      </c>
      <c r="AK112" s="16">
        <v>2.2743888888888892</v>
      </c>
      <c r="AL112" s="16">
        <v>11.723777777777778</v>
      </c>
      <c r="AM112" s="16">
        <v>11.199999999999996</v>
      </c>
      <c r="AN112" s="16">
        <v>0.11344444444444446</v>
      </c>
      <c r="AO112" s="16">
        <v>11.935944444444445</v>
      </c>
      <c r="AP112" s="16">
        <v>10.445000000000002</v>
      </c>
      <c r="AQ112" s="16">
        <v>2.0337777777777775</v>
      </c>
      <c r="AR112" s="16">
        <v>0.43277777777777776</v>
      </c>
      <c r="AS112" s="16">
        <v>0.2842777777777778</v>
      </c>
      <c r="AT112" s="152" t="s">
        <v>64</v>
      </c>
      <c r="AU112" s="16">
        <v>0.56437500000000007</v>
      </c>
      <c r="AV112" s="17">
        <f t="shared" si="39"/>
        <v>147.9</v>
      </c>
      <c r="AW112" s="27" t="str">
        <f t="shared" si="43"/>
        <v>not calculated</v>
      </c>
      <c r="AX112" s="27" t="str">
        <f t="shared" si="44"/>
        <v>not calculated</v>
      </c>
      <c r="AY112" s="18">
        <f t="shared" si="40"/>
        <v>2.2406391982182616</v>
      </c>
      <c r="AZ112" s="16">
        <f t="shared" si="41"/>
        <v>9.1839999999999975</v>
      </c>
      <c r="BA112" s="93" t="s">
        <v>64</v>
      </c>
      <c r="BB112" s="92" t="s">
        <v>64</v>
      </c>
      <c r="BC112" s="92" t="s">
        <v>64</v>
      </c>
      <c r="BD112" s="92" t="s">
        <v>64</v>
      </c>
      <c r="BE112" s="92" t="s">
        <v>64</v>
      </c>
      <c r="BF112" s="92" t="s">
        <v>64</v>
      </c>
      <c r="BG112" s="92" t="s">
        <v>64</v>
      </c>
      <c r="BH112" s="92" t="s">
        <v>64</v>
      </c>
      <c r="BI112" s="92" t="s">
        <v>64</v>
      </c>
      <c r="BJ112" s="92" t="s">
        <v>64</v>
      </c>
      <c r="BK112" s="92" t="s">
        <v>64</v>
      </c>
      <c r="BL112" s="92" t="s">
        <v>64</v>
      </c>
      <c r="BM112" s="92" t="s">
        <v>64</v>
      </c>
      <c r="BN112" s="42">
        <v>170</v>
      </c>
      <c r="BO112" s="95" t="s">
        <v>475</v>
      </c>
      <c r="BP112" s="95" t="str">
        <f t="shared" si="47"/>
        <v>not calculated</v>
      </c>
      <c r="BQ112" s="92" t="s">
        <v>64</v>
      </c>
    </row>
    <row r="113" spans="12:69" ht="14.45" customHeight="1">
      <c r="L113" s="131" t="s">
        <v>473</v>
      </c>
      <c r="M113" s="763" t="s">
        <v>426</v>
      </c>
      <c r="N113" s="15" t="s">
        <v>427</v>
      </c>
      <c r="O113" s="15" t="s">
        <v>1105</v>
      </c>
      <c r="P113" s="15" t="str">
        <f t="shared" si="37"/>
        <v>bubble-dominated MI</v>
      </c>
      <c r="Q113" s="15" t="s">
        <v>468</v>
      </c>
      <c r="R113" s="89">
        <v>87.75</v>
      </c>
      <c r="S113" s="191" t="s">
        <v>64</v>
      </c>
      <c r="T113" s="102">
        <f t="shared" si="32"/>
        <v>1253.9124833333333</v>
      </c>
      <c r="U113" s="27" t="s">
        <v>416</v>
      </c>
      <c r="V113" s="90">
        <v>9.7279039219365745E-2</v>
      </c>
      <c r="W113" s="109">
        <v>102.92600000000016</v>
      </c>
      <c r="X113" s="183" t="s">
        <v>462</v>
      </c>
      <c r="Y113" s="104">
        <v>0.10405736165557755</v>
      </c>
      <c r="Z113" s="187" t="s">
        <v>462</v>
      </c>
      <c r="AA113" s="112">
        <v>323</v>
      </c>
      <c r="AB113" s="118">
        <f t="shared" si="38"/>
        <v>1.3938669982628</v>
      </c>
      <c r="AC113" s="201" t="s">
        <v>474</v>
      </c>
      <c r="AD113" s="27" t="s">
        <v>64</v>
      </c>
      <c r="AE113" s="202" t="s">
        <v>64</v>
      </c>
      <c r="AF113" s="199" t="s">
        <v>64</v>
      </c>
      <c r="AG113" s="1038" t="s">
        <v>1113</v>
      </c>
      <c r="AH113" s="157" t="s">
        <v>64</v>
      </c>
      <c r="AI113" s="18">
        <v>0.87</v>
      </c>
      <c r="AJ113" s="16">
        <v>49.415444444444439</v>
      </c>
      <c r="AK113" s="16">
        <v>2.2743888888888892</v>
      </c>
      <c r="AL113" s="16">
        <v>11.723777777777778</v>
      </c>
      <c r="AM113" s="16">
        <v>11.199999999999996</v>
      </c>
      <c r="AN113" s="16">
        <v>0.11344444444444446</v>
      </c>
      <c r="AO113" s="16">
        <v>11.935944444444445</v>
      </c>
      <c r="AP113" s="16">
        <v>10.445000000000002</v>
      </c>
      <c r="AQ113" s="16">
        <v>2.0337777777777775</v>
      </c>
      <c r="AR113" s="16">
        <v>0.43277777777777776</v>
      </c>
      <c r="AS113" s="16">
        <v>0.2842777777777778</v>
      </c>
      <c r="AT113" s="152" t="s">
        <v>64</v>
      </c>
      <c r="AU113" s="16">
        <v>0.56437500000000007</v>
      </c>
      <c r="AV113" s="17">
        <f t="shared" si="39"/>
        <v>147.9</v>
      </c>
      <c r="AW113" s="27" t="str">
        <f t="shared" si="43"/>
        <v>not calculated</v>
      </c>
      <c r="AX113" s="27" t="str">
        <f t="shared" si="44"/>
        <v>not calculated</v>
      </c>
      <c r="AY113" s="18">
        <f t="shared" si="40"/>
        <v>2.2406391982182616</v>
      </c>
      <c r="AZ113" s="16">
        <f t="shared" si="41"/>
        <v>9.1839999999999975</v>
      </c>
      <c r="BA113" s="93" t="s">
        <v>64</v>
      </c>
      <c r="BB113" s="92" t="s">
        <v>64</v>
      </c>
      <c r="BC113" s="92" t="s">
        <v>64</v>
      </c>
      <c r="BD113" s="92" t="s">
        <v>64</v>
      </c>
      <c r="BE113" s="92" t="s">
        <v>64</v>
      </c>
      <c r="BF113" s="92" t="s">
        <v>64</v>
      </c>
      <c r="BG113" s="92" t="s">
        <v>64</v>
      </c>
      <c r="BH113" s="92" t="s">
        <v>64</v>
      </c>
      <c r="BI113" s="92" t="s">
        <v>64</v>
      </c>
      <c r="BJ113" s="92" t="s">
        <v>64</v>
      </c>
      <c r="BK113" s="92" t="s">
        <v>64</v>
      </c>
      <c r="BL113" s="92" t="s">
        <v>64</v>
      </c>
      <c r="BM113" s="92" t="s">
        <v>64</v>
      </c>
      <c r="BN113" s="42">
        <v>170</v>
      </c>
      <c r="BO113" s="95" t="s">
        <v>475</v>
      </c>
      <c r="BP113" s="95" t="str">
        <f t="shared" si="47"/>
        <v>not calculated</v>
      </c>
      <c r="BQ113" s="92" t="s">
        <v>64</v>
      </c>
    </row>
    <row r="114" spans="12:69" ht="14.45" customHeight="1">
      <c r="L114" s="129" t="s">
        <v>471</v>
      </c>
      <c r="M114" s="763" t="s">
        <v>426</v>
      </c>
      <c r="N114" s="15" t="s">
        <v>427</v>
      </c>
      <c r="O114" s="15" t="s">
        <v>1106</v>
      </c>
      <c r="P114" s="15" t="str">
        <f t="shared" si="37"/>
        <v>melt inclusion</v>
      </c>
      <c r="Q114" s="15" t="s">
        <v>468</v>
      </c>
      <c r="R114" s="89">
        <v>87.75</v>
      </c>
      <c r="S114" s="191" t="s">
        <v>64</v>
      </c>
      <c r="T114" s="102">
        <f t="shared" ref="T114:T120" si="48" xml:space="preserve"> 20.1*AO114+1014</f>
        <v>1253.9124833333333</v>
      </c>
      <c r="U114" s="27" t="s">
        <v>416</v>
      </c>
      <c r="V114" s="90">
        <v>7.543523459330688E-2</v>
      </c>
      <c r="W114" s="109">
        <v>102.90200000000004</v>
      </c>
      <c r="X114" s="183" t="s">
        <v>462</v>
      </c>
      <c r="Y114" s="104">
        <v>9.4642320262209978E-2</v>
      </c>
      <c r="Z114" s="187" t="s">
        <v>462</v>
      </c>
      <c r="AA114" s="112" t="s">
        <v>64</v>
      </c>
      <c r="AB114" s="116" t="str">
        <f t="shared" si="38"/>
        <v>-</v>
      </c>
      <c r="AC114" s="201" t="s">
        <v>472</v>
      </c>
      <c r="AD114" s="27" t="s">
        <v>64</v>
      </c>
      <c r="AE114" s="202" t="s">
        <v>64</v>
      </c>
      <c r="AF114" s="199" t="s">
        <v>64</v>
      </c>
      <c r="AG114" s="1038" t="s">
        <v>1113</v>
      </c>
      <c r="AH114" s="157" t="s">
        <v>64</v>
      </c>
      <c r="AI114" s="18">
        <v>0.87</v>
      </c>
      <c r="AJ114" s="16">
        <v>49.415444444444439</v>
      </c>
      <c r="AK114" s="16">
        <v>2.2743888888888892</v>
      </c>
      <c r="AL114" s="16">
        <v>11.723777777777778</v>
      </c>
      <c r="AM114" s="16">
        <v>11.199999999999996</v>
      </c>
      <c r="AN114" s="16">
        <v>0.11344444444444446</v>
      </c>
      <c r="AO114" s="16">
        <v>11.935944444444445</v>
      </c>
      <c r="AP114" s="16">
        <v>10.445000000000002</v>
      </c>
      <c r="AQ114" s="16">
        <v>2.0337777777777775</v>
      </c>
      <c r="AR114" s="16">
        <v>0.43277777777777776</v>
      </c>
      <c r="AS114" s="16">
        <v>0.2842777777777778</v>
      </c>
      <c r="AT114" s="152" t="s">
        <v>64</v>
      </c>
      <c r="AU114" s="16">
        <v>0.56437500000000007</v>
      </c>
      <c r="AV114" s="17">
        <f t="shared" si="39"/>
        <v>147.9</v>
      </c>
      <c r="AW114" s="27" t="str">
        <f t="shared" si="43"/>
        <v>not calculated</v>
      </c>
      <c r="AX114" s="27" t="str">
        <f t="shared" si="44"/>
        <v>not calculated</v>
      </c>
      <c r="AY114" s="18">
        <f t="shared" si="40"/>
        <v>2.2406391982182616</v>
      </c>
      <c r="AZ114" s="16">
        <f t="shared" si="41"/>
        <v>9.1839999999999975</v>
      </c>
      <c r="BA114" s="93" t="s">
        <v>64</v>
      </c>
      <c r="BB114" s="92" t="s">
        <v>64</v>
      </c>
      <c r="BC114" s="92" t="s">
        <v>64</v>
      </c>
      <c r="BD114" s="92" t="s">
        <v>64</v>
      </c>
      <c r="BE114" s="92" t="s">
        <v>64</v>
      </c>
      <c r="BF114" s="92" t="s">
        <v>64</v>
      </c>
      <c r="BG114" s="92" t="s">
        <v>64</v>
      </c>
      <c r="BH114" s="92" t="s">
        <v>64</v>
      </c>
      <c r="BI114" s="92" t="s">
        <v>64</v>
      </c>
      <c r="BJ114" s="92" t="s">
        <v>64</v>
      </c>
      <c r="BK114" s="92" t="s">
        <v>64</v>
      </c>
      <c r="BL114" s="92" t="s">
        <v>64</v>
      </c>
      <c r="BM114" s="92" t="s">
        <v>64</v>
      </c>
      <c r="BN114" s="42">
        <v>170</v>
      </c>
      <c r="BO114" s="95" t="s">
        <v>475</v>
      </c>
      <c r="BP114" s="95" t="str">
        <f t="shared" si="47"/>
        <v>not calculated</v>
      </c>
      <c r="BQ114" s="92" t="s">
        <v>64</v>
      </c>
    </row>
    <row r="115" spans="12:69" ht="14.45" customHeight="1">
      <c r="L115" s="127" t="s">
        <v>64</v>
      </c>
      <c r="M115" s="763" t="s">
        <v>426</v>
      </c>
      <c r="N115" s="15" t="s">
        <v>427</v>
      </c>
      <c r="O115" s="15" t="s">
        <v>1107</v>
      </c>
      <c r="P115" s="15" t="str">
        <f t="shared" si="37"/>
        <v>melt inclusion</v>
      </c>
      <c r="Q115" s="15" t="s">
        <v>468</v>
      </c>
      <c r="R115" s="89">
        <v>87.75</v>
      </c>
      <c r="S115" s="191" t="s">
        <v>64</v>
      </c>
      <c r="T115" s="102">
        <f t="shared" si="48"/>
        <v>1253.9124833333333</v>
      </c>
      <c r="U115" s="27" t="s">
        <v>416</v>
      </c>
      <c r="V115" s="90">
        <v>1.8035219612321816E-2</v>
      </c>
      <c r="W115" s="109">
        <v>102.86299999999983</v>
      </c>
      <c r="X115" s="183" t="s">
        <v>462</v>
      </c>
      <c r="Y115" s="104">
        <v>7.9527167028572876E-2</v>
      </c>
      <c r="Z115" s="187" t="s">
        <v>462</v>
      </c>
      <c r="AA115" s="112" t="s">
        <v>64</v>
      </c>
      <c r="AB115" s="116" t="str">
        <f t="shared" si="38"/>
        <v>-</v>
      </c>
      <c r="AC115" s="57">
        <v>1429</v>
      </c>
      <c r="AD115" s="27">
        <v>203</v>
      </c>
      <c r="AE115" s="28">
        <f>(0.0684*((AC115/1000))^3-0.5008*((AC115/1000))^2+4.47*((AC115/1000)))</f>
        <v>5.5645723058875998</v>
      </c>
      <c r="AF115" s="47">
        <f>AVERAGE(((((0.0684*(((AC115+AD115)/1000))^3-0.5008*(((AC115+AD115)/1000))^2+4.47*(((AC115+AD115)/1000))))) - AC115), (AC115 - (((0.0684*(((AC115-AD115)/1000))^3-0.5008*(((AC115-AD115)/1000))^2+4.47*(((AC115-AD115)/1000)))))))</f>
        <v>0.7024934990863585</v>
      </c>
      <c r="AG115" s="1038" t="s">
        <v>1113</v>
      </c>
      <c r="AH115" s="157" t="s">
        <v>64</v>
      </c>
      <c r="AI115" s="18">
        <v>0.87</v>
      </c>
      <c r="AJ115" s="16">
        <v>49.415444444444439</v>
      </c>
      <c r="AK115" s="16">
        <v>2.2743888888888892</v>
      </c>
      <c r="AL115" s="16">
        <v>11.723777777777778</v>
      </c>
      <c r="AM115" s="16">
        <v>11.199999999999996</v>
      </c>
      <c r="AN115" s="16">
        <v>0.11344444444444446</v>
      </c>
      <c r="AO115" s="16">
        <v>11.935944444444445</v>
      </c>
      <c r="AP115" s="16">
        <v>10.445000000000002</v>
      </c>
      <c r="AQ115" s="16">
        <v>2.0337777777777775</v>
      </c>
      <c r="AR115" s="16">
        <v>0.43277777777777776</v>
      </c>
      <c r="AS115" s="16">
        <v>0.2842777777777778</v>
      </c>
      <c r="AT115" s="152" t="s">
        <v>64</v>
      </c>
      <c r="AU115" s="16">
        <v>0.56437500000000007</v>
      </c>
      <c r="AV115" s="17">
        <f t="shared" si="39"/>
        <v>297.54000000000002</v>
      </c>
      <c r="AW115" s="27">
        <f t="shared" si="43"/>
        <v>461.84578537521298</v>
      </c>
      <c r="AX115" s="27">
        <f t="shared" si="44"/>
        <v>759.385785375213</v>
      </c>
      <c r="AY115" s="18">
        <f t="shared" si="40"/>
        <v>2.2406391982182616</v>
      </c>
      <c r="AZ115" s="16">
        <f t="shared" si="41"/>
        <v>9.1839999999999975</v>
      </c>
      <c r="BA115" s="93" t="s">
        <v>64</v>
      </c>
      <c r="BB115" s="92" t="s">
        <v>64</v>
      </c>
      <c r="BC115" s="92" t="s">
        <v>64</v>
      </c>
      <c r="BD115" s="92" t="s">
        <v>64</v>
      </c>
      <c r="BE115" s="92" t="s">
        <v>64</v>
      </c>
      <c r="BF115" s="92" t="s">
        <v>64</v>
      </c>
      <c r="BG115" s="92" t="s">
        <v>64</v>
      </c>
      <c r="BH115" s="92" t="s">
        <v>64</v>
      </c>
      <c r="BI115" s="92" t="s">
        <v>64</v>
      </c>
      <c r="BJ115" s="92" t="s">
        <v>64</v>
      </c>
      <c r="BK115" s="92" t="s">
        <v>64</v>
      </c>
      <c r="BL115" s="92" t="s">
        <v>64</v>
      </c>
      <c r="BM115" s="92" t="s">
        <v>64</v>
      </c>
      <c r="BN115" s="84">
        <v>342</v>
      </c>
      <c r="BO115" s="95">
        <v>530.8572245692103</v>
      </c>
      <c r="BP115" s="95">
        <f t="shared" si="34"/>
        <v>872.8572245692103</v>
      </c>
      <c r="BQ115" s="92" t="s">
        <v>64</v>
      </c>
    </row>
    <row r="116" spans="12:69" ht="14.45" customHeight="1">
      <c r="L116" s="129" t="s">
        <v>471</v>
      </c>
      <c r="M116" s="763" t="s">
        <v>426</v>
      </c>
      <c r="N116" s="15" t="s">
        <v>427</v>
      </c>
      <c r="O116" s="15" t="s">
        <v>1108</v>
      </c>
      <c r="P116" s="15" t="str">
        <f t="shared" si="37"/>
        <v>melt inclusion</v>
      </c>
      <c r="Q116" s="15" t="s">
        <v>468</v>
      </c>
      <c r="R116" s="89">
        <v>87.75</v>
      </c>
      <c r="S116" s="191" t="s">
        <v>64</v>
      </c>
      <c r="T116" s="102">
        <f t="shared" si="48"/>
        <v>1253.9124833333333</v>
      </c>
      <c r="U116" s="27" t="s">
        <v>416</v>
      </c>
      <c r="V116" s="90">
        <v>6.2257848226087154E-2</v>
      </c>
      <c r="W116" s="109">
        <v>102.91200000000003</v>
      </c>
      <c r="X116" s="183" t="s">
        <v>462</v>
      </c>
      <c r="Y116" s="104">
        <v>9.8554961317859124E-2</v>
      </c>
      <c r="Z116" s="187" t="s">
        <v>462</v>
      </c>
      <c r="AA116" s="112" t="s">
        <v>64</v>
      </c>
      <c r="AB116" s="116" t="str">
        <f t="shared" si="38"/>
        <v>-</v>
      </c>
      <c r="AC116" s="201" t="s">
        <v>472</v>
      </c>
      <c r="AD116" s="27" t="s">
        <v>64</v>
      </c>
      <c r="AE116" s="202" t="s">
        <v>64</v>
      </c>
      <c r="AF116" s="199" t="s">
        <v>64</v>
      </c>
      <c r="AG116" s="1038" t="s">
        <v>1113</v>
      </c>
      <c r="AH116" s="157" t="s">
        <v>64</v>
      </c>
      <c r="AI116" s="18">
        <v>0.87</v>
      </c>
      <c r="AJ116" s="16">
        <v>49.415444444444439</v>
      </c>
      <c r="AK116" s="16">
        <v>2.2743888888888892</v>
      </c>
      <c r="AL116" s="16">
        <v>11.723777777777778</v>
      </c>
      <c r="AM116" s="16">
        <v>11.199999999999996</v>
      </c>
      <c r="AN116" s="16">
        <v>0.11344444444444446</v>
      </c>
      <c r="AO116" s="16">
        <v>11.935944444444445</v>
      </c>
      <c r="AP116" s="16">
        <v>10.445000000000002</v>
      </c>
      <c r="AQ116" s="16">
        <v>2.0337777777777775</v>
      </c>
      <c r="AR116" s="16">
        <v>0.43277777777777776</v>
      </c>
      <c r="AS116" s="16">
        <v>0.2842777777777778</v>
      </c>
      <c r="AT116" s="152" t="s">
        <v>64</v>
      </c>
      <c r="AU116" s="16">
        <v>0.56437500000000007</v>
      </c>
      <c r="AV116" s="17">
        <f t="shared" si="39"/>
        <v>147.9</v>
      </c>
      <c r="AW116" s="27" t="str">
        <f t="shared" si="43"/>
        <v>not calculated</v>
      </c>
      <c r="AX116" s="27" t="str">
        <f t="shared" si="44"/>
        <v>not calculated</v>
      </c>
      <c r="AY116" s="18">
        <f t="shared" si="40"/>
        <v>2.2406391982182616</v>
      </c>
      <c r="AZ116" s="16">
        <f t="shared" si="41"/>
        <v>9.1839999999999975</v>
      </c>
      <c r="BA116" s="93" t="s">
        <v>64</v>
      </c>
      <c r="BB116" s="92" t="s">
        <v>64</v>
      </c>
      <c r="BC116" s="92" t="s">
        <v>64</v>
      </c>
      <c r="BD116" s="92" t="s">
        <v>64</v>
      </c>
      <c r="BE116" s="92" t="s">
        <v>64</v>
      </c>
      <c r="BF116" s="92" t="s">
        <v>64</v>
      </c>
      <c r="BG116" s="92" t="s">
        <v>64</v>
      </c>
      <c r="BH116" s="92" t="s">
        <v>64</v>
      </c>
      <c r="BI116" s="92" t="s">
        <v>64</v>
      </c>
      <c r="BJ116" s="92" t="s">
        <v>64</v>
      </c>
      <c r="BK116" s="92" t="s">
        <v>64</v>
      </c>
      <c r="BL116" s="92" t="s">
        <v>64</v>
      </c>
      <c r="BM116" s="92" t="s">
        <v>64</v>
      </c>
      <c r="BN116" s="42">
        <v>170</v>
      </c>
      <c r="BO116" s="95" t="s">
        <v>475</v>
      </c>
      <c r="BP116" s="95" t="str">
        <f t="shared" ref="BP116:BP117" si="49">IF(AND(ISNUMBER(BN116),ISNUMBER(BO116)),BN116+BO116,"not calculated")</f>
        <v>not calculated</v>
      </c>
      <c r="BQ116" s="92" t="s">
        <v>64</v>
      </c>
    </row>
    <row r="117" spans="12:69" ht="14.45" customHeight="1">
      <c r="L117" s="129" t="s">
        <v>471</v>
      </c>
      <c r="M117" s="763" t="s">
        <v>426</v>
      </c>
      <c r="N117" s="15" t="s">
        <v>427</v>
      </c>
      <c r="O117" s="15" t="s">
        <v>1109</v>
      </c>
      <c r="P117" s="15" t="str">
        <f t="shared" si="37"/>
        <v>melt inclusion</v>
      </c>
      <c r="Q117" s="15" t="s">
        <v>468</v>
      </c>
      <c r="R117" s="89">
        <v>87.75</v>
      </c>
      <c r="S117" s="191" t="s">
        <v>64</v>
      </c>
      <c r="T117" s="102">
        <f t="shared" si="48"/>
        <v>1253.9124833333333</v>
      </c>
      <c r="U117" s="27" t="s">
        <v>416</v>
      </c>
      <c r="V117" s="90">
        <v>8.6702332014706243E-2</v>
      </c>
      <c r="W117" s="109">
        <v>102.9380000000001</v>
      </c>
      <c r="X117" s="183" t="s">
        <v>462</v>
      </c>
      <c r="Y117" s="104">
        <v>0.10879630264389561</v>
      </c>
      <c r="Z117" s="187" t="s">
        <v>462</v>
      </c>
      <c r="AA117" s="112" t="s">
        <v>64</v>
      </c>
      <c r="AB117" s="116" t="str">
        <f t="shared" si="38"/>
        <v>-</v>
      </c>
      <c r="AC117" s="201" t="s">
        <v>472</v>
      </c>
      <c r="AD117" s="27" t="s">
        <v>64</v>
      </c>
      <c r="AE117" s="202" t="s">
        <v>64</v>
      </c>
      <c r="AF117" s="199" t="s">
        <v>64</v>
      </c>
      <c r="AG117" s="1038" t="s">
        <v>1113</v>
      </c>
      <c r="AH117" s="157" t="s">
        <v>64</v>
      </c>
      <c r="AI117" s="18">
        <v>0.87</v>
      </c>
      <c r="AJ117" s="16">
        <v>49.415444444444439</v>
      </c>
      <c r="AK117" s="16">
        <v>2.2743888888888892</v>
      </c>
      <c r="AL117" s="16">
        <v>11.723777777777778</v>
      </c>
      <c r="AM117" s="16">
        <v>11.199999999999996</v>
      </c>
      <c r="AN117" s="16">
        <v>0.11344444444444446</v>
      </c>
      <c r="AO117" s="16">
        <v>11.935944444444445</v>
      </c>
      <c r="AP117" s="16">
        <v>10.445000000000002</v>
      </c>
      <c r="AQ117" s="16">
        <v>2.0337777777777775</v>
      </c>
      <c r="AR117" s="16">
        <v>0.43277777777777776</v>
      </c>
      <c r="AS117" s="16">
        <v>0.2842777777777778</v>
      </c>
      <c r="AT117" s="152" t="s">
        <v>64</v>
      </c>
      <c r="AU117" s="16">
        <v>0.56437500000000007</v>
      </c>
      <c r="AV117" s="17">
        <f t="shared" si="39"/>
        <v>147.9</v>
      </c>
      <c r="AW117" s="27" t="str">
        <f t="shared" si="43"/>
        <v>not calculated</v>
      </c>
      <c r="AX117" s="27" t="str">
        <f t="shared" si="44"/>
        <v>not calculated</v>
      </c>
      <c r="AY117" s="18">
        <f t="shared" si="40"/>
        <v>2.2406391982182616</v>
      </c>
      <c r="AZ117" s="16">
        <f t="shared" si="41"/>
        <v>9.1839999999999975</v>
      </c>
      <c r="BA117" s="93" t="s">
        <v>64</v>
      </c>
      <c r="BB117" s="92" t="s">
        <v>64</v>
      </c>
      <c r="BC117" s="92" t="s">
        <v>64</v>
      </c>
      <c r="BD117" s="92" t="s">
        <v>64</v>
      </c>
      <c r="BE117" s="92" t="s">
        <v>64</v>
      </c>
      <c r="BF117" s="92" t="s">
        <v>64</v>
      </c>
      <c r="BG117" s="92" t="s">
        <v>64</v>
      </c>
      <c r="BH117" s="92" t="s">
        <v>64</v>
      </c>
      <c r="BI117" s="92" t="s">
        <v>64</v>
      </c>
      <c r="BJ117" s="92" t="s">
        <v>64</v>
      </c>
      <c r="BK117" s="92" t="s">
        <v>64</v>
      </c>
      <c r="BL117" s="92" t="s">
        <v>64</v>
      </c>
      <c r="BM117" s="92" t="s">
        <v>64</v>
      </c>
      <c r="BN117" s="42">
        <v>170</v>
      </c>
      <c r="BO117" s="95" t="s">
        <v>475</v>
      </c>
      <c r="BP117" s="95" t="str">
        <f t="shared" si="49"/>
        <v>not calculated</v>
      </c>
      <c r="BQ117" s="92" t="s">
        <v>64</v>
      </c>
    </row>
    <row r="118" spans="12:69" ht="14.45" customHeight="1">
      <c r="L118" s="127" t="s">
        <v>64</v>
      </c>
      <c r="M118" s="763" t="s">
        <v>426</v>
      </c>
      <c r="N118" s="15" t="s">
        <v>427</v>
      </c>
      <c r="O118" s="15" t="s">
        <v>1110</v>
      </c>
      <c r="P118" s="15" t="str">
        <f t="shared" si="37"/>
        <v>melt inclusion</v>
      </c>
      <c r="Q118" s="15" t="s">
        <v>468</v>
      </c>
      <c r="R118" s="89">
        <v>87.75</v>
      </c>
      <c r="S118" s="191" t="s">
        <v>64</v>
      </c>
      <c r="T118" s="102">
        <f t="shared" si="48"/>
        <v>1253.9124833333333</v>
      </c>
      <c r="U118" s="27" t="s">
        <v>416</v>
      </c>
      <c r="V118" s="90">
        <v>3.1469474417113431E-2</v>
      </c>
      <c r="W118" s="109">
        <v>102.8420000000001</v>
      </c>
      <c r="X118" s="183" t="s">
        <v>462</v>
      </c>
      <c r="Y118" s="104">
        <v>7.1485954111267347E-2</v>
      </c>
      <c r="Z118" s="187" t="s">
        <v>462</v>
      </c>
      <c r="AA118" s="112" t="s">
        <v>64</v>
      </c>
      <c r="AB118" s="116" t="str">
        <f t="shared" si="38"/>
        <v>-</v>
      </c>
      <c r="AC118" s="57">
        <v>1631</v>
      </c>
      <c r="AD118" s="27">
        <v>229</v>
      </c>
      <c r="AE118" s="28">
        <f>(0.0684*((AC118/1000))^3-0.5008*((AC118/1000))^2+4.47*((AC118/1000)))</f>
        <v>6.2551299964243992</v>
      </c>
      <c r="AF118" s="47">
        <f>AVERAGE(((((0.0684*(((AC118+AD118)/1000))^3-0.5008*(((AC118+AD118)/1000))^2+4.47*(((AC118+AD118)/1000))))) - AC118), (AC118 - (((0.0684*(((AC118-AD118)/1000))^3-0.5008*(((AC118-AD118)/1000))^2+4.47*(((AC118-AD118)/1000)))))))</f>
        <v>0.77535790996637388</v>
      </c>
      <c r="AG118" s="1038" t="s">
        <v>1113</v>
      </c>
      <c r="AH118" s="157" t="s">
        <v>64</v>
      </c>
      <c r="AI118" s="18">
        <v>0.87</v>
      </c>
      <c r="AJ118" s="16">
        <v>49.415444444444439</v>
      </c>
      <c r="AK118" s="16">
        <v>2.2743888888888892</v>
      </c>
      <c r="AL118" s="16">
        <v>11.723777777777778</v>
      </c>
      <c r="AM118" s="16">
        <v>11.199999999999996</v>
      </c>
      <c r="AN118" s="16">
        <v>0.11344444444444446</v>
      </c>
      <c r="AO118" s="16">
        <v>11.935944444444445</v>
      </c>
      <c r="AP118" s="16">
        <v>10.445000000000002</v>
      </c>
      <c r="AQ118" s="16">
        <v>2.0337777777777775</v>
      </c>
      <c r="AR118" s="16">
        <v>0.43277777777777776</v>
      </c>
      <c r="AS118" s="16">
        <v>0.2842777777777778</v>
      </c>
      <c r="AT118" s="152" t="s">
        <v>64</v>
      </c>
      <c r="AU118" s="16">
        <v>0.56437500000000007</v>
      </c>
      <c r="AV118" s="17">
        <f t="shared" si="39"/>
        <v>147.9</v>
      </c>
      <c r="AW118" s="27">
        <f t="shared" si="43"/>
        <v>734.20407730477802</v>
      </c>
      <c r="AX118" s="27">
        <f t="shared" si="44"/>
        <v>882.104077304778</v>
      </c>
      <c r="AY118" s="18">
        <f t="shared" si="40"/>
        <v>2.2406391982182616</v>
      </c>
      <c r="AZ118" s="16">
        <f t="shared" si="41"/>
        <v>9.1839999999999975</v>
      </c>
      <c r="BA118" s="93" t="s">
        <v>64</v>
      </c>
      <c r="BB118" s="92" t="s">
        <v>64</v>
      </c>
      <c r="BC118" s="92" t="s">
        <v>64</v>
      </c>
      <c r="BD118" s="92" t="s">
        <v>64</v>
      </c>
      <c r="BE118" s="92" t="s">
        <v>64</v>
      </c>
      <c r="BF118" s="92" t="s">
        <v>64</v>
      </c>
      <c r="BG118" s="92" t="s">
        <v>64</v>
      </c>
      <c r="BH118" s="92" t="s">
        <v>64</v>
      </c>
      <c r="BI118" s="92" t="s">
        <v>64</v>
      </c>
      <c r="BJ118" s="92" t="s">
        <v>64</v>
      </c>
      <c r="BK118" s="92" t="s">
        <v>64</v>
      </c>
      <c r="BL118" s="92" t="s">
        <v>64</v>
      </c>
      <c r="BM118" s="92" t="s">
        <v>64</v>
      </c>
      <c r="BN118" s="42">
        <v>170</v>
      </c>
      <c r="BO118" s="95">
        <v>843.91273253422764</v>
      </c>
      <c r="BP118" s="95">
        <f t="shared" si="34"/>
        <v>1013.9127325342276</v>
      </c>
      <c r="BQ118" s="92" t="s">
        <v>64</v>
      </c>
    </row>
    <row r="119" spans="12:69" ht="14.45" customHeight="1">
      <c r="L119" s="127" t="s">
        <v>64</v>
      </c>
      <c r="M119" s="763" t="s">
        <v>426</v>
      </c>
      <c r="N119" s="15" t="s">
        <v>427</v>
      </c>
      <c r="O119" s="15" t="s">
        <v>1111</v>
      </c>
      <c r="P119" s="15" t="str">
        <f t="shared" si="37"/>
        <v>melt inclusion</v>
      </c>
      <c r="Q119" s="15" t="s">
        <v>468</v>
      </c>
      <c r="R119" s="89">
        <v>87.75</v>
      </c>
      <c r="S119" s="191" t="s">
        <v>64</v>
      </c>
      <c r="T119" s="102">
        <f t="shared" si="48"/>
        <v>1253.9124833333333</v>
      </c>
      <c r="U119" s="27" t="s">
        <v>416</v>
      </c>
      <c r="V119" s="90">
        <v>1.7697753154816864E-2</v>
      </c>
      <c r="W119" s="109">
        <v>102.88000000000011</v>
      </c>
      <c r="X119" s="183" t="s">
        <v>462</v>
      </c>
      <c r="Y119" s="104">
        <v>8.608724989608163E-2</v>
      </c>
      <c r="Z119" s="187" t="s">
        <v>462</v>
      </c>
      <c r="AA119" s="112" t="s">
        <v>64</v>
      </c>
      <c r="AB119" s="116" t="str">
        <f t="shared" ref="AB119:AB120" si="50">IF(ISNUMBER(AA119),(0.0684*((AA119/1000))^3-0.5008*((AA119/1000))^2+4.47*((AA119/1000))),"-")</f>
        <v>-</v>
      </c>
      <c r="AC119" s="57">
        <v>1224</v>
      </c>
      <c r="AD119" s="27">
        <v>176</v>
      </c>
      <c r="AE119" s="28">
        <f>(0.0684*((AC119/1000))^3-0.5008*((AC119/1000))^2+4.47*((AC119/1000)))</f>
        <v>4.8464231510015994</v>
      </c>
      <c r="AF119" s="47">
        <f>AVERAGE(((((0.0684*(((AC119+AD119)/1000))^3-0.5008*(((AC119+AD119)/1000))^2+4.47*(((AC119+AD119)/1000))))) - AC119), (AC119 - (((0.0684*(((AC119-AD119)/1000))^3-0.5008*(((AC119-AD119)/1000))^2+4.47*(((AC119-AD119)/1000)))))))</f>
        <v>0.62543114895356666</v>
      </c>
      <c r="AG119" s="1038" t="s">
        <v>1113</v>
      </c>
      <c r="AH119" s="157" t="s">
        <v>64</v>
      </c>
      <c r="AI119" s="18">
        <v>0.87</v>
      </c>
      <c r="AJ119" s="16">
        <v>49.415444444444439</v>
      </c>
      <c r="AK119" s="16">
        <v>2.2743888888888892</v>
      </c>
      <c r="AL119" s="16">
        <v>11.723777777777778</v>
      </c>
      <c r="AM119" s="16">
        <v>11.199999999999996</v>
      </c>
      <c r="AN119" s="16">
        <v>0.11344444444444446</v>
      </c>
      <c r="AO119" s="16">
        <v>11.935944444444445</v>
      </c>
      <c r="AP119" s="16">
        <v>10.445000000000002</v>
      </c>
      <c r="AQ119" s="16">
        <v>2.0337777777777775</v>
      </c>
      <c r="AR119" s="16">
        <v>0.43277777777777776</v>
      </c>
      <c r="AS119" s="16">
        <v>0.2842777777777778</v>
      </c>
      <c r="AT119" s="152" t="s">
        <v>64</v>
      </c>
      <c r="AU119" s="16">
        <v>0.56437500000000007</v>
      </c>
      <c r="AV119" s="17">
        <f t="shared" si="39"/>
        <v>147.9</v>
      </c>
      <c r="AW119" s="27">
        <f t="shared" si="43"/>
        <v>490.40344901442569</v>
      </c>
      <c r="AX119" s="27">
        <f t="shared" si="44"/>
        <v>638.30344901442572</v>
      </c>
      <c r="AY119" s="18">
        <f t="shared" si="40"/>
        <v>2.2406391982182616</v>
      </c>
      <c r="AZ119" s="16">
        <f t="shared" si="41"/>
        <v>9.1839999999999975</v>
      </c>
      <c r="BA119" s="93" t="s">
        <v>64</v>
      </c>
      <c r="BB119" s="92" t="s">
        <v>64</v>
      </c>
      <c r="BC119" s="92" t="s">
        <v>64</v>
      </c>
      <c r="BD119" s="92" t="s">
        <v>64</v>
      </c>
      <c r="BE119" s="92" t="s">
        <v>64</v>
      </c>
      <c r="BF119" s="92" t="s">
        <v>64</v>
      </c>
      <c r="BG119" s="92" t="s">
        <v>64</v>
      </c>
      <c r="BH119" s="92" t="s">
        <v>64</v>
      </c>
      <c r="BI119" s="92" t="s">
        <v>64</v>
      </c>
      <c r="BJ119" s="92" t="s">
        <v>64</v>
      </c>
      <c r="BK119" s="92" t="s">
        <v>64</v>
      </c>
      <c r="BL119" s="92" t="s">
        <v>64</v>
      </c>
      <c r="BM119" s="92" t="s">
        <v>64</v>
      </c>
      <c r="BN119" s="42">
        <v>170</v>
      </c>
      <c r="BO119" s="95">
        <v>563.6821253039376</v>
      </c>
      <c r="BP119" s="95">
        <f t="shared" si="34"/>
        <v>733.6821253039376</v>
      </c>
      <c r="BQ119" s="92" t="s">
        <v>64</v>
      </c>
    </row>
    <row r="120" spans="12:69" ht="14.45" customHeight="1" thickBot="1">
      <c r="L120" s="257" t="s">
        <v>64</v>
      </c>
      <c r="M120" s="1024" t="s">
        <v>426</v>
      </c>
      <c r="N120" s="226" t="s">
        <v>427</v>
      </c>
      <c r="O120" s="226" t="s">
        <v>1112</v>
      </c>
      <c r="P120" s="226" t="str">
        <f t="shared" si="37"/>
        <v>melt inclusion</v>
      </c>
      <c r="Q120" s="226" t="s">
        <v>468</v>
      </c>
      <c r="R120" s="258">
        <v>87.75</v>
      </c>
      <c r="S120" s="259" t="s">
        <v>64</v>
      </c>
      <c r="T120" s="260">
        <f t="shared" si="48"/>
        <v>1253.9124833333333</v>
      </c>
      <c r="U120" s="241" t="s">
        <v>416</v>
      </c>
      <c r="V120" s="229">
        <v>5.0534606742920207E-2</v>
      </c>
      <c r="W120" s="230">
        <v>102.88600000000019</v>
      </c>
      <c r="X120" s="251" t="s">
        <v>462</v>
      </c>
      <c r="Y120" s="231">
        <v>8.8413183410011698E-2</v>
      </c>
      <c r="Z120" s="261" t="s">
        <v>462</v>
      </c>
      <c r="AA120" s="262" t="s">
        <v>64</v>
      </c>
      <c r="AB120" s="263" t="str">
        <f t="shared" si="50"/>
        <v>-</v>
      </c>
      <c r="AC120" s="232">
        <v>2825</v>
      </c>
      <c r="AD120" s="241">
        <v>368.5</v>
      </c>
      <c r="AE120" s="235">
        <f>(0.0684*((AC120/1000))^3-0.5008*((AC120/1000))^2+4.47*((AC120/1000)))</f>
        <v>10.173149168750001</v>
      </c>
      <c r="AF120" s="234">
        <f>AVERAGE(((((0.0684*(((AC120+AD120)/1000))^3-0.5008*(((AC120+AD120)/1000))^2+4.47*(((AC120+AD120)/1000))))) - AC120), (AC120 - (((0.0684*(((AC120-AD120)/1000))^3-0.5008*(((AC120-AD120)/1000))^2+4.47*(((AC120-AD120)/1000)))))))</f>
        <v>1.2114041141030611</v>
      </c>
      <c r="AG120" s="1040" t="s">
        <v>1113</v>
      </c>
      <c r="AH120" s="253" t="s">
        <v>64</v>
      </c>
      <c r="AI120" s="264">
        <v>0.87</v>
      </c>
      <c r="AJ120" s="265">
        <v>49.415444444444439</v>
      </c>
      <c r="AK120" s="265">
        <v>2.2743888888888892</v>
      </c>
      <c r="AL120" s="265">
        <v>11.723777777777778</v>
      </c>
      <c r="AM120" s="265">
        <v>11.199999999999996</v>
      </c>
      <c r="AN120" s="265">
        <v>0.11344444444444446</v>
      </c>
      <c r="AO120" s="265">
        <v>11.935944444444445</v>
      </c>
      <c r="AP120" s="265">
        <v>10.445000000000002</v>
      </c>
      <c r="AQ120" s="265">
        <v>2.0337777777777775</v>
      </c>
      <c r="AR120" s="265">
        <v>0.43277777777777776</v>
      </c>
      <c r="AS120" s="265">
        <v>0.2842777777777778</v>
      </c>
      <c r="AT120" s="266" t="s">
        <v>64</v>
      </c>
      <c r="AU120" s="265">
        <v>0.56437500000000007</v>
      </c>
      <c r="AV120" s="267">
        <f t="shared" si="39"/>
        <v>202.71</v>
      </c>
      <c r="AW120" s="241">
        <f t="shared" si="43"/>
        <v>1486.1779694346985</v>
      </c>
      <c r="AX120" s="241">
        <f t="shared" si="44"/>
        <v>1688.8879694346986</v>
      </c>
      <c r="AY120" s="264">
        <f t="shared" si="40"/>
        <v>2.2406391982182616</v>
      </c>
      <c r="AZ120" s="265">
        <f t="shared" si="41"/>
        <v>9.1839999999999975</v>
      </c>
      <c r="BA120" s="268" t="s">
        <v>64</v>
      </c>
      <c r="BB120" s="244" t="s">
        <v>64</v>
      </c>
      <c r="BC120" s="244" t="s">
        <v>64</v>
      </c>
      <c r="BD120" s="244" t="s">
        <v>64</v>
      </c>
      <c r="BE120" s="244" t="s">
        <v>64</v>
      </c>
      <c r="BF120" s="244" t="s">
        <v>64</v>
      </c>
      <c r="BG120" s="244" t="s">
        <v>64</v>
      </c>
      <c r="BH120" s="244" t="s">
        <v>64</v>
      </c>
      <c r="BI120" s="244" t="s">
        <v>64</v>
      </c>
      <c r="BJ120" s="244" t="s">
        <v>64</v>
      </c>
      <c r="BK120" s="244" t="s">
        <v>64</v>
      </c>
      <c r="BL120" s="244" t="s">
        <v>64</v>
      </c>
      <c r="BM120" s="244" t="s">
        <v>64</v>
      </c>
      <c r="BN120" s="245">
        <v>233</v>
      </c>
      <c r="BO120" s="246">
        <v>1708.2505395801134</v>
      </c>
      <c r="BP120" s="246">
        <f t="shared" si="34"/>
        <v>1941.2505395801134</v>
      </c>
      <c r="BQ120" s="244" t="s">
        <v>64</v>
      </c>
    </row>
    <row r="121" spans="12:69" ht="14.45" customHeight="1" thickTop="1">
      <c r="O121" s="15"/>
      <c r="P121" s="81"/>
      <c r="Q121" s="81"/>
      <c r="R121" s="81"/>
      <c r="S121" s="81"/>
      <c r="T121" s="81"/>
      <c r="U121" s="2"/>
      <c r="W121" s="2"/>
      <c r="X121" s="68"/>
      <c r="Y121" s="2"/>
      <c r="Z121" s="68"/>
      <c r="AA121" s="2"/>
      <c r="AC121" s="2"/>
      <c r="AD121" s="2"/>
      <c r="AF121" s="64"/>
      <c r="AG121" s="64"/>
      <c r="AH121" s="157"/>
      <c r="AI121" s="9"/>
      <c r="AJ121" s="9"/>
      <c r="AK121" s="9"/>
      <c r="AL121" s="9"/>
      <c r="AM121" s="9"/>
      <c r="AN121" s="9"/>
      <c r="AO121" s="9"/>
      <c r="AP121" s="9"/>
      <c r="AQ121" s="9"/>
      <c r="AR121" s="9"/>
      <c r="AS121" s="6"/>
      <c r="AT121" s="34"/>
      <c r="AU121" s="9"/>
      <c r="AV121" s="34"/>
      <c r="AW121" s="34"/>
      <c r="AX121" s="34"/>
      <c r="AY121" s="34"/>
      <c r="AZ121" s="64"/>
      <c r="BA121" s="64"/>
      <c r="BB121" s="64"/>
      <c r="BC121" s="64"/>
      <c r="BD121" s="64"/>
      <c r="BE121" s="64"/>
      <c r="BF121" s="64"/>
      <c r="BG121" s="64"/>
      <c r="BH121" s="64"/>
      <c r="BI121" s="64"/>
      <c r="BJ121" s="64"/>
      <c r="BK121" s="64"/>
      <c r="BL121" s="64"/>
      <c r="BM121" s="64"/>
      <c r="BN121" s="64"/>
      <c r="BO121" s="64"/>
      <c r="BP121" s="64"/>
    </row>
    <row r="122" spans="12:69" ht="14.45" customHeight="1">
      <c r="O122" s="15"/>
      <c r="P122" s="81"/>
      <c r="Q122" s="81"/>
      <c r="R122" s="81"/>
      <c r="S122" s="81"/>
      <c r="T122" s="81"/>
      <c r="U122" s="2"/>
      <c r="W122" s="2"/>
      <c r="X122" s="68"/>
      <c r="Y122" s="2"/>
      <c r="Z122" s="68"/>
      <c r="AA122" s="2"/>
      <c r="AC122" s="2"/>
      <c r="AD122" s="2"/>
      <c r="AF122" s="64"/>
      <c r="AG122" s="64"/>
      <c r="AH122" s="157"/>
      <c r="AI122" s="9"/>
      <c r="AJ122" s="9"/>
      <c r="AK122" s="9"/>
      <c r="AL122" s="9"/>
      <c r="AM122" s="9"/>
      <c r="AN122" s="9"/>
      <c r="AO122" s="9"/>
      <c r="AP122" s="9"/>
      <c r="AQ122" s="9"/>
      <c r="AR122" s="9"/>
      <c r="AS122" s="6"/>
      <c r="AT122" s="34"/>
      <c r="AU122" s="9"/>
      <c r="AV122" s="34"/>
      <c r="AW122" s="34"/>
      <c r="AX122" s="34"/>
      <c r="AY122" s="34"/>
      <c r="AZ122" s="64"/>
      <c r="BA122" s="64"/>
      <c r="BB122" s="64"/>
      <c r="BC122" s="64"/>
      <c r="BD122" s="64"/>
      <c r="BE122" s="64"/>
      <c r="BF122" s="64"/>
      <c r="BG122" s="64"/>
      <c r="BH122" s="64"/>
      <c r="BI122" s="64"/>
      <c r="BJ122" s="64"/>
      <c r="BK122" s="64"/>
      <c r="BL122" s="64"/>
      <c r="BM122" s="64"/>
      <c r="BN122" s="64"/>
      <c r="BO122" s="64"/>
      <c r="BP122" s="64"/>
    </row>
    <row r="123" spans="12:69" ht="14.45" customHeight="1">
      <c r="M123" s="159" t="s">
        <v>454</v>
      </c>
      <c r="O123" s="7"/>
      <c r="P123" s="138"/>
      <c r="Q123" s="138"/>
      <c r="R123" s="81"/>
      <c r="S123" s="81"/>
      <c r="T123" s="139"/>
      <c r="U123" s="139"/>
      <c r="V123" s="204"/>
      <c r="W123" s="140" t="s">
        <v>430</v>
      </c>
      <c r="X123" s="182"/>
      <c r="Y123" s="139"/>
      <c r="Z123" s="141"/>
      <c r="AA123" s="140" t="s">
        <v>433</v>
      </c>
      <c r="AB123" s="158"/>
      <c r="AC123" s="140" t="s">
        <v>362</v>
      </c>
      <c r="AD123" s="142"/>
      <c r="AE123" s="143" t="s">
        <v>435</v>
      </c>
      <c r="AF123" s="142"/>
      <c r="AG123" s="144" t="s">
        <v>363</v>
      </c>
      <c r="AH123" s="124"/>
      <c r="AI123" s="140" t="s">
        <v>464</v>
      </c>
      <c r="AK123" s="145"/>
      <c r="AL123" s="145"/>
      <c r="AM123" s="145"/>
      <c r="AN123" s="145"/>
      <c r="AO123" s="145"/>
      <c r="AP123" s="145"/>
      <c r="AQ123" s="145"/>
      <c r="AR123" s="145"/>
      <c r="AS123" s="145"/>
      <c r="AT123" s="145"/>
      <c r="AU123" s="272"/>
      <c r="AV123" s="145"/>
      <c r="AW123" s="145"/>
      <c r="AX123" s="145"/>
      <c r="AY123" s="146" t="s">
        <v>445</v>
      </c>
      <c r="AZ123" s="145"/>
      <c r="BA123" s="85" t="s">
        <v>444</v>
      </c>
      <c r="BB123" s="124"/>
      <c r="BC123" s="124"/>
      <c r="BD123" s="86"/>
      <c r="BE123" s="86"/>
      <c r="BF123" s="124"/>
      <c r="BG123" s="86"/>
      <c r="BH123" s="124"/>
      <c r="BI123" s="86"/>
      <c r="BJ123" s="86"/>
      <c r="BK123" s="124"/>
      <c r="BL123" s="86"/>
      <c r="BM123" s="124"/>
      <c r="BN123" s="86"/>
      <c r="BO123" s="86"/>
      <c r="BP123" s="86"/>
      <c r="BQ123" s="124"/>
    </row>
    <row r="124" spans="12:69" ht="40.9" customHeight="1">
      <c r="L124" s="147" t="s">
        <v>409</v>
      </c>
      <c r="M124" s="62" t="s">
        <v>406</v>
      </c>
      <c r="N124" s="147" t="s">
        <v>407</v>
      </c>
      <c r="O124" s="147" t="s">
        <v>411</v>
      </c>
      <c r="P124" s="147" t="s">
        <v>404</v>
      </c>
      <c r="Q124" s="147" t="s">
        <v>467</v>
      </c>
      <c r="R124" s="147" t="s">
        <v>466</v>
      </c>
      <c r="S124" s="147" t="s">
        <v>1014</v>
      </c>
      <c r="T124" s="149" t="s">
        <v>446</v>
      </c>
      <c r="U124" s="147" t="s">
        <v>364</v>
      </c>
      <c r="V124" s="1026" t="s">
        <v>62</v>
      </c>
      <c r="W124" s="1028" t="s">
        <v>432</v>
      </c>
      <c r="X124" s="174" t="s">
        <v>461</v>
      </c>
      <c r="Y124" s="149" t="s">
        <v>431</v>
      </c>
      <c r="Z124" s="172" t="s">
        <v>434</v>
      </c>
      <c r="AA124" s="173" t="s">
        <v>429</v>
      </c>
      <c r="AB124" s="175" t="s">
        <v>931</v>
      </c>
      <c r="AC124" s="173" t="s">
        <v>366</v>
      </c>
      <c r="AD124" s="174" t="s">
        <v>453</v>
      </c>
      <c r="AE124" s="178" t="s">
        <v>932</v>
      </c>
      <c r="AF124" s="179" t="s">
        <v>452</v>
      </c>
      <c r="AG124" s="137" t="s">
        <v>458</v>
      </c>
      <c r="AH124" s="1033" t="s">
        <v>440</v>
      </c>
      <c r="AI124" s="1029" t="s">
        <v>412</v>
      </c>
      <c r="AJ124" s="180" t="s">
        <v>129</v>
      </c>
      <c r="AK124" s="180" t="s">
        <v>390</v>
      </c>
      <c r="AL124" s="180" t="s">
        <v>386</v>
      </c>
      <c r="AM124" s="180" t="s">
        <v>130</v>
      </c>
      <c r="AN124" s="180" t="s">
        <v>443</v>
      </c>
      <c r="AO124" s="180" t="s">
        <v>127</v>
      </c>
      <c r="AP124" s="180" t="s">
        <v>387</v>
      </c>
      <c r="AQ124" s="180" t="s">
        <v>388</v>
      </c>
      <c r="AR124" s="180" t="s">
        <v>389</v>
      </c>
      <c r="AS124" s="180" t="s">
        <v>391</v>
      </c>
      <c r="AT124" s="180" t="s">
        <v>392</v>
      </c>
      <c r="AU124" s="180" t="s">
        <v>155</v>
      </c>
      <c r="AV124" s="1030" t="s">
        <v>393</v>
      </c>
      <c r="AW124" s="1030" t="s">
        <v>417</v>
      </c>
      <c r="AX124" s="1030" t="s">
        <v>418</v>
      </c>
      <c r="AY124" s="22" t="s">
        <v>131</v>
      </c>
      <c r="AZ124" s="180" t="s">
        <v>128</v>
      </c>
      <c r="BA124" s="1034" t="s">
        <v>394</v>
      </c>
      <c r="BB124" s="1032" t="s">
        <v>400</v>
      </c>
      <c r="BC124" s="1032" t="s">
        <v>395</v>
      </c>
      <c r="BD124" s="1032" t="s">
        <v>441</v>
      </c>
      <c r="BE124" s="1032" t="s">
        <v>442</v>
      </c>
      <c r="BF124" s="1032" t="s">
        <v>396</v>
      </c>
      <c r="BG124" s="1032" t="s">
        <v>397</v>
      </c>
      <c r="BH124" s="1032" t="s">
        <v>398</v>
      </c>
      <c r="BI124" s="1032" t="s">
        <v>399</v>
      </c>
      <c r="BJ124" s="1032" t="s">
        <v>401</v>
      </c>
      <c r="BK124" s="1032" t="s">
        <v>424</v>
      </c>
      <c r="BL124" s="1032" t="s">
        <v>402</v>
      </c>
      <c r="BM124" s="1032" t="s">
        <v>403</v>
      </c>
      <c r="BN124" s="1032" t="s">
        <v>420</v>
      </c>
      <c r="BO124" s="1032" t="s">
        <v>421</v>
      </c>
      <c r="BP124" s="1032" t="s">
        <v>422</v>
      </c>
      <c r="BQ124" s="1033" t="s">
        <v>447</v>
      </c>
    </row>
    <row r="125" spans="12:69" ht="14.45" customHeight="1">
      <c r="L125" s="129" t="s">
        <v>449</v>
      </c>
      <c r="M125" s="762" t="s">
        <v>410</v>
      </c>
      <c r="N125" s="15" t="s">
        <v>448</v>
      </c>
      <c r="O125" s="14" t="s">
        <v>1114</v>
      </c>
      <c r="P125" s="15" t="s">
        <v>438</v>
      </c>
      <c r="Q125" s="15" t="s">
        <v>468</v>
      </c>
      <c r="R125" s="15">
        <v>87.9</v>
      </c>
      <c r="S125" s="15" t="s">
        <v>64</v>
      </c>
      <c r="T125" s="14">
        <f xml:space="preserve"> IF(ISNUMBER(AO125),20.1*AO125+1014,"-")</f>
        <v>1262.9184</v>
      </c>
      <c r="U125" s="218" t="s">
        <v>491</v>
      </c>
      <c r="V125" s="90" t="s">
        <v>299</v>
      </c>
      <c r="W125" s="108" t="s">
        <v>64</v>
      </c>
      <c r="X125" s="104" t="s">
        <v>64</v>
      </c>
      <c r="Y125" s="104" t="s">
        <v>64</v>
      </c>
      <c r="Z125" s="104" t="s">
        <v>64</v>
      </c>
      <c r="AA125" s="57" t="s">
        <v>64</v>
      </c>
      <c r="AB125" s="47" t="s">
        <v>64</v>
      </c>
      <c r="AC125" s="130">
        <v>587</v>
      </c>
      <c r="AD125" s="1041" t="s">
        <v>475</v>
      </c>
      <c r="AE125" s="114">
        <f t="shared" ref="AE125:AE156" si="51">(0.0684*((AC125/1000))^3-0.5008*((AC125/1000))^2+4.47*((AC125/1000)))</f>
        <v>2.4651645658051997</v>
      </c>
      <c r="AF125" s="1042" t="s">
        <v>475</v>
      </c>
      <c r="AG125" s="119">
        <v>617</v>
      </c>
      <c r="AH125" s="1046" t="s">
        <v>475</v>
      </c>
      <c r="AI125" s="8">
        <v>1.33</v>
      </c>
      <c r="AJ125" s="9">
        <v>48.64</v>
      </c>
      <c r="AK125" s="9">
        <v>2.3650000000000002</v>
      </c>
      <c r="AL125" s="9">
        <v>11.853999999999999</v>
      </c>
      <c r="AM125" s="9">
        <v>11.194000000000001</v>
      </c>
      <c r="AN125" s="9">
        <v>0</v>
      </c>
      <c r="AO125" s="9">
        <v>12.384</v>
      </c>
      <c r="AP125" s="9">
        <v>10.752000000000001</v>
      </c>
      <c r="AQ125" s="9">
        <v>1.974</v>
      </c>
      <c r="AR125" s="9">
        <v>0.442</v>
      </c>
      <c r="AS125" s="9">
        <v>0.26300000000000001</v>
      </c>
      <c r="AT125" s="37" t="s">
        <v>64</v>
      </c>
      <c r="AU125" s="9">
        <v>0.14000000000000001</v>
      </c>
      <c r="AV125" s="6">
        <v>285</v>
      </c>
      <c r="AW125" s="27" t="s">
        <v>419</v>
      </c>
      <c r="AX125" s="6">
        <f>AV125</f>
        <v>285</v>
      </c>
      <c r="AY125" s="150">
        <f t="shared" ref="AY125" si="52">IF(ISNUMBER(AM125),(AM125/71.84)*(0.18/2)*159.69,"-")</f>
        <v>2.2394388557906462</v>
      </c>
      <c r="AZ125" s="9">
        <f t="shared" ref="AZ125" si="53">IF(ISNUMBER(AM125),(AM125/71.84)*(1-0.18)*71.84,"-")</f>
        <v>9.1790800000000026</v>
      </c>
      <c r="BA125" s="120">
        <v>46.1372</v>
      </c>
      <c r="BB125" s="121">
        <v>1.7821533333333335</v>
      </c>
      <c r="BC125" s="121">
        <v>8.931519999999999</v>
      </c>
      <c r="BD125" s="121">
        <v>11.923066666666665</v>
      </c>
      <c r="BE125" s="121">
        <v>0</v>
      </c>
      <c r="BF125" s="121">
        <v>20.103533333333331</v>
      </c>
      <c r="BG125" s="121">
        <v>8.1013400000000004</v>
      </c>
      <c r="BH125" s="121">
        <v>1.4872533333333333</v>
      </c>
      <c r="BI125" s="121">
        <v>0.33267099999999999</v>
      </c>
      <c r="BJ125" s="121">
        <v>0.19812966666666665</v>
      </c>
      <c r="BK125" s="92" t="s">
        <v>64</v>
      </c>
      <c r="BL125" s="121">
        <f>SUM(BA125:BJ125)</f>
        <v>98.996867333333341</v>
      </c>
      <c r="BM125" s="92">
        <v>0.14000000000000001</v>
      </c>
      <c r="BN125" s="84">
        <v>215</v>
      </c>
      <c r="BO125" s="95" t="s">
        <v>419</v>
      </c>
      <c r="BP125" s="95">
        <f>BN125</f>
        <v>215</v>
      </c>
      <c r="BQ125" s="122">
        <v>14.25</v>
      </c>
    </row>
    <row r="126" spans="12:69" ht="14.45" customHeight="1">
      <c r="L126" s="129" t="s">
        <v>449</v>
      </c>
      <c r="M126" s="763" t="s">
        <v>410</v>
      </c>
      <c r="N126" s="15" t="s">
        <v>448</v>
      </c>
      <c r="O126" s="14" t="s">
        <v>1115</v>
      </c>
      <c r="P126" s="15" t="s">
        <v>438</v>
      </c>
      <c r="Q126" s="15" t="s">
        <v>468</v>
      </c>
      <c r="R126" s="15" t="s">
        <v>64</v>
      </c>
      <c r="S126" s="15" t="s">
        <v>64</v>
      </c>
      <c r="T126" s="14" t="str">
        <f t="shared" ref="T126:T181" si="54" xml:space="preserve"> IF(ISNUMBER(AO126),20.1*AO126+1014,"-")</f>
        <v>-</v>
      </c>
      <c r="U126" s="218" t="s">
        <v>491</v>
      </c>
      <c r="V126" s="90" t="s">
        <v>299</v>
      </c>
      <c r="W126" s="109" t="s">
        <v>64</v>
      </c>
      <c r="X126" s="104" t="s">
        <v>64</v>
      </c>
      <c r="Y126" s="104" t="s">
        <v>64</v>
      </c>
      <c r="Z126" s="104" t="s">
        <v>64</v>
      </c>
      <c r="AA126" s="57" t="s">
        <v>64</v>
      </c>
      <c r="AB126" s="47" t="s">
        <v>64</v>
      </c>
      <c r="AC126" s="57">
        <v>1136</v>
      </c>
      <c r="AD126" s="218" t="s">
        <v>475</v>
      </c>
      <c r="AE126" s="28">
        <f t="shared" si="51"/>
        <v>4.5319142395903986</v>
      </c>
      <c r="AF126" s="1043" t="s">
        <v>475</v>
      </c>
      <c r="AG126" s="83">
        <v>1239</v>
      </c>
      <c r="AH126" s="1047" t="s">
        <v>475</v>
      </c>
      <c r="AI126" s="8">
        <v>1.36</v>
      </c>
      <c r="AJ126" s="9" t="s">
        <v>64</v>
      </c>
      <c r="AK126" s="9" t="s">
        <v>64</v>
      </c>
      <c r="AL126" s="9" t="s">
        <v>64</v>
      </c>
      <c r="AM126" s="9" t="s">
        <v>64</v>
      </c>
      <c r="AN126" s="9" t="s">
        <v>64</v>
      </c>
      <c r="AO126" s="9" t="s">
        <v>64</v>
      </c>
      <c r="AP126" s="9" t="s">
        <v>64</v>
      </c>
      <c r="AQ126" s="9" t="s">
        <v>64</v>
      </c>
      <c r="AR126" s="9" t="s">
        <v>64</v>
      </c>
      <c r="AS126" s="9" t="s">
        <v>64</v>
      </c>
      <c r="AT126" s="37" t="s">
        <v>64</v>
      </c>
      <c r="AU126" s="9">
        <v>0.12</v>
      </c>
      <c r="AV126" s="6">
        <v>588</v>
      </c>
      <c r="AW126" s="27" t="s">
        <v>419</v>
      </c>
      <c r="AX126" s="6">
        <f t="shared" ref="AX126:AX134" si="55">AV126</f>
        <v>588</v>
      </c>
      <c r="AY126" s="8" t="str">
        <f t="shared" ref="AY126:AY181" si="56">IF(ISNUMBER(AM126),(AM126/71.84)*(0.18/2)*159.69,"-")</f>
        <v>-</v>
      </c>
      <c r="AZ126" s="9" t="str">
        <f t="shared" ref="AZ126:AZ181" si="57">IF(ISNUMBER(AM126),(AM126/71.84)*(1-0.18)*71.84,"-")</f>
        <v>-</v>
      </c>
      <c r="BA126" s="123" t="s">
        <v>64</v>
      </c>
      <c r="BB126" s="121" t="s">
        <v>64</v>
      </c>
      <c r="BC126" s="121" t="s">
        <v>64</v>
      </c>
      <c r="BD126" s="121" t="s">
        <v>64</v>
      </c>
      <c r="BE126" s="121" t="s">
        <v>64</v>
      </c>
      <c r="BF126" s="121" t="s">
        <v>64</v>
      </c>
      <c r="BG126" s="121" t="s">
        <v>64</v>
      </c>
      <c r="BH126" s="121" t="s">
        <v>64</v>
      </c>
      <c r="BI126" s="121" t="s">
        <v>64</v>
      </c>
      <c r="BJ126" s="121" t="s">
        <v>64</v>
      </c>
      <c r="BK126" s="92" t="s">
        <v>64</v>
      </c>
      <c r="BL126" s="121">
        <f t="shared" ref="BL126:BL134" si="58">SUM(BA126:BJ126)</f>
        <v>0</v>
      </c>
      <c r="BM126" s="92">
        <v>0.12</v>
      </c>
      <c r="BN126" s="84">
        <v>433</v>
      </c>
      <c r="BO126" s="95" t="s">
        <v>419</v>
      </c>
      <c r="BP126" s="95">
        <f t="shared" ref="BP126:BP134" si="59">BN126</f>
        <v>433</v>
      </c>
      <c r="BQ126" s="122">
        <v>41.160000000000004</v>
      </c>
    </row>
    <row r="127" spans="12:69" ht="14.45" customHeight="1">
      <c r="L127" s="129" t="s">
        <v>449</v>
      </c>
      <c r="M127" s="763" t="s">
        <v>410</v>
      </c>
      <c r="N127" s="15" t="s">
        <v>448</v>
      </c>
      <c r="O127" s="14" t="s">
        <v>1116</v>
      </c>
      <c r="P127" s="15" t="s">
        <v>438</v>
      </c>
      <c r="Q127" s="15" t="s">
        <v>468</v>
      </c>
      <c r="R127" s="15">
        <v>87.5</v>
      </c>
      <c r="S127" s="15" t="s">
        <v>64</v>
      </c>
      <c r="T127" s="14" t="str">
        <f t="shared" si="54"/>
        <v>-</v>
      </c>
      <c r="U127" s="218" t="s">
        <v>491</v>
      </c>
      <c r="V127" s="90" t="s">
        <v>299</v>
      </c>
      <c r="W127" s="109" t="s">
        <v>64</v>
      </c>
      <c r="X127" s="104" t="s">
        <v>64</v>
      </c>
      <c r="Y127" s="104" t="s">
        <v>64</v>
      </c>
      <c r="Z127" s="104" t="s">
        <v>64</v>
      </c>
      <c r="AA127" s="57" t="s">
        <v>64</v>
      </c>
      <c r="AB127" s="47" t="s">
        <v>64</v>
      </c>
      <c r="AC127" s="57">
        <v>317</v>
      </c>
      <c r="AD127" s="218" t="s">
        <v>475</v>
      </c>
      <c r="AE127" s="28">
        <f t="shared" si="51"/>
        <v>1.3688439916891999</v>
      </c>
      <c r="AF127" s="1043" t="s">
        <v>475</v>
      </c>
      <c r="AG127" s="83">
        <v>316</v>
      </c>
      <c r="AH127" s="1047" t="s">
        <v>475</v>
      </c>
      <c r="AI127" s="8">
        <v>1.32</v>
      </c>
      <c r="AJ127" s="9" t="s">
        <v>64</v>
      </c>
      <c r="AK127" s="9" t="s">
        <v>64</v>
      </c>
      <c r="AL127" s="9" t="s">
        <v>64</v>
      </c>
      <c r="AM127" s="9" t="s">
        <v>64</v>
      </c>
      <c r="AN127" s="9" t="s">
        <v>64</v>
      </c>
      <c r="AO127" s="9" t="s">
        <v>64</v>
      </c>
      <c r="AP127" s="9" t="s">
        <v>64</v>
      </c>
      <c r="AQ127" s="9" t="s">
        <v>64</v>
      </c>
      <c r="AR127" s="9" t="s">
        <v>64</v>
      </c>
      <c r="AS127" s="9" t="s">
        <v>64</v>
      </c>
      <c r="AT127" s="37" t="s">
        <v>64</v>
      </c>
      <c r="AU127" s="9">
        <v>0.08</v>
      </c>
      <c r="AV127" s="6">
        <v>145</v>
      </c>
      <c r="AW127" s="27" t="s">
        <v>419</v>
      </c>
      <c r="AX127" s="6">
        <f t="shared" si="55"/>
        <v>145</v>
      </c>
      <c r="AY127" s="8" t="str">
        <f t="shared" si="56"/>
        <v>-</v>
      </c>
      <c r="AZ127" s="9" t="str">
        <f t="shared" si="57"/>
        <v>-</v>
      </c>
      <c r="BA127" s="123" t="s">
        <v>64</v>
      </c>
      <c r="BB127" s="121" t="s">
        <v>64</v>
      </c>
      <c r="BC127" s="121" t="s">
        <v>64</v>
      </c>
      <c r="BD127" s="121" t="s">
        <v>64</v>
      </c>
      <c r="BE127" s="121" t="s">
        <v>64</v>
      </c>
      <c r="BF127" s="121" t="s">
        <v>64</v>
      </c>
      <c r="BG127" s="121" t="s">
        <v>64</v>
      </c>
      <c r="BH127" s="121" t="s">
        <v>64</v>
      </c>
      <c r="BI127" s="121" t="s">
        <v>64</v>
      </c>
      <c r="BJ127" s="121" t="s">
        <v>64</v>
      </c>
      <c r="BK127" s="92" t="s">
        <v>64</v>
      </c>
      <c r="BL127" s="121">
        <f t="shared" si="58"/>
        <v>0</v>
      </c>
      <c r="BM127" s="92">
        <v>0.08</v>
      </c>
      <c r="BN127" s="84">
        <v>110</v>
      </c>
      <c r="BO127" s="95" t="s">
        <v>419</v>
      </c>
      <c r="BP127" s="95">
        <f t="shared" si="59"/>
        <v>110</v>
      </c>
      <c r="BQ127" s="122">
        <v>11.6</v>
      </c>
    </row>
    <row r="128" spans="12:69" ht="14.45" customHeight="1">
      <c r="L128" s="129" t="s">
        <v>449</v>
      </c>
      <c r="M128" s="763" t="s">
        <v>410</v>
      </c>
      <c r="N128" s="15" t="s">
        <v>448</v>
      </c>
      <c r="O128" s="14" t="s">
        <v>1117</v>
      </c>
      <c r="P128" s="15" t="s">
        <v>438</v>
      </c>
      <c r="Q128" s="15" t="s">
        <v>468</v>
      </c>
      <c r="R128" s="15">
        <v>87.5</v>
      </c>
      <c r="S128" s="15" t="s">
        <v>64</v>
      </c>
      <c r="T128" s="14" t="str">
        <f t="shared" si="54"/>
        <v>-</v>
      </c>
      <c r="U128" s="218" t="s">
        <v>491</v>
      </c>
      <c r="V128" s="90" t="s">
        <v>299</v>
      </c>
      <c r="W128" s="109" t="s">
        <v>64</v>
      </c>
      <c r="X128" s="104" t="s">
        <v>64</v>
      </c>
      <c r="Y128" s="104" t="s">
        <v>64</v>
      </c>
      <c r="Z128" s="104" t="s">
        <v>64</v>
      </c>
      <c r="AA128" s="57" t="s">
        <v>64</v>
      </c>
      <c r="AB128" s="47" t="s">
        <v>64</v>
      </c>
      <c r="AC128" s="57">
        <v>305</v>
      </c>
      <c r="AD128" s="218" t="s">
        <v>475</v>
      </c>
      <c r="AE128" s="28">
        <f t="shared" si="51"/>
        <v>1.3187037675499997</v>
      </c>
      <c r="AF128" s="1043" t="s">
        <v>475</v>
      </c>
      <c r="AG128" s="83">
        <v>303</v>
      </c>
      <c r="AH128" s="1047" t="s">
        <v>475</v>
      </c>
      <c r="AI128" s="8">
        <v>1.32</v>
      </c>
      <c r="AJ128" s="9" t="s">
        <v>64</v>
      </c>
      <c r="AK128" s="9" t="s">
        <v>64</v>
      </c>
      <c r="AL128" s="9" t="s">
        <v>64</v>
      </c>
      <c r="AM128" s="9" t="s">
        <v>64</v>
      </c>
      <c r="AN128" s="9" t="s">
        <v>64</v>
      </c>
      <c r="AO128" s="9" t="s">
        <v>64</v>
      </c>
      <c r="AP128" s="9" t="s">
        <v>64</v>
      </c>
      <c r="AQ128" s="9" t="s">
        <v>64</v>
      </c>
      <c r="AR128" s="9" t="s">
        <v>64</v>
      </c>
      <c r="AS128" s="9" t="s">
        <v>64</v>
      </c>
      <c r="AT128" s="37" t="s">
        <v>64</v>
      </c>
      <c r="AU128" s="9">
        <v>7.0000000000000007E-2</v>
      </c>
      <c r="AV128" s="6">
        <v>139</v>
      </c>
      <c r="AW128" s="27" t="s">
        <v>419</v>
      </c>
      <c r="AX128" s="6">
        <f t="shared" si="55"/>
        <v>139</v>
      </c>
      <c r="AY128" s="8" t="str">
        <f t="shared" si="56"/>
        <v>-</v>
      </c>
      <c r="AZ128" s="9" t="str">
        <f t="shared" si="57"/>
        <v>-</v>
      </c>
      <c r="BA128" s="123" t="s">
        <v>64</v>
      </c>
      <c r="BB128" s="121" t="s">
        <v>64</v>
      </c>
      <c r="BC128" s="121" t="s">
        <v>64</v>
      </c>
      <c r="BD128" s="121" t="s">
        <v>64</v>
      </c>
      <c r="BE128" s="121" t="s">
        <v>64</v>
      </c>
      <c r="BF128" s="121" t="s">
        <v>64</v>
      </c>
      <c r="BG128" s="121" t="s">
        <v>64</v>
      </c>
      <c r="BH128" s="121" t="s">
        <v>64</v>
      </c>
      <c r="BI128" s="121" t="s">
        <v>64</v>
      </c>
      <c r="BJ128" s="121" t="s">
        <v>64</v>
      </c>
      <c r="BK128" s="92" t="s">
        <v>64</v>
      </c>
      <c r="BL128" s="121">
        <f t="shared" si="58"/>
        <v>0</v>
      </c>
      <c r="BM128" s="92">
        <v>7.0000000000000007E-2</v>
      </c>
      <c r="BN128" s="84">
        <v>105</v>
      </c>
      <c r="BO128" s="95" t="s">
        <v>419</v>
      </c>
      <c r="BP128" s="95">
        <f t="shared" si="59"/>
        <v>105</v>
      </c>
      <c r="BQ128" s="122">
        <v>19.46</v>
      </c>
    </row>
    <row r="129" spans="12:69" ht="14.45" customHeight="1">
      <c r="L129" s="129" t="s">
        <v>449</v>
      </c>
      <c r="M129" s="763" t="s">
        <v>410</v>
      </c>
      <c r="N129" s="15" t="s">
        <v>448</v>
      </c>
      <c r="O129" s="14" t="s">
        <v>1118</v>
      </c>
      <c r="P129" s="15" t="s">
        <v>438</v>
      </c>
      <c r="Q129" s="15" t="s">
        <v>468</v>
      </c>
      <c r="R129" s="15">
        <v>87.7</v>
      </c>
      <c r="S129" s="15" t="s">
        <v>64</v>
      </c>
      <c r="T129" s="14">
        <f t="shared" si="54"/>
        <v>1253.7528</v>
      </c>
      <c r="U129" s="218" t="s">
        <v>491</v>
      </c>
      <c r="V129" s="90" t="s">
        <v>299</v>
      </c>
      <c r="W129" s="109" t="s">
        <v>64</v>
      </c>
      <c r="X129" s="104" t="s">
        <v>64</v>
      </c>
      <c r="Y129" s="104" t="s">
        <v>64</v>
      </c>
      <c r="Z129" s="104" t="s">
        <v>64</v>
      </c>
      <c r="AA129" s="57" t="s">
        <v>64</v>
      </c>
      <c r="AB129" s="47" t="s">
        <v>64</v>
      </c>
      <c r="AC129" s="57">
        <v>311</v>
      </c>
      <c r="AD129" s="218" t="s">
        <v>475</v>
      </c>
      <c r="AE129" s="28">
        <f t="shared" si="51"/>
        <v>1.3437896110004</v>
      </c>
      <c r="AF129" s="1043" t="s">
        <v>475</v>
      </c>
      <c r="AG129" s="83">
        <v>309</v>
      </c>
      <c r="AH129" s="1047" t="s">
        <v>475</v>
      </c>
      <c r="AI129" s="8">
        <v>1.32</v>
      </c>
      <c r="AJ129" s="9">
        <v>47.677999999999997</v>
      </c>
      <c r="AK129" s="9">
        <v>2.52</v>
      </c>
      <c r="AL129" s="9">
        <v>12.448</v>
      </c>
      <c r="AM129" s="9">
        <v>11.195</v>
      </c>
      <c r="AN129" s="9">
        <v>0</v>
      </c>
      <c r="AO129" s="9">
        <v>11.928000000000001</v>
      </c>
      <c r="AP129" s="9">
        <v>11.257999999999999</v>
      </c>
      <c r="AQ129" s="9">
        <v>1.9670000000000001</v>
      </c>
      <c r="AR129" s="9">
        <v>0.56999999999999995</v>
      </c>
      <c r="AS129" s="9">
        <v>0.30199999999999999</v>
      </c>
      <c r="AT129" s="37" t="s">
        <v>64</v>
      </c>
      <c r="AU129" s="9">
        <v>0.08</v>
      </c>
      <c r="AV129" s="6">
        <v>142</v>
      </c>
      <c r="AW129" s="27" t="s">
        <v>419</v>
      </c>
      <c r="AX129" s="6">
        <f t="shared" si="55"/>
        <v>142</v>
      </c>
      <c r="AY129" s="8">
        <f t="shared" si="56"/>
        <v>2.2396389128619152</v>
      </c>
      <c r="AZ129" s="9">
        <f t="shared" si="57"/>
        <v>9.1798999999999999</v>
      </c>
      <c r="BA129" s="123">
        <v>45.097633333333299</v>
      </c>
      <c r="BB129" s="121">
        <v>1.90289333333333</v>
      </c>
      <c r="BC129" s="121">
        <v>9.3994433333333305</v>
      </c>
      <c r="BD129" s="121">
        <v>12.5638666666667</v>
      </c>
      <c r="BE129" s="121">
        <v>0</v>
      </c>
      <c r="BF129" s="121">
        <v>18.904766666666699</v>
      </c>
      <c r="BG129" s="121">
        <v>8.5010566666666705</v>
      </c>
      <c r="BH129" s="121">
        <v>1.4852700000000001</v>
      </c>
      <c r="BI129" s="121">
        <v>0.43064766666666698</v>
      </c>
      <c r="BJ129" s="121">
        <v>0.22793366666666701</v>
      </c>
      <c r="BK129" s="92" t="s">
        <v>64</v>
      </c>
      <c r="BL129" s="121">
        <f t="shared" si="58"/>
        <v>98.513511333333383</v>
      </c>
      <c r="BM129" s="92">
        <v>0.08</v>
      </c>
      <c r="BN129" s="84">
        <v>108</v>
      </c>
      <c r="BO129" s="95" t="s">
        <v>419</v>
      </c>
      <c r="BP129" s="95">
        <f t="shared" si="59"/>
        <v>108</v>
      </c>
      <c r="BQ129" s="122">
        <v>5.68</v>
      </c>
    </row>
    <row r="130" spans="12:69" ht="14.45" customHeight="1">
      <c r="L130" s="129" t="s">
        <v>449</v>
      </c>
      <c r="M130" s="763" t="s">
        <v>410</v>
      </c>
      <c r="N130" s="15" t="s">
        <v>448</v>
      </c>
      <c r="O130" s="14" t="s">
        <v>1119</v>
      </c>
      <c r="P130" s="15" t="s">
        <v>438</v>
      </c>
      <c r="Q130" s="15" t="s">
        <v>468</v>
      </c>
      <c r="R130" s="15" t="s">
        <v>64</v>
      </c>
      <c r="S130" s="15" t="s">
        <v>64</v>
      </c>
      <c r="T130" s="14" t="str">
        <f t="shared" si="54"/>
        <v>-</v>
      </c>
      <c r="U130" s="218" t="s">
        <v>491</v>
      </c>
      <c r="V130" s="90" t="s">
        <v>299</v>
      </c>
      <c r="W130" s="109" t="s">
        <v>64</v>
      </c>
      <c r="X130" s="104" t="s">
        <v>64</v>
      </c>
      <c r="Y130" s="104" t="s">
        <v>64</v>
      </c>
      <c r="Z130" s="104" t="s">
        <v>64</v>
      </c>
      <c r="AA130" s="57" t="s">
        <v>64</v>
      </c>
      <c r="AB130" s="47" t="s">
        <v>64</v>
      </c>
      <c r="AC130" s="57">
        <v>23.9</v>
      </c>
      <c r="AD130" s="218" t="s">
        <v>475</v>
      </c>
      <c r="AE130" s="28">
        <f t="shared" si="51"/>
        <v>0.10654787182325959</v>
      </c>
      <c r="AF130" s="1043" t="s">
        <v>475</v>
      </c>
      <c r="AG130" s="83">
        <v>6</v>
      </c>
      <c r="AH130" s="1047" t="s">
        <v>475</v>
      </c>
      <c r="AI130" s="8">
        <v>1.36</v>
      </c>
      <c r="AJ130" s="9" t="s">
        <v>64</v>
      </c>
      <c r="AK130" s="9" t="s">
        <v>64</v>
      </c>
      <c r="AL130" s="9" t="s">
        <v>64</v>
      </c>
      <c r="AM130" s="9" t="s">
        <v>64</v>
      </c>
      <c r="AN130" s="9" t="s">
        <v>64</v>
      </c>
      <c r="AO130" s="9" t="s">
        <v>64</v>
      </c>
      <c r="AP130" s="9" t="s">
        <v>64</v>
      </c>
      <c r="AQ130" s="9" t="s">
        <v>64</v>
      </c>
      <c r="AR130" s="9" t="s">
        <v>64</v>
      </c>
      <c r="AS130" s="9" t="s">
        <v>64</v>
      </c>
      <c r="AT130" s="37" t="s">
        <v>64</v>
      </c>
      <c r="AU130" s="9">
        <v>0.18</v>
      </c>
      <c r="AV130" s="6" t="s">
        <v>292</v>
      </c>
      <c r="AW130" s="27" t="s">
        <v>419</v>
      </c>
      <c r="AX130" s="6" t="s">
        <v>292</v>
      </c>
      <c r="AY130" s="8" t="str">
        <f t="shared" si="56"/>
        <v>-</v>
      </c>
      <c r="AZ130" s="9" t="str">
        <f t="shared" si="57"/>
        <v>-</v>
      </c>
      <c r="BA130" s="123" t="s">
        <v>64</v>
      </c>
      <c r="BB130" s="121" t="s">
        <v>64</v>
      </c>
      <c r="BC130" s="121" t="s">
        <v>64</v>
      </c>
      <c r="BD130" s="121" t="s">
        <v>64</v>
      </c>
      <c r="BE130" s="121" t="s">
        <v>64</v>
      </c>
      <c r="BF130" s="121" t="s">
        <v>64</v>
      </c>
      <c r="BG130" s="121" t="s">
        <v>64</v>
      </c>
      <c r="BH130" s="121" t="s">
        <v>64</v>
      </c>
      <c r="BI130" s="121" t="s">
        <v>64</v>
      </c>
      <c r="BJ130" s="121" t="s">
        <v>64</v>
      </c>
      <c r="BK130" s="92" t="s">
        <v>64</v>
      </c>
      <c r="BL130" s="121">
        <f t="shared" si="58"/>
        <v>0</v>
      </c>
      <c r="BM130" s="92">
        <v>0.18</v>
      </c>
      <c r="BN130" s="84" t="s">
        <v>292</v>
      </c>
      <c r="BO130" s="95" t="s">
        <v>419</v>
      </c>
      <c r="BP130" s="84" t="s">
        <v>292</v>
      </c>
      <c r="BQ130" s="84" t="s">
        <v>292</v>
      </c>
    </row>
    <row r="131" spans="12:69" ht="14.45" customHeight="1">
      <c r="L131" s="129" t="s">
        <v>449</v>
      </c>
      <c r="M131" s="763" t="s">
        <v>410</v>
      </c>
      <c r="N131" s="15" t="s">
        <v>448</v>
      </c>
      <c r="O131" s="14" t="s">
        <v>1120</v>
      </c>
      <c r="P131" s="15" t="s">
        <v>438</v>
      </c>
      <c r="Q131" s="15" t="s">
        <v>468</v>
      </c>
      <c r="R131" s="15" t="s">
        <v>64</v>
      </c>
      <c r="S131" s="15" t="s">
        <v>64</v>
      </c>
      <c r="T131" s="14" t="str">
        <f t="shared" si="54"/>
        <v>-</v>
      </c>
      <c r="U131" s="218" t="s">
        <v>491</v>
      </c>
      <c r="V131" s="90" t="s">
        <v>299</v>
      </c>
      <c r="W131" s="109" t="s">
        <v>64</v>
      </c>
      <c r="X131" s="104" t="s">
        <v>64</v>
      </c>
      <c r="Y131" s="104" t="s">
        <v>64</v>
      </c>
      <c r="Z131" s="104" t="s">
        <v>64</v>
      </c>
      <c r="AA131" s="57" t="s">
        <v>64</v>
      </c>
      <c r="AB131" s="47" t="s">
        <v>64</v>
      </c>
      <c r="AC131" s="57">
        <v>399</v>
      </c>
      <c r="AD131" s="218" t="s">
        <v>475</v>
      </c>
      <c r="AE131" s="28">
        <f t="shared" si="51"/>
        <v>1.7081469892116001</v>
      </c>
      <c r="AF131" s="1043" t="s">
        <v>475</v>
      </c>
      <c r="AG131" s="83">
        <v>407</v>
      </c>
      <c r="AH131" s="1047" t="s">
        <v>475</v>
      </c>
      <c r="AI131" s="8">
        <v>1.34</v>
      </c>
      <c r="AJ131" s="9" t="s">
        <v>64</v>
      </c>
      <c r="AK131" s="9" t="s">
        <v>64</v>
      </c>
      <c r="AL131" s="9" t="s">
        <v>64</v>
      </c>
      <c r="AM131" s="9" t="s">
        <v>64</v>
      </c>
      <c r="AN131" s="9" t="s">
        <v>64</v>
      </c>
      <c r="AO131" s="9" t="s">
        <v>64</v>
      </c>
      <c r="AP131" s="9" t="s">
        <v>64</v>
      </c>
      <c r="AQ131" s="9" t="s">
        <v>64</v>
      </c>
      <c r="AR131" s="9" t="s">
        <v>64</v>
      </c>
      <c r="AS131" s="9" t="s">
        <v>64</v>
      </c>
      <c r="AT131" s="37" t="s">
        <v>64</v>
      </c>
      <c r="AU131" s="9">
        <v>0.09</v>
      </c>
      <c r="AV131" s="6">
        <v>187</v>
      </c>
      <c r="AW131" s="27" t="s">
        <v>419</v>
      </c>
      <c r="AX131" s="6">
        <f t="shared" si="55"/>
        <v>187</v>
      </c>
      <c r="AY131" s="8" t="str">
        <f t="shared" si="56"/>
        <v>-</v>
      </c>
      <c r="AZ131" s="9" t="str">
        <f t="shared" si="57"/>
        <v>-</v>
      </c>
      <c r="BA131" s="123" t="s">
        <v>64</v>
      </c>
      <c r="BB131" s="121" t="s">
        <v>64</v>
      </c>
      <c r="BC131" s="121" t="s">
        <v>64</v>
      </c>
      <c r="BD131" s="121" t="s">
        <v>64</v>
      </c>
      <c r="BE131" s="121" t="s">
        <v>64</v>
      </c>
      <c r="BF131" s="121" t="s">
        <v>64</v>
      </c>
      <c r="BG131" s="121" t="s">
        <v>64</v>
      </c>
      <c r="BH131" s="121" t="s">
        <v>64</v>
      </c>
      <c r="BI131" s="121" t="s">
        <v>64</v>
      </c>
      <c r="BJ131" s="121" t="s">
        <v>64</v>
      </c>
      <c r="BK131" s="92" t="s">
        <v>64</v>
      </c>
      <c r="BL131" s="121">
        <f t="shared" si="58"/>
        <v>0</v>
      </c>
      <c r="BM131" s="92">
        <v>0.09</v>
      </c>
      <c r="BN131" s="84">
        <v>140</v>
      </c>
      <c r="BO131" s="95" t="s">
        <v>419</v>
      </c>
      <c r="BP131" s="95">
        <f t="shared" si="59"/>
        <v>140</v>
      </c>
      <c r="BQ131" s="122">
        <v>13.090000000000002</v>
      </c>
    </row>
    <row r="132" spans="12:69" ht="14.45" customHeight="1">
      <c r="L132" s="129" t="s">
        <v>449</v>
      </c>
      <c r="M132" s="763" t="s">
        <v>410</v>
      </c>
      <c r="N132" s="15" t="s">
        <v>448</v>
      </c>
      <c r="O132" s="14" t="s">
        <v>1121</v>
      </c>
      <c r="P132" s="15" t="s">
        <v>438</v>
      </c>
      <c r="Q132" s="15" t="s">
        <v>468</v>
      </c>
      <c r="R132" s="15">
        <v>86.5</v>
      </c>
      <c r="S132" s="15" t="s">
        <v>64</v>
      </c>
      <c r="T132" s="14">
        <f t="shared" si="54"/>
        <v>1237.7934</v>
      </c>
      <c r="U132" s="218" t="s">
        <v>491</v>
      </c>
      <c r="V132" s="90" t="s">
        <v>299</v>
      </c>
      <c r="W132" s="109" t="s">
        <v>64</v>
      </c>
      <c r="X132" s="104" t="s">
        <v>64</v>
      </c>
      <c r="Y132" s="104" t="s">
        <v>64</v>
      </c>
      <c r="Z132" s="104" t="s">
        <v>64</v>
      </c>
      <c r="AA132" s="57" t="s">
        <v>64</v>
      </c>
      <c r="AB132" s="47" t="s">
        <v>64</v>
      </c>
      <c r="AC132" s="57">
        <v>1077</v>
      </c>
      <c r="AD132" s="218" t="s">
        <v>475</v>
      </c>
      <c r="AE132" s="28">
        <f t="shared" si="51"/>
        <v>4.3187458144572002</v>
      </c>
      <c r="AF132" s="1043" t="s">
        <v>475</v>
      </c>
      <c r="AG132" s="83">
        <v>1168</v>
      </c>
      <c r="AH132" s="1047" t="s">
        <v>475</v>
      </c>
      <c r="AI132" s="8">
        <v>1.3</v>
      </c>
      <c r="AJ132" s="9">
        <v>49.192999999999998</v>
      </c>
      <c r="AK132" s="9">
        <v>2.1150000000000002</v>
      </c>
      <c r="AL132" s="9">
        <v>13.259</v>
      </c>
      <c r="AM132" s="9">
        <v>11.193</v>
      </c>
      <c r="AN132" s="9">
        <v>0</v>
      </c>
      <c r="AO132" s="9">
        <v>11.134</v>
      </c>
      <c r="AP132" s="9">
        <v>9.9909999999999997</v>
      </c>
      <c r="AQ132" s="9">
        <v>2.3340000000000001</v>
      </c>
      <c r="AR132" s="9">
        <v>0.40300000000000002</v>
      </c>
      <c r="AS132" s="9">
        <v>0.249</v>
      </c>
      <c r="AT132" s="37" t="s">
        <v>64</v>
      </c>
      <c r="AU132" s="9">
        <v>0.1</v>
      </c>
      <c r="AV132" s="6">
        <v>554</v>
      </c>
      <c r="AW132" s="27" t="s">
        <v>419</v>
      </c>
      <c r="AX132" s="6">
        <f t="shared" si="55"/>
        <v>554</v>
      </c>
      <c r="AY132" s="8">
        <f t="shared" si="56"/>
        <v>2.2392387987193763</v>
      </c>
      <c r="AZ132" s="9">
        <f t="shared" si="57"/>
        <v>9.1782599999999999</v>
      </c>
      <c r="BA132" s="123">
        <v>46.758833333333335</v>
      </c>
      <c r="BB132" s="121">
        <v>1.6206100000000001</v>
      </c>
      <c r="BC132" s="121">
        <v>10.159893333333335</v>
      </c>
      <c r="BD132" s="121">
        <v>10.523003333333333</v>
      </c>
      <c r="BE132" s="121">
        <v>0</v>
      </c>
      <c r="BF132" s="121">
        <v>19.599233333333334</v>
      </c>
      <c r="BG132" s="121">
        <v>7.6558933333333323</v>
      </c>
      <c r="BH132" s="121">
        <v>1.78868</v>
      </c>
      <c r="BI132" s="121">
        <v>0.30913800000000002</v>
      </c>
      <c r="BJ132" s="121">
        <v>0.19109799999999999</v>
      </c>
      <c r="BK132" s="92" t="s">
        <v>64</v>
      </c>
      <c r="BL132" s="121">
        <f t="shared" si="58"/>
        <v>98.606382666666676</v>
      </c>
      <c r="BM132" s="92">
        <v>0.1</v>
      </c>
      <c r="BN132" s="84">
        <v>426</v>
      </c>
      <c r="BO132" s="95" t="s">
        <v>419</v>
      </c>
      <c r="BP132" s="95">
        <f t="shared" si="59"/>
        <v>426</v>
      </c>
      <c r="BQ132" s="122">
        <v>83.1</v>
      </c>
    </row>
    <row r="133" spans="12:69" ht="14.45" customHeight="1">
      <c r="L133" s="129" t="s">
        <v>449</v>
      </c>
      <c r="M133" s="763" t="s">
        <v>410</v>
      </c>
      <c r="N133" s="15" t="s">
        <v>448</v>
      </c>
      <c r="O133" s="14" t="s">
        <v>1122</v>
      </c>
      <c r="P133" s="15" t="s">
        <v>438</v>
      </c>
      <c r="Q133" s="15" t="s">
        <v>468</v>
      </c>
      <c r="R133" s="15" t="s">
        <v>64</v>
      </c>
      <c r="S133" s="15" t="s">
        <v>64</v>
      </c>
      <c r="T133" s="14" t="str">
        <f t="shared" si="54"/>
        <v>-</v>
      </c>
      <c r="U133" s="218" t="s">
        <v>491</v>
      </c>
      <c r="V133" s="90" t="s">
        <v>299</v>
      </c>
      <c r="W133" s="109" t="s">
        <v>64</v>
      </c>
      <c r="X133" s="104" t="s">
        <v>64</v>
      </c>
      <c r="Y133" s="104" t="s">
        <v>64</v>
      </c>
      <c r="Z133" s="104" t="s">
        <v>64</v>
      </c>
      <c r="AA133" s="57" t="s">
        <v>64</v>
      </c>
      <c r="AB133" s="47" t="s">
        <v>64</v>
      </c>
      <c r="AC133" s="57">
        <v>513</v>
      </c>
      <c r="AD133" s="218" t="s">
        <v>475</v>
      </c>
      <c r="AE133" s="28">
        <f t="shared" si="51"/>
        <v>2.1705493544748</v>
      </c>
      <c r="AF133" s="1043" t="s">
        <v>475</v>
      </c>
      <c r="AG133" s="83">
        <v>544</v>
      </c>
      <c r="AH133" s="1047" t="s">
        <v>475</v>
      </c>
      <c r="AI133" s="8">
        <v>1.34</v>
      </c>
      <c r="AJ133" s="9" t="s">
        <v>64</v>
      </c>
      <c r="AK133" s="9" t="s">
        <v>64</v>
      </c>
      <c r="AL133" s="9" t="s">
        <v>64</v>
      </c>
      <c r="AM133" s="9" t="s">
        <v>64</v>
      </c>
      <c r="AN133" s="9" t="s">
        <v>64</v>
      </c>
      <c r="AO133" s="9" t="s">
        <v>64</v>
      </c>
      <c r="AP133" s="9" t="s">
        <v>64</v>
      </c>
      <c r="AQ133" s="9" t="s">
        <v>64</v>
      </c>
      <c r="AR133" s="9" t="s">
        <v>64</v>
      </c>
      <c r="AS133" s="9" t="s">
        <v>64</v>
      </c>
      <c r="AT133" s="37" t="s">
        <v>64</v>
      </c>
      <c r="AU133" s="9">
        <v>0.28999999999999998</v>
      </c>
      <c r="AV133" s="6">
        <v>246</v>
      </c>
      <c r="AW133" s="27" t="s">
        <v>419</v>
      </c>
      <c r="AX133" s="6">
        <f t="shared" si="55"/>
        <v>246</v>
      </c>
      <c r="AY133" s="8" t="str">
        <f t="shared" si="56"/>
        <v>-</v>
      </c>
      <c r="AZ133" s="9" t="str">
        <f t="shared" si="57"/>
        <v>-</v>
      </c>
      <c r="BA133" s="123" t="s">
        <v>64</v>
      </c>
      <c r="BB133" s="121" t="s">
        <v>64</v>
      </c>
      <c r="BC133" s="121" t="s">
        <v>64</v>
      </c>
      <c r="BD133" s="121" t="s">
        <v>64</v>
      </c>
      <c r="BE133" s="121" t="s">
        <v>64</v>
      </c>
      <c r="BF133" s="121" t="s">
        <v>64</v>
      </c>
      <c r="BG133" s="121" t="s">
        <v>64</v>
      </c>
      <c r="BH133" s="121" t="s">
        <v>64</v>
      </c>
      <c r="BI133" s="121" t="s">
        <v>64</v>
      </c>
      <c r="BJ133" s="121" t="s">
        <v>64</v>
      </c>
      <c r="BK133" s="92" t="s">
        <v>64</v>
      </c>
      <c r="BL133" s="121">
        <f t="shared" si="58"/>
        <v>0</v>
      </c>
      <c r="BM133" s="92">
        <v>0.28999999999999998</v>
      </c>
      <c r="BN133" s="84">
        <v>183</v>
      </c>
      <c r="BO133" s="95" t="s">
        <v>419</v>
      </c>
      <c r="BP133" s="95">
        <f t="shared" si="59"/>
        <v>183</v>
      </c>
      <c r="BQ133" s="122">
        <v>9.84</v>
      </c>
    </row>
    <row r="134" spans="12:69" ht="14.45" customHeight="1" thickBot="1">
      <c r="L134" s="160" t="s">
        <v>449</v>
      </c>
      <c r="M134" s="1025" t="s">
        <v>410</v>
      </c>
      <c r="N134" s="133" t="s">
        <v>448</v>
      </c>
      <c r="O134" s="161" t="s">
        <v>1123</v>
      </c>
      <c r="P134" s="133" t="s">
        <v>438</v>
      </c>
      <c r="Q134" s="133" t="s">
        <v>468</v>
      </c>
      <c r="R134" s="133">
        <v>83.9</v>
      </c>
      <c r="S134" s="133" t="s">
        <v>64</v>
      </c>
      <c r="T134" s="161">
        <f t="shared" si="54"/>
        <v>1197.7542000000001</v>
      </c>
      <c r="U134" s="221" t="s">
        <v>491</v>
      </c>
      <c r="V134" s="206" t="s">
        <v>299</v>
      </c>
      <c r="W134" s="110" t="s">
        <v>64</v>
      </c>
      <c r="X134" s="105" t="s">
        <v>64</v>
      </c>
      <c r="Y134" s="105" t="s">
        <v>64</v>
      </c>
      <c r="Z134" s="105" t="s">
        <v>64</v>
      </c>
      <c r="AA134" s="135" t="s">
        <v>64</v>
      </c>
      <c r="AB134" s="97" t="s">
        <v>64</v>
      </c>
      <c r="AC134" s="135">
        <v>428</v>
      </c>
      <c r="AD134" s="221" t="s">
        <v>475</v>
      </c>
      <c r="AE134" s="136">
        <f t="shared" si="51"/>
        <v>1.8267842010367998</v>
      </c>
      <c r="AF134" s="1044" t="s">
        <v>475</v>
      </c>
      <c r="AG134" s="163">
        <v>438</v>
      </c>
      <c r="AH134" s="1048" t="s">
        <v>475</v>
      </c>
      <c r="AI134" s="164">
        <v>1.3</v>
      </c>
      <c r="AJ134" s="165">
        <v>49.802</v>
      </c>
      <c r="AK134" s="165">
        <v>2.2069999999999999</v>
      </c>
      <c r="AL134" s="165">
        <v>12.933</v>
      </c>
      <c r="AM134" s="165">
        <v>11.186999999999999</v>
      </c>
      <c r="AN134" s="165">
        <v>0</v>
      </c>
      <c r="AO134" s="165">
        <v>9.1419999999999995</v>
      </c>
      <c r="AP134" s="165">
        <v>11.49</v>
      </c>
      <c r="AQ134" s="165">
        <v>2.2810000000000001</v>
      </c>
      <c r="AR134" s="165">
        <v>0.43</v>
      </c>
      <c r="AS134" s="165">
        <v>0.39200000000000002</v>
      </c>
      <c r="AT134" s="166" t="s">
        <v>64</v>
      </c>
      <c r="AU134" s="165">
        <v>0.05</v>
      </c>
      <c r="AV134" s="167">
        <v>202</v>
      </c>
      <c r="AW134" s="134" t="s">
        <v>419</v>
      </c>
      <c r="AX134" s="167">
        <f t="shared" si="55"/>
        <v>202</v>
      </c>
      <c r="AY134" s="164">
        <f t="shared" si="56"/>
        <v>2.238038456291759</v>
      </c>
      <c r="AZ134" s="165">
        <f t="shared" si="57"/>
        <v>9.1733399999999996</v>
      </c>
      <c r="BA134" s="168">
        <v>45.578466666666664</v>
      </c>
      <c r="BB134" s="169">
        <v>1.5092866666666664</v>
      </c>
      <c r="BC134" s="169">
        <v>8.8424633333333329</v>
      </c>
      <c r="BD134" s="169">
        <v>14.9801</v>
      </c>
      <c r="BE134" s="169">
        <v>0</v>
      </c>
      <c r="BF134" s="169">
        <v>17.603866666666669</v>
      </c>
      <c r="BG134" s="169">
        <v>7.8556866666666663</v>
      </c>
      <c r="BH134" s="169">
        <v>1.5592633333333332</v>
      </c>
      <c r="BI134" s="169">
        <v>0.29392200000000002</v>
      </c>
      <c r="BJ134" s="169">
        <v>0.26826566666666668</v>
      </c>
      <c r="BK134" s="99" t="s">
        <v>64</v>
      </c>
      <c r="BL134" s="169">
        <f t="shared" si="58"/>
        <v>98.491320999999999</v>
      </c>
      <c r="BM134" s="99">
        <v>0.05</v>
      </c>
      <c r="BN134" s="170">
        <v>156</v>
      </c>
      <c r="BO134" s="101" t="s">
        <v>419</v>
      </c>
      <c r="BP134" s="101">
        <f t="shared" si="59"/>
        <v>156</v>
      </c>
      <c r="BQ134" s="171">
        <v>8.08</v>
      </c>
    </row>
    <row r="135" spans="12:69" ht="14.45" customHeight="1">
      <c r="L135" s="129" t="s">
        <v>451</v>
      </c>
      <c r="M135" s="763" t="s">
        <v>410</v>
      </c>
      <c r="N135" s="15" t="s">
        <v>427</v>
      </c>
      <c r="O135" s="14" t="s">
        <v>1124</v>
      </c>
      <c r="P135" s="15" t="s">
        <v>438</v>
      </c>
      <c r="Q135" s="15" t="s">
        <v>468</v>
      </c>
      <c r="R135" s="15">
        <v>87.8</v>
      </c>
      <c r="S135" s="15" t="s">
        <v>64</v>
      </c>
      <c r="T135" s="14">
        <f t="shared" si="54"/>
        <v>1261.9536000000001</v>
      </c>
      <c r="U135" s="218" t="s">
        <v>491</v>
      </c>
      <c r="V135" s="90" t="s">
        <v>299</v>
      </c>
      <c r="W135" s="109" t="s">
        <v>64</v>
      </c>
      <c r="X135" s="104" t="s">
        <v>64</v>
      </c>
      <c r="Y135" s="104" t="s">
        <v>64</v>
      </c>
      <c r="Z135" s="104" t="s">
        <v>64</v>
      </c>
      <c r="AA135" s="57" t="s">
        <v>64</v>
      </c>
      <c r="AB135" s="47" t="s">
        <v>64</v>
      </c>
      <c r="AC135" s="57">
        <v>68.209999999999994</v>
      </c>
      <c r="AD135" s="218" t="s">
        <v>475</v>
      </c>
      <c r="AE135" s="28">
        <f t="shared" si="51"/>
        <v>0.30259038288891515</v>
      </c>
      <c r="AF135" s="1043" t="s">
        <v>475</v>
      </c>
      <c r="AG135" s="83">
        <v>60</v>
      </c>
      <c r="AH135" s="1047" t="s">
        <v>475</v>
      </c>
      <c r="AI135" s="8">
        <v>1.04</v>
      </c>
      <c r="AJ135" s="9">
        <v>48.884999999999998</v>
      </c>
      <c r="AK135" s="9">
        <v>2.4900000000000002</v>
      </c>
      <c r="AL135" s="9">
        <v>11.294</v>
      </c>
      <c r="AM135" s="9">
        <v>11.195</v>
      </c>
      <c r="AN135" s="9">
        <v>0.13900000000000001</v>
      </c>
      <c r="AO135" s="9">
        <v>12.336</v>
      </c>
      <c r="AP135" s="9">
        <v>10.862</v>
      </c>
      <c r="AQ135" s="9">
        <v>1.8460000000000001</v>
      </c>
      <c r="AR135" s="9">
        <v>0.50900000000000001</v>
      </c>
      <c r="AS135" s="9">
        <v>0.309</v>
      </c>
      <c r="AT135" s="37" t="s">
        <v>64</v>
      </c>
      <c r="AU135" s="9">
        <v>0.31</v>
      </c>
      <c r="AV135" s="6">
        <v>22</v>
      </c>
      <c r="AW135" s="27" t="s">
        <v>419</v>
      </c>
      <c r="AX135" s="6">
        <f t="shared" ref="AX135:AX150" si="60">AV135</f>
        <v>22</v>
      </c>
      <c r="AY135" s="8">
        <f t="shared" si="56"/>
        <v>2.2396389128619152</v>
      </c>
      <c r="AZ135" s="9">
        <f t="shared" si="57"/>
        <v>9.1798999999999999</v>
      </c>
      <c r="BA135" s="123">
        <v>48.786541927717494</v>
      </c>
      <c r="BB135" s="121">
        <v>2.3930784972114818</v>
      </c>
      <c r="BC135" s="121">
        <v>10.853937786137131</v>
      </c>
      <c r="BD135" s="121">
        <v>10.292701609698511</v>
      </c>
      <c r="BE135" s="121">
        <v>0.13360956184330192</v>
      </c>
      <c r="BF135" s="121">
        <v>14.540543232752526</v>
      </c>
      <c r="BG135" s="121">
        <v>10.438808970395257</v>
      </c>
      <c r="BH135" s="121">
        <v>1.7745232792687513</v>
      </c>
      <c r="BI135" s="121">
        <v>0.48934147825447033</v>
      </c>
      <c r="BJ135" s="121">
        <v>0.296882323674027</v>
      </c>
      <c r="BK135" s="92" t="s">
        <v>64</v>
      </c>
      <c r="BL135" s="121">
        <f t="shared" ref="BL135:BL150" si="61">SUM(BA135:BJ135)</f>
        <v>99.999968666952952</v>
      </c>
      <c r="BM135" s="92">
        <v>0.31</v>
      </c>
      <c r="BN135" s="84">
        <v>22</v>
      </c>
      <c r="BO135" s="95" t="s">
        <v>419</v>
      </c>
      <c r="BP135" s="95">
        <f t="shared" ref="BP135:BP150" si="62">BN135</f>
        <v>22</v>
      </c>
      <c r="BQ135" s="122">
        <v>4.84</v>
      </c>
    </row>
    <row r="136" spans="12:69" ht="14.45" customHeight="1">
      <c r="L136" s="129" t="s">
        <v>451</v>
      </c>
      <c r="M136" s="763" t="s">
        <v>410</v>
      </c>
      <c r="N136" s="15" t="s">
        <v>427</v>
      </c>
      <c r="O136" s="14" t="s">
        <v>1125</v>
      </c>
      <c r="P136" s="15" t="s">
        <v>438</v>
      </c>
      <c r="Q136" s="15" t="s">
        <v>468</v>
      </c>
      <c r="R136" s="15">
        <v>87.6</v>
      </c>
      <c r="S136" s="15" t="s">
        <v>64</v>
      </c>
      <c r="T136" s="14">
        <f t="shared" si="54"/>
        <v>1257.3306</v>
      </c>
      <c r="U136" s="218" t="s">
        <v>491</v>
      </c>
      <c r="V136" s="90" t="s">
        <v>299</v>
      </c>
      <c r="W136" s="109" t="s">
        <v>64</v>
      </c>
      <c r="X136" s="104" t="s">
        <v>64</v>
      </c>
      <c r="Y136" s="104" t="s">
        <v>64</v>
      </c>
      <c r="Z136" s="104" t="s">
        <v>64</v>
      </c>
      <c r="AA136" s="57" t="s">
        <v>64</v>
      </c>
      <c r="AB136" s="47" t="s">
        <v>64</v>
      </c>
      <c r="AC136" s="57">
        <v>105</v>
      </c>
      <c r="AD136" s="218" t="s">
        <v>475</v>
      </c>
      <c r="AE136" s="28">
        <f t="shared" si="51"/>
        <v>0.46390786154999991</v>
      </c>
      <c r="AF136" s="1043" t="s">
        <v>475</v>
      </c>
      <c r="AG136" s="83">
        <v>90</v>
      </c>
      <c r="AH136" s="1047" t="s">
        <v>475</v>
      </c>
      <c r="AI136" s="8">
        <v>1.04</v>
      </c>
      <c r="AJ136" s="9">
        <v>48.62</v>
      </c>
      <c r="AK136" s="9">
        <v>2.3149999999999999</v>
      </c>
      <c r="AL136" s="9">
        <v>11.975</v>
      </c>
      <c r="AM136" s="9">
        <v>11.192</v>
      </c>
      <c r="AN136" s="9">
        <v>0.16400000000000001</v>
      </c>
      <c r="AO136" s="9">
        <v>12.106</v>
      </c>
      <c r="AP136" s="9">
        <v>10.869</v>
      </c>
      <c r="AQ136" s="9">
        <v>1.917</v>
      </c>
      <c r="AR136" s="9">
        <v>0.44400000000000001</v>
      </c>
      <c r="AS136" s="9">
        <v>0.26600000000000001</v>
      </c>
      <c r="AT136" s="37" t="s">
        <v>64</v>
      </c>
      <c r="AU136" s="9">
        <v>0.15</v>
      </c>
      <c r="AV136" s="6">
        <v>40</v>
      </c>
      <c r="AW136" s="27" t="s">
        <v>419</v>
      </c>
      <c r="AX136" s="6">
        <f t="shared" si="60"/>
        <v>40</v>
      </c>
      <c r="AY136" s="8">
        <f t="shared" si="56"/>
        <v>2.2390387416481068</v>
      </c>
      <c r="AZ136" s="9">
        <f t="shared" si="57"/>
        <v>9.1774400000000007</v>
      </c>
      <c r="BA136" s="123">
        <v>48.54339500881558</v>
      </c>
      <c r="BB136" s="121">
        <v>2.2242075901432878</v>
      </c>
      <c r="BC136" s="121">
        <v>11.504485811592543</v>
      </c>
      <c r="BD136" s="121">
        <v>10.212394212201881</v>
      </c>
      <c r="BE136" s="121">
        <v>0.15775047028672654</v>
      </c>
      <c r="BF136" s="121">
        <v>14.390929297491478</v>
      </c>
      <c r="BG136" s="121">
        <v>10.442408735937386</v>
      </c>
      <c r="BH136" s="121">
        <v>1.8416437491566671</v>
      </c>
      <c r="BI136" s="121">
        <v>0.4270134448857596</v>
      </c>
      <c r="BJ136" s="121">
        <v>0.2558150337208201</v>
      </c>
      <c r="BK136" s="92" t="s">
        <v>64</v>
      </c>
      <c r="BL136" s="121">
        <f t="shared" si="61"/>
        <v>100.00004335423215</v>
      </c>
      <c r="BM136" s="92">
        <v>0.15</v>
      </c>
      <c r="BN136" s="84">
        <v>38</v>
      </c>
      <c r="BO136" s="95" t="s">
        <v>419</v>
      </c>
      <c r="BP136" s="95">
        <f t="shared" si="62"/>
        <v>38</v>
      </c>
      <c r="BQ136" s="122">
        <v>2</v>
      </c>
    </row>
    <row r="137" spans="12:69" ht="14.45" customHeight="1">
      <c r="L137" s="129" t="s">
        <v>451</v>
      </c>
      <c r="M137" s="763" t="s">
        <v>410</v>
      </c>
      <c r="N137" s="15" t="s">
        <v>427</v>
      </c>
      <c r="O137" s="14" t="s">
        <v>1126</v>
      </c>
      <c r="P137" s="15" t="s">
        <v>438</v>
      </c>
      <c r="Q137" s="15" t="s">
        <v>468</v>
      </c>
      <c r="R137" s="15">
        <v>85.4</v>
      </c>
      <c r="S137" s="15" t="s">
        <v>64</v>
      </c>
      <c r="T137" s="14">
        <f t="shared" si="54"/>
        <v>1218.3969</v>
      </c>
      <c r="U137" s="218" t="s">
        <v>491</v>
      </c>
      <c r="V137" s="90" t="s">
        <v>299</v>
      </c>
      <c r="W137" s="109" t="s">
        <v>64</v>
      </c>
      <c r="X137" s="104" t="s">
        <v>64</v>
      </c>
      <c r="Y137" s="104" t="s">
        <v>64</v>
      </c>
      <c r="Z137" s="104" t="s">
        <v>64</v>
      </c>
      <c r="AA137" s="57" t="s">
        <v>64</v>
      </c>
      <c r="AB137" s="47" t="s">
        <v>64</v>
      </c>
      <c r="AC137" s="57">
        <v>286</v>
      </c>
      <c r="AD137" s="218" t="s">
        <v>475</v>
      </c>
      <c r="AE137" s="28">
        <f t="shared" si="51"/>
        <v>1.2390566892703998</v>
      </c>
      <c r="AF137" s="1043" t="s">
        <v>475</v>
      </c>
      <c r="AG137" s="83">
        <v>294</v>
      </c>
      <c r="AH137" s="1047" t="s">
        <v>475</v>
      </c>
      <c r="AI137" s="8">
        <v>1.1200000000000001</v>
      </c>
      <c r="AJ137" s="9">
        <v>49.555</v>
      </c>
      <c r="AK137" s="9">
        <v>2.476</v>
      </c>
      <c r="AL137" s="9">
        <v>12.241</v>
      </c>
      <c r="AM137" s="9">
        <v>11.192</v>
      </c>
      <c r="AN137" s="9">
        <v>0.17499999999999999</v>
      </c>
      <c r="AO137" s="9">
        <v>10.169</v>
      </c>
      <c r="AP137" s="9">
        <v>11.098000000000001</v>
      </c>
      <c r="AQ137" s="9">
        <v>2.1240000000000001</v>
      </c>
      <c r="AR137" s="9">
        <v>0.53900000000000003</v>
      </c>
      <c r="AS137" s="9">
        <v>0.29599999999999999</v>
      </c>
      <c r="AT137" s="37" t="s">
        <v>64</v>
      </c>
      <c r="AU137" s="9">
        <v>0.26</v>
      </c>
      <c r="AV137" s="6">
        <v>131</v>
      </c>
      <c r="AW137" s="27" t="s">
        <v>419</v>
      </c>
      <c r="AX137" s="6">
        <f t="shared" si="60"/>
        <v>131</v>
      </c>
      <c r="AY137" s="8">
        <f t="shared" si="56"/>
        <v>2.2390387416481068</v>
      </c>
      <c r="AZ137" s="9">
        <f t="shared" si="57"/>
        <v>9.1774400000000007</v>
      </c>
      <c r="BA137" s="123">
        <v>48.655432698356869</v>
      </c>
      <c r="BB137" s="121">
        <v>2.2070277216084051</v>
      </c>
      <c r="BC137" s="121">
        <v>10.91151718424889</v>
      </c>
      <c r="BD137" s="121">
        <v>11.082549218763296</v>
      </c>
      <c r="BE137" s="121">
        <v>0.15604436157939916</v>
      </c>
      <c r="BF137" s="121">
        <v>14.457021126311034</v>
      </c>
      <c r="BG137" s="121">
        <v>9.8930651378650545</v>
      </c>
      <c r="BH137" s="121">
        <v>1.89330114642225</v>
      </c>
      <c r="BI137" s="121">
        <v>0.48021658133221717</v>
      </c>
      <c r="BJ137" s="121">
        <v>0.26379658468454031</v>
      </c>
      <c r="BK137" s="92" t="s">
        <v>64</v>
      </c>
      <c r="BL137" s="121">
        <f t="shared" si="61"/>
        <v>99.999971761171949</v>
      </c>
      <c r="BM137" s="92">
        <v>0.26</v>
      </c>
      <c r="BN137" s="84">
        <v>117</v>
      </c>
      <c r="BO137" s="95" t="s">
        <v>419</v>
      </c>
      <c r="BP137" s="95">
        <f t="shared" si="62"/>
        <v>117</v>
      </c>
      <c r="BQ137" s="122">
        <v>7.8599999999999994</v>
      </c>
    </row>
    <row r="138" spans="12:69" ht="14.45" customHeight="1">
      <c r="L138" s="129" t="s">
        <v>451</v>
      </c>
      <c r="M138" s="763" t="s">
        <v>410</v>
      </c>
      <c r="N138" s="15" t="s">
        <v>427</v>
      </c>
      <c r="O138" s="14" t="s">
        <v>1127</v>
      </c>
      <c r="P138" s="15" t="s">
        <v>438</v>
      </c>
      <c r="Q138" s="15" t="s">
        <v>468</v>
      </c>
      <c r="R138" s="15">
        <v>85.2</v>
      </c>
      <c r="S138" s="15" t="s">
        <v>64</v>
      </c>
      <c r="T138" s="14">
        <f t="shared" si="54"/>
        <v>1215.2613000000001</v>
      </c>
      <c r="U138" s="218" t="s">
        <v>491</v>
      </c>
      <c r="V138" s="90" t="s">
        <v>299</v>
      </c>
      <c r="W138" s="109" t="s">
        <v>64</v>
      </c>
      <c r="X138" s="104" t="s">
        <v>64</v>
      </c>
      <c r="Y138" s="104" t="s">
        <v>64</v>
      </c>
      <c r="Z138" s="104" t="s">
        <v>64</v>
      </c>
      <c r="AA138" s="57" t="s">
        <v>64</v>
      </c>
      <c r="AB138" s="47" t="s">
        <v>64</v>
      </c>
      <c r="AC138" s="57">
        <v>651</v>
      </c>
      <c r="AD138" s="218" t="s">
        <v>475</v>
      </c>
      <c r="AE138" s="28">
        <f t="shared" si="51"/>
        <v>2.7166016396483998</v>
      </c>
      <c r="AF138" s="1043" t="s">
        <v>475</v>
      </c>
      <c r="AG138" s="83">
        <v>753</v>
      </c>
      <c r="AH138" s="1047" t="s">
        <v>475</v>
      </c>
      <c r="AI138" s="8">
        <v>1.1200000000000001</v>
      </c>
      <c r="AJ138" s="9">
        <v>49.741999999999997</v>
      </c>
      <c r="AK138" s="9">
        <v>2.4660000000000002</v>
      </c>
      <c r="AL138" s="9">
        <v>12.047000000000001</v>
      </c>
      <c r="AM138" s="9">
        <v>11.192</v>
      </c>
      <c r="AN138" s="9">
        <v>0.16400000000000001</v>
      </c>
      <c r="AO138" s="9">
        <v>10.013</v>
      </c>
      <c r="AP138" s="9">
        <v>11.324</v>
      </c>
      <c r="AQ138" s="9">
        <v>2.12</v>
      </c>
      <c r="AR138" s="9">
        <v>0.52200000000000002</v>
      </c>
      <c r="AS138" s="9">
        <v>0.27200000000000002</v>
      </c>
      <c r="AT138" s="37" t="s">
        <v>64</v>
      </c>
      <c r="AU138" s="9">
        <v>0.74</v>
      </c>
      <c r="AV138" s="6">
        <v>322</v>
      </c>
      <c r="AW138" s="27" t="s">
        <v>419</v>
      </c>
      <c r="AX138" s="6">
        <f t="shared" si="60"/>
        <v>322</v>
      </c>
      <c r="AY138" s="8">
        <f t="shared" si="56"/>
        <v>2.2390387416481068</v>
      </c>
      <c r="AZ138" s="9">
        <f t="shared" si="57"/>
        <v>9.1774400000000007</v>
      </c>
      <c r="BA138" s="123">
        <v>48.855326348603214</v>
      </c>
      <c r="BB138" s="121">
        <v>2.2013714228946251</v>
      </c>
      <c r="BC138" s="121">
        <v>10.754664473979979</v>
      </c>
      <c r="BD138" s="121">
        <v>10.973185803992088</v>
      </c>
      <c r="BE138" s="121">
        <v>0.14655403668060854</v>
      </c>
      <c r="BF138" s="121">
        <v>14.358931885532684</v>
      </c>
      <c r="BG138" s="121">
        <v>10.108770720063507</v>
      </c>
      <c r="BH138" s="121">
        <v>1.8928717281366894</v>
      </c>
      <c r="BI138" s="121">
        <v>0.46590930718753332</v>
      </c>
      <c r="BJ138" s="121">
        <v>0.2423957947708715</v>
      </c>
      <c r="BK138" s="92" t="s">
        <v>64</v>
      </c>
      <c r="BL138" s="121">
        <f t="shared" si="61"/>
        <v>99.999981521841789</v>
      </c>
      <c r="BM138" s="92">
        <v>0.74</v>
      </c>
      <c r="BN138" s="84">
        <v>287</v>
      </c>
      <c r="BO138" s="95" t="s">
        <v>419</v>
      </c>
      <c r="BP138" s="95">
        <f t="shared" si="62"/>
        <v>287</v>
      </c>
      <c r="BQ138" s="122">
        <v>64.400000000000006</v>
      </c>
    </row>
    <row r="139" spans="12:69" ht="14.45" customHeight="1">
      <c r="L139" s="129" t="s">
        <v>451</v>
      </c>
      <c r="M139" s="763" t="s">
        <v>410</v>
      </c>
      <c r="N139" s="15" t="s">
        <v>427</v>
      </c>
      <c r="O139" s="14" t="s">
        <v>1128</v>
      </c>
      <c r="P139" s="15" t="s">
        <v>438</v>
      </c>
      <c r="Q139" s="15" t="s">
        <v>468</v>
      </c>
      <c r="R139" s="15">
        <v>85.5</v>
      </c>
      <c r="S139" s="15" t="s">
        <v>64</v>
      </c>
      <c r="T139" s="14">
        <f t="shared" si="54"/>
        <v>1219.5626999999999</v>
      </c>
      <c r="U139" s="218" t="s">
        <v>491</v>
      </c>
      <c r="V139" s="90" t="s">
        <v>299</v>
      </c>
      <c r="W139" s="109" t="s">
        <v>64</v>
      </c>
      <c r="X139" s="104" t="s">
        <v>64</v>
      </c>
      <c r="Y139" s="104" t="s">
        <v>64</v>
      </c>
      <c r="Z139" s="104" t="s">
        <v>64</v>
      </c>
      <c r="AA139" s="57" t="s">
        <v>64</v>
      </c>
      <c r="AB139" s="47" t="s">
        <v>64</v>
      </c>
      <c r="AC139" s="57">
        <v>621</v>
      </c>
      <c r="AD139" s="218" t="s">
        <v>475</v>
      </c>
      <c r="AE139" s="28">
        <f t="shared" si="51"/>
        <v>2.5991216285723997</v>
      </c>
      <c r="AF139" s="1043" t="s">
        <v>475</v>
      </c>
      <c r="AG139" s="83">
        <v>708</v>
      </c>
      <c r="AH139" s="1047" t="s">
        <v>475</v>
      </c>
      <c r="AI139" s="8">
        <v>1.1100000000000001</v>
      </c>
      <c r="AJ139" s="9">
        <v>49.563000000000002</v>
      </c>
      <c r="AK139" s="9">
        <v>2.5649999999999999</v>
      </c>
      <c r="AL139" s="9">
        <v>12.115</v>
      </c>
      <c r="AM139" s="9">
        <v>11.198</v>
      </c>
      <c r="AN139" s="9">
        <v>0.182</v>
      </c>
      <c r="AO139" s="9">
        <v>10.227</v>
      </c>
      <c r="AP139" s="9">
        <v>10.993</v>
      </c>
      <c r="AQ139" s="9">
        <v>2.1509999999999998</v>
      </c>
      <c r="AR139" s="9">
        <v>0.57399999999999995</v>
      </c>
      <c r="AS139" s="9">
        <v>0.29299999999999998</v>
      </c>
      <c r="AT139" s="37" t="s">
        <v>64</v>
      </c>
      <c r="AU139" s="9">
        <v>0.69</v>
      </c>
      <c r="AV139" s="6">
        <v>306</v>
      </c>
      <c r="AW139" s="27" t="s">
        <v>419</v>
      </c>
      <c r="AX139" s="6">
        <f t="shared" si="60"/>
        <v>306</v>
      </c>
      <c r="AY139" s="8">
        <f t="shared" si="56"/>
        <v>2.2402390840757236</v>
      </c>
      <c r="AZ139" s="9">
        <f t="shared" si="57"/>
        <v>9.182360000000001</v>
      </c>
      <c r="BA139" s="123">
        <v>48.746981730602698</v>
      </c>
      <c r="BB139" s="121">
        <v>2.3057929802802901</v>
      </c>
      <c r="BC139" s="121">
        <v>10.889957161155603</v>
      </c>
      <c r="BD139" s="121">
        <v>11.000156767717446</v>
      </c>
      <c r="BE139" s="121">
        <v>0.163832695005038</v>
      </c>
      <c r="BF139" s="121">
        <v>14.298816503264023</v>
      </c>
      <c r="BG139" s="121">
        <v>9.8809405223170934</v>
      </c>
      <c r="BH139" s="121">
        <v>1.9338275529475535</v>
      </c>
      <c r="BI139" s="121">
        <v>0.51630032495283673</v>
      </c>
      <c r="BJ139" s="121">
        <v>0.26343125621061531</v>
      </c>
      <c r="BK139" s="92" t="s">
        <v>64</v>
      </c>
      <c r="BL139" s="121">
        <f t="shared" si="61"/>
        <v>100.00003749445318</v>
      </c>
      <c r="BM139" s="92">
        <v>0.69</v>
      </c>
      <c r="BN139" s="84">
        <v>275</v>
      </c>
      <c r="BO139" s="95" t="s">
        <v>419</v>
      </c>
      <c r="BP139" s="95">
        <f t="shared" si="62"/>
        <v>275</v>
      </c>
      <c r="BQ139" s="122">
        <v>0</v>
      </c>
    </row>
    <row r="140" spans="12:69" ht="14.45" customHeight="1">
      <c r="L140" s="129" t="s">
        <v>451</v>
      </c>
      <c r="M140" s="763" t="s">
        <v>410</v>
      </c>
      <c r="N140" s="15" t="s">
        <v>427</v>
      </c>
      <c r="O140" s="14" t="s">
        <v>1129</v>
      </c>
      <c r="P140" s="15" t="s">
        <v>438</v>
      </c>
      <c r="Q140" s="15" t="s">
        <v>468</v>
      </c>
      <c r="R140" s="15">
        <v>88.2</v>
      </c>
      <c r="S140" s="15" t="s">
        <v>64</v>
      </c>
      <c r="T140" s="14">
        <f t="shared" si="54"/>
        <v>1267.26</v>
      </c>
      <c r="U140" s="218" t="s">
        <v>491</v>
      </c>
      <c r="V140" s="90" t="s">
        <v>299</v>
      </c>
      <c r="W140" s="109" t="s">
        <v>64</v>
      </c>
      <c r="X140" s="104" t="s">
        <v>64</v>
      </c>
      <c r="Y140" s="104" t="s">
        <v>64</v>
      </c>
      <c r="Z140" s="104" t="s">
        <v>64</v>
      </c>
      <c r="AA140" s="57" t="s">
        <v>64</v>
      </c>
      <c r="AB140" s="47" t="s">
        <v>64</v>
      </c>
      <c r="AC140" s="57">
        <v>179</v>
      </c>
      <c r="AD140" s="218" t="s">
        <v>475</v>
      </c>
      <c r="AE140" s="28">
        <f t="shared" si="51"/>
        <v>0.78447616438759993</v>
      </c>
      <c r="AF140" s="1043" t="s">
        <v>475</v>
      </c>
      <c r="AG140" s="83">
        <v>173</v>
      </c>
      <c r="AH140" s="1047" t="s">
        <v>475</v>
      </c>
      <c r="AI140" s="8">
        <v>1.03</v>
      </c>
      <c r="AJ140" s="9">
        <v>47.99</v>
      </c>
      <c r="AK140" s="9">
        <v>2.4</v>
      </c>
      <c r="AL140" s="9">
        <v>11.92</v>
      </c>
      <c r="AM140" s="9">
        <v>11.91</v>
      </c>
      <c r="AN140" s="9">
        <v>0.15</v>
      </c>
      <c r="AO140" s="9">
        <v>12.6</v>
      </c>
      <c r="AP140" s="9">
        <v>10.94</v>
      </c>
      <c r="AQ140" s="9">
        <v>1.92</v>
      </c>
      <c r="AR140" s="9">
        <v>0.47</v>
      </c>
      <c r="AS140" s="9">
        <v>0.28000000000000003</v>
      </c>
      <c r="AT140" s="37" t="s">
        <v>64</v>
      </c>
      <c r="AU140" s="9">
        <v>0.24</v>
      </c>
      <c r="AV140" s="6">
        <v>77</v>
      </c>
      <c r="AW140" s="27" t="s">
        <v>419</v>
      </c>
      <c r="AX140" s="6">
        <f t="shared" si="60"/>
        <v>77</v>
      </c>
      <c r="AY140" s="8">
        <f t="shared" si="56"/>
        <v>2.3826797188195989</v>
      </c>
      <c r="AZ140" s="9">
        <f t="shared" si="57"/>
        <v>9.7661999999999995</v>
      </c>
      <c r="BA140" s="123">
        <v>48.090495378304723</v>
      </c>
      <c r="BB140" s="121">
        <v>2.3337886640053962</v>
      </c>
      <c r="BC140" s="121">
        <v>11.586842602351684</v>
      </c>
      <c r="BD140" s="121">
        <v>9.8779664437423271</v>
      </c>
      <c r="BE140" s="121">
        <v>0.15467306850226975</v>
      </c>
      <c r="BF140" s="121">
        <v>14.721306117726026</v>
      </c>
      <c r="BG140" s="121">
        <v>10.636485469395531</v>
      </c>
      <c r="BH140" s="121">
        <v>1.8744344598477043</v>
      </c>
      <c r="BI140" s="121">
        <v>0.45707921531137063</v>
      </c>
      <c r="BJ140" s="121">
        <v>0.2669068847340707</v>
      </c>
      <c r="BK140" s="92" t="s">
        <v>64</v>
      </c>
      <c r="BL140" s="121">
        <f t="shared" si="61"/>
        <v>99.999978303921111</v>
      </c>
      <c r="BM140" s="92">
        <v>0.24</v>
      </c>
      <c r="BN140" s="84">
        <v>74</v>
      </c>
      <c r="BO140" s="95" t="s">
        <v>419</v>
      </c>
      <c r="BP140" s="95">
        <f t="shared" si="62"/>
        <v>74</v>
      </c>
      <c r="BQ140" s="122">
        <v>5.3900000000000006</v>
      </c>
    </row>
    <row r="141" spans="12:69" ht="14.45" customHeight="1">
      <c r="L141" s="129" t="s">
        <v>451</v>
      </c>
      <c r="M141" s="763" t="s">
        <v>410</v>
      </c>
      <c r="N141" s="15" t="s">
        <v>427</v>
      </c>
      <c r="O141" s="14" t="s">
        <v>1130</v>
      </c>
      <c r="P141" s="15" t="s">
        <v>438</v>
      </c>
      <c r="Q141" s="15" t="s">
        <v>468</v>
      </c>
      <c r="R141" s="15">
        <v>87.6</v>
      </c>
      <c r="S141" s="15" t="s">
        <v>64</v>
      </c>
      <c r="T141" s="14">
        <f t="shared" si="54"/>
        <v>1257.8331000000001</v>
      </c>
      <c r="U141" s="218" t="s">
        <v>491</v>
      </c>
      <c r="V141" s="90" t="s">
        <v>299</v>
      </c>
      <c r="W141" s="109" t="s">
        <v>64</v>
      </c>
      <c r="X141" s="104" t="s">
        <v>64</v>
      </c>
      <c r="Y141" s="104" t="s">
        <v>64</v>
      </c>
      <c r="Z141" s="104" t="s">
        <v>64</v>
      </c>
      <c r="AA141" s="57" t="s">
        <v>64</v>
      </c>
      <c r="AB141" s="47" t="s">
        <v>64</v>
      </c>
      <c r="AC141" s="57">
        <v>266</v>
      </c>
      <c r="AD141" s="218" t="s">
        <v>475</v>
      </c>
      <c r="AE141" s="28">
        <f t="shared" si="51"/>
        <v>1.1548727581664</v>
      </c>
      <c r="AF141" s="1043" t="s">
        <v>475</v>
      </c>
      <c r="AG141" s="83">
        <v>285</v>
      </c>
      <c r="AH141" s="1047" t="s">
        <v>475</v>
      </c>
      <c r="AI141" s="8">
        <v>1.04</v>
      </c>
      <c r="AJ141" s="9">
        <v>49.113</v>
      </c>
      <c r="AK141" s="9">
        <v>2.335</v>
      </c>
      <c r="AL141" s="9">
        <v>11.456</v>
      </c>
      <c r="AM141" s="9">
        <v>11.193</v>
      </c>
      <c r="AN141" s="9">
        <v>0.14899999999999999</v>
      </c>
      <c r="AO141" s="9">
        <v>12.131</v>
      </c>
      <c r="AP141" s="9">
        <v>10.78</v>
      </c>
      <c r="AQ141" s="9">
        <v>1.99</v>
      </c>
      <c r="AR141" s="9">
        <v>0.45700000000000002</v>
      </c>
      <c r="AS141" s="9">
        <v>0.25900000000000001</v>
      </c>
      <c r="AT141" s="37" t="s">
        <v>64</v>
      </c>
      <c r="AU141" s="9">
        <v>0.45</v>
      </c>
      <c r="AV141" s="6">
        <v>121</v>
      </c>
      <c r="AW141" s="27" t="s">
        <v>419</v>
      </c>
      <c r="AX141" s="6">
        <f t="shared" si="60"/>
        <v>121</v>
      </c>
      <c r="AY141" s="8">
        <f>IF(ISNUMBER(AM141),(AM141/71.84)*(0.18/2)*159.69,"-")</f>
        <v>2.2392387987193763</v>
      </c>
      <c r="AZ141" s="9">
        <f t="shared" si="57"/>
        <v>9.1782599999999999</v>
      </c>
      <c r="BA141" s="123">
        <v>49.082032167475319</v>
      </c>
      <c r="BB141" s="121">
        <v>2.2427763853599245</v>
      </c>
      <c r="BC141" s="121">
        <v>11.003444204220495</v>
      </c>
      <c r="BD141" s="121">
        <v>9.8624648212560722</v>
      </c>
      <c r="BE141" s="121">
        <v>0.14354089248869623</v>
      </c>
      <c r="BF141" s="121">
        <v>14.711838468078817</v>
      </c>
      <c r="BG141" s="121">
        <v>10.354499813697876</v>
      </c>
      <c r="BH141" s="121">
        <v>1.9110243108157798</v>
      </c>
      <c r="BI141" s="121">
        <v>0.43944304029506853</v>
      </c>
      <c r="BJ141" s="121">
        <v>0.24892809038079075</v>
      </c>
      <c r="BK141" s="92" t="s">
        <v>64</v>
      </c>
      <c r="BL141" s="121">
        <f t="shared" si="61"/>
        <v>99.999992194068824</v>
      </c>
      <c r="BM141" s="92">
        <v>0.45</v>
      </c>
      <c r="BN141" s="84">
        <v>116</v>
      </c>
      <c r="BO141" s="95" t="s">
        <v>419</v>
      </c>
      <c r="BP141" s="95">
        <f t="shared" si="62"/>
        <v>116</v>
      </c>
      <c r="BQ141" s="122">
        <v>32.67</v>
      </c>
    </row>
    <row r="142" spans="12:69" ht="14.45" customHeight="1">
      <c r="L142" s="129" t="s">
        <v>451</v>
      </c>
      <c r="M142" s="763" t="s">
        <v>410</v>
      </c>
      <c r="N142" s="15" t="s">
        <v>427</v>
      </c>
      <c r="O142" s="14" t="s">
        <v>1131</v>
      </c>
      <c r="P142" s="15" t="s">
        <v>438</v>
      </c>
      <c r="Q142" s="15" t="s">
        <v>468</v>
      </c>
      <c r="R142" s="15">
        <v>87.7</v>
      </c>
      <c r="S142" s="15" t="s">
        <v>64</v>
      </c>
      <c r="T142" s="14">
        <f t="shared" si="54"/>
        <v>1266.0540000000001</v>
      </c>
      <c r="U142" s="218" t="s">
        <v>491</v>
      </c>
      <c r="V142" s="90" t="s">
        <v>299</v>
      </c>
      <c r="W142" s="109" t="s">
        <v>64</v>
      </c>
      <c r="X142" s="104" t="s">
        <v>64</v>
      </c>
      <c r="Y142" s="104" t="s">
        <v>64</v>
      </c>
      <c r="Z142" s="104" t="s">
        <v>64</v>
      </c>
      <c r="AA142" s="57" t="s">
        <v>64</v>
      </c>
      <c r="AB142" s="47" t="s">
        <v>64</v>
      </c>
      <c r="AC142" s="57">
        <v>382</v>
      </c>
      <c r="AD142" s="218" t="s">
        <v>475</v>
      </c>
      <c r="AE142" s="28">
        <f t="shared" si="51"/>
        <v>1.6382740798111999</v>
      </c>
      <c r="AF142" s="1043" t="s">
        <v>475</v>
      </c>
      <c r="AG142" s="83">
        <v>411</v>
      </c>
      <c r="AH142" s="1047" t="s">
        <v>475</v>
      </c>
      <c r="AI142" s="8">
        <v>1.02</v>
      </c>
      <c r="AJ142" s="9">
        <v>49.784999999999997</v>
      </c>
      <c r="AK142" s="9">
        <v>2.0830000000000002</v>
      </c>
      <c r="AL142" s="9">
        <v>11.715999999999999</v>
      </c>
      <c r="AM142" s="9">
        <v>11.193</v>
      </c>
      <c r="AN142" s="9">
        <v>0.13900000000000001</v>
      </c>
      <c r="AO142" s="9">
        <v>12.54</v>
      </c>
      <c r="AP142" s="9">
        <v>9.7710000000000008</v>
      </c>
      <c r="AQ142" s="9">
        <v>1.956</v>
      </c>
      <c r="AR142" s="9">
        <v>0.443</v>
      </c>
      <c r="AS142" s="9">
        <v>0.24299999999999999</v>
      </c>
      <c r="AT142" s="37" t="s">
        <v>64</v>
      </c>
      <c r="AU142" s="9">
        <v>0.46</v>
      </c>
      <c r="AV142" s="6">
        <v>180</v>
      </c>
      <c r="AW142" s="27" t="s">
        <v>419</v>
      </c>
      <c r="AX142" s="6">
        <f t="shared" si="60"/>
        <v>180</v>
      </c>
      <c r="AY142" s="8">
        <f t="shared" si="56"/>
        <v>2.2392387987193763</v>
      </c>
      <c r="AZ142" s="9">
        <f t="shared" si="57"/>
        <v>9.1782599999999999</v>
      </c>
      <c r="BA142" s="123">
        <v>49.957893972297569</v>
      </c>
      <c r="BB142" s="121">
        <v>2.0444625995755095</v>
      </c>
      <c r="BC142" s="121">
        <v>11.499228981262695</v>
      </c>
      <c r="BD142" s="121">
        <v>9.657403322399432</v>
      </c>
      <c r="BE142" s="121">
        <v>0.13649661126090448</v>
      </c>
      <c r="BF142" s="121">
        <v>14.52188248280007</v>
      </c>
      <c r="BG142" s="121">
        <v>9.5899235515256258</v>
      </c>
      <c r="BH142" s="121">
        <v>1.9201136418766234</v>
      </c>
      <c r="BI142" s="121">
        <v>0.43447752070080986</v>
      </c>
      <c r="BJ142" s="121">
        <v>0.23806756853996039</v>
      </c>
      <c r="BK142" s="92" t="s">
        <v>64</v>
      </c>
      <c r="BL142" s="121">
        <f t="shared" si="61"/>
        <v>99.999950252239216</v>
      </c>
      <c r="BM142" s="92">
        <v>0.46</v>
      </c>
      <c r="BN142" s="84">
        <v>177</v>
      </c>
      <c r="BO142" s="95" t="s">
        <v>419</v>
      </c>
      <c r="BP142" s="95">
        <f t="shared" si="62"/>
        <v>177</v>
      </c>
      <c r="BQ142" s="122">
        <v>3.6</v>
      </c>
    </row>
    <row r="143" spans="12:69" ht="14.45" customHeight="1">
      <c r="L143" s="129" t="s">
        <v>451</v>
      </c>
      <c r="M143" s="763" t="s">
        <v>410</v>
      </c>
      <c r="N143" s="15" t="s">
        <v>427</v>
      </c>
      <c r="O143" s="14" t="s">
        <v>1132</v>
      </c>
      <c r="P143" s="15" t="s">
        <v>438</v>
      </c>
      <c r="Q143" s="15" t="s">
        <v>468</v>
      </c>
      <c r="R143" s="15">
        <v>85.3</v>
      </c>
      <c r="S143" s="15" t="s">
        <v>64</v>
      </c>
      <c r="T143" s="14">
        <f t="shared" si="54"/>
        <v>1215.2211</v>
      </c>
      <c r="U143" s="218" t="s">
        <v>491</v>
      </c>
      <c r="V143" s="90" t="s">
        <v>299</v>
      </c>
      <c r="W143" s="109" t="s">
        <v>64</v>
      </c>
      <c r="X143" s="104" t="s">
        <v>64</v>
      </c>
      <c r="Y143" s="104" t="s">
        <v>64</v>
      </c>
      <c r="Z143" s="104" t="s">
        <v>64</v>
      </c>
      <c r="AA143" s="57" t="s">
        <v>64</v>
      </c>
      <c r="AB143" s="47" t="s">
        <v>64</v>
      </c>
      <c r="AC143" s="57">
        <v>569</v>
      </c>
      <c r="AD143" s="218" t="s">
        <v>475</v>
      </c>
      <c r="AE143" s="28">
        <f t="shared" si="51"/>
        <v>2.3938911398156</v>
      </c>
      <c r="AF143" s="1043" t="s">
        <v>475</v>
      </c>
      <c r="AG143" s="83">
        <v>617</v>
      </c>
      <c r="AH143" s="1047" t="s">
        <v>475</v>
      </c>
      <c r="AI143" s="8">
        <v>1.1200000000000001</v>
      </c>
      <c r="AJ143" s="9">
        <v>49.23</v>
      </c>
      <c r="AK143" s="9">
        <v>2.601</v>
      </c>
      <c r="AL143" s="9">
        <v>12.384</v>
      </c>
      <c r="AM143" s="9">
        <v>11.193</v>
      </c>
      <c r="AN143" s="9">
        <v>0.17399999999999999</v>
      </c>
      <c r="AO143" s="9">
        <v>10.010999999999999</v>
      </c>
      <c r="AP143" s="9">
        <v>11.268000000000001</v>
      </c>
      <c r="AQ143" s="9">
        <v>2.129</v>
      </c>
      <c r="AR143" s="9">
        <v>0.57999999999999996</v>
      </c>
      <c r="AS143" s="9">
        <v>0.29399999999999998</v>
      </c>
      <c r="AT143" s="37" t="s">
        <v>64</v>
      </c>
      <c r="AU143" s="9">
        <v>0.39</v>
      </c>
      <c r="AV143" s="6">
        <v>278</v>
      </c>
      <c r="AW143" s="27" t="s">
        <v>419</v>
      </c>
      <c r="AX143" s="6">
        <f t="shared" si="60"/>
        <v>278</v>
      </c>
      <c r="AY143" s="8">
        <f t="shared" si="56"/>
        <v>2.2392387987193763</v>
      </c>
      <c r="AZ143" s="9">
        <f t="shared" si="57"/>
        <v>9.1782599999999999</v>
      </c>
      <c r="BA143" s="123">
        <v>48.330522620107843</v>
      </c>
      <c r="BB143" s="121">
        <v>2.319867292666697</v>
      </c>
      <c r="BC143" s="121">
        <v>11.044335213623777</v>
      </c>
      <c r="BD143" s="121">
        <v>11.292301289216352</v>
      </c>
      <c r="BE143" s="121">
        <v>0.15517690113971191</v>
      </c>
      <c r="BF143" s="121">
        <v>14.129790437079848</v>
      </c>
      <c r="BG143" s="121">
        <v>10.04931573173508</v>
      </c>
      <c r="BH143" s="121">
        <v>1.8988904826740871</v>
      </c>
      <c r="BI143" s="121">
        <v>0.51755426883771583</v>
      </c>
      <c r="BJ143" s="121">
        <v>0.26221231456772909</v>
      </c>
      <c r="BK143" s="92" t="s">
        <v>64</v>
      </c>
      <c r="BL143" s="121">
        <f t="shared" si="61"/>
        <v>99.999966551648839</v>
      </c>
      <c r="BM143" s="92">
        <v>0.39</v>
      </c>
      <c r="BN143" s="84">
        <v>248</v>
      </c>
      <c r="BO143" s="95" t="s">
        <v>419</v>
      </c>
      <c r="BP143" s="95">
        <f t="shared" si="62"/>
        <v>248</v>
      </c>
      <c r="BQ143" s="122">
        <v>11.120000000000001</v>
      </c>
    </row>
    <row r="144" spans="12:69" ht="14.45" customHeight="1">
      <c r="L144" s="129" t="s">
        <v>449</v>
      </c>
      <c r="M144" s="763" t="s">
        <v>410</v>
      </c>
      <c r="N144" s="15" t="s">
        <v>427</v>
      </c>
      <c r="O144" s="14" t="s">
        <v>1133</v>
      </c>
      <c r="P144" s="15" t="s">
        <v>438</v>
      </c>
      <c r="Q144" s="15" t="s">
        <v>468</v>
      </c>
      <c r="R144" s="15" t="s">
        <v>64</v>
      </c>
      <c r="S144" s="15" t="s">
        <v>64</v>
      </c>
      <c r="T144" s="14" t="str">
        <f t="shared" si="54"/>
        <v>-</v>
      </c>
      <c r="U144" s="218" t="s">
        <v>491</v>
      </c>
      <c r="V144" s="90" t="s">
        <v>299</v>
      </c>
      <c r="W144" s="109" t="s">
        <v>64</v>
      </c>
      <c r="X144" s="104" t="s">
        <v>64</v>
      </c>
      <c r="Y144" s="104" t="s">
        <v>64</v>
      </c>
      <c r="Z144" s="104" t="s">
        <v>64</v>
      </c>
      <c r="AA144" s="57" t="s">
        <v>64</v>
      </c>
      <c r="AB144" s="47" t="s">
        <v>64</v>
      </c>
      <c r="AC144" s="57">
        <v>886</v>
      </c>
      <c r="AD144" s="218" t="s">
        <v>475</v>
      </c>
      <c r="AE144" s="28">
        <f t="shared" si="51"/>
        <v>3.6148666447903994</v>
      </c>
      <c r="AF144" s="1043" t="s">
        <v>475</v>
      </c>
      <c r="AG144" s="83">
        <v>962</v>
      </c>
      <c r="AH144" s="1047" t="s">
        <v>475</v>
      </c>
      <c r="AI144" s="8">
        <v>1.1499999999999999</v>
      </c>
      <c r="AJ144" s="9" t="s">
        <v>64</v>
      </c>
      <c r="AK144" s="9" t="s">
        <v>64</v>
      </c>
      <c r="AL144" s="9" t="s">
        <v>64</v>
      </c>
      <c r="AM144" s="9" t="s">
        <v>64</v>
      </c>
      <c r="AN144" s="9" t="s">
        <v>64</v>
      </c>
      <c r="AO144" s="9" t="s">
        <v>64</v>
      </c>
      <c r="AP144" s="9" t="s">
        <v>64</v>
      </c>
      <c r="AQ144" s="9" t="s">
        <v>64</v>
      </c>
      <c r="AR144" s="9" t="s">
        <v>64</v>
      </c>
      <c r="AS144" s="9" t="s">
        <v>64</v>
      </c>
      <c r="AT144" s="37" t="s">
        <v>64</v>
      </c>
      <c r="AU144" s="9">
        <v>0.19</v>
      </c>
      <c r="AV144" s="6">
        <v>451</v>
      </c>
      <c r="AW144" s="27" t="s">
        <v>419</v>
      </c>
      <c r="AX144" s="6">
        <f t="shared" si="60"/>
        <v>451</v>
      </c>
      <c r="AY144" s="8" t="str">
        <f t="shared" si="56"/>
        <v>-</v>
      </c>
      <c r="AZ144" s="9" t="str">
        <f t="shared" si="57"/>
        <v>-</v>
      </c>
      <c r="BA144" s="123" t="s">
        <v>64</v>
      </c>
      <c r="BB144" s="121" t="s">
        <v>64</v>
      </c>
      <c r="BC144" s="121" t="s">
        <v>64</v>
      </c>
      <c r="BD144" s="121" t="s">
        <v>64</v>
      </c>
      <c r="BE144" s="121" t="s">
        <v>64</v>
      </c>
      <c r="BF144" s="121" t="s">
        <v>64</v>
      </c>
      <c r="BG144" s="121" t="s">
        <v>64</v>
      </c>
      <c r="BH144" s="121" t="s">
        <v>64</v>
      </c>
      <c r="BI144" s="121" t="s">
        <v>64</v>
      </c>
      <c r="BJ144" s="121" t="s">
        <v>64</v>
      </c>
      <c r="BK144" s="92" t="s">
        <v>64</v>
      </c>
      <c r="BL144" s="121">
        <f t="shared" si="61"/>
        <v>0</v>
      </c>
      <c r="BM144" s="92">
        <v>0.19</v>
      </c>
      <c r="BN144" s="84">
        <v>392</v>
      </c>
      <c r="BO144" s="95" t="s">
        <v>419</v>
      </c>
      <c r="BP144" s="95">
        <f t="shared" si="62"/>
        <v>392</v>
      </c>
      <c r="BQ144" s="122">
        <v>49.61</v>
      </c>
    </row>
    <row r="145" spans="12:69" ht="14.45" customHeight="1">
      <c r="L145" s="129" t="s">
        <v>449</v>
      </c>
      <c r="M145" s="763" t="s">
        <v>410</v>
      </c>
      <c r="N145" s="15" t="s">
        <v>427</v>
      </c>
      <c r="O145" s="14" t="s">
        <v>1134</v>
      </c>
      <c r="P145" s="15" t="s">
        <v>438</v>
      </c>
      <c r="Q145" s="15" t="s">
        <v>468</v>
      </c>
      <c r="R145" s="15" t="s">
        <v>64</v>
      </c>
      <c r="S145" s="15" t="s">
        <v>64</v>
      </c>
      <c r="T145" s="14" t="str">
        <f t="shared" si="54"/>
        <v>-</v>
      </c>
      <c r="U145" s="218" t="s">
        <v>491</v>
      </c>
      <c r="V145" s="90" t="s">
        <v>299</v>
      </c>
      <c r="W145" s="109" t="s">
        <v>64</v>
      </c>
      <c r="X145" s="104" t="s">
        <v>64</v>
      </c>
      <c r="Y145" s="104" t="s">
        <v>64</v>
      </c>
      <c r="Z145" s="104" t="s">
        <v>64</v>
      </c>
      <c r="AA145" s="57" t="s">
        <v>64</v>
      </c>
      <c r="AB145" s="47" t="s">
        <v>64</v>
      </c>
      <c r="AC145" s="57">
        <v>642</v>
      </c>
      <c r="AD145" s="218" t="s">
        <v>475</v>
      </c>
      <c r="AE145" s="28">
        <f t="shared" si="51"/>
        <v>2.6814275440991997</v>
      </c>
      <c r="AF145" s="1043" t="s">
        <v>475</v>
      </c>
      <c r="AG145" s="83">
        <v>683</v>
      </c>
      <c r="AH145" s="1047" t="s">
        <v>475</v>
      </c>
      <c r="AI145" s="8">
        <v>1.1499999999999999</v>
      </c>
      <c r="AJ145" s="9" t="s">
        <v>64</v>
      </c>
      <c r="AK145" s="9" t="s">
        <v>64</v>
      </c>
      <c r="AL145" s="9" t="s">
        <v>64</v>
      </c>
      <c r="AM145" s="9" t="s">
        <v>64</v>
      </c>
      <c r="AN145" s="9" t="s">
        <v>64</v>
      </c>
      <c r="AO145" s="9" t="s">
        <v>64</v>
      </c>
      <c r="AP145" s="9" t="s">
        <v>64</v>
      </c>
      <c r="AQ145" s="9" t="s">
        <v>64</v>
      </c>
      <c r="AR145" s="9" t="s">
        <v>64</v>
      </c>
      <c r="AS145" s="9" t="s">
        <v>64</v>
      </c>
      <c r="AT145" s="37" t="s">
        <v>64</v>
      </c>
      <c r="AU145" s="9">
        <v>0.16</v>
      </c>
      <c r="AV145" s="6">
        <v>317</v>
      </c>
      <c r="AW145" s="27" t="s">
        <v>419</v>
      </c>
      <c r="AX145" s="6">
        <f t="shared" si="60"/>
        <v>317</v>
      </c>
      <c r="AY145" s="8" t="str">
        <f t="shared" si="56"/>
        <v>-</v>
      </c>
      <c r="AZ145" s="9" t="str">
        <f t="shared" si="57"/>
        <v>-</v>
      </c>
      <c r="BA145" s="123" t="s">
        <v>64</v>
      </c>
      <c r="BB145" s="121" t="s">
        <v>64</v>
      </c>
      <c r="BC145" s="121" t="s">
        <v>64</v>
      </c>
      <c r="BD145" s="121" t="s">
        <v>64</v>
      </c>
      <c r="BE145" s="121" t="s">
        <v>64</v>
      </c>
      <c r="BF145" s="121" t="s">
        <v>64</v>
      </c>
      <c r="BG145" s="121" t="s">
        <v>64</v>
      </c>
      <c r="BH145" s="121" t="s">
        <v>64</v>
      </c>
      <c r="BI145" s="121" t="s">
        <v>64</v>
      </c>
      <c r="BJ145" s="121" t="s">
        <v>64</v>
      </c>
      <c r="BK145" s="92" t="s">
        <v>64</v>
      </c>
      <c r="BL145" s="121">
        <f t="shared" si="61"/>
        <v>0</v>
      </c>
      <c r="BM145" s="92">
        <v>0.16</v>
      </c>
      <c r="BN145" s="84">
        <v>275</v>
      </c>
      <c r="BO145" s="95" t="s">
        <v>419</v>
      </c>
      <c r="BP145" s="95">
        <f t="shared" si="62"/>
        <v>275</v>
      </c>
      <c r="BQ145" s="122">
        <v>53.89</v>
      </c>
    </row>
    <row r="146" spans="12:69" ht="14.45" customHeight="1">
      <c r="L146" s="129" t="s">
        <v>449</v>
      </c>
      <c r="M146" s="763" t="s">
        <v>410</v>
      </c>
      <c r="N146" s="15" t="s">
        <v>427</v>
      </c>
      <c r="O146" s="14" t="s">
        <v>1135</v>
      </c>
      <c r="P146" s="15" t="s">
        <v>438</v>
      </c>
      <c r="Q146" s="15" t="s">
        <v>468</v>
      </c>
      <c r="R146" s="15">
        <v>89.7</v>
      </c>
      <c r="S146" s="15" t="s">
        <v>64</v>
      </c>
      <c r="T146" s="14">
        <f t="shared" si="54"/>
        <v>1308.8067000000001</v>
      </c>
      <c r="U146" s="218" t="s">
        <v>491</v>
      </c>
      <c r="V146" s="90" t="s">
        <v>299</v>
      </c>
      <c r="W146" s="109" t="s">
        <v>64</v>
      </c>
      <c r="X146" s="104" t="s">
        <v>64</v>
      </c>
      <c r="Y146" s="104" t="s">
        <v>64</v>
      </c>
      <c r="Z146" s="104" t="s">
        <v>64</v>
      </c>
      <c r="AA146" s="57" t="s">
        <v>64</v>
      </c>
      <c r="AB146" s="47" t="s">
        <v>64</v>
      </c>
      <c r="AC146" s="57">
        <v>3033</v>
      </c>
      <c r="AD146" s="218" t="s">
        <v>475</v>
      </c>
      <c r="AE146" s="28">
        <f t="shared" si="51"/>
        <v>10.859023475290799</v>
      </c>
      <c r="AF146" s="1043" t="s">
        <v>475</v>
      </c>
      <c r="AG146" s="83">
        <v>3542</v>
      </c>
      <c r="AH146" s="1047" t="s">
        <v>475</v>
      </c>
      <c r="AI146" s="8">
        <v>1.19</v>
      </c>
      <c r="AJ146" s="9">
        <v>48.314</v>
      </c>
      <c r="AK146" s="9">
        <v>2.1320000000000001</v>
      </c>
      <c r="AL146" s="9">
        <v>10.872999999999999</v>
      </c>
      <c r="AM146" s="9">
        <v>11.198</v>
      </c>
      <c r="AN146" s="9">
        <v>0.158</v>
      </c>
      <c r="AO146" s="9">
        <v>14.667</v>
      </c>
      <c r="AP146" s="9">
        <v>10.129</v>
      </c>
      <c r="AQ146" s="9">
        <v>1.913</v>
      </c>
      <c r="AR146" s="9">
        <v>0.30499999999999999</v>
      </c>
      <c r="AS146" s="9">
        <v>0.17100000000000001</v>
      </c>
      <c r="AT146" s="37" t="s">
        <v>64</v>
      </c>
      <c r="AU146" s="9">
        <v>0.28999999999999998</v>
      </c>
      <c r="AV146" s="6">
        <v>1863</v>
      </c>
      <c r="AW146" s="27" t="s">
        <v>419</v>
      </c>
      <c r="AX146" s="6">
        <f t="shared" si="60"/>
        <v>1863</v>
      </c>
      <c r="AY146" s="8">
        <f t="shared" si="56"/>
        <v>2.2402390840757236</v>
      </c>
      <c r="AZ146" s="9">
        <f t="shared" si="57"/>
        <v>9.182360000000001</v>
      </c>
      <c r="BA146" s="123">
        <v>47.270200000000003</v>
      </c>
      <c r="BB146" s="121">
        <v>1.791515</v>
      </c>
      <c r="BC146" s="121">
        <v>9.1360449999999993</v>
      </c>
      <c r="BD146" s="121">
        <v>9.4301749999999984</v>
      </c>
      <c r="BE146" s="121">
        <v>0.13294899999999998</v>
      </c>
      <c r="BF146" s="121">
        <v>21.2652</v>
      </c>
      <c r="BG146" s="121">
        <v>8.51098</v>
      </c>
      <c r="BH146" s="121">
        <v>1.60765</v>
      </c>
      <c r="BI146" s="121">
        <v>0.2558995</v>
      </c>
      <c r="BJ146" s="121">
        <v>0.14383950000000001</v>
      </c>
      <c r="BK146" s="92" t="s">
        <v>64</v>
      </c>
      <c r="BL146" s="121">
        <f t="shared" si="61"/>
        <v>99.544453000000004</v>
      </c>
      <c r="BM146" s="92">
        <v>0.28999999999999998</v>
      </c>
      <c r="BN146" s="84">
        <v>1566</v>
      </c>
      <c r="BO146" s="95" t="s">
        <v>419</v>
      </c>
      <c r="BP146" s="95">
        <f t="shared" si="62"/>
        <v>1566</v>
      </c>
      <c r="BQ146" s="122">
        <v>0</v>
      </c>
    </row>
    <row r="147" spans="12:69" ht="14.45" customHeight="1">
      <c r="L147" s="129" t="s">
        <v>449</v>
      </c>
      <c r="M147" s="763" t="s">
        <v>410</v>
      </c>
      <c r="N147" s="15" t="s">
        <v>427</v>
      </c>
      <c r="O147" s="14" t="s">
        <v>1136</v>
      </c>
      <c r="P147" s="15" t="s">
        <v>438</v>
      </c>
      <c r="Q147" s="15" t="s">
        <v>468</v>
      </c>
      <c r="R147" s="15">
        <v>87.9</v>
      </c>
      <c r="S147" s="15" t="s">
        <v>64</v>
      </c>
      <c r="T147" s="14">
        <f t="shared" si="54"/>
        <v>1263.5616</v>
      </c>
      <c r="U147" s="218" t="s">
        <v>491</v>
      </c>
      <c r="V147" s="90" t="s">
        <v>299</v>
      </c>
      <c r="W147" s="109" t="s">
        <v>64</v>
      </c>
      <c r="X147" s="104" t="s">
        <v>64</v>
      </c>
      <c r="Y147" s="104" t="s">
        <v>64</v>
      </c>
      <c r="Z147" s="104" t="s">
        <v>64</v>
      </c>
      <c r="AA147" s="57" t="s">
        <v>64</v>
      </c>
      <c r="AB147" s="47" t="s">
        <v>64</v>
      </c>
      <c r="AC147" s="57">
        <v>521</v>
      </c>
      <c r="AD147" s="218" t="s">
        <v>475</v>
      </c>
      <c r="AE147" s="28">
        <f t="shared" si="51"/>
        <v>2.2026055272523997</v>
      </c>
      <c r="AF147" s="1043" t="s">
        <v>475</v>
      </c>
      <c r="AG147" s="83">
        <v>552</v>
      </c>
      <c r="AH147" s="1047" t="s">
        <v>475</v>
      </c>
      <c r="AI147" s="8">
        <v>1.31</v>
      </c>
      <c r="AJ147" s="9">
        <v>48.633000000000003</v>
      </c>
      <c r="AK147" s="9">
        <v>2.2799999999999998</v>
      </c>
      <c r="AL147" s="9">
        <v>11.426</v>
      </c>
      <c r="AM147" s="9">
        <v>11.198</v>
      </c>
      <c r="AN147" s="9">
        <v>0.218</v>
      </c>
      <c r="AO147" s="9">
        <v>12.416</v>
      </c>
      <c r="AP147" s="9">
        <v>11.138</v>
      </c>
      <c r="AQ147" s="9">
        <v>1.8160000000000001</v>
      </c>
      <c r="AR147" s="9">
        <v>0.46100000000000002</v>
      </c>
      <c r="AS147" s="9">
        <v>0.28000000000000003</v>
      </c>
      <c r="AT147" s="37" t="s">
        <v>64</v>
      </c>
      <c r="AU147" s="9">
        <v>0.21</v>
      </c>
      <c r="AV147" s="6">
        <v>253</v>
      </c>
      <c r="AW147" s="27" t="s">
        <v>419</v>
      </c>
      <c r="AX147" s="6">
        <f t="shared" si="60"/>
        <v>253</v>
      </c>
      <c r="AY147" s="8">
        <f t="shared" si="56"/>
        <v>2.2402390840757236</v>
      </c>
      <c r="AZ147" s="9">
        <f t="shared" si="57"/>
        <v>9.182360000000001</v>
      </c>
      <c r="BA147" s="123">
        <v>46.029599999999995</v>
      </c>
      <c r="BB147" s="121">
        <v>1.7188699999999999</v>
      </c>
      <c r="BC147" s="121">
        <v>8.6131933333333333</v>
      </c>
      <c r="BD147" s="121">
        <v>11.625300000000001</v>
      </c>
      <c r="BE147" s="121">
        <v>0.16433433333333336</v>
      </c>
      <c r="BF147" s="121">
        <v>20.141533333333332</v>
      </c>
      <c r="BG147" s="121">
        <v>8.3960633333333323</v>
      </c>
      <c r="BH147" s="121">
        <v>1.3690766666666665</v>
      </c>
      <c r="BI147" s="121">
        <v>0.34737499999999999</v>
      </c>
      <c r="BJ147" s="121">
        <v>0.211117</v>
      </c>
      <c r="BK147" s="92" t="s">
        <v>64</v>
      </c>
      <c r="BL147" s="121">
        <f t="shared" si="61"/>
        <v>98.616462999999996</v>
      </c>
      <c r="BM147" s="92">
        <v>0.21</v>
      </c>
      <c r="BN147" s="84">
        <v>190</v>
      </c>
      <c r="BO147" s="95" t="s">
        <v>419</v>
      </c>
      <c r="BP147" s="95">
        <f t="shared" si="62"/>
        <v>190</v>
      </c>
      <c r="BQ147" s="122">
        <v>22.77</v>
      </c>
    </row>
    <row r="148" spans="12:69" ht="14.45" customHeight="1">
      <c r="L148" s="129" t="s">
        <v>449</v>
      </c>
      <c r="M148" s="763" t="s">
        <v>410</v>
      </c>
      <c r="N148" s="15" t="s">
        <v>427</v>
      </c>
      <c r="O148" s="14" t="s">
        <v>1137</v>
      </c>
      <c r="P148" s="15" t="s">
        <v>438</v>
      </c>
      <c r="Q148" s="15" t="s">
        <v>468</v>
      </c>
      <c r="R148" s="15">
        <v>88.2</v>
      </c>
      <c r="S148" s="15" t="s">
        <v>64</v>
      </c>
      <c r="T148" s="14">
        <f t="shared" si="54"/>
        <v>1274.1945000000001</v>
      </c>
      <c r="U148" s="218" t="s">
        <v>491</v>
      </c>
      <c r="V148" s="90" t="s">
        <v>299</v>
      </c>
      <c r="W148" s="109" t="s">
        <v>64</v>
      </c>
      <c r="X148" s="104" t="s">
        <v>64</v>
      </c>
      <c r="Y148" s="104" t="s">
        <v>64</v>
      </c>
      <c r="Z148" s="104" t="s">
        <v>64</v>
      </c>
      <c r="AA148" s="57" t="s">
        <v>64</v>
      </c>
      <c r="AB148" s="47" t="s">
        <v>64</v>
      </c>
      <c r="AC148" s="57">
        <v>288</v>
      </c>
      <c r="AD148" s="218" t="s">
        <v>475</v>
      </c>
      <c r="AE148" s="28">
        <f t="shared" si="51"/>
        <v>1.2474555752447998</v>
      </c>
      <c r="AF148" s="1043" t="s">
        <v>475</v>
      </c>
      <c r="AG148" s="83">
        <v>291</v>
      </c>
      <c r="AH148" s="1047" t="s">
        <v>475</v>
      </c>
      <c r="AI148" s="8">
        <v>1.29</v>
      </c>
      <c r="AJ148" s="9">
        <v>48.804000000000002</v>
      </c>
      <c r="AK148" s="9">
        <v>2.024</v>
      </c>
      <c r="AL148" s="9">
        <v>11.849</v>
      </c>
      <c r="AM148" s="9">
        <v>11.191000000000001</v>
      </c>
      <c r="AN148" s="9">
        <v>0.247</v>
      </c>
      <c r="AO148" s="9">
        <v>12.945</v>
      </c>
      <c r="AP148" s="9">
        <v>10.342000000000001</v>
      </c>
      <c r="AQ148" s="9">
        <v>1.863</v>
      </c>
      <c r="AR148" s="9">
        <v>0.34100000000000003</v>
      </c>
      <c r="AS148" s="9">
        <v>0.26300000000000001</v>
      </c>
      <c r="AT148" s="37" t="s">
        <v>64</v>
      </c>
      <c r="AU148" s="9">
        <v>0.15</v>
      </c>
      <c r="AV148" s="6">
        <v>132</v>
      </c>
      <c r="AW148" s="27" t="s">
        <v>419</v>
      </c>
      <c r="AX148" s="6">
        <f t="shared" si="60"/>
        <v>132</v>
      </c>
      <c r="AY148" s="8">
        <f t="shared" si="56"/>
        <v>2.2388386845768373</v>
      </c>
      <c r="AZ148" s="9">
        <f t="shared" si="57"/>
        <v>9.1766200000000016</v>
      </c>
      <c r="BA148" s="123">
        <v>45.82906666666667</v>
      </c>
      <c r="BB148" s="121">
        <v>1.5702766666666665</v>
      </c>
      <c r="BC148" s="121">
        <v>9.1918666666666677</v>
      </c>
      <c r="BD148" s="121">
        <v>13.035266666666667</v>
      </c>
      <c r="BE148" s="121">
        <v>0.19162699999999999</v>
      </c>
      <c r="BF148" s="121">
        <v>18.289633333333331</v>
      </c>
      <c r="BG148" s="121">
        <v>8.0228933333333341</v>
      </c>
      <c r="BH148" s="121">
        <v>1.4452733333333334</v>
      </c>
      <c r="BI148" s="121">
        <v>0.26480100000000001</v>
      </c>
      <c r="BJ148" s="121">
        <v>0.20391066666666666</v>
      </c>
      <c r="BK148" s="92" t="s">
        <v>64</v>
      </c>
      <c r="BL148" s="121">
        <f t="shared" si="61"/>
        <v>98.04461533333334</v>
      </c>
      <c r="BM148" s="92">
        <v>0.15</v>
      </c>
      <c r="BN148" s="84">
        <v>103</v>
      </c>
      <c r="BO148" s="95" t="s">
        <v>419</v>
      </c>
      <c r="BP148" s="95">
        <f t="shared" si="62"/>
        <v>103</v>
      </c>
      <c r="BQ148" s="122">
        <v>27.72</v>
      </c>
    </row>
    <row r="149" spans="12:69" ht="14.45" customHeight="1">
      <c r="L149" s="129" t="s">
        <v>449</v>
      </c>
      <c r="M149" s="763" t="s">
        <v>410</v>
      </c>
      <c r="N149" s="15" t="s">
        <v>427</v>
      </c>
      <c r="O149" s="14" t="s">
        <v>1138</v>
      </c>
      <c r="P149" s="15" t="s">
        <v>438</v>
      </c>
      <c r="Q149" s="15" t="s">
        <v>468</v>
      </c>
      <c r="R149" s="15" t="s">
        <v>64</v>
      </c>
      <c r="S149" s="15" t="s">
        <v>64</v>
      </c>
      <c r="T149" s="14" t="str">
        <f t="shared" si="54"/>
        <v>-</v>
      </c>
      <c r="U149" s="218" t="s">
        <v>491</v>
      </c>
      <c r="V149" s="90" t="s">
        <v>299</v>
      </c>
      <c r="W149" s="109" t="s">
        <v>64</v>
      </c>
      <c r="X149" s="104" t="s">
        <v>64</v>
      </c>
      <c r="Y149" s="104" t="s">
        <v>64</v>
      </c>
      <c r="Z149" s="104" t="s">
        <v>64</v>
      </c>
      <c r="AA149" s="57" t="s">
        <v>64</v>
      </c>
      <c r="AB149" s="47" t="s">
        <v>64</v>
      </c>
      <c r="AC149" s="57">
        <v>929</v>
      </c>
      <c r="AD149" s="218" t="s">
        <v>475</v>
      </c>
      <c r="AE149" s="28">
        <f t="shared" si="51"/>
        <v>3.7752597992876002</v>
      </c>
      <c r="AF149" s="1043" t="s">
        <v>475</v>
      </c>
      <c r="AG149" s="83">
        <v>1012</v>
      </c>
      <c r="AH149" s="1047" t="s">
        <v>475</v>
      </c>
      <c r="AI149" s="8">
        <v>1.23</v>
      </c>
      <c r="AJ149" s="9" t="s">
        <v>64</v>
      </c>
      <c r="AK149" s="9" t="s">
        <v>64</v>
      </c>
      <c r="AL149" s="9" t="s">
        <v>64</v>
      </c>
      <c r="AM149" s="9" t="s">
        <v>64</v>
      </c>
      <c r="AN149" s="9" t="s">
        <v>64</v>
      </c>
      <c r="AO149" s="9" t="s">
        <v>64</v>
      </c>
      <c r="AP149" s="9" t="s">
        <v>64</v>
      </c>
      <c r="AQ149" s="9" t="s">
        <v>64</v>
      </c>
      <c r="AR149" s="9" t="s">
        <v>64</v>
      </c>
      <c r="AS149" s="9" t="s">
        <v>64</v>
      </c>
      <c r="AT149" s="37" t="s">
        <v>64</v>
      </c>
      <c r="AU149" s="9">
        <v>0.15</v>
      </c>
      <c r="AV149" s="6">
        <v>475</v>
      </c>
      <c r="AW149" s="27" t="s">
        <v>419</v>
      </c>
      <c r="AX149" s="6">
        <f t="shared" si="60"/>
        <v>475</v>
      </c>
      <c r="AY149" s="8" t="str">
        <f t="shared" si="56"/>
        <v>-</v>
      </c>
      <c r="AZ149" s="9" t="str">
        <f t="shared" si="57"/>
        <v>-</v>
      </c>
      <c r="BA149" s="123" t="s">
        <v>64</v>
      </c>
      <c r="BB149" s="121" t="s">
        <v>64</v>
      </c>
      <c r="BC149" s="121" t="s">
        <v>64</v>
      </c>
      <c r="BD149" s="121" t="s">
        <v>64</v>
      </c>
      <c r="BE149" s="121" t="s">
        <v>64</v>
      </c>
      <c r="BF149" s="121" t="s">
        <v>64</v>
      </c>
      <c r="BG149" s="121" t="s">
        <v>64</v>
      </c>
      <c r="BH149" s="121" t="s">
        <v>64</v>
      </c>
      <c r="BI149" s="121" t="s">
        <v>64</v>
      </c>
      <c r="BJ149" s="121" t="s">
        <v>64</v>
      </c>
      <c r="BK149" s="92" t="s">
        <v>64</v>
      </c>
      <c r="BL149" s="121">
        <f t="shared" si="61"/>
        <v>0</v>
      </c>
      <c r="BM149" s="92">
        <v>0.15</v>
      </c>
      <c r="BN149" s="84">
        <v>387</v>
      </c>
      <c r="BO149" s="95" t="s">
        <v>419</v>
      </c>
      <c r="BP149" s="95">
        <f t="shared" si="62"/>
        <v>387</v>
      </c>
      <c r="BQ149" s="122">
        <v>19</v>
      </c>
    </row>
    <row r="150" spans="12:69" ht="14.45" customHeight="1">
      <c r="L150" s="129" t="s">
        <v>449</v>
      </c>
      <c r="M150" s="763" t="s">
        <v>410</v>
      </c>
      <c r="N150" s="15" t="s">
        <v>427</v>
      </c>
      <c r="O150" s="14" t="s">
        <v>1139</v>
      </c>
      <c r="P150" s="15" t="s">
        <v>438</v>
      </c>
      <c r="Q150" s="15" t="s">
        <v>468</v>
      </c>
      <c r="R150" s="15" t="s">
        <v>64</v>
      </c>
      <c r="S150" s="15" t="s">
        <v>64</v>
      </c>
      <c r="T150" s="14" t="str">
        <f t="shared" si="54"/>
        <v>-</v>
      </c>
      <c r="U150" s="218" t="s">
        <v>491</v>
      </c>
      <c r="V150" s="90" t="s">
        <v>299</v>
      </c>
      <c r="W150" s="109" t="s">
        <v>64</v>
      </c>
      <c r="X150" s="104" t="s">
        <v>64</v>
      </c>
      <c r="Y150" s="104" t="s">
        <v>64</v>
      </c>
      <c r="Z150" s="104" t="s">
        <v>64</v>
      </c>
      <c r="AA150" s="57" t="s">
        <v>64</v>
      </c>
      <c r="AB150" s="47" t="s">
        <v>64</v>
      </c>
      <c r="AC150" s="57">
        <v>443</v>
      </c>
      <c r="AD150" s="218" t="s">
        <v>475</v>
      </c>
      <c r="AE150" s="28">
        <f t="shared" si="51"/>
        <v>1.8878750809987999</v>
      </c>
      <c r="AF150" s="1043" t="s">
        <v>475</v>
      </c>
      <c r="AG150" s="83">
        <v>462</v>
      </c>
      <c r="AH150" s="1047" t="s">
        <v>475</v>
      </c>
      <c r="AI150" s="8">
        <v>1.27</v>
      </c>
      <c r="AJ150" s="9" t="s">
        <v>64</v>
      </c>
      <c r="AK150" s="9" t="s">
        <v>64</v>
      </c>
      <c r="AL150" s="9" t="s">
        <v>64</v>
      </c>
      <c r="AM150" s="9" t="s">
        <v>64</v>
      </c>
      <c r="AN150" s="9" t="s">
        <v>64</v>
      </c>
      <c r="AO150" s="9" t="s">
        <v>64</v>
      </c>
      <c r="AP150" s="9" t="s">
        <v>64</v>
      </c>
      <c r="AQ150" s="9" t="s">
        <v>64</v>
      </c>
      <c r="AR150" s="9" t="s">
        <v>64</v>
      </c>
      <c r="AS150" s="9" t="s">
        <v>64</v>
      </c>
      <c r="AT150" s="37" t="s">
        <v>64</v>
      </c>
      <c r="AU150" s="9">
        <v>0.15</v>
      </c>
      <c r="AV150" s="6">
        <v>212</v>
      </c>
      <c r="AW150" s="27" t="s">
        <v>419</v>
      </c>
      <c r="AX150" s="6">
        <f t="shared" si="60"/>
        <v>212</v>
      </c>
      <c r="AY150" s="8" t="str">
        <f t="shared" si="56"/>
        <v>-</v>
      </c>
      <c r="AZ150" s="9" t="str">
        <f t="shared" si="57"/>
        <v>-</v>
      </c>
      <c r="BA150" s="123" t="s">
        <v>64</v>
      </c>
      <c r="BB150" s="121" t="s">
        <v>64</v>
      </c>
      <c r="BC150" s="121" t="s">
        <v>64</v>
      </c>
      <c r="BD150" s="121" t="s">
        <v>64</v>
      </c>
      <c r="BE150" s="121" t="s">
        <v>64</v>
      </c>
      <c r="BF150" s="121" t="s">
        <v>64</v>
      </c>
      <c r="BG150" s="121" t="s">
        <v>64</v>
      </c>
      <c r="BH150" s="121" t="s">
        <v>64</v>
      </c>
      <c r="BI150" s="121" t="s">
        <v>64</v>
      </c>
      <c r="BJ150" s="121" t="s">
        <v>64</v>
      </c>
      <c r="BK150" s="92" t="s">
        <v>64</v>
      </c>
      <c r="BL150" s="121">
        <f t="shared" si="61"/>
        <v>0</v>
      </c>
      <c r="BM150" s="92">
        <v>0.15</v>
      </c>
      <c r="BN150" s="84">
        <v>167</v>
      </c>
      <c r="BO150" s="95" t="s">
        <v>419</v>
      </c>
      <c r="BP150" s="95">
        <f t="shared" si="62"/>
        <v>167</v>
      </c>
      <c r="BQ150" s="122">
        <v>6.3599999999999994</v>
      </c>
    </row>
    <row r="151" spans="12:69" ht="14.45" customHeight="1">
      <c r="L151" s="129" t="s">
        <v>449</v>
      </c>
      <c r="M151" s="763" t="s">
        <v>410</v>
      </c>
      <c r="N151" s="15" t="s">
        <v>427</v>
      </c>
      <c r="O151" s="14" t="s">
        <v>1140</v>
      </c>
      <c r="P151" s="15" t="s">
        <v>438</v>
      </c>
      <c r="Q151" s="15" t="s">
        <v>468</v>
      </c>
      <c r="R151" s="15" t="s">
        <v>64</v>
      </c>
      <c r="S151" s="15" t="s">
        <v>64</v>
      </c>
      <c r="T151" s="14" t="str">
        <f t="shared" si="54"/>
        <v>-</v>
      </c>
      <c r="U151" s="218" t="s">
        <v>491</v>
      </c>
      <c r="V151" s="90" t="s">
        <v>299</v>
      </c>
      <c r="W151" s="109" t="s">
        <v>64</v>
      </c>
      <c r="X151" s="104" t="s">
        <v>64</v>
      </c>
      <c r="Y151" s="104" t="s">
        <v>64</v>
      </c>
      <c r="Z151" s="104" t="s">
        <v>64</v>
      </c>
      <c r="AA151" s="57" t="s">
        <v>64</v>
      </c>
      <c r="AB151" s="47" t="s">
        <v>64</v>
      </c>
      <c r="AC151" s="57">
        <v>1169</v>
      </c>
      <c r="AD151" s="218" t="s">
        <v>475</v>
      </c>
      <c r="AE151" s="28">
        <f t="shared" si="51"/>
        <v>4.6503259221356004</v>
      </c>
      <c r="AF151" s="1043" t="s">
        <v>475</v>
      </c>
      <c r="AG151" s="83">
        <v>1288</v>
      </c>
      <c r="AH151" s="1047" t="s">
        <v>475</v>
      </c>
      <c r="AI151" s="8">
        <v>1.1499999999999999</v>
      </c>
      <c r="AJ151" s="9" t="s">
        <v>64</v>
      </c>
      <c r="AK151" s="9" t="s">
        <v>64</v>
      </c>
      <c r="AL151" s="9" t="s">
        <v>64</v>
      </c>
      <c r="AM151" s="9" t="s">
        <v>64</v>
      </c>
      <c r="AN151" s="9" t="s">
        <v>64</v>
      </c>
      <c r="AO151" s="9" t="s">
        <v>64</v>
      </c>
      <c r="AP151" s="9" t="s">
        <v>64</v>
      </c>
      <c r="AQ151" s="9" t="s">
        <v>64</v>
      </c>
      <c r="AR151" s="9" t="s">
        <v>64</v>
      </c>
      <c r="AS151" s="9" t="s">
        <v>64</v>
      </c>
      <c r="AT151" s="37" t="s">
        <v>64</v>
      </c>
      <c r="AU151" s="9">
        <v>0.16</v>
      </c>
      <c r="AV151" s="6">
        <v>612</v>
      </c>
      <c r="AW151" s="27" t="s">
        <v>419</v>
      </c>
      <c r="AX151" s="6">
        <f t="shared" ref="AX151:AX181" si="63">AV151</f>
        <v>612</v>
      </c>
      <c r="AY151" s="8" t="str">
        <f t="shared" si="56"/>
        <v>-</v>
      </c>
      <c r="AZ151" s="9" t="str">
        <f t="shared" si="57"/>
        <v>-</v>
      </c>
      <c r="BA151" s="123" t="s">
        <v>64</v>
      </c>
      <c r="BB151" s="121" t="s">
        <v>64</v>
      </c>
      <c r="BC151" s="121" t="s">
        <v>64</v>
      </c>
      <c r="BD151" s="121" t="s">
        <v>64</v>
      </c>
      <c r="BE151" s="121" t="s">
        <v>64</v>
      </c>
      <c r="BF151" s="121" t="s">
        <v>64</v>
      </c>
      <c r="BG151" s="121" t="s">
        <v>64</v>
      </c>
      <c r="BH151" s="121" t="s">
        <v>64</v>
      </c>
      <c r="BI151" s="121" t="s">
        <v>64</v>
      </c>
      <c r="BJ151" s="121" t="s">
        <v>64</v>
      </c>
      <c r="BK151" s="92" t="s">
        <v>64</v>
      </c>
      <c r="BL151" s="121">
        <f t="shared" ref="BL151:BL181" si="64">SUM(BA151:BJ151)</f>
        <v>0</v>
      </c>
      <c r="BM151" s="92">
        <v>0.16</v>
      </c>
      <c r="BN151" s="84">
        <v>532</v>
      </c>
      <c r="BO151" s="95" t="s">
        <v>419</v>
      </c>
      <c r="BP151" s="95">
        <f t="shared" ref="BP151:BP181" si="65">BN151</f>
        <v>532</v>
      </c>
      <c r="BQ151" s="122">
        <v>36.72</v>
      </c>
    </row>
    <row r="152" spans="12:69" ht="14.45" customHeight="1">
      <c r="L152" s="129" t="s">
        <v>449</v>
      </c>
      <c r="M152" s="763" t="s">
        <v>410</v>
      </c>
      <c r="N152" s="15" t="s">
        <v>427</v>
      </c>
      <c r="O152" s="14" t="s">
        <v>1141</v>
      </c>
      <c r="P152" s="15" t="s">
        <v>438</v>
      </c>
      <c r="Q152" s="15" t="s">
        <v>468</v>
      </c>
      <c r="R152" s="15" t="s">
        <v>64</v>
      </c>
      <c r="S152" s="15" t="s">
        <v>64</v>
      </c>
      <c r="T152" s="14" t="str">
        <f t="shared" si="54"/>
        <v>-</v>
      </c>
      <c r="U152" s="218" t="s">
        <v>491</v>
      </c>
      <c r="V152" s="90" t="s">
        <v>299</v>
      </c>
      <c r="W152" s="109" t="s">
        <v>64</v>
      </c>
      <c r="X152" s="104" t="s">
        <v>64</v>
      </c>
      <c r="Y152" s="104" t="s">
        <v>64</v>
      </c>
      <c r="Z152" s="104" t="s">
        <v>64</v>
      </c>
      <c r="AA152" s="57" t="s">
        <v>64</v>
      </c>
      <c r="AB152" s="47" t="s">
        <v>64</v>
      </c>
      <c r="AC152" s="57">
        <v>1620</v>
      </c>
      <c r="AD152" s="218" t="s">
        <v>475</v>
      </c>
      <c r="AE152" s="28">
        <f t="shared" si="51"/>
        <v>6.2179049952000005</v>
      </c>
      <c r="AF152" s="1043" t="s">
        <v>475</v>
      </c>
      <c r="AG152" s="83">
        <v>1818</v>
      </c>
      <c r="AH152" s="1047" t="s">
        <v>475</v>
      </c>
      <c r="AI152" s="8">
        <v>1.23</v>
      </c>
      <c r="AJ152" s="9" t="s">
        <v>64</v>
      </c>
      <c r="AK152" s="9" t="s">
        <v>64</v>
      </c>
      <c r="AL152" s="9" t="s">
        <v>64</v>
      </c>
      <c r="AM152" s="9" t="s">
        <v>64</v>
      </c>
      <c r="AN152" s="9" t="s">
        <v>64</v>
      </c>
      <c r="AO152" s="9" t="s">
        <v>64</v>
      </c>
      <c r="AP152" s="9" t="s">
        <v>64</v>
      </c>
      <c r="AQ152" s="9" t="s">
        <v>64</v>
      </c>
      <c r="AR152" s="9" t="s">
        <v>64</v>
      </c>
      <c r="AS152" s="9" t="s">
        <v>64</v>
      </c>
      <c r="AT152" s="37" t="s">
        <v>64</v>
      </c>
      <c r="AU152" s="9">
        <v>0.16</v>
      </c>
      <c r="AV152" s="6">
        <v>884</v>
      </c>
      <c r="AW152" s="27" t="s">
        <v>419</v>
      </c>
      <c r="AX152" s="6">
        <f t="shared" si="63"/>
        <v>884</v>
      </c>
      <c r="AY152" s="8" t="str">
        <f t="shared" si="56"/>
        <v>-</v>
      </c>
      <c r="AZ152" s="9" t="str">
        <f t="shared" si="57"/>
        <v>-</v>
      </c>
      <c r="BA152" s="123" t="s">
        <v>64</v>
      </c>
      <c r="BB152" s="121" t="s">
        <v>64</v>
      </c>
      <c r="BC152" s="121" t="s">
        <v>64</v>
      </c>
      <c r="BD152" s="121" t="s">
        <v>64</v>
      </c>
      <c r="BE152" s="121" t="s">
        <v>64</v>
      </c>
      <c r="BF152" s="121" t="s">
        <v>64</v>
      </c>
      <c r="BG152" s="121" t="s">
        <v>64</v>
      </c>
      <c r="BH152" s="121" t="s">
        <v>64</v>
      </c>
      <c r="BI152" s="121" t="s">
        <v>64</v>
      </c>
      <c r="BJ152" s="121" t="s">
        <v>64</v>
      </c>
      <c r="BK152" s="92" t="s">
        <v>64</v>
      </c>
      <c r="BL152" s="121">
        <f t="shared" si="64"/>
        <v>0</v>
      </c>
      <c r="BM152" s="92">
        <v>0.16</v>
      </c>
      <c r="BN152" s="84">
        <v>719</v>
      </c>
      <c r="BO152" s="95" t="s">
        <v>419</v>
      </c>
      <c r="BP152" s="95">
        <f t="shared" si="65"/>
        <v>719</v>
      </c>
      <c r="BQ152" s="122">
        <v>44.2</v>
      </c>
    </row>
    <row r="153" spans="12:69" ht="14.45" customHeight="1">
      <c r="L153" s="129" t="s">
        <v>449</v>
      </c>
      <c r="M153" s="763" t="s">
        <v>410</v>
      </c>
      <c r="N153" s="15" t="s">
        <v>427</v>
      </c>
      <c r="O153" s="14" t="s">
        <v>1142</v>
      </c>
      <c r="P153" s="15" t="s">
        <v>438</v>
      </c>
      <c r="Q153" s="15" t="s">
        <v>468</v>
      </c>
      <c r="R153" s="15" t="s">
        <v>64</v>
      </c>
      <c r="S153" s="15" t="s">
        <v>64</v>
      </c>
      <c r="T153" s="14" t="str">
        <f t="shared" si="54"/>
        <v>-</v>
      </c>
      <c r="U153" s="218" t="s">
        <v>491</v>
      </c>
      <c r="V153" s="90" t="s">
        <v>299</v>
      </c>
      <c r="W153" s="109" t="s">
        <v>64</v>
      </c>
      <c r="X153" s="104" t="s">
        <v>64</v>
      </c>
      <c r="Y153" s="104" t="s">
        <v>64</v>
      </c>
      <c r="Z153" s="104" t="s">
        <v>64</v>
      </c>
      <c r="AA153" s="57" t="s">
        <v>64</v>
      </c>
      <c r="AB153" s="47" t="s">
        <v>64</v>
      </c>
      <c r="AC153" s="57">
        <v>908</v>
      </c>
      <c r="AD153" s="218" t="s">
        <v>475</v>
      </c>
      <c r="AE153" s="28">
        <f t="shared" si="51"/>
        <v>3.6970735793407994</v>
      </c>
      <c r="AF153" s="1043" t="s">
        <v>475</v>
      </c>
      <c r="AG153" s="83">
        <v>984</v>
      </c>
      <c r="AH153" s="1047" t="s">
        <v>475</v>
      </c>
      <c r="AI153" s="8">
        <v>1.23</v>
      </c>
      <c r="AJ153" s="9" t="s">
        <v>64</v>
      </c>
      <c r="AK153" s="9" t="s">
        <v>64</v>
      </c>
      <c r="AL153" s="9" t="s">
        <v>64</v>
      </c>
      <c r="AM153" s="9" t="s">
        <v>64</v>
      </c>
      <c r="AN153" s="9" t="s">
        <v>64</v>
      </c>
      <c r="AO153" s="9" t="s">
        <v>64</v>
      </c>
      <c r="AP153" s="9" t="s">
        <v>64</v>
      </c>
      <c r="AQ153" s="9" t="s">
        <v>64</v>
      </c>
      <c r="AR153" s="9" t="s">
        <v>64</v>
      </c>
      <c r="AS153" s="9" t="s">
        <v>64</v>
      </c>
      <c r="AT153" s="37" t="s">
        <v>64</v>
      </c>
      <c r="AU153" s="9">
        <v>0.06</v>
      </c>
      <c r="AV153" s="6">
        <v>463</v>
      </c>
      <c r="AW153" s="27" t="s">
        <v>419</v>
      </c>
      <c r="AX153" s="6">
        <f t="shared" si="63"/>
        <v>463</v>
      </c>
      <c r="AY153" s="8" t="str">
        <f t="shared" si="56"/>
        <v>-</v>
      </c>
      <c r="AZ153" s="9" t="str">
        <f t="shared" si="57"/>
        <v>-</v>
      </c>
      <c r="BA153" s="123" t="s">
        <v>64</v>
      </c>
      <c r="BB153" s="121" t="s">
        <v>64</v>
      </c>
      <c r="BC153" s="121" t="s">
        <v>64</v>
      </c>
      <c r="BD153" s="121" t="s">
        <v>64</v>
      </c>
      <c r="BE153" s="121" t="s">
        <v>64</v>
      </c>
      <c r="BF153" s="121" t="s">
        <v>64</v>
      </c>
      <c r="BG153" s="121" t="s">
        <v>64</v>
      </c>
      <c r="BH153" s="121" t="s">
        <v>64</v>
      </c>
      <c r="BI153" s="121" t="s">
        <v>64</v>
      </c>
      <c r="BJ153" s="121" t="s">
        <v>64</v>
      </c>
      <c r="BK153" s="92" t="s">
        <v>64</v>
      </c>
      <c r="BL153" s="121">
        <f t="shared" si="64"/>
        <v>0</v>
      </c>
      <c r="BM153" s="92">
        <v>0.06</v>
      </c>
      <c r="BN153" s="84">
        <v>377</v>
      </c>
      <c r="BO153" s="95" t="s">
        <v>419</v>
      </c>
      <c r="BP153" s="95">
        <f t="shared" si="65"/>
        <v>377</v>
      </c>
      <c r="BQ153" s="122">
        <v>23.150000000000002</v>
      </c>
    </row>
    <row r="154" spans="12:69" ht="14.45" customHeight="1">
      <c r="L154" s="129" t="s">
        <v>449</v>
      </c>
      <c r="M154" s="763" t="s">
        <v>410</v>
      </c>
      <c r="N154" s="15" t="s">
        <v>427</v>
      </c>
      <c r="O154" s="14" t="s">
        <v>1143</v>
      </c>
      <c r="P154" s="15" t="s">
        <v>438</v>
      </c>
      <c r="Q154" s="15" t="s">
        <v>468</v>
      </c>
      <c r="R154" s="15">
        <v>89.4</v>
      </c>
      <c r="S154" s="15" t="s">
        <v>64</v>
      </c>
      <c r="T154" s="14">
        <f t="shared" si="54"/>
        <v>1302.2541000000001</v>
      </c>
      <c r="U154" s="218" t="s">
        <v>491</v>
      </c>
      <c r="V154" s="90" t="s">
        <v>299</v>
      </c>
      <c r="W154" s="109" t="s">
        <v>64</v>
      </c>
      <c r="X154" s="104" t="s">
        <v>64</v>
      </c>
      <c r="Y154" s="104" t="s">
        <v>64</v>
      </c>
      <c r="Z154" s="104" t="s">
        <v>64</v>
      </c>
      <c r="AA154" s="57" t="s">
        <v>64</v>
      </c>
      <c r="AB154" s="47" t="s">
        <v>64</v>
      </c>
      <c r="AC154" s="57">
        <v>1110</v>
      </c>
      <c r="AD154" s="218" t="s">
        <v>475</v>
      </c>
      <c r="AE154" s="28">
        <f t="shared" si="51"/>
        <v>4.4382102803999999</v>
      </c>
      <c r="AF154" s="1043" t="s">
        <v>475</v>
      </c>
      <c r="AG154" s="83">
        <v>1219</v>
      </c>
      <c r="AH154" s="1047" t="s">
        <v>475</v>
      </c>
      <c r="AI154" s="8">
        <v>1.17</v>
      </c>
      <c r="AJ154" s="9">
        <v>48.356999999999999</v>
      </c>
      <c r="AK154" s="9">
        <v>2.1989999999999998</v>
      </c>
      <c r="AL154" s="9">
        <v>11.377000000000001</v>
      </c>
      <c r="AM154" s="9">
        <v>11.198</v>
      </c>
      <c r="AN154" s="9">
        <v>0.13500000000000001</v>
      </c>
      <c r="AO154" s="9">
        <v>14.340999999999999</v>
      </c>
      <c r="AP154" s="9">
        <v>9.9480000000000004</v>
      </c>
      <c r="AQ154" s="9">
        <v>1.9019999999999999</v>
      </c>
      <c r="AR154" s="9">
        <v>0.25</v>
      </c>
      <c r="AS154" s="9">
        <v>0.158</v>
      </c>
      <c r="AT154" s="37" t="s">
        <v>64</v>
      </c>
      <c r="AU154" s="9">
        <v>0.16</v>
      </c>
      <c r="AV154" s="6">
        <v>578</v>
      </c>
      <c r="AW154" s="27" t="s">
        <v>419</v>
      </c>
      <c r="AX154" s="6">
        <f t="shared" si="63"/>
        <v>578</v>
      </c>
      <c r="AY154" s="8">
        <f t="shared" si="56"/>
        <v>2.2402390840757236</v>
      </c>
      <c r="AZ154" s="9">
        <f t="shared" si="57"/>
        <v>9.182360000000001</v>
      </c>
      <c r="BA154" s="123">
        <v>47.070966666666664</v>
      </c>
      <c r="BB154" s="121">
        <v>1.8808066666666667</v>
      </c>
      <c r="BC154" s="121">
        <v>9.7293300000000009</v>
      </c>
      <c r="BD154" s="121">
        <v>9.2214633333333342</v>
      </c>
      <c r="BE154" s="121">
        <v>0.11577666666666668</v>
      </c>
      <c r="BF154" s="121">
        <v>20.131966666666667</v>
      </c>
      <c r="BG154" s="121">
        <v>8.5072833333333335</v>
      </c>
      <c r="BH154" s="121">
        <v>1.6264066666666668</v>
      </c>
      <c r="BI154" s="121">
        <v>0.21398099999999998</v>
      </c>
      <c r="BJ154" s="121">
        <v>0.134659</v>
      </c>
      <c r="BK154" s="92" t="s">
        <v>64</v>
      </c>
      <c r="BL154" s="121">
        <f t="shared" si="64"/>
        <v>98.632639999999995</v>
      </c>
      <c r="BM154" s="92">
        <v>0.16</v>
      </c>
      <c r="BN154" s="84">
        <v>494</v>
      </c>
      <c r="BO154" s="95" t="s">
        <v>419</v>
      </c>
      <c r="BP154" s="95">
        <f t="shared" si="65"/>
        <v>494</v>
      </c>
      <c r="BQ154" s="122">
        <v>34.68</v>
      </c>
    </row>
    <row r="155" spans="12:69" ht="14.45" customHeight="1">
      <c r="L155" s="129" t="s">
        <v>449</v>
      </c>
      <c r="M155" s="763" t="s">
        <v>410</v>
      </c>
      <c r="N155" s="15" t="s">
        <v>427</v>
      </c>
      <c r="O155" s="14" t="s">
        <v>1144</v>
      </c>
      <c r="P155" s="15" t="s">
        <v>438</v>
      </c>
      <c r="Q155" s="15" t="s">
        <v>468</v>
      </c>
      <c r="R155" s="15" t="s">
        <v>64</v>
      </c>
      <c r="S155" s="15" t="s">
        <v>64</v>
      </c>
      <c r="T155" s="14" t="str">
        <f t="shared" si="54"/>
        <v>-</v>
      </c>
      <c r="U155" s="218" t="s">
        <v>491</v>
      </c>
      <c r="V155" s="90" t="s">
        <v>299</v>
      </c>
      <c r="W155" s="109" t="s">
        <v>64</v>
      </c>
      <c r="X155" s="104" t="s">
        <v>64</v>
      </c>
      <c r="Y155" s="104" t="s">
        <v>64</v>
      </c>
      <c r="Z155" s="104" t="s">
        <v>64</v>
      </c>
      <c r="AA155" s="57" t="s">
        <v>64</v>
      </c>
      <c r="AB155" s="47" t="s">
        <v>64</v>
      </c>
      <c r="AC155" s="57">
        <v>640</v>
      </c>
      <c r="AD155" s="218" t="s">
        <v>475</v>
      </c>
      <c r="AE155" s="28">
        <f t="shared" si="51"/>
        <v>2.6736029695999997</v>
      </c>
      <c r="AF155" s="1043" t="s">
        <v>475</v>
      </c>
      <c r="AG155" s="83">
        <v>679</v>
      </c>
      <c r="AH155" s="1047" t="s">
        <v>475</v>
      </c>
      <c r="AI155" s="8">
        <v>1.23</v>
      </c>
      <c r="AJ155" s="9" t="s">
        <v>64</v>
      </c>
      <c r="AK155" s="9" t="s">
        <v>64</v>
      </c>
      <c r="AL155" s="9" t="s">
        <v>64</v>
      </c>
      <c r="AM155" s="9" t="s">
        <v>64</v>
      </c>
      <c r="AN155" s="9" t="s">
        <v>64</v>
      </c>
      <c r="AO155" s="9" t="s">
        <v>64</v>
      </c>
      <c r="AP155" s="9" t="s">
        <v>64</v>
      </c>
      <c r="AQ155" s="9" t="s">
        <v>64</v>
      </c>
      <c r="AR155" s="9" t="s">
        <v>64</v>
      </c>
      <c r="AS155" s="9" t="s">
        <v>64</v>
      </c>
      <c r="AT155" s="37" t="s">
        <v>64</v>
      </c>
      <c r="AU155" s="9">
        <v>0.1</v>
      </c>
      <c r="AV155" s="6">
        <v>316</v>
      </c>
      <c r="AW155" s="27" t="s">
        <v>419</v>
      </c>
      <c r="AX155" s="6">
        <f t="shared" si="63"/>
        <v>316</v>
      </c>
      <c r="AY155" s="8" t="str">
        <f t="shared" si="56"/>
        <v>-</v>
      </c>
      <c r="AZ155" s="9" t="str">
        <f t="shared" si="57"/>
        <v>-</v>
      </c>
      <c r="BA155" s="123" t="s">
        <v>64</v>
      </c>
      <c r="BB155" s="121" t="s">
        <v>64</v>
      </c>
      <c r="BC155" s="121" t="s">
        <v>64</v>
      </c>
      <c r="BD155" s="121" t="s">
        <v>64</v>
      </c>
      <c r="BE155" s="121" t="s">
        <v>64</v>
      </c>
      <c r="BF155" s="121" t="s">
        <v>64</v>
      </c>
      <c r="BG155" s="121" t="s">
        <v>64</v>
      </c>
      <c r="BH155" s="121" t="s">
        <v>64</v>
      </c>
      <c r="BI155" s="121" t="s">
        <v>64</v>
      </c>
      <c r="BJ155" s="121" t="s">
        <v>64</v>
      </c>
      <c r="BK155" s="92" t="s">
        <v>64</v>
      </c>
      <c r="BL155" s="121">
        <f t="shared" si="64"/>
        <v>0</v>
      </c>
      <c r="BM155" s="92">
        <v>0.1</v>
      </c>
      <c r="BN155" s="84">
        <v>257</v>
      </c>
      <c r="BO155" s="95" t="s">
        <v>419</v>
      </c>
      <c r="BP155" s="95">
        <f t="shared" si="65"/>
        <v>257</v>
      </c>
      <c r="BQ155" s="122">
        <v>22.12</v>
      </c>
    </row>
    <row r="156" spans="12:69" ht="14.45" customHeight="1">
      <c r="L156" s="129" t="s">
        <v>449</v>
      </c>
      <c r="M156" s="763" t="s">
        <v>410</v>
      </c>
      <c r="N156" s="15" t="s">
        <v>427</v>
      </c>
      <c r="O156" s="14" t="s">
        <v>1145</v>
      </c>
      <c r="P156" s="15" t="s">
        <v>438</v>
      </c>
      <c r="Q156" s="15" t="s">
        <v>468</v>
      </c>
      <c r="R156" s="15" t="s">
        <v>64</v>
      </c>
      <c r="S156" s="15" t="s">
        <v>64</v>
      </c>
      <c r="T156" s="14" t="str">
        <f t="shared" si="54"/>
        <v>-</v>
      </c>
      <c r="U156" s="218" t="s">
        <v>491</v>
      </c>
      <c r="V156" s="90" t="s">
        <v>299</v>
      </c>
      <c r="W156" s="109" t="s">
        <v>64</v>
      </c>
      <c r="X156" s="104" t="s">
        <v>64</v>
      </c>
      <c r="Y156" s="104" t="s">
        <v>64</v>
      </c>
      <c r="Z156" s="104" t="s">
        <v>64</v>
      </c>
      <c r="AA156" s="57" t="s">
        <v>64</v>
      </c>
      <c r="AB156" s="47" t="s">
        <v>64</v>
      </c>
      <c r="AC156" s="57">
        <v>970</v>
      </c>
      <c r="AD156" s="218" t="s">
        <v>475</v>
      </c>
      <c r="AE156" s="28">
        <f t="shared" si="51"/>
        <v>3.9271241131999997</v>
      </c>
      <c r="AF156" s="1043" t="s">
        <v>475</v>
      </c>
      <c r="AG156" s="83">
        <v>1054</v>
      </c>
      <c r="AH156" s="1047" t="s">
        <v>475</v>
      </c>
      <c r="AI156" s="8">
        <v>1.1499999999999999</v>
      </c>
      <c r="AJ156" s="9" t="s">
        <v>64</v>
      </c>
      <c r="AK156" s="9" t="s">
        <v>64</v>
      </c>
      <c r="AL156" s="9" t="s">
        <v>64</v>
      </c>
      <c r="AM156" s="9" t="s">
        <v>64</v>
      </c>
      <c r="AN156" s="9" t="s">
        <v>64</v>
      </c>
      <c r="AO156" s="9" t="s">
        <v>64</v>
      </c>
      <c r="AP156" s="9" t="s">
        <v>64</v>
      </c>
      <c r="AQ156" s="9" t="s">
        <v>64</v>
      </c>
      <c r="AR156" s="9" t="s">
        <v>64</v>
      </c>
      <c r="AS156" s="9" t="s">
        <v>64</v>
      </c>
      <c r="AT156" s="37" t="s">
        <v>64</v>
      </c>
      <c r="AU156" s="9">
        <v>0.08</v>
      </c>
      <c r="AV156" s="6">
        <v>498</v>
      </c>
      <c r="AW156" s="27" t="s">
        <v>419</v>
      </c>
      <c r="AX156" s="6">
        <f t="shared" si="63"/>
        <v>498</v>
      </c>
      <c r="AY156" s="8" t="str">
        <f t="shared" si="56"/>
        <v>-</v>
      </c>
      <c r="AZ156" s="9" t="str">
        <f t="shared" si="57"/>
        <v>-</v>
      </c>
      <c r="BA156" s="123" t="s">
        <v>64</v>
      </c>
      <c r="BB156" s="121" t="s">
        <v>64</v>
      </c>
      <c r="BC156" s="121" t="s">
        <v>64</v>
      </c>
      <c r="BD156" s="121" t="s">
        <v>64</v>
      </c>
      <c r="BE156" s="121" t="s">
        <v>64</v>
      </c>
      <c r="BF156" s="121" t="s">
        <v>64</v>
      </c>
      <c r="BG156" s="121" t="s">
        <v>64</v>
      </c>
      <c r="BH156" s="121" t="s">
        <v>64</v>
      </c>
      <c r="BI156" s="121" t="s">
        <v>64</v>
      </c>
      <c r="BJ156" s="121" t="s">
        <v>64</v>
      </c>
      <c r="BK156" s="92" t="s">
        <v>64</v>
      </c>
      <c r="BL156" s="121">
        <f t="shared" si="64"/>
        <v>0</v>
      </c>
      <c r="BM156" s="92">
        <v>0.08</v>
      </c>
      <c r="BN156" s="84">
        <v>433</v>
      </c>
      <c r="BO156" s="95" t="s">
        <v>419</v>
      </c>
      <c r="BP156" s="95">
        <f t="shared" si="65"/>
        <v>433</v>
      </c>
      <c r="BQ156" s="122">
        <v>19.920000000000002</v>
      </c>
    </row>
    <row r="157" spans="12:69" ht="14.45" customHeight="1">
      <c r="L157" s="129" t="s">
        <v>449</v>
      </c>
      <c r="M157" s="763" t="s">
        <v>410</v>
      </c>
      <c r="N157" s="15" t="s">
        <v>427</v>
      </c>
      <c r="O157" s="14" t="s">
        <v>1146</v>
      </c>
      <c r="P157" s="15" t="s">
        <v>438</v>
      </c>
      <c r="Q157" s="15" t="s">
        <v>468</v>
      </c>
      <c r="R157" s="15" t="s">
        <v>64</v>
      </c>
      <c r="S157" s="15" t="s">
        <v>64</v>
      </c>
      <c r="T157" s="14" t="str">
        <f t="shared" si="54"/>
        <v>-</v>
      </c>
      <c r="U157" s="218" t="s">
        <v>491</v>
      </c>
      <c r="V157" s="90" t="s">
        <v>299</v>
      </c>
      <c r="W157" s="109" t="s">
        <v>64</v>
      </c>
      <c r="X157" s="104" t="s">
        <v>64</v>
      </c>
      <c r="Y157" s="104" t="s">
        <v>64</v>
      </c>
      <c r="Z157" s="104" t="s">
        <v>64</v>
      </c>
      <c r="AA157" s="57" t="s">
        <v>64</v>
      </c>
      <c r="AB157" s="47" t="s">
        <v>64</v>
      </c>
      <c r="AC157" s="57">
        <v>1047</v>
      </c>
      <c r="AD157" s="218" t="s">
        <v>475</v>
      </c>
      <c r="AE157" s="28">
        <f t="shared" ref="AE157:AE181" si="66">(0.0684*((AC157/1000))^3-0.5008*((AC157/1000))^2+4.47*((AC157/1000)))</f>
        <v>4.2096133210932001</v>
      </c>
      <c r="AF157" s="1043" t="s">
        <v>475</v>
      </c>
      <c r="AG157" s="83">
        <v>1143</v>
      </c>
      <c r="AH157" s="1047" t="s">
        <v>475</v>
      </c>
      <c r="AI157" s="8">
        <v>1.1499999999999999</v>
      </c>
      <c r="AJ157" s="9" t="s">
        <v>64</v>
      </c>
      <c r="AK157" s="9" t="s">
        <v>64</v>
      </c>
      <c r="AL157" s="9" t="s">
        <v>64</v>
      </c>
      <c r="AM157" s="9" t="s">
        <v>64</v>
      </c>
      <c r="AN157" s="9" t="s">
        <v>64</v>
      </c>
      <c r="AO157" s="9" t="s">
        <v>64</v>
      </c>
      <c r="AP157" s="9" t="s">
        <v>64</v>
      </c>
      <c r="AQ157" s="9" t="s">
        <v>64</v>
      </c>
      <c r="AR157" s="9" t="s">
        <v>64</v>
      </c>
      <c r="AS157" s="9" t="s">
        <v>64</v>
      </c>
      <c r="AT157" s="37" t="s">
        <v>64</v>
      </c>
      <c r="AU157" s="9">
        <v>0.06</v>
      </c>
      <c r="AV157" s="6">
        <v>542</v>
      </c>
      <c r="AW157" s="27" t="s">
        <v>419</v>
      </c>
      <c r="AX157" s="6">
        <f t="shared" si="63"/>
        <v>542</v>
      </c>
      <c r="AY157" s="8" t="str">
        <f t="shared" si="56"/>
        <v>-</v>
      </c>
      <c r="AZ157" s="9" t="str">
        <f t="shared" si="57"/>
        <v>-</v>
      </c>
      <c r="BA157" s="123" t="s">
        <v>64</v>
      </c>
      <c r="BB157" s="121" t="s">
        <v>64</v>
      </c>
      <c r="BC157" s="121" t="s">
        <v>64</v>
      </c>
      <c r="BD157" s="121" t="s">
        <v>64</v>
      </c>
      <c r="BE157" s="121" t="s">
        <v>64</v>
      </c>
      <c r="BF157" s="121" t="s">
        <v>64</v>
      </c>
      <c r="BG157" s="121" t="s">
        <v>64</v>
      </c>
      <c r="BH157" s="121" t="s">
        <v>64</v>
      </c>
      <c r="BI157" s="121" t="s">
        <v>64</v>
      </c>
      <c r="BJ157" s="121" t="s">
        <v>64</v>
      </c>
      <c r="BK157" s="92" t="s">
        <v>64</v>
      </c>
      <c r="BL157" s="121">
        <f t="shared" si="64"/>
        <v>0</v>
      </c>
      <c r="BM157" s="92">
        <v>0.06</v>
      </c>
      <c r="BN157" s="84">
        <v>471</v>
      </c>
      <c r="BO157" s="95" t="s">
        <v>419</v>
      </c>
      <c r="BP157" s="95">
        <f t="shared" si="65"/>
        <v>471</v>
      </c>
      <c r="BQ157" s="122">
        <v>59.62</v>
      </c>
    </row>
    <row r="158" spans="12:69" ht="14.45" customHeight="1">
      <c r="L158" s="129" t="s">
        <v>449</v>
      </c>
      <c r="M158" s="763" t="s">
        <v>410</v>
      </c>
      <c r="N158" s="15" t="s">
        <v>427</v>
      </c>
      <c r="O158" s="14" t="s">
        <v>1147</v>
      </c>
      <c r="P158" s="15" t="s">
        <v>438</v>
      </c>
      <c r="Q158" s="15" t="s">
        <v>468</v>
      </c>
      <c r="R158" s="15" t="s">
        <v>64</v>
      </c>
      <c r="S158" s="15" t="s">
        <v>64</v>
      </c>
      <c r="T158" s="14" t="str">
        <f t="shared" si="54"/>
        <v>-</v>
      </c>
      <c r="U158" s="218" t="s">
        <v>491</v>
      </c>
      <c r="V158" s="90" t="s">
        <v>299</v>
      </c>
      <c r="W158" s="109" t="s">
        <v>64</v>
      </c>
      <c r="X158" s="104" t="s">
        <v>64</v>
      </c>
      <c r="Y158" s="104" t="s">
        <v>64</v>
      </c>
      <c r="Z158" s="104" t="s">
        <v>64</v>
      </c>
      <c r="AA158" s="57" t="s">
        <v>64</v>
      </c>
      <c r="AB158" s="47" t="s">
        <v>64</v>
      </c>
      <c r="AC158" s="57">
        <v>679</v>
      </c>
      <c r="AD158" s="218" t="s">
        <v>475</v>
      </c>
      <c r="AE158" s="28">
        <f t="shared" si="66"/>
        <v>2.8256530709876002</v>
      </c>
      <c r="AF158" s="1043" t="s">
        <v>475</v>
      </c>
      <c r="AG158" s="83">
        <v>723</v>
      </c>
      <c r="AH158" s="1047" t="s">
        <v>475</v>
      </c>
      <c r="AI158" s="8">
        <v>1.23</v>
      </c>
      <c r="AJ158" s="9" t="s">
        <v>64</v>
      </c>
      <c r="AK158" s="9" t="s">
        <v>64</v>
      </c>
      <c r="AL158" s="9" t="s">
        <v>64</v>
      </c>
      <c r="AM158" s="9" t="s">
        <v>64</v>
      </c>
      <c r="AN158" s="9" t="s">
        <v>64</v>
      </c>
      <c r="AO158" s="9" t="s">
        <v>64</v>
      </c>
      <c r="AP158" s="9" t="s">
        <v>64</v>
      </c>
      <c r="AQ158" s="9" t="s">
        <v>64</v>
      </c>
      <c r="AR158" s="9" t="s">
        <v>64</v>
      </c>
      <c r="AS158" s="9" t="s">
        <v>64</v>
      </c>
      <c r="AT158" s="37" t="s">
        <v>64</v>
      </c>
      <c r="AU158" s="9">
        <v>0.06</v>
      </c>
      <c r="AV158" s="6">
        <v>337</v>
      </c>
      <c r="AW158" s="27" t="s">
        <v>419</v>
      </c>
      <c r="AX158" s="6">
        <f t="shared" si="63"/>
        <v>337</v>
      </c>
      <c r="AY158" s="8" t="str">
        <f t="shared" si="56"/>
        <v>-</v>
      </c>
      <c r="AZ158" s="9" t="str">
        <f t="shared" si="57"/>
        <v>-</v>
      </c>
      <c r="BA158" s="123" t="s">
        <v>64</v>
      </c>
      <c r="BB158" s="121" t="s">
        <v>64</v>
      </c>
      <c r="BC158" s="121" t="s">
        <v>64</v>
      </c>
      <c r="BD158" s="121" t="s">
        <v>64</v>
      </c>
      <c r="BE158" s="121" t="s">
        <v>64</v>
      </c>
      <c r="BF158" s="121" t="s">
        <v>64</v>
      </c>
      <c r="BG158" s="121" t="s">
        <v>64</v>
      </c>
      <c r="BH158" s="121" t="s">
        <v>64</v>
      </c>
      <c r="BI158" s="121" t="s">
        <v>64</v>
      </c>
      <c r="BJ158" s="121" t="s">
        <v>64</v>
      </c>
      <c r="BK158" s="92" t="s">
        <v>64</v>
      </c>
      <c r="BL158" s="121">
        <f t="shared" si="64"/>
        <v>0</v>
      </c>
      <c r="BM158" s="92">
        <v>0.06</v>
      </c>
      <c r="BN158" s="84">
        <v>274</v>
      </c>
      <c r="BO158" s="95" t="s">
        <v>419</v>
      </c>
      <c r="BP158" s="95">
        <f t="shared" si="65"/>
        <v>274</v>
      </c>
      <c r="BQ158" s="122">
        <v>43.81</v>
      </c>
    </row>
    <row r="159" spans="12:69" ht="14.45" customHeight="1">
      <c r="L159" s="129" t="s">
        <v>449</v>
      </c>
      <c r="M159" s="763" t="s">
        <v>410</v>
      </c>
      <c r="N159" s="15" t="s">
        <v>427</v>
      </c>
      <c r="O159" s="14" t="s">
        <v>1148</v>
      </c>
      <c r="P159" s="15" t="s">
        <v>438</v>
      </c>
      <c r="Q159" s="15" t="s">
        <v>468</v>
      </c>
      <c r="R159" s="15" t="s">
        <v>64</v>
      </c>
      <c r="S159" s="15" t="s">
        <v>64</v>
      </c>
      <c r="T159" s="14" t="str">
        <f t="shared" si="54"/>
        <v>-</v>
      </c>
      <c r="U159" s="218" t="s">
        <v>491</v>
      </c>
      <c r="V159" s="90" t="s">
        <v>299</v>
      </c>
      <c r="W159" s="109" t="s">
        <v>64</v>
      </c>
      <c r="X159" s="104" t="s">
        <v>64</v>
      </c>
      <c r="Y159" s="104" t="s">
        <v>64</v>
      </c>
      <c r="Z159" s="104" t="s">
        <v>64</v>
      </c>
      <c r="AA159" s="57" t="s">
        <v>64</v>
      </c>
      <c r="AB159" s="47" t="s">
        <v>64</v>
      </c>
      <c r="AC159" s="57">
        <v>1005</v>
      </c>
      <c r="AD159" s="218" t="s">
        <v>475</v>
      </c>
      <c r="AE159" s="28">
        <f t="shared" si="66"/>
        <v>4.0559606185499995</v>
      </c>
      <c r="AF159" s="1043" t="s">
        <v>475</v>
      </c>
      <c r="AG159" s="83">
        <v>1096</v>
      </c>
      <c r="AH159" s="1047" t="s">
        <v>475</v>
      </c>
      <c r="AI159" s="8">
        <v>1.23</v>
      </c>
      <c r="AJ159" s="9" t="s">
        <v>64</v>
      </c>
      <c r="AK159" s="9" t="s">
        <v>64</v>
      </c>
      <c r="AL159" s="9" t="s">
        <v>64</v>
      </c>
      <c r="AM159" s="9" t="s">
        <v>64</v>
      </c>
      <c r="AN159" s="9" t="s">
        <v>64</v>
      </c>
      <c r="AO159" s="9" t="s">
        <v>64</v>
      </c>
      <c r="AP159" s="9" t="s">
        <v>64</v>
      </c>
      <c r="AQ159" s="9" t="s">
        <v>64</v>
      </c>
      <c r="AR159" s="9" t="s">
        <v>64</v>
      </c>
      <c r="AS159" s="9" t="s">
        <v>64</v>
      </c>
      <c r="AT159" s="37" t="s">
        <v>64</v>
      </c>
      <c r="AU159" s="9">
        <v>0.1</v>
      </c>
      <c r="AV159" s="6">
        <v>518</v>
      </c>
      <c r="AW159" s="27" t="s">
        <v>419</v>
      </c>
      <c r="AX159" s="6">
        <f t="shared" si="63"/>
        <v>518</v>
      </c>
      <c r="AY159" s="8" t="str">
        <f t="shared" si="56"/>
        <v>-</v>
      </c>
      <c r="AZ159" s="9" t="str">
        <f t="shared" si="57"/>
        <v>-</v>
      </c>
      <c r="BA159" s="123" t="s">
        <v>64</v>
      </c>
      <c r="BB159" s="121" t="s">
        <v>64</v>
      </c>
      <c r="BC159" s="121" t="s">
        <v>64</v>
      </c>
      <c r="BD159" s="121" t="s">
        <v>64</v>
      </c>
      <c r="BE159" s="121" t="s">
        <v>64</v>
      </c>
      <c r="BF159" s="121" t="s">
        <v>64</v>
      </c>
      <c r="BG159" s="121" t="s">
        <v>64</v>
      </c>
      <c r="BH159" s="121" t="s">
        <v>64</v>
      </c>
      <c r="BI159" s="121" t="s">
        <v>64</v>
      </c>
      <c r="BJ159" s="121" t="s">
        <v>64</v>
      </c>
      <c r="BK159" s="92" t="s">
        <v>64</v>
      </c>
      <c r="BL159" s="121">
        <f t="shared" si="64"/>
        <v>0</v>
      </c>
      <c r="BM159" s="92">
        <v>0.1</v>
      </c>
      <c r="BN159" s="84">
        <v>421</v>
      </c>
      <c r="BO159" s="95" t="s">
        <v>419</v>
      </c>
      <c r="BP159" s="95">
        <f t="shared" si="65"/>
        <v>421</v>
      </c>
      <c r="BQ159" s="122">
        <v>31.08</v>
      </c>
    </row>
    <row r="160" spans="12:69" ht="14.45" customHeight="1">
      <c r="L160" s="129" t="s">
        <v>449</v>
      </c>
      <c r="M160" s="763" t="s">
        <v>410</v>
      </c>
      <c r="N160" s="15" t="s">
        <v>427</v>
      </c>
      <c r="O160" s="14" t="s">
        <v>1149</v>
      </c>
      <c r="P160" s="15" t="s">
        <v>438</v>
      </c>
      <c r="Q160" s="15" t="s">
        <v>468</v>
      </c>
      <c r="R160" s="15">
        <v>89.5</v>
      </c>
      <c r="S160" s="15" t="s">
        <v>64</v>
      </c>
      <c r="T160" s="14">
        <f t="shared" si="54"/>
        <v>1304.0430000000001</v>
      </c>
      <c r="U160" s="218" t="s">
        <v>491</v>
      </c>
      <c r="V160" s="90" t="s">
        <v>299</v>
      </c>
      <c r="W160" s="109" t="s">
        <v>64</v>
      </c>
      <c r="X160" s="104" t="s">
        <v>64</v>
      </c>
      <c r="Y160" s="104" t="s">
        <v>64</v>
      </c>
      <c r="Z160" s="104" t="s">
        <v>64</v>
      </c>
      <c r="AA160" s="57" t="s">
        <v>64</v>
      </c>
      <c r="AB160" s="47" t="s">
        <v>64</v>
      </c>
      <c r="AC160" s="57">
        <v>839</v>
      </c>
      <c r="AD160" s="218" t="s">
        <v>475</v>
      </c>
      <c r="AE160" s="28">
        <f t="shared" si="66"/>
        <v>3.4382026999795996</v>
      </c>
      <c r="AF160" s="1043" t="s">
        <v>475</v>
      </c>
      <c r="AG160" s="83">
        <v>912</v>
      </c>
      <c r="AH160" s="1047" t="s">
        <v>475</v>
      </c>
      <c r="AI160" s="8">
        <v>1.17</v>
      </c>
      <c r="AJ160" s="9">
        <v>48.585000000000001</v>
      </c>
      <c r="AK160" s="9">
        <v>2.1520000000000001</v>
      </c>
      <c r="AL160" s="9">
        <v>10.85</v>
      </c>
      <c r="AM160" s="9">
        <v>11.198</v>
      </c>
      <c r="AN160" s="9">
        <v>0.14499999999999999</v>
      </c>
      <c r="AO160" s="9">
        <v>14.43</v>
      </c>
      <c r="AP160" s="9">
        <v>9.8079999999999998</v>
      </c>
      <c r="AQ160" s="9">
        <v>2.0129999999999999</v>
      </c>
      <c r="AR160" s="9">
        <v>0.41699999999999998</v>
      </c>
      <c r="AS160" s="9">
        <v>0.26300000000000001</v>
      </c>
      <c r="AT160" s="37" t="s">
        <v>64</v>
      </c>
      <c r="AU160" s="9">
        <v>0.23</v>
      </c>
      <c r="AV160" s="6">
        <v>425</v>
      </c>
      <c r="AW160" s="27" t="s">
        <v>419</v>
      </c>
      <c r="AX160" s="6">
        <f t="shared" si="63"/>
        <v>425</v>
      </c>
      <c r="AY160" s="8">
        <f t="shared" si="56"/>
        <v>2.2402390840757236</v>
      </c>
      <c r="AZ160" s="9">
        <f t="shared" si="57"/>
        <v>9.182360000000001</v>
      </c>
      <c r="BA160" s="123">
        <v>47.818498932034665</v>
      </c>
      <c r="BB160" s="121">
        <v>1.8364793642499915</v>
      </c>
      <c r="BC160" s="121">
        <v>9.2582422678954952</v>
      </c>
      <c r="BD160" s="121">
        <v>9.3188660932604481</v>
      </c>
      <c r="BE160" s="121">
        <v>0.12384762370448843</v>
      </c>
      <c r="BF160" s="121">
        <v>20.977221613808933</v>
      </c>
      <c r="BG160" s="121">
        <v>8.3695455927014866</v>
      </c>
      <c r="BH160" s="121">
        <v>1.7173777594933366</v>
      </c>
      <c r="BI160" s="121">
        <v>0.35576178163496958</v>
      </c>
      <c r="BJ160" s="121">
        <v>0.22419583242629257</v>
      </c>
      <c r="BK160" s="92" t="s">
        <v>64</v>
      </c>
      <c r="BL160" s="121">
        <f t="shared" si="64"/>
        <v>100.00003686121011</v>
      </c>
      <c r="BM160" s="92">
        <v>0.23</v>
      </c>
      <c r="BN160" s="84">
        <v>364</v>
      </c>
      <c r="BO160" s="95" t="s">
        <v>419</v>
      </c>
      <c r="BP160" s="95">
        <f t="shared" si="65"/>
        <v>364</v>
      </c>
      <c r="BQ160" s="122">
        <v>8.5</v>
      </c>
    </row>
    <row r="161" spans="12:69" ht="14.45" customHeight="1">
      <c r="L161" s="129" t="s">
        <v>449</v>
      </c>
      <c r="M161" s="763" t="s">
        <v>410</v>
      </c>
      <c r="N161" s="15" t="s">
        <v>427</v>
      </c>
      <c r="O161" s="14" t="s">
        <v>1150</v>
      </c>
      <c r="P161" s="15" t="s">
        <v>438</v>
      </c>
      <c r="Q161" s="15" t="s">
        <v>468</v>
      </c>
      <c r="R161" s="15">
        <v>87.8</v>
      </c>
      <c r="S161" s="15" t="s">
        <v>64</v>
      </c>
      <c r="T161" s="14">
        <f t="shared" si="54"/>
        <v>1269.9534000000001</v>
      </c>
      <c r="U161" s="218" t="s">
        <v>491</v>
      </c>
      <c r="V161" s="90" t="s">
        <v>299</v>
      </c>
      <c r="W161" s="109" t="s">
        <v>64</v>
      </c>
      <c r="X161" s="104" t="s">
        <v>64</v>
      </c>
      <c r="Y161" s="104" t="s">
        <v>64</v>
      </c>
      <c r="Z161" s="104" t="s">
        <v>64</v>
      </c>
      <c r="AA161" s="57" t="s">
        <v>64</v>
      </c>
      <c r="AB161" s="47" t="s">
        <v>64</v>
      </c>
      <c r="AC161" s="57">
        <v>827</v>
      </c>
      <c r="AD161" s="218" t="s">
        <v>475</v>
      </c>
      <c r="AE161" s="28">
        <f t="shared" si="66"/>
        <v>3.3928660317571997</v>
      </c>
      <c r="AF161" s="1043" t="s">
        <v>475</v>
      </c>
      <c r="AG161" s="83">
        <v>890</v>
      </c>
      <c r="AH161" s="1047" t="s">
        <v>475</v>
      </c>
      <c r="AI161" s="8">
        <v>1.25</v>
      </c>
      <c r="AJ161" s="9">
        <v>50.781999999999996</v>
      </c>
      <c r="AK161" s="9">
        <v>2.012</v>
      </c>
      <c r="AL161" s="9">
        <v>10.975</v>
      </c>
      <c r="AM161" s="9">
        <v>11.196999999999999</v>
      </c>
      <c r="AN161" s="9">
        <v>0.19600000000000001</v>
      </c>
      <c r="AO161" s="9">
        <v>12.734</v>
      </c>
      <c r="AP161" s="9">
        <v>8.9559999999999995</v>
      </c>
      <c r="AQ161" s="9">
        <v>2.3069999999999999</v>
      </c>
      <c r="AR161" s="9">
        <v>0.42599999999999999</v>
      </c>
      <c r="AS161" s="9">
        <v>0.27700000000000002</v>
      </c>
      <c r="AT161" s="37" t="s">
        <v>64</v>
      </c>
      <c r="AU161" s="9">
        <v>0.08</v>
      </c>
      <c r="AV161" s="6">
        <v>418</v>
      </c>
      <c r="AW161" s="27" t="s">
        <v>419</v>
      </c>
      <c r="AX161" s="6">
        <f t="shared" si="63"/>
        <v>418</v>
      </c>
      <c r="AY161" s="8">
        <f t="shared" si="56"/>
        <v>2.2400390270044537</v>
      </c>
      <c r="AZ161" s="9">
        <f t="shared" si="57"/>
        <v>9.18154</v>
      </c>
      <c r="BA161" s="123">
        <v>48.844973880481298</v>
      </c>
      <c r="BB161" s="121">
        <v>1.6125292648528244</v>
      </c>
      <c r="BC161" s="121">
        <v>8.7954430150273311</v>
      </c>
      <c r="BD161" s="121">
        <v>11.000945751365862</v>
      </c>
      <c r="BE161" s="121">
        <v>0.15719886215494822</v>
      </c>
      <c r="BF161" s="121">
        <v>19.999114997611613</v>
      </c>
      <c r="BG161" s="121">
        <v>7.1773012221255437</v>
      </c>
      <c r="BH161" s="121">
        <v>1.848628783903955</v>
      </c>
      <c r="BI161" s="121">
        <v>0.34163425382600643</v>
      </c>
      <c r="BJ161" s="121">
        <v>0.22220100060191031</v>
      </c>
      <c r="BK161" s="92" t="s">
        <v>64</v>
      </c>
      <c r="BL161" s="121">
        <f t="shared" si="64"/>
        <v>99.999971031951304</v>
      </c>
      <c r="BM161" s="92">
        <v>0.08</v>
      </c>
      <c r="BN161" s="84">
        <v>334</v>
      </c>
      <c r="BO161" s="95" t="s">
        <v>419</v>
      </c>
      <c r="BP161" s="95">
        <f t="shared" si="65"/>
        <v>334</v>
      </c>
      <c r="BQ161" s="122">
        <v>12.54</v>
      </c>
    </row>
    <row r="162" spans="12:69" ht="14.45" customHeight="1">
      <c r="L162" s="129" t="s">
        <v>449</v>
      </c>
      <c r="M162" s="763" t="s">
        <v>410</v>
      </c>
      <c r="N162" s="15" t="s">
        <v>427</v>
      </c>
      <c r="O162" s="14" t="s">
        <v>1151</v>
      </c>
      <c r="P162" s="15" t="s">
        <v>438</v>
      </c>
      <c r="Q162" s="15" t="s">
        <v>468</v>
      </c>
      <c r="R162" s="15">
        <v>88.6</v>
      </c>
      <c r="S162" s="15" t="s">
        <v>64</v>
      </c>
      <c r="T162" s="14">
        <f t="shared" si="54"/>
        <v>1279.6215</v>
      </c>
      <c r="U162" s="218" t="s">
        <v>491</v>
      </c>
      <c r="V162" s="90" t="s">
        <v>299</v>
      </c>
      <c r="W162" s="109" t="s">
        <v>64</v>
      </c>
      <c r="X162" s="104" t="s">
        <v>64</v>
      </c>
      <c r="Y162" s="104" t="s">
        <v>64</v>
      </c>
      <c r="Z162" s="104" t="s">
        <v>64</v>
      </c>
      <c r="AA162" s="57" t="s">
        <v>64</v>
      </c>
      <c r="AB162" s="47" t="s">
        <v>64</v>
      </c>
      <c r="AC162" s="57">
        <v>736</v>
      </c>
      <c r="AD162" s="218" t="s">
        <v>475</v>
      </c>
      <c r="AE162" s="28">
        <f t="shared" si="66"/>
        <v>3.0459089199104001</v>
      </c>
      <c r="AF162" s="1043" t="s">
        <v>475</v>
      </c>
      <c r="AG162" s="83">
        <v>790</v>
      </c>
      <c r="AH162" s="1047" t="s">
        <v>475</v>
      </c>
      <c r="AI162" s="8">
        <v>1.22</v>
      </c>
      <c r="AJ162" s="9">
        <v>48.591999999999999</v>
      </c>
      <c r="AK162" s="9">
        <v>2.1019999999999999</v>
      </c>
      <c r="AL162" s="9">
        <v>11.303000000000001</v>
      </c>
      <c r="AM162" s="9">
        <v>11.196</v>
      </c>
      <c r="AN162" s="9">
        <v>0.16600000000000001</v>
      </c>
      <c r="AO162" s="9">
        <v>13.215</v>
      </c>
      <c r="AP162" s="9">
        <v>10.632999999999999</v>
      </c>
      <c r="AQ162" s="9">
        <v>1.9990000000000001</v>
      </c>
      <c r="AR162" s="9">
        <v>0.35699999999999998</v>
      </c>
      <c r="AS162" s="9">
        <v>0.3</v>
      </c>
      <c r="AT162" s="37" t="s">
        <v>64</v>
      </c>
      <c r="AU162" s="9">
        <v>0.16</v>
      </c>
      <c r="AV162" s="6">
        <v>368</v>
      </c>
      <c r="AW162" s="27" t="s">
        <v>419</v>
      </c>
      <c r="AX162" s="6">
        <f t="shared" si="63"/>
        <v>368</v>
      </c>
      <c r="AY162" s="8">
        <f t="shared" si="56"/>
        <v>2.2398389699331847</v>
      </c>
      <c r="AZ162" s="9">
        <f t="shared" si="57"/>
        <v>9.1807200000000009</v>
      </c>
      <c r="BA162" s="123">
        <v>47.324997136668394</v>
      </c>
      <c r="BB162" s="121">
        <v>1.7164164681841749</v>
      </c>
      <c r="BC162" s="121">
        <v>9.2315625870634914</v>
      </c>
      <c r="BD162" s="121">
        <v>10.403249370120037</v>
      </c>
      <c r="BE162" s="121">
        <v>0.13546901956205873</v>
      </c>
      <c r="BF162" s="121">
        <v>20.334043812998505</v>
      </c>
      <c r="BG162" s="121">
        <v>8.6841772645029405</v>
      </c>
      <c r="BH162" s="121">
        <v>1.6329542619850843</v>
      </c>
      <c r="BI162" s="121">
        <v>0.29181209495103283</v>
      </c>
      <c r="BJ162" s="121">
        <v>0.24536561393539466</v>
      </c>
      <c r="BK162" s="92" t="s">
        <v>64</v>
      </c>
      <c r="BL162" s="121">
        <f t="shared" si="64"/>
        <v>100.00004762997111</v>
      </c>
      <c r="BM162" s="92">
        <v>0.16</v>
      </c>
      <c r="BN162" s="84">
        <v>302</v>
      </c>
      <c r="BO162" s="95" t="s">
        <v>419</v>
      </c>
      <c r="BP162" s="95">
        <f t="shared" si="65"/>
        <v>302</v>
      </c>
      <c r="BQ162" s="122">
        <v>11.04</v>
      </c>
    </row>
    <row r="163" spans="12:69" ht="14.45" customHeight="1">
      <c r="L163" s="129" t="s">
        <v>449</v>
      </c>
      <c r="M163" s="763" t="s">
        <v>410</v>
      </c>
      <c r="N163" s="15" t="s">
        <v>427</v>
      </c>
      <c r="O163" s="14" t="s">
        <v>1152</v>
      </c>
      <c r="P163" s="15" t="s">
        <v>438</v>
      </c>
      <c r="Q163" s="15" t="s">
        <v>468</v>
      </c>
      <c r="R163" s="15" t="s">
        <v>64</v>
      </c>
      <c r="S163" s="15" t="s">
        <v>64</v>
      </c>
      <c r="T163" s="14" t="str">
        <f t="shared" si="54"/>
        <v>-</v>
      </c>
      <c r="U163" s="218" t="s">
        <v>491</v>
      </c>
      <c r="V163" s="90" t="s">
        <v>299</v>
      </c>
      <c r="W163" s="109" t="s">
        <v>64</v>
      </c>
      <c r="X163" s="104" t="s">
        <v>64</v>
      </c>
      <c r="Y163" s="104" t="s">
        <v>64</v>
      </c>
      <c r="Z163" s="104" t="s">
        <v>64</v>
      </c>
      <c r="AA163" s="57" t="s">
        <v>64</v>
      </c>
      <c r="AB163" s="47" t="s">
        <v>64</v>
      </c>
      <c r="AC163" s="57">
        <v>211</v>
      </c>
      <c r="AD163" s="218" t="s">
        <v>475</v>
      </c>
      <c r="AE163" s="28">
        <f t="shared" si="66"/>
        <v>0.92151642808039991</v>
      </c>
      <c r="AF163" s="1043" t="s">
        <v>475</v>
      </c>
      <c r="AG163" s="83">
        <v>213</v>
      </c>
      <c r="AH163" s="1047" t="s">
        <v>475</v>
      </c>
      <c r="AI163" s="8">
        <v>1.23</v>
      </c>
      <c r="AJ163" s="9" t="s">
        <v>64</v>
      </c>
      <c r="AK163" s="9" t="s">
        <v>64</v>
      </c>
      <c r="AL163" s="9" t="s">
        <v>64</v>
      </c>
      <c r="AM163" s="9" t="s">
        <v>64</v>
      </c>
      <c r="AN163" s="9" t="s">
        <v>64</v>
      </c>
      <c r="AO163" s="9" t="s">
        <v>64</v>
      </c>
      <c r="AP163" s="9" t="s">
        <v>64</v>
      </c>
      <c r="AQ163" s="9" t="s">
        <v>64</v>
      </c>
      <c r="AR163" s="9" t="s">
        <v>64</v>
      </c>
      <c r="AS163" s="9" t="s">
        <v>64</v>
      </c>
      <c r="AT163" s="37" t="s">
        <v>64</v>
      </c>
      <c r="AU163" s="9">
        <v>0.25</v>
      </c>
      <c r="AV163" s="6">
        <v>93</v>
      </c>
      <c r="AW163" s="27" t="s">
        <v>419</v>
      </c>
      <c r="AX163" s="6">
        <f t="shared" si="63"/>
        <v>93</v>
      </c>
      <c r="AY163" s="8" t="str">
        <f t="shared" si="56"/>
        <v>-</v>
      </c>
      <c r="AZ163" s="9" t="str">
        <f t="shared" si="57"/>
        <v>-</v>
      </c>
      <c r="BA163" s="123" t="s">
        <v>64</v>
      </c>
      <c r="BB163" s="121" t="s">
        <v>64</v>
      </c>
      <c r="BC163" s="121" t="s">
        <v>64</v>
      </c>
      <c r="BD163" s="121" t="s">
        <v>64</v>
      </c>
      <c r="BE163" s="121" t="s">
        <v>64</v>
      </c>
      <c r="BF163" s="121" t="s">
        <v>64</v>
      </c>
      <c r="BG163" s="121" t="s">
        <v>64</v>
      </c>
      <c r="BH163" s="121" t="s">
        <v>64</v>
      </c>
      <c r="BI163" s="121" t="s">
        <v>64</v>
      </c>
      <c r="BJ163" s="121" t="s">
        <v>64</v>
      </c>
      <c r="BK163" s="92" t="s">
        <v>64</v>
      </c>
      <c r="BL163" s="121">
        <f t="shared" si="64"/>
        <v>0</v>
      </c>
      <c r="BM163" s="92">
        <v>0.25</v>
      </c>
      <c r="BN163" s="84">
        <v>77</v>
      </c>
      <c r="BO163" s="95" t="s">
        <v>419</v>
      </c>
      <c r="BP163" s="95">
        <f t="shared" si="65"/>
        <v>77</v>
      </c>
      <c r="BQ163" s="122">
        <v>3.72</v>
      </c>
    </row>
    <row r="164" spans="12:69" ht="14.45" customHeight="1">
      <c r="L164" s="129" t="s">
        <v>449</v>
      </c>
      <c r="M164" s="763" t="s">
        <v>410</v>
      </c>
      <c r="N164" s="15" t="s">
        <v>427</v>
      </c>
      <c r="O164" s="14" t="s">
        <v>1153</v>
      </c>
      <c r="P164" s="15" t="s">
        <v>438</v>
      </c>
      <c r="Q164" s="15" t="s">
        <v>468</v>
      </c>
      <c r="R164" s="15">
        <v>88.2</v>
      </c>
      <c r="S164" s="15" t="s">
        <v>64</v>
      </c>
      <c r="T164" s="14">
        <f t="shared" si="54"/>
        <v>1267.3002000000001</v>
      </c>
      <c r="U164" s="218" t="s">
        <v>491</v>
      </c>
      <c r="V164" s="90" t="s">
        <v>299</v>
      </c>
      <c r="W164" s="109" t="s">
        <v>64</v>
      </c>
      <c r="X164" s="104" t="s">
        <v>64</v>
      </c>
      <c r="Y164" s="104" t="s">
        <v>64</v>
      </c>
      <c r="Z164" s="104" t="s">
        <v>64</v>
      </c>
      <c r="AA164" s="57" t="s">
        <v>64</v>
      </c>
      <c r="AB164" s="47" t="s">
        <v>64</v>
      </c>
      <c r="AC164" s="57">
        <v>877</v>
      </c>
      <c r="AD164" s="218" t="s">
        <v>475</v>
      </c>
      <c r="AE164" s="28">
        <f t="shared" si="66"/>
        <v>3.5811477842971997</v>
      </c>
      <c r="AF164" s="1043" t="s">
        <v>475</v>
      </c>
      <c r="AG164" s="83">
        <v>950</v>
      </c>
      <c r="AH164" s="1047" t="s">
        <v>475</v>
      </c>
      <c r="AI164" s="8">
        <v>1.02</v>
      </c>
      <c r="AJ164" s="9">
        <v>48.572000000000003</v>
      </c>
      <c r="AK164" s="9">
        <v>2.5950000000000002</v>
      </c>
      <c r="AL164" s="9">
        <v>11.946999999999999</v>
      </c>
      <c r="AM164" s="9">
        <v>11.199</v>
      </c>
      <c r="AN164" s="9">
        <v>0.14299999999999999</v>
      </c>
      <c r="AO164" s="9">
        <v>12.602</v>
      </c>
      <c r="AP164" s="9">
        <v>9.4879999999999995</v>
      </c>
      <c r="AQ164" s="9">
        <v>2.5219999999999998</v>
      </c>
      <c r="AR164" s="9">
        <v>0.48699999999999999</v>
      </c>
      <c r="AS164" s="9">
        <v>0.308</v>
      </c>
      <c r="AT164" s="37" t="s">
        <v>64</v>
      </c>
      <c r="AU164" s="9">
        <v>0.16</v>
      </c>
      <c r="AV164" s="6">
        <v>446</v>
      </c>
      <c r="AW164" s="27" t="s">
        <v>419</v>
      </c>
      <c r="AX164" s="6">
        <f t="shared" si="63"/>
        <v>446</v>
      </c>
      <c r="AY164" s="8">
        <f t="shared" si="56"/>
        <v>2.2404391411469931</v>
      </c>
      <c r="AZ164" s="9">
        <f t="shared" si="57"/>
        <v>9.1831800000000001</v>
      </c>
      <c r="BA164" s="123">
        <v>48.768726632243563</v>
      </c>
      <c r="BB164" s="121">
        <v>2.5468144583941048</v>
      </c>
      <c r="BC164" s="121">
        <v>11.723583001033514</v>
      </c>
      <c r="BD164" s="121">
        <v>9.6571579442748892</v>
      </c>
      <c r="BE164" s="121">
        <v>0.14033880980498023</v>
      </c>
      <c r="BF164" s="121">
        <v>14.597057620704776</v>
      </c>
      <c r="BG164" s="121">
        <v>9.3104174160972804</v>
      </c>
      <c r="BH164" s="121">
        <v>2.4750278278771844</v>
      </c>
      <c r="BI164" s="121">
        <v>0.47825024314664416</v>
      </c>
      <c r="BJ164" s="121">
        <v>0.30263456082556844</v>
      </c>
      <c r="BK164" s="92" t="s">
        <v>64</v>
      </c>
      <c r="BL164" s="121">
        <f t="shared" si="64"/>
        <v>100.0000085144025</v>
      </c>
      <c r="BM164" s="92">
        <v>0.16</v>
      </c>
      <c r="BN164" s="84">
        <v>437</v>
      </c>
      <c r="BO164" s="95" t="s">
        <v>419</v>
      </c>
      <c r="BP164" s="95">
        <f t="shared" si="65"/>
        <v>437</v>
      </c>
      <c r="BQ164" s="122">
        <v>13.379999999999999</v>
      </c>
    </row>
    <row r="165" spans="12:69" ht="14.45" customHeight="1">
      <c r="L165" s="129" t="s">
        <v>449</v>
      </c>
      <c r="M165" s="763" t="s">
        <v>410</v>
      </c>
      <c r="N165" s="15" t="s">
        <v>427</v>
      </c>
      <c r="O165" s="14" t="s">
        <v>1154</v>
      </c>
      <c r="P165" s="15" t="s">
        <v>438</v>
      </c>
      <c r="Q165" s="15" t="s">
        <v>468</v>
      </c>
      <c r="R165" s="15">
        <v>87.9</v>
      </c>
      <c r="S165" s="15" t="s">
        <v>64</v>
      </c>
      <c r="T165" s="14" t="str">
        <f t="shared" si="54"/>
        <v>-</v>
      </c>
      <c r="U165" s="218" t="s">
        <v>491</v>
      </c>
      <c r="V165" s="90" t="s">
        <v>299</v>
      </c>
      <c r="W165" s="109" t="s">
        <v>64</v>
      </c>
      <c r="X165" s="104" t="s">
        <v>64</v>
      </c>
      <c r="Y165" s="104" t="s">
        <v>64</v>
      </c>
      <c r="Z165" s="104" t="s">
        <v>64</v>
      </c>
      <c r="AA165" s="57" t="s">
        <v>64</v>
      </c>
      <c r="AB165" s="47" t="s">
        <v>64</v>
      </c>
      <c r="AC165" s="57">
        <v>387</v>
      </c>
      <c r="AD165" s="218" t="s">
        <v>475</v>
      </c>
      <c r="AE165" s="28">
        <f t="shared" si="66"/>
        <v>1.6588501900452</v>
      </c>
      <c r="AF165" s="1043" t="s">
        <v>475</v>
      </c>
      <c r="AG165" s="83">
        <v>405</v>
      </c>
      <c r="AH165" s="1047" t="s">
        <v>475</v>
      </c>
      <c r="AI165" s="8">
        <v>1.1599999999999999</v>
      </c>
      <c r="AJ165" s="9" t="s">
        <v>64</v>
      </c>
      <c r="AK165" s="9" t="s">
        <v>64</v>
      </c>
      <c r="AL165" s="9" t="s">
        <v>64</v>
      </c>
      <c r="AM165" s="9" t="s">
        <v>64</v>
      </c>
      <c r="AN165" s="9" t="s">
        <v>64</v>
      </c>
      <c r="AO165" s="9" t="s">
        <v>64</v>
      </c>
      <c r="AP165" s="9" t="s">
        <v>64</v>
      </c>
      <c r="AQ165" s="9" t="s">
        <v>64</v>
      </c>
      <c r="AR165" s="9" t="s">
        <v>64</v>
      </c>
      <c r="AS165" s="9" t="s">
        <v>64</v>
      </c>
      <c r="AT165" s="37" t="s">
        <v>64</v>
      </c>
      <c r="AU165" s="9">
        <v>0.25</v>
      </c>
      <c r="AV165" s="6">
        <v>183</v>
      </c>
      <c r="AW165" s="27" t="s">
        <v>419</v>
      </c>
      <c r="AX165" s="6">
        <f t="shared" si="63"/>
        <v>183</v>
      </c>
      <c r="AY165" s="8" t="str">
        <f t="shared" si="56"/>
        <v>-</v>
      </c>
      <c r="AZ165" s="9" t="str">
        <f t="shared" si="57"/>
        <v>-</v>
      </c>
      <c r="BA165" s="123" t="s">
        <v>64</v>
      </c>
      <c r="BB165" s="121" t="s">
        <v>64</v>
      </c>
      <c r="BC165" s="121" t="s">
        <v>64</v>
      </c>
      <c r="BD165" s="121" t="s">
        <v>64</v>
      </c>
      <c r="BE165" s="121" t="s">
        <v>64</v>
      </c>
      <c r="BF165" s="121" t="s">
        <v>64</v>
      </c>
      <c r="BG165" s="121" t="s">
        <v>64</v>
      </c>
      <c r="BH165" s="121" t="s">
        <v>64</v>
      </c>
      <c r="BI165" s="121" t="s">
        <v>64</v>
      </c>
      <c r="BJ165" s="121" t="s">
        <v>64</v>
      </c>
      <c r="BK165" s="92" t="s">
        <v>64</v>
      </c>
      <c r="BL165" s="121">
        <f t="shared" si="64"/>
        <v>0</v>
      </c>
      <c r="BM165" s="92">
        <v>0.25</v>
      </c>
      <c r="BN165" s="84">
        <v>158</v>
      </c>
      <c r="BO165" s="95" t="s">
        <v>419</v>
      </c>
      <c r="BP165" s="95">
        <f t="shared" si="65"/>
        <v>158</v>
      </c>
      <c r="BQ165" s="122">
        <v>7.32</v>
      </c>
    </row>
    <row r="166" spans="12:69" ht="14.45" customHeight="1">
      <c r="L166" s="129" t="s">
        <v>449</v>
      </c>
      <c r="M166" s="763" t="s">
        <v>410</v>
      </c>
      <c r="N166" s="15" t="s">
        <v>427</v>
      </c>
      <c r="O166" s="14" t="s">
        <v>1155</v>
      </c>
      <c r="P166" s="15" t="s">
        <v>438</v>
      </c>
      <c r="Q166" s="15" t="s">
        <v>468</v>
      </c>
      <c r="R166" s="15" t="s">
        <v>64</v>
      </c>
      <c r="S166" s="15" t="s">
        <v>64</v>
      </c>
      <c r="T166" s="14" t="str">
        <f t="shared" si="54"/>
        <v>-</v>
      </c>
      <c r="U166" s="218" t="s">
        <v>491</v>
      </c>
      <c r="V166" s="90" t="s">
        <v>299</v>
      </c>
      <c r="W166" s="109" t="s">
        <v>64</v>
      </c>
      <c r="X166" s="104" t="s">
        <v>64</v>
      </c>
      <c r="Y166" s="104" t="s">
        <v>64</v>
      </c>
      <c r="Z166" s="104" t="s">
        <v>64</v>
      </c>
      <c r="AA166" s="57" t="s">
        <v>64</v>
      </c>
      <c r="AB166" s="47" t="s">
        <v>64</v>
      </c>
      <c r="AC166" s="57">
        <v>690</v>
      </c>
      <c r="AD166" s="218" t="s">
        <v>475</v>
      </c>
      <c r="AE166" s="28">
        <f t="shared" si="66"/>
        <v>2.8683391355999994</v>
      </c>
      <c r="AF166" s="1043" t="s">
        <v>475</v>
      </c>
      <c r="AG166" s="83">
        <v>737</v>
      </c>
      <c r="AH166" s="1047" t="s">
        <v>475</v>
      </c>
      <c r="AI166" s="8">
        <v>1.08</v>
      </c>
      <c r="AJ166" s="9" t="s">
        <v>64</v>
      </c>
      <c r="AK166" s="9" t="s">
        <v>64</v>
      </c>
      <c r="AL166" s="9" t="s">
        <v>64</v>
      </c>
      <c r="AM166" s="9" t="s">
        <v>64</v>
      </c>
      <c r="AN166" s="9" t="s">
        <v>64</v>
      </c>
      <c r="AO166" s="9" t="s">
        <v>64</v>
      </c>
      <c r="AP166" s="9" t="s">
        <v>64</v>
      </c>
      <c r="AQ166" s="9" t="s">
        <v>64</v>
      </c>
      <c r="AR166" s="9" t="s">
        <v>64</v>
      </c>
      <c r="AS166" s="9" t="s">
        <v>64</v>
      </c>
      <c r="AT166" s="37" t="s">
        <v>64</v>
      </c>
      <c r="AU166" s="9">
        <v>0.14000000000000001</v>
      </c>
      <c r="AV166" s="6">
        <v>343</v>
      </c>
      <c r="AW166" s="27" t="s">
        <v>419</v>
      </c>
      <c r="AX166" s="6">
        <f t="shared" si="63"/>
        <v>343</v>
      </c>
      <c r="AY166" s="8" t="str">
        <f t="shared" si="56"/>
        <v>-</v>
      </c>
      <c r="AZ166" s="9" t="str">
        <f t="shared" si="57"/>
        <v>-</v>
      </c>
      <c r="BA166" s="123" t="s">
        <v>64</v>
      </c>
      <c r="BB166" s="121" t="s">
        <v>64</v>
      </c>
      <c r="BC166" s="121" t="s">
        <v>64</v>
      </c>
      <c r="BD166" s="121" t="s">
        <v>64</v>
      </c>
      <c r="BE166" s="121" t="s">
        <v>64</v>
      </c>
      <c r="BF166" s="121" t="s">
        <v>64</v>
      </c>
      <c r="BG166" s="121" t="s">
        <v>64</v>
      </c>
      <c r="BH166" s="121" t="s">
        <v>64</v>
      </c>
      <c r="BI166" s="121" t="s">
        <v>64</v>
      </c>
      <c r="BJ166" s="121" t="s">
        <v>64</v>
      </c>
      <c r="BK166" s="92" t="s">
        <v>64</v>
      </c>
      <c r="BL166" s="121">
        <f t="shared" si="64"/>
        <v>0</v>
      </c>
      <c r="BM166" s="92">
        <v>0.14000000000000001</v>
      </c>
      <c r="BN166" s="84">
        <v>318</v>
      </c>
      <c r="BO166" s="95" t="s">
        <v>419</v>
      </c>
      <c r="BP166" s="95">
        <f t="shared" si="65"/>
        <v>318</v>
      </c>
      <c r="BQ166" s="122">
        <v>30.869999999999997</v>
      </c>
    </row>
    <row r="167" spans="12:69" ht="14.45" customHeight="1">
      <c r="L167" s="129" t="s">
        <v>449</v>
      </c>
      <c r="M167" s="763" t="s">
        <v>410</v>
      </c>
      <c r="N167" s="15" t="s">
        <v>427</v>
      </c>
      <c r="O167" s="14" t="s">
        <v>1156</v>
      </c>
      <c r="P167" s="15" t="s">
        <v>438</v>
      </c>
      <c r="Q167" s="15" t="s">
        <v>468</v>
      </c>
      <c r="R167" s="15">
        <v>89.6</v>
      </c>
      <c r="S167" s="15" t="s">
        <v>64</v>
      </c>
      <c r="T167" s="14">
        <f t="shared" si="54"/>
        <v>1305.249</v>
      </c>
      <c r="U167" s="218" t="s">
        <v>491</v>
      </c>
      <c r="V167" s="90" t="s">
        <v>299</v>
      </c>
      <c r="W167" s="109" t="s">
        <v>64</v>
      </c>
      <c r="X167" s="104" t="s">
        <v>64</v>
      </c>
      <c r="Y167" s="104" t="s">
        <v>64</v>
      </c>
      <c r="Z167" s="104" t="s">
        <v>64</v>
      </c>
      <c r="AA167" s="57" t="s">
        <v>64</v>
      </c>
      <c r="AB167" s="47" t="s">
        <v>64</v>
      </c>
      <c r="AC167" s="57">
        <v>866</v>
      </c>
      <c r="AD167" s="218" t="s">
        <v>475</v>
      </c>
      <c r="AE167" s="28">
        <f t="shared" si="66"/>
        <v>3.5398652288863999</v>
      </c>
      <c r="AF167" s="1043" t="s">
        <v>475</v>
      </c>
      <c r="AG167" s="83">
        <v>942</v>
      </c>
      <c r="AH167" s="1047" t="s">
        <v>475</v>
      </c>
      <c r="AI167" s="8">
        <v>1.0900000000000001</v>
      </c>
      <c r="AJ167" s="9">
        <v>48.07</v>
      </c>
      <c r="AK167" s="9">
        <v>2.19</v>
      </c>
      <c r="AL167" s="9">
        <v>11.18</v>
      </c>
      <c r="AM167" s="9">
        <v>11.2</v>
      </c>
      <c r="AN167" s="9">
        <v>0.14000000000000001</v>
      </c>
      <c r="AO167" s="9">
        <v>14.49</v>
      </c>
      <c r="AP167" s="9">
        <v>10.039999999999999</v>
      </c>
      <c r="AQ167" s="9">
        <v>1.94</v>
      </c>
      <c r="AR167" s="9">
        <v>0.36</v>
      </c>
      <c r="AS167" s="9">
        <v>0.24</v>
      </c>
      <c r="AT167" s="37" t="s">
        <v>64</v>
      </c>
      <c r="AU167" s="9">
        <v>0.24</v>
      </c>
      <c r="AV167" s="6">
        <v>440</v>
      </c>
      <c r="AW167" s="27" t="s">
        <v>419</v>
      </c>
      <c r="AX167" s="6">
        <f t="shared" si="63"/>
        <v>440</v>
      </c>
      <c r="AY167" s="8">
        <f t="shared" si="56"/>
        <v>2.2406391982182625</v>
      </c>
      <c r="AZ167" s="9">
        <f t="shared" si="57"/>
        <v>9.1839999999999993</v>
      </c>
      <c r="BA167" s="123">
        <v>47.765522444732561</v>
      </c>
      <c r="BB167" s="121">
        <v>1.9828335761201867</v>
      </c>
      <c r="BC167" s="121">
        <v>10.616963917422764</v>
      </c>
      <c r="BD167" s="121">
        <v>9.0973255329516665</v>
      </c>
      <c r="BE167" s="121">
        <v>0.13432282018131986</v>
      </c>
      <c r="BF167" s="121">
        <v>18.951797179947416</v>
      </c>
      <c r="BG167" s="121">
        <v>8.9852308982798927</v>
      </c>
      <c r="BH167" s="121">
        <v>1.7728990263285496</v>
      </c>
      <c r="BI167" s="121">
        <v>0.42396033972295238</v>
      </c>
      <c r="BJ167" s="121">
        <v>0.26917232724367102</v>
      </c>
      <c r="BK167" s="92" t="s">
        <v>64</v>
      </c>
      <c r="BL167" s="121">
        <f t="shared" si="64"/>
        <v>100.00002806293098</v>
      </c>
      <c r="BM167" s="92">
        <v>0.24</v>
      </c>
      <c r="BN167" s="84">
        <v>404</v>
      </c>
      <c r="BO167" s="95" t="s">
        <v>419</v>
      </c>
      <c r="BP167" s="95">
        <f t="shared" si="65"/>
        <v>404</v>
      </c>
      <c r="BQ167" s="122">
        <v>8.8000000000000007</v>
      </c>
    </row>
    <row r="168" spans="12:69" ht="14.45" customHeight="1">
      <c r="L168" s="129" t="s">
        <v>449</v>
      </c>
      <c r="M168" s="763" t="s">
        <v>410</v>
      </c>
      <c r="N168" s="15" t="s">
        <v>427</v>
      </c>
      <c r="O168" s="14" t="s">
        <v>1157</v>
      </c>
      <c r="P168" s="15" t="s">
        <v>438</v>
      </c>
      <c r="Q168" s="15" t="s">
        <v>468</v>
      </c>
      <c r="R168" s="15">
        <v>87</v>
      </c>
      <c r="S168" s="15" t="s">
        <v>64</v>
      </c>
      <c r="T168" s="14">
        <f t="shared" si="54"/>
        <v>1245.954</v>
      </c>
      <c r="U168" s="218" t="s">
        <v>491</v>
      </c>
      <c r="V168" s="90" t="s">
        <v>299</v>
      </c>
      <c r="W168" s="109" t="s">
        <v>64</v>
      </c>
      <c r="X168" s="104" t="s">
        <v>64</v>
      </c>
      <c r="Y168" s="104" t="s">
        <v>64</v>
      </c>
      <c r="Z168" s="104" t="s">
        <v>64</v>
      </c>
      <c r="AA168" s="57" t="s">
        <v>64</v>
      </c>
      <c r="AB168" s="47" t="s">
        <v>64</v>
      </c>
      <c r="AC168" s="57">
        <v>493</v>
      </c>
      <c r="AD168" s="218" t="s">
        <v>475</v>
      </c>
      <c r="AE168" s="28">
        <f t="shared" si="66"/>
        <v>2.0901869647388001</v>
      </c>
      <c r="AF168" s="1043" t="s">
        <v>475</v>
      </c>
      <c r="AG168" s="83">
        <v>519</v>
      </c>
      <c r="AH168" s="1047" t="s">
        <v>475</v>
      </c>
      <c r="AI168" s="8">
        <v>1.21</v>
      </c>
      <c r="AJ168" s="9">
        <v>49.48</v>
      </c>
      <c r="AK168" s="9">
        <v>2.27</v>
      </c>
      <c r="AL168" s="9">
        <v>11.45</v>
      </c>
      <c r="AM168" s="9">
        <v>11.19</v>
      </c>
      <c r="AN168" s="9">
        <v>0.159</v>
      </c>
      <c r="AO168" s="9">
        <v>11.54</v>
      </c>
      <c r="AP168" s="9">
        <v>10.88</v>
      </c>
      <c r="AQ168" s="9">
        <v>2.14</v>
      </c>
      <c r="AR168" s="9">
        <v>0.44</v>
      </c>
      <c r="AS168" s="9">
        <v>0.3</v>
      </c>
      <c r="AT168" s="37" t="s">
        <v>64</v>
      </c>
      <c r="AU168" s="9">
        <v>0.19</v>
      </c>
      <c r="AV168" s="6">
        <v>238</v>
      </c>
      <c r="AW168" s="27" t="s">
        <v>419</v>
      </c>
      <c r="AX168" s="6">
        <f t="shared" si="63"/>
        <v>238</v>
      </c>
      <c r="AY168" s="8">
        <f t="shared" si="56"/>
        <v>2.2386386275055674</v>
      </c>
      <c r="AZ168" s="9">
        <f t="shared" si="57"/>
        <v>9.1758000000000006</v>
      </c>
      <c r="BA168" s="123">
        <v>48.235169645290192</v>
      </c>
      <c r="BB168" s="121">
        <v>1.883773255843294</v>
      </c>
      <c r="BC168" s="121">
        <v>9.4759099357836387</v>
      </c>
      <c r="BD168" s="121">
        <v>9.9500724998925332</v>
      </c>
      <c r="BE168" s="121">
        <v>0.13334298512984441</v>
      </c>
      <c r="BF168" s="121">
        <v>18.932111172139866</v>
      </c>
      <c r="BG168" s="121">
        <v>9.0063371047858123</v>
      </c>
      <c r="BH168" s="121">
        <v>1.7745795400354172</v>
      </c>
      <c r="BI168" s="121">
        <v>0.35739554295817538</v>
      </c>
      <c r="BJ168" s="121">
        <v>0.25136946622306994</v>
      </c>
      <c r="BK168" s="92" t="s">
        <v>64</v>
      </c>
      <c r="BL168" s="121">
        <f t="shared" si="64"/>
        <v>100.00006114808184</v>
      </c>
      <c r="BM168" s="92">
        <v>0.19</v>
      </c>
      <c r="BN168" s="84">
        <v>197</v>
      </c>
      <c r="BO168" s="95" t="s">
        <v>419</v>
      </c>
      <c r="BP168" s="95">
        <f t="shared" si="65"/>
        <v>197</v>
      </c>
      <c r="BQ168" s="122">
        <v>9.52</v>
      </c>
    </row>
    <row r="169" spans="12:69" ht="14.45" customHeight="1">
      <c r="L169" s="129" t="s">
        <v>449</v>
      </c>
      <c r="M169" s="763" t="s">
        <v>410</v>
      </c>
      <c r="N169" s="15" t="s">
        <v>427</v>
      </c>
      <c r="O169" s="14" t="s">
        <v>1158</v>
      </c>
      <c r="P169" s="15" t="s">
        <v>438</v>
      </c>
      <c r="Q169" s="15" t="s">
        <v>468</v>
      </c>
      <c r="R169" s="15">
        <v>88</v>
      </c>
      <c r="S169" s="15" t="s">
        <v>64</v>
      </c>
      <c r="T169" s="14">
        <f t="shared" si="54"/>
        <v>1269.8931</v>
      </c>
      <c r="U169" s="218" t="s">
        <v>491</v>
      </c>
      <c r="V169" s="90" t="s">
        <v>299</v>
      </c>
      <c r="W169" s="109" t="s">
        <v>64</v>
      </c>
      <c r="X169" s="104" t="s">
        <v>64</v>
      </c>
      <c r="Y169" s="104" t="s">
        <v>64</v>
      </c>
      <c r="Z169" s="104" t="s">
        <v>64</v>
      </c>
      <c r="AA169" s="57" t="s">
        <v>64</v>
      </c>
      <c r="AB169" s="47" t="s">
        <v>64</v>
      </c>
      <c r="AC169" s="57">
        <v>480</v>
      </c>
      <c r="AD169" s="218" t="s">
        <v>475</v>
      </c>
      <c r="AE169" s="28">
        <f t="shared" si="66"/>
        <v>2.0377801727999998</v>
      </c>
      <c r="AF169" s="1043" t="s">
        <v>475</v>
      </c>
      <c r="AG169" s="83">
        <v>525</v>
      </c>
      <c r="AH169" s="1047" t="s">
        <v>475</v>
      </c>
      <c r="AI169" s="8">
        <v>1.26</v>
      </c>
      <c r="AJ169" s="9">
        <v>49.634</v>
      </c>
      <c r="AK169" s="9">
        <v>2.5270000000000001</v>
      </c>
      <c r="AL169" s="9">
        <v>11.173</v>
      </c>
      <c r="AM169" s="9">
        <v>11.192</v>
      </c>
      <c r="AN169" s="9">
        <v>0.20499999999999999</v>
      </c>
      <c r="AO169" s="9">
        <v>12.731</v>
      </c>
      <c r="AP169" s="9">
        <v>9.4949999999999992</v>
      </c>
      <c r="AQ169" s="9">
        <v>2.1150000000000002</v>
      </c>
      <c r="AR169" s="9">
        <v>0.503</v>
      </c>
      <c r="AS169" s="9">
        <v>0.28899999999999998</v>
      </c>
      <c r="AT169" s="37" t="s">
        <v>64</v>
      </c>
      <c r="AU169" s="9">
        <v>0.43</v>
      </c>
      <c r="AV169" s="6">
        <v>231</v>
      </c>
      <c r="AW169" s="27" t="s">
        <v>419</v>
      </c>
      <c r="AX169" s="6">
        <f t="shared" si="63"/>
        <v>231</v>
      </c>
      <c r="AY169" s="8">
        <f t="shared" si="56"/>
        <v>2.2390387416481068</v>
      </c>
      <c r="AZ169" s="9">
        <f t="shared" si="57"/>
        <v>9.1774400000000007</v>
      </c>
      <c r="BA169" s="123">
        <v>47.288211393325945</v>
      </c>
      <c r="BB169" s="121">
        <v>1.9963953569564854</v>
      </c>
      <c r="BC169" s="121">
        <v>8.828384617463648</v>
      </c>
      <c r="BD169" s="121">
        <v>13.842193283940347</v>
      </c>
      <c r="BE169" s="121">
        <v>0.16171180448643421</v>
      </c>
      <c r="BF169" s="121">
        <v>18.083071674708865</v>
      </c>
      <c r="BG169" s="121">
        <v>7.5020786027444872</v>
      </c>
      <c r="BH169" s="121">
        <v>1.6715147000206321</v>
      </c>
      <c r="BI169" s="121">
        <v>0.39771503519937562</v>
      </c>
      <c r="BJ169" s="121">
        <v>0.22873416842760061</v>
      </c>
      <c r="BK169" s="92" t="s">
        <v>64</v>
      </c>
      <c r="BL169" s="121">
        <f t="shared" si="64"/>
        <v>100.00001063727382</v>
      </c>
      <c r="BM169" s="92">
        <v>0.43</v>
      </c>
      <c r="BN169" s="84">
        <v>183</v>
      </c>
      <c r="BO169" s="95" t="s">
        <v>419</v>
      </c>
      <c r="BP169" s="95">
        <f t="shared" si="65"/>
        <v>183</v>
      </c>
      <c r="BQ169" s="122">
        <v>18.48</v>
      </c>
    </row>
    <row r="170" spans="12:69" ht="14.45" customHeight="1">
      <c r="L170" s="129" t="s">
        <v>449</v>
      </c>
      <c r="M170" s="763" t="s">
        <v>410</v>
      </c>
      <c r="N170" s="15" t="s">
        <v>427</v>
      </c>
      <c r="O170" s="14" t="s">
        <v>1159</v>
      </c>
      <c r="P170" s="15" t="s">
        <v>438</v>
      </c>
      <c r="Q170" s="15" t="s">
        <v>468</v>
      </c>
      <c r="R170" s="15">
        <v>87.8</v>
      </c>
      <c r="S170" s="15" t="s">
        <v>64</v>
      </c>
      <c r="T170" s="14">
        <f t="shared" si="54"/>
        <v>1261.6722</v>
      </c>
      <c r="U170" s="218" t="s">
        <v>491</v>
      </c>
      <c r="V170" s="90" t="s">
        <v>299</v>
      </c>
      <c r="W170" s="109" t="s">
        <v>64</v>
      </c>
      <c r="X170" s="104" t="s">
        <v>64</v>
      </c>
      <c r="Y170" s="104" t="s">
        <v>64</v>
      </c>
      <c r="Z170" s="104" t="s">
        <v>64</v>
      </c>
      <c r="AA170" s="57" t="s">
        <v>64</v>
      </c>
      <c r="AB170" s="47" t="s">
        <v>64</v>
      </c>
      <c r="AC170" s="57">
        <v>249</v>
      </c>
      <c r="AD170" s="218" t="s">
        <v>475</v>
      </c>
      <c r="AE170" s="28">
        <f t="shared" si="66"/>
        <v>1.0830358754316001</v>
      </c>
      <c r="AF170" s="1043" t="s">
        <v>475</v>
      </c>
      <c r="AG170" s="83">
        <v>253</v>
      </c>
      <c r="AH170" s="1047" t="s">
        <v>475</v>
      </c>
      <c r="AI170" s="8">
        <v>1.2</v>
      </c>
      <c r="AJ170" s="9">
        <v>49.847999999999999</v>
      </c>
      <c r="AK170" s="9">
        <v>2.3159999999999998</v>
      </c>
      <c r="AL170" s="9">
        <v>10.201000000000001</v>
      </c>
      <c r="AM170" s="9">
        <v>11.198</v>
      </c>
      <c r="AN170" s="9">
        <v>0.14899999999999999</v>
      </c>
      <c r="AO170" s="9">
        <v>12.321999999999999</v>
      </c>
      <c r="AP170" s="9">
        <v>11.055999999999999</v>
      </c>
      <c r="AQ170" s="9">
        <v>2.089</v>
      </c>
      <c r="AR170" s="9">
        <v>0.42399999999999999</v>
      </c>
      <c r="AS170" s="9">
        <v>0.254</v>
      </c>
      <c r="AT170" s="37" t="s">
        <v>64</v>
      </c>
      <c r="AU170" s="9">
        <v>0.22</v>
      </c>
      <c r="AV170" s="6">
        <v>112</v>
      </c>
      <c r="AW170" s="27" t="s">
        <v>419</v>
      </c>
      <c r="AX170" s="6">
        <f t="shared" si="63"/>
        <v>112</v>
      </c>
      <c r="AY170" s="8">
        <f t="shared" si="56"/>
        <v>2.2402390840757236</v>
      </c>
      <c r="AZ170" s="9">
        <f t="shared" si="57"/>
        <v>9.182360000000001</v>
      </c>
      <c r="BA170" s="123">
        <v>48.464992248439977</v>
      </c>
      <c r="BB170" s="121">
        <v>1.9272311429143165</v>
      </c>
      <c r="BC170" s="121">
        <v>8.4899892419271534</v>
      </c>
      <c r="BD170" s="121">
        <v>10.580513828852977</v>
      </c>
      <c r="BE170" s="121">
        <v>0.12412290020453449</v>
      </c>
      <c r="BF170" s="121">
        <v>18.90795526480332</v>
      </c>
      <c r="BG170" s="121">
        <v>9.2018909070741177</v>
      </c>
      <c r="BH170" s="121">
        <v>1.7390276273162335</v>
      </c>
      <c r="BI170" s="121">
        <v>0.35322865899450617</v>
      </c>
      <c r="BJ170" s="121">
        <v>0.21099840045864063</v>
      </c>
      <c r="BK170" s="92" t="s">
        <v>64</v>
      </c>
      <c r="BL170" s="121">
        <f t="shared" si="64"/>
        <v>99.999950220985781</v>
      </c>
      <c r="BM170" s="92">
        <v>0.22</v>
      </c>
      <c r="BN170" s="84">
        <v>93</v>
      </c>
      <c r="BO170" s="95" t="s">
        <v>419</v>
      </c>
      <c r="BP170" s="95">
        <f t="shared" si="65"/>
        <v>93</v>
      </c>
      <c r="BQ170" s="122">
        <v>0</v>
      </c>
    </row>
    <row r="171" spans="12:69" ht="14.45" customHeight="1">
      <c r="L171" s="129" t="s">
        <v>449</v>
      </c>
      <c r="M171" s="763" t="s">
        <v>410</v>
      </c>
      <c r="N171" s="15" t="s">
        <v>427</v>
      </c>
      <c r="O171" s="14" t="s">
        <v>1160</v>
      </c>
      <c r="P171" s="15" t="s">
        <v>438</v>
      </c>
      <c r="Q171" s="15" t="s">
        <v>468</v>
      </c>
      <c r="R171" s="15" t="s">
        <v>64</v>
      </c>
      <c r="S171" s="15" t="s">
        <v>64</v>
      </c>
      <c r="T171" s="14" t="str">
        <f t="shared" si="54"/>
        <v>-</v>
      </c>
      <c r="U171" s="218" t="s">
        <v>491</v>
      </c>
      <c r="V171" s="90" t="s">
        <v>299</v>
      </c>
      <c r="W171" s="109" t="s">
        <v>64</v>
      </c>
      <c r="X171" s="104" t="s">
        <v>64</v>
      </c>
      <c r="Y171" s="104" t="s">
        <v>64</v>
      </c>
      <c r="Z171" s="104" t="s">
        <v>64</v>
      </c>
      <c r="AA171" s="57" t="s">
        <v>64</v>
      </c>
      <c r="AB171" s="47" t="s">
        <v>64</v>
      </c>
      <c r="AC171" s="57">
        <v>319</v>
      </c>
      <c r="AD171" s="218" t="s">
        <v>475</v>
      </c>
      <c r="AE171" s="28">
        <f t="shared" si="66"/>
        <v>1.3771884755155999</v>
      </c>
      <c r="AF171" s="1043" t="s">
        <v>475</v>
      </c>
      <c r="AG171" s="83">
        <v>331</v>
      </c>
      <c r="AH171" s="1047" t="s">
        <v>475</v>
      </c>
      <c r="AI171" s="8">
        <v>1.2</v>
      </c>
      <c r="AJ171" s="9" t="s">
        <v>64</v>
      </c>
      <c r="AK171" s="9" t="s">
        <v>64</v>
      </c>
      <c r="AL171" s="9" t="s">
        <v>64</v>
      </c>
      <c r="AM171" s="9" t="s">
        <v>64</v>
      </c>
      <c r="AN171" s="9" t="s">
        <v>64</v>
      </c>
      <c r="AO171" s="9" t="s">
        <v>64</v>
      </c>
      <c r="AP171" s="9" t="s">
        <v>64</v>
      </c>
      <c r="AQ171" s="9" t="s">
        <v>64</v>
      </c>
      <c r="AR171" s="9" t="s">
        <v>64</v>
      </c>
      <c r="AS171" s="9" t="s">
        <v>64</v>
      </c>
      <c r="AT171" s="37" t="s">
        <v>64</v>
      </c>
      <c r="AU171" s="9">
        <v>0.26</v>
      </c>
      <c r="AV171" s="6">
        <v>148</v>
      </c>
      <c r="AW171" s="27" t="s">
        <v>419</v>
      </c>
      <c r="AX171" s="6">
        <f t="shared" si="63"/>
        <v>148</v>
      </c>
      <c r="AY171" s="8" t="str">
        <f t="shared" si="56"/>
        <v>-</v>
      </c>
      <c r="AZ171" s="9" t="str">
        <f t="shared" si="57"/>
        <v>-</v>
      </c>
      <c r="BA171" s="123" t="s">
        <v>64</v>
      </c>
      <c r="BB171" s="121" t="s">
        <v>64</v>
      </c>
      <c r="BC171" s="121" t="s">
        <v>64</v>
      </c>
      <c r="BD171" s="121" t="s">
        <v>64</v>
      </c>
      <c r="BE171" s="121" t="s">
        <v>64</v>
      </c>
      <c r="BF171" s="121" t="s">
        <v>64</v>
      </c>
      <c r="BG171" s="121" t="s">
        <v>64</v>
      </c>
      <c r="BH171" s="121" t="s">
        <v>64</v>
      </c>
      <c r="BI171" s="121" t="s">
        <v>64</v>
      </c>
      <c r="BJ171" s="121" t="s">
        <v>64</v>
      </c>
      <c r="BK171" s="92" t="s">
        <v>64</v>
      </c>
      <c r="BL171" s="121">
        <f t="shared" si="64"/>
        <v>0</v>
      </c>
      <c r="BM171" s="92">
        <v>0.26</v>
      </c>
      <c r="BN171" s="84">
        <v>124</v>
      </c>
      <c r="BO171" s="95" t="s">
        <v>419</v>
      </c>
      <c r="BP171" s="95">
        <f t="shared" si="65"/>
        <v>124</v>
      </c>
      <c r="BQ171" s="122">
        <v>4.4399999999999995</v>
      </c>
    </row>
    <row r="172" spans="12:69" ht="14.45" customHeight="1">
      <c r="L172" s="129" t="s">
        <v>449</v>
      </c>
      <c r="M172" s="763" t="s">
        <v>410</v>
      </c>
      <c r="N172" s="15" t="s">
        <v>427</v>
      </c>
      <c r="O172" s="14" t="s">
        <v>1161</v>
      </c>
      <c r="P172" s="15" t="s">
        <v>438</v>
      </c>
      <c r="Q172" s="15" t="s">
        <v>468</v>
      </c>
      <c r="R172" s="15" t="s">
        <v>64</v>
      </c>
      <c r="S172" s="15" t="s">
        <v>64</v>
      </c>
      <c r="T172" s="14" t="str">
        <f t="shared" si="54"/>
        <v>-</v>
      </c>
      <c r="U172" s="218" t="s">
        <v>491</v>
      </c>
      <c r="V172" s="90" t="s">
        <v>299</v>
      </c>
      <c r="W172" s="109" t="s">
        <v>64</v>
      </c>
      <c r="X172" s="104" t="s">
        <v>64</v>
      </c>
      <c r="Y172" s="104" t="s">
        <v>64</v>
      </c>
      <c r="Z172" s="104" t="s">
        <v>64</v>
      </c>
      <c r="AA172" s="57" t="s">
        <v>64</v>
      </c>
      <c r="AB172" s="47" t="s">
        <v>64</v>
      </c>
      <c r="AC172" s="57">
        <v>243</v>
      </c>
      <c r="AD172" s="218" t="s">
        <v>475</v>
      </c>
      <c r="AE172" s="28">
        <f t="shared" si="66"/>
        <v>1.0576197260387998</v>
      </c>
      <c r="AF172" s="1043" t="s">
        <v>475</v>
      </c>
      <c r="AG172" s="83">
        <v>247</v>
      </c>
      <c r="AH172" s="1047" t="s">
        <v>475</v>
      </c>
      <c r="AI172" s="8">
        <v>1.17</v>
      </c>
      <c r="AJ172" s="9" t="s">
        <v>64</v>
      </c>
      <c r="AK172" s="9" t="s">
        <v>64</v>
      </c>
      <c r="AL172" s="9" t="s">
        <v>64</v>
      </c>
      <c r="AM172" s="9" t="s">
        <v>64</v>
      </c>
      <c r="AN172" s="9" t="s">
        <v>64</v>
      </c>
      <c r="AO172" s="9" t="s">
        <v>64</v>
      </c>
      <c r="AP172" s="9" t="s">
        <v>64</v>
      </c>
      <c r="AQ172" s="9" t="s">
        <v>64</v>
      </c>
      <c r="AR172" s="9" t="s">
        <v>64</v>
      </c>
      <c r="AS172" s="9" t="s">
        <v>64</v>
      </c>
      <c r="AT172" s="37" t="s">
        <v>64</v>
      </c>
      <c r="AU172" s="9">
        <v>0.11</v>
      </c>
      <c r="AV172" s="6">
        <v>109</v>
      </c>
      <c r="AW172" s="27" t="s">
        <v>419</v>
      </c>
      <c r="AX172" s="6">
        <f t="shared" si="63"/>
        <v>109</v>
      </c>
      <c r="AY172" s="8" t="str">
        <f t="shared" si="56"/>
        <v>-</v>
      </c>
      <c r="AZ172" s="9" t="str">
        <f t="shared" si="57"/>
        <v>-</v>
      </c>
      <c r="BA172" s="123" t="s">
        <v>64</v>
      </c>
      <c r="BB172" s="121" t="s">
        <v>64</v>
      </c>
      <c r="BC172" s="121" t="s">
        <v>64</v>
      </c>
      <c r="BD172" s="121" t="s">
        <v>64</v>
      </c>
      <c r="BE172" s="121" t="s">
        <v>64</v>
      </c>
      <c r="BF172" s="121" t="s">
        <v>64</v>
      </c>
      <c r="BG172" s="121" t="s">
        <v>64</v>
      </c>
      <c r="BH172" s="121" t="s">
        <v>64</v>
      </c>
      <c r="BI172" s="121" t="s">
        <v>64</v>
      </c>
      <c r="BJ172" s="121" t="s">
        <v>64</v>
      </c>
      <c r="BK172" s="92" t="s">
        <v>64</v>
      </c>
      <c r="BL172" s="121">
        <f t="shared" si="64"/>
        <v>0</v>
      </c>
      <c r="BM172" s="92">
        <v>0.11</v>
      </c>
      <c r="BN172" s="84">
        <v>93</v>
      </c>
      <c r="BO172" s="95" t="s">
        <v>419</v>
      </c>
      <c r="BP172" s="95">
        <f t="shared" si="65"/>
        <v>93</v>
      </c>
      <c r="BQ172" s="122">
        <v>9.81</v>
      </c>
    </row>
    <row r="173" spans="12:69" ht="14.45" customHeight="1">
      <c r="L173" s="129" t="s">
        <v>449</v>
      </c>
      <c r="M173" s="763" t="s">
        <v>410</v>
      </c>
      <c r="N173" s="15" t="s">
        <v>427</v>
      </c>
      <c r="O173" s="14" t="s">
        <v>1162</v>
      </c>
      <c r="P173" s="15" t="s">
        <v>438</v>
      </c>
      <c r="Q173" s="15" t="s">
        <v>468</v>
      </c>
      <c r="R173" s="15" t="s">
        <v>64</v>
      </c>
      <c r="S173" s="15" t="s">
        <v>64</v>
      </c>
      <c r="T173" s="14" t="str">
        <f t="shared" si="54"/>
        <v>-</v>
      </c>
      <c r="U173" s="218" t="s">
        <v>491</v>
      </c>
      <c r="V173" s="90" t="s">
        <v>299</v>
      </c>
      <c r="W173" s="109" t="s">
        <v>64</v>
      </c>
      <c r="X173" s="104" t="s">
        <v>64</v>
      </c>
      <c r="Y173" s="104" t="s">
        <v>64</v>
      </c>
      <c r="Z173" s="104" t="s">
        <v>64</v>
      </c>
      <c r="AA173" s="57" t="s">
        <v>64</v>
      </c>
      <c r="AB173" s="47" t="s">
        <v>64</v>
      </c>
      <c r="AC173" s="57">
        <v>847</v>
      </c>
      <c r="AD173" s="218" t="s">
        <v>475</v>
      </c>
      <c r="AE173" s="28">
        <f t="shared" si="66"/>
        <v>3.4683745197331999</v>
      </c>
      <c r="AF173" s="1043" t="s">
        <v>475</v>
      </c>
      <c r="AG173" s="83">
        <v>916</v>
      </c>
      <c r="AH173" s="1047" t="s">
        <v>475</v>
      </c>
      <c r="AI173" s="8">
        <v>1.25</v>
      </c>
      <c r="AJ173" s="9" t="s">
        <v>64</v>
      </c>
      <c r="AK173" s="9" t="s">
        <v>64</v>
      </c>
      <c r="AL173" s="9" t="s">
        <v>64</v>
      </c>
      <c r="AM173" s="9" t="s">
        <v>64</v>
      </c>
      <c r="AN173" s="9" t="s">
        <v>64</v>
      </c>
      <c r="AO173" s="9" t="s">
        <v>64</v>
      </c>
      <c r="AP173" s="9" t="s">
        <v>64</v>
      </c>
      <c r="AQ173" s="9" t="s">
        <v>64</v>
      </c>
      <c r="AR173" s="9" t="s">
        <v>64</v>
      </c>
      <c r="AS173" s="9" t="s">
        <v>64</v>
      </c>
      <c r="AT173" s="37" t="s">
        <v>64</v>
      </c>
      <c r="AU173" s="9">
        <v>0.12</v>
      </c>
      <c r="AV173" s="6">
        <v>429</v>
      </c>
      <c r="AW173" s="27" t="s">
        <v>419</v>
      </c>
      <c r="AX173" s="6">
        <f t="shared" si="63"/>
        <v>429</v>
      </c>
      <c r="AY173" s="8" t="str">
        <f t="shared" si="56"/>
        <v>-</v>
      </c>
      <c r="AZ173" s="9" t="str">
        <f t="shared" si="57"/>
        <v>-</v>
      </c>
      <c r="BA173" s="123" t="s">
        <v>64</v>
      </c>
      <c r="BB173" s="121" t="s">
        <v>64</v>
      </c>
      <c r="BC173" s="121" t="s">
        <v>64</v>
      </c>
      <c r="BD173" s="121" t="s">
        <v>64</v>
      </c>
      <c r="BE173" s="121" t="s">
        <v>64</v>
      </c>
      <c r="BF173" s="121" t="s">
        <v>64</v>
      </c>
      <c r="BG173" s="121" t="s">
        <v>64</v>
      </c>
      <c r="BH173" s="121" t="s">
        <v>64</v>
      </c>
      <c r="BI173" s="121" t="s">
        <v>64</v>
      </c>
      <c r="BJ173" s="121" t="s">
        <v>64</v>
      </c>
      <c r="BK173" s="92" t="s">
        <v>64</v>
      </c>
      <c r="BL173" s="121">
        <f t="shared" si="64"/>
        <v>0</v>
      </c>
      <c r="BM173" s="92">
        <v>0.12</v>
      </c>
      <c r="BN173" s="84">
        <v>344</v>
      </c>
      <c r="BO173" s="95" t="s">
        <v>419</v>
      </c>
      <c r="BP173" s="95">
        <f t="shared" si="65"/>
        <v>344</v>
      </c>
      <c r="BQ173" s="122">
        <v>17.16</v>
      </c>
    </row>
    <row r="174" spans="12:69" ht="14.45" customHeight="1">
      <c r="L174" s="129" t="s">
        <v>449</v>
      </c>
      <c r="M174" s="763" t="s">
        <v>410</v>
      </c>
      <c r="N174" s="15" t="s">
        <v>427</v>
      </c>
      <c r="O174" s="14" t="s">
        <v>1163</v>
      </c>
      <c r="P174" s="15" t="s">
        <v>438</v>
      </c>
      <c r="Q174" s="15" t="s">
        <v>468</v>
      </c>
      <c r="R174" s="15" t="s">
        <v>64</v>
      </c>
      <c r="S174" s="15" t="s">
        <v>64</v>
      </c>
      <c r="T174" s="14" t="str">
        <f t="shared" si="54"/>
        <v>-</v>
      </c>
      <c r="U174" s="218" t="s">
        <v>491</v>
      </c>
      <c r="V174" s="90" t="s">
        <v>299</v>
      </c>
      <c r="W174" s="109" t="s">
        <v>64</v>
      </c>
      <c r="X174" s="104" t="s">
        <v>64</v>
      </c>
      <c r="Y174" s="104" t="s">
        <v>64</v>
      </c>
      <c r="Z174" s="104" t="s">
        <v>64</v>
      </c>
      <c r="AA174" s="57" t="s">
        <v>64</v>
      </c>
      <c r="AB174" s="47" t="s">
        <v>64</v>
      </c>
      <c r="AC174" s="57">
        <v>917</v>
      </c>
      <c r="AD174" s="218" t="s">
        <v>475</v>
      </c>
      <c r="AE174" s="28">
        <f t="shared" si="66"/>
        <v>3.7306157013691994</v>
      </c>
      <c r="AF174" s="1043" t="s">
        <v>475</v>
      </c>
      <c r="AG174" s="83">
        <v>997</v>
      </c>
      <c r="AH174" s="1047" t="s">
        <v>475</v>
      </c>
      <c r="AI174" s="8">
        <v>1.1399999999999999</v>
      </c>
      <c r="AJ174" s="9" t="s">
        <v>64</v>
      </c>
      <c r="AK174" s="9" t="s">
        <v>64</v>
      </c>
      <c r="AL174" s="9" t="s">
        <v>64</v>
      </c>
      <c r="AM174" s="9" t="s">
        <v>64</v>
      </c>
      <c r="AN174" s="9" t="s">
        <v>64</v>
      </c>
      <c r="AO174" s="9" t="s">
        <v>64</v>
      </c>
      <c r="AP174" s="9" t="s">
        <v>64</v>
      </c>
      <c r="AQ174" s="9" t="s">
        <v>64</v>
      </c>
      <c r="AR174" s="9" t="s">
        <v>64</v>
      </c>
      <c r="AS174" s="9" t="s">
        <v>64</v>
      </c>
      <c r="AT174" s="37" t="s">
        <v>64</v>
      </c>
      <c r="AU174" s="9">
        <v>0.19</v>
      </c>
      <c r="AV174" s="6">
        <v>468</v>
      </c>
      <c r="AW174" s="27" t="s">
        <v>419</v>
      </c>
      <c r="AX174" s="6">
        <f t="shared" si="63"/>
        <v>468</v>
      </c>
      <c r="AY174" s="8" t="str">
        <f t="shared" si="56"/>
        <v>-</v>
      </c>
      <c r="AZ174" s="9" t="str">
        <f t="shared" si="57"/>
        <v>-</v>
      </c>
      <c r="BA174" s="123" t="s">
        <v>64</v>
      </c>
      <c r="BB174" s="121" t="s">
        <v>64</v>
      </c>
      <c r="BC174" s="121" t="s">
        <v>64</v>
      </c>
      <c r="BD174" s="121" t="s">
        <v>64</v>
      </c>
      <c r="BE174" s="121" t="s">
        <v>64</v>
      </c>
      <c r="BF174" s="121" t="s">
        <v>64</v>
      </c>
      <c r="BG174" s="121" t="s">
        <v>64</v>
      </c>
      <c r="BH174" s="121" t="s">
        <v>64</v>
      </c>
      <c r="BI174" s="121" t="s">
        <v>64</v>
      </c>
      <c r="BJ174" s="121" t="s">
        <v>64</v>
      </c>
      <c r="BK174" s="92" t="s">
        <v>64</v>
      </c>
      <c r="BL174" s="121">
        <f t="shared" si="64"/>
        <v>0</v>
      </c>
      <c r="BM174" s="92">
        <v>0.19</v>
      </c>
      <c r="BN174" s="84">
        <v>410</v>
      </c>
      <c r="BO174" s="95" t="s">
        <v>419</v>
      </c>
      <c r="BP174" s="95">
        <f t="shared" si="65"/>
        <v>410</v>
      </c>
      <c r="BQ174" s="122">
        <v>51.48</v>
      </c>
    </row>
    <row r="175" spans="12:69" ht="14.45" customHeight="1">
      <c r="L175" s="129" t="s">
        <v>449</v>
      </c>
      <c r="M175" s="763" t="s">
        <v>410</v>
      </c>
      <c r="N175" s="15" t="s">
        <v>427</v>
      </c>
      <c r="O175" s="14" t="s">
        <v>1164</v>
      </c>
      <c r="P175" s="15" t="s">
        <v>438</v>
      </c>
      <c r="Q175" s="15" t="s">
        <v>468</v>
      </c>
      <c r="R175" s="15" t="s">
        <v>64</v>
      </c>
      <c r="S175" s="15" t="s">
        <v>64</v>
      </c>
      <c r="T175" s="14" t="str">
        <f t="shared" si="54"/>
        <v>-</v>
      </c>
      <c r="U175" s="218" t="s">
        <v>491</v>
      </c>
      <c r="V175" s="90" t="s">
        <v>299</v>
      </c>
      <c r="W175" s="109" t="s">
        <v>64</v>
      </c>
      <c r="X175" s="104" t="s">
        <v>64</v>
      </c>
      <c r="Y175" s="104" t="s">
        <v>64</v>
      </c>
      <c r="Z175" s="104" t="s">
        <v>64</v>
      </c>
      <c r="AA175" s="57" t="s">
        <v>64</v>
      </c>
      <c r="AB175" s="47" t="s">
        <v>64</v>
      </c>
      <c r="AC175" s="57">
        <v>747</v>
      </c>
      <c r="AD175" s="218" t="s">
        <v>475</v>
      </c>
      <c r="AE175" s="28">
        <f t="shared" si="66"/>
        <v>3.0881504510531999</v>
      </c>
      <c r="AF175" s="1043" t="s">
        <v>475</v>
      </c>
      <c r="AG175" s="83">
        <v>801</v>
      </c>
      <c r="AH175" s="1047" t="s">
        <v>475</v>
      </c>
      <c r="AI175" s="8">
        <v>1.26</v>
      </c>
      <c r="AJ175" s="9" t="s">
        <v>64</v>
      </c>
      <c r="AK175" s="9" t="s">
        <v>64</v>
      </c>
      <c r="AL175" s="9" t="s">
        <v>64</v>
      </c>
      <c r="AM175" s="9" t="s">
        <v>64</v>
      </c>
      <c r="AN175" s="9" t="s">
        <v>64</v>
      </c>
      <c r="AO175" s="9" t="s">
        <v>64</v>
      </c>
      <c r="AP175" s="9" t="s">
        <v>64</v>
      </c>
      <c r="AQ175" s="9" t="s">
        <v>64</v>
      </c>
      <c r="AR175" s="9" t="s">
        <v>64</v>
      </c>
      <c r="AS175" s="9" t="s">
        <v>64</v>
      </c>
      <c r="AT175" s="37" t="s">
        <v>64</v>
      </c>
      <c r="AU175" s="9">
        <v>0.09</v>
      </c>
      <c r="AV175" s="6">
        <v>374</v>
      </c>
      <c r="AW175" s="27" t="s">
        <v>419</v>
      </c>
      <c r="AX175" s="6">
        <f t="shared" si="63"/>
        <v>374</v>
      </c>
      <c r="AY175" s="8" t="str">
        <f t="shared" si="56"/>
        <v>-</v>
      </c>
      <c r="AZ175" s="9" t="str">
        <f t="shared" si="57"/>
        <v>-</v>
      </c>
      <c r="BA175" s="123" t="s">
        <v>64</v>
      </c>
      <c r="BB175" s="121" t="s">
        <v>64</v>
      </c>
      <c r="BC175" s="121" t="s">
        <v>64</v>
      </c>
      <c r="BD175" s="121" t="s">
        <v>64</v>
      </c>
      <c r="BE175" s="121" t="s">
        <v>64</v>
      </c>
      <c r="BF175" s="121" t="s">
        <v>64</v>
      </c>
      <c r="BG175" s="121" t="s">
        <v>64</v>
      </c>
      <c r="BH175" s="121" t="s">
        <v>64</v>
      </c>
      <c r="BI175" s="121" t="s">
        <v>64</v>
      </c>
      <c r="BJ175" s="121" t="s">
        <v>64</v>
      </c>
      <c r="BK175" s="92" t="s">
        <v>64</v>
      </c>
      <c r="BL175" s="121">
        <f t="shared" si="64"/>
        <v>0</v>
      </c>
      <c r="BM175" s="92">
        <v>0.09</v>
      </c>
      <c r="BN175" s="84">
        <v>297</v>
      </c>
      <c r="BO175" s="95" t="s">
        <v>419</v>
      </c>
      <c r="BP175" s="95">
        <f t="shared" si="65"/>
        <v>297</v>
      </c>
      <c r="BQ175" s="122">
        <v>18.7</v>
      </c>
    </row>
    <row r="176" spans="12:69" ht="14.45" customHeight="1">
      <c r="L176" s="129" t="s">
        <v>449</v>
      </c>
      <c r="M176" s="763" t="s">
        <v>410</v>
      </c>
      <c r="N176" s="15" t="s">
        <v>427</v>
      </c>
      <c r="O176" s="14" t="s">
        <v>1165</v>
      </c>
      <c r="P176" s="15" t="s">
        <v>438</v>
      </c>
      <c r="Q176" s="15" t="s">
        <v>468</v>
      </c>
      <c r="R176" s="15" t="s">
        <v>64</v>
      </c>
      <c r="S176" s="15" t="s">
        <v>64</v>
      </c>
      <c r="T176" s="14" t="str">
        <f t="shared" si="54"/>
        <v>-</v>
      </c>
      <c r="U176" s="218" t="s">
        <v>491</v>
      </c>
      <c r="V176" s="90" t="s">
        <v>299</v>
      </c>
      <c r="W176" s="109" t="s">
        <v>64</v>
      </c>
      <c r="X176" s="104" t="s">
        <v>64</v>
      </c>
      <c r="Y176" s="104" t="s">
        <v>64</v>
      </c>
      <c r="Z176" s="104" t="s">
        <v>64</v>
      </c>
      <c r="AA176" s="57" t="s">
        <v>64</v>
      </c>
      <c r="AB176" s="47" t="s">
        <v>64</v>
      </c>
      <c r="AC176" s="57">
        <v>1338</v>
      </c>
      <c r="AD176" s="218" t="s">
        <v>475</v>
      </c>
      <c r="AE176" s="28">
        <f t="shared" si="66"/>
        <v>5.2481475034848</v>
      </c>
      <c r="AF176" s="1043" t="s">
        <v>475</v>
      </c>
      <c r="AG176" s="83">
        <v>1486</v>
      </c>
      <c r="AH176" s="1047" t="s">
        <v>475</v>
      </c>
      <c r="AI176" s="8">
        <v>1.25</v>
      </c>
      <c r="AJ176" s="9" t="s">
        <v>64</v>
      </c>
      <c r="AK176" s="9" t="s">
        <v>64</v>
      </c>
      <c r="AL176" s="9" t="s">
        <v>64</v>
      </c>
      <c r="AM176" s="9" t="s">
        <v>64</v>
      </c>
      <c r="AN176" s="9" t="s">
        <v>64</v>
      </c>
      <c r="AO176" s="9" t="s">
        <v>64</v>
      </c>
      <c r="AP176" s="9" t="s">
        <v>64</v>
      </c>
      <c r="AQ176" s="9" t="s">
        <v>64</v>
      </c>
      <c r="AR176" s="9" t="s">
        <v>64</v>
      </c>
      <c r="AS176" s="9" t="s">
        <v>64</v>
      </c>
      <c r="AT176" s="37" t="s">
        <v>64</v>
      </c>
      <c r="AU176" s="9">
        <v>0.17</v>
      </c>
      <c r="AV176" s="6">
        <v>712</v>
      </c>
      <c r="AW176" s="27" t="s">
        <v>419</v>
      </c>
      <c r="AX176" s="6">
        <f t="shared" si="63"/>
        <v>712</v>
      </c>
      <c r="AY176" s="8" t="str">
        <f t="shared" si="56"/>
        <v>-</v>
      </c>
      <c r="AZ176" s="9" t="str">
        <f t="shared" si="57"/>
        <v>-</v>
      </c>
      <c r="BA176" s="123" t="s">
        <v>64</v>
      </c>
      <c r="BB176" s="121" t="s">
        <v>64</v>
      </c>
      <c r="BC176" s="121" t="s">
        <v>64</v>
      </c>
      <c r="BD176" s="121" t="s">
        <v>64</v>
      </c>
      <c r="BE176" s="121" t="s">
        <v>64</v>
      </c>
      <c r="BF176" s="121" t="s">
        <v>64</v>
      </c>
      <c r="BG176" s="121" t="s">
        <v>64</v>
      </c>
      <c r="BH176" s="121" t="s">
        <v>64</v>
      </c>
      <c r="BI176" s="121" t="s">
        <v>64</v>
      </c>
      <c r="BJ176" s="121" t="s">
        <v>64</v>
      </c>
      <c r="BK176" s="92" t="s">
        <v>64</v>
      </c>
      <c r="BL176" s="121">
        <f t="shared" si="64"/>
        <v>0</v>
      </c>
      <c r="BM176" s="92">
        <v>0.17</v>
      </c>
      <c r="BN176" s="84">
        <v>569</v>
      </c>
      <c r="BO176" s="95" t="s">
        <v>419</v>
      </c>
      <c r="BP176" s="95">
        <f t="shared" si="65"/>
        <v>569</v>
      </c>
      <c r="BQ176" s="122">
        <v>71.2</v>
      </c>
    </row>
    <row r="177" spans="11:69" ht="14.45" customHeight="1">
      <c r="L177" s="129" t="s">
        <v>449</v>
      </c>
      <c r="M177" s="763" t="s">
        <v>410</v>
      </c>
      <c r="N177" s="15" t="s">
        <v>427</v>
      </c>
      <c r="O177" s="14" t="s">
        <v>1166</v>
      </c>
      <c r="P177" s="15" t="s">
        <v>438</v>
      </c>
      <c r="Q177" s="15" t="s">
        <v>468</v>
      </c>
      <c r="R177" s="15" t="s">
        <v>64</v>
      </c>
      <c r="S177" s="15" t="s">
        <v>64</v>
      </c>
      <c r="T177" s="14" t="str">
        <f t="shared" si="54"/>
        <v>-</v>
      </c>
      <c r="U177" s="218" t="s">
        <v>491</v>
      </c>
      <c r="V177" s="90" t="s">
        <v>299</v>
      </c>
      <c r="W177" s="109" t="s">
        <v>64</v>
      </c>
      <c r="X177" s="104" t="s">
        <v>64</v>
      </c>
      <c r="Y177" s="104" t="s">
        <v>64</v>
      </c>
      <c r="Z177" s="104" t="s">
        <v>64</v>
      </c>
      <c r="AA177" s="57" t="s">
        <v>64</v>
      </c>
      <c r="AB177" s="47" t="s">
        <v>64</v>
      </c>
      <c r="AC177" s="57">
        <v>257</v>
      </c>
      <c r="AD177" s="218" t="s">
        <v>475</v>
      </c>
      <c r="AE177" s="28">
        <f t="shared" si="66"/>
        <v>1.1168737229612</v>
      </c>
      <c r="AF177" s="1043" t="s">
        <v>475</v>
      </c>
      <c r="AG177" s="83">
        <v>253</v>
      </c>
      <c r="AH177" s="1047" t="s">
        <v>475</v>
      </c>
      <c r="AI177" s="8">
        <v>1.1399999999999999</v>
      </c>
      <c r="AJ177" s="9" t="s">
        <v>64</v>
      </c>
      <c r="AK177" s="9" t="s">
        <v>64</v>
      </c>
      <c r="AL177" s="9" t="s">
        <v>64</v>
      </c>
      <c r="AM177" s="9" t="s">
        <v>64</v>
      </c>
      <c r="AN177" s="9" t="s">
        <v>64</v>
      </c>
      <c r="AO177" s="9" t="s">
        <v>64</v>
      </c>
      <c r="AP177" s="9" t="s">
        <v>64</v>
      </c>
      <c r="AQ177" s="9" t="s">
        <v>64</v>
      </c>
      <c r="AR177" s="9" t="s">
        <v>64</v>
      </c>
      <c r="AS177" s="9" t="s">
        <v>64</v>
      </c>
      <c r="AT177" s="37" t="s">
        <v>64</v>
      </c>
      <c r="AU177" s="9">
        <v>0.08</v>
      </c>
      <c r="AV177" s="6">
        <v>116</v>
      </c>
      <c r="AW177" s="27" t="s">
        <v>419</v>
      </c>
      <c r="AX177" s="6">
        <f t="shared" si="63"/>
        <v>116</v>
      </c>
      <c r="AY177" s="8" t="str">
        <f t="shared" si="56"/>
        <v>-</v>
      </c>
      <c r="AZ177" s="9" t="str">
        <f t="shared" si="57"/>
        <v>-</v>
      </c>
      <c r="BA177" s="123" t="s">
        <v>64</v>
      </c>
      <c r="BB177" s="121" t="s">
        <v>64</v>
      </c>
      <c r="BC177" s="121" t="s">
        <v>64</v>
      </c>
      <c r="BD177" s="121" t="s">
        <v>64</v>
      </c>
      <c r="BE177" s="121" t="s">
        <v>64</v>
      </c>
      <c r="BF177" s="121" t="s">
        <v>64</v>
      </c>
      <c r="BG177" s="121" t="s">
        <v>64</v>
      </c>
      <c r="BH177" s="121" t="s">
        <v>64</v>
      </c>
      <c r="BI177" s="121" t="s">
        <v>64</v>
      </c>
      <c r="BJ177" s="121" t="s">
        <v>64</v>
      </c>
      <c r="BK177" s="92" t="s">
        <v>64</v>
      </c>
      <c r="BL177" s="121">
        <f t="shared" si="64"/>
        <v>0</v>
      </c>
      <c r="BM177" s="92">
        <v>0.08</v>
      </c>
      <c r="BN177" s="84">
        <v>102</v>
      </c>
      <c r="BO177" s="95" t="s">
        <v>419</v>
      </c>
      <c r="BP177" s="95">
        <f t="shared" si="65"/>
        <v>102</v>
      </c>
      <c r="BQ177" s="122">
        <v>22.04</v>
      </c>
    </row>
    <row r="178" spans="11:69" ht="14.45" customHeight="1">
      <c r="L178" s="129" t="s">
        <v>449</v>
      </c>
      <c r="M178" s="763" t="s">
        <v>410</v>
      </c>
      <c r="N178" s="15" t="s">
        <v>427</v>
      </c>
      <c r="O178" s="14" t="s">
        <v>1167</v>
      </c>
      <c r="P178" s="15" t="s">
        <v>438</v>
      </c>
      <c r="Q178" s="15" t="s">
        <v>468</v>
      </c>
      <c r="R178" s="15">
        <v>89.1</v>
      </c>
      <c r="S178" s="15" t="s">
        <v>64</v>
      </c>
      <c r="T178" s="14">
        <f t="shared" si="54"/>
        <v>1293.6713999999999</v>
      </c>
      <c r="U178" s="218" t="s">
        <v>491</v>
      </c>
      <c r="V178" s="90" t="s">
        <v>299</v>
      </c>
      <c r="W178" s="109" t="s">
        <v>64</v>
      </c>
      <c r="X178" s="104" t="s">
        <v>64</v>
      </c>
      <c r="Y178" s="104" t="s">
        <v>64</v>
      </c>
      <c r="Z178" s="104" t="s">
        <v>64</v>
      </c>
      <c r="AA178" s="57" t="s">
        <v>64</v>
      </c>
      <c r="AB178" s="47" t="s">
        <v>64</v>
      </c>
      <c r="AC178" s="57">
        <v>924</v>
      </c>
      <c r="AD178" s="218" t="s">
        <v>475</v>
      </c>
      <c r="AE178" s="28">
        <f t="shared" si="66"/>
        <v>3.7566689884416</v>
      </c>
      <c r="AF178" s="1043" t="s">
        <v>475</v>
      </c>
      <c r="AG178" s="83">
        <v>1006</v>
      </c>
      <c r="AH178" s="1047" t="s">
        <v>475</v>
      </c>
      <c r="AI178" s="8">
        <v>1.1599999999999999</v>
      </c>
      <c r="AJ178" s="9">
        <v>49.109000000000002</v>
      </c>
      <c r="AK178" s="9">
        <v>2.3010000000000002</v>
      </c>
      <c r="AL178" s="9">
        <v>11.012</v>
      </c>
      <c r="AM178" s="9">
        <v>11.199</v>
      </c>
      <c r="AN178" s="9">
        <v>0</v>
      </c>
      <c r="AO178" s="9">
        <v>13.914</v>
      </c>
      <c r="AP178" s="9">
        <v>9.5459999999999994</v>
      </c>
      <c r="AQ178" s="9">
        <v>2.2410000000000001</v>
      </c>
      <c r="AR178" s="9">
        <v>0.32400000000000001</v>
      </c>
      <c r="AS178" s="9">
        <v>0.215</v>
      </c>
      <c r="AT178" s="37" t="s">
        <v>64</v>
      </c>
      <c r="AU178" s="9">
        <v>0.18</v>
      </c>
      <c r="AV178" s="6">
        <v>472</v>
      </c>
      <c r="AW178" s="27" t="s">
        <v>419</v>
      </c>
      <c r="AX178" s="6">
        <f t="shared" si="63"/>
        <v>472</v>
      </c>
      <c r="AY178" s="8">
        <f t="shared" si="56"/>
        <v>2.2404391411469931</v>
      </c>
      <c r="AZ178" s="9">
        <f t="shared" si="57"/>
        <v>9.1831800000000001</v>
      </c>
      <c r="BA178" s="123">
        <v>47.361600000000003</v>
      </c>
      <c r="BB178" s="121">
        <v>1.9795400000000001</v>
      </c>
      <c r="BC178" s="121">
        <v>9.4722033333333329</v>
      </c>
      <c r="BD178" s="121">
        <v>9.9590033333333334</v>
      </c>
      <c r="BE178" s="121">
        <v>0</v>
      </c>
      <c r="BF178" s="121">
        <v>18.654933333333336</v>
      </c>
      <c r="BG178" s="121">
        <v>8.2110433333333326</v>
      </c>
      <c r="BH178" s="121">
        <v>1.9274133333333332</v>
      </c>
      <c r="BI178" s="121">
        <v>0.27826533333333331</v>
      </c>
      <c r="BJ178" s="121">
        <v>0.18483966666666665</v>
      </c>
      <c r="BK178" s="92" t="s">
        <v>64</v>
      </c>
      <c r="BL178" s="121">
        <f t="shared" si="64"/>
        <v>98.028841666666665</v>
      </c>
      <c r="BM178" s="92">
        <v>0.18</v>
      </c>
      <c r="BN178" s="84">
        <v>407</v>
      </c>
      <c r="BO178" s="95" t="s">
        <v>419</v>
      </c>
      <c r="BP178" s="95">
        <f t="shared" si="65"/>
        <v>407</v>
      </c>
      <c r="BQ178" s="122">
        <v>33.040000000000006</v>
      </c>
    </row>
    <row r="179" spans="11:69" ht="14.45" customHeight="1">
      <c r="L179" s="129" t="s">
        <v>449</v>
      </c>
      <c r="M179" s="763" t="s">
        <v>410</v>
      </c>
      <c r="N179" s="15" t="s">
        <v>427</v>
      </c>
      <c r="O179" s="14" t="s">
        <v>1168</v>
      </c>
      <c r="P179" s="15" t="s">
        <v>438</v>
      </c>
      <c r="Q179" s="15" t="s">
        <v>468</v>
      </c>
      <c r="R179" s="15">
        <v>87.7</v>
      </c>
      <c r="S179" s="15" t="s">
        <v>64</v>
      </c>
      <c r="T179" s="14">
        <f t="shared" si="54"/>
        <v>1260.4259999999999</v>
      </c>
      <c r="U179" s="218" t="s">
        <v>491</v>
      </c>
      <c r="V179" s="90" t="s">
        <v>299</v>
      </c>
      <c r="W179" s="109" t="s">
        <v>64</v>
      </c>
      <c r="X179" s="104" t="s">
        <v>64</v>
      </c>
      <c r="Y179" s="104" t="s">
        <v>64</v>
      </c>
      <c r="Z179" s="104" t="s">
        <v>64</v>
      </c>
      <c r="AA179" s="57" t="s">
        <v>64</v>
      </c>
      <c r="AB179" s="47" t="s">
        <v>64</v>
      </c>
      <c r="AC179" s="57">
        <v>1003</v>
      </c>
      <c r="AD179" s="218" t="s">
        <v>475</v>
      </c>
      <c r="AE179" s="28">
        <f t="shared" si="66"/>
        <v>4.0486181414467994</v>
      </c>
      <c r="AF179" s="1043" t="s">
        <v>475</v>
      </c>
      <c r="AG179" s="83">
        <v>1122</v>
      </c>
      <c r="AH179" s="1047" t="s">
        <v>475</v>
      </c>
      <c r="AI179" s="8">
        <v>1.26</v>
      </c>
      <c r="AJ179" s="9">
        <v>49.051000000000002</v>
      </c>
      <c r="AK179" s="9">
        <v>2.1829999999999998</v>
      </c>
      <c r="AL179" s="9">
        <v>11.778</v>
      </c>
      <c r="AM179" s="9">
        <v>11.193</v>
      </c>
      <c r="AN179" s="9">
        <v>0</v>
      </c>
      <c r="AO179" s="9">
        <v>12.26</v>
      </c>
      <c r="AP179" s="9">
        <v>10.805999999999999</v>
      </c>
      <c r="AQ179" s="9">
        <v>1.9470000000000001</v>
      </c>
      <c r="AR179" s="9">
        <v>0.41799999999999998</v>
      </c>
      <c r="AS179" s="9">
        <v>0.23100000000000001</v>
      </c>
      <c r="AT179" s="37" t="s">
        <v>64</v>
      </c>
      <c r="AU179" s="9">
        <v>0.46</v>
      </c>
      <c r="AV179" s="6">
        <v>517</v>
      </c>
      <c r="AW179" s="27" t="s">
        <v>419</v>
      </c>
      <c r="AX179" s="6">
        <f t="shared" si="63"/>
        <v>517</v>
      </c>
      <c r="AY179" s="8">
        <f t="shared" si="56"/>
        <v>2.2392387987193763</v>
      </c>
      <c r="AZ179" s="9">
        <f t="shared" si="57"/>
        <v>9.1782599999999999</v>
      </c>
      <c r="BA179" s="123">
        <v>46.762999999999998</v>
      </c>
      <c r="BB179" s="121">
        <v>1.7366233333333334</v>
      </c>
      <c r="BC179" s="121">
        <v>9.3681066666666677</v>
      </c>
      <c r="BD179" s="121">
        <v>10.139566666666667</v>
      </c>
      <c r="BE179" s="121">
        <v>0</v>
      </c>
      <c r="BF179" s="121">
        <v>19.451166666666666</v>
      </c>
      <c r="BG179" s="121">
        <v>8.5953299999999988</v>
      </c>
      <c r="BH179" s="121">
        <v>1.5485133333333334</v>
      </c>
      <c r="BI179" s="121">
        <v>0.33229500000000001</v>
      </c>
      <c r="BJ179" s="121">
        <v>0.18357299999999999</v>
      </c>
      <c r="BK179" s="92" t="s">
        <v>64</v>
      </c>
      <c r="BL179" s="121">
        <f t="shared" si="64"/>
        <v>98.118174666666661</v>
      </c>
      <c r="BM179" s="92">
        <v>0.46</v>
      </c>
      <c r="BN179" s="84">
        <v>410</v>
      </c>
      <c r="BO179" s="95" t="s">
        <v>419</v>
      </c>
      <c r="BP179" s="95">
        <f t="shared" si="65"/>
        <v>410</v>
      </c>
      <c r="BQ179" s="122">
        <v>20.68</v>
      </c>
    </row>
    <row r="180" spans="11:69" ht="14.45" customHeight="1">
      <c r="L180" s="129" t="s">
        <v>449</v>
      </c>
      <c r="M180" s="763" t="s">
        <v>410</v>
      </c>
      <c r="N180" s="15" t="s">
        <v>427</v>
      </c>
      <c r="O180" s="14" t="s">
        <v>1169</v>
      </c>
      <c r="P180" s="15" t="s">
        <v>438</v>
      </c>
      <c r="Q180" s="15" t="s">
        <v>468</v>
      </c>
      <c r="R180" s="15">
        <v>85.2</v>
      </c>
      <c r="S180" s="15" t="s">
        <v>64</v>
      </c>
      <c r="T180" s="14">
        <f t="shared" si="54"/>
        <v>1214.1558</v>
      </c>
      <c r="U180" s="218" t="s">
        <v>491</v>
      </c>
      <c r="V180" s="90" t="s">
        <v>299</v>
      </c>
      <c r="W180" s="109" t="s">
        <v>64</v>
      </c>
      <c r="X180" s="104" t="s">
        <v>64</v>
      </c>
      <c r="Y180" s="104" t="s">
        <v>64</v>
      </c>
      <c r="Z180" s="104" t="s">
        <v>64</v>
      </c>
      <c r="AA180" s="57" t="s">
        <v>64</v>
      </c>
      <c r="AB180" s="47" t="s">
        <v>64</v>
      </c>
      <c r="AC180" s="57">
        <v>1320</v>
      </c>
      <c r="AD180" s="218" t="s">
        <v>475</v>
      </c>
      <c r="AE180" s="28">
        <f t="shared" si="66"/>
        <v>5.1851238911999999</v>
      </c>
      <c r="AF180" s="1043" t="s">
        <v>475</v>
      </c>
      <c r="AG180" s="83">
        <v>1464</v>
      </c>
      <c r="AH180" s="1047" t="s">
        <v>475</v>
      </c>
      <c r="AI180" s="8">
        <v>1.25</v>
      </c>
      <c r="AJ180" s="9">
        <v>49.408999999999999</v>
      </c>
      <c r="AK180" s="9">
        <v>2.2490000000000001</v>
      </c>
      <c r="AL180" s="9">
        <v>12.662000000000001</v>
      </c>
      <c r="AM180" s="9">
        <v>11.195</v>
      </c>
      <c r="AN180" s="9">
        <v>0</v>
      </c>
      <c r="AO180" s="9">
        <v>9.9580000000000002</v>
      </c>
      <c r="AP180" s="9">
        <v>11.464</v>
      </c>
      <c r="AQ180" s="9">
        <v>2.2240000000000002</v>
      </c>
      <c r="AR180" s="9">
        <v>0.45200000000000001</v>
      </c>
      <c r="AS180" s="9">
        <v>0.252</v>
      </c>
      <c r="AT180" s="37" t="s">
        <v>64</v>
      </c>
      <c r="AU180" s="9">
        <v>0.14000000000000001</v>
      </c>
      <c r="AV180" s="6">
        <v>701</v>
      </c>
      <c r="AW180" s="27" t="s">
        <v>419</v>
      </c>
      <c r="AX180" s="6">
        <f t="shared" si="63"/>
        <v>701</v>
      </c>
      <c r="AY180" s="8">
        <f t="shared" si="56"/>
        <v>2.2396389128619152</v>
      </c>
      <c r="AZ180" s="9">
        <f t="shared" si="57"/>
        <v>9.1798999999999999</v>
      </c>
      <c r="BA180" s="123">
        <v>45.772733333333342</v>
      </c>
      <c r="BB180" s="121">
        <v>1.5831766666666667</v>
      </c>
      <c r="BC180" s="121">
        <v>8.9118466666666674</v>
      </c>
      <c r="BD180" s="121">
        <v>13.1562</v>
      </c>
      <c r="BE180" s="121">
        <v>0</v>
      </c>
      <c r="BF180" s="121">
        <v>18.801033333333333</v>
      </c>
      <c r="BG180" s="121">
        <v>8.0690399999999993</v>
      </c>
      <c r="BH180" s="121">
        <v>1.5651133333333334</v>
      </c>
      <c r="BI180" s="121">
        <v>0.31818966666666665</v>
      </c>
      <c r="BJ180" s="121">
        <v>0.17753733333333332</v>
      </c>
      <c r="BK180" s="92" t="s">
        <v>64</v>
      </c>
      <c r="BL180" s="121">
        <f t="shared" si="64"/>
        <v>98.354870333333352</v>
      </c>
      <c r="BM180" s="92">
        <v>0.14000000000000001</v>
      </c>
      <c r="BN180" s="84">
        <v>561</v>
      </c>
      <c r="BO180" s="95" t="s">
        <v>419</v>
      </c>
      <c r="BP180" s="95">
        <f t="shared" si="65"/>
        <v>561</v>
      </c>
      <c r="BQ180" s="122">
        <v>84.11999999999999</v>
      </c>
    </row>
    <row r="181" spans="11:69" ht="14.45" customHeight="1" thickBot="1">
      <c r="L181" s="225" t="s">
        <v>449</v>
      </c>
      <c r="M181" s="1024" t="s">
        <v>410</v>
      </c>
      <c r="N181" s="226" t="s">
        <v>427</v>
      </c>
      <c r="O181" s="227" t="s">
        <v>1170</v>
      </c>
      <c r="P181" s="226" t="s">
        <v>438</v>
      </c>
      <c r="Q181" s="226" t="s">
        <v>468</v>
      </c>
      <c r="R181" s="226">
        <v>88.3</v>
      </c>
      <c r="S181" s="226" t="s">
        <v>64</v>
      </c>
      <c r="T181" s="227">
        <f t="shared" si="54"/>
        <v>1269.3905999999999</v>
      </c>
      <c r="U181" s="228" t="s">
        <v>491</v>
      </c>
      <c r="V181" s="229" t="s">
        <v>299</v>
      </c>
      <c r="W181" s="230" t="s">
        <v>64</v>
      </c>
      <c r="X181" s="231" t="s">
        <v>64</v>
      </c>
      <c r="Y181" s="231" t="s">
        <v>64</v>
      </c>
      <c r="Z181" s="231" t="s">
        <v>64</v>
      </c>
      <c r="AA181" s="232" t="s">
        <v>64</v>
      </c>
      <c r="AB181" s="234" t="s">
        <v>64</v>
      </c>
      <c r="AC181" s="232">
        <v>483</v>
      </c>
      <c r="AD181" s="228" t="s">
        <v>475</v>
      </c>
      <c r="AE181" s="235">
        <f t="shared" si="66"/>
        <v>2.0498860841508</v>
      </c>
      <c r="AF181" s="1045" t="s">
        <v>475</v>
      </c>
      <c r="AG181" s="236">
        <v>508</v>
      </c>
      <c r="AH181" s="1049" t="s">
        <v>475</v>
      </c>
      <c r="AI181" s="237">
        <v>1.1200000000000001</v>
      </c>
      <c r="AJ181" s="238">
        <v>48.442</v>
      </c>
      <c r="AK181" s="238">
        <v>2.4870000000000001</v>
      </c>
      <c r="AL181" s="238">
        <v>11.529</v>
      </c>
      <c r="AM181" s="238">
        <v>11.198</v>
      </c>
      <c r="AN181" s="238">
        <v>0</v>
      </c>
      <c r="AO181" s="238">
        <v>12.706</v>
      </c>
      <c r="AP181" s="238">
        <v>10.707000000000001</v>
      </c>
      <c r="AQ181" s="238">
        <v>2.056</v>
      </c>
      <c r="AR181" s="238">
        <v>0.49399999999999999</v>
      </c>
      <c r="AS181" s="238">
        <v>0.247</v>
      </c>
      <c r="AT181" s="239" t="s">
        <v>64</v>
      </c>
      <c r="AU181" s="238">
        <v>0.21</v>
      </c>
      <c r="AV181" s="240">
        <v>233</v>
      </c>
      <c r="AW181" s="241" t="s">
        <v>419</v>
      </c>
      <c r="AX181" s="240">
        <f t="shared" si="63"/>
        <v>233</v>
      </c>
      <c r="AY181" s="237">
        <f t="shared" si="56"/>
        <v>2.2402390840757236</v>
      </c>
      <c r="AZ181" s="238">
        <f t="shared" si="57"/>
        <v>9.182360000000001</v>
      </c>
      <c r="BA181" s="242">
        <v>46.96425</v>
      </c>
      <c r="BB181" s="243">
        <v>2.2151399999999999</v>
      </c>
      <c r="BC181" s="243">
        <v>10.268954999999998</v>
      </c>
      <c r="BD181" s="243">
        <v>11.0463</v>
      </c>
      <c r="BE181" s="243">
        <v>0</v>
      </c>
      <c r="BF181" s="243">
        <v>15.835850000000001</v>
      </c>
      <c r="BG181" s="243">
        <v>9.5371600000000001</v>
      </c>
      <c r="BH181" s="243">
        <v>1.8308800000000001</v>
      </c>
      <c r="BI181" s="243">
        <v>0.43982350000000003</v>
      </c>
      <c r="BJ181" s="243">
        <v>0.21967999999999999</v>
      </c>
      <c r="BK181" s="244" t="s">
        <v>64</v>
      </c>
      <c r="BL181" s="243">
        <f t="shared" si="64"/>
        <v>98.358038499999978</v>
      </c>
      <c r="BM181" s="244">
        <v>0.21</v>
      </c>
      <c r="BN181" s="245">
        <v>208</v>
      </c>
      <c r="BO181" s="246" t="s">
        <v>419</v>
      </c>
      <c r="BP181" s="246">
        <f t="shared" si="65"/>
        <v>208</v>
      </c>
      <c r="BQ181" s="247">
        <v>18.64</v>
      </c>
    </row>
    <row r="182" spans="11:69" ht="14.45" customHeight="1" thickTop="1"/>
    <row r="183" spans="11:69" ht="14.45" customHeight="1">
      <c r="AY183" s="8"/>
      <c r="AZ183" s="9"/>
    </row>
    <row r="184" spans="11:69" ht="14.45" customHeight="1">
      <c r="M184" s="159" t="s">
        <v>476</v>
      </c>
      <c r="O184" s="7"/>
      <c r="P184" s="138"/>
      <c r="Q184" s="138"/>
      <c r="R184" s="81"/>
      <c r="S184" s="81"/>
      <c r="T184" s="139"/>
      <c r="U184" s="139"/>
      <c r="V184" s="204"/>
      <c r="W184" s="140" t="s">
        <v>430</v>
      </c>
      <c r="X184" s="182"/>
      <c r="Y184" s="139"/>
      <c r="Z184" s="141"/>
      <c r="AA184" s="140" t="s">
        <v>433</v>
      </c>
      <c r="AB184" s="158"/>
      <c r="AC184" s="140" t="s">
        <v>478</v>
      </c>
      <c r="AD184" s="142"/>
      <c r="AE184" s="143" t="s">
        <v>435</v>
      </c>
      <c r="AF184" s="142"/>
      <c r="AG184" s="144" t="s">
        <v>363</v>
      </c>
      <c r="AH184" s="124"/>
      <c r="AI184" s="140" t="s">
        <v>463</v>
      </c>
      <c r="AK184" s="145"/>
      <c r="AL184" s="145"/>
      <c r="AM184" s="145"/>
      <c r="AN184" s="145"/>
      <c r="AO184" s="145"/>
      <c r="AP184" s="145"/>
      <c r="AQ184" s="145"/>
      <c r="AR184" s="145"/>
      <c r="AS184" s="145"/>
      <c r="AT184" s="145"/>
      <c r="AU184" s="272"/>
      <c r="AV184" s="145"/>
      <c r="AW184" s="145"/>
      <c r="AX184" s="145"/>
      <c r="AY184" s="146" t="s">
        <v>1474</v>
      </c>
      <c r="AZ184" s="145"/>
      <c r="BA184" s="85" t="s">
        <v>444</v>
      </c>
      <c r="BB184" s="124"/>
      <c r="BC184" s="124"/>
      <c r="BD184" s="86"/>
      <c r="BE184" s="86"/>
      <c r="BF184" s="124"/>
      <c r="BG184" s="86"/>
      <c r="BH184" s="124"/>
      <c r="BI184" s="86"/>
      <c r="BJ184" s="86"/>
      <c r="BK184" s="124"/>
      <c r="BL184" s="86"/>
      <c r="BM184" s="124"/>
      <c r="BN184" s="86"/>
      <c r="BO184" s="86"/>
      <c r="BP184" s="86"/>
      <c r="BQ184" s="124"/>
    </row>
    <row r="185" spans="11:69" ht="40.9" customHeight="1">
      <c r="L185" s="147" t="s">
        <v>409</v>
      </c>
      <c r="M185" s="62" t="s">
        <v>406</v>
      </c>
      <c r="N185" s="147" t="s">
        <v>407</v>
      </c>
      <c r="O185" s="147" t="s">
        <v>411</v>
      </c>
      <c r="P185" s="147" t="s">
        <v>404</v>
      </c>
      <c r="Q185" s="147" t="s">
        <v>467</v>
      </c>
      <c r="R185" s="147" t="s">
        <v>466</v>
      </c>
      <c r="S185" s="147" t="s">
        <v>1014</v>
      </c>
      <c r="T185" s="149" t="s">
        <v>446</v>
      </c>
      <c r="U185" s="147" t="s">
        <v>364</v>
      </c>
      <c r="V185" s="1026" t="s">
        <v>62</v>
      </c>
      <c r="W185" s="1028" t="s">
        <v>432</v>
      </c>
      <c r="X185" s="174" t="s">
        <v>461</v>
      </c>
      <c r="Y185" s="149" t="s">
        <v>431</v>
      </c>
      <c r="Z185" s="172" t="s">
        <v>434</v>
      </c>
      <c r="AA185" s="173" t="s">
        <v>429</v>
      </c>
      <c r="AB185" s="175" t="s">
        <v>931</v>
      </c>
      <c r="AC185" s="61" t="s">
        <v>477</v>
      </c>
      <c r="AD185" s="177" t="s">
        <v>453</v>
      </c>
      <c r="AE185" s="178" t="s">
        <v>932</v>
      </c>
      <c r="AF185" s="179" t="s">
        <v>452</v>
      </c>
      <c r="AG185" s="137" t="s">
        <v>457</v>
      </c>
      <c r="AH185" s="126" t="s">
        <v>440</v>
      </c>
      <c r="AI185" s="1029" t="s">
        <v>412</v>
      </c>
      <c r="AJ185" s="180" t="s">
        <v>129</v>
      </c>
      <c r="AK185" s="180" t="s">
        <v>390</v>
      </c>
      <c r="AL185" s="180" t="s">
        <v>386</v>
      </c>
      <c r="AM185" s="180" t="s">
        <v>130</v>
      </c>
      <c r="AN185" s="180" t="s">
        <v>443</v>
      </c>
      <c r="AO185" s="180" t="s">
        <v>127</v>
      </c>
      <c r="AP185" s="180" t="s">
        <v>387</v>
      </c>
      <c r="AQ185" s="180" t="s">
        <v>388</v>
      </c>
      <c r="AR185" s="180" t="s">
        <v>389</v>
      </c>
      <c r="AS185" s="180" t="s">
        <v>391</v>
      </c>
      <c r="AT185" s="180" t="s">
        <v>392</v>
      </c>
      <c r="AU185" s="180" t="s">
        <v>155</v>
      </c>
      <c r="AV185" s="1030" t="s">
        <v>393</v>
      </c>
      <c r="AW185" s="1030" t="s">
        <v>417</v>
      </c>
      <c r="AX185" s="1030" t="s">
        <v>418</v>
      </c>
      <c r="AY185" s="22" t="s">
        <v>131</v>
      </c>
      <c r="AZ185" s="180" t="s">
        <v>128</v>
      </c>
      <c r="BA185" s="1034" t="s">
        <v>394</v>
      </c>
      <c r="BB185" s="1032" t="s">
        <v>400</v>
      </c>
      <c r="BC185" s="1032" t="s">
        <v>395</v>
      </c>
      <c r="BD185" s="1032" t="s">
        <v>441</v>
      </c>
      <c r="BE185" s="1032" t="s">
        <v>442</v>
      </c>
      <c r="BF185" s="1032" t="s">
        <v>396</v>
      </c>
      <c r="BG185" s="1032" t="s">
        <v>397</v>
      </c>
      <c r="BH185" s="1032" t="s">
        <v>398</v>
      </c>
      <c r="BI185" s="1032" t="s">
        <v>399</v>
      </c>
      <c r="BJ185" s="1032" t="s">
        <v>401</v>
      </c>
      <c r="BK185" s="1032" t="s">
        <v>424</v>
      </c>
      <c r="BL185" s="1032" t="s">
        <v>402</v>
      </c>
      <c r="BM185" s="1032" t="s">
        <v>403</v>
      </c>
      <c r="BN185" s="1032" t="s">
        <v>420</v>
      </c>
      <c r="BO185" s="1032" t="s">
        <v>421</v>
      </c>
      <c r="BP185" s="1032" t="s">
        <v>422</v>
      </c>
      <c r="BQ185" s="1033" t="s">
        <v>447</v>
      </c>
    </row>
    <row r="186" spans="11:69" ht="14.45" customHeight="1">
      <c r="K186" s="224" t="s">
        <v>301</v>
      </c>
      <c r="L186" s="20" t="s">
        <v>64</v>
      </c>
      <c r="M186" s="762" t="s">
        <v>459</v>
      </c>
      <c r="N186" s="15" t="s">
        <v>460</v>
      </c>
      <c r="O186" s="14" t="s">
        <v>1171</v>
      </c>
      <c r="P186" s="15" t="s">
        <v>405</v>
      </c>
      <c r="Q186" s="15" t="s">
        <v>468</v>
      </c>
      <c r="R186" s="193">
        <v>78.428535813800707</v>
      </c>
      <c r="S186" s="15" t="s">
        <v>64</v>
      </c>
      <c r="T186" s="14">
        <f t="shared" ref="T186" si="67" xml:space="preserve"> 20.1*AO186+1014</f>
        <v>1138.4391000000001</v>
      </c>
      <c r="U186" s="27" t="s">
        <v>1471</v>
      </c>
      <c r="V186" s="90" t="s">
        <v>64</v>
      </c>
      <c r="W186" s="108" t="s">
        <v>481</v>
      </c>
      <c r="X186" s="183" t="s">
        <v>64</v>
      </c>
      <c r="Y186" s="104" t="s">
        <v>64</v>
      </c>
      <c r="Z186" s="104" t="s">
        <v>64</v>
      </c>
      <c r="AA186" s="57" t="s">
        <v>64</v>
      </c>
      <c r="AB186" s="47" t="s">
        <v>64</v>
      </c>
      <c r="AC186" s="130">
        <v>650.5573193184282</v>
      </c>
      <c r="AD186" s="195" t="s">
        <v>470</v>
      </c>
      <c r="AE186" s="114">
        <f t="shared" ref="AE186:AE249" si="68">(0.0684*((AC186/1000))^3-0.5008*((AC186/1000))^2+4.47*((AC186/1000)))</f>
        <v>2.7148729339866708</v>
      </c>
      <c r="AF186" s="196" t="s">
        <v>470</v>
      </c>
      <c r="AG186" s="119">
        <v>420</v>
      </c>
      <c r="AH186" s="157" t="s">
        <v>469</v>
      </c>
      <c r="AI186" s="8">
        <v>0.95565749235474007</v>
      </c>
      <c r="AJ186" s="9">
        <v>51.423000000000002</v>
      </c>
      <c r="AK186" s="9">
        <v>3.2290000000000001</v>
      </c>
      <c r="AL186" s="9">
        <v>13.391999999999999</v>
      </c>
      <c r="AM186" s="189">
        <v>11.3941004959166</v>
      </c>
      <c r="AN186" s="9">
        <v>0.14899999999999999</v>
      </c>
      <c r="AO186" s="9">
        <v>6.1909999999999998</v>
      </c>
      <c r="AP186" s="9">
        <v>9.859</v>
      </c>
      <c r="AQ186" s="9">
        <v>2.6360000000000001</v>
      </c>
      <c r="AR186" s="9">
        <v>0.67500000000000004</v>
      </c>
      <c r="AS186" s="9">
        <v>0.33700000000000002</v>
      </c>
      <c r="AT186" s="190">
        <v>1300.9107033639143</v>
      </c>
      <c r="AU186" s="9">
        <v>0.53337075676435797</v>
      </c>
      <c r="AV186" s="6">
        <v>257.72131391422687</v>
      </c>
      <c r="AW186" s="27" t="s">
        <v>64</v>
      </c>
      <c r="AX186" s="6">
        <v>257.72131391422687</v>
      </c>
      <c r="AY186" s="150">
        <f t="shared" ref="AY186:AY249" si="69">IF(ISNUMBER(AM186),(AM186/71.84)*(0.18/2)*159.69,"-")</f>
        <v>2.2794703749632927</v>
      </c>
      <c r="AZ186" s="9">
        <f t="shared" ref="AZ186:AZ249" si="70">IF(ISNUMBER(AM186),(AM186/71.84)*(1-0.18)*71.84,"-")</f>
        <v>9.3431624066516132</v>
      </c>
      <c r="BA186" s="120">
        <v>51.387300000000003</v>
      </c>
      <c r="BB186" s="121">
        <v>3.3391999999999999</v>
      </c>
      <c r="BC186" s="121">
        <v>13.8474</v>
      </c>
      <c r="BD186" s="121">
        <v>10.7378</v>
      </c>
      <c r="BE186" s="121">
        <v>0.15390000000000001</v>
      </c>
      <c r="BF186" s="121">
        <v>4.5951000000000004</v>
      </c>
      <c r="BG186" s="121">
        <v>10.1937</v>
      </c>
      <c r="BH186" s="121">
        <v>2.7256999999999998</v>
      </c>
      <c r="BI186" s="121">
        <v>0.69830000000000003</v>
      </c>
      <c r="BJ186" s="121">
        <v>0.34889999999999999</v>
      </c>
      <c r="BK186" s="121">
        <v>0.13612729600000001</v>
      </c>
      <c r="BL186" s="121">
        <f>SUM(BA186:BK186)</f>
        <v>98.163427296000009</v>
      </c>
      <c r="BM186" s="121">
        <v>0.55811915987822402</v>
      </c>
      <c r="BN186" s="95">
        <v>269.67958287984698</v>
      </c>
      <c r="BO186" s="95" t="s">
        <v>64</v>
      </c>
      <c r="BP186" s="95">
        <v>269.67958287984698</v>
      </c>
      <c r="BQ186" s="194" t="s">
        <v>469</v>
      </c>
    </row>
    <row r="187" spans="11:69" ht="14.45" customHeight="1">
      <c r="L187" s="20" t="s">
        <v>64</v>
      </c>
      <c r="M187" s="763" t="s">
        <v>459</v>
      </c>
      <c r="N187" s="15" t="s">
        <v>460</v>
      </c>
      <c r="O187" s="14" t="s">
        <v>1172</v>
      </c>
      <c r="P187" s="15" t="s">
        <v>405</v>
      </c>
      <c r="Q187" s="15" t="s">
        <v>468</v>
      </c>
      <c r="R187" s="193">
        <v>77.150555391677102</v>
      </c>
      <c r="S187" s="15" t="s">
        <v>64</v>
      </c>
      <c r="T187" s="14">
        <f t="shared" ref="T187:T246" si="71" xml:space="preserve"> 20.1*AO187+1014</f>
        <v>1134.6201000000001</v>
      </c>
      <c r="U187" s="27" t="s">
        <v>1471</v>
      </c>
      <c r="V187" s="90" t="s">
        <v>64</v>
      </c>
      <c r="W187" s="109" t="s">
        <v>481</v>
      </c>
      <c r="X187" s="183" t="s">
        <v>64</v>
      </c>
      <c r="Y187" s="104" t="s">
        <v>64</v>
      </c>
      <c r="Z187" s="104" t="s">
        <v>64</v>
      </c>
      <c r="AA187" s="57" t="s">
        <v>64</v>
      </c>
      <c r="AB187" s="47" t="s">
        <v>64</v>
      </c>
      <c r="AC187" s="57">
        <v>563.0078403403212</v>
      </c>
      <c r="AD187" s="27" t="s">
        <v>470</v>
      </c>
      <c r="AE187" s="28">
        <f t="shared" si="68"/>
        <v>2.3701092824898922</v>
      </c>
      <c r="AF187" s="197" t="s">
        <v>470</v>
      </c>
      <c r="AG187" s="84">
        <v>360</v>
      </c>
      <c r="AH187" s="157" t="s">
        <v>469</v>
      </c>
      <c r="AI187" s="8">
        <v>0.9549274255156609</v>
      </c>
      <c r="AJ187" s="9">
        <v>51.375</v>
      </c>
      <c r="AK187" s="9">
        <v>3.343</v>
      </c>
      <c r="AL187" s="9">
        <v>13.202</v>
      </c>
      <c r="AM187" s="189">
        <v>11.8740204887246</v>
      </c>
      <c r="AN187" s="9">
        <v>0.13400000000000001</v>
      </c>
      <c r="AO187" s="9">
        <v>6.0010000000000003</v>
      </c>
      <c r="AP187" s="9">
        <v>9.7289999999999992</v>
      </c>
      <c r="AQ187" s="9">
        <v>2.6019999999999999</v>
      </c>
      <c r="AR187" s="9">
        <v>0.63500000000000001</v>
      </c>
      <c r="AS187" s="9">
        <v>0.36399999999999999</v>
      </c>
      <c r="AT187" s="190">
        <v>1340.5392857142858</v>
      </c>
      <c r="AU187" s="9">
        <v>0.54614021879846397</v>
      </c>
      <c r="AV187" s="6">
        <v>213.88806574985676</v>
      </c>
      <c r="AW187" s="27" t="s">
        <v>64</v>
      </c>
      <c r="AX187" s="6">
        <v>213.88806574985676</v>
      </c>
      <c r="AY187" s="8">
        <f t="shared" si="69"/>
        <v>2.3754817631681346</v>
      </c>
      <c r="AZ187" s="9">
        <f t="shared" si="70"/>
        <v>9.7366968007541725</v>
      </c>
      <c r="BA187" s="123">
        <v>50.715800000000002</v>
      </c>
      <c r="BB187" s="121">
        <v>3.4163999999999999</v>
      </c>
      <c r="BC187" s="121">
        <v>13.4909</v>
      </c>
      <c r="BD187" s="121">
        <v>10.844200000000001</v>
      </c>
      <c r="BE187" s="121">
        <v>0.13700000000000001</v>
      </c>
      <c r="BF187" s="121">
        <v>4.4653999999999998</v>
      </c>
      <c r="BG187" s="121">
        <v>9.9419000000000004</v>
      </c>
      <c r="BH187" s="121">
        <v>2.6593</v>
      </c>
      <c r="BI187" s="121">
        <v>0.64900000000000002</v>
      </c>
      <c r="BJ187" s="121">
        <v>0.37169999999999997</v>
      </c>
      <c r="BK187" s="121">
        <v>0.140381274</v>
      </c>
      <c r="BL187" s="121">
        <f t="shared" ref="BL187:BL246" si="72">SUM(BA187:BK187)</f>
        <v>96.831981274000029</v>
      </c>
      <c r="BM187" s="121">
        <v>0.57191803712575096</v>
      </c>
      <c r="BN187" s="95">
        <v>223.98358245324999</v>
      </c>
      <c r="BO187" s="95" t="s">
        <v>64</v>
      </c>
      <c r="BP187" s="95">
        <v>223.98358245324999</v>
      </c>
      <c r="BQ187" s="194" t="s">
        <v>469</v>
      </c>
    </row>
    <row r="188" spans="11:69" ht="14.45" customHeight="1">
      <c r="L188" s="20" t="s">
        <v>64</v>
      </c>
      <c r="M188" s="763" t="s">
        <v>459</v>
      </c>
      <c r="N188" s="15" t="s">
        <v>460</v>
      </c>
      <c r="O188" s="14" t="s">
        <v>1173</v>
      </c>
      <c r="P188" s="15" t="s">
        <v>405</v>
      </c>
      <c r="Q188" s="15" t="s">
        <v>468</v>
      </c>
      <c r="R188" s="193">
        <v>80.408502863101702</v>
      </c>
      <c r="S188" s="15" t="s">
        <v>64</v>
      </c>
      <c r="T188" s="14">
        <f t="shared" si="71"/>
        <v>1163.3832</v>
      </c>
      <c r="U188" s="27" t="s">
        <v>416</v>
      </c>
      <c r="V188" s="90" t="s">
        <v>64</v>
      </c>
      <c r="W188" s="109" t="s">
        <v>480</v>
      </c>
      <c r="X188" s="183" t="s">
        <v>64</v>
      </c>
      <c r="Y188" s="104" t="s">
        <v>64</v>
      </c>
      <c r="Z188" s="104" t="s">
        <v>64</v>
      </c>
      <c r="AA188" s="57" t="s">
        <v>64</v>
      </c>
      <c r="AB188" s="47" t="s">
        <v>64</v>
      </c>
      <c r="AC188" s="57">
        <v>972.15830340151047</v>
      </c>
      <c r="AD188" s="27" t="s">
        <v>470</v>
      </c>
      <c r="AE188" s="28">
        <f t="shared" si="68"/>
        <v>3.9350901298660808</v>
      </c>
      <c r="AF188" s="197" t="s">
        <v>470</v>
      </c>
      <c r="AG188" s="84">
        <v>640</v>
      </c>
      <c r="AH188" s="157" t="s">
        <v>469</v>
      </c>
      <c r="AI188" s="8">
        <v>0.96469226316804946</v>
      </c>
      <c r="AJ188" s="9">
        <v>50.792999999999999</v>
      </c>
      <c r="AK188" s="9">
        <v>2.5499999999999998</v>
      </c>
      <c r="AL188" s="9">
        <v>13.523</v>
      </c>
      <c r="AM188" s="189">
        <v>11.335110330133951</v>
      </c>
      <c r="AN188" s="9">
        <v>0.17899999999999999</v>
      </c>
      <c r="AO188" s="9">
        <v>7.4320000000000004</v>
      </c>
      <c r="AP188" s="9">
        <v>10.593999999999999</v>
      </c>
      <c r="AQ188" s="9">
        <v>2.3029999999999999</v>
      </c>
      <c r="AR188" s="9">
        <v>0.42899999999999999</v>
      </c>
      <c r="AS188" s="9">
        <v>0.378</v>
      </c>
      <c r="AT188" s="190">
        <v>1163.5422342272816</v>
      </c>
      <c r="AU188" s="9">
        <v>0.5</v>
      </c>
      <c r="AV188" s="6">
        <v>402.92437066533961</v>
      </c>
      <c r="AW188" s="27" t="s">
        <v>64</v>
      </c>
      <c r="AX188" s="6">
        <v>402.92437066533961</v>
      </c>
      <c r="AY188" s="8">
        <f t="shared" si="69"/>
        <v>2.2676689751631143</v>
      </c>
      <c r="AZ188" s="9">
        <f t="shared" si="70"/>
        <v>9.2947904707098417</v>
      </c>
      <c r="BA188" s="123">
        <v>49.899099999999997</v>
      </c>
      <c r="BB188" s="121">
        <v>2.5749</v>
      </c>
      <c r="BC188" s="121">
        <v>13.656499999999999</v>
      </c>
      <c r="BD188" s="121">
        <v>10.542400000000001</v>
      </c>
      <c r="BE188" s="121">
        <v>0.1593</v>
      </c>
      <c r="BF188" s="121">
        <v>6.1702000000000004</v>
      </c>
      <c r="BG188" s="121">
        <v>10.678599999999999</v>
      </c>
      <c r="BH188" s="121">
        <v>2.3256000000000001</v>
      </c>
      <c r="BI188" s="121">
        <v>0.43280000000000002</v>
      </c>
      <c r="BJ188" s="121">
        <v>0.38129999999999997</v>
      </c>
      <c r="BK188" s="121">
        <v>0.120612788</v>
      </c>
      <c r="BL188" s="121">
        <f t="shared" si="72"/>
        <v>96.941312787999991</v>
      </c>
      <c r="BM188" s="121">
        <v>0.32075046739263302</v>
      </c>
      <c r="BN188" s="95">
        <v>417.67140263169102</v>
      </c>
      <c r="BO188" s="95" t="s">
        <v>64</v>
      </c>
      <c r="BP188" s="95">
        <v>417.67140263169102</v>
      </c>
      <c r="BQ188" s="194" t="s">
        <v>469</v>
      </c>
    </row>
    <row r="189" spans="11:69" ht="14.45" customHeight="1">
      <c r="L189" s="20" t="s">
        <v>64</v>
      </c>
      <c r="M189" s="763" t="s">
        <v>459</v>
      </c>
      <c r="N189" s="15" t="s">
        <v>460</v>
      </c>
      <c r="O189" s="14" t="s">
        <v>1174</v>
      </c>
      <c r="P189" s="15" t="s">
        <v>405</v>
      </c>
      <c r="Q189" s="15" t="s">
        <v>468</v>
      </c>
      <c r="R189" s="193">
        <v>80.445985480275695</v>
      </c>
      <c r="S189" s="15" t="s">
        <v>64</v>
      </c>
      <c r="T189" s="14">
        <f t="shared" si="71"/>
        <v>1165.2726</v>
      </c>
      <c r="U189" s="27" t="s">
        <v>300</v>
      </c>
      <c r="V189" s="90" t="s">
        <v>64</v>
      </c>
      <c r="W189" s="109" t="s">
        <v>64</v>
      </c>
      <c r="X189" s="183" t="s">
        <v>64</v>
      </c>
      <c r="Y189" s="104" t="s">
        <v>64</v>
      </c>
      <c r="Z189" s="104" t="s">
        <v>64</v>
      </c>
      <c r="AA189" s="57" t="s">
        <v>64</v>
      </c>
      <c r="AB189" s="47" t="s">
        <v>64</v>
      </c>
      <c r="AC189" s="57">
        <v>578.37004632549247</v>
      </c>
      <c r="AD189" s="27" t="s">
        <v>470</v>
      </c>
      <c r="AE189" s="28">
        <f t="shared" si="68"/>
        <v>2.4310240044741405</v>
      </c>
      <c r="AF189" s="197" t="s">
        <v>470</v>
      </c>
      <c r="AG189" s="84">
        <v>370</v>
      </c>
      <c r="AH189" s="157" t="s">
        <v>469</v>
      </c>
      <c r="AI189" s="8">
        <v>0.96006144393241155</v>
      </c>
      <c r="AJ189" s="9">
        <v>51.116999999999997</v>
      </c>
      <c r="AK189" s="9">
        <v>2.512</v>
      </c>
      <c r="AL189" s="9">
        <v>13.435</v>
      </c>
      <c r="AM189" s="189">
        <v>11.4320941620139</v>
      </c>
      <c r="AN189" s="9">
        <v>0.23899999999999999</v>
      </c>
      <c r="AO189" s="9">
        <v>7.5259999999999998</v>
      </c>
      <c r="AP189" s="9">
        <v>10.17</v>
      </c>
      <c r="AQ189" s="9">
        <v>2.4350000000000001</v>
      </c>
      <c r="AR189" s="9">
        <v>0.38200000000000001</v>
      </c>
      <c r="AS189" s="9">
        <v>0.27600000000000002</v>
      </c>
      <c r="AT189" s="190">
        <v>1103.1821505376345</v>
      </c>
      <c r="AU189" s="9">
        <v>0.5</v>
      </c>
      <c r="AV189" s="6">
        <v>228.17256865113282</v>
      </c>
      <c r="AW189" s="27" t="s">
        <v>64</v>
      </c>
      <c r="AX189" s="6">
        <v>228.17256865113282</v>
      </c>
      <c r="AY189" s="8">
        <f t="shared" si="69"/>
        <v>2.2870712765295096</v>
      </c>
      <c r="AZ189" s="9">
        <f t="shared" si="70"/>
        <v>9.3743172128513983</v>
      </c>
      <c r="BA189" s="123">
        <v>50.9619</v>
      </c>
      <c r="BB189" s="121">
        <v>2.5834999999999999</v>
      </c>
      <c r="BC189" s="121">
        <v>13.8177</v>
      </c>
      <c r="BD189" s="121">
        <v>11.170500000000001</v>
      </c>
      <c r="BE189" s="121">
        <v>0.22220000000000001</v>
      </c>
      <c r="BF189" s="121">
        <v>5.9413</v>
      </c>
      <c r="BG189" s="121">
        <v>10.4339</v>
      </c>
      <c r="BH189" s="121">
        <v>2.5038999999999998</v>
      </c>
      <c r="BI189" s="121">
        <v>0.39329999999999998</v>
      </c>
      <c r="BJ189" s="121">
        <v>0.28349999999999997</v>
      </c>
      <c r="BK189" s="121">
        <v>0.1149074528</v>
      </c>
      <c r="BL189" s="121">
        <f t="shared" si="72"/>
        <v>98.426607452799999</v>
      </c>
      <c r="BM189" s="121">
        <v>0.31705279472544101</v>
      </c>
      <c r="BN189" s="95">
        <v>237.66454750701999</v>
      </c>
      <c r="BO189" s="95" t="s">
        <v>64</v>
      </c>
      <c r="BP189" s="95">
        <v>237.66454750701999</v>
      </c>
      <c r="BQ189" s="194" t="s">
        <v>469</v>
      </c>
    </row>
    <row r="190" spans="11:69" ht="14.45" customHeight="1">
      <c r="L190" s="20" t="s">
        <v>64</v>
      </c>
      <c r="M190" s="763" t="s">
        <v>459</v>
      </c>
      <c r="N190" s="15" t="s">
        <v>460</v>
      </c>
      <c r="O190" s="14" t="s">
        <v>1175</v>
      </c>
      <c r="P190" s="15" t="s">
        <v>405</v>
      </c>
      <c r="Q190" s="15" t="s">
        <v>468</v>
      </c>
      <c r="R190" s="193">
        <v>78.9209275631558</v>
      </c>
      <c r="S190" s="15" t="s">
        <v>64</v>
      </c>
      <c r="T190" s="14">
        <f t="shared" si="71"/>
        <v>1135.002</v>
      </c>
      <c r="U190" s="27" t="s">
        <v>416</v>
      </c>
      <c r="V190" s="90" t="s">
        <v>64</v>
      </c>
      <c r="W190" s="109" t="s">
        <v>480</v>
      </c>
      <c r="X190" s="183" t="s">
        <v>64</v>
      </c>
      <c r="Y190" s="104" t="s">
        <v>64</v>
      </c>
      <c r="Z190" s="104" t="s">
        <v>64</v>
      </c>
      <c r="AA190" s="57" t="s">
        <v>64</v>
      </c>
      <c r="AB190" s="47" t="s">
        <v>64</v>
      </c>
      <c r="AC190" s="57">
        <v>657.67726292338375</v>
      </c>
      <c r="AD190" s="27" t="s">
        <v>470</v>
      </c>
      <c r="AE190" s="28">
        <f t="shared" si="68"/>
        <v>2.7426594807593272</v>
      </c>
      <c r="AF190" s="197" t="s">
        <v>470</v>
      </c>
      <c r="AG190" s="84">
        <v>420</v>
      </c>
      <c r="AH190" s="157" t="s">
        <v>469</v>
      </c>
      <c r="AI190" s="8">
        <v>0.99710838568152371</v>
      </c>
      <c r="AJ190" s="9">
        <v>51.649000000000001</v>
      </c>
      <c r="AK190" s="9">
        <v>2.758</v>
      </c>
      <c r="AL190" s="9">
        <v>13.747</v>
      </c>
      <c r="AM190" s="189">
        <v>11.3361101634523</v>
      </c>
      <c r="AN190" s="9">
        <v>0.28199999999999997</v>
      </c>
      <c r="AO190" s="9">
        <v>6.02</v>
      </c>
      <c r="AP190" s="9">
        <v>10.397</v>
      </c>
      <c r="AQ190" s="9">
        <v>2.4350000000000001</v>
      </c>
      <c r="AR190" s="9">
        <v>0.496</v>
      </c>
      <c r="AS190" s="9">
        <v>0.34699999999999998</v>
      </c>
      <c r="AT190" s="190">
        <v>1070.8987217070496</v>
      </c>
      <c r="AU190" s="9">
        <v>0.5</v>
      </c>
      <c r="AV190" s="6">
        <v>246.55351095281986</v>
      </c>
      <c r="AW190" s="27" t="s">
        <v>64</v>
      </c>
      <c r="AX190" s="6">
        <v>246.55351095281986</v>
      </c>
      <c r="AY190" s="8">
        <f t="shared" si="69"/>
        <v>2.2678689988885412</v>
      </c>
      <c r="AZ190" s="9">
        <f t="shared" si="70"/>
        <v>9.2956103340308864</v>
      </c>
      <c r="BA190" s="123">
        <v>50.104399999999998</v>
      </c>
      <c r="BB190" s="121">
        <v>2.6751</v>
      </c>
      <c r="BC190" s="121">
        <v>13.335599999999999</v>
      </c>
      <c r="BD190" s="121">
        <v>11.3306</v>
      </c>
      <c r="BE190" s="121">
        <v>0.27339999999999998</v>
      </c>
      <c r="BF190" s="121">
        <v>5.8396999999999997</v>
      </c>
      <c r="BG190" s="121">
        <v>10.098699999999999</v>
      </c>
      <c r="BH190" s="121">
        <v>2.3650000000000002</v>
      </c>
      <c r="BI190" s="121">
        <v>0.48149999999999998</v>
      </c>
      <c r="BJ190" s="121">
        <v>0.33689999999999998</v>
      </c>
      <c r="BK190" s="121">
        <v>0.1074004328</v>
      </c>
      <c r="BL190" s="121">
        <f t="shared" si="72"/>
        <v>96.948300432799982</v>
      </c>
      <c r="BM190" s="121">
        <v>0.30629953744622002</v>
      </c>
      <c r="BN190" s="95">
        <v>247.268516134583</v>
      </c>
      <c r="BO190" s="95" t="s">
        <v>64</v>
      </c>
      <c r="BP190" s="95">
        <v>247.268516134583</v>
      </c>
      <c r="BQ190" s="194" t="s">
        <v>469</v>
      </c>
    </row>
    <row r="191" spans="11:69" ht="14.45" customHeight="1">
      <c r="L191" s="20" t="s">
        <v>64</v>
      </c>
      <c r="M191" s="763" t="s">
        <v>459</v>
      </c>
      <c r="N191" s="15" t="s">
        <v>460</v>
      </c>
      <c r="O191" s="14" t="s">
        <v>1176</v>
      </c>
      <c r="P191" s="15" t="s">
        <v>405</v>
      </c>
      <c r="Q191" s="15" t="s">
        <v>468</v>
      </c>
      <c r="R191" s="193">
        <v>79.463947271684702</v>
      </c>
      <c r="S191" s="15" t="s">
        <v>64</v>
      </c>
      <c r="T191" s="14">
        <f t="shared" si="71"/>
        <v>1137.4743000000001</v>
      </c>
      <c r="U191" s="27" t="s">
        <v>416</v>
      </c>
      <c r="V191" s="90" t="s">
        <v>64</v>
      </c>
      <c r="W191" s="109" t="s">
        <v>480</v>
      </c>
      <c r="X191" s="183" t="s">
        <v>64</v>
      </c>
      <c r="Y191" s="104" t="s">
        <v>64</v>
      </c>
      <c r="Z191" s="104" t="s">
        <v>64</v>
      </c>
      <c r="AA191" s="57" t="s">
        <v>64</v>
      </c>
      <c r="AB191" s="47" t="s">
        <v>64</v>
      </c>
      <c r="AC191" s="57">
        <v>707.80281288910692</v>
      </c>
      <c r="AD191" s="27" t="s">
        <v>470</v>
      </c>
      <c r="AE191" s="28">
        <f t="shared" si="68"/>
        <v>2.9372399098765687</v>
      </c>
      <c r="AF191" s="197" t="s">
        <v>470</v>
      </c>
      <c r="AG191" s="84">
        <v>470</v>
      </c>
      <c r="AH191" s="157" t="s">
        <v>469</v>
      </c>
      <c r="AI191" s="8">
        <v>0.99216192082547872</v>
      </c>
      <c r="AJ191" s="9">
        <v>51.917999999999999</v>
      </c>
      <c r="AK191" s="9">
        <v>2.7890000000000001</v>
      </c>
      <c r="AL191" s="9">
        <v>13.903</v>
      </c>
      <c r="AM191" s="189">
        <v>11.34110933004405</v>
      </c>
      <c r="AN191" s="9">
        <v>0.28499999999999998</v>
      </c>
      <c r="AO191" s="9">
        <v>6.1429999999999998</v>
      </c>
      <c r="AP191" s="9">
        <v>10.726000000000001</v>
      </c>
      <c r="AQ191" s="9">
        <v>2.5830000000000002</v>
      </c>
      <c r="AR191" s="9">
        <v>0.47599999999999998</v>
      </c>
      <c r="AS191" s="9">
        <v>0.34799999999999998</v>
      </c>
      <c r="AT191" s="190">
        <v>1168.8676178192281</v>
      </c>
      <c r="AU191" s="9">
        <v>0.5</v>
      </c>
      <c r="AV191" s="6">
        <v>279.2352790433178</v>
      </c>
      <c r="AW191" s="27" t="s">
        <v>64</v>
      </c>
      <c r="AX191" s="6">
        <v>279.2352790433178</v>
      </c>
      <c r="AY191" s="8">
        <f t="shared" si="69"/>
        <v>2.2688691175156745</v>
      </c>
      <c r="AZ191" s="9">
        <f t="shared" si="70"/>
        <v>9.299709650636121</v>
      </c>
      <c r="BA191" s="123">
        <v>49.797400000000003</v>
      </c>
      <c r="BB191" s="121">
        <v>2.7063999999999999</v>
      </c>
      <c r="BC191" s="121">
        <v>13.541499999999999</v>
      </c>
      <c r="BD191" s="121">
        <v>11.4495</v>
      </c>
      <c r="BE191" s="121">
        <v>0.16700000000000001</v>
      </c>
      <c r="BF191" s="121">
        <v>5.8262</v>
      </c>
      <c r="BG191" s="121">
        <v>10.520300000000001</v>
      </c>
      <c r="BH191" s="121">
        <v>2.5333000000000001</v>
      </c>
      <c r="BI191" s="121">
        <v>0.46689999999999998</v>
      </c>
      <c r="BJ191" s="121">
        <v>0.34110000000000001</v>
      </c>
      <c r="BK191" s="121">
        <v>0.1178101672</v>
      </c>
      <c r="BL191" s="121">
        <f t="shared" si="72"/>
        <v>97.467410167200001</v>
      </c>
      <c r="BM191" s="121">
        <v>0.30181970505053801</v>
      </c>
      <c r="BN191" s="95">
        <v>281.44123774776</v>
      </c>
      <c r="BO191" s="95" t="s">
        <v>64</v>
      </c>
      <c r="BP191" s="95">
        <v>281.44123774776</v>
      </c>
      <c r="BQ191" s="194" t="s">
        <v>469</v>
      </c>
    </row>
    <row r="192" spans="11:69" ht="14.45" customHeight="1">
      <c r="L192" s="20" t="s">
        <v>64</v>
      </c>
      <c r="M192" s="763" t="s">
        <v>459</v>
      </c>
      <c r="N192" s="15" t="s">
        <v>460</v>
      </c>
      <c r="O192" s="14" t="s">
        <v>1177</v>
      </c>
      <c r="P192" s="15" t="s">
        <v>405</v>
      </c>
      <c r="Q192" s="15" t="s">
        <v>468</v>
      </c>
      <c r="R192" s="193">
        <v>78.369186605031402</v>
      </c>
      <c r="S192" s="15" t="s">
        <v>64</v>
      </c>
      <c r="T192" s="14">
        <f t="shared" si="71"/>
        <v>1138.7003999999999</v>
      </c>
      <c r="U192" s="27" t="s">
        <v>1471</v>
      </c>
      <c r="V192" s="90" t="s">
        <v>64</v>
      </c>
      <c r="W192" s="109" t="s">
        <v>481</v>
      </c>
      <c r="X192" s="183" t="s">
        <v>64</v>
      </c>
      <c r="Y192" s="104" t="s">
        <v>64</v>
      </c>
      <c r="Z192" s="104" t="s">
        <v>64</v>
      </c>
      <c r="AA192" s="57" t="s">
        <v>64</v>
      </c>
      <c r="AB192" s="47" t="s">
        <v>64</v>
      </c>
      <c r="AC192" s="57">
        <v>530.32640200474395</v>
      </c>
      <c r="AD192" s="27" t="s">
        <v>470</v>
      </c>
      <c r="AE192" s="28">
        <f t="shared" si="68"/>
        <v>2.2399129861779872</v>
      </c>
      <c r="AF192" s="197" t="s">
        <v>470</v>
      </c>
      <c r="AG192" s="84">
        <v>350</v>
      </c>
      <c r="AH192" s="157" t="s">
        <v>469</v>
      </c>
      <c r="AI192" s="8">
        <v>0.94732853353543001</v>
      </c>
      <c r="AJ192" s="9">
        <v>51.076000000000001</v>
      </c>
      <c r="AK192" s="9">
        <v>3.198</v>
      </c>
      <c r="AL192" s="9">
        <v>13.492000000000001</v>
      </c>
      <c r="AM192" s="189">
        <v>11.469087994792849</v>
      </c>
      <c r="AN192" s="9">
        <v>0.17599999999999999</v>
      </c>
      <c r="AO192" s="9">
        <v>6.2039999999999997</v>
      </c>
      <c r="AP192" s="9">
        <v>9.9809999999999999</v>
      </c>
      <c r="AQ192" s="9">
        <v>2.657</v>
      </c>
      <c r="AR192" s="9">
        <v>0.66800000000000004</v>
      </c>
      <c r="AS192" s="9">
        <v>0.35099999999999998</v>
      </c>
      <c r="AT192" s="190">
        <v>1116.0493292913982</v>
      </c>
      <c r="AU192" s="9">
        <v>0.54503033580770699</v>
      </c>
      <c r="AV192" s="6">
        <v>209.68845746959451</v>
      </c>
      <c r="AW192" s="27" t="s">
        <v>64</v>
      </c>
      <c r="AX192" s="6">
        <v>209.68845746959454</v>
      </c>
      <c r="AY192" s="8">
        <f t="shared" si="69"/>
        <v>2.2944721543702995</v>
      </c>
      <c r="AZ192" s="9">
        <f t="shared" si="70"/>
        <v>9.4046521557301368</v>
      </c>
      <c r="BA192" s="123">
        <v>51.136899999999997</v>
      </c>
      <c r="BB192" s="121">
        <v>3.3357999999999999</v>
      </c>
      <c r="BC192" s="121">
        <v>14.072100000000001</v>
      </c>
      <c r="BD192" s="121">
        <v>10.3635</v>
      </c>
      <c r="BE192" s="121">
        <v>0.18310000000000001</v>
      </c>
      <c r="BF192" s="121">
        <v>4.5060000000000002</v>
      </c>
      <c r="BG192" s="121">
        <v>10.4102</v>
      </c>
      <c r="BH192" s="121">
        <v>2.7707999999999999</v>
      </c>
      <c r="BI192" s="121">
        <v>0.69650000000000001</v>
      </c>
      <c r="BJ192" s="121">
        <v>0.3664</v>
      </c>
      <c r="BK192" s="121">
        <v>0.1178101672</v>
      </c>
      <c r="BL192" s="121">
        <f t="shared" si="72"/>
        <v>97.959110167199995</v>
      </c>
      <c r="BM192" s="121">
        <v>0.57533402247861498</v>
      </c>
      <c r="BN192" s="95">
        <v>221.34713570490399</v>
      </c>
      <c r="BO192" s="95" t="s">
        <v>64</v>
      </c>
      <c r="BP192" s="95">
        <v>221.34713570490399</v>
      </c>
      <c r="BQ192" s="194" t="s">
        <v>469</v>
      </c>
    </row>
    <row r="193" spans="12:69" ht="14.45" customHeight="1">
      <c r="L193" s="207" t="s">
        <v>483</v>
      </c>
      <c r="M193" s="763" t="s">
        <v>459</v>
      </c>
      <c r="N193" s="15" t="s">
        <v>460</v>
      </c>
      <c r="O193" s="14" t="s">
        <v>1178</v>
      </c>
      <c r="P193" s="15" t="s">
        <v>405</v>
      </c>
      <c r="Q193" s="15" t="s">
        <v>468</v>
      </c>
      <c r="R193" s="193">
        <v>74.780411693873702</v>
      </c>
      <c r="S193" s="15" t="s">
        <v>64</v>
      </c>
      <c r="T193" s="14">
        <f t="shared" si="71"/>
        <v>1124.6907000000001</v>
      </c>
      <c r="U193" s="27" t="s">
        <v>1471</v>
      </c>
      <c r="V193" s="90" t="s">
        <v>64</v>
      </c>
      <c r="W193" s="109" t="s">
        <v>481</v>
      </c>
      <c r="X193" s="183" t="s">
        <v>64</v>
      </c>
      <c r="Y193" s="104" t="s">
        <v>64</v>
      </c>
      <c r="Z193" s="104" t="s">
        <v>64</v>
      </c>
      <c r="AA193" s="57" t="s">
        <v>64</v>
      </c>
      <c r="AB193" s="47" t="s">
        <v>64</v>
      </c>
      <c r="AC193" s="57">
        <v>470</v>
      </c>
      <c r="AD193" s="27" t="s">
        <v>470</v>
      </c>
      <c r="AE193" s="28">
        <f t="shared" si="68"/>
        <v>1.9973747731999998</v>
      </c>
      <c r="AF193" s="197" t="s">
        <v>470</v>
      </c>
      <c r="AG193" s="84">
        <v>470</v>
      </c>
      <c r="AH193" s="157" t="s">
        <v>469</v>
      </c>
      <c r="AI193" s="8">
        <v>0.97418412079883099</v>
      </c>
      <c r="AJ193" s="9">
        <v>50.906999999999996</v>
      </c>
      <c r="AK193" s="9">
        <v>3.55</v>
      </c>
      <c r="AL193" s="9">
        <v>13.156000000000001</v>
      </c>
      <c r="AM193" s="189">
        <v>12.42092931386205</v>
      </c>
      <c r="AN193" s="9">
        <v>0.184</v>
      </c>
      <c r="AO193" s="9">
        <v>5.5069999999999997</v>
      </c>
      <c r="AP193" s="9">
        <v>9.5050000000000008</v>
      </c>
      <c r="AQ193" s="9">
        <v>2.972</v>
      </c>
      <c r="AR193" s="9">
        <v>0.68799999999999994</v>
      </c>
      <c r="AS193" s="9">
        <v>0.375</v>
      </c>
      <c r="AT193" s="190">
        <v>1423.1525494398441</v>
      </c>
      <c r="AU193" s="9">
        <v>0.53536151893469097</v>
      </c>
      <c r="AV193" s="6">
        <v>293.43638887944763</v>
      </c>
      <c r="AW193" s="27" t="s">
        <v>64</v>
      </c>
      <c r="AX193" s="6">
        <v>293.43638887944763</v>
      </c>
      <c r="AY193" s="8">
        <f t="shared" si="69"/>
        <v>2.4848947409765696</v>
      </c>
      <c r="AZ193" s="9">
        <f t="shared" si="70"/>
        <v>10.185162037366883</v>
      </c>
      <c r="BA193" s="123">
        <v>50.547499999999999</v>
      </c>
      <c r="BB193" s="121">
        <v>3.5949</v>
      </c>
      <c r="BC193" s="121">
        <v>13.3238</v>
      </c>
      <c r="BD193" s="121">
        <v>12.335900000000001</v>
      </c>
      <c r="BE193" s="121">
        <v>0.18640000000000001</v>
      </c>
      <c r="BF193" s="121">
        <v>4.3624000000000001</v>
      </c>
      <c r="BG193" s="121">
        <v>9.6260999999999992</v>
      </c>
      <c r="BH193" s="121">
        <v>3.0103</v>
      </c>
      <c r="BI193" s="121">
        <v>0.69650000000000001</v>
      </c>
      <c r="BJ193" s="121">
        <v>0.37940000000000002</v>
      </c>
      <c r="BK193" s="121">
        <v>0.14608660919999999</v>
      </c>
      <c r="BL193" s="121">
        <f t="shared" si="72"/>
        <v>98.209286609199992</v>
      </c>
      <c r="BM193" s="121">
        <v>0.54954859918646004</v>
      </c>
      <c r="BN193" s="95">
        <v>301.21245318475297</v>
      </c>
      <c r="BO193" s="95" t="s">
        <v>64</v>
      </c>
      <c r="BP193" s="95">
        <v>301.21245318475297</v>
      </c>
      <c r="BQ193" s="194" t="s">
        <v>469</v>
      </c>
    </row>
    <row r="194" spans="12:69" ht="14.45" customHeight="1">
      <c r="L194" s="20" t="s">
        <v>64</v>
      </c>
      <c r="M194" s="763" t="s">
        <v>459</v>
      </c>
      <c r="N194" s="15" t="s">
        <v>460</v>
      </c>
      <c r="O194" s="14" t="s">
        <v>1179</v>
      </c>
      <c r="P194" s="15" t="s">
        <v>405</v>
      </c>
      <c r="Q194" s="15" t="s">
        <v>468</v>
      </c>
      <c r="R194" s="193">
        <v>79.173929276332601</v>
      </c>
      <c r="S194" s="15" t="s">
        <v>64</v>
      </c>
      <c r="T194" s="14">
        <f t="shared" si="71"/>
        <v>1133.6955</v>
      </c>
      <c r="U194" s="27" t="s">
        <v>1471</v>
      </c>
      <c r="V194" s="90" t="s">
        <v>64</v>
      </c>
      <c r="W194" s="109" t="s">
        <v>481</v>
      </c>
      <c r="X194" s="183" t="s">
        <v>64</v>
      </c>
      <c r="Y194" s="104" t="s">
        <v>64</v>
      </c>
      <c r="Z194" s="104" t="s">
        <v>64</v>
      </c>
      <c r="AA194" s="57" t="s">
        <v>64</v>
      </c>
      <c r="AB194" s="47" t="s">
        <v>64</v>
      </c>
      <c r="AC194" s="57">
        <v>639.00633406939698</v>
      </c>
      <c r="AD194" s="27" t="s">
        <v>470</v>
      </c>
      <c r="AE194" s="28">
        <f t="shared" si="68"/>
        <v>2.6697143641843204</v>
      </c>
      <c r="AF194" s="197" t="s">
        <v>470</v>
      </c>
      <c r="AG194" s="84">
        <v>420</v>
      </c>
      <c r="AH194" s="157" t="s">
        <v>469</v>
      </c>
      <c r="AI194" s="8">
        <v>0.92824654228163006</v>
      </c>
      <c r="AJ194" s="9">
        <v>50.908999999999999</v>
      </c>
      <c r="AK194" s="9">
        <v>3.4870000000000001</v>
      </c>
      <c r="AL194" s="9">
        <v>13.071999999999999</v>
      </c>
      <c r="AM194" s="189">
        <v>11.33311066349725</v>
      </c>
      <c r="AN194" s="9">
        <v>0.21199999999999999</v>
      </c>
      <c r="AO194" s="9">
        <v>5.9550000000000001</v>
      </c>
      <c r="AP194" s="9">
        <v>10.492000000000001</v>
      </c>
      <c r="AQ194" s="9">
        <v>2.6629999999999998</v>
      </c>
      <c r="AR194" s="9">
        <v>0.54200000000000004</v>
      </c>
      <c r="AS194" s="9">
        <v>0.33600000000000002</v>
      </c>
      <c r="AT194" s="190">
        <v>1395.9958600204216</v>
      </c>
      <c r="AU194" s="9">
        <v>0.50835172428756426</v>
      </c>
      <c r="AV194" s="6">
        <v>253.52066632726445</v>
      </c>
      <c r="AW194" s="27" t="s">
        <v>64</v>
      </c>
      <c r="AX194" s="6">
        <v>253.52066632726445</v>
      </c>
      <c r="AY194" s="8">
        <f t="shared" si="69"/>
        <v>2.2672689277122609</v>
      </c>
      <c r="AZ194" s="9">
        <f t="shared" si="70"/>
        <v>9.293150744067745</v>
      </c>
      <c r="BA194" s="123">
        <v>51.079500000000003</v>
      </c>
      <c r="BB194" s="121">
        <v>3.2111999999999998</v>
      </c>
      <c r="BC194" s="121">
        <v>14.2394</v>
      </c>
      <c r="BD194" s="121">
        <v>9.8004999999999995</v>
      </c>
      <c r="BE194" s="121">
        <v>0.17080000000000001</v>
      </c>
      <c r="BF194" s="121">
        <v>4.0016999999999996</v>
      </c>
      <c r="BG194" s="121">
        <v>11.0479</v>
      </c>
      <c r="BH194" s="121">
        <v>2.8043999999999998</v>
      </c>
      <c r="BI194" s="121">
        <v>0.57099999999999995</v>
      </c>
      <c r="BJ194" s="121">
        <v>0.35410000000000003</v>
      </c>
      <c r="BK194" s="121">
        <v>0.150390634</v>
      </c>
      <c r="BL194" s="121">
        <f t="shared" si="72"/>
        <v>97.430890634000008</v>
      </c>
      <c r="BM194" s="121">
        <v>0.54764731257499299</v>
      </c>
      <c r="BN194" s="95">
        <v>273.11781383436198</v>
      </c>
      <c r="BO194" s="95" t="s">
        <v>64</v>
      </c>
      <c r="BP194" s="95">
        <v>273.11781383436198</v>
      </c>
      <c r="BQ194" s="194" t="s">
        <v>469</v>
      </c>
    </row>
    <row r="195" spans="12:69" ht="14.45" customHeight="1">
      <c r="L195" s="20" t="s">
        <v>64</v>
      </c>
      <c r="M195" s="763" t="s">
        <v>459</v>
      </c>
      <c r="N195" s="15" t="s">
        <v>460</v>
      </c>
      <c r="O195" s="14" t="s">
        <v>1180</v>
      </c>
      <c r="P195" s="15" t="s">
        <v>405</v>
      </c>
      <c r="Q195" s="15" t="s">
        <v>468</v>
      </c>
      <c r="R195" s="193">
        <v>78.169039913623195</v>
      </c>
      <c r="S195" s="15" t="s">
        <v>64</v>
      </c>
      <c r="T195" s="14">
        <f t="shared" si="71"/>
        <v>1137.3335999999999</v>
      </c>
      <c r="U195" s="27" t="s">
        <v>1471</v>
      </c>
      <c r="V195" s="90" t="s">
        <v>64</v>
      </c>
      <c r="W195" s="109" t="s">
        <v>481</v>
      </c>
      <c r="X195" s="183" t="s">
        <v>64</v>
      </c>
      <c r="Y195" s="104" t="s">
        <v>64</v>
      </c>
      <c r="Z195" s="104" t="s">
        <v>64</v>
      </c>
      <c r="AA195" s="57" t="s">
        <v>64</v>
      </c>
      <c r="AB195" s="47" t="s">
        <v>64</v>
      </c>
      <c r="AC195" s="57">
        <v>368.01687598375202</v>
      </c>
      <c r="AD195" s="27" t="s">
        <v>470</v>
      </c>
      <c r="AE195" s="28">
        <f t="shared" si="68"/>
        <v>1.580618129583244</v>
      </c>
      <c r="AF195" s="197" t="s">
        <v>470</v>
      </c>
      <c r="AG195" s="84">
        <v>290</v>
      </c>
      <c r="AH195" s="157" t="s">
        <v>469</v>
      </c>
      <c r="AI195" s="8">
        <v>0.90407738902450041</v>
      </c>
      <c r="AJ195" s="9">
        <v>53.037999999999997</v>
      </c>
      <c r="AK195" s="9">
        <v>1.9770000000000001</v>
      </c>
      <c r="AL195" s="9">
        <v>13.631</v>
      </c>
      <c r="AM195" s="189">
        <v>11.46508866151945</v>
      </c>
      <c r="AN195" s="9">
        <v>0.114</v>
      </c>
      <c r="AO195" s="9">
        <v>6.1360000000000001</v>
      </c>
      <c r="AP195" s="9">
        <v>7.7869999999999999</v>
      </c>
      <c r="AQ195" s="9">
        <v>3.6909999999999998</v>
      </c>
      <c r="AR195" s="9">
        <v>0.752</v>
      </c>
      <c r="AS195" s="9">
        <v>0.63400000000000001</v>
      </c>
      <c r="AT195" s="190">
        <v>908.54329988246991</v>
      </c>
      <c r="AU195" s="9">
        <v>0.60196105074851503</v>
      </c>
      <c r="AV195" s="6">
        <v>166.1736347131959</v>
      </c>
      <c r="AW195" s="27" t="s">
        <v>64</v>
      </c>
      <c r="AX195" s="6">
        <v>166.1736347131959</v>
      </c>
      <c r="AY195" s="8">
        <f t="shared" si="69"/>
        <v>2.2936720594685922</v>
      </c>
      <c r="AZ195" s="9">
        <f t="shared" si="70"/>
        <v>9.4013727024459506</v>
      </c>
      <c r="BA195" s="123">
        <v>54.628900000000002</v>
      </c>
      <c r="BB195" s="121">
        <v>2.1899000000000002</v>
      </c>
      <c r="BC195" s="121">
        <v>15.097200000000001</v>
      </c>
      <c r="BD195" s="121">
        <v>8.8114000000000008</v>
      </c>
      <c r="BE195" s="121">
        <v>0.1258</v>
      </c>
      <c r="BF195" s="121">
        <v>3.4582999999999999</v>
      </c>
      <c r="BG195" s="121">
        <v>8.625</v>
      </c>
      <c r="BH195" s="121">
        <v>4.0880999999999998</v>
      </c>
      <c r="BI195" s="121">
        <v>0.83240000000000003</v>
      </c>
      <c r="BJ195" s="121">
        <v>0.70199999999999996</v>
      </c>
      <c r="BK195" s="121">
        <v>0.10049397440000001</v>
      </c>
      <c r="BL195" s="121">
        <f t="shared" si="72"/>
        <v>98.659493974399993</v>
      </c>
      <c r="BM195" s="121">
        <v>0.665829118232932</v>
      </c>
      <c r="BN195" s="95">
        <v>183.80465735626601</v>
      </c>
      <c r="BO195" s="95" t="s">
        <v>64</v>
      </c>
      <c r="BP195" s="95">
        <v>183.80465735626601</v>
      </c>
      <c r="BQ195" s="194" t="s">
        <v>469</v>
      </c>
    </row>
    <row r="196" spans="12:69" ht="14.45" customHeight="1">
      <c r="L196" s="20" t="s">
        <v>64</v>
      </c>
      <c r="M196" s="763" t="s">
        <v>459</v>
      </c>
      <c r="N196" s="15" t="s">
        <v>460</v>
      </c>
      <c r="O196" s="14" t="s">
        <v>1181</v>
      </c>
      <c r="P196" s="15" t="s">
        <v>405</v>
      </c>
      <c r="Q196" s="15" t="s">
        <v>468</v>
      </c>
      <c r="R196" s="193">
        <v>77.3087373184743</v>
      </c>
      <c r="S196" s="15" t="s">
        <v>64</v>
      </c>
      <c r="T196" s="14">
        <f t="shared" si="71"/>
        <v>1141.6550999999999</v>
      </c>
      <c r="U196" s="27" t="s">
        <v>300</v>
      </c>
      <c r="V196" s="90" t="s">
        <v>64</v>
      </c>
      <c r="W196" s="109" t="s">
        <v>64</v>
      </c>
      <c r="X196" s="183" t="s">
        <v>64</v>
      </c>
      <c r="Y196" s="104" t="s">
        <v>64</v>
      </c>
      <c r="Z196" s="104" t="s">
        <v>64</v>
      </c>
      <c r="AA196" s="57" t="s">
        <v>64</v>
      </c>
      <c r="AB196" s="47" t="s">
        <v>64</v>
      </c>
      <c r="AC196" s="57">
        <v>627.57009498319894</v>
      </c>
      <c r="AD196" s="27" t="s">
        <v>470</v>
      </c>
      <c r="AE196" s="28">
        <f t="shared" si="68"/>
        <v>2.6249072133652223</v>
      </c>
      <c r="AF196" s="197" t="s">
        <v>470</v>
      </c>
      <c r="AG196" s="84">
        <v>440</v>
      </c>
      <c r="AH196" s="157" t="s">
        <v>469</v>
      </c>
      <c r="AI196" s="8">
        <v>1.0062386798148522</v>
      </c>
      <c r="AJ196" s="9">
        <v>51.701999999999998</v>
      </c>
      <c r="AK196" s="9">
        <v>2.754</v>
      </c>
      <c r="AL196" s="9">
        <v>13.73</v>
      </c>
      <c r="AM196" s="189">
        <v>11.690051158148201</v>
      </c>
      <c r="AN196" s="9">
        <v>0.28100000000000003</v>
      </c>
      <c r="AO196" s="9">
        <v>6.351</v>
      </c>
      <c r="AP196" s="9">
        <v>9.6920000000000002</v>
      </c>
      <c r="AQ196" s="9">
        <v>2.8220000000000001</v>
      </c>
      <c r="AR196" s="9">
        <v>0.74</v>
      </c>
      <c r="AS196" s="9">
        <v>0.39900000000000002</v>
      </c>
      <c r="AT196" s="190">
        <v>1358.6865204266453</v>
      </c>
      <c r="AU196" s="9">
        <v>0.5</v>
      </c>
      <c r="AV196" s="6">
        <v>270.1485125101147</v>
      </c>
      <c r="AW196" s="27" t="s">
        <v>64</v>
      </c>
      <c r="AX196" s="6">
        <v>270.1485125101147</v>
      </c>
      <c r="AY196" s="8">
        <f t="shared" si="69"/>
        <v>2.338677397689612</v>
      </c>
      <c r="AZ196" s="9">
        <f t="shared" si="70"/>
        <v>9.5858419496815248</v>
      </c>
      <c r="BA196" s="123">
        <v>50.401299999999999</v>
      </c>
      <c r="BB196" s="121">
        <v>3.3875000000000002</v>
      </c>
      <c r="BC196" s="121">
        <v>13.1508</v>
      </c>
      <c r="BD196" s="121">
        <v>11.9817</v>
      </c>
      <c r="BE196" s="121">
        <v>0.192</v>
      </c>
      <c r="BF196" s="121">
        <v>5.8113999999999999</v>
      </c>
      <c r="BG196" s="121">
        <v>9.4608000000000008</v>
      </c>
      <c r="BH196" s="121">
        <v>2.7544</v>
      </c>
      <c r="BI196" s="121">
        <v>0.72230000000000005</v>
      </c>
      <c r="BJ196" s="121">
        <v>0.38929999999999998</v>
      </c>
      <c r="BK196" s="121">
        <v>0.13502626640000001</v>
      </c>
      <c r="BL196" s="121">
        <f t="shared" si="72"/>
        <v>98.386526266400026</v>
      </c>
      <c r="BM196" s="121">
        <v>0.29130206511170997</v>
      </c>
      <c r="BN196" s="95">
        <v>268.47359173255199</v>
      </c>
      <c r="BO196" s="95" t="s">
        <v>64</v>
      </c>
      <c r="BP196" s="95">
        <v>268.47359173255199</v>
      </c>
      <c r="BQ196" s="194" t="s">
        <v>469</v>
      </c>
    </row>
    <row r="197" spans="12:69" ht="14.45" customHeight="1">
      <c r="L197" s="20" t="s">
        <v>64</v>
      </c>
      <c r="M197" s="763" t="s">
        <v>459</v>
      </c>
      <c r="N197" s="15" t="s">
        <v>460</v>
      </c>
      <c r="O197" s="14" t="s">
        <v>1182</v>
      </c>
      <c r="P197" s="15" t="s">
        <v>405</v>
      </c>
      <c r="Q197" s="15" t="s">
        <v>468</v>
      </c>
      <c r="R197" s="193">
        <v>77.3087373184743</v>
      </c>
      <c r="S197" s="15" t="s">
        <v>64</v>
      </c>
      <c r="T197" s="14">
        <f t="shared" si="71"/>
        <v>1134.0774000000001</v>
      </c>
      <c r="U197" s="27" t="s">
        <v>300</v>
      </c>
      <c r="V197" s="90" t="s">
        <v>64</v>
      </c>
      <c r="W197" s="109" t="s">
        <v>64</v>
      </c>
      <c r="X197" s="183" t="s">
        <v>64</v>
      </c>
      <c r="Y197" s="104" t="s">
        <v>64</v>
      </c>
      <c r="Z197" s="104" t="s">
        <v>64</v>
      </c>
      <c r="AA197" s="57" t="s">
        <v>64</v>
      </c>
      <c r="AB197" s="47" t="s">
        <v>64</v>
      </c>
      <c r="AC197" s="57">
        <v>634.30831179267102</v>
      </c>
      <c r="AD197" s="27" t="s">
        <v>470</v>
      </c>
      <c r="AE197" s="28">
        <f t="shared" si="68"/>
        <v>2.6513192643426016</v>
      </c>
      <c r="AF197" s="197" t="s">
        <v>470</v>
      </c>
      <c r="AG197" s="84">
        <v>440</v>
      </c>
      <c r="AH197" s="157" t="s">
        <v>469</v>
      </c>
      <c r="AI197" s="8">
        <v>1.0161568946245301</v>
      </c>
      <c r="AJ197" s="9">
        <v>51.061999999999998</v>
      </c>
      <c r="AK197" s="9">
        <v>2.7749999999999999</v>
      </c>
      <c r="AL197" s="9">
        <v>13.885</v>
      </c>
      <c r="AM197" s="189">
        <v>11.684052158238099</v>
      </c>
      <c r="AN197" s="9">
        <v>0.17100000000000001</v>
      </c>
      <c r="AO197" s="9">
        <v>5.9740000000000002</v>
      </c>
      <c r="AP197" s="9">
        <v>9.74</v>
      </c>
      <c r="AQ197" s="9">
        <v>2.6869999999999998</v>
      </c>
      <c r="AR197" s="9">
        <v>0.67600000000000005</v>
      </c>
      <c r="AS197" s="9">
        <v>0.38600000000000001</v>
      </c>
      <c r="AT197" s="190">
        <v>1446.8361548623109</v>
      </c>
      <c r="AU197" s="9">
        <v>0.5</v>
      </c>
      <c r="AV197" s="6">
        <v>263.63569749214003</v>
      </c>
      <c r="AW197" s="27" t="s">
        <v>64</v>
      </c>
      <c r="AX197" s="6">
        <v>263.63569749214003</v>
      </c>
      <c r="AY197" s="8">
        <f t="shared" si="69"/>
        <v>2.3374772553370513</v>
      </c>
      <c r="AZ197" s="9">
        <f t="shared" si="70"/>
        <v>9.5809227697552437</v>
      </c>
      <c r="BA197" s="123">
        <v>50.617899999999999</v>
      </c>
      <c r="BB197" s="121">
        <v>3.3725000000000001</v>
      </c>
      <c r="BC197" s="121">
        <v>12.8954</v>
      </c>
      <c r="BD197" s="121">
        <v>12.6313</v>
      </c>
      <c r="BE197" s="121">
        <v>0.21990000000000001</v>
      </c>
      <c r="BF197" s="121">
        <v>5.8411</v>
      </c>
      <c r="BG197" s="121">
        <v>9.4298000000000002</v>
      </c>
      <c r="BH197" s="121">
        <v>2.6013999999999999</v>
      </c>
      <c r="BI197" s="121">
        <v>0.65490000000000004</v>
      </c>
      <c r="BJ197" s="121">
        <v>0.37380000000000002</v>
      </c>
      <c r="BK197" s="121">
        <v>0.14238314600000002</v>
      </c>
      <c r="BL197" s="121">
        <f t="shared" si="72"/>
        <v>98.780383145999991</v>
      </c>
      <c r="BM197" s="121">
        <v>0.284634155611591</v>
      </c>
      <c r="BN197" s="95">
        <v>259.44388990201497</v>
      </c>
      <c r="BO197" s="95" t="s">
        <v>64</v>
      </c>
      <c r="BP197" s="95">
        <v>259.44388990201497</v>
      </c>
      <c r="BQ197" s="194" t="s">
        <v>469</v>
      </c>
    </row>
    <row r="198" spans="12:69" ht="14.45" customHeight="1">
      <c r="L198" s="20" t="s">
        <v>64</v>
      </c>
      <c r="M198" s="763" t="s">
        <v>459</v>
      </c>
      <c r="N198" s="15" t="s">
        <v>460</v>
      </c>
      <c r="O198" s="14" t="s">
        <v>1183</v>
      </c>
      <c r="P198" s="15" t="s">
        <v>405</v>
      </c>
      <c r="Q198" s="15" t="s">
        <v>468</v>
      </c>
      <c r="R198" s="193">
        <v>77.481207422707499</v>
      </c>
      <c r="S198" s="15" t="s">
        <v>64</v>
      </c>
      <c r="T198" s="14">
        <f t="shared" si="71"/>
        <v>1137.7556999999999</v>
      </c>
      <c r="U198" s="27" t="s">
        <v>300</v>
      </c>
      <c r="V198" s="90" t="s">
        <v>64</v>
      </c>
      <c r="W198" s="109" t="s">
        <v>64</v>
      </c>
      <c r="X198" s="183" t="s">
        <v>64</v>
      </c>
      <c r="Y198" s="104" t="s">
        <v>64</v>
      </c>
      <c r="Z198" s="104" t="s">
        <v>64</v>
      </c>
      <c r="AA198" s="57" t="s">
        <v>64</v>
      </c>
      <c r="AB198" s="47" t="s">
        <v>64</v>
      </c>
      <c r="AC198" s="57">
        <v>617.13247129869012</v>
      </c>
      <c r="AD198" s="27" t="s">
        <v>470</v>
      </c>
      <c r="AE198" s="28">
        <f t="shared" si="68"/>
        <v>2.5839277134121401</v>
      </c>
      <c r="AF198" s="197" t="s">
        <v>470</v>
      </c>
      <c r="AG198" s="84">
        <v>440</v>
      </c>
      <c r="AH198" s="157" t="s">
        <v>469</v>
      </c>
      <c r="AI198" s="8">
        <v>1.0187449062754685</v>
      </c>
      <c r="AJ198" s="9">
        <v>51.451000000000001</v>
      </c>
      <c r="AK198" s="9">
        <v>2.8220000000000001</v>
      </c>
      <c r="AL198" s="9">
        <v>14.12</v>
      </c>
      <c r="AM198" s="189">
        <v>11.643058992185749</v>
      </c>
      <c r="AN198" s="9">
        <v>0.17399999999999999</v>
      </c>
      <c r="AO198" s="9">
        <v>6.157</v>
      </c>
      <c r="AP198" s="9">
        <v>9.7889999999999997</v>
      </c>
      <c r="AQ198" s="9">
        <v>2.8690000000000002</v>
      </c>
      <c r="AR198" s="9">
        <v>0.752</v>
      </c>
      <c r="AS198" s="9">
        <v>0.40500000000000003</v>
      </c>
      <c r="AT198" s="190">
        <v>1412.2823553382232</v>
      </c>
      <c r="AU198" s="9">
        <v>0.5</v>
      </c>
      <c r="AV198" s="6">
        <v>270.3355732433547</v>
      </c>
      <c r="AW198" s="27" t="s">
        <v>64</v>
      </c>
      <c r="AX198" s="6">
        <v>270.3355732433547</v>
      </c>
      <c r="AY198" s="8">
        <f t="shared" si="69"/>
        <v>2.3292762825945545</v>
      </c>
      <c r="AZ198" s="9">
        <f t="shared" si="70"/>
        <v>9.5473083735923137</v>
      </c>
      <c r="BA198" s="123">
        <v>49.438000000000002</v>
      </c>
      <c r="BB198" s="121">
        <v>3.3603000000000001</v>
      </c>
      <c r="BC198" s="121">
        <v>12.711499999999999</v>
      </c>
      <c r="BD198" s="121">
        <v>12.426399999999999</v>
      </c>
      <c r="BE198" s="121">
        <v>0.16819999999999999</v>
      </c>
      <c r="BF198" s="121">
        <v>5.8464</v>
      </c>
      <c r="BG198" s="121">
        <v>9.3020999999999994</v>
      </c>
      <c r="BH198" s="121">
        <v>2.7265000000000001</v>
      </c>
      <c r="BI198" s="121">
        <v>0.71499999999999997</v>
      </c>
      <c r="BJ198" s="121">
        <v>0.3846</v>
      </c>
      <c r="BK198" s="121">
        <v>0.138629636</v>
      </c>
      <c r="BL198" s="121">
        <f t="shared" si="72"/>
        <v>97.217629636000012</v>
      </c>
      <c r="BM198" s="121">
        <v>0.29147505725801798</v>
      </c>
      <c r="BN198" s="95">
        <v>265.361398695677</v>
      </c>
      <c r="BO198" s="95" t="s">
        <v>64</v>
      </c>
      <c r="BP198" s="95">
        <v>265.361398695677</v>
      </c>
      <c r="BQ198" s="194" t="s">
        <v>469</v>
      </c>
    </row>
    <row r="199" spans="12:69" ht="14.45" customHeight="1">
      <c r="L199" s="20" t="s">
        <v>64</v>
      </c>
      <c r="M199" s="763" t="s">
        <v>459</v>
      </c>
      <c r="N199" s="15" t="s">
        <v>460</v>
      </c>
      <c r="O199" s="14" t="s">
        <v>1184</v>
      </c>
      <c r="P199" s="15" t="s">
        <v>405</v>
      </c>
      <c r="Q199" s="15" t="s">
        <v>468</v>
      </c>
      <c r="R199" s="193">
        <v>77.481207422707499</v>
      </c>
      <c r="S199" s="15" t="s">
        <v>64</v>
      </c>
      <c r="T199" s="14">
        <f t="shared" si="71"/>
        <v>1145.3937000000001</v>
      </c>
      <c r="U199" s="27" t="s">
        <v>300</v>
      </c>
      <c r="V199" s="90" t="s">
        <v>64</v>
      </c>
      <c r="W199" s="109" t="s">
        <v>64</v>
      </c>
      <c r="X199" s="183" t="s">
        <v>64</v>
      </c>
      <c r="Y199" s="104" t="s">
        <v>64</v>
      </c>
      <c r="Z199" s="104" t="s">
        <v>64</v>
      </c>
      <c r="AA199" s="57" t="s">
        <v>64</v>
      </c>
      <c r="AB199" s="47" t="s">
        <v>64</v>
      </c>
      <c r="AC199" s="57">
        <v>631.17542257493415</v>
      </c>
      <c r="AD199" s="27" t="s">
        <v>470</v>
      </c>
      <c r="AE199" s="28">
        <f t="shared" si="68"/>
        <v>2.6390433504436834</v>
      </c>
      <c r="AF199" s="197" t="s">
        <v>470</v>
      </c>
      <c r="AG199" s="84">
        <v>460</v>
      </c>
      <c r="AH199" s="157" t="s">
        <v>469</v>
      </c>
      <c r="AI199" s="8">
        <v>1.0163634515702815</v>
      </c>
      <c r="AJ199" s="9">
        <v>51.078000000000003</v>
      </c>
      <c r="AK199" s="9">
        <v>2.7589999999999999</v>
      </c>
      <c r="AL199" s="9">
        <v>13.805999999999999</v>
      </c>
      <c r="AM199" s="189">
        <v>11.641059325549049</v>
      </c>
      <c r="AN199" s="9">
        <v>0.17</v>
      </c>
      <c r="AO199" s="9">
        <v>6.5369999999999999</v>
      </c>
      <c r="AP199" s="9">
        <v>9.7100000000000009</v>
      </c>
      <c r="AQ199" s="9">
        <v>2.9289999999999998</v>
      </c>
      <c r="AR199" s="9">
        <v>0.70099999999999996</v>
      </c>
      <c r="AS199" s="9">
        <v>0.39900000000000002</v>
      </c>
      <c r="AT199" s="190">
        <v>1448.6562292915946</v>
      </c>
      <c r="AU199" s="9">
        <v>0.5</v>
      </c>
      <c r="AV199" s="6">
        <v>285.62211907738589</v>
      </c>
      <c r="AW199" s="27" t="s">
        <v>64</v>
      </c>
      <c r="AX199" s="6">
        <v>285.62211907738589</v>
      </c>
      <c r="AY199" s="8">
        <f t="shared" si="69"/>
        <v>2.3288762351437007</v>
      </c>
      <c r="AZ199" s="9">
        <f t="shared" si="70"/>
        <v>9.5456686469502205</v>
      </c>
      <c r="BA199" s="123">
        <v>49.668900000000001</v>
      </c>
      <c r="BB199" s="121">
        <v>3.4022000000000001</v>
      </c>
      <c r="BC199" s="121">
        <v>12.7531</v>
      </c>
      <c r="BD199" s="121">
        <v>12.404299999999999</v>
      </c>
      <c r="BE199" s="121">
        <v>0.20649999999999999</v>
      </c>
      <c r="BF199" s="121">
        <v>5.8101000000000003</v>
      </c>
      <c r="BG199" s="121">
        <v>9.2790999999999997</v>
      </c>
      <c r="BH199" s="121">
        <v>2.7988</v>
      </c>
      <c r="BI199" s="121">
        <v>0.67010000000000003</v>
      </c>
      <c r="BJ199" s="121">
        <v>0.38169999999999998</v>
      </c>
      <c r="BK199" s="121">
        <v>0.14253328639999999</v>
      </c>
      <c r="BL199" s="121">
        <f t="shared" si="72"/>
        <v>97.517333286400003</v>
      </c>
      <c r="BM199" s="121">
        <v>0.29395578391055099</v>
      </c>
      <c r="BN199" s="95">
        <v>281.02360296024</v>
      </c>
      <c r="BO199" s="95" t="s">
        <v>64</v>
      </c>
      <c r="BP199" s="95">
        <v>281.02360296024</v>
      </c>
      <c r="BQ199" s="194" t="s">
        <v>469</v>
      </c>
    </row>
    <row r="200" spans="12:69" ht="14.45" customHeight="1">
      <c r="L200" s="20" t="s">
        <v>64</v>
      </c>
      <c r="M200" s="763" t="s">
        <v>459</v>
      </c>
      <c r="N200" s="15" t="s">
        <v>460</v>
      </c>
      <c r="O200" s="14" t="s">
        <v>1185</v>
      </c>
      <c r="P200" s="15" t="s">
        <v>405</v>
      </c>
      <c r="Q200" s="15" t="s">
        <v>468</v>
      </c>
      <c r="R200" s="193">
        <v>78.682464934555597</v>
      </c>
      <c r="S200" s="15" t="s">
        <v>64</v>
      </c>
      <c r="T200" s="14">
        <f t="shared" si="71"/>
        <v>1132.6704</v>
      </c>
      <c r="U200" s="27" t="s">
        <v>300</v>
      </c>
      <c r="V200" s="90" t="s">
        <v>64</v>
      </c>
      <c r="W200" s="109" t="s">
        <v>64</v>
      </c>
      <c r="X200" s="183" t="s">
        <v>64</v>
      </c>
      <c r="Y200" s="104" t="s">
        <v>64</v>
      </c>
      <c r="Z200" s="104" t="s">
        <v>64</v>
      </c>
      <c r="AA200" s="57" t="s">
        <v>64</v>
      </c>
      <c r="AB200" s="47" t="s">
        <v>64</v>
      </c>
      <c r="AC200" s="57">
        <v>257.02332277507998</v>
      </c>
      <c r="AD200" s="27" t="s">
        <v>470</v>
      </c>
      <c r="AE200" s="28">
        <f t="shared" si="68"/>
        <v>1.1169722880780761</v>
      </c>
      <c r="AF200" s="197" t="s">
        <v>470</v>
      </c>
      <c r="AG200" s="84">
        <v>160</v>
      </c>
      <c r="AH200" s="157" t="s">
        <v>469</v>
      </c>
      <c r="AI200" s="8">
        <v>0.99700897308075787</v>
      </c>
      <c r="AJ200" s="9">
        <v>51.204000000000001</v>
      </c>
      <c r="AK200" s="9">
        <v>3.4409999999999998</v>
      </c>
      <c r="AL200" s="9">
        <v>13.36</v>
      </c>
      <c r="AM200" s="189">
        <v>11.451090995062549</v>
      </c>
      <c r="AN200" s="9">
        <v>0.19500000000000001</v>
      </c>
      <c r="AO200" s="9">
        <v>5.9039999999999999</v>
      </c>
      <c r="AP200" s="9">
        <v>10.712</v>
      </c>
      <c r="AQ200" s="9">
        <v>2.3780000000000001</v>
      </c>
      <c r="AR200" s="9">
        <v>0.48199999999999998</v>
      </c>
      <c r="AS200" s="9">
        <v>0.27900000000000003</v>
      </c>
      <c r="AT200" s="190">
        <v>402.17069591226328</v>
      </c>
      <c r="AU200" s="9">
        <v>0.5</v>
      </c>
      <c r="AV200" s="6">
        <v>82.489385895003991</v>
      </c>
      <c r="AW200" s="27" t="s">
        <v>64</v>
      </c>
      <c r="AX200" s="6">
        <v>82.489385895003991</v>
      </c>
      <c r="AY200" s="8">
        <f t="shared" si="69"/>
        <v>2.2908717273126173</v>
      </c>
      <c r="AZ200" s="9">
        <f t="shared" si="70"/>
        <v>9.3898946159512917</v>
      </c>
      <c r="BA200" s="123">
        <v>50.927799999999998</v>
      </c>
      <c r="BB200" s="121">
        <v>2.5508999999999999</v>
      </c>
      <c r="BC200" s="121">
        <v>13.0451</v>
      </c>
      <c r="BD200" s="121">
        <v>11.4156</v>
      </c>
      <c r="BE200" s="121">
        <v>9.2100000000000001E-2</v>
      </c>
      <c r="BF200" s="121">
        <v>5.9013</v>
      </c>
      <c r="BG200" s="121">
        <v>10.479699999999999</v>
      </c>
      <c r="BH200" s="121">
        <v>2.3264</v>
      </c>
      <c r="BI200" s="121">
        <v>0.47149999999999997</v>
      </c>
      <c r="BJ200" s="121">
        <v>0.27300000000000002</v>
      </c>
      <c r="BK200" s="121">
        <v>4.0337720799999997E-2</v>
      </c>
      <c r="BL200" s="121">
        <f t="shared" si="72"/>
        <v>97.5237377208</v>
      </c>
      <c r="BM200" s="121">
        <v>0.27175660058441697</v>
      </c>
      <c r="BN200" s="95">
        <v>82.736854052688997</v>
      </c>
      <c r="BO200" s="95" t="s">
        <v>64</v>
      </c>
      <c r="BP200" s="95">
        <v>82.736854052688997</v>
      </c>
      <c r="BQ200" s="194" t="s">
        <v>469</v>
      </c>
    </row>
    <row r="201" spans="12:69" ht="14.45" customHeight="1">
      <c r="L201" s="20" t="s">
        <v>64</v>
      </c>
      <c r="M201" s="763" t="s">
        <v>459</v>
      </c>
      <c r="N201" s="15" t="s">
        <v>460</v>
      </c>
      <c r="O201" s="14" t="s">
        <v>1186</v>
      </c>
      <c r="P201" s="15" t="s">
        <v>405</v>
      </c>
      <c r="Q201" s="15" t="s">
        <v>468</v>
      </c>
      <c r="R201" s="193">
        <v>80.356010817135399</v>
      </c>
      <c r="S201" s="15" t="s">
        <v>64</v>
      </c>
      <c r="T201" s="14">
        <f t="shared" si="71"/>
        <v>1163.5641000000001</v>
      </c>
      <c r="U201" s="27" t="s">
        <v>300</v>
      </c>
      <c r="V201" s="90" t="s">
        <v>64</v>
      </c>
      <c r="W201" s="109" t="s">
        <v>64</v>
      </c>
      <c r="X201" s="183" t="s">
        <v>64</v>
      </c>
      <c r="Y201" s="104" t="s">
        <v>64</v>
      </c>
      <c r="Z201" s="104" t="s">
        <v>64</v>
      </c>
      <c r="AA201" s="57" t="s">
        <v>64</v>
      </c>
      <c r="AB201" s="47" t="s">
        <v>64</v>
      </c>
      <c r="AC201" s="57">
        <v>321.0226107695853</v>
      </c>
      <c r="AD201" s="27" t="s">
        <v>470</v>
      </c>
      <c r="AE201" s="28">
        <f t="shared" si="68"/>
        <v>1.3856237549425727</v>
      </c>
      <c r="AF201" s="197" t="s">
        <v>470</v>
      </c>
      <c r="AG201" s="84">
        <v>210</v>
      </c>
      <c r="AH201" s="157" t="s">
        <v>469</v>
      </c>
      <c r="AI201" s="8">
        <v>0.96190842631781448</v>
      </c>
      <c r="AJ201" s="9">
        <v>51.372999999999998</v>
      </c>
      <c r="AK201" s="9">
        <v>2.452</v>
      </c>
      <c r="AL201" s="9">
        <v>13.193</v>
      </c>
      <c r="AM201" s="189">
        <v>11.368104829639499</v>
      </c>
      <c r="AN201" s="9">
        <v>0.19400000000000001</v>
      </c>
      <c r="AO201" s="9">
        <v>7.4409999999999998</v>
      </c>
      <c r="AP201" s="9">
        <v>10.44</v>
      </c>
      <c r="AQ201" s="9">
        <v>2.4089999999999998</v>
      </c>
      <c r="AR201" s="9">
        <v>0.40699999999999997</v>
      </c>
      <c r="AS201" s="9">
        <v>0.26900000000000002</v>
      </c>
      <c r="AT201" s="190">
        <v>705.73883031935361</v>
      </c>
      <c r="AU201" s="9">
        <v>0.5</v>
      </c>
      <c r="AV201" s="6">
        <v>115.9403782128482</v>
      </c>
      <c r="AW201" s="27" t="s">
        <v>64</v>
      </c>
      <c r="AX201" s="6">
        <v>115.94037821284819</v>
      </c>
      <c r="AY201" s="8">
        <f t="shared" si="69"/>
        <v>2.2742697581021969</v>
      </c>
      <c r="AZ201" s="9">
        <f t="shared" si="70"/>
        <v>9.3218459603043904</v>
      </c>
      <c r="BA201" s="123">
        <v>50.960900000000002</v>
      </c>
      <c r="BB201" s="121">
        <v>2.5053000000000001</v>
      </c>
      <c r="BC201" s="121">
        <v>13.4781</v>
      </c>
      <c r="BD201" s="121">
        <v>10.7936</v>
      </c>
      <c r="BE201" s="121">
        <v>0.1754</v>
      </c>
      <c r="BF201" s="121">
        <v>6.0494000000000003</v>
      </c>
      <c r="BG201" s="121">
        <v>10.644</v>
      </c>
      <c r="BH201" s="121">
        <v>2.4615</v>
      </c>
      <c r="BI201" s="121">
        <v>0.4158</v>
      </c>
      <c r="BJ201" s="121">
        <v>0.27479999999999999</v>
      </c>
      <c r="BK201" s="121">
        <v>7.3368608799999999E-2</v>
      </c>
      <c r="BL201" s="121">
        <f t="shared" si="72"/>
        <v>97.832168608800004</v>
      </c>
      <c r="BM201" s="121">
        <v>0.28886468668497201</v>
      </c>
      <c r="BN201" s="95">
        <v>120.531617190077</v>
      </c>
      <c r="BO201" s="95" t="s">
        <v>64</v>
      </c>
      <c r="BP201" s="95">
        <v>120.531617190077</v>
      </c>
      <c r="BQ201" s="194" t="s">
        <v>469</v>
      </c>
    </row>
    <row r="202" spans="12:69" ht="14.45" customHeight="1">
      <c r="L202" s="20" t="s">
        <v>64</v>
      </c>
      <c r="M202" s="763" t="s">
        <v>459</v>
      </c>
      <c r="N202" s="15" t="s">
        <v>460</v>
      </c>
      <c r="O202" s="14" t="s">
        <v>1187</v>
      </c>
      <c r="P202" s="15" t="s">
        <v>405</v>
      </c>
      <c r="Q202" s="15" t="s">
        <v>468</v>
      </c>
      <c r="R202" s="193">
        <v>80.356010817135399</v>
      </c>
      <c r="S202" s="15" t="s">
        <v>64</v>
      </c>
      <c r="T202" s="14">
        <f t="shared" si="71"/>
        <v>1162.941</v>
      </c>
      <c r="U202" s="27" t="s">
        <v>300</v>
      </c>
      <c r="V202" s="90" t="s">
        <v>64</v>
      </c>
      <c r="W202" s="109" t="s">
        <v>64</v>
      </c>
      <c r="X202" s="183" t="s">
        <v>64</v>
      </c>
      <c r="Y202" s="104" t="s">
        <v>64</v>
      </c>
      <c r="Z202" s="104" t="s">
        <v>64</v>
      </c>
      <c r="AA202" s="57" t="s">
        <v>64</v>
      </c>
      <c r="AB202" s="47" t="s">
        <v>64</v>
      </c>
      <c r="AC202" s="57">
        <v>324.41305248030199</v>
      </c>
      <c r="AD202" s="27" t="s">
        <v>470</v>
      </c>
      <c r="AE202" s="28">
        <f t="shared" si="68"/>
        <v>1.3997555802783488</v>
      </c>
      <c r="AF202" s="197" t="s">
        <v>470</v>
      </c>
      <c r="AG202" s="84">
        <v>210</v>
      </c>
      <c r="AH202" s="157" t="s">
        <v>469</v>
      </c>
      <c r="AI202" s="8">
        <v>0.9664637092877163</v>
      </c>
      <c r="AJ202" s="9">
        <v>51.29</v>
      </c>
      <c r="AK202" s="9">
        <v>2.3740000000000001</v>
      </c>
      <c r="AL202" s="9">
        <v>13.332000000000001</v>
      </c>
      <c r="AM202" s="189">
        <v>11.33111099686055</v>
      </c>
      <c r="AN202" s="9">
        <v>0.182</v>
      </c>
      <c r="AO202" s="9">
        <v>7.41</v>
      </c>
      <c r="AP202" s="9">
        <v>10.474</v>
      </c>
      <c r="AQ202" s="9">
        <v>2.4409999999999998</v>
      </c>
      <c r="AR202" s="9">
        <v>0.40699999999999997</v>
      </c>
      <c r="AS202" s="9">
        <v>0.308</v>
      </c>
      <c r="AT202" s="190">
        <v>902.55464192519571</v>
      </c>
      <c r="AU202" s="9">
        <v>0.5</v>
      </c>
      <c r="AV202" s="6">
        <v>119.10779783977385</v>
      </c>
      <c r="AW202" s="27" t="s">
        <v>64</v>
      </c>
      <c r="AX202" s="6">
        <v>119.10779783977385</v>
      </c>
      <c r="AY202" s="8">
        <f t="shared" si="69"/>
        <v>2.2668688802614074</v>
      </c>
      <c r="AZ202" s="9">
        <f t="shared" si="70"/>
        <v>9.2915110174256519</v>
      </c>
      <c r="BA202" s="123">
        <v>50.905200000000001</v>
      </c>
      <c r="BB202" s="121">
        <v>2.4182999999999999</v>
      </c>
      <c r="BC202" s="121">
        <v>13.5793</v>
      </c>
      <c r="BD202" s="121">
        <v>10.949</v>
      </c>
      <c r="BE202" s="121">
        <v>0.16500000000000001</v>
      </c>
      <c r="BF202" s="121">
        <v>6.1132999999999997</v>
      </c>
      <c r="BG202" s="121">
        <v>10.648099999999999</v>
      </c>
      <c r="BH202" s="121">
        <v>2.4864999999999999</v>
      </c>
      <c r="BI202" s="121">
        <v>0.4143</v>
      </c>
      <c r="BJ202" s="121">
        <v>0.31380000000000002</v>
      </c>
      <c r="BK202" s="121">
        <v>9.3387328800000002E-2</v>
      </c>
      <c r="BL202" s="121">
        <f t="shared" si="72"/>
        <v>98.086187328800008</v>
      </c>
      <c r="BM202" s="121">
        <v>0.287303699139146</v>
      </c>
      <c r="BN202" s="95">
        <v>123.240838424814</v>
      </c>
      <c r="BO202" s="95" t="s">
        <v>64</v>
      </c>
      <c r="BP202" s="95">
        <v>123.240838424814</v>
      </c>
      <c r="BQ202" s="194" t="s">
        <v>469</v>
      </c>
    </row>
    <row r="203" spans="12:69" ht="14.45" customHeight="1">
      <c r="L203" s="20" t="s">
        <v>64</v>
      </c>
      <c r="M203" s="763" t="s">
        <v>459</v>
      </c>
      <c r="N203" s="15" t="s">
        <v>460</v>
      </c>
      <c r="O203" s="14" t="s">
        <v>1188</v>
      </c>
      <c r="P203" s="15" t="s">
        <v>405</v>
      </c>
      <c r="Q203" s="15" t="s">
        <v>468</v>
      </c>
      <c r="R203" s="193">
        <v>79.720162526716905</v>
      </c>
      <c r="S203" s="15" t="s">
        <v>64</v>
      </c>
      <c r="T203" s="14">
        <f t="shared" si="71"/>
        <v>1134.1377</v>
      </c>
      <c r="U203" s="27" t="s">
        <v>300</v>
      </c>
      <c r="V203" s="90" t="s">
        <v>64</v>
      </c>
      <c r="W203" s="109" t="s">
        <v>64</v>
      </c>
      <c r="X203" s="183" t="s">
        <v>64</v>
      </c>
      <c r="Y203" s="104" t="s">
        <v>64</v>
      </c>
      <c r="Z203" s="104" t="s">
        <v>64</v>
      </c>
      <c r="AA203" s="57" t="s">
        <v>64</v>
      </c>
      <c r="AB203" s="47" t="s">
        <v>64</v>
      </c>
      <c r="AC203" s="57">
        <v>582.56345352523942</v>
      </c>
      <c r="AD203" s="27" t="s">
        <v>470</v>
      </c>
      <c r="AE203" s="28">
        <f t="shared" si="68"/>
        <v>2.4476204418167833</v>
      </c>
      <c r="AF203" s="197" t="s">
        <v>470</v>
      </c>
      <c r="AG203" s="84">
        <v>370</v>
      </c>
      <c r="AH203" s="157" t="s">
        <v>469</v>
      </c>
      <c r="AI203" s="8">
        <v>0.9905894006934125</v>
      </c>
      <c r="AJ203" s="9">
        <v>51.360999999999997</v>
      </c>
      <c r="AK203" s="9">
        <v>3.4649999999999999</v>
      </c>
      <c r="AL203" s="9">
        <v>13.451000000000001</v>
      </c>
      <c r="AM203" s="189">
        <v>11.3281114969055</v>
      </c>
      <c r="AN203" s="9">
        <v>0.19600000000000001</v>
      </c>
      <c r="AO203" s="9">
        <v>5.9770000000000003</v>
      </c>
      <c r="AP203" s="9">
        <v>10.442</v>
      </c>
      <c r="AQ203" s="9">
        <v>2.6160000000000001</v>
      </c>
      <c r="AR203" s="9">
        <v>0.54600000000000004</v>
      </c>
      <c r="AS203" s="9">
        <v>0.318</v>
      </c>
      <c r="AT203" s="190">
        <v>677.2058325903912</v>
      </c>
      <c r="AU203" s="9">
        <v>0.5</v>
      </c>
      <c r="AV203" s="6">
        <v>223.43791134848638</v>
      </c>
      <c r="AW203" s="27" t="s">
        <v>64</v>
      </c>
      <c r="AX203" s="6">
        <v>223.43791134848638</v>
      </c>
      <c r="AY203" s="8">
        <f t="shared" si="69"/>
        <v>2.2662688090851266</v>
      </c>
      <c r="AZ203" s="9">
        <f t="shared" si="70"/>
        <v>9.2890514274625087</v>
      </c>
      <c r="BA203" s="123">
        <v>50.849800000000002</v>
      </c>
      <c r="BB203" s="121">
        <v>2.7871999999999999</v>
      </c>
      <c r="BC203" s="121">
        <v>13.2873</v>
      </c>
      <c r="BD203" s="121">
        <v>11.3429</v>
      </c>
      <c r="BE203" s="121">
        <v>0.22159999999999999</v>
      </c>
      <c r="BF203" s="121">
        <v>6.0423</v>
      </c>
      <c r="BG203" s="121">
        <v>10.375500000000001</v>
      </c>
      <c r="BH203" s="121">
        <v>2.5990000000000002</v>
      </c>
      <c r="BI203" s="121">
        <v>0.54239999999999999</v>
      </c>
      <c r="BJ203" s="121">
        <v>0.31630000000000003</v>
      </c>
      <c r="BK203" s="121">
        <v>6.8363928800000001E-2</v>
      </c>
      <c r="BL203" s="121">
        <f t="shared" si="72"/>
        <v>98.432663928799997</v>
      </c>
      <c r="BM203" s="121">
        <v>0.287710369419587</v>
      </c>
      <c r="BN203" s="95">
        <v>225.56057150629701</v>
      </c>
      <c r="BO203" s="95" t="s">
        <v>64</v>
      </c>
      <c r="BP203" s="95">
        <v>225.56057150629701</v>
      </c>
      <c r="BQ203" s="194" t="s">
        <v>469</v>
      </c>
    </row>
    <row r="204" spans="12:69" ht="14.45" customHeight="1">
      <c r="L204" s="20" t="s">
        <v>64</v>
      </c>
      <c r="M204" s="763" t="s">
        <v>459</v>
      </c>
      <c r="N204" s="15" t="s">
        <v>460</v>
      </c>
      <c r="O204" s="14" t="s">
        <v>1189</v>
      </c>
      <c r="P204" s="15" t="s">
        <v>405</v>
      </c>
      <c r="Q204" s="15" t="s">
        <v>468</v>
      </c>
      <c r="R204" s="193">
        <v>79.720162526716905</v>
      </c>
      <c r="S204" s="15" t="s">
        <v>64</v>
      </c>
      <c r="T204" s="14">
        <f t="shared" si="71"/>
        <v>1133.6552999999999</v>
      </c>
      <c r="U204" s="27" t="s">
        <v>300</v>
      </c>
      <c r="V204" s="90" t="s">
        <v>64</v>
      </c>
      <c r="W204" s="109" t="s">
        <v>64</v>
      </c>
      <c r="X204" s="183" t="s">
        <v>64</v>
      </c>
      <c r="Y204" s="104" t="s">
        <v>64</v>
      </c>
      <c r="Z204" s="104" t="s">
        <v>64</v>
      </c>
      <c r="AA204" s="57" t="s">
        <v>64</v>
      </c>
      <c r="AB204" s="47" t="s">
        <v>64</v>
      </c>
      <c r="AC204" s="57">
        <v>346.11059542453489</v>
      </c>
      <c r="AD204" s="27" t="s">
        <v>470</v>
      </c>
      <c r="AE204" s="28">
        <f t="shared" si="68"/>
        <v>1.4899582198471903</v>
      </c>
      <c r="AF204" s="197" t="s">
        <v>470</v>
      </c>
      <c r="AG204" s="84">
        <v>220</v>
      </c>
      <c r="AH204" s="157" t="s">
        <v>469</v>
      </c>
      <c r="AI204" s="8">
        <v>0.98483356312783132</v>
      </c>
      <c r="AJ204" s="9">
        <v>51.387</v>
      </c>
      <c r="AK204" s="9">
        <v>3.47</v>
      </c>
      <c r="AL204" s="9">
        <v>13.472</v>
      </c>
      <c r="AM204" s="189">
        <v>11.367104996321149</v>
      </c>
      <c r="AN204" s="9">
        <v>0.19700000000000001</v>
      </c>
      <c r="AO204" s="9">
        <v>5.9530000000000003</v>
      </c>
      <c r="AP204" s="9">
        <v>10.721</v>
      </c>
      <c r="AQ204" s="9">
        <v>2.4540000000000002</v>
      </c>
      <c r="AR204" s="9">
        <v>0.40799999999999997</v>
      </c>
      <c r="AS204" s="9">
        <v>0.27400000000000002</v>
      </c>
      <c r="AT204" s="190">
        <v>578.1455229466219</v>
      </c>
      <c r="AU204" s="9">
        <v>0.5</v>
      </c>
      <c r="AV204" s="6">
        <v>117.00323073129996</v>
      </c>
      <c r="AW204" s="27" t="s">
        <v>64</v>
      </c>
      <c r="AX204" s="6">
        <v>117.00323073129996</v>
      </c>
      <c r="AY204" s="8">
        <f t="shared" si="69"/>
        <v>2.27406973437677</v>
      </c>
      <c r="AZ204" s="9">
        <f t="shared" si="70"/>
        <v>9.3210260969833438</v>
      </c>
      <c r="BA204" s="123">
        <v>50.854799999999997</v>
      </c>
      <c r="BB204" s="121">
        <v>2.5005999999999999</v>
      </c>
      <c r="BC204" s="121">
        <v>13.276300000000001</v>
      </c>
      <c r="BD204" s="121">
        <v>10.744899999999999</v>
      </c>
      <c r="BE204" s="121">
        <v>0.17460000000000001</v>
      </c>
      <c r="BF204" s="121">
        <v>6.1134000000000004</v>
      </c>
      <c r="BG204" s="121">
        <v>10.634</v>
      </c>
      <c r="BH204" s="121">
        <v>2.4337</v>
      </c>
      <c r="BI204" s="121">
        <v>0.40500000000000003</v>
      </c>
      <c r="BJ204" s="121">
        <v>0.27200000000000002</v>
      </c>
      <c r="BK204" s="121">
        <v>5.8704896399999998E-2</v>
      </c>
      <c r="BL204" s="121">
        <f t="shared" si="72"/>
        <v>97.468004896400004</v>
      </c>
      <c r="BM204" s="121">
        <v>0.267217689987019</v>
      </c>
      <c r="BN204" s="95">
        <v>118.805080484562</v>
      </c>
      <c r="BO204" s="95" t="s">
        <v>64</v>
      </c>
      <c r="BP204" s="95">
        <v>118.805080484562</v>
      </c>
      <c r="BQ204" s="194" t="s">
        <v>469</v>
      </c>
    </row>
    <row r="205" spans="12:69" ht="14.45" customHeight="1">
      <c r="L205" s="20" t="s">
        <v>64</v>
      </c>
      <c r="M205" s="763" t="s">
        <v>459</v>
      </c>
      <c r="N205" s="15" t="s">
        <v>460</v>
      </c>
      <c r="O205" s="14" t="s">
        <v>1190</v>
      </c>
      <c r="P205" s="15" t="s">
        <v>405</v>
      </c>
      <c r="Q205" s="15" t="s">
        <v>468</v>
      </c>
      <c r="R205" s="193">
        <v>77.838273079167891</v>
      </c>
      <c r="S205" s="15" t="s">
        <v>64</v>
      </c>
      <c r="T205" s="14">
        <f t="shared" si="71"/>
        <v>1135.3638000000001</v>
      </c>
      <c r="U205" s="27" t="s">
        <v>1471</v>
      </c>
      <c r="V205" s="90" t="s">
        <v>64</v>
      </c>
      <c r="W205" s="109" t="s">
        <v>481</v>
      </c>
      <c r="X205" s="183" t="s">
        <v>64</v>
      </c>
      <c r="Y205" s="104" t="s">
        <v>64</v>
      </c>
      <c r="Z205" s="104" t="s">
        <v>64</v>
      </c>
      <c r="AA205" s="57" t="s">
        <v>64</v>
      </c>
      <c r="AB205" s="47" t="s">
        <v>64</v>
      </c>
      <c r="AC205" s="57">
        <v>403.30245790093659</v>
      </c>
      <c r="AD205" s="27" t="s">
        <v>470</v>
      </c>
      <c r="AE205" s="28">
        <f t="shared" si="68"/>
        <v>1.7257923521892795</v>
      </c>
      <c r="AF205" s="197" t="s">
        <v>470</v>
      </c>
      <c r="AG205" s="84">
        <v>280</v>
      </c>
      <c r="AH205" s="157" t="s">
        <v>469</v>
      </c>
      <c r="AI205" s="8">
        <v>0.98125797272102844</v>
      </c>
      <c r="AJ205" s="9">
        <v>48.703000000000003</v>
      </c>
      <c r="AK205" s="9">
        <v>4.4189999999999996</v>
      </c>
      <c r="AL205" s="9">
        <v>13.832000000000001</v>
      </c>
      <c r="AM205" s="189">
        <v>11.5480748269425</v>
      </c>
      <c r="AN205" s="9">
        <v>0.193</v>
      </c>
      <c r="AO205" s="9">
        <v>6.0380000000000003</v>
      </c>
      <c r="AP205" s="9">
        <v>11.313000000000001</v>
      </c>
      <c r="AQ205" s="9">
        <v>2.5190000000000001</v>
      </c>
      <c r="AR205" s="9">
        <v>0.46899999999999997</v>
      </c>
      <c r="AS205" s="9">
        <v>0.27700000000000002</v>
      </c>
      <c r="AT205" s="190">
        <v>448.36354037876561</v>
      </c>
      <c r="AU205" s="9">
        <v>0.49702481932088399</v>
      </c>
      <c r="AV205" s="6">
        <v>160.8995347745246</v>
      </c>
      <c r="AW205" s="27" t="s">
        <v>64</v>
      </c>
      <c r="AX205" s="6">
        <v>160.8995347745246</v>
      </c>
      <c r="AY205" s="8">
        <f t="shared" si="69"/>
        <v>2.3102740286790131</v>
      </c>
      <c r="AZ205" s="9">
        <f t="shared" si="70"/>
        <v>9.4694213580928501</v>
      </c>
      <c r="BA205" s="123">
        <v>47.852699999999999</v>
      </c>
      <c r="BB205" s="121">
        <v>4.4081000000000001</v>
      </c>
      <c r="BC205" s="121">
        <v>13.7965</v>
      </c>
      <c r="BD205" s="121">
        <v>11.1616</v>
      </c>
      <c r="BE205" s="121">
        <v>0.19239999999999999</v>
      </c>
      <c r="BF205" s="121">
        <v>5.2496999999999998</v>
      </c>
      <c r="BG205" s="121">
        <v>11.283799999999999</v>
      </c>
      <c r="BH205" s="121">
        <v>2.5121000000000002</v>
      </c>
      <c r="BI205" s="121">
        <v>0.46829999999999999</v>
      </c>
      <c r="BJ205" s="121">
        <v>0.2762</v>
      </c>
      <c r="BK205" s="121">
        <v>4.56927284E-2</v>
      </c>
      <c r="BL205" s="121">
        <f t="shared" si="72"/>
        <v>97.247092728400006</v>
      </c>
      <c r="BM205" s="121">
        <v>0.50651799336991299</v>
      </c>
      <c r="BN205" s="95">
        <v>163.972715888718</v>
      </c>
      <c r="BO205" s="95" t="s">
        <v>64</v>
      </c>
      <c r="BP205" s="95">
        <v>163.972715888718</v>
      </c>
      <c r="BQ205" s="194" t="s">
        <v>469</v>
      </c>
    </row>
    <row r="206" spans="12:69" ht="14.45" customHeight="1">
      <c r="L206" s="20" t="s">
        <v>64</v>
      </c>
      <c r="M206" s="763" t="s">
        <v>459</v>
      </c>
      <c r="N206" s="15" t="s">
        <v>460</v>
      </c>
      <c r="O206" s="14" t="s">
        <v>1191</v>
      </c>
      <c r="P206" s="15" t="s">
        <v>405</v>
      </c>
      <c r="Q206" s="15" t="s">
        <v>468</v>
      </c>
      <c r="R206" s="193">
        <v>78.4434744543573</v>
      </c>
      <c r="S206" s="15" t="s">
        <v>64</v>
      </c>
      <c r="T206" s="14">
        <f t="shared" si="71"/>
        <v>1139.3235</v>
      </c>
      <c r="U206" s="27" t="s">
        <v>1471</v>
      </c>
      <c r="V206" s="90" t="s">
        <v>64</v>
      </c>
      <c r="W206" s="109" t="s">
        <v>481</v>
      </c>
      <c r="X206" s="183" t="s">
        <v>64</v>
      </c>
      <c r="Y206" s="104" t="s">
        <v>64</v>
      </c>
      <c r="Z206" s="104" t="s">
        <v>64</v>
      </c>
      <c r="AA206" s="57" t="s">
        <v>64</v>
      </c>
      <c r="AB206" s="47" t="s">
        <v>64</v>
      </c>
      <c r="AC206" s="57">
        <v>531.47129022100148</v>
      </c>
      <c r="AD206" s="27" t="s">
        <v>470</v>
      </c>
      <c r="AE206" s="28">
        <f t="shared" si="68"/>
        <v>2.2444880603476478</v>
      </c>
      <c r="AF206" s="197" t="s">
        <v>470</v>
      </c>
      <c r="AG206" s="84">
        <v>360</v>
      </c>
      <c r="AH206" s="157" t="s">
        <v>469</v>
      </c>
      <c r="AI206" s="8">
        <v>0.96292729898892637</v>
      </c>
      <c r="AJ206" s="9">
        <v>50.994999999999997</v>
      </c>
      <c r="AK206" s="9">
        <v>3.1970000000000001</v>
      </c>
      <c r="AL206" s="9">
        <v>13.356999999999999</v>
      </c>
      <c r="AM206" s="189">
        <v>11.496083494388298</v>
      </c>
      <c r="AN206" s="9">
        <v>0.14799999999999999</v>
      </c>
      <c r="AO206" s="9">
        <v>6.2350000000000003</v>
      </c>
      <c r="AP206" s="9">
        <v>10.151</v>
      </c>
      <c r="AQ206" s="9">
        <v>2.6680000000000001</v>
      </c>
      <c r="AR206" s="9">
        <v>0.65800000000000003</v>
      </c>
      <c r="AS206" s="9">
        <v>0.34899999999999998</v>
      </c>
      <c r="AT206" s="190">
        <v>1165.2687761194031</v>
      </c>
      <c r="AU206" s="9">
        <v>0.54889079550574904</v>
      </c>
      <c r="AV206" s="6">
        <v>211.73412703463072</v>
      </c>
      <c r="AW206" s="27" t="s">
        <v>64</v>
      </c>
      <c r="AX206" s="6">
        <v>211.73412703463072</v>
      </c>
      <c r="AY206" s="8">
        <f t="shared" si="69"/>
        <v>2.299872794956821</v>
      </c>
      <c r="AZ206" s="9">
        <f t="shared" si="70"/>
        <v>9.4267884653984044</v>
      </c>
      <c r="BA206" s="123">
        <v>49.800400000000003</v>
      </c>
      <c r="BB206" s="121">
        <v>3.2124999999999999</v>
      </c>
      <c r="BC206" s="121">
        <v>13.423999999999999</v>
      </c>
      <c r="BD206" s="121">
        <v>10.183</v>
      </c>
      <c r="BE206" s="121">
        <v>0.1492</v>
      </c>
      <c r="BF206" s="121">
        <v>5.0922000000000001</v>
      </c>
      <c r="BG206" s="121">
        <v>10.202</v>
      </c>
      <c r="BH206" s="121">
        <v>2.681</v>
      </c>
      <c r="BI206" s="121">
        <v>0.66159999999999997</v>
      </c>
      <c r="BJ206" s="121">
        <v>0.35049999999999998</v>
      </c>
      <c r="BK206" s="121">
        <v>0.12101316240000001</v>
      </c>
      <c r="BL206" s="121">
        <f t="shared" si="72"/>
        <v>95.877413162400003</v>
      </c>
      <c r="BM206" s="121">
        <v>0.57002309113271998</v>
      </c>
      <c r="BN206" s="95">
        <v>219.885890925464</v>
      </c>
      <c r="BO206" s="95" t="s">
        <v>64</v>
      </c>
      <c r="BP206" s="95">
        <v>219.885890925464</v>
      </c>
      <c r="BQ206" s="194" t="s">
        <v>469</v>
      </c>
    </row>
    <row r="207" spans="12:69" ht="14.45" customHeight="1">
      <c r="L207" s="207" t="s">
        <v>483</v>
      </c>
      <c r="M207" s="763" t="s">
        <v>459</v>
      </c>
      <c r="N207" s="15" t="s">
        <v>460</v>
      </c>
      <c r="O207" s="14" t="s">
        <v>1192</v>
      </c>
      <c r="P207" s="15" t="s">
        <v>405</v>
      </c>
      <c r="Q207" s="15" t="s">
        <v>468</v>
      </c>
      <c r="R207" s="193">
        <v>76.125223118022205</v>
      </c>
      <c r="S207" s="15" t="s">
        <v>64</v>
      </c>
      <c r="T207" s="14">
        <f t="shared" si="71"/>
        <v>1129.9568999999999</v>
      </c>
      <c r="U207" s="27" t="s">
        <v>1471</v>
      </c>
      <c r="V207" s="90" t="s">
        <v>64</v>
      </c>
      <c r="W207" s="109" t="s">
        <v>481</v>
      </c>
      <c r="X207" s="183" t="s">
        <v>64</v>
      </c>
      <c r="Y207" s="104" t="s">
        <v>64</v>
      </c>
      <c r="Z207" s="104" t="s">
        <v>64</v>
      </c>
      <c r="AA207" s="57" t="s">
        <v>64</v>
      </c>
      <c r="AB207" s="47" t="s">
        <v>64</v>
      </c>
      <c r="AC207" s="57">
        <v>370</v>
      </c>
      <c r="AD207" s="27" t="s">
        <v>470</v>
      </c>
      <c r="AE207" s="28">
        <f t="shared" si="68"/>
        <v>1.5888051451999998</v>
      </c>
      <c r="AF207" s="197" t="s">
        <v>470</v>
      </c>
      <c r="AG207" s="84">
        <v>370</v>
      </c>
      <c r="AH207" s="157" t="s">
        <v>469</v>
      </c>
      <c r="AI207" s="8">
        <v>0.98019996079200156</v>
      </c>
      <c r="AJ207" s="9">
        <v>51.844999999999999</v>
      </c>
      <c r="AK207" s="9">
        <v>3.5950000000000002</v>
      </c>
      <c r="AL207" s="9">
        <v>12.704000000000001</v>
      </c>
      <c r="AM207" s="189">
        <v>12.077986485667999</v>
      </c>
      <c r="AN207" s="9">
        <v>0.20699999999999999</v>
      </c>
      <c r="AO207" s="9">
        <v>5.7690000000000001</v>
      </c>
      <c r="AP207" s="9">
        <v>9.3629999999999995</v>
      </c>
      <c r="AQ207" s="9">
        <v>2.66</v>
      </c>
      <c r="AR207" s="9">
        <v>0.70199999999999996</v>
      </c>
      <c r="AS207" s="9">
        <v>0.35799999999999998</v>
      </c>
      <c r="AT207" s="190">
        <v>1324.0179690256812</v>
      </c>
      <c r="AU207" s="9">
        <v>0.52675256832188599</v>
      </c>
      <c r="AV207" s="6">
        <v>230.71893671038424</v>
      </c>
      <c r="AW207" s="27" t="s">
        <v>64</v>
      </c>
      <c r="AX207" s="6">
        <v>230.71893671038427</v>
      </c>
      <c r="AY207" s="8">
        <f t="shared" si="69"/>
        <v>2.4162866031551928</v>
      </c>
      <c r="AZ207" s="9">
        <f t="shared" si="70"/>
        <v>9.903948918247762</v>
      </c>
      <c r="BA207" s="123">
        <v>51.3279</v>
      </c>
      <c r="BB207" s="121">
        <v>3.6126999999999998</v>
      </c>
      <c r="BC207" s="121">
        <v>12.7659</v>
      </c>
      <c r="BD207" s="121">
        <v>12.059799999999999</v>
      </c>
      <c r="BE207" s="121">
        <v>0.2079</v>
      </c>
      <c r="BF207" s="121">
        <v>4.8090000000000002</v>
      </c>
      <c r="BG207" s="121">
        <v>9.4086999999999996</v>
      </c>
      <c r="BH207" s="121">
        <v>2.673</v>
      </c>
      <c r="BI207" s="121">
        <v>0.70540000000000003</v>
      </c>
      <c r="BJ207" s="121">
        <v>0.36020000000000002</v>
      </c>
      <c r="BK207" s="121">
        <v>0.13507631319999999</v>
      </c>
      <c r="BL207" s="121">
        <f t="shared" si="72"/>
        <v>98.065576313199983</v>
      </c>
      <c r="BM207" s="121">
        <v>0.53739297020198795</v>
      </c>
      <c r="BN207" s="95">
        <v>235.37945923193399</v>
      </c>
      <c r="BO207" s="95" t="s">
        <v>64</v>
      </c>
      <c r="BP207" s="95">
        <v>235.37945923193399</v>
      </c>
      <c r="BQ207" s="194" t="s">
        <v>469</v>
      </c>
    </row>
    <row r="208" spans="12:69" ht="14.45" customHeight="1">
      <c r="L208" s="207" t="s">
        <v>483</v>
      </c>
      <c r="M208" s="763" t="s">
        <v>459</v>
      </c>
      <c r="N208" s="15" t="s">
        <v>460</v>
      </c>
      <c r="O208" s="14" t="s">
        <v>1193</v>
      </c>
      <c r="P208" s="15" t="s">
        <v>405</v>
      </c>
      <c r="Q208" s="15" t="s">
        <v>468</v>
      </c>
      <c r="R208" s="193">
        <v>76.125223118022205</v>
      </c>
      <c r="S208" s="15" t="s">
        <v>64</v>
      </c>
      <c r="T208" s="14">
        <f t="shared" si="71"/>
        <v>1129.575</v>
      </c>
      <c r="U208" s="27" t="s">
        <v>1471</v>
      </c>
      <c r="V208" s="90" t="s">
        <v>64</v>
      </c>
      <c r="W208" s="109" t="s">
        <v>481</v>
      </c>
      <c r="X208" s="183" t="s">
        <v>64</v>
      </c>
      <c r="Y208" s="104" t="s">
        <v>64</v>
      </c>
      <c r="Z208" s="104" t="s">
        <v>64</v>
      </c>
      <c r="AA208" s="57" t="s">
        <v>64</v>
      </c>
      <c r="AB208" s="47" t="s">
        <v>64</v>
      </c>
      <c r="AC208" s="57">
        <v>360</v>
      </c>
      <c r="AD208" s="27" t="s">
        <v>470</v>
      </c>
      <c r="AE208" s="28">
        <f t="shared" si="68"/>
        <v>1.5474875903999998</v>
      </c>
      <c r="AF208" s="197" t="s">
        <v>470</v>
      </c>
      <c r="AG208" s="84">
        <v>360</v>
      </c>
      <c r="AH208" s="157" t="s">
        <v>469</v>
      </c>
      <c r="AI208" s="8">
        <v>0.97809076682316121</v>
      </c>
      <c r="AJ208" s="9">
        <v>51.363999999999997</v>
      </c>
      <c r="AK208" s="9">
        <v>3.2229999999999999</v>
      </c>
      <c r="AL208" s="9">
        <v>13.241</v>
      </c>
      <c r="AM208" s="189">
        <v>12.040992652889049</v>
      </c>
      <c r="AN208" s="9">
        <v>0.17899999999999999</v>
      </c>
      <c r="AO208" s="9">
        <v>5.75</v>
      </c>
      <c r="AP208" s="9">
        <v>9.82</v>
      </c>
      <c r="AQ208" s="9">
        <v>2.6389999999999998</v>
      </c>
      <c r="AR208" s="9">
        <v>0.63900000000000001</v>
      </c>
      <c r="AS208" s="9">
        <v>0.379</v>
      </c>
      <c r="AT208" s="190">
        <v>1254.5965219092332</v>
      </c>
      <c r="AU208" s="9">
        <v>0.53112593156832999</v>
      </c>
      <c r="AV208" s="6">
        <v>215.36636591259489</v>
      </c>
      <c r="AW208" s="27" t="s">
        <v>64</v>
      </c>
      <c r="AX208" s="6">
        <v>215.36636591259486</v>
      </c>
      <c r="AY208" s="8">
        <f t="shared" si="69"/>
        <v>2.4088857253144029</v>
      </c>
      <c r="AZ208" s="9">
        <f t="shared" si="70"/>
        <v>9.8736139753690217</v>
      </c>
      <c r="BA208" s="123">
        <v>50.651200000000003</v>
      </c>
      <c r="BB208" s="121">
        <v>3.2320000000000002</v>
      </c>
      <c r="BC208" s="121">
        <v>13.276</v>
      </c>
      <c r="BD208" s="121">
        <v>11.515499999999999</v>
      </c>
      <c r="BE208" s="121">
        <v>0.17929999999999999</v>
      </c>
      <c r="BF208" s="121">
        <v>4.9398999999999997</v>
      </c>
      <c r="BG208" s="121">
        <v>9.8463999999999992</v>
      </c>
      <c r="BH208" s="121">
        <v>2.6461999999999999</v>
      </c>
      <c r="BI208" s="121">
        <v>0.64119999999999999</v>
      </c>
      <c r="BJ208" s="121">
        <v>0.38019999999999998</v>
      </c>
      <c r="BK208" s="121">
        <v>0.1282699484</v>
      </c>
      <c r="BL208" s="121">
        <f t="shared" si="72"/>
        <v>97.436169948399993</v>
      </c>
      <c r="BM208" s="121">
        <v>0.54302315243546095</v>
      </c>
      <c r="BN208" s="95">
        <v>220.190572509037</v>
      </c>
      <c r="BO208" s="95" t="s">
        <v>64</v>
      </c>
      <c r="BP208" s="95">
        <v>220.190572509037</v>
      </c>
      <c r="BQ208" s="194" t="s">
        <v>469</v>
      </c>
    </row>
    <row r="209" spans="12:69" ht="14.45" customHeight="1">
      <c r="L209" s="20" t="s">
        <v>64</v>
      </c>
      <c r="M209" s="763" t="s">
        <v>459</v>
      </c>
      <c r="N209" s="15" t="s">
        <v>460</v>
      </c>
      <c r="O209" s="14" t="s">
        <v>1194</v>
      </c>
      <c r="P209" s="15" t="s">
        <v>405</v>
      </c>
      <c r="Q209" s="15" t="s">
        <v>468</v>
      </c>
      <c r="R209" s="193">
        <v>78.215476163995604</v>
      </c>
      <c r="S209" s="15" t="s">
        <v>64</v>
      </c>
      <c r="T209" s="14">
        <f t="shared" si="71"/>
        <v>1138.4993999999999</v>
      </c>
      <c r="U209" s="27" t="s">
        <v>1471</v>
      </c>
      <c r="V209" s="90" t="s">
        <v>64</v>
      </c>
      <c r="W209" s="109" t="s">
        <v>481</v>
      </c>
      <c r="X209" s="183" t="s">
        <v>64</v>
      </c>
      <c r="Y209" s="104" t="s">
        <v>64</v>
      </c>
      <c r="Z209" s="104" t="s">
        <v>64</v>
      </c>
      <c r="AA209" s="57" t="s">
        <v>64</v>
      </c>
      <c r="AB209" s="47" t="s">
        <v>64</v>
      </c>
      <c r="AC209" s="57">
        <v>556.03078135308533</v>
      </c>
      <c r="AD209" s="27" t="s">
        <v>470</v>
      </c>
      <c r="AE209" s="28">
        <f t="shared" si="68"/>
        <v>2.3423836600070032</v>
      </c>
      <c r="AF209" s="197" t="s">
        <v>470</v>
      </c>
      <c r="AG209" s="84">
        <v>320</v>
      </c>
      <c r="AH209" s="157" t="s">
        <v>469</v>
      </c>
      <c r="AI209" s="8">
        <v>0.95111280197831471</v>
      </c>
      <c r="AJ209" s="9">
        <v>52.905000000000001</v>
      </c>
      <c r="AK209" s="9">
        <v>3.3919999999999999</v>
      </c>
      <c r="AL209" s="9">
        <v>12.217000000000001</v>
      </c>
      <c r="AM209" s="189">
        <v>11.55307399353425</v>
      </c>
      <c r="AN209" s="9">
        <v>0.13600000000000001</v>
      </c>
      <c r="AO209" s="9">
        <v>6.194</v>
      </c>
      <c r="AP209" s="9">
        <v>9.0380000000000003</v>
      </c>
      <c r="AQ209" s="9">
        <v>2.6709999999999998</v>
      </c>
      <c r="AR209" s="9">
        <v>0.86299999999999999</v>
      </c>
      <c r="AS209" s="9">
        <v>0.317</v>
      </c>
      <c r="AT209" s="190">
        <v>709.24226745291992</v>
      </c>
      <c r="AU209" s="9">
        <v>0.53310110959483703</v>
      </c>
      <c r="AV209" s="6">
        <v>201.81328996145808</v>
      </c>
      <c r="AW209" s="27" t="s">
        <v>64</v>
      </c>
      <c r="AX209" s="6">
        <v>201.81328996145805</v>
      </c>
      <c r="AY209" s="8">
        <f t="shared" si="69"/>
        <v>2.3112741473061469</v>
      </c>
      <c r="AZ209" s="9">
        <f t="shared" si="70"/>
        <v>9.4735206746980847</v>
      </c>
      <c r="BA209" s="123">
        <v>53.286900000000003</v>
      </c>
      <c r="BB209" s="121">
        <v>3.544</v>
      </c>
      <c r="BC209" s="121">
        <v>12.762600000000001</v>
      </c>
      <c r="BD209" s="121">
        <v>10.362399999999999</v>
      </c>
      <c r="BE209" s="121">
        <v>0.1421</v>
      </c>
      <c r="BF209" s="121">
        <v>4.7701000000000002</v>
      </c>
      <c r="BG209" s="121">
        <v>9.4415999999999993</v>
      </c>
      <c r="BH209" s="121">
        <v>2.7905000000000002</v>
      </c>
      <c r="BI209" s="121">
        <v>0.90129999999999999</v>
      </c>
      <c r="BJ209" s="121">
        <v>0.33110000000000001</v>
      </c>
      <c r="BK209" s="121">
        <v>7.4569732E-2</v>
      </c>
      <c r="BL209" s="121">
        <f t="shared" si="72"/>
        <v>98.407169732</v>
      </c>
      <c r="BM209" s="121">
        <v>0.56050250662801204</v>
      </c>
      <c r="BN209" s="95">
        <v>212.18649306547701</v>
      </c>
      <c r="BO209" s="95" t="s">
        <v>64</v>
      </c>
      <c r="BP209" s="95">
        <v>212.18649306547701</v>
      </c>
      <c r="BQ209" s="194" t="s">
        <v>469</v>
      </c>
    </row>
    <row r="210" spans="12:69" ht="14.45" customHeight="1">
      <c r="L210" s="20" t="s">
        <v>64</v>
      </c>
      <c r="M210" s="763" t="s">
        <v>459</v>
      </c>
      <c r="N210" s="15" t="s">
        <v>460</v>
      </c>
      <c r="O210" s="14" t="s">
        <v>1195</v>
      </c>
      <c r="P210" s="15" t="s">
        <v>405</v>
      </c>
      <c r="Q210" s="15" t="s">
        <v>468</v>
      </c>
      <c r="R210" s="193">
        <v>77.107976646859598</v>
      </c>
      <c r="S210" s="15" t="s">
        <v>64</v>
      </c>
      <c r="T210" s="14">
        <f t="shared" si="71"/>
        <v>1132.9518</v>
      </c>
      <c r="U210" s="27" t="s">
        <v>1471</v>
      </c>
      <c r="V210" s="90" t="s">
        <v>64</v>
      </c>
      <c r="W210" s="109" t="s">
        <v>481</v>
      </c>
      <c r="X210" s="183" t="s">
        <v>64</v>
      </c>
      <c r="Y210" s="104" t="s">
        <v>64</v>
      </c>
      <c r="Z210" s="104" t="s">
        <v>64</v>
      </c>
      <c r="AA210" s="57" t="s">
        <v>64</v>
      </c>
      <c r="AB210" s="47" t="s">
        <v>64</v>
      </c>
      <c r="AC210" s="57">
        <v>1077.429559069589</v>
      </c>
      <c r="AD210" s="27" t="s">
        <v>470</v>
      </c>
      <c r="AE210" s="28">
        <f t="shared" si="68"/>
        <v>4.3203047590867678</v>
      </c>
      <c r="AF210" s="197" t="s">
        <v>470</v>
      </c>
      <c r="AG210" s="84">
        <v>710</v>
      </c>
      <c r="AH210" s="157" t="s">
        <v>469</v>
      </c>
      <c r="AI210" s="8">
        <v>0.96181590843512543</v>
      </c>
      <c r="AJ210" s="9">
        <v>51.548000000000002</v>
      </c>
      <c r="AK210" s="9">
        <v>3.3260000000000001</v>
      </c>
      <c r="AL210" s="9">
        <v>13.109</v>
      </c>
      <c r="AM210" s="189">
        <v>11.7600394904327</v>
      </c>
      <c r="AN210" s="9">
        <v>0.157</v>
      </c>
      <c r="AO210" s="9">
        <v>5.9180000000000001</v>
      </c>
      <c r="AP210" s="9">
        <v>9.7490000000000006</v>
      </c>
      <c r="AQ210" s="9">
        <v>2.7690000000000001</v>
      </c>
      <c r="AR210" s="9">
        <v>0.66100000000000003</v>
      </c>
      <c r="AS210" s="9">
        <v>0.372</v>
      </c>
      <c r="AT210" s="190">
        <v>1247.1987958064826</v>
      </c>
      <c r="AU210" s="9">
        <v>0.43772593234708101</v>
      </c>
      <c r="AV210" s="6">
        <v>461.14269817494466</v>
      </c>
      <c r="AW210" s="27" t="s">
        <v>64</v>
      </c>
      <c r="AX210" s="6">
        <v>461.14269817494466</v>
      </c>
      <c r="AY210" s="8">
        <f t="shared" si="69"/>
        <v>2.3526790584694846</v>
      </c>
      <c r="AZ210" s="9">
        <f t="shared" si="70"/>
        <v>9.643232382154812</v>
      </c>
      <c r="BA210" s="123">
        <v>50.568100000000001</v>
      </c>
      <c r="BB210" s="121">
        <v>3.3595999999999999</v>
      </c>
      <c r="BC210" s="121">
        <v>13.239599999999999</v>
      </c>
      <c r="BD210" s="121">
        <v>11.0427</v>
      </c>
      <c r="BE210" s="121">
        <v>0.15840000000000001</v>
      </c>
      <c r="BF210" s="121">
        <v>4.4408000000000003</v>
      </c>
      <c r="BG210" s="121">
        <v>9.8462999999999994</v>
      </c>
      <c r="BH210" s="121">
        <v>2.7964000000000002</v>
      </c>
      <c r="BI210" s="121">
        <v>0.66779999999999995</v>
      </c>
      <c r="BJ210" s="121">
        <v>0.37559999999999999</v>
      </c>
      <c r="BK210" s="121">
        <v>0.12967125880000002</v>
      </c>
      <c r="BL210" s="121">
        <f t="shared" si="72"/>
        <v>96.624971258800002</v>
      </c>
      <c r="BM210" s="121">
        <v>0.45510365186126001</v>
      </c>
      <c r="BN210" s="95">
        <v>479.45006329248997</v>
      </c>
      <c r="BO210" s="95" t="s">
        <v>64</v>
      </c>
      <c r="BP210" s="95">
        <v>479.45006329248997</v>
      </c>
      <c r="BQ210" s="194" t="s">
        <v>469</v>
      </c>
    </row>
    <row r="211" spans="12:69" ht="14.45" customHeight="1">
      <c r="L211" s="20" t="s">
        <v>64</v>
      </c>
      <c r="M211" s="763" t="s">
        <v>459</v>
      </c>
      <c r="N211" s="15" t="s">
        <v>460</v>
      </c>
      <c r="O211" s="14" t="s">
        <v>1196</v>
      </c>
      <c r="P211" s="15" t="s">
        <v>405</v>
      </c>
      <c r="Q211" s="15" t="s">
        <v>468</v>
      </c>
      <c r="R211" s="193">
        <v>77.107976646859598</v>
      </c>
      <c r="S211" s="15" t="s">
        <v>64</v>
      </c>
      <c r="T211" s="14">
        <f t="shared" si="71"/>
        <v>1133.2332000000001</v>
      </c>
      <c r="U211" s="27" t="s">
        <v>1471</v>
      </c>
      <c r="V211" s="90" t="s">
        <v>64</v>
      </c>
      <c r="W211" s="109" t="s">
        <v>481</v>
      </c>
      <c r="X211" s="183" t="s">
        <v>64</v>
      </c>
      <c r="Y211" s="104" t="s">
        <v>64</v>
      </c>
      <c r="Z211" s="104" t="s">
        <v>64</v>
      </c>
      <c r="AA211" s="57" t="s">
        <v>64</v>
      </c>
      <c r="AB211" s="47" t="s">
        <v>64</v>
      </c>
      <c r="AC211" s="57">
        <v>614.6266645604411</v>
      </c>
      <c r="AD211" s="27" t="s">
        <v>470</v>
      </c>
      <c r="AE211" s="28">
        <f t="shared" si="68"/>
        <v>2.5740774646529623</v>
      </c>
      <c r="AF211" s="197" t="s">
        <v>470</v>
      </c>
      <c r="AG211" s="84">
        <v>370</v>
      </c>
      <c r="AH211" s="157" t="s">
        <v>469</v>
      </c>
      <c r="AI211" s="8">
        <v>0.9765625</v>
      </c>
      <c r="AJ211" s="9">
        <v>51.93</v>
      </c>
      <c r="AK211" s="9">
        <v>3.468</v>
      </c>
      <c r="AL211" s="9">
        <v>12.962999999999999</v>
      </c>
      <c r="AM211" s="189">
        <v>11.756040157159299</v>
      </c>
      <c r="AN211" s="9">
        <v>0.2</v>
      </c>
      <c r="AO211" s="9">
        <v>5.9320000000000004</v>
      </c>
      <c r="AP211" s="9">
        <v>9.2880000000000003</v>
      </c>
      <c r="AQ211" s="9">
        <v>2.6680000000000001</v>
      </c>
      <c r="AR211" s="9">
        <v>0.74</v>
      </c>
      <c r="AS211" s="9">
        <v>0.38300000000000001</v>
      </c>
      <c r="AT211" s="190">
        <v>1004.35716796875</v>
      </c>
      <c r="AU211" s="9">
        <v>0.48597633801700602</v>
      </c>
      <c r="AV211" s="6">
        <v>236.14581332709568</v>
      </c>
      <c r="AW211" s="27" t="s">
        <v>64</v>
      </c>
      <c r="AX211" s="6">
        <v>236.14581332709568</v>
      </c>
      <c r="AY211" s="8">
        <f t="shared" si="69"/>
        <v>2.3518789635677777</v>
      </c>
      <c r="AZ211" s="9">
        <f t="shared" si="70"/>
        <v>9.6399529288706276</v>
      </c>
      <c r="BA211" s="123">
        <v>51.341099999999997</v>
      </c>
      <c r="BB211" s="121">
        <v>3.4903</v>
      </c>
      <c r="BC211" s="121">
        <v>13.0466</v>
      </c>
      <c r="BD211" s="121">
        <v>12.4877</v>
      </c>
      <c r="BE211" s="121">
        <v>0.20119999999999999</v>
      </c>
      <c r="BF211" s="121">
        <v>4.3639000000000001</v>
      </c>
      <c r="BG211" s="121">
        <v>9.3481000000000005</v>
      </c>
      <c r="BH211" s="121">
        <v>2.6848000000000001</v>
      </c>
      <c r="BI211" s="121">
        <v>0.74509999999999998</v>
      </c>
      <c r="BJ211" s="121">
        <v>0.3856</v>
      </c>
      <c r="BK211" s="121">
        <v>0.102846174</v>
      </c>
      <c r="BL211" s="121">
        <f t="shared" si="72"/>
        <v>98.197246174</v>
      </c>
      <c r="BM211" s="121">
        <v>0.49763977012941402</v>
      </c>
      <c r="BN211" s="95">
        <v>241.81331284694599</v>
      </c>
      <c r="BO211" s="95" t="s">
        <v>64</v>
      </c>
      <c r="BP211" s="95">
        <v>241.81331284694599</v>
      </c>
      <c r="BQ211" s="194" t="s">
        <v>469</v>
      </c>
    </row>
    <row r="212" spans="12:69" ht="14.45" customHeight="1">
      <c r="L212" s="20" t="s">
        <v>64</v>
      </c>
      <c r="M212" s="763" t="s">
        <v>459</v>
      </c>
      <c r="N212" s="15" t="s">
        <v>460</v>
      </c>
      <c r="O212" s="14" t="s">
        <v>1197</v>
      </c>
      <c r="P212" s="15" t="s">
        <v>405</v>
      </c>
      <c r="Q212" s="15" t="s">
        <v>468</v>
      </c>
      <c r="R212" s="193">
        <v>77.107976646859598</v>
      </c>
      <c r="S212" s="15" t="s">
        <v>64</v>
      </c>
      <c r="T212" s="14">
        <f t="shared" si="71"/>
        <v>1133.2332000000001</v>
      </c>
      <c r="U212" s="27" t="s">
        <v>1471</v>
      </c>
      <c r="V212" s="90" t="s">
        <v>64</v>
      </c>
      <c r="W212" s="109" t="s">
        <v>481</v>
      </c>
      <c r="X212" s="183" t="s">
        <v>64</v>
      </c>
      <c r="Y212" s="104" t="s">
        <v>64</v>
      </c>
      <c r="Z212" s="104" t="s">
        <v>64</v>
      </c>
      <c r="AA212" s="57" t="s">
        <v>64</v>
      </c>
      <c r="AB212" s="47" t="s">
        <v>64</v>
      </c>
      <c r="AC212" s="57">
        <v>693.9825009074541</v>
      </c>
      <c r="AD212" s="27" t="s">
        <v>470</v>
      </c>
      <c r="AE212" s="28">
        <f t="shared" si="68"/>
        <v>2.8837719727482019</v>
      </c>
      <c r="AF212" s="197" t="s">
        <v>470</v>
      </c>
      <c r="AG212" s="84">
        <v>420</v>
      </c>
      <c r="AH212" s="157" t="s">
        <v>469</v>
      </c>
      <c r="AI212" s="8">
        <v>0.97446891444162931</v>
      </c>
      <c r="AJ212" s="9">
        <v>52.281999999999996</v>
      </c>
      <c r="AK212" s="9">
        <v>3.5139999999999998</v>
      </c>
      <c r="AL212" s="9">
        <v>12.693</v>
      </c>
      <c r="AM212" s="189">
        <v>11.763038990387749</v>
      </c>
      <c r="AN212" s="9">
        <v>0.156</v>
      </c>
      <c r="AO212" s="9">
        <v>5.9320000000000004</v>
      </c>
      <c r="AP212" s="9">
        <v>9.1329999999999991</v>
      </c>
      <c r="AQ212" s="9">
        <v>2.7309999999999999</v>
      </c>
      <c r="AR212" s="9">
        <v>0.752</v>
      </c>
      <c r="AS212" s="9">
        <v>0.312</v>
      </c>
      <c r="AT212" s="190">
        <v>1074.8698811147924</v>
      </c>
      <c r="AU212" s="9">
        <v>0.54159843901548699</v>
      </c>
      <c r="AV212" s="6">
        <v>266.20114955365619</v>
      </c>
      <c r="AW212" s="27" t="s">
        <v>64</v>
      </c>
      <c r="AX212" s="6">
        <v>266.20114955365619</v>
      </c>
      <c r="AY212" s="8">
        <f t="shared" si="69"/>
        <v>2.3532791296457649</v>
      </c>
      <c r="AZ212" s="9">
        <f t="shared" si="70"/>
        <v>9.6456919721179553</v>
      </c>
      <c r="BA212" s="123">
        <v>51.532600000000002</v>
      </c>
      <c r="BB212" s="121">
        <v>3.5312000000000001</v>
      </c>
      <c r="BC212" s="121">
        <v>12.7545</v>
      </c>
      <c r="BD212" s="121">
        <v>12.151899999999999</v>
      </c>
      <c r="BE212" s="121">
        <v>0.157</v>
      </c>
      <c r="BF212" s="121">
        <v>4.4325999999999999</v>
      </c>
      <c r="BG212" s="121">
        <v>9.1767000000000003</v>
      </c>
      <c r="BH212" s="121">
        <v>2.7437999999999998</v>
      </c>
      <c r="BI212" s="121">
        <v>0.75590000000000002</v>
      </c>
      <c r="BJ212" s="121">
        <v>0.31369999999999998</v>
      </c>
      <c r="BK212" s="121">
        <v>0.11030314719999999</v>
      </c>
      <c r="BL212" s="121">
        <f t="shared" si="72"/>
        <v>97.660203147199965</v>
      </c>
      <c r="BM212" s="121">
        <v>0.55578831811769203</v>
      </c>
      <c r="BN212" s="95">
        <v>273.17561967196201</v>
      </c>
      <c r="BO212" s="95" t="s">
        <v>64</v>
      </c>
      <c r="BP212" s="95">
        <v>273.17561967196201</v>
      </c>
      <c r="BQ212" s="194" t="s">
        <v>469</v>
      </c>
    </row>
    <row r="213" spans="12:69" ht="14.45" customHeight="1">
      <c r="L213" s="20" t="s">
        <v>64</v>
      </c>
      <c r="M213" s="763" t="s">
        <v>459</v>
      </c>
      <c r="N213" s="15" t="s">
        <v>460</v>
      </c>
      <c r="O213" s="14" t="s">
        <v>1198</v>
      </c>
      <c r="P213" s="15" t="s">
        <v>405</v>
      </c>
      <c r="Q213" s="15" t="s">
        <v>468</v>
      </c>
      <c r="R213" s="193">
        <v>77.5127128977973</v>
      </c>
      <c r="S213" s="15" t="s">
        <v>64</v>
      </c>
      <c r="T213" s="14">
        <f t="shared" si="71"/>
        <v>1134.7004999999999</v>
      </c>
      <c r="U213" s="27" t="s">
        <v>1471</v>
      </c>
      <c r="V213" s="90" t="s">
        <v>64</v>
      </c>
      <c r="W213" s="109" t="s">
        <v>481</v>
      </c>
      <c r="X213" s="183" t="s">
        <v>64</v>
      </c>
      <c r="Y213" s="104" t="s">
        <v>64</v>
      </c>
      <c r="Z213" s="104" t="s">
        <v>64</v>
      </c>
      <c r="AA213" s="57" t="s">
        <v>64</v>
      </c>
      <c r="AB213" s="47" t="s">
        <v>64</v>
      </c>
      <c r="AC213" s="57">
        <v>521.31306393786815</v>
      </c>
      <c r="AD213" s="27" t="s">
        <v>470</v>
      </c>
      <c r="AE213" s="28">
        <f t="shared" si="68"/>
        <v>2.2038589547354777</v>
      </c>
      <c r="AF213" s="197" t="s">
        <v>470</v>
      </c>
      <c r="AG213" s="84">
        <v>330</v>
      </c>
      <c r="AH213" s="157" t="s">
        <v>469</v>
      </c>
      <c r="AI213" s="8">
        <v>0.95849707658391647</v>
      </c>
      <c r="AJ213" s="9">
        <v>51.237000000000002</v>
      </c>
      <c r="AK213" s="9">
        <v>3.3370000000000002</v>
      </c>
      <c r="AL213" s="9">
        <v>13.356999999999999</v>
      </c>
      <c r="AM213" s="189">
        <v>11.651057658732551</v>
      </c>
      <c r="AN213" s="9">
        <v>0.19800000000000001</v>
      </c>
      <c r="AO213" s="9">
        <v>6.0049999999999999</v>
      </c>
      <c r="AP213" s="9">
        <v>9.9789999999999992</v>
      </c>
      <c r="AQ213" s="9">
        <v>2.613</v>
      </c>
      <c r="AR213" s="9">
        <v>0.67600000000000005</v>
      </c>
      <c r="AS213" s="9">
        <v>0.377</v>
      </c>
      <c r="AT213" s="190">
        <v>1184.372176746861</v>
      </c>
      <c r="AU213" s="9">
        <v>0.38729236609666501</v>
      </c>
      <c r="AV213" s="6">
        <v>205.10740945315442</v>
      </c>
      <c r="AW213" s="27" t="s">
        <v>64</v>
      </c>
      <c r="AX213" s="6">
        <v>205.10740945315439</v>
      </c>
      <c r="AY213" s="8">
        <f t="shared" si="69"/>
        <v>2.3308764723979687</v>
      </c>
      <c r="AZ213" s="9">
        <f t="shared" si="70"/>
        <v>9.5538672801606932</v>
      </c>
      <c r="BA213" s="123">
        <v>51.0321</v>
      </c>
      <c r="BB213" s="121">
        <v>3.4318</v>
      </c>
      <c r="BC213" s="121">
        <v>13.7355</v>
      </c>
      <c r="BD213" s="121">
        <v>11.086600000000001</v>
      </c>
      <c r="BE213" s="121">
        <v>0.2034</v>
      </c>
      <c r="BF213" s="121">
        <v>4.4541000000000004</v>
      </c>
      <c r="BG213" s="121">
        <v>10.261900000000001</v>
      </c>
      <c r="BH213" s="121">
        <v>2.6873999999999998</v>
      </c>
      <c r="BI213" s="121">
        <v>0.69469999999999998</v>
      </c>
      <c r="BJ213" s="121">
        <v>0.38729999999999998</v>
      </c>
      <c r="BK213" s="121">
        <v>0.12356554920000001</v>
      </c>
      <c r="BL213" s="121">
        <f t="shared" si="72"/>
        <v>98.098365549199983</v>
      </c>
      <c r="BM213" s="121">
        <v>0.40406212554865101</v>
      </c>
      <c r="BN213" s="95">
        <v>213.98856028247599</v>
      </c>
      <c r="BO213" s="95" t="s">
        <v>64</v>
      </c>
      <c r="BP213" s="95">
        <v>213.98856028247599</v>
      </c>
      <c r="BQ213" s="194" t="s">
        <v>469</v>
      </c>
    </row>
    <row r="214" spans="12:69" ht="14.45" customHeight="1">
      <c r="L214" s="20" t="s">
        <v>64</v>
      </c>
      <c r="M214" s="763" t="s">
        <v>459</v>
      </c>
      <c r="N214" s="15" t="s">
        <v>460</v>
      </c>
      <c r="O214" s="14" t="s">
        <v>1199</v>
      </c>
      <c r="P214" s="15" t="s">
        <v>405</v>
      </c>
      <c r="Q214" s="15" t="s">
        <v>468</v>
      </c>
      <c r="R214" s="193">
        <v>78.436034603212406</v>
      </c>
      <c r="S214" s="15" t="s">
        <v>64</v>
      </c>
      <c r="T214" s="14">
        <f t="shared" si="71"/>
        <v>1138.8009</v>
      </c>
      <c r="U214" s="27" t="s">
        <v>1471</v>
      </c>
      <c r="V214" s="90" t="s">
        <v>64</v>
      </c>
      <c r="W214" s="109" t="s">
        <v>481</v>
      </c>
      <c r="X214" s="183" t="s">
        <v>64</v>
      </c>
      <c r="Y214" s="104" t="s">
        <v>64</v>
      </c>
      <c r="Z214" s="104" t="s">
        <v>64</v>
      </c>
      <c r="AA214" s="57" t="s">
        <v>64</v>
      </c>
      <c r="AB214" s="47" t="s">
        <v>64</v>
      </c>
      <c r="AC214" s="57">
        <v>631.49569067600873</v>
      </c>
      <c r="AD214" s="27" t="s">
        <v>470</v>
      </c>
      <c r="AE214" s="28">
        <f t="shared" si="68"/>
        <v>2.6402986232876247</v>
      </c>
      <c r="AF214" s="197" t="s">
        <v>470</v>
      </c>
      <c r="AG214" s="84">
        <v>390</v>
      </c>
      <c r="AH214" s="157" t="s">
        <v>469</v>
      </c>
      <c r="AI214" s="8">
        <v>0.95002850085502566</v>
      </c>
      <c r="AJ214" s="9">
        <v>51.57</v>
      </c>
      <c r="AK214" s="9">
        <v>3.343</v>
      </c>
      <c r="AL214" s="9">
        <v>13.234999999999999</v>
      </c>
      <c r="AM214" s="189">
        <v>11.420096162193701</v>
      </c>
      <c r="AN214" s="9">
        <v>0.129</v>
      </c>
      <c r="AO214" s="9">
        <v>6.2089999999999996</v>
      </c>
      <c r="AP214" s="9">
        <v>9.7550000000000008</v>
      </c>
      <c r="AQ214" s="9">
        <v>2.6619999999999999</v>
      </c>
      <c r="AR214" s="9">
        <v>0.61899999999999999</v>
      </c>
      <c r="AS214" s="9">
        <v>0.41899999999999998</v>
      </c>
      <c r="AT214" s="190">
        <v>1225.7329507885236</v>
      </c>
      <c r="AU214" s="9">
        <v>0.45642609803850098</v>
      </c>
      <c r="AV214" s="6">
        <v>247.61272811944045</v>
      </c>
      <c r="AW214" s="27" t="s">
        <v>64</v>
      </c>
      <c r="AX214" s="6">
        <v>247.61272811944045</v>
      </c>
      <c r="AY214" s="8">
        <f t="shared" si="69"/>
        <v>2.2846709918243886</v>
      </c>
      <c r="AZ214" s="9">
        <f t="shared" si="70"/>
        <v>9.3644788529988361</v>
      </c>
      <c r="BA214" s="123">
        <v>51.0976</v>
      </c>
      <c r="BB214" s="121">
        <v>3.4417</v>
      </c>
      <c r="BC214" s="121">
        <v>13.627800000000001</v>
      </c>
      <c r="BD214" s="121">
        <v>10.4811</v>
      </c>
      <c r="BE214" s="121">
        <v>0.1326</v>
      </c>
      <c r="BF214" s="121">
        <v>4.4259000000000004</v>
      </c>
      <c r="BG214" s="121">
        <v>10.043900000000001</v>
      </c>
      <c r="BH214" s="121">
        <v>2.7406999999999999</v>
      </c>
      <c r="BI214" s="121">
        <v>0.63759999999999994</v>
      </c>
      <c r="BJ214" s="121">
        <v>0.43109999999999998</v>
      </c>
      <c r="BK214" s="121">
        <v>0.12902065039999999</v>
      </c>
      <c r="BL214" s="121">
        <f t="shared" si="72"/>
        <v>97.189020650399996</v>
      </c>
      <c r="BM214" s="121">
        <v>0.480434110795326</v>
      </c>
      <c r="BN214" s="95">
        <v>260.63715761852302</v>
      </c>
      <c r="BO214" s="95" t="s">
        <v>64</v>
      </c>
      <c r="BP214" s="95">
        <v>260.63715761852302</v>
      </c>
      <c r="BQ214" s="194" t="s">
        <v>469</v>
      </c>
    </row>
    <row r="215" spans="12:69" ht="14.45" customHeight="1">
      <c r="L215" s="20" t="s">
        <v>64</v>
      </c>
      <c r="M215" s="763" t="s">
        <v>459</v>
      </c>
      <c r="N215" s="15" t="s">
        <v>460</v>
      </c>
      <c r="O215" s="14" t="s">
        <v>1200</v>
      </c>
      <c r="P215" s="15" t="s">
        <v>405</v>
      </c>
      <c r="Q215" s="15" t="s">
        <v>468</v>
      </c>
      <c r="R215" s="193">
        <v>78.365420250650203</v>
      </c>
      <c r="S215" s="15" t="s">
        <v>64</v>
      </c>
      <c r="T215" s="14">
        <f t="shared" si="71"/>
        <v>1138.0572</v>
      </c>
      <c r="U215" s="27" t="s">
        <v>1471</v>
      </c>
      <c r="V215" s="90" t="s">
        <v>64</v>
      </c>
      <c r="W215" s="109" t="s">
        <v>481</v>
      </c>
      <c r="X215" s="183" t="s">
        <v>64</v>
      </c>
      <c r="Y215" s="104" t="s">
        <v>64</v>
      </c>
      <c r="Z215" s="104" t="s">
        <v>64</v>
      </c>
      <c r="AA215" s="57" t="s">
        <v>64</v>
      </c>
      <c r="AB215" s="47" t="s">
        <v>64</v>
      </c>
      <c r="AC215" s="57">
        <v>328.95025392291052</v>
      </c>
      <c r="AD215" s="27" t="s">
        <v>470</v>
      </c>
      <c r="AE215" s="28">
        <f t="shared" si="68"/>
        <v>1.4186516410636854</v>
      </c>
      <c r="AF215" s="197" t="s">
        <v>470</v>
      </c>
      <c r="AG215" s="84">
        <v>210</v>
      </c>
      <c r="AH215" s="157" t="s">
        <v>469</v>
      </c>
      <c r="AI215" s="8">
        <v>0.9516558812333461</v>
      </c>
      <c r="AJ215" s="9">
        <v>51.720999999999997</v>
      </c>
      <c r="AK215" s="9">
        <v>2.9140000000000001</v>
      </c>
      <c r="AL215" s="9">
        <v>13.336</v>
      </c>
      <c r="AM215" s="189">
        <v>11.411097662328551</v>
      </c>
      <c r="AN215" s="9">
        <v>0.154</v>
      </c>
      <c r="AO215" s="9">
        <v>6.1719999999999997</v>
      </c>
      <c r="AP215" s="9">
        <v>10.227</v>
      </c>
      <c r="AQ215" s="9">
        <v>2.6030000000000002</v>
      </c>
      <c r="AR215" s="9">
        <v>0.57699999999999996</v>
      </c>
      <c r="AS215" s="9">
        <v>0.25800000000000001</v>
      </c>
      <c r="AT215" s="190">
        <v>823.00028930338794</v>
      </c>
      <c r="AU215" s="9">
        <v>0.44623735450167201</v>
      </c>
      <c r="AV215" s="6">
        <v>119.48977268204416</v>
      </c>
      <c r="AW215" s="27" t="s">
        <v>64</v>
      </c>
      <c r="AX215" s="6">
        <v>119.48977268204416</v>
      </c>
      <c r="AY215" s="8">
        <f t="shared" si="69"/>
        <v>2.2828707782955475</v>
      </c>
      <c r="AZ215" s="9">
        <f t="shared" si="70"/>
        <v>9.3571000831094118</v>
      </c>
      <c r="BA215" s="123">
        <v>51.6111</v>
      </c>
      <c r="BB215" s="121">
        <v>3.0171000000000001</v>
      </c>
      <c r="BC215" s="121">
        <v>13.81</v>
      </c>
      <c r="BD215" s="121">
        <v>10.4695</v>
      </c>
      <c r="BE215" s="121">
        <v>0.15959999999999999</v>
      </c>
      <c r="BF215" s="121">
        <v>4.5359999999999996</v>
      </c>
      <c r="BG215" s="121">
        <v>10.5907</v>
      </c>
      <c r="BH215" s="121">
        <v>2.6949999999999998</v>
      </c>
      <c r="BI215" s="121">
        <v>0.59770000000000001</v>
      </c>
      <c r="BJ215" s="121">
        <v>0.26690000000000003</v>
      </c>
      <c r="BK215" s="121">
        <v>8.6480870400000007E-2</v>
      </c>
      <c r="BL215" s="121">
        <f t="shared" si="72"/>
        <v>97.840080870399987</v>
      </c>
      <c r="BM215" s="121">
        <v>0.46890621211035699</v>
      </c>
      <c r="BN215" s="95">
        <v>125.559853134292</v>
      </c>
      <c r="BO215" s="95" t="s">
        <v>64</v>
      </c>
      <c r="BP215" s="95">
        <v>125.559853134292</v>
      </c>
      <c r="BQ215" s="194" t="s">
        <v>469</v>
      </c>
    </row>
    <row r="216" spans="12:69" ht="14.45" customHeight="1">
      <c r="L216" s="20" t="s">
        <v>64</v>
      </c>
      <c r="M216" s="763" t="s">
        <v>459</v>
      </c>
      <c r="N216" s="15" t="s">
        <v>460</v>
      </c>
      <c r="O216" s="14" t="s">
        <v>1201</v>
      </c>
      <c r="P216" s="15" t="s">
        <v>405</v>
      </c>
      <c r="Q216" s="15" t="s">
        <v>468</v>
      </c>
      <c r="R216" s="193">
        <v>78.365420250650203</v>
      </c>
      <c r="S216" s="15" t="s">
        <v>64</v>
      </c>
      <c r="T216" s="14">
        <f t="shared" si="71"/>
        <v>1138.2582</v>
      </c>
      <c r="U216" s="27" t="s">
        <v>1471</v>
      </c>
      <c r="V216" s="90" t="s">
        <v>64</v>
      </c>
      <c r="W216" s="109" t="s">
        <v>481</v>
      </c>
      <c r="X216" s="183" t="s">
        <v>64</v>
      </c>
      <c r="Y216" s="104" t="s">
        <v>64</v>
      </c>
      <c r="Z216" s="104" t="s">
        <v>64</v>
      </c>
      <c r="AA216" s="57" t="s">
        <v>64</v>
      </c>
      <c r="AB216" s="47" t="s">
        <v>64</v>
      </c>
      <c r="AC216" s="57">
        <v>335.99336612912629</v>
      </c>
      <c r="AD216" s="27" t="s">
        <v>470</v>
      </c>
      <c r="AE216" s="28">
        <f t="shared" si="68"/>
        <v>1.4479487296735998</v>
      </c>
      <c r="AF216" s="197" t="s">
        <v>470</v>
      </c>
      <c r="AG216" s="84">
        <v>210</v>
      </c>
      <c r="AH216" s="157" t="s">
        <v>469</v>
      </c>
      <c r="AI216" s="8">
        <v>0.94607379375591305</v>
      </c>
      <c r="AJ216" s="9">
        <v>51.893999999999998</v>
      </c>
      <c r="AK216" s="9">
        <v>2.8740000000000001</v>
      </c>
      <c r="AL216" s="9">
        <v>13.355</v>
      </c>
      <c r="AM216" s="189">
        <v>11.407098329055151</v>
      </c>
      <c r="AN216" s="9">
        <v>0.23799999999999999</v>
      </c>
      <c r="AO216" s="9">
        <v>6.1820000000000004</v>
      </c>
      <c r="AP216" s="9">
        <v>10.159000000000001</v>
      </c>
      <c r="AQ216" s="9">
        <v>2.5129999999999999</v>
      </c>
      <c r="AR216" s="9">
        <v>0.53100000000000003</v>
      </c>
      <c r="AS216" s="9">
        <v>0.219</v>
      </c>
      <c r="AT216" s="190">
        <v>803.49498202459802</v>
      </c>
      <c r="AU216" s="9">
        <v>0.44820731084204402</v>
      </c>
      <c r="AV216" s="6">
        <v>117.98436260684012</v>
      </c>
      <c r="AW216" s="27" t="s">
        <v>64</v>
      </c>
      <c r="AX216" s="6">
        <v>117.98436260684012</v>
      </c>
      <c r="AY216" s="8">
        <f t="shared" si="69"/>
        <v>2.2820706833938402</v>
      </c>
      <c r="AZ216" s="9">
        <f t="shared" si="70"/>
        <v>9.3538206298252238</v>
      </c>
      <c r="BA216" s="123">
        <v>52.016300000000001</v>
      </c>
      <c r="BB216" s="121">
        <v>3.0022000000000002</v>
      </c>
      <c r="BC216" s="121">
        <v>13.9496</v>
      </c>
      <c r="BD216" s="121">
        <v>10.1953</v>
      </c>
      <c r="BE216" s="121">
        <v>0.24909999999999999</v>
      </c>
      <c r="BF216" s="121">
        <v>4.4874000000000001</v>
      </c>
      <c r="BG216" s="121">
        <v>10.611599999999999</v>
      </c>
      <c r="BH216" s="121">
        <v>2.6253000000000002</v>
      </c>
      <c r="BI216" s="121">
        <v>0.55430000000000001</v>
      </c>
      <c r="BJ216" s="121">
        <v>0.2291</v>
      </c>
      <c r="BK216" s="121">
        <v>8.49294196E-2</v>
      </c>
      <c r="BL216" s="121">
        <f t="shared" si="72"/>
        <v>98.005129419599996</v>
      </c>
      <c r="BM216" s="121">
        <v>0.47375512756004001</v>
      </c>
      <c r="BN216" s="95">
        <v>124.70947127543</v>
      </c>
      <c r="BO216" s="95" t="s">
        <v>64</v>
      </c>
      <c r="BP216" s="95">
        <v>124.70947127543</v>
      </c>
      <c r="BQ216" s="194" t="s">
        <v>469</v>
      </c>
    </row>
    <row r="217" spans="12:69" ht="14.45" customHeight="1">
      <c r="L217" s="20" t="s">
        <v>64</v>
      </c>
      <c r="M217" s="763" t="s">
        <v>459</v>
      </c>
      <c r="N217" s="15" t="s">
        <v>460</v>
      </c>
      <c r="O217" s="14" t="s">
        <v>1202</v>
      </c>
      <c r="P217" s="15" t="s">
        <v>405</v>
      </c>
      <c r="Q217" s="15" t="s">
        <v>468</v>
      </c>
      <c r="R217" s="193">
        <v>78.1257320900786</v>
      </c>
      <c r="S217" s="15" t="s">
        <v>64</v>
      </c>
      <c r="T217" s="14">
        <f t="shared" si="71"/>
        <v>1137.2934</v>
      </c>
      <c r="U217" s="27" t="s">
        <v>1471</v>
      </c>
      <c r="V217" s="90" t="s">
        <v>64</v>
      </c>
      <c r="W217" s="109" t="s">
        <v>481</v>
      </c>
      <c r="X217" s="183" t="s">
        <v>64</v>
      </c>
      <c r="Y217" s="104" t="s">
        <v>64</v>
      </c>
      <c r="Z217" s="104" t="s">
        <v>64</v>
      </c>
      <c r="AA217" s="57" t="s">
        <v>64</v>
      </c>
      <c r="AB217" s="47" t="s">
        <v>64</v>
      </c>
      <c r="AC217" s="57">
        <v>631.68476255830785</v>
      </c>
      <c r="AD217" s="27" t="s">
        <v>470</v>
      </c>
      <c r="AE217" s="28">
        <f t="shared" si="68"/>
        <v>2.6410396441669999</v>
      </c>
      <c r="AF217" s="197" t="s">
        <v>470</v>
      </c>
      <c r="AG217" s="84">
        <v>410</v>
      </c>
      <c r="AH217" s="157" t="s">
        <v>469</v>
      </c>
      <c r="AI217" s="8">
        <v>0.95684623481006614</v>
      </c>
      <c r="AJ217" s="9">
        <v>51.307000000000002</v>
      </c>
      <c r="AK217" s="9">
        <v>3.383</v>
      </c>
      <c r="AL217" s="9">
        <v>13.391999999999999</v>
      </c>
      <c r="AM217" s="189">
        <v>11.495083661069948</v>
      </c>
      <c r="AN217" s="9">
        <v>0.17799999999999999</v>
      </c>
      <c r="AO217" s="9">
        <v>6.1340000000000003</v>
      </c>
      <c r="AP217" s="9">
        <v>9.7690000000000001</v>
      </c>
      <c r="AQ217" s="9">
        <v>2.7309999999999999</v>
      </c>
      <c r="AR217" s="9">
        <v>0.65800000000000003</v>
      </c>
      <c r="AS217" s="9">
        <v>0.313</v>
      </c>
      <c r="AT217" s="190">
        <v>1352.810353076261</v>
      </c>
      <c r="AU217" s="9">
        <v>0.45524450642322001</v>
      </c>
      <c r="AV217" s="6">
        <v>256.54555257094631</v>
      </c>
      <c r="AW217" s="27" t="s">
        <v>64</v>
      </c>
      <c r="AX217" s="6">
        <v>256.54555257094631</v>
      </c>
      <c r="AY217" s="8">
        <f t="shared" si="69"/>
        <v>2.2996727712313949</v>
      </c>
      <c r="AZ217" s="9">
        <f t="shared" si="70"/>
        <v>9.4259686020773596</v>
      </c>
      <c r="BA217" s="123">
        <v>50.825899999999997</v>
      </c>
      <c r="BB217" s="121">
        <v>3.4649999999999999</v>
      </c>
      <c r="BC217" s="121">
        <v>13.7149</v>
      </c>
      <c r="BD217" s="121">
        <v>10.724299999999999</v>
      </c>
      <c r="BE217" s="121">
        <v>0.18240000000000001</v>
      </c>
      <c r="BF217" s="121">
        <v>4.5658000000000003</v>
      </c>
      <c r="BG217" s="121">
        <v>10.004</v>
      </c>
      <c r="BH217" s="121">
        <v>2.7968000000000002</v>
      </c>
      <c r="BI217" s="121">
        <v>0.67390000000000005</v>
      </c>
      <c r="BJ217" s="121">
        <v>0.3201</v>
      </c>
      <c r="BK217" s="121">
        <v>0.14138221000000001</v>
      </c>
      <c r="BL217" s="121">
        <f t="shared" si="72"/>
        <v>97.414482210000003</v>
      </c>
      <c r="BM217" s="121">
        <v>0.47577603366290699</v>
      </c>
      <c r="BN217" s="95">
        <v>268.11575699189598</v>
      </c>
      <c r="BO217" s="95" t="s">
        <v>64</v>
      </c>
      <c r="BP217" s="95">
        <v>268.11575699189598</v>
      </c>
      <c r="BQ217" s="194" t="s">
        <v>469</v>
      </c>
    </row>
    <row r="218" spans="12:69" ht="14.45" customHeight="1">
      <c r="L218" s="20" t="s">
        <v>64</v>
      </c>
      <c r="M218" s="763" t="s">
        <v>459</v>
      </c>
      <c r="N218" s="15" t="s">
        <v>460</v>
      </c>
      <c r="O218" s="14" t="s">
        <v>1203</v>
      </c>
      <c r="P218" s="15" t="s">
        <v>405</v>
      </c>
      <c r="Q218" s="15" t="s">
        <v>468</v>
      </c>
      <c r="R218" s="193">
        <v>76.537187267804796</v>
      </c>
      <c r="S218" s="15" t="s">
        <v>64</v>
      </c>
      <c r="T218" s="14">
        <f t="shared" si="71"/>
        <v>1132.5498</v>
      </c>
      <c r="U218" s="27" t="s">
        <v>1471</v>
      </c>
      <c r="V218" s="90" t="s">
        <v>64</v>
      </c>
      <c r="W218" s="109" t="s">
        <v>481</v>
      </c>
      <c r="X218" s="183" t="s">
        <v>64</v>
      </c>
      <c r="Y218" s="104" t="s">
        <v>64</v>
      </c>
      <c r="Z218" s="104" t="s">
        <v>64</v>
      </c>
      <c r="AA218" s="57" t="s">
        <v>64</v>
      </c>
      <c r="AB218" s="47" t="s">
        <v>64</v>
      </c>
      <c r="AC218" s="57">
        <v>444.34676734685178</v>
      </c>
      <c r="AD218" s="27" t="s">
        <v>470</v>
      </c>
      <c r="AE218" s="28">
        <f t="shared" si="68"/>
        <v>1.8933510499382153</v>
      </c>
      <c r="AF218" s="197" t="s">
        <v>470</v>
      </c>
      <c r="AG218" s="84">
        <v>280</v>
      </c>
      <c r="AH218" s="157" t="s">
        <v>469</v>
      </c>
      <c r="AI218" s="8">
        <v>0.95702938080199063</v>
      </c>
      <c r="AJ218" s="9">
        <v>51.731000000000002</v>
      </c>
      <c r="AK218" s="9">
        <v>3.2480000000000002</v>
      </c>
      <c r="AL218" s="9">
        <v>13.3</v>
      </c>
      <c r="AM218" s="189">
        <v>12.049991152754199</v>
      </c>
      <c r="AN218" s="9">
        <v>0.13200000000000001</v>
      </c>
      <c r="AO218" s="9">
        <v>5.8979999999999997</v>
      </c>
      <c r="AP218" s="9">
        <v>9.2509999999999994</v>
      </c>
      <c r="AQ218" s="9">
        <v>2.661</v>
      </c>
      <c r="AR218" s="9">
        <v>0.70399999999999996</v>
      </c>
      <c r="AS218" s="9">
        <v>0.28499999999999998</v>
      </c>
      <c r="AT218" s="190">
        <v>899.97068810412475</v>
      </c>
      <c r="AU218" s="9">
        <v>0.55595625597718401</v>
      </c>
      <c r="AV218" s="6">
        <v>164.47860551313812</v>
      </c>
      <c r="AW218" s="27" t="s">
        <v>64</v>
      </c>
      <c r="AX218" s="6">
        <v>164.47860551313812</v>
      </c>
      <c r="AY218" s="8">
        <f t="shared" si="69"/>
        <v>2.4106859388432436</v>
      </c>
      <c r="AZ218" s="9">
        <f t="shared" si="70"/>
        <v>9.8809927452584443</v>
      </c>
      <c r="BA218" s="123">
        <v>51.805199999999999</v>
      </c>
      <c r="BB218" s="121">
        <v>3.36</v>
      </c>
      <c r="BC218" s="121">
        <v>13.7606</v>
      </c>
      <c r="BD218" s="121">
        <v>11.3733</v>
      </c>
      <c r="BE218" s="121">
        <v>0.13669999999999999</v>
      </c>
      <c r="BF218" s="121">
        <v>4.4123999999999999</v>
      </c>
      <c r="BG218" s="121">
        <v>9.5709</v>
      </c>
      <c r="BH218" s="121">
        <v>2.7536</v>
      </c>
      <c r="BI218" s="121">
        <v>0.72789999999999999</v>
      </c>
      <c r="BJ218" s="121">
        <v>0.2944</v>
      </c>
      <c r="BK218" s="121">
        <v>9.4037937200000005E-2</v>
      </c>
      <c r="BL218" s="121">
        <f t="shared" si="72"/>
        <v>98.289037937200007</v>
      </c>
      <c r="BM218" s="121">
        <v>0.58091869187056</v>
      </c>
      <c r="BN218" s="95">
        <v>171.86369490067801</v>
      </c>
      <c r="BO218" s="95" t="s">
        <v>64</v>
      </c>
      <c r="BP218" s="95">
        <v>171.86369490067801</v>
      </c>
      <c r="BQ218" s="194" t="s">
        <v>469</v>
      </c>
    </row>
    <row r="219" spans="12:69" ht="14.45" customHeight="1">
      <c r="L219" s="207" t="s">
        <v>483</v>
      </c>
      <c r="M219" s="763" t="s">
        <v>459</v>
      </c>
      <c r="N219" s="15" t="s">
        <v>460</v>
      </c>
      <c r="O219" s="14" t="s">
        <v>1204</v>
      </c>
      <c r="P219" s="15" t="s">
        <v>405</v>
      </c>
      <c r="Q219" s="15" t="s">
        <v>468</v>
      </c>
      <c r="R219" s="193">
        <v>75.538379902492807</v>
      </c>
      <c r="S219" s="15" t="s">
        <v>64</v>
      </c>
      <c r="T219" s="14">
        <f t="shared" si="71"/>
        <v>1128.7910999999999</v>
      </c>
      <c r="U219" s="27" t="s">
        <v>1471</v>
      </c>
      <c r="V219" s="90" t="s">
        <v>64</v>
      </c>
      <c r="W219" s="109" t="s">
        <v>481</v>
      </c>
      <c r="X219" s="183" t="s">
        <v>64</v>
      </c>
      <c r="Y219" s="104" t="s">
        <v>64</v>
      </c>
      <c r="Z219" s="104" t="s">
        <v>64</v>
      </c>
      <c r="AA219" s="57" t="s">
        <v>64</v>
      </c>
      <c r="AB219" s="47" t="s">
        <v>64</v>
      </c>
      <c r="AC219" s="57">
        <v>360</v>
      </c>
      <c r="AD219" s="27" t="s">
        <v>470</v>
      </c>
      <c r="AE219" s="28">
        <f t="shared" si="68"/>
        <v>1.5474875903999998</v>
      </c>
      <c r="AF219" s="197" t="s">
        <v>470</v>
      </c>
      <c r="AG219" s="84">
        <v>360</v>
      </c>
      <c r="AH219" s="157" t="s">
        <v>469</v>
      </c>
      <c r="AI219" s="8">
        <v>0.9566631589017508</v>
      </c>
      <c r="AJ219" s="9">
        <v>51.542000000000002</v>
      </c>
      <c r="AK219" s="9">
        <v>2.653</v>
      </c>
      <c r="AL219" s="9">
        <v>13.478</v>
      </c>
      <c r="AM219" s="189">
        <v>12.336943315120649</v>
      </c>
      <c r="AN219" s="9">
        <v>0.14799999999999999</v>
      </c>
      <c r="AO219" s="9">
        <v>5.7110000000000003</v>
      </c>
      <c r="AP219" s="9">
        <v>9.8369999999999997</v>
      </c>
      <c r="AQ219" s="9">
        <v>2.649</v>
      </c>
      <c r="AR219" s="9">
        <v>0.59599999999999997</v>
      </c>
      <c r="AS219" s="9">
        <v>0.29899999999999999</v>
      </c>
      <c r="AT219" s="190">
        <v>1156.7307835071272</v>
      </c>
      <c r="AU219" s="9">
        <v>0.55650868696105305</v>
      </c>
      <c r="AV219" s="6">
        <v>208.97187982991966</v>
      </c>
      <c r="AW219" s="27" t="s">
        <v>64</v>
      </c>
      <c r="AX219" s="6">
        <v>208.97187982991966</v>
      </c>
      <c r="AY219" s="8">
        <f t="shared" si="69"/>
        <v>2.4680927480407222</v>
      </c>
      <c r="AZ219" s="9">
        <f t="shared" si="70"/>
        <v>10.116293518398933</v>
      </c>
      <c r="BA219" s="123">
        <v>51.467199999999998</v>
      </c>
      <c r="BB219" s="121">
        <v>2.7381000000000002</v>
      </c>
      <c r="BC219" s="121">
        <v>13.908799999999999</v>
      </c>
      <c r="BD219" s="121">
        <v>11.557600000000001</v>
      </c>
      <c r="BE219" s="121">
        <v>0.1527</v>
      </c>
      <c r="BF219" s="121">
        <v>4.2417999999999996</v>
      </c>
      <c r="BG219" s="121">
        <v>10.152100000000001</v>
      </c>
      <c r="BH219" s="121">
        <v>2.7336999999999998</v>
      </c>
      <c r="BI219" s="121">
        <v>0.61460000000000004</v>
      </c>
      <c r="BJ219" s="121">
        <v>0.3085</v>
      </c>
      <c r="BK219" s="121">
        <v>0.1209130688</v>
      </c>
      <c r="BL219" s="121">
        <f t="shared" si="72"/>
        <v>97.996013068799996</v>
      </c>
      <c r="BM219" s="121">
        <v>0.58171853048038802</v>
      </c>
      <c r="BN219" s="95">
        <v>218.438305986215</v>
      </c>
      <c r="BO219" s="95" t="s">
        <v>64</v>
      </c>
      <c r="BP219" s="95">
        <v>218.438305986215</v>
      </c>
      <c r="BQ219" s="194" t="s">
        <v>469</v>
      </c>
    </row>
    <row r="220" spans="12:69" ht="14.45" customHeight="1">
      <c r="L220" s="20" t="s">
        <v>64</v>
      </c>
      <c r="M220" s="763" t="s">
        <v>459</v>
      </c>
      <c r="N220" s="15" t="s">
        <v>460</v>
      </c>
      <c r="O220" s="14" t="s">
        <v>1205</v>
      </c>
      <c r="P220" s="15" t="s">
        <v>405</v>
      </c>
      <c r="Q220" s="15" t="s">
        <v>468</v>
      </c>
      <c r="R220" s="193">
        <v>77.7303661637511</v>
      </c>
      <c r="S220" s="15" t="s">
        <v>64</v>
      </c>
      <c r="T220" s="14">
        <f t="shared" si="71"/>
        <v>1135.7456999999999</v>
      </c>
      <c r="U220" s="27" t="s">
        <v>1471</v>
      </c>
      <c r="V220" s="90" t="s">
        <v>64</v>
      </c>
      <c r="W220" s="109" t="s">
        <v>481</v>
      </c>
      <c r="X220" s="183" t="s">
        <v>64</v>
      </c>
      <c r="Y220" s="104" t="s">
        <v>64</v>
      </c>
      <c r="Z220" s="104" t="s">
        <v>64</v>
      </c>
      <c r="AA220" s="57" t="s">
        <v>64</v>
      </c>
      <c r="AB220" s="47" t="s">
        <v>64</v>
      </c>
      <c r="AC220" s="57">
        <v>455.69746913855141</v>
      </c>
      <c r="AD220" s="27" t="s">
        <v>470</v>
      </c>
      <c r="AE220" s="28">
        <f t="shared" si="68"/>
        <v>1.939444174261445</v>
      </c>
      <c r="AF220" s="197" t="s">
        <v>470</v>
      </c>
      <c r="AG220" s="84">
        <v>280</v>
      </c>
      <c r="AH220" s="157" t="s">
        <v>469</v>
      </c>
      <c r="AI220" s="8">
        <v>0.95483624558388247</v>
      </c>
      <c r="AJ220" s="9">
        <v>52.097000000000001</v>
      </c>
      <c r="AK220" s="9">
        <v>2.9159999999999999</v>
      </c>
      <c r="AL220" s="9">
        <v>13.192</v>
      </c>
      <c r="AM220" s="189">
        <v>11.589067992994849</v>
      </c>
      <c r="AN220" s="9">
        <v>0.16900000000000001</v>
      </c>
      <c r="AO220" s="9">
        <v>6.0570000000000004</v>
      </c>
      <c r="AP220" s="9">
        <v>9.968</v>
      </c>
      <c r="AQ220" s="9">
        <v>2.4609999999999999</v>
      </c>
      <c r="AR220" s="9">
        <v>0.63700000000000001</v>
      </c>
      <c r="AS220" s="9">
        <v>0.23100000000000001</v>
      </c>
      <c r="AT220" s="190">
        <v>987.74692638212571</v>
      </c>
      <c r="AU220" s="9">
        <v>0.50632692027153603</v>
      </c>
      <c r="AV220" s="6">
        <v>161.40572717315385</v>
      </c>
      <c r="AW220" s="27" t="s">
        <v>64</v>
      </c>
      <c r="AX220" s="6">
        <v>161.40572717315388</v>
      </c>
      <c r="AY220" s="8">
        <f t="shared" si="69"/>
        <v>2.3184750014215099</v>
      </c>
      <c r="AZ220" s="9">
        <f t="shared" si="70"/>
        <v>9.5030357542557766</v>
      </c>
      <c r="BA220" s="123">
        <v>52.467799999999997</v>
      </c>
      <c r="BB220" s="121">
        <v>3.0388999999999999</v>
      </c>
      <c r="BC220" s="121">
        <v>13.748200000000001</v>
      </c>
      <c r="BD220" s="121">
        <v>10.4329</v>
      </c>
      <c r="BE220" s="121">
        <v>0.17599999999999999</v>
      </c>
      <c r="BF220" s="121">
        <v>4.7874999999999996</v>
      </c>
      <c r="BG220" s="121">
        <v>10.388199999999999</v>
      </c>
      <c r="BH220" s="121">
        <v>2.5647000000000002</v>
      </c>
      <c r="BI220" s="121">
        <v>0.66349999999999998</v>
      </c>
      <c r="BJ220" s="121">
        <v>0.24030000000000001</v>
      </c>
      <c r="BK220" s="121">
        <v>0.10344673560000001</v>
      </c>
      <c r="BL220" s="121">
        <f t="shared" si="72"/>
        <v>98.611446735599998</v>
      </c>
      <c r="BM220" s="121">
        <v>0.53027618360037998</v>
      </c>
      <c r="BN220" s="95">
        <v>169.04021806844401</v>
      </c>
      <c r="BO220" s="95" t="s">
        <v>64</v>
      </c>
      <c r="BP220" s="95">
        <v>169.04021806844401</v>
      </c>
      <c r="BQ220" s="194" t="s">
        <v>469</v>
      </c>
    </row>
    <row r="221" spans="12:69" ht="14.45" customHeight="1">
      <c r="L221" s="20" t="s">
        <v>64</v>
      </c>
      <c r="M221" s="763" t="s">
        <v>459</v>
      </c>
      <c r="N221" s="15" t="s">
        <v>460</v>
      </c>
      <c r="O221" s="14" t="s">
        <v>1206</v>
      </c>
      <c r="P221" s="15" t="s">
        <v>405</v>
      </c>
      <c r="Q221" s="15" t="s">
        <v>468</v>
      </c>
      <c r="R221" s="193">
        <v>80.893966376269404</v>
      </c>
      <c r="S221" s="15" t="s">
        <v>64</v>
      </c>
      <c r="T221" s="14">
        <f t="shared" si="71"/>
        <v>1166.8605</v>
      </c>
      <c r="U221" s="27" t="s">
        <v>416</v>
      </c>
      <c r="V221" s="90" t="s">
        <v>64</v>
      </c>
      <c r="W221" s="109" t="s">
        <v>480</v>
      </c>
      <c r="X221" s="183" t="s">
        <v>64</v>
      </c>
      <c r="Y221" s="104" t="s">
        <v>64</v>
      </c>
      <c r="Z221" s="104" t="s">
        <v>64</v>
      </c>
      <c r="AA221" s="57" t="s">
        <v>64</v>
      </c>
      <c r="AB221" s="47" t="s">
        <v>64</v>
      </c>
      <c r="AC221" s="57">
        <v>732.19231548995117</v>
      </c>
      <c r="AD221" s="27" t="s">
        <v>470</v>
      </c>
      <c r="AE221" s="28">
        <f t="shared" si="68"/>
        <v>3.0312671878831745</v>
      </c>
      <c r="AF221" s="197" t="s">
        <v>470</v>
      </c>
      <c r="AG221" s="84">
        <v>470</v>
      </c>
      <c r="AH221" s="157" t="s">
        <v>469</v>
      </c>
      <c r="AI221" s="8">
        <v>0.95256239283673072</v>
      </c>
      <c r="AJ221" s="9">
        <v>51.305</v>
      </c>
      <c r="AK221" s="9">
        <v>2.871</v>
      </c>
      <c r="AL221" s="9">
        <v>13.222</v>
      </c>
      <c r="AM221" s="189">
        <v>11.354107163182599</v>
      </c>
      <c r="AN221" s="9">
        <v>0.114</v>
      </c>
      <c r="AO221" s="9">
        <v>7.6050000000000004</v>
      </c>
      <c r="AP221" s="9">
        <v>9.6910000000000007</v>
      </c>
      <c r="AQ221" s="9">
        <v>2.581</v>
      </c>
      <c r="AR221" s="9">
        <v>0.504</v>
      </c>
      <c r="AS221" s="9">
        <v>0.29399999999999998</v>
      </c>
      <c r="AT221" s="190">
        <v>1193.7243970280051</v>
      </c>
      <c r="AU221" s="9">
        <v>0.5</v>
      </c>
      <c r="AV221" s="6">
        <v>303.39626099150121</v>
      </c>
      <c r="AW221" s="27" t="s">
        <v>64</v>
      </c>
      <c r="AX221" s="6">
        <v>303.39626099150121</v>
      </c>
      <c r="AY221" s="8">
        <f t="shared" si="69"/>
        <v>2.2714694259462225</v>
      </c>
      <c r="AZ221" s="9">
        <f t="shared" si="70"/>
        <v>9.3103678738097315</v>
      </c>
      <c r="BA221" s="123">
        <v>51.347099999999998</v>
      </c>
      <c r="BB221" s="121">
        <v>2.9809000000000001</v>
      </c>
      <c r="BC221" s="121">
        <v>13.7294</v>
      </c>
      <c r="BD221" s="121">
        <v>10.2081</v>
      </c>
      <c r="BE221" s="121">
        <v>8.8900000000000007E-2</v>
      </c>
      <c r="BF221" s="121">
        <v>6.2351000000000001</v>
      </c>
      <c r="BG221" s="121">
        <v>10.036</v>
      </c>
      <c r="BH221" s="121">
        <v>2.6804000000000001</v>
      </c>
      <c r="BI221" s="121">
        <v>0.52339999999999998</v>
      </c>
      <c r="BJ221" s="121">
        <v>0.30549999999999999</v>
      </c>
      <c r="BK221" s="121">
        <v>0.12531718719999999</v>
      </c>
      <c r="BL221" s="121">
        <f t="shared" si="72"/>
        <v>98.260117187199995</v>
      </c>
      <c r="BM221" s="121">
        <v>0.30229526262095802</v>
      </c>
      <c r="BN221" s="95">
        <v>318.50539478887799</v>
      </c>
      <c r="BO221" s="95" t="s">
        <v>64</v>
      </c>
      <c r="BP221" s="95">
        <v>318.50539478887799</v>
      </c>
      <c r="BQ221" s="194" t="s">
        <v>469</v>
      </c>
    </row>
    <row r="222" spans="12:69" ht="14.45" customHeight="1">
      <c r="L222" s="20" t="s">
        <v>64</v>
      </c>
      <c r="M222" s="763" t="s">
        <v>459</v>
      </c>
      <c r="N222" s="15" t="s">
        <v>460</v>
      </c>
      <c r="O222" s="14" t="s">
        <v>1207</v>
      </c>
      <c r="P222" s="15" t="s">
        <v>405</v>
      </c>
      <c r="Q222" s="15" t="s">
        <v>468</v>
      </c>
      <c r="R222" s="193">
        <v>82.282230768981805</v>
      </c>
      <c r="S222" s="15" t="s">
        <v>64</v>
      </c>
      <c r="T222" s="14">
        <f t="shared" si="71"/>
        <v>1136.5296000000001</v>
      </c>
      <c r="U222" s="27" t="s">
        <v>1471</v>
      </c>
      <c r="V222" s="90" t="s">
        <v>64</v>
      </c>
      <c r="W222" s="109" t="s">
        <v>481</v>
      </c>
      <c r="X222" s="183" t="s">
        <v>64</v>
      </c>
      <c r="Y222" s="104" t="s">
        <v>64</v>
      </c>
      <c r="Z222" s="104" t="s">
        <v>64</v>
      </c>
      <c r="AA222" s="57" t="s">
        <v>64</v>
      </c>
      <c r="AB222" s="47" t="s">
        <v>64</v>
      </c>
      <c r="AC222" s="57">
        <v>721.42120224444193</v>
      </c>
      <c r="AD222" s="27" t="s">
        <v>470</v>
      </c>
      <c r="AE222" s="28">
        <f t="shared" si="68"/>
        <v>2.9897937828350942</v>
      </c>
      <c r="AF222" s="197" t="s">
        <v>470</v>
      </c>
      <c r="AG222" s="84">
        <v>440</v>
      </c>
      <c r="AH222" s="157" t="s">
        <v>469</v>
      </c>
      <c r="AI222" s="8">
        <v>0.90383224873463486</v>
      </c>
      <c r="AJ222" s="9">
        <v>51.212000000000003</v>
      </c>
      <c r="AK222" s="9">
        <v>3.5329999999999999</v>
      </c>
      <c r="AL222" s="9">
        <v>13.244999999999999</v>
      </c>
      <c r="AM222" s="189">
        <v>11.335110330133951</v>
      </c>
      <c r="AN222" s="9">
        <v>0.214</v>
      </c>
      <c r="AO222" s="9">
        <v>6.0960000000000001</v>
      </c>
      <c r="AP222" s="9">
        <v>9.6359999999999992</v>
      </c>
      <c r="AQ222" s="9">
        <v>2.5230000000000001</v>
      </c>
      <c r="AR222" s="9">
        <v>0.502</v>
      </c>
      <c r="AS222" s="9">
        <v>0.3</v>
      </c>
      <c r="AT222" s="190">
        <v>989.26565075921906</v>
      </c>
      <c r="AU222" s="9">
        <v>0.53310851909546819</v>
      </c>
      <c r="AV222" s="6">
        <v>270.09525588768798</v>
      </c>
      <c r="AW222" s="27" t="s">
        <v>64</v>
      </c>
      <c r="AX222" s="6">
        <v>270.09525588768798</v>
      </c>
      <c r="AY222" s="8">
        <f t="shared" si="69"/>
        <v>2.2676689751631143</v>
      </c>
      <c r="AZ222" s="9">
        <f t="shared" si="70"/>
        <v>9.2947904707098417</v>
      </c>
      <c r="BA222" s="123">
        <v>52.249200000000002</v>
      </c>
      <c r="BB222" s="121">
        <v>3.0539999999999998</v>
      </c>
      <c r="BC222" s="121">
        <v>14.5044</v>
      </c>
      <c r="BD222" s="121">
        <v>8.6289999999999996</v>
      </c>
      <c r="BE222" s="121">
        <v>0.1719</v>
      </c>
      <c r="BF222" s="121">
        <v>5.1246999999999998</v>
      </c>
      <c r="BG222" s="121">
        <v>10.548400000000001</v>
      </c>
      <c r="BH222" s="121">
        <v>2.7616999999999998</v>
      </c>
      <c r="BI222" s="121">
        <v>0.54990000000000006</v>
      </c>
      <c r="BJ222" s="121">
        <v>0.3281</v>
      </c>
      <c r="BK222" s="121">
        <v>0.1094523516</v>
      </c>
      <c r="BL222" s="121">
        <f t="shared" si="72"/>
        <v>98.030752351600015</v>
      </c>
      <c r="BM222" s="121">
        <v>0.58983126552722598</v>
      </c>
      <c r="BN222" s="95">
        <v>298.83339111413801</v>
      </c>
      <c r="BO222" s="95" t="s">
        <v>64</v>
      </c>
      <c r="BP222" s="95">
        <v>298.83339111413801</v>
      </c>
      <c r="BQ222" s="194" t="s">
        <v>469</v>
      </c>
    </row>
    <row r="223" spans="12:69" ht="14.45" customHeight="1">
      <c r="L223" s="20" t="s">
        <v>64</v>
      </c>
      <c r="M223" s="763" t="s">
        <v>459</v>
      </c>
      <c r="N223" s="15" t="s">
        <v>460</v>
      </c>
      <c r="O223" s="14" t="s">
        <v>1208</v>
      </c>
      <c r="P223" s="15" t="s">
        <v>405</v>
      </c>
      <c r="Q223" s="15" t="s">
        <v>468</v>
      </c>
      <c r="R223" s="193">
        <v>80.987393887403201</v>
      </c>
      <c r="S223" s="15" t="s">
        <v>64</v>
      </c>
      <c r="T223" s="14">
        <f t="shared" si="71"/>
        <v>1168.0866000000001</v>
      </c>
      <c r="U223" s="27" t="s">
        <v>300</v>
      </c>
      <c r="V223" s="90" t="s">
        <v>64</v>
      </c>
      <c r="W223" s="109" t="s">
        <v>64</v>
      </c>
      <c r="X223" s="183" t="s">
        <v>64</v>
      </c>
      <c r="Y223" s="104" t="s">
        <v>64</v>
      </c>
      <c r="Z223" s="104" t="s">
        <v>64</v>
      </c>
      <c r="AA223" s="57" t="s">
        <v>64</v>
      </c>
      <c r="AB223" s="47" t="s">
        <v>64</v>
      </c>
      <c r="AC223" s="57">
        <v>56.740011947894999</v>
      </c>
      <c r="AD223" s="27" t="s">
        <v>470</v>
      </c>
      <c r="AE223" s="28">
        <f t="shared" si="68"/>
        <v>0.25202805804392187</v>
      </c>
      <c r="AF223" s="197" t="s">
        <v>470</v>
      </c>
      <c r="AG223" s="84">
        <v>50</v>
      </c>
      <c r="AH223" s="157" t="s">
        <v>469</v>
      </c>
      <c r="AI223" s="8">
        <v>0.90637179370977983</v>
      </c>
      <c r="AJ223" s="9">
        <v>51.012999999999998</v>
      </c>
      <c r="AK223" s="9">
        <v>2.4220000000000002</v>
      </c>
      <c r="AL223" s="9">
        <v>12.885</v>
      </c>
      <c r="AM223" s="189">
        <v>11.33111099686055</v>
      </c>
      <c r="AN223" s="9">
        <v>0.214</v>
      </c>
      <c r="AO223" s="9">
        <v>7.6660000000000004</v>
      </c>
      <c r="AP223" s="9">
        <v>11.233000000000001</v>
      </c>
      <c r="AQ223" s="9">
        <v>2.2010000000000001</v>
      </c>
      <c r="AR223" s="9">
        <v>0.40400000000000003</v>
      </c>
      <c r="AS223" s="9">
        <v>0.246</v>
      </c>
      <c r="AT223" s="190">
        <v>206.39258587872749</v>
      </c>
      <c r="AU223" s="9">
        <v>0.5</v>
      </c>
      <c r="AV223" s="6">
        <v>9.8488584631887974</v>
      </c>
      <c r="AW223" s="27" t="s">
        <v>64</v>
      </c>
      <c r="AX223" s="6">
        <v>9.8488584631887974</v>
      </c>
      <c r="AY223" s="8">
        <f t="shared" si="69"/>
        <v>2.2668688802614074</v>
      </c>
      <c r="AZ223" s="9">
        <f t="shared" si="70"/>
        <v>9.2915110174256519</v>
      </c>
      <c r="BA223" s="123">
        <v>51.650399999999998</v>
      </c>
      <c r="BB223" s="121">
        <v>2.6431</v>
      </c>
      <c r="BC223" s="121">
        <v>14.0595</v>
      </c>
      <c r="BD223" s="121">
        <v>10.4092</v>
      </c>
      <c r="BE223" s="121">
        <v>0.1812</v>
      </c>
      <c r="BF223" s="121">
        <v>4.1555999999999997</v>
      </c>
      <c r="BG223" s="121">
        <v>12.188499999999999</v>
      </c>
      <c r="BH223" s="121">
        <v>2.4018000000000002</v>
      </c>
      <c r="BI223" s="121">
        <v>0.44130000000000003</v>
      </c>
      <c r="BJ223" s="121">
        <v>0.26889999999999997</v>
      </c>
      <c r="BK223" s="121">
        <v>2.2771294000000001E-2</v>
      </c>
      <c r="BL223" s="121">
        <f t="shared" si="72"/>
        <v>98.422271293999984</v>
      </c>
      <c r="BM223" s="121">
        <v>0.230438709594569</v>
      </c>
      <c r="BN223" s="95">
        <v>10.8662455424362</v>
      </c>
      <c r="BO223" s="95" t="s">
        <v>64</v>
      </c>
      <c r="BP223" s="95">
        <v>10.8662455424362</v>
      </c>
      <c r="BQ223" s="194" t="s">
        <v>469</v>
      </c>
    </row>
    <row r="224" spans="12:69" ht="14.45" customHeight="1">
      <c r="L224" s="20" t="s">
        <v>64</v>
      </c>
      <c r="M224" s="763" t="s">
        <v>459</v>
      </c>
      <c r="N224" s="15" t="s">
        <v>460</v>
      </c>
      <c r="O224" s="14" t="s">
        <v>1209</v>
      </c>
      <c r="P224" s="15" t="s">
        <v>405</v>
      </c>
      <c r="Q224" s="15" t="s">
        <v>468</v>
      </c>
      <c r="R224" s="193">
        <v>80.987393887403201</v>
      </c>
      <c r="S224" s="15" t="s">
        <v>64</v>
      </c>
      <c r="T224" s="14">
        <f t="shared" si="71"/>
        <v>1169.3328000000001</v>
      </c>
      <c r="U224" s="27" t="s">
        <v>300</v>
      </c>
      <c r="V224" s="90" t="s">
        <v>64</v>
      </c>
      <c r="W224" s="109" t="s">
        <v>64</v>
      </c>
      <c r="X224" s="183" t="s">
        <v>64</v>
      </c>
      <c r="Y224" s="104" t="s">
        <v>64</v>
      </c>
      <c r="Z224" s="104" t="s">
        <v>64</v>
      </c>
      <c r="AA224" s="57" t="s">
        <v>64</v>
      </c>
      <c r="AB224" s="47" t="s">
        <v>64</v>
      </c>
      <c r="AC224" s="57">
        <v>483.61624754842649</v>
      </c>
      <c r="AD224" s="27" t="s">
        <v>470</v>
      </c>
      <c r="AE224" s="28">
        <f t="shared" si="68"/>
        <v>2.0523719346871645</v>
      </c>
      <c r="AF224" s="197" t="s">
        <v>470</v>
      </c>
      <c r="AG224" s="84">
        <v>310</v>
      </c>
      <c r="AH224" s="157" t="s">
        <v>469</v>
      </c>
      <c r="AI224" s="8">
        <v>0.94108789760963674</v>
      </c>
      <c r="AJ224" s="9">
        <v>51.167000000000002</v>
      </c>
      <c r="AK224" s="9">
        <v>2.3759999999999999</v>
      </c>
      <c r="AL224" s="9">
        <v>12.879</v>
      </c>
      <c r="AM224" s="189">
        <v>11.372104162912899</v>
      </c>
      <c r="AN224" s="9">
        <v>0.188</v>
      </c>
      <c r="AO224" s="9">
        <v>7.7279999999999998</v>
      </c>
      <c r="AP224" s="9">
        <v>11.084</v>
      </c>
      <c r="AQ224" s="9">
        <v>2.1760000000000002</v>
      </c>
      <c r="AR224" s="9">
        <v>0.40500000000000003</v>
      </c>
      <c r="AS224" s="9">
        <v>0.24399999999999999</v>
      </c>
      <c r="AT224" s="190">
        <v>350.88336156597023</v>
      </c>
      <c r="AU224" s="9">
        <v>0.5</v>
      </c>
      <c r="AV224" s="6">
        <v>181.03789631264351</v>
      </c>
      <c r="AW224" s="27" t="s">
        <v>64</v>
      </c>
      <c r="AX224" s="6">
        <v>181.03789631264351</v>
      </c>
      <c r="AY224" s="8">
        <f t="shared" si="69"/>
        <v>2.2750698530039042</v>
      </c>
      <c r="AZ224" s="9">
        <f t="shared" si="70"/>
        <v>9.3251254135885784</v>
      </c>
      <c r="BA224" s="123">
        <v>51.148499999999999</v>
      </c>
      <c r="BB224" s="121">
        <v>2.4872999999999998</v>
      </c>
      <c r="BC224" s="121">
        <v>13.4834</v>
      </c>
      <c r="BD224" s="121">
        <v>10.9068</v>
      </c>
      <c r="BE224" s="121">
        <v>0.1633</v>
      </c>
      <c r="BF224" s="121">
        <v>5.452</v>
      </c>
      <c r="BG224" s="121">
        <v>11.5632</v>
      </c>
      <c r="BH224" s="121">
        <v>2.2786</v>
      </c>
      <c r="BI224" s="121">
        <v>0.42370000000000002</v>
      </c>
      <c r="BJ224" s="121">
        <v>0.25580000000000003</v>
      </c>
      <c r="BK224" s="121">
        <v>3.7284866E-2</v>
      </c>
      <c r="BL224" s="121">
        <f t="shared" si="72"/>
        <v>98.199884865999977</v>
      </c>
      <c r="BM224" s="121">
        <v>0.21865403486068399</v>
      </c>
      <c r="BN224" s="95">
        <v>192.37086862181499</v>
      </c>
      <c r="BO224" s="95" t="s">
        <v>64</v>
      </c>
      <c r="BP224" s="95">
        <v>192.37086862181499</v>
      </c>
      <c r="BQ224" s="194" t="s">
        <v>469</v>
      </c>
    </row>
    <row r="225" spans="12:69" ht="14.45" customHeight="1">
      <c r="L225" s="20" t="s">
        <v>64</v>
      </c>
      <c r="M225" s="763" t="s">
        <v>459</v>
      </c>
      <c r="N225" s="15" t="s">
        <v>460</v>
      </c>
      <c r="O225" s="14" t="s">
        <v>1210</v>
      </c>
      <c r="P225" s="15" t="s">
        <v>405</v>
      </c>
      <c r="Q225" s="15" t="s">
        <v>468</v>
      </c>
      <c r="R225" s="193">
        <v>80.987393887403201</v>
      </c>
      <c r="S225" s="15" t="s">
        <v>64</v>
      </c>
      <c r="T225" s="14">
        <f t="shared" si="71"/>
        <v>1168.4082000000001</v>
      </c>
      <c r="U225" s="27" t="s">
        <v>300</v>
      </c>
      <c r="V225" s="90" t="s">
        <v>64</v>
      </c>
      <c r="W225" s="109" t="s">
        <v>64</v>
      </c>
      <c r="X225" s="183" t="s">
        <v>64</v>
      </c>
      <c r="Y225" s="104" t="s">
        <v>64</v>
      </c>
      <c r="Z225" s="104" t="s">
        <v>64</v>
      </c>
      <c r="AA225" s="57" t="s">
        <v>64</v>
      </c>
      <c r="AB225" s="47" t="s">
        <v>64</v>
      </c>
      <c r="AC225" s="57">
        <v>791.51925041494985</v>
      </c>
      <c r="AD225" s="27" t="s">
        <v>470</v>
      </c>
      <c r="AE225" s="28">
        <f t="shared" si="68"/>
        <v>3.2582572905824971</v>
      </c>
      <c r="AF225" s="197" t="s">
        <v>470</v>
      </c>
      <c r="AG225" s="84">
        <v>500</v>
      </c>
      <c r="AH225" s="157" t="s">
        <v>469</v>
      </c>
      <c r="AI225" s="8">
        <v>0.95201827875095202</v>
      </c>
      <c r="AJ225" s="9">
        <v>51.445999999999998</v>
      </c>
      <c r="AK225" s="9">
        <v>2.536</v>
      </c>
      <c r="AL225" s="9">
        <v>13.028</v>
      </c>
      <c r="AM225" s="189">
        <v>11.335110330133951</v>
      </c>
      <c r="AN225" s="9">
        <v>0.152</v>
      </c>
      <c r="AO225" s="9">
        <v>7.6820000000000004</v>
      </c>
      <c r="AP225" s="9">
        <v>10.541</v>
      </c>
      <c r="AQ225" s="9">
        <v>2.2959999999999998</v>
      </c>
      <c r="AR225" s="9">
        <v>0.503</v>
      </c>
      <c r="AS225" s="9">
        <v>0.219</v>
      </c>
      <c r="AT225" s="190">
        <v>577.46307692307698</v>
      </c>
      <c r="AU225" s="9">
        <v>0.5</v>
      </c>
      <c r="AV225" s="6">
        <v>315.28076391198971</v>
      </c>
      <c r="AW225" s="27" t="s">
        <v>64</v>
      </c>
      <c r="AX225" s="6">
        <v>315.28076391198971</v>
      </c>
      <c r="AY225" s="8">
        <f t="shared" si="69"/>
        <v>2.2676689751631143</v>
      </c>
      <c r="AZ225" s="9">
        <f t="shared" si="70"/>
        <v>9.2947904707098417</v>
      </c>
      <c r="BA225" s="123">
        <v>51.478299999999997</v>
      </c>
      <c r="BB225" s="121">
        <v>2.6337000000000002</v>
      </c>
      <c r="BC225" s="121">
        <v>13.5326</v>
      </c>
      <c r="BD225" s="121">
        <v>11.0143</v>
      </c>
      <c r="BE225" s="121">
        <v>0.13100000000000001</v>
      </c>
      <c r="BF225" s="121">
        <v>5.8178999999999998</v>
      </c>
      <c r="BG225" s="121">
        <v>10.9161</v>
      </c>
      <c r="BH225" s="121">
        <v>2.3849999999999998</v>
      </c>
      <c r="BI225" s="121">
        <v>0.52259999999999995</v>
      </c>
      <c r="BJ225" s="121">
        <v>0.2278</v>
      </c>
      <c r="BK225" s="121">
        <v>6.0656721600000005E-2</v>
      </c>
      <c r="BL225" s="121">
        <f t="shared" si="72"/>
        <v>98.719956721599999</v>
      </c>
      <c r="BM225" s="121">
        <v>9.2799696731565698E-2</v>
      </c>
      <c r="BN225" s="95">
        <v>331.17091441315398</v>
      </c>
      <c r="BO225" s="95" t="s">
        <v>64</v>
      </c>
      <c r="BP225" s="95">
        <v>331.17091441315398</v>
      </c>
      <c r="BQ225" s="194" t="s">
        <v>469</v>
      </c>
    </row>
    <row r="226" spans="12:69" ht="14.45" customHeight="1">
      <c r="L226" s="20" t="s">
        <v>64</v>
      </c>
      <c r="M226" s="763" t="s">
        <v>459</v>
      </c>
      <c r="N226" s="15" t="s">
        <v>460</v>
      </c>
      <c r="O226" s="14" t="s">
        <v>1211</v>
      </c>
      <c r="P226" s="15" t="s">
        <v>405</v>
      </c>
      <c r="Q226" s="15" t="s">
        <v>468</v>
      </c>
      <c r="R226" s="193">
        <v>80.987393887403201</v>
      </c>
      <c r="S226" s="15" t="s">
        <v>64</v>
      </c>
      <c r="T226" s="14">
        <f t="shared" si="71"/>
        <v>1168.4283</v>
      </c>
      <c r="U226" s="27" t="s">
        <v>300</v>
      </c>
      <c r="V226" s="90" t="s">
        <v>64</v>
      </c>
      <c r="W226" s="109" t="s">
        <v>64</v>
      </c>
      <c r="X226" s="183" t="s">
        <v>64</v>
      </c>
      <c r="Y226" s="104" t="s">
        <v>64</v>
      </c>
      <c r="Z226" s="104" t="s">
        <v>64</v>
      </c>
      <c r="AA226" s="57" t="s">
        <v>64</v>
      </c>
      <c r="AB226" s="47" t="s">
        <v>64</v>
      </c>
      <c r="AC226" s="57">
        <v>609.18108025666811</v>
      </c>
      <c r="AD226" s="27" t="s">
        <v>470</v>
      </c>
      <c r="AE226" s="28">
        <f t="shared" si="68"/>
        <v>2.5526548089601198</v>
      </c>
      <c r="AF226" s="197" t="s">
        <v>470</v>
      </c>
      <c r="AG226" s="84">
        <v>380</v>
      </c>
      <c r="AH226" s="157" t="s">
        <v>469</v>
      </c>
      <c r="AI226" s="8">
        <v>0.94759783947692611</v>
      </c>
      <c r="AJ226" s="9">
        <v>51.231999999999999</v>
      </c>
      <c r="AK226" s="9">
        <v>2.5190000000000001</v>
      </c>
      <c r="AL226" s="9">
        <v>13.068</v>
      </c>
      <c r="AM226" s="189">
        <v>11.3361101634523</v>
      </c>
      <c r="AN226" s="9">
        <v>0.158</v>
      </c>
      <c r="AO226" s="9">
        <v>7.6829999999999998</v>
      </c>
      <c r="AP226" s="9">
        <v>10.816000000000001</v>
      </c>
      <c r="AQ226" s="9">
        <v>2.2480000000000002</v>
      </c>
      <c r="AR226" s="9">
        <v>0.434</v>
      </c>
      <c r="AS226" s="9">
        <v>0.249</v>
      </c>
      <c r="AT226" s="190">
        <v>585.21511608073536</v>
      </c>
      <c r="AU226" s="9">
        <v>0.5</v>
      </c>
      <c r="AV226" s="6">
        <v>234.87519097702457</v>
      </c>
      <c r="AW226" s="27" t="s">
        <v>64</v>
      </c>
      <c r="AX226" s="6">
        <v>234.87519097702454</v>
      </c>
      <c r="AY226" s="8">
        <f t="shared" si="69"/>
        <v>2.2678689988885412</v>
      </c>
      <c r="AZ226" s="9">
        <f t="shared" si="70"/>
        <v>9.2956103340308864</v>
      </c>
      <c r="BA226" s="123">
        <v>51.238300000000002</v>
      </c>
      <c r="BB226" s="121">
        <v>2.6246</v>
      </c>
      <c r="BC226" s="121">
        <v>13.6165</v>
      </c>
      <c r="BD226" s="121">
        <v>11.0611</v>
      </c>
      <c r="BE226" s="121">
        <v>0.1353</v>
      </c>
      <c r="BF226" s="121">
        <v>5.5933000000000002</v>
      </c>
      <c r="BG226" s="121">
        <v>11.2324</v>
      </c>
      <c r="BH226" s="121">
        <v>2.3420000000000001</v>
      </c>
      <c r="BI226" s="121">
        <v>0.4521</v>
      </c>
      <c r="BJ226" s="121">
        <v>0.2596</v>
      </c>
      <c r="BK226" s="121">
        <v>6.1757751199999995E-2</v>
      </c>
      <c r="BL226" s="121">
        <f t="shared" si="72"/>
        <v>98.616957751200005</v>
      </c>
      <c r="BM226" s="121">
        <v>9.0596301986178102E-2</v>
      </c>
      <c r="BN226" s="95">
        <v>247.86378903805399</v>
      </c>
      <c r="BO226" s="95" t="s">
        <v>64</v>
      </c>
      <c r="BP226" s="95">
        <v>247.86378903805399</v>
      </c>
      <c r="BQ226" s="194" t="s">
        <v>469</v>
      </c>
    </row>
    <row r="227" spans="12:69" ht="14.45" customHeight="1">
      <c r="L227" s="20" t="s">
        <v>64</v>
      </c>
      <c r="M227" s="763" t="s">
        <v>459</v>
      </c>
      <c r="N227" s="15" t="s">
        <v>460</v>
      </c>
      <c r="O227" s="14" t="s">
        <v>1212</v>
      </c>
      <c r="P227" s="15" t="s">
        <v>405</v>
      </c>
      <c r="Q227" s="15" t="s">
        <v>468</v>
      </c>
      <c r="R227" s="193">
        <v>88.0012779618297</v>
      </c>
      <c r="S227" s="15" t="s">
        <v>64</v>
      </c>
      <c r="T227" s="14">
        <f t="shared" si="71"/>
        <v>1270.3553999999999</v>
      </c>
      <c r="U227" s="27" t="s">
        <v>416</v>
      </c>
      <c r="V227" s="90" t="s">
        <v>64</v>
      </c>
      <c r="W227" s="109" t="s">
        <v>480</v>
      </c>
      <c r="X227" s="183" t="s">
        <v>64</v>
      </c>
      <c r="Y227" s="104" t="s">
        <v>64</v>
      </c>
      <c r="Z227" s="104" t="s">
        <v>64</v>
      </c>
      <c r="AA227" s="57" t="s">
        <v>64</v>
      </c>
      <c r="AB227" s="47" t="s">
        <v>64</v>
      </c>
      <c r="AC227" s="57">
        <v>85.7119485215661</v>
      </c>
      <c r="AD227" s="27" t="s">
        <v>470</v>
      </c>
      <c r="AE227" s="28">
        <f t="shared" si="68"/>
        <v>0.37949633413026473</v>
      </c>
      <c r="AF227" s="197" t="s">
        <v>470</v>
      </c>
      <c r="AG227" s="84">
        <v>80</v>
      </c>
      <c r="AH227" s="157" t="s">
        <v>469</v>
      </c>
      <c r="AI227" s="8">
        <v>0.79063883617963315</v>
      </c>
      <c r="AJ227" s="9">
        <v>49.884999999999998</v>
      </c>
      <c r="AK227" s="9">
        <v>1.9670000000000001</v>
      </c>
      <c r="AL227" s="9">
        <v>11.311999999999999</v>
      </c>
      <c r="AM227" s="189">
        <v>11.330111163542201</v>
      </c>
      <c r="AN227" s="9">
        <v>0.20899999999999999</v>
      </c>
      <c r="AO227" s="9">
        <v>12.754</v>
      </c>
      <c r="AP227" s="9">
        <v>9.66</v>
      </c>
      <c r="AQ227" s="9">
        <v>2.0430000000000001</v>
      </c>
      <c r="AR227" s="9">
        <v>0.31900000000000001</v>
      </c>
      <c r="AS227" s="9">
        <v>0.17199999999999999</v>
      </c>
      <c r="AT227" s="190">
        <v>581.66347248576847</v>
      </c>
      <c r="AU227" s="9">
        <v>0.5</v>
      </c>
      <c r="AV227" s="6">
        <v>29.587659552202325</v>
      </c>
      <c r="AW227" s="27" t="s">
        <v>64</v>
      </c>
      <c r="AX227" s="6">
        <v>29.587659552202329</v>
      </c>
      <c r="AY227" s="8">
        <f t="shared" si="69"/>
        <v>2.2666688565359805</v>
      </c>
      <c r="AZ227" s="9">
        <f t="shared" si="70"/>
        <v>9.2906911541046053</v>
      </c>
      <c r="BA227" s="123">
        <v>52.577500000000001</v>
      </c>
      <c r="BB227" s="121">
        <v>2.4908999999999999</v>
      </c>
      <c r="BC227" s="121">
        <v>14.3276</v>
      </c>
      <c r="BD227" s="121">
        <v>6.8334999999999999</v>
      </c>
      <c r="BE227" s="121">
        <v>0.1719</v>
      </c>
      <c r="BF227" s="121">
        <v>6.3262</v>
      </c>
      <c r="BG227" s="121">
        <v>12.0549</v>
      </c>
      <c r="BH227" s="121">
        <v>2.5870000000000002</v>
      </c>
      <c r="BI227" s="121">
        <v>0.40429999999999999</v>
      </c>
      <c r="BJ227" s="121">
        <v>0.21840000000000001</v>
      </c>
      <c r="BK227" s="121">
        <v>7.3568795999999992E-2</v>
      </c>
      <c r="BL227" s="121">
        <f t="shared" si="72"/>
        <v>98.065768796000015</v>
      </c>
      <c r="BM227" s="121">
        <v>0.22238149828161299</v>
      </c>
      <c r="BN227" s="95">
        <v>37.422471801625498</v>
      </c>
      <c r="BO227" s="95" t="s">
        <v>64</v>
      </c>
      <c r="BP227" s="95">
        <v>37.422471801625498</v>
      </c>
      <c r="BQ227" s="194" t="s">
        <v>469</v>
      </c>
    </row>
    <row r="228" spans="12:69" ht="14.45" customHeight="1">
      <c r="L228" s="20" t="s">
        <v>64</v>
      </c>
      <c r="M228" s="763" t="s">
        <v>459</v>
      </c>
      <c r="N228" s="15" t="s">
        <v>460</v>
      </c>
      <c r="O228" s="14" t="s">
        <v>1213</v>
      </c>
      <c r="P228" s="15" t="s">
        <v>405</v>
      </c>
      <c r="Q228" s="15" t="s">
        <v>468</v>
      </c>
      <c r="R228" s="193">
        <v>88.443579219998895</v>
      </c>
      <c r="S228" s="15" t="s">
        <v>64</v>
      </c>
      <c r="T228" s="14">
        <f t="shared" si="71"/>
        <v>1277.1291000000001</v>
      </c>
      <c r="U228" s="27" t="s">
        <v>416</v>
      </c>
      <c r="V228" s="90" t="s">
        <v>64</v>
      </c>
      <c r="W228" s="109" t="s">
        <v>480</v>
      </c>
      <c r="X228" s="183" t="s">
        <v>64</v>
      </c>
      <c r="Y228" s="104" t="s">
        <v>64</v>
      </c>
      <c r="Z228" s="104" t="s">
        <v>64</v>
      </c>
      <c r="AA228" s="57" t="s">
        <v>64</v>
      </c>
      <c r="AB228" s="47" t="s">
        <v>64</v>
      </c>
      <c r="AC228" s="57">
        <v>78.948296797185023</v>
      </c>
      <c r="AD228" s="27" t="s">
        <v>470</v>
      </c>
      <c r="AE228" s="28">
        <f t="shared" si="68"/>
        <v>0.34981114133002861</v>
      </c>
      <c r="AF228" s="197" t="s">
        <v>470</v>
      </c>
      <c r="AG228" s="84">
        <v>80</v>
      </c>
      <c r="AH228" s="157" t="s">
        <v>469</v>
      </c>
      <c r="AI228" s="8">
        <v>0.78678206136900086</v>
      </c>
      <c r="AJ228" s="9">
        <v>49.052999999999997</v>
      </c>
      <c r="AK228" s="9">
        <v>2.081</v>
      </c>
      <c r="AL228" s="9">
        <v>11.475</v>
      </c>
      <c r="AM228" s="189">
        <v>11.33710999677065</v>
      </c>
      <c r="AN228" s="9">
        <v>0.16400000000000001</v>
      </c>
      <c r="AO228" s="9">
        <v>13.090999999999999</v>
      </c>
      <c r="AP228" s="9">
        <v>9.5609999999999999</v>
      </c>
      <c r="AQ228" s="9">
        <v>2.1320000000000001</v>
      </c>
      <c r="AR228" s="9">
        <v>0.42199999999999999</v>
      </c>
      <c r="AS228" s="9">
        <v>0.33600000000000002</v>
      </c>
      <c r="AT228" s="190">
        <v>667.42191974822981</v>
      </c>
      <c r="AU228" s="9">
        <v>0.5</v>
      </c>
      <c r="AV228" s="6">
        <v>29.388273073005514</v>
      </c>
      <c r="AW228" s="27" t="s">
        <v>64</v>
      </c>
      <c r="AX228" s="6">
        <v>29.388273073005514</v>
      </c>
      <c r="AY228" s="8">
        <f t="shared" si="69"/>
        <v>2.2680690226139677</v>
      </c>
      <c r="AZ228" s="9">
        <f t="shared" si="70"/>
        <v>9.2964301973519348</v>
      </c>
      <c r="BA228" s="123">
        <v>51.554200000000002</v>
      </c>
      <c r="BB228" s="121">
        <v>2.6478999999999999</v>
      </c>
      <c r="BC228" s="121">
        <v>14.6036</v>
      </c>
      <c r="BD228" s="121">
        <v>6.6712999999999996</v>
      </c>
      <c r="BE228" s="121">
        <v>0.1187</v>
      </c>
      <c r="BF228" s="121">
        <v>6.61</v>
      </c>
      <c r="BG228" s="121">
        <v>11.9857</v>
      </c>
      <c r="BH228" s="121">
        <v>2.7126000000000001</v>
      </c>
      <c r="BI228" s="121">
        <v>0.5373</v>
      </c>
      <c r="BJ228" s="121">
        <v>0.42709999999999998</v>
      </c>
      <c r="BK228" s="121">
        <v>8.4829325999999997E-2</v>
      </c>
      <c r="BL228" s="121">
        <f t="shared" si="72"/>
        <v>97.953229325999999</v>
      </c>
      <c r="BM228" s="121">
        <v>0.22265448209254199</v>
      </c>
      <c r="BN228" s="95">
        <v>37.352495075790003</v>
      </c>
      <c r="BO228" s="95" t="s">
        <v>64</v>
      </c>
      <c r="BP228" s="95">
        <v>37.352495075790003</v>
      </c>
      <c r="BQ228" s="194" t="s">
        <v>469</v>
      </c>
    </row>
    <row r="229" spans="12:69" ht="14.45" customHeight="1">
      <c r="L229" s="20" t="s">
        <v>64</v>
      </c>
      <c r="M229" s="763" t="s">
        <v>459</v>
      </c>
      <c r="N229" s="15" t="s">
        <v>460</v>
      </c>
      <c r="O229" s="14" t="s">
        <v>1214</v>
      </c>
      <c r="P229" s="15" t="s">
        <v>405</v>
      </c>
      <c r="Q229" s="15" t="s">
        <v>468</v>
      </c>
      <c r="R229" s="193">
        <v>88.443579219998895</v>
      </c>
      <c r="S229" s="15" t="s">
        <v>64</v>
      </c>
      <c r="T229" s="14">
        <f t="shared" si="71"/>
        <v>1280.2446</v>
      </c>
      <c r="U229" s="27" t="s">
        <v>416</v>
      </c>
      <c r="V229" s="90" t="s">
        <v>64</v>
      </c>
      <c r="W229" s="109" t="s">
        <v>480</v>
      </c>
      <c r="X229" s="183" t="s">
        <v>64</v>
      </c>
      <c r="Y229" s="104" t="s">
        <v>64</v>
      </c>
      <c r="Z229" s="104" t="s">
        <v>64</v>
      </c>
      <c r="AA229" s="57" t="s">
        <v>64</v>
      </c>
      <c r="AB229" s="47" t="s">
        <v>64</v>
      </c>
      <c r="AC229" s="57">
        <v>71.88799080804985</v>
      </c>
      <c r="AD229" s="27" t="s">
        <v>470</v>
      </c>
      <c r="AE229" s="28">
        <f t="shared" si="68"/>
        <v>0.31877665419212053</v>
      </c>
      <c r="AF229" s="197" t="s">
        <v>470</v>
      </c>
      <c r="AG229" s="84">
        <v>70</v>
      </c>
      <c r="AH229" s="157" t="s">
        <v>469</v>
      </c>
      <c r="AI229" s="8">
        <v>0.77736318407960203</v>
      </c>
      <c r="AJ229" s="9">
        <v>49.673000000000002</v>
      </c>
      <c r="AK229" s="9">
        <v>1.992</v>
      </c>
      <c r="AL229" s="9">
        <v>11.111000000000001</v>
      </c>
      <c r="AM229" s="189">
        <v>11.334110496815601</v>
      </c>
      <c r="AN229" s="9">
        <v>0.20200000000000001</v>
      </c>
      <c r="AO229" s="9">
        <v>13.246</v>
      </c>
      <c r="AP229" s="9">
        <v>9.4779999999999998</v>
      </c>
      <c r="AQ229" s="9">
        <v>2.0529999999999999</v>
      </c>
      <c r="AR229" s="9">
        <v>0.35199999999999998</v>
      </c>
      <c r="AS229" s="9">
        <v>0.21199999999999999</v>
      </c>
      <c r="AT229" s="190">
        <v>497.20001865671645</v>
      </c>
      <c r="AU229" s="9">
        <v>0.5</v>
      </c>
      <c r="AV229" s="6">
        <v>24.279562878464787</v>
      </c>
      <c r="AW229" s="27" t="s">
        <v>64</v>
      </c>
      <c r="AX229" s="6">
        <v>24.279562878464787</v>
      </c>
      <c r="AY229" s="8">
        <f t="shared" si="69"/>
        <v>2.2674689514376873</v>
      </c>
      <c r="AZ229" s="9">
        <f t="shared" si="70"/>
        <v>9.2939706073887933</v>
      </c>
      <c r="BA229" s="123">
        <v>52.515099999999997</v>
      </c>
      <c r="BB229" s="121">
        <v>2.5667</v>
      </c>
      <c r="BC229" s="121">
        <v>14.317299999999999</v>
      </c>
      <c r="BD229" s="121">
        <v>6.5946999999999996</v>
      </c>
      <c r="BE229" s="121">
        <v>0.16489999999999999</v>
      </c>
      <c r="BF229" s="121">
        <v>6.3380999999999998</v>
      </c>
      <c r="BG229" s="121">
        <v>12.021000000000001</v>
      </c>
      <c r="BH229" s="121">
        <v>2.6457999999999999</v>
      </c>
      <c r="BI229" s="121">
        <v>0.4536</v>
      </c>
      <c r="BJ229" s="121">
        <v>0.2732</v>
      </c>
      <c r="BK229" s="121">
        <v>6.3959810399999997E-2</v>
      </c>
      <c r="BL229" s="121">
        <f t="shared" si="72"/>
        <v>97.954359810399978</v>
      </c>
      <c r="BM229" s="121">
        <v>0.22481178201910801</v>
      </c>
      <c r="BN229" s="95">
        <v>31.233229686857101</v>
      </c>
      <c r="BO229" s="95" t="s">
        <v>64</v>
      </c>
      <c r="BP229" s="95">
        <v>31.233229686857101</v>
      </c>
      <c r="BQ229" s="194" t="s">
        <v>469</v>
      </c>
    </row>
    <row r="230" spans="12:69" ht="14.45" customHeight="1">
      <c r="L230" s="20" t="s">
        <v>64</v>
      </c>
      <c r="M230" s="763" t="s">
        <v>459</v>
      </c>
      <c r="N230" s="15" t="s">
        <v>460</v>
      </c>
      <c r="O230" s="14" t="s">
        <v>1215</v>
      </c>
      <c r="P230" s="15" t="s">
        <v>405</v>
      </c>
      <c r="Q230" s="15" t="s">
        <v>468</v>
      </c>
      <c r="R230" s="193">
        <v>78.585798960331303</v>
      </c>
      <c r="S230" s="15" t="s">
        <v>64</v>
      </c>
      <c r="T230" s="14">
        <f t="shared" si="71"/>
        <v>1132.7909999999999</v>
      </c>
      <c r="U230" s="27" t="s">
        <v>300</v>
      </c>
      <c r="V230" s="90" t="s">
        <v>64</v>
      </c>
      <c r="W230" s="109" t="s">
        <v>64</v>
      </c>
      <c r="X230" s="183" t="s">
        <v>64</v>
      </c>
      <c r="Y230" s="104" t="s">
        <v>64</v>
      </c>
      <c r="Z230" s="104" t="s">
        <v>64</v>
      </c>
      <c r="AA230" s="57" t="s">
        <v>64</v>
      </c>
      <c r="AB230" s="47" t="s">
        <v>64</v>
      </c>
      <c r="AC230" s="57">
        <v>364.48921835760552</v>
      </c>
      <c r="AD230" s="27" t="s">
        <v>470</v>
      </c>
      <c r="AE230" s="28">
        <f t="shared" si="68"/>
        <v>1.5660464802473431</v>
      </c>
      <c r="AF230" s="197" t="s">
        <v>470</v>
      </c>
      <c r="AG230" s="84">
        <v>220</v>
      </c>
      <c r="AH230" s="157" t="s">
        <v>469</v>
      </c>
      <c r="AI230" s="8">
        <v>1.0072522159548751</v>
      </c>
      <c r="AJ230" s="9">
        <v>51.219000000000001</v>
      </c>
      <c r="AK230" s="9">
        <v>3.4129999999999998</v>
      </c>
      <c r="AL230" s="9">
        <v>13.048</v>
      </c>
      <c r="AM230" s="189">
        <v>11.32711166358715</v>
      </c>
      <c r="AN230" s="9">
        <v>0.223</v>
      </c>
      <c r="AO230" s="9">
        <v>5.91</v>
      </c>
      <c r="AP230" s="9">
        <v>10.231999999999999</v>
      </c>
      <c r="AQ230" s="9">
        <v>2.496</v>
      </c>
      <c r="AR230" s="9">
        <v>0.52200000000000002</v>
      </c>
      <c r="AS230" s="9">
        <v>0.29399999999999998</v>
      </c>
      <c r="AT230" s="190">
        <v>891.24438356164376</v>
      </c>
      <c r="AU230" s="9">
        <v>0.5</v>
      </c>
      <c r="AV230" s="6">
        <v>125.57167987863215</v>
      </c>
      <c r="AW230" s="27" t="s">
        <v>64</v>
      </c>
      <c r="AX230" s="6">
        <v>125.57167987863215</v>
      </c>
      <c r="AY230" s="8">
        <f t="shared" si="69"/>
        <v>2.2660687853597001</v>
      </c>
      <c r="AZ230" s="9">
        <f t="shared" si="70"/>
        <v>9.2882315641414639</v>
      </c>
      <c r="BA230" s="123">
        <v>50.838000000000001</v>
      </c>
      <c r="BB230" s="121">
        <v>2.8929</v>
      </c>
      <c r="BC230" s="121">
        <v>13.106</v>
      </c>
      <c r="BD230" s="121">
        <v>11.6309</v>
      </c>
      <c r="BE230" s="121">
        <v>0.1449</v>
      </c>
      <c r="BF230" s="121">
        <v>6.0484</v>
      </c>
      <c r="BG230" s="121">
        <v>9.9305000000000003</v>
      </c>
      <c r="BH230" s="121">
        <v>2.4228000000000001</v>
      </c>
      <c r="BI230" s="121">
        <v>0.50680000000000003</v>
      </c>
      <c r="BJ230" s="121">
        <v>0.28489999999999999</v>
      </c>
      <c r="BK230" s="121">
        <v>8.8482742399999995E-2</v>
      </c>
      <c r="BL230" s="121">
        <f t="shared" si="72"/>
        <v>97.89458274239999</v>
      </c>
      <c r="BM230" s="121">
        <v>0.21845746556302001</v>
      </c>
      <c r="BN230" s="95">
        <v>124.667563783506</v>
      </c>
      <c r="BO230" s="95" t="s">
        <v>64</v>
      </c>
      <c r="BP230" s="95">
        <v>124.667563783506</v>
      </c>
      <c r="BQ230" s="194" t="s">
        <v>469</v>
      </c>
    </row>
    <row r="231" spans="12:69" ht="14.45" customHeight="1">
      <c r="L231" s="207" t="s">
        <v>479</v>
      </c>
      <c r="M231" s="763" t="s">
        <v>459</v>
      </c>
      <c r="N231" s="15" t="s">
        <v>460</v>
      </c>
      <c r="O231" s="14" t="s">
        <v>1216</v>
      </c>
      <c r="P231" s="15" t="s">
        <v>405</v>
      </c>
      <c r="Q231" s="15" t="s">
        <v>468</v>
      </c>
      <c r="R231" s="193">
        <v>74.805491555803101</v>
      </c>
      <c r="S231" s="15" t="s">
        <v>64</v>
      </c>
      <c r="T231" s="14">
        <f t="shared" si="71"/>
        <v>1125.0324000000001</v>
      </c>
      <c r="U231" s="27" t="s">
        <v>1471</v>
      </c>
      <c r="V231" s="90" t="s">
        <v>64</v>
      </c>
      <c r="W231" s="109" t="s">
        <v>481</v>
      </c>
      <c r="X231" s="183" t="s">
        <v>64</v>
      </c>
      <c r="Y231" s="104" t="s">
        <v>64</v>
      </c>
      <c r="Z231" s="104" t="s">
        <v>64</v>
      </c>
      <c r="AA231" s="57" t="s">
        <v>64</v>
      </c>
      <c r="AB231" s="47" t="s">
        <v>64</v>
      </c>
      <c r="AC231" s="57">
        <v>520</v>
      </c>
      <c r="AD231" s="27" t="s">
        <v>470</v>
      </c>
      <c r="AE231" s="28">
        <f t="shared" si="68"/>
        <v>2.1986012671999999</v>
      </c>
      <c r="AF231" s="197" t="s">
        <v>470</v>
      </c>
      <c r="AG231" s="84">
        <v>520</v>
      </c>
      <c r="AH231" s="157" t="s">
        <v>469</v>
      </c>
      <c r="AI231" s="8">
        <v>0.97153405226853196</v>
      </c>
      <c r="AJ231" s="9">
        <v>51.247999999999998</v>
      </c>
      <c r="AK231" s="9">
        <v>3.649</v>
      </c>
      <c r="AL231" s="9">
        <v>12.917</v>
      </c>
      <c r="AM231" s="189">
        <v>12.406931647405152</v>
      </c>
      <c r="AN231" s="9">
        <v>0.19600000000000001</v>
      </c>
      <c r="AO231" s="9">
        <v>5.524</v>
      </c>
      <c r="AP231" s="9">
        <v>8.8870000000000005</v>
      </c>
      <c r="AQ231" s="9">
        <v>2.8460000000000001</v>
      </c>
      <c r="AR231" s="9">
        <v>0.82899999999999996</v>
      </c>
      <c r="AS231" s="9">
        <v>0.53300000000000003</v>
      </c>
      <c r="AT231" s="190">
        <v>1557.8543398426114</v>
      </c>
      <c r="AU231" s="9">
        <v>0.75849199634836595</v>
      </c>
      <c r="AV231" s="6">
        <v>316.9827724359759</v>
      </c>
      <c r="AW231" s="27" t="s">
        <v>64</v>
      </c>
      <c r="AX231" s="6">
        <v>316.9827724359759</v>
      </c>
      <c r="AY231" s="8">
        <f t="shared" si="69"/>
        <v>2.4820944088205952</v>
      </c>
      <c r="AZ231" s="9">
        <f t="shared" si="70"/>
        <v>10.173683950872224</v>
      </c>
      <c r="BA231" s="123">
        <v>50.514400000000002</v>
      </c>
      <c r="BB231" s="121">
        <v>3.6751999999999998</v>
      </c>
      <c r="BC231" s="121">
        <v>13.0098</v>
      </c>
      <c r="BD231" s="121">
        <v>11.511100000000001</v>
      </c>
      <c r="BE231" s="121">
        <v>0.19739999999999999</v>
      </c>
      <c r="BF231" s="121">
        <v>4.6410999999999998</v>
      </c>
      <c r="BG231" s="121">
        <v>8.9510000000000005</v>
      </c>
      <c r="BH231" s="121">
        <v>2.8666</v>
      </c>
      <c r="BI231" s="121">
        <v>0.83540000000000003</v>
      </c>
      <c r="BJ231" s="121">
        <v>0.53659999999999997</v>
      </c>
      <c r="BK231" s="121">
        <v>0.16034994720000001</v>
      </c>
      <c r="BL231" s="121">
        <f t="shared" si="72"/>
        <v>96.898949947200023</v>
      </c>
      <c r="BM231" s="121">
        <v>0.78071581184137395</v>
      </c>
      <c r="BN231" s="95">
        <v>326.27036766834999</v>
      </c>
      <c r="BO231" s="95" t="s">
        <v>64</v>
      </c>
      <c r="BP231" s="95">
        <v>326.27036766834999</v>
      </c>
      <c r="BQ231" s="194" t="s">
        <v>469</v>
      </c>
    </row>
    <row r="232" spans="12:69" ht="14.45" customHeight="1">
      <c r="L232" s="207" t="s">
        <v>479</v>
      </c>
      <c r="M232" s="763" t="s">
        <v>459</v>
      </c>
      <c r="N232" s="15" t="s">
        <v>460</v>
      </c>
      <c r="O232" s="14" t="s">
        <v>1217</v>
      </c>
      <c r="P232" s="15" t="s">
        <v>405</v>
      </c>
      <c r="Q232" s="15" t="s">
        <v>468</v>
      </c>
      <c r="R232" s="193">
        <v>74.805491555803101</v>
      </c>
      <c r="S232" s="15" t="s">
        <v>64</v>
      </c>
      <c r="T232" s="14">
        <f t="shared" si="71"/>
        <v>1124.952</v>
      </c>
      <c r="U232" s="27" t="s">
        <v>1471</v>
      </c>
      <c r="V232" s="90" t="s">
        <v>64</v>
      </c>
      <c r="W232" s="109" t="s">
        <v>481</v>
      </c>
      <c r="X232" s="183" t="s">
        <v>64</v>
      </c>
      <c r="Y232" s="104" t="s">
        <v>64</v>
      </c>
      <c r="Z232" s="104" t="s">
        <v>64</v>
      </c>
      <c r="AA232" s="57" t="s">
        <v>64</v>
      </c>
      <c r="AB232" s="47" t="s">
        <v>64</v>
      </c>
      <c r="AC232" s="57">
        <v>520</v>
      </c>
      <c r="AD232" s="27" t="s">
        <v>470</v>
      </c>
      <c r="AE232" s="28">
        <f t="shared" si="68"/>
        <v>2.1986012671999999</v>
      </c>
      <c r="AF232" s="197" t="s">
        <v>470</v>
      </c>
      <c r="AG232" s="84">
        <v>520</v>
      </c>
      <c r="AH232" s="157" t="s">
        <v>469</v>
      </c>
      <c r="AI232" s="8">
        <v>0.97389949357226335</v>
      </c>
      <c r="AJ232" s="9">
        <v>51.244</v>
      </c>
      <c r="AK232" s="9">
        <v>3.657</v>
      </c>
      <c r="AL232" s="9">
        <v>12.946999999999999</v>
      </c>
      <c r="AM232" s="189">
        <v>12.408931314041848</v>
      </c>
      <c r="AN232" s="9">
        <v>0.153</v>
      </c>
      <c r="AO232" s="9">
        <v>5.52</v>
      </c>
      <c r="AP232" s="9">
        <v>9.0990000000000002</v>
      </c>
      <c r="AQ232" s="9">
        <v>2.8279999999999998</v>
      </c>
      <c r="AR232" s="9">
        <v>0.83</v>
      </c>
      <c r="AS232" s="9">
        <v>0.35799999999999998</v>
      </c>
      <c r="AT232" s="190">
        <v>1567.4961901051811</v>
      </c>
      <c r="AU232" s="9">
        <v>0.75023524705691003</v>
      </c>
      <c r="AV232" s="6">
        <v>313.51730184697118</v>
      </c>
      <c r="AW232" s="27" t="s">
        <v>64</v>
      </c>
      <c r="AX232" s="6">
        <v>313.51730184697118</v>
      </c>
      <c r="AY232" s="8">
        <f t="shared" si="69"/>
        <v>2.4824944562714482</v>
      </c>
      <c r="AZ232" s="9">
        <f t="shared" si="70"/>
        <v>10.175323677514317</v>
      </c>
      <c r="BA232" s="123">
        <v>50.530700000000003</v>
      </c>
      <c r="BB232" s="121">
        <v>3.6779000000000002</v>
      </c>
      <c r="BC232" s="121">
        <v>13.0214</v>
      </c>
      <c r="BD232" s="121">
        <v>11.748900000000001</v>
      </c>
      <c r="BE232" s="121">
        <v>0.1542</v>
      </c>
      <c r="BF232" s="121">
        <v>4.6100000000000003</v>
      </c>
      <c r="BG232" s="121">
        <v>9.1514000000000006</v>
      </c>
      <c r="BH232" s="121">
        <v>2.8439999999999999</v>
      </c>
      <c r="BI232" s="121">
        <v>0.83460000000000001</v>
      </c>
      <c r="BJ232" s="121">
        <v>0.36030000000000001</v>
      </c>
      <c r="BK232" s="121">
        <v>0.16095050879999998</v>
      </c>
      <c r="BL232" s="121">
        <f t="shared" si="72"/>
        <v>97.094350508799991</v>
      </c>
      <c r="BM232" s="121">
        <v>0.77034155167803597</v>
      </c>
      <c r="BN232" s="95">
        <v>321.91956553646997</v>
      </c>
      <c r="BO232" s="95" t="s">
        <v>64</v>
      </c>
      <c r="BP232" s="95">
        <v>321.91956553646997</v>
      </c>
      <c r="BQ232" s="194" t="s">
        <v>469</v>
      </c>
    </row>
    <row r="233" spans="12:69" ht="14.45" customHeight="1">
      <c r="L233" s="207" t="s">
        <v>479</v>
      </c>
      <c r="M233" s="763" t="s">
        <v>459</v>
      </c>
      <c r="N233" s="15" t="s">
        <v>460</v>
      </c>
      <c r="O233" s="14" t="s">
        <v>1218</v>
      </c>
      <c r="P233" s="15" t="s">
        <v>405</v>
      </c>
      <c r="Q233" s="15" t="s">
        <v>468</v>
      </c>
      <c r="R233" s="193">
        <v>73.411116097513499</v>
      </c>
      <c r="S233" s="15" t="s">
        <v>64</v>
      </c>
      <c r="T233" s="14">
        <f t="shared" si="71"/>
        <v>1120.5903000000001</v>
      </c>
      <c r="U233" s="27" t="s">
        <v>1471</v>
      </c>
      <c r="V233" s="90" t="s">
        <v>64</v>
      </c>
      <c r="W233" s="109" t="s">
        <v>481</v>
      </c>
      <c r="X233" s="183" t="s">
        <v>64</v>
      </c>
      <c r="Y233" s="104" t="s">
        <v>64</v>
      </c>
      <c r="Z233" s="104" t="s">
        <v>64</v>
      </c>
      <c r="AA233" s="57" t="s">
        <v>64</v>
      </c>
      <c r="AB233" s="47" t="s">
        <v>64</v>
      </c>
      <c r="AC233" s="57">
        <v>520</v>
      </c>
      <c r="AD233" s="27" t="s">
        <v>470</v>
      </c>
      <c r="AE233" s="28">
        <f t="shared" si="68"/>
        <v>2.1986012671999999</v>
      </c>
      <c r="AF233" s="197" t="s">
        <v>470</v>
      </c>
      <c r="AG233" s="84">
        <v>520</v>
      </c>
      <c r="AH233" s="157" t="s">
        <v>469</v>
      </c>
      <c r="AI233" s="8">
        <v>0.98512461826421049</v>
      </c>
      <c r="AJ233" s="9">
        <v>50.606999999999999</v>
      </c>
      <c r="AK233" s="9">
        <v>4.1020000000000003</v>
      </c>
      <c r="AL233" s="9">
        <v>12.94</v>
      </c>
      <c r="AM233" s="189">
        <v>12.805865141426798</v>
      </c>
      <c r="AN233" s="9">
        <v>0.22</v>
      </c>
      <c r="AO233" s="9">
        <v>5.3029999999999999</v>
      </c>
      <c r="AP233" s="9">
        <v>9.0609999999999999</v>
      </c>
      <c r="AQ233" s="9">
        <v>2.839</v>
      </c>
      <c r="AR233" s="9">
        <v>0.81899999999999995</v>
      </c>
      <c r="AS233" s="9">
        <v>0.41899999999999998</v>
      </c>
      <c r="AT233" s="190">
        <v>1789.1817279085806</v>
      </c>
      <c r="AU233" s="9">
        <v>0.67955042677937705</v>
      </c>
      <c r="AV233" s="6">
        <v>327.9411141264851</v>
      </c>
      <c r="AW233" s="27" t="s">
        <v>64</v>
      </c>
      <c r="AX233" s="6">
        <v>327.94111412648516</v>
      </c>
      <c r="AY233" s="8">
        <f t="shared" si="69"/>
        <v>2.56190387526587</v>
      </c>
      <c r="AZ233" s="9">
        <f t="shared" si="70"/>
        <v>10.500809415969975</v>
      </c>
      <c r="BA233" s="123">
        <v>50.065600000000003</v>
      </c>
      <c r="BB233" s="121">
        <v>4.1044999999999998</v>
      </c>
      <c r="BC233" s="121">
        <v>12.946999999999999</v>
      </c>
      <c r="BD233" s="121">
        <v>12.7189</v>
      </c>
      <c r="BE233" s="121">
        <v>0.2198</v>
      </c>
      <c r="BF233" s="121">
        <v>4.5955000000000004</v>
      </c>
      <c r="BG233" s="121">
        <v>9.0657999999999994</v>
      </c>
      <c r="BH233" s="121">
        <v>2.8405999999999998</v>
      </c>
      <c r="BI233" s="121">
        <v>0.81940000000000002</v>
      </c>
      <c r="BJ233" s="121">
        <v>0.41949999999999998</v>
      </c>
      <c r="BK233" s="121">
        <v>0.18161983719999999</v>
      </c>
      <c r="BL233" s="121">
        <f t="shared" si="72"/>
        <v>97.978219837200015</v>
      </c>
      <c r="BM233" s="121">
        <v>0.68981163822374603</v>
      </c>
      <c r="BN233" s="95">
        <v>332.89302494979501</v>
      </c>
      <c r="BO233" s="95" t="s">
        <v>64</v>
      </c>
      <c r="BP233" s="95">
        <v>332.89302494979501</v>
      </c>
      <c r="BQ233" s="194" t="s">
        <v>469</v>
      </c>
    </row>
    <row r="234" spans="12:69" ht="14.45" customHeight="1">
      <c r="L234" s="207" t="s">
        <v>479</v>
      </c>
      <c r="M234" s="763" t="s">
        <v>459</v>
      </c>
      <c r="N234" s="15" t="s">
        <v>460</v>
      </c>
      <c r="O234" s="14" t="s">
        <v>1219</v>
      </c>
      <c r="P234" s="15" t="s">
        <v>405</v>
      </c>
      <c r="Q234" s="15" t="s">
        <v>468</v>
      </c>
      <c r="R234" s="193">
        <v>73.411116097513499</v>
      </c>
      <c r="S234" s="15" t="s">
        <v>64</v>
      </c>
      <c r="T234" s="14">
        <f t="shared" si="71"/>
        <v>1120.6104</v>
      </c>
      <c r="U234" s="27" t="s">
        <v>1471</v>
      </c>
      <c r="V234" s="90" t="s">
        <v>64</v>
      </c>
      <c r="W234" s="109" t="s">
        <v>481</v>
      </c>
      <c r="X234" s="183" t="s">
        <v>64</v>
      </c>
      <c r="Y234" s="104" t="s">
        <v>64</v>
      </c>
      <c r="Z234" s="104" t="s">
        <v>64</v>
      </c>
      <c r="AA234" s="57" t="s">
        <v>64</v>
      </c>
      <c r="AB234" s="47" t="s">
        <v>64</v>
      </c>
      <c r="AC234" s="57">
        <v>500</v>
      </c>
      <c r="AD234" s="27" t="s">
        <v>470</v>
      </c>
      <c r="AE234" s="28">
        <f t="shared" si="68"/>
        <v>2.11835</v>
      </c>
      <c r="AF234" s="197" t="s">
        <v>470</v>
      </c>
      <c r="AG234" s="84">
        <v>500</v>
      </c>
      <c r="AH234" s="157" t="s">
        <v>469</v>
      </c>
      <c r="AI234" s="8">
        <v>0.97933601018509464</v>
      </c>
      <c r="AJ234" s="9">
        <v>51.195999999999998</v>
      </c>
      <c r="AK234" s="9">
        <v>3.6269999999999998</v>
      </c>
      <c r="AL234" s="9">
        <v>12.955</v>
      </c>
      <c r="AM234" s="189">
        <v>12.79686664156165</v>
      </c>
      <c r="AN234" s="9">
        <v>0.188</v>
      </c>
      <c r="AO234" s="9">
        <v>5.3040000000000003</v>
      </c>
      <c r="AP234" s="9">
        <v>8.9589999999999996</v>
      </c>
      <c r="AQ234" s="9">
        <v>2.8130000000000002</v>
      </c>
      <c r="AR234" s="9">
        <v>0.86299999999999999</v>
      </c>
      <c r="AS234" s="9">
        <v>0.45600000000000002</v>
      </c>
      <c r="AT234" s="190">
        <v>1639.9627147194205</v>
      </c>
      <c r="AU234" s="9">
        <v>0.634043093326489</v>
      </c>
      <c r="AV234" s="6">
        <v>316.22917985215065</v>
      </c>
      <c r="AW234" s="27" t="s">
        <v>64</v>
      </c>
      <c r="AX234" s="6">
        <v>316.22917985215065</v>
      </c>
      <c r="AY234" s="8">
        <f t="shared" si="69"/>
        <v>2.560103661737029</v>
      </c>
      <c r="AZ234" s="9">
        <f t="shared" si="70"/>
        <v>10.493430646080554</v>
      </c>
      <c r="BA234" s="123">
        <v>50.368000000000002</v>
      </c>
      <c r="BB234" s="121">
        <v>3.6240000000000001</v>
      </c>
      <c r="BC234" s="121">
        <v>12.9451</v>
      </c>
      <c r="BD234" s="121">
        <v>12.223800000000001</v>
      </c>
      <c r="BE234" s="121">
        <v>0.1875</v>
      </c>
      <c r="BF234" s="121">
        <v>4.5583</v>
      </c>
      <c r="BG234" s="121">
        <v>8.9525000000000006</v>
      </c>
      <c r="BH234" s="121">
        <v>2.8109999999999999</v>
      </c>
      <c r="BI234" s="121">
        <v>0.86250000000000004</v>
      </c>
      <c r="BJ234" s="121">
        <v>0.45600000000000002</v>
      </c>
      <c r="BK234" s="121">
        <v>0.1674565928</v>
      </c>
      <c r="BL234" s="121">
        <f t="shared" si="72"/>
        <v>97.156156592799988</v>
      </c>
      <c r="BM234" s="121">
        <v>0.64742140259567804</v>
      </c>
      <c r="BN234" s="95">
        <v>322.90161554703099</v>
      </c>
      <c r="BO234" s="95" t="s">
        <v>64</v>
      </c>
      <c r="BP234" s="95">
        <v>322.90161554703099</v>
      </c>
      <c r="BQ234" s="194" t="s">
        <v>469</v>
      </c>
    </row>
    <row r="235" spans="12:69" ht="14.45" customHeight="1">
      <c r="L235" s="20" t="s">
        <v>64</v>
      </c>
      <c r="M235" s="763" t="s">
        <v>459</v>
      </c>
      <c r="N235" s="15" t="s">
        <v>460</v>
      </c>
      <c r="O235" s="14" t="s">
        <v>1220</v>
      </c>
      <c r="P235" s="15" t="s">
        <v>405</v>
      </c>
      <c r="Q235" s="15" t="s">
        <v>468</v>
      </c>
      <c r="R235" s="193">
        <v>86.472942873125007</v>
      </c>
      <c r="S235" s="15" t="s">
        <v>64</v>
      </c>
      <c r="T235" s="14">
        <f t="shared" si="71"/>
        <v>1236.5672999999999</v>
      </c>
      <c r="U235" s="27" t="s">
        <v>416</v>
      </c>
      <c r="V235" s="90" t="s">
        <v>64</v>
      </c>
      <c r="W235" s="109" t="s">
        <v>480</v>
      </c>
      <c r="X235" s="183" t="s">
        <v>64</v>
      </c>
      <c r="Y235" s="104" t="s">
        <v>64</v>
      </c>
      <c r="Z235" s="104" t="s">
        <v>64</v>
      </c>
      <c r="AA235" s="57" t="s">
        <v>64</v>
      </c>
      <c r="AB235" s="47" t="s">
        <v>64</v>
      </c>
      <c r="AC235" s="57">
        <v>87.229708393791327</v>
      </c>
      <c r="AD235" s="27" t="s">
        <v>470</v>
      </c>
      <c r="AE235" s="28">
        <f t="shared" si="68"/>
        <v>0.38615159761103418</v>
      </c>
      <c r="AF235" s="197" t="s">
        <v>470</v>
      </c>
      <c r="AG235" s="84">
        <v>80</v>
      </c>
      <c r="AH235" s="157" t="s">
        <v>469</v>
      </c>
      <c r="AI235" s="8">
        <v>0.81873260193220887</v>
      </c>
      <c r="AJ235" s="9">
        <v>49.73</v>
      </c>
      <c r="AK235" s="9">
        <v>2.1659999999999999</v>
      </c>
      <c r="AL235" s="9">
        <v>12.019</v>
      </c>
      <c r="AM235" s="189">
        <v>11.329111330223849</v>
      </c>
      <c r="AN235" s="9">
        <v>0.254</v>
      </c>
      <c r="AO235" s="9">
        <v>11.073</v>
      </c>
      <c r="AP235" s="9">
        <v>10.214</v>
      </c>
      <c r="AQ235" s="9">
        <v>2.242</v>
      </c>
      <c r="AR235" s="9">
        <v>0.34</v>
      </c>
      <c r="AS235" s="9">
        <v>0.26100000000000001</v>
      </c>
      <c r="AT235" s="190">
        <v>719.92981496643188</v>
      </c>
      <c r="AU235" s="9">
        <v>0.5</v>
      </c>
      <c r="AV235" s="6">
        <v>29.073286256395694</v>
      </c>
      <c r="AW235" s="27" t="s">
        <v>64</v>
      </c>
      <c r="AX235" s="6">
        <v>29.073286256395694</v>
      </c>
      <c r="AY235" s="8">
        <f t="shared" si="69"/>
        <v>2.2664688328105536</v>
      </c>
      <c r="AZ235" s="9">
        <f t="shared" si="70"/>
        <v>9.2898712907835588</v>
      </c>
      <c r="BA235" s="123">
        <v>51.921799999999998</v>
      </c>
      <c r="BB235" s="121">
        <v>2.6457000000000002</v>
      </c>
      <c r="BC235" s="121">
        <v>14.677300000000001</v>
      </c>
      <c r="BD235" s="121">
        <v>7.6314000000000002</v>
      </c>
      <c r="BE235" s="121">
        <v>0.222</v>
      </c>
      <c r="BF235" s="121">
        <v>5.3482000000000003</v>
      </c>
      <c r="BG235" s="121">
        <v>12.316700000000001</v>
      </c>
      <c r="BH235" s="121">
        <v>2.7376</v>
      </c>
      <c r="BI235" s="121">
        <v>0.41549999999999998</v>
      </c>
      <c r="BJ235" s="121">
        <v>0.31929999999999997</v>
      </c>
      <c r="BK235" s="121">
        <v>8.7932227599999996E-2</v>
      </c>
      <c r="BL235" s="121">
        <f t="shared" si="72"/>
        <v>98.323432227599994</v>
      </c>
      <c r="BM235" s="121">
        <v>0.240728985311083</v>
      </c>
      <c r="BN235" s="95">
        <v>35.510111833561702</v>
      </c>
      <c r="BO235" s="95" t="s">
        <v>64</v>
      </c>
      <c r="BP235" s="95">
        <v>35.510111833561702</v>
      </c>
      <c r="BQ235" s="194" t="s">
        <v>469</v>
      </c>
    </row>
    <row r="236" spans="12:69" ht="14.45" customHeight="1">
      <c r="L236" s="20" t="s">
        <v>64</v>
      </c>
      <c r="M236" s="763" t="s">
        <v>459</v>
      </c>
      <c r="N236" s="15" t="s">
        <v>460</v>
      </c>
      <c r="O236" s="14" t="s">
        <v>1221</v>
      </c>
      <c r="P236" s="15" t="s">
        <v>405</v>
      </c>
      <c r="Q236" s="15" t="s">
        <v>468</v>
      </c>
      <c r="R236" s="193">
        <v>86.472942873125007</v>
      </c>
      <c r="S236" s="15" t="s">
        <v>64</v>
      </c>
      <c r="T236" s="14">
        <f t="shared" si="71"/>
        <v>1235.4417000000001</v>
      </c>
      <c r="U236" s="27" t="s">
        <v>416</v>
      </c>
      <c r="V236" s="90" t="s">
        <v>64</v>
      </c>
      <c r="W236" s="109" t="s">
        <v>480</v>
      </c>
      <c r="X236" s="183" t="s">
        <v>64</v>
      </c>
      <c r="Y236" s="104" t="s">
        <v>64</v>
      </c>
      <c r="Z236" s="104" t="s">
        <v>64</v>
      </c>
      <c r="AA236" s="57" t="s">
        <v>64</v>
      </c>
      <c r="AB236" s="47" t="s">
        <v>64</v>
      </c>
      <c r="AC236" s="57">
        <v>101.5767108156996</v>
      </c>
      <c r="AD236" s="27" t="s">
        <v>470</v>
      </c>
      <c r="AE236" s="28">
        <f t="shared" si="68"/>
        <v>0.44895241568533711</v>
      </c>
      <c r="AF236" s="197" t="s">
        <v>470</v>
      </c>
      <c r="AG236" s="84">
        <v>90</v>
      </c>
      <c r="AH236" s="157" t="s">
        <v>469</v>
      </c>
      <c r="AI236" s="8">
        <v>0.82583202576595915</v>
      </c>
      <c r="AJ236" s="9">
        <v>50.000999999999998</v>
      </c>
      <c r="AK236" s="9">
        <v>2.1309999999999998</v>
      </c>
      <c r="AL236" s="9">
        <v>11.749000000000001</v>
      </c>
      <c r="AM236" s="189">
        <v>11.3361101634523</v>
      </c>
      <c r="AN236" s="9">
        <v>0.16800000000000001</v>
      </c>
      <c r="AO236" s="9">
        <v>11.016999999999999</v>
      </c>
      <c r="AP236" s="9">
        <v>10.317</v>
      </c>
      <c r="AQ236" s="9">
        <v>2.3290000000000002</v>
      </c>
      <c r="AR236" s="9">
        <v>0.38300000000000001</v>
      </c>
      <c r="AS236" s="9">
        <v>0.19700000000000001</v>
      </c>
      <c r="AT236" s="190">
        <v>736.91836154926079</v>
      </c>
      <c r="AU236" s="9">
        <v>0.5</v>
      </c>
      <c r="AV236" s="6">
        <v>36.420591278646711</v>
      </c>
      <c r="AW236" s="27" t="s">
        <v>64</v>
      </c>
      <c r="AX236" s="6">
        <v>36.420591278646711</v>
      </c>
      <c r="AY236" s="8">
        <f t="shared" si="69"/>
        <v>2.2678689988885412</v>
      </c>
      <c r="AZ236" s="9">
        <f t="shared" si="70"/>
        <v>9.2956103340308864</v>
      </c>
      <c r="BA236" s="123">
        <v>52.904000000000003</v>
      </c>
      <c r="BB236" s="121">
        <v>2.6173000000000002</v>
      </c>
      <c r="BC236" s="121">
        <v>14.430400000000001</v>
      </c>
      <c r="BD236" s="121">
        <v>7.0792999999999999</v>
      </c>
      <c r="BE236" s="121">
        <v>0.1201</v>
      </c>
      <c r="BF236" s="121">
        <v>6.1115000000000004</v>
      </c>
      <c r="BG236" s="121">
        <v>12.5215</v>
      </c>
      <c r="BH236" s="121">
        <v>2.8612000000000002</v>
      </c>
      <c r="BI236" s="121">
        <v>0.47099999999999997</v>
      </c>
      <c r="BJ236" s="121">
        <v>0.24210000000000001</v>
      </c>
      <c r="BK236" s="121">
        <v>8.92334444E-2</v>
      </c>
      <c r="BL236" s="121">
        <f t="shared" si="72"/>
        <v>99.447633444399997</v>
      </c>
      <c r="BM236" s="121">
        <v>0.23760010715996699</v>
      </c>
      <c r="BN236" s="95">
        <v>44.101693979313303</v>
      </c>
      <c r="BO236" s="95" t="s">
        <v>64</v>
      </c>
      <c r="BP236" s="95">
        <v>44.101693979313303</v>
      </c>
      <c r="BQ236" s="194" t="s">
        <v>469</v>
      </c>
    </row>
    <row r="237" spans="12:69" ht="14.45" customHeight="1">
      <c r="L237" s="20" t="s">
        <v>64</v>
      </c>
      <c r="M237" s="763" t="s">
        <v>459</v>
      </c>
      <c r="N237" s="15" t="s">
        <v>460</v>
      </c>
      <c r="O237" s="14" t="s">
        <v>1222</v>
      </c>
      <c r="P237" s="15" t="s">
        <v>405</v>
      </c>
      <c r="Q237" s="15" t="s">
        <v>468</v>
      </c>
      <c r="R237" s="193">
        <v>86.542145946453999</v>
      </c>
      <c r="S237" s="15" t="s">
        <v>64</v>
      </c>
      <c r="T237" s="14">
        <f t="shared" si="71"/>
        <v>1238.3762999999999</v>
      </c>
      <c r="U237" s="27" t="s">
        <v>416</v>
      </c>
      <c r="V237" s="90" t="s">
        <v>64</v>
      </c>
      <c r="W237" s="109" t="s">
        <v>480</v>
      </c>
      <c r="X237" s="183" t="s">
        <v>64</v>
      </c>
      <c r="Y237" s="104" t="s">
        <v>64</v>
      </c>
      <c r="Z237" s="104" t="s">
        <v>64</v>
      </c>
      <c r="AA237" s="57" t="s">
        <v>64</v>
      </c>
      <c r="AB237" s="47" t="s">
        <v>64</v>
      </c>
      <c r="AC237" s="57">
        <v>159.18534077422061</v>
      </c>
      <c r="AD237" s="27" t="s">
        <v>470</v>
      </c>
      <c r="AE237" s="28">
        <f t="shared" si="68"/>
        <v>0.69914412357383826</v>
      </c>
      <c r="AF237" s="197" t="s">
        <v>470</v>
      </c>
      <c r="AG237" s="84">
        <v>120</v>
      </c>
      <c r="AH237" s="157" t="s">
        <v>469</v>
      </c>
      <c r="AI237" s="8">
        <v>0.8022462896109106</v>
      </c>
      <c r="AJ237" s="9">
        <v>49.206000000000003</v>
      </c>
      <c r="AK237" s="9">
        <v>2.6549999999999998</v>
      </c>
      <c r="AL237" s="9">
        <v>12.17</v>
      </c>
      <c r="AM237" s="189">
        <v>11.340109496725701</v>
      </c>
      <c r="AN237" s="9">
        <v>0.158</v>
      </c>
      <c r="AO237" s="9">
        <v>11.163</v>
      </c>
      <c r="AP237" s="9">
        <v>10.173</v>
      </c>
      <c r="AQ237" s="9">
        <v>2.0459999999999998</v>
      </c>
      <c r="AR237" s="9">
        <v>0.308</v>
      </c>
      <c r="AS237" s="9">
        <v>0.41499999999999998</v>
      </c>
      <c r="AT237" s="190">
        <v>758.02934937825921</v>
      </c>
      <c r="AU237" s="9">
        <v>0.5</v>
      </c>
      <c r="AV237" s="6">
        <v>60.529682579655841</v>
      </c>
      <c r="AW237" s="27" t="s">
        <v>64</v>
      </c>
      <c r="AX237" s="6">
        <v>60.529682579655841</v>
      </c>
      <c r="AY237" s="8">
        <f t="shared" si="69"/>
        <v>2.2686690937902481</v>
      </c>
      <c r="AZ237" s="9">
        <f t="shared" si="70"/>
        <v>9.2988897873150744</v>
      </c>
      <c r="BA237" s="123">
        <v>51.241999999999997</v>
      </c>
      <c r="BB237" s="121">
        <v>3.2917000000000001</v>
      </c>
      <c r="BC237" s="121">
        <v>15.086499999999999</v>
      </c>
      <c r="BD237" s="121">
        <v>7.62</v>
      </c>
      <c r="BE237" s="121">
        <v>0.1021</v>
      </c>
      <c r="BF237" s="121">
        <v>4.5411999999999999</v>
      </c>
      <c r="BG237" s="121">
        <v>12.4358</v>
      </c>
      <c r="BH237" s="121">
        <v>2.5363000000000002</v>
      </c>
      <c r="BI237" s="121">
        <v>0.38190000000000002</v>
      </c>
      <c r="BJ237" s="121">
        <v>0.51459999999999995</v>
      </c>
      <c r="BK237" s="121">
        <v>9.44883584E-2</v>
      </c>
      <c r="BL237" s="121">
        <f t="shared" si="72"/>
        <v>97.846588358399998</v>
      </c>
      <c r="BM237" s="121">
        <v>0.240661123509332</v>
      </c>
      <c r="BN237" s="95">
        <v>75.450249335541002</v>
      </c>
      <c r="BO237" s="95" t="s">
        <v>64</v>
      </c>
      <c r="BP237" s="95">
        <v>75.450249335541002</v>
      </c>
      <c r="BQ237" s="194" t="s">
        <v>469</v>
      </c>
    </row>
    <row r="238" spans="12:69" ht="14.45" customHeight="1">
      <c r="L238" s="207" t="s">
        <v>479</v>
      </c>
      <c r="M238" s="763" t="s">
        <v>459</v>
      </c>
      <c r="N238" s="15" t="s">
        <v>460</v>
      </c>
      <c r="O238" s="14" t="s">
        <v>1223</v>
      </c>
      <c r="P238" s="15" t="s">
        <v>405</v>
      </c>
      <c r="Q238" s="15" t="s">
        <v>468</v>
      </c>
      <c r="R238" s="193">
        <v>72.972675004881609</v>
      </c>
      <c r="S238" s="15" t="s">
        <v>64</v>
      </c>
      <c r="T238" s="14">
        <f t="shared" si="71"/>
        <v>1119.3240000000001</v>
      </c>
      <c r="U238" s="27" t="s">
        <v>1471</v>
      </c>
      <c r="V238" s="90" t="s">
        <v>64</v>
      </c>
      <c r="W238" s="109" t="s">
        <v>481</v>
      </c>
      <c r="X238" s="183" t="s">
        <v>64</v>
      </c>
      <c r="Y238" s="104" t="s">
        <v>64</v>
      </c>
      <c r="Z238" s="104" t="s">
        <v>64</v>
      </c>
      <c r="AA238" s="57" t="s">
        <v>64</v>
      </c>
      <c r="AB238" s="47" t="s">
        <v>64</v>
      </c>
      <c r="AC238" s="57">
        <v>640</v>
      </c>
      <c r="AD238" s="27" t="s">
        <v>470</v>
      </c>
      <c r="AE238" s="28">
        <f t="shared" si="68"/>
        <v>2.6736029695999997</v>
      </c>
      <c r="AF238" s="197" t="s">
        <v>470</v>
      </c>
      <c r="AG238" s="84">
        <v>640</v>
      </c>
      <c r="AH238" s="157" t="s">
        <v>469</v>
      </c>
      <c r="AI238" s="8">
        <v>0.98357430903904797</v>
      </c>
      <c r="AJ238" s="9">
        <v>50.460999999999999</v>
      </c>
      <c r="AK238" s="9">
        <v>3.5819999999999999</v>
      </c>
      <c r="AL238" s="9">
        <v>13.39</v>
      </c>
      <c r="AM238" s="189">
        <v>12.932843972857249</v>
      </c>
      <c r="AN238" s="9">
        <v>0.23400000000000001</v>
      </c>
      <c r="AO238" s="9">
        <v>5.24</v>
      </c>
      <c r="AP238" s="9">
        <v>8.8339999999999996</v>
      </c>
      <c r="AQ238" s="9">
        <v>3.0859999999999999</v>
      </c>
      <c r="AR238" s="9">
        <v>0.76900000000000002</v>
      </c>
      <c r="AS238" s="9">
        <v>0.44900000000000001</v>
      </c>
      <c r="AT238" s="190">
        <v>1501.3547752532704</v>
      </c>
      <c r="AU238" s="9">
        <v>0.81731431960587397</v>
      </c>
      <c r="AV238" s="6">
        <v>381.72849126860632</v>
      </c>
      <c r="AW238" s="27" t="s">
        <v>64</v>
      </c>
      <c r="AX238" s="6">
        <v>381.72849126860638</v>
      </c>
      <c r="AY238" s="8">
        <f t="shared" si="69"/>
        <v>2.5873068883950681</v>
      </c>
      <c r="AZ238" s="9">
        <f t="shared" si="70"/>
        <v>10.604932057742946</v>
      </c>
      <c r="BA238" s="123">
        <v>50.155900000000003</v>
      </c>
      <c r="BB238" s="121">
        <v>3.6053000000000002</v>
      </c>
      <c r="BC238" s="121">
        <v>13.4777</v>
      </c>
      <c r="BD238" s="121">
        <v>12.9595</v>
      </c>
      <c r="BE238" s="121">
        <v>0.2354</v>
      </c>
      <c r="BF238" s="121">
        <v>4.4565999999999999</v>
      </c>
      <c r="BG238" s="121">
        <v>8.8919999999999995</v>
      </c>
      <c r="BH238" s="121">
        <v>3.1059999999999999</v>
      </c>
      <c r="BI238" s="121">
        <v>0.77370000000000005</v>
      </c>
      <c r="BJ238" s="121">
        <v>0.45229999999999998</v>
      </c>
      <c r="BK238" s="121">
        <v>0.15264274</v>
      </c>
      <c r="BL238" s="121">
        <f t="shared" si="72"/>
        <v>98.267042739999994</v>
      </c>
      <c r="BM238" s="121">
        <v>0.83096346874329197</v>
      </c>
      <c r="BN238" s="95">
        <v>388.10335707279199</v>
      </c>
      <c r="BO238" s="95" t="s">
        <v>64</v>
      </c>
      <c r="BP238" s="95">
        <v>388.10335707279199</v>
      </c>
      <c r="BQ238" s="194" t="s">
        <v>469</v>
      </c>
    </row>
    <row r="239" spans="12:69" ht="14.45" customHeight="1">
      <c r="L239" s="20" t="s">
        <v>64</v>
      </c>
      <c r="M239" s="763" t="s">
        <v>459</v>
      </c>
      <c r="N239" s="15" t="s">
        <v>460</v>
      </c>
      <c r="O239" s="14" t="s">
        <v>1224</v>
      </c>
      <c r="P239" s="15" t="s">
        <v>405</v>
      </c>
      <c r="Q239" s="15" t="s">
        <v>468</v>
      </c>
      <c r="R239" s="193">
        <v>80.628384293255593</v>
      </c>
      <c r="S239" s="15" t="s">
        <v>64</v>
      </c>
      <c r="T239" s="14">
        <f t="shared" si="71"/>
        <v>1162.1973</v>
      </c>
      <c r="U239" s="27" t="s">
        <v>416</v>
      </c>
      <c r="V239" s="90" t="s">
        <v>64</v>
      </c>
      <c r="W239" s="109" t="s">
        <v>480</v>
      </c>
      <c r="X239" s="183" t="s">
        <v>64</v>
      </c>
      <c r="Y239" s="104" t="s">
        <v>64</v>
      </c>
      <c r="Z239" s="104" t="s">
        <v>64</v>
      </c>
      <c r="AA239" s="57" t="s">
        <v>64</v>
      </c>
      <c r="AB239" s="47" t="s">
        <v>64</v>
      </c>
      <c r="AC239" s="57">
        <v>549.1433378574186</v>
      </c>
      <c r="AD239" s="27" t="s">
        <v>470</v>
      </c>
      <c r="AE239" s="28">
        <f t="shared" si="68"/>
        <v>2.3149772279340501</v>
      </c>
      <c r="AF239" s="197" t="s">
        <v>470</v>
      </c>
      <c r="AG239" s="84">
        <v>360</v>
      </c>
      <c r="AH239" s="157" t="s">
        <v>469</v>
      </c>
      <c r="AI239" s="8">
        <v>0.94580535325829951</v>
      </c>
      <c r="AJ239" s="9">
        <v>51.015000000000001</v>
      </c>
      <c r="AK239" s="9">
        <v>3.3740000000000001</v>
      </c>
      <c r="AL239" s="9">
        <v>13.208</v>
      </c>
      <c r="AM239" s="189">
        <v>11.33710999677065</v>
      </c>
      <c r="AN239" s="9">
        <v>0.20399999999999999</v>
      </c>
      <c r="AO239" s="9">
        <v>7.3730000000000002</v>
      </c>
      <c r="AP239" s="9">
        <v>9.1189999999999998</v>
      </c>
      <c r="AQ239" s="9">
        <v>2.782</v>
      </c>
      <c r="AR239" s="9">
        <v>0.69899999999999995</v>
      </c>
      <c r="AS239" s="9">
        <v>0.433</v>
      </c>
      <c r="AT239" s="190">
        <v>1025.2659491156721</v>
      </c>
      <c r="AU239" s="9">
        <v>0.5</v>
      </c>
      <c r="AV239" s="6">
        <v>234.46466871724394</v>
      </c>
      <c r="AW239" s="27" t="s">
        <v>64</v>
      </c>
      <c r="AX239" s="6">
        <v>234.46466871724394</v>
      </c>
      <c r="AY239" s="8">
        <f t="shared" si="69"/>
        <v>2.2680690226139677</v>
      </c>
      <c r="AZ239" s="9">
        <f t="shared" si="70"/>
        <v>9.2964301973519348</v>
      </c>
      <c r="BA239" s="123">
        <v>51.425699999999999</v>
      </c>
      <c r="BB239" s="121">
        <v>3.5489000000000002</v>
      </c>
      <c r="BC239" s="121">
        <v>13.8912</v>
      </c>
      <c r="BD239" s="121">
        <v>10.253500000000001</v>
      </c>
      <c r="BE239" s="121">
        <v>0.18010000000000001</v>
      </c>
      <c r="BF239" s="121">
        <v>5.7447999999999997</v>
      </c>
      <c r="BG239" s="121">
        <v>9.5589999999999993</v>
      </c>
      <c r="BH239" s="121">
        <v>2.9260000000000002</v>
      </c>
      <c r="BI239" s="121">
        <v>0.73509999999999998</v>
      </c>
      <c r="BJ239" s="121">
        <v>0.45550000000000002</v>
      </c>
      <c r="BK239" s="121">
        <v>0.10840136879999999</v>
      </c>
      <c r="BL239" s="121">
        <f t="shared" si="72"/>
        <v>98.828201368800009</v>
      </c>
      <c r="BM239" s="121">
        <v>0.30228208166717202</v>
      </c>
      <c r="BN239" s="95">
        <v>247.89949423474201</v>
      </c>
      <c r="BO239" s="95" t="s">
        <v>64</v>
      </c>
      <c r="BP239" s="95">
        <v>247.89949423474201</v>
      </c>
      <c r="BQ239" s="194" t="s">
        <v>469</v>
      </c>
    </row>
    <row r="240" spans="12:69" ht="14.45" customHeight="1">
      <c r="L240" s="20" t="s">
        <v>64</v>
      </c>
      <c r="M240" s="763" t="s">
        <v>459</v>
      </c>
      <c r="N240" s="15" t="s">
        <v>460</v>
      </c>
      <c r="O240" s="14" t="s">
        <v>1225</v>
      </c>
      <c r="P240" s="15" t="s">
        <v>405</v>
      </c>
      <c r="Q240" s="15" t="s">
        <v>468</v>
      </c>
      <c r="R240" s="193">
        <v>80.361989802398099</v>
      </c>
      <c r="S240" s="15" t="s">
        <v>64</v>
      </c>
      <c r="T240" s="14">
        <f t="shared" si="71"/>
        <v>1162.2575999999999</v>
      </c>
      <c r="U240" s="27" t="s">
        <v>416</v>
      </c>
      <c r="V240" s="90" t="s">
        <v>64</v>
      </c>
      <c r="W240" s="109" t="s">
        <v>480</v>
      </c>
      <c r="X240" s="183" t="s">
        <v>64</v>
      </c>
      <c r="Y240" s="104" t="s">
        <v>64</v>
      </c>
      <c r="Z240" s="104" t="s">
        <v>64</v>
      </c>
      <c r="AA240" s="57" t="s">
        <v>64</v>
      </c>
      <c r="AB240" s="47" t="s">
        <v>64</v>
      </c>
      <c r="AC240" s="57">
        <v>507.58469448305573</v>
      </c>
      <c r="AD240" s="27" t="s">
        <v>470</v>
      </c>
      <c r="AE240" s="28">
        <f t="shared" si="68"/>
        <v>2.148821386527545</v>
      </c>
      <c r="AF240" s="197" t="s">
        <v>470</v>
      </c>
      <c r="AG240" s="84">
        <v>330</v>
      </c>
      <c r="AH240" s="157" t="s">
        <v>469</v>
      </c>
      <c r="AI240" s="8">
        <v>0.9394964299135663</v>
      </c>
      <c r="AJ240" s="9">
        <v>51.822000000000003</v>
      </c>
      <c r="AK240" s="9">
        <v>2.722</v>
      </c>
      <c r="AL240" s="9">
        <v>13.340999999999999</v>
      </c>
      <c r="AM240" s="189">
        <v>11.339109663407349</v>
      </c>
      <c r="AN240" s="9">
        <v>0.18099999999999999</v>
      </c>
      <c r="AO240" s="9">
        <v>7.3760000000000003</v>
      </c>
      <c r="AP240" s="9">
        <v>9.1449999999999996</v>
      </c>
      <c r="AQ240" s="9">
        <v>2.85</v>
      </c>
      <c r="AR240" s="9">
        <v>0.44700000000000001</v>
      </c>
      <c r="AS240" s="9">
        <v>0.29899999999999999</v>
      </c>
      <c r="AT240" s="190">
        <v>1098.3589327320556</v>
      </c>
      <c r="AU240" s="9">
        <v>0.5</v>
      </c>
      <c r="AV240" s="6">
        <v>207.97146095475668</v>
      </c>
      <c r="AW240" s="27" t="s">
        <v>64</v>
      </c>
      <c r="AX240" s="6">
        <v>207.97146095475668</v>
      </c>
      <c r="AY240" s="8">
        <f t="shared" si="69"/>
        <v>2.2684690700648216</v>
      </c>
      <c r="AZ240" s="9">
        <f t="shared" si="70"/>
        <v>9.2980699239940279</v>
      </c>
      <c r="BA240" s="123">
        <v>52.060299999999998</v>
      </c>
      <c r="BB240" s="121">
        <v>2.8650000000000002</v>
      </c>
      <c r="BC240" s="121">
        <v>14.042299999999999</v>
      </c>
      <c r="BD240" s="121">
        <v>9.7780000000000005</v>
      </c>
      <c r="BE240" s="121">
        <v>0.15160000000000001</v>
      </c>
      <c r="BF240" s="121">
        <v>5.6883999999999997</v>
      </c>
      <c r="BG240" s="121">
        <v>9.5920000000000005</v>
      </c>
      <c r="BH240" s="121">
        <v>3.0002</v>
      </c>
      <c r="BI240" s="121">
        <v>0.47089999999999999</v>
      </c>
      <c r="BJ240" s="121">
        <v>0.31480000000000002</v>
      </c>
      <c r="BK240" s="121">
        <v>0.11690932479999999</v>
      </c>
      <c r="BL240" s="121">
        <f t="shared" si="72"/>
        <v>98.08040932480003</v>
      </c>
      <c r="BM240" s="121">
        <v>0.32563094386958302</v>
      </c>
      <c r="BN240" s="95">
        <v>221.36482304024301</v>
      </c>
      <c r="BO240" s="95" t="s">
        <v>64</v>
      </c>
      <c r="BP240" s="95">
        <v>221.36482304024301</v>
      </c>
      <c r="BQ240" s="194" t="s">
        <v>469</v>
      </c>
    </row>
    <row r="241" spans="12:69" ht="14.45" customHeight="1">
      <c r="L241" s="20" t="s">
        <v>64</v>
      </c>
      <c r="M241" s="763" t="s">
        <v>459</v>
      </c>
      <c r="N241" s="15" t="s">
        <v>460</v>
      </c>
      <c r="O241" s="14" t="s">
        <v>1226</v>
      </c>
      <c r="P241" s="15" t="s">
        <v>405</v>
      </c>
      <c r="Q241" s="15" t="s">
        <v>468</v>
      </c>
      <c r="R241" s="193">
        <v>80.361989802398099</v>
      </c>
      <c r="S241" s="15" t="s">
        <v>64</v>
      </c>
      <c r="T241" s="14">
        <f t="shared" si="71"/>
        <v>1162.2978000000001</v>
      </c>
      <c r="U241" s="27" t="s">
        <v>416</v>
      </c>
      <c r="V241" s="90" t="s">
        <v>64</v>
      </c>
      <c r="W241" s="109" t="s">
        <v>480</v>
      </c>
      <c r="X241" s="183" t="s">
        <v>64</v>
      </c>
      <c r="Y241" s="104" t="s">
        <v>64</v>
      </c>
      <c r="Z241" s="104" t="s">
        <v>64</v>
      </c>
      <c r="AA241" s="57" t="s">
        <v>64</v>
      </c>
      <c r="AB241" s="47" t="s">
        <v>64</v>
      </c>
      <c r="AC241" s="57">
        <v>511.16770872080713</v>
      </c>
      <c r="AD241" s="27" t="s">
        <v>470</v>
      </c>
      <c r="AE241" s="28">
        <f t="shared" si="68"/>
        <v>2.1632002055849506</v>
      </c>
      <c r="AF241" s="197" t="s">
        <v>470</v>
      </c>
      <c r="AG241" s="84">
        <v>320</v>
      </c>
      <c r="AH241" s="157" t="s">
        <v>469</v>
      </c>
      <c r="AI241" s="8">
        <v>0.94921689606074977</v>
      </c>
      <c r="AJ241" s="9">
        <v>51.973999999999997</v>
      </c>
      <c r="AK241" s="9">
        <v>2.7959999999999998</v>
      </c>
      <c r="AL241" s="9">
        <v>13.087999999999999</v>
      </c>
      <c r="AM241" s="189">
        <v>11.3361101634523</v>
      </c>
      <c r="AN241" s="9">
        <v>0.14199999999999999</v>
      </c>
      <c r="AO241" s="9">
        <v>7.3780000000000001</v>
      </c>
      <c r="AP241" s="9">
        <v>9.343</v>
      </c>
      <c r="AQ241" s="9">
        <v>2.7509999999999999</v>
      </c>
      <c r="AR241" s="9">
        <v>0.48</v>
      </c>
      <c r="AS241" s="9">
        <v>0.25800000000000001</v>
      </c>
      <c r="AT241" s="190">
        <v>1065.0681120075935</v>
      </c>
      <c r="AU241" s="9">
        <v>0.5</v>
      </c>
      <c r="AV241" s="6">
        <v>202.41759744244897</v>
      </c>
      <c r="AW241" s="27" t="s">
        <v>64</v>
      </c>
      <c r="AX241" s="6">
        <v>202.41759744244897</v>
      </c>
      <c r="AY241" s="8">
        <f t="shared" si="69"/>
        <v>2.2678689988885412</v>
      </c>
      <c r="AZ241" s="9">
        <f t="shared" si="70"/>
        <v>9.2956103340308864</v>
      </c>
      <c r="BA241" s="123">
        <v>51.623699999999999</v>
      </c>
      <c r="BB241" s="121">
        <v>2.8872</v>
      </c>
      <c r="BC241" s="121">
        <v>13.515700000000001</v>
      </c>
      <c r="BD241" s="121">
        <v>9.9955999999999996</v>
      </c>
      <c r="BE241" s="121">
        <v>0.11459999999999999</v>
      </c>
      <c r="BF241" s="121">
        <v>5.8719999999999999</v>
      </c>
      <c r="BG241" s="121">
        <v>9.6199999999999992</v>
      </c>
      <c r="BH241" s="121">
        <v>2.8411</v>
      </c>
      <c r="BI241" s="121">
        <v>0.496</v>
      </c>
      <c r="BJ241" s="121">
        <v>0.26690000000000003</v>
      </c>
      <c r="BK241" s="121">
        <v>0.11220492560000001</v>
      </c>
      <c r="BL241" s="121">
        <f t="shared" si="72"/>
        <v>97.345004925599994</v>
      </c>
      <c r="BM241" s="121">
        <v>0.293610725633977</v>
      </c>
      <c r="BN241" s="95">
        <v>213.24693890562</v>
      </c>
      <c r="BO241" s="95" t="s">
        <v>64</v>
      </c>
      <c r="BP241" s="95">
        <v>213.24693890562</v>
      </c>
      <c r="BQ241" s="194" t="s">
        <v>469</v>
      </c>
    </row>
    <row r="242" spans="12:69" ht="14.45" customHeight="1">
      <c r="L242" s="20" t="s">
        <v>64</v>
      </c>
      <c r="M242" s="763" t="s">
        <v>459</v>
      </c>
      <c r="N242" s="15" t="s">
        <v>460</v>
      </c>
      <c r="O242" s="14" t="s">
        <v>1227</v>
      </c>
      <c r="P242" s="15" t="s">
        <v>405</v>
      </c>
      <c r="Q242" s="15" t="s">
        <v>468</v>
      </c>
      <c r="R242" s="193">
        <v>79.42440240563549</v>
      </c>
      <c r="S242" s="15" t="s">
        <v>64</v>
      </c>
      <c r="T242" s="14">
        <f t="shared" si="71"/>
        <v>1135.8261</v>
      </c>
      <c r="U242" s="27" t="s">
        <v>416</v>
      </c>
      <c r="V242" s="90" t="s">
        <v>64</v>
      </c>
      <c r="W242" s="109" t="s">
        <v>480</v>
      </c>
      <c r="X242" s="183" t="s">
        <v>64</v>
      </c>
      <c r="Y242" s="104" t="s">
        <v>64</v>
      </c>
      <c r="Z242" s="104" t="s">
        <v>64</v>
      </c>
      <c r="AA242" s="57" t="s">
        <v>64</v>
      </c>
      <c r="AB242" s="47" t="s">
        <v>64</v>
      </c>
      <c r="AC242" s="57">
        <v>677.37255481648913</v>
      </c>
      <c r="AD242" s="27" t="s">
        <v>470</v>
      </c>
      <c r="AE242" s="28">
        <f t="shared" si="68"/>
        <v>2.8193302712296822</v>
      </c>
      <c r="AF242" s="197" t="s">
        <v>470</v>
      </c>
      <c r="AG242" s="84">
        <v>420</v>
      </c>
      <c r="AH242" s="157" t="s">
        <v>469</v>
      </c>
      <c r="AI242" s="8">
        <v>0.98794704603833239</v>
      </c>
      <c r="AJ242" s="9">
        <v>51.545999999999999</v>
      </c>
      <c r="AK242" s="9">
        <v>3.4609999999999999</v>
      </c>
      <c r="AL242" s="9">
        <v>13.233000000000001</v>
      </c>
      <c r="AM242" s="189">
        <v>11.43709332860565</v>
      </c>
      <c r="AN242" s="9">
        <v>0.22600000000000001</v>
      </c>
      <c r="AO242" s="9">
        <v>6.0609999999999999</v>
      </c>
      <c r="AP242" s="9">
        <v>11.026</v>
      </c>
      <c r="AQ242" s="9">
        <v>2.3860000000000001</v>
      </c>
      <c r="AR242" s="9">
        <v>0.51200000000000001</v>
      </c>
      <c r="AS242" s="9">
        <v>0.28999999999999998</v>
      </c>
      <c r="AT242" s="190">
        <v>1166.3742461964039</v>
      </c>
      <c r="AU242" s="9">
        <v>0.5</v>
      </c>
      <c r="AV242" s="6">
        <v>252.20747433957126</v>
      </c>
      <c r="AW242" s="27" t="s">
        <v>64</v>
      </c>
      <c r="AX242" s="6">
        <v>252.20747433957126</v>
      </c>
      <c r="AY242" s="8">
        <f t="shared" si="69"/>
        <v>2.2880713951566429</v>
      </c>
      <c r="AZ242" s="9">
        <f t="shared" si="70"/>
        <v>9.3784165294566328</v>
      </c>
      <c r="BA242" s="123">
        <v>49.598799999999997</v>
      </c>
      <c r="BB242" s="121">
        <v>2.6307</v>
      </c>
      <c r="BC242" s="121">
        <v>13.7318</v>
      </c>
      <c r="BD242" s="121">
        <v>11.068899999999999</v>
      </c>
      <c r="BE242" s="121">
        <v>0.20119999999999999</v>
      </c>
      <c r="BF242" s="121">
        <v>5.9783999999999997</v>
      </c>
      <c r="BG242" s="121">
        <v>10.867699999999999</v>
      </c>
      <c r="BH242" s="121">
        <v>2.3519000000000001</v>
      </c>
      <c r="BI242" s="121">
        <v>0.505</v>
      </c>
      <c r="BJ242" s="121">
        <v>0.28560000000000002</v>
      </c>
      <c r="BK242" s="121">
        <v>0.1180604012</v>
      </c>
      <c r="BL242" s="121">
        <f t="shared" si="72"/>
        <v>97.338060401199982</v>
      </c>
      <c r="BM242" s="121">
        <v>0.30958116963035498</v>
      </c>
      <c r="BN242" s="95">
        <v>255.28440552651401</v>
      </c>
      <c r="BO242" s="95" t="s">
        <v>64</v>
      </c>
      <c r="BP242" s="95">
        <v>255.28440552651401</v>
      </c>
      <c r="BQ242" s="194" t="s">
        <v>469</v>
      </c>
    </row>
    <row r="243" spans="12:69" ht="14.45" customHeight="1">
      <c r="L243" s="20" t="s">
        <v>64</v>
      </c>
      <c r="M243" s="763" t="s">
        <v>459</v>
      </c>
      <c r="N243" s="15" t="s">
        <v>460</v>
      </c>
      <c r="O243" s="14" t="s">
        <v>1228</v>
      </c>
      <c r="P243" s="15" t="s">
        <v>405</v>
      </c>
      <c r="Q243" s="15" t="s">
        <v>468</v>
      </c>
      <c r="R243" s="193">
        <v>79.42440240563549</v>
      </c>
      <c r="S243" s="15" t="s">
        <v>64</v>
      </c>
      <c r="T243" s="14">
        <f t="shared" si="71"/>
        <v>1133.7759000000001</v>
      </c>
      <c r="U243" s="27" t="s">
        <v>416</v>
      </c>
      <c r="V243" s="90" t="s">
        <v>64</v>
      </c>
      <c r="W243" s="109" t="s">
        <v>480</v>
      </c>
      <c r="X243" s="183" t="s">
        <v>64</v>
      </c>
      <c r="Y243" s="104" t="s">
        <v>64</v>
      </c>
      <c r="Z243" s="104" t="s">
        <v>64</v>
      </c>
      <c r="AA243" s="57" t="s">
        <v>64</v>
      </c>
      <c r="AB243" s="47" t="s">
        <v>64</v>
      </c>
      <c r="AC243" s="57">
        <v>840.40025660093181</v>
      </c>
      <c r="AD243" s="27" t="s">
        <v>470</v>
      </c>
      <c r="AE243" s="28">
        <f t="shared" si="68"/>
        <v>3.4434867673053575</v>
      </c>
      <c r="AF243" s="197" t="s">
        <v>470</v>
      </c>
      <c r="AG243" s="84">
        <v>540</v>
      </c>
      <c r="AH243" s="157" t="s">
        <v>469</v>
      </c>
      <c r="AI243" s="8">
        <v>0.99275290380224357</v>
      </c>
      <c r="AJ243" s="9">
        <v>51.658999999999999</v>
      </c>
      <c r="AK243" s="9">
        <v>3.4830000000000001</v>
      </c>
      <c r="AL243" s="9">
        <v>13.32</v>
      </c>
      <c r="AM243" s="189">
        <v>11.34110933004405</v>
      </c>
      <c r="AN243" s="9">
        <v>0.22700000000000001</v>
      </c>
      <c r="AO243" s="9">
        <v>5.9589999999999996</v>
      </c>
      <c r="AP243" s="9">
        <v>11.063000000000001</v>
      </c>
      <c r="AQ243" s="9">
        <v>2.4870000000000001</v>
      </c>
      <c r="AR243" s="9">
        <v>0.498</v>
      </c>
      <c r="AS243" s="9">
        <v>0.30499999999999999</v>
      </c>
      <c r="AT243" s="190">
        <v>1170.5575379727984</v>
      </c>
      <c r="AU243" s="9">
        <v>0.5</v>
      </c>
      <c r="AV243" s="6">
        <v>326.23053922588406</v>
      </c>
      <c r="AW243" s="27" t="s">
        <v>64</v>
      </c>
      <c r="AX243" s="6">
        <v>326.23053922588406</v>
      </c>
      <c r="AY243" s="8">
        <f t="shared" si="69"/>
        <v>2.2688691175156745</v>
      </c>
      <c r="AZ243" s="9">
        <f t="shared" si="70"/>
        <v>9.299709650636121</v>
      </c>
      <c r="BA243" s="123">
        <v>49.577800000000003</v>
      </c>
      <c r="BB243" s="121">
        <v>2.6337000000000002</v>
      </c>
      <c r="BC243" s="121">
        <v>13.9811</v>
      </c>
      <c r="BD243" s="121">
        <v>11.2972</v>
      </c>
      <c r="BE243" s="121">
        <v>0.23080000000000001</v>
      </c>
      <c r="BF243" s="121">
        <v>6.0007000000000001</v>
      </c>
      <c r="BG243" s="121">
        <v>10.914</v>
      </c>
      <c r="BH243" s="121">
        <v>2.4537</v>
      </c>
      <c r="BI243" s="121">
        <v>0.49109999999999998</v>
      </c>
      <c r="BJ243" s="121">
        <v>0.30059999999999998</v>
      </c>
      <c r="BK243" s="121">
        <v>0.11791026079999999</v>
      </c>
      <c r="BL243" s="121">
        <f t="shared" si="72"/>
        <v>97.998610260800007</v>
      </c>
      <c r="BM243" s="121">
        <v>0.30678118052909098</v>
      </c>
      <c r="BN243" s="95">
        <v>328.61202216223302</v>
      </c>
      <c r="BO243" s="95" t="s">
        <v>64</v>
      </c>
      <c r="BP243" s="95">
        <v>328.61202216223302</v>
      </c>
      <c r="BQ243" s="194" t="s">
        <v>469</v>
      </c>
    </row>
    <row r="244" spans="12:69" ht="14.45" customHeight="1">
      <c r="L244" s="20" t="s">
        <v>64</v>
      </c>
      <c r="M244" s="763" t="s">
        <v>459</v>
      </c>
      <c r="N244" s="15" t="s">
        <v>460</v>
      </c>
      <c r="O244" s="14" t="s">
        <v>1229</v>
      </c>
      <c r="P244" s="15" t="s">
        <v>405</v>
      </c>
      <c r="Q244" s="15" t="s">
        <v>468</v>
      </c>
      <c r="R244" s="193">
        <v>76.894221965172704</v>
      </c>
      <c r="S244" s="15" t="s">
        <v>64</v>
      </c>
      <c r="T244" s="14">
        <f t="shared" si="71"/>
        <v>1132.3086000000001</v>
      </c>
      <c r="U244" s="27" t="s">
        <v>1471</v>
      </c>
      <c r="V244" s="90" t="s">
        <v>64</v>
      </c>
      <c r="W244" s="109" t="s">
        <v>481</v>
      </c>
      <c r="X244" s="183" t="s">
        <v>64</v>
      </c>
      <c r="Y244" s="104" t="s">
        <v>64</v>
      </c>
      <c r="Z244" s="104" t="s">
        <v>64</v>
      </c>
      <c r="AA244" s="57" t="s">
        <v>64</v>
      </c>
      <c r="AB244" s="47" t="s">
        <v>64</v>
      </c>
      <c r="AC244" s="57">
        <v>563.4854695136745</v>
      </c>
      <c r="AD244" s="27" t="s">
        <v>470</v>
      </c>
      <c r="AE244" s="28">
        <f t="shared" si="68"/>
        <v>2.37200592462731</v>
      </c>
      <c r="AF244" s="197" t="s">
        <v>470</v>
      </c>
      <c r="AG244" s="84">
        <v>390</v>
      </c>
      <c r="AH244" s="157" t="s">
        <v>469</v>
      </c>
      <c r="AI244" s="8">
        <v>0.94580535325829951</v>
      </c>
      <c r="AJ244" s="9">
        <v>50.347000000000001</v>
      </c>
      <c r="AK244" s="9">
        <v>3.2989999999999999</v>
      </c>
      <c r="AL244" s="9">
        <v>13.965</v>
      </c>
      <c r="AM244" s="189">
        <v>11.823028989488749</v>
      </c>
      <c r="AN244" s="9">
        <v>0.19400000000000001</v>
      </c>
      <c r="AO244" s="9">
        <v>5.8860000000000001</v>
      </c>
      <c r="AP244" s="9">
        <v>10.111000000000001</v>
      </c>
      <c r="AQ244" s="9">
        <v>2.6789999999999998</v>
      </c>
      <c r="AR244" s="9">
        <v>0.69699999999999995</v>
      </c>
      <c r="AS244" s="9">
        <v>0.377</v>
      </c>
      <c r="AT244" s="190">
        <v>1260.0452246287716</v>
      </c>
      <c r="AU244" s="9">
        <v>0.43118628881284699</v>
      </c>
      <c r="AV244" s="6">
        <v>238.15045748041427</v>
      </c>
      <c r="AW244" s="27" t="s">
        <v>64</v>
      </c>
      <c r="AX244" s="6">
        <v>238.15045748041427</v>
      </c>
      <c r="AY244" s="8">
        <f t="shared" si="69"/>
        <v>2.3652805531713699</v>
      </c>
      <c r="AZ244" s="9">
        <f t="shared" si="70"/>
        <v>9.6948837713807752</v>
      </c>
      <c r="BA244" s="123">
        <v>49.761699999999998</v>
      </c>
      <c r="BB244" s="121">
        <v>3.4018000000000002</v>
      </c>
      <c r="BC244" s="121">
        <v>14.401999999999999</v>
      </c>
      <c r="BD244" s="121">
        <v>10.6539</v>
      </c>
      <c r="BE244" s="121">
        <v>0.19969999999999999</v>
      </c>
      <c r="BF244" s="121">
        <v>4.0362</v>
      </c>
      <c r="BG244" s="121">
        <v>10.4276</v>
      </c>
      <c r="BH244" s="121">
        <v>2.7625999999999999</v>
      </c>
      <c r="BI244" s="121">
        <v>0.71889999999999998</v>
      </c>
      <c r="BJ244" s="121">
        <v>0.38900000000000001</v>
      </c>
      <c r="BK244" s="121">
        <v>0.1332245816</v>
      </c>
      <c r="BL244" s="121">
        <f t="shared" si="72"/>
        <v>96.886624581600017</v>
      </c>
      <c r="BM244" s="121">
        <v>0.45589326316182299</v>
      </c>
      <c r="BN244" s="95">
        <v>251.79647869404201</v>
      </c>
      <c r="BO244" s="95" t="s">
        <v>64</v>
      </c>
      <c r="BP244" s="95">
        <v>251.79647869404201</v>
      </c>
      <c r="BQ244" s="194" t="s">
        <v>469</v>
      </c>
    </row>
    <row r="245" spans="12:69" ht="14.45" customHeight="1">
      <c r="L245" s="20" t="s">
        <v>64</v>
      </c>
      <c r="M245" s="763" t="s">
        <v>459</v>
      </c>
      <c r="N245" s="15" t="s">
        <v>460</v>
      </c>
      <c r="O245" s="14" t="s">
        <v>1230</v>
      </c>
      <c r="P245" s="15" t="s">
        <v>405</v>
      </c>
      <c r="Q245" s="15" t="s">
        <v>468</v>
      </c>
      <c r="R245" s="193">
        <v>84.357456063016301</v>
      </c>
      <c r="S245" s="15" t="s">
        <v>64</v>
      </c>
      <c r="T245" s="14">
        <f t="shared" si="71"/>
        <v>1205.4927</v>
      </c>
      <c r="U245" s="27" t="s">
        <v>416</v>
      </c>
      <c r="V245" s="90" t="s">
        <v>64</v>
      </c>
      <c r="W245" s="109" t="s">
        <v>480</v>
      </c>
      <c r="X245" s="183" t="s">
        <v>64</v>
      </c>
      <c r="Y245" s="104" t="s">
        <v>64</v>
      </c>
      <c r="Z245" s="104" t="s">
        <v>64</v>
      </c>
      <c r="AA245" s="57" t="s">
        <v>64</v>
      </c>
      <c r="AB245" s="47" t="s">
        <v>64</v>
      </c>
      <c r="AC245" s="57">
        <v>104.0861270818971</v>
      </c>
      <c r="AD245" s="27" t="s">
        <v>470</v>
      </c>
      <c r="AE245" s="28">
        <f t="shared" si="68"/>
        <v>0.45991649200325818</v>
      </c>
      <c r="AF245" s="197" t="s">
        <v>470</v>
      </c>
      <c r="AG245" s="84">
        <v>80</v>
      </c>
      <c r="AH245" s="157" t="s">
        <v>469</v>
      </c>
      <c r="AI245" s="8">
        <v>0.88144557073600704</v>
      </c>
      <c r="AJ245" s="9">
        <v>50.557000000000002</v>
      </c>
      <c r="AK245" s="9">
        <v>2.1629999999999998</v>
      </c>
      <c r="AL245" s="9">
        <v>12.827</v>
      </c>
      <c r="AM245" s="189">
        <v>11.3361101634523</v>
      </c>
      <c r="AN245" s="9">
        <v>0.16200000000000001</v>
      </c>
      <c r="AO245" s="9">
        <v>9.5269999999999992</v>
      </c>
      <c r="AP245" s="9">
        <v>10.109</v>
      </c>
      <c r="AQ245" s="9">
        <v>2.3210000000000002</v>
      </c>
      <c r="AR245" s="9">
        <v>0.438</v>
      </c>
      <c r="AS245" s="9">
        <v>0.20499999999999999</v>
      </c>
      <c r="AT245" s="190">
        <v>648.46889378580875</v>
      </c>
      <c r="AU245" s="9">
        <v>0.5</v>
      </c>
      <c r="AV245" s="6">
        <v>32.876263276553722</v>
      </c>
      <c r="AW245" s="27" t="s">
        <v>64</v>
      </c>
      <c r="AX245" s="6">
        <v>32.876263276553722</v>
      </c>
      <c r="AY245" s="8">
        <f t="shared" si="69"/>
        <v>2.2678689988885412</v>
      </c>
      <c r="AZ245" s="9">
        <f t="shared" si="70"/>
        <v>9.2956103340308864</v>
      </c>
      <c r="BA245" s="123">
        <v>51.764699999999998</v>
      </c>
      <c r="BB245" s="121">
        <v>2.4411999999999998</v>
      </c>
      <c r="BC245" s="121">
        <v>14.4755</v>
      </c>
      <c r="BD245" s="121">
        <v>8.6159999999999997</v>
      </c>
      <c r="BE245" s="121">
        <v>0.11849999999999999</v>
      </c>
      <c r="BF245" s="121">
        <v>6.1014999999999997</v>
      </c>
      <c r="BG245" s="121">
        <v>11.3157</v>
      </c>
      <c r="BH245" s="121">
        <v>2.6191</v>
      </c>
      <c r="BI245" s="121">
        <v>0.49380000000000002</v>
      </c>
      <c r="BJ245" s="121">
        <v>0.23130000000000001</v>
      </c>
      <c r="BK245" s="121">
        <v>7.3568795999999992E-2</v>
      </c>
      <c r="BL245" s="121">
        <f t="shared" si="72"/>
        <v>98.250868796000006</v>
      </c>
      <c r="BM245" s="121">
        <v>0.20872888382676</v>
      </c>
      <c r="BN245" s="95">
        <v>37.298120687250197</v>
      </c>
      <c r="BO245" s="95" t="s">
        <v>64</v>
      </c>
      <c r="BP245" s="95">
        <v>37.298120687250197</v>
      </c>
      <c r="BQ245" s="194" t="s">
        <v>469</v>
      </c>
    </row>
    <row r="246" spans="12:69" ht="14.45" customHeight="1">
      <c r="L246" s="20" t="s">
        <v>64</v>
      </c>
      <c r="M246" s="763" t="s">
        <v>459</v>
      </c>
      <c r="N246" s="15" t="s">
        <v>460</v>
      </c>
      <c r="O246" s="14" t="s">
        <v>1231</v>
      </c>
      <c r="P246" s="15" t="s">
        <v>405</v>
      </c>
      <c r="Q246" s="15" t="s">
        <v>468</v>
      </c>
      <c r="R246" s="193">
        <v>83.61974007473259</v>
      </c>
      <c r="S246" s="15" t="s">
        <v>64</v>
      </c>
      <c r="T246" s="14">
        <f t="shared" si="71"/>
        <v>1194.9803999999999</v>
      </c>
      <c r="U246" s="27" t="s">
        <v>416</v>
      </c>
      <c r="V246" s="90" t="s">
        <v>64</v>
      </c>
      <c r="W246" s="109" t="s">
        <v>480</v>
      </c>
      <c r="X246" s="183" t="s">
        <v>64</v>
      </c>
      <c r="Y246" s="104" t="s">
        <v>64</v>
      </c>
      <c r="Z246" s="104" t="s">
        <v>64</v>
      </c>
      <c r="AA246" s="57" t="s">
        <v>64</v>
      </c>
      <c r="AB246" s="47" t="s">
        <v>64</v>
      </c>
      <c r="AC246" s="57">
        <v>252.382689457856</v>
      </c>
      <c r="AD246" s="27" t="s">
        <v>470</v>
      </c>
      <c r="AE246" s="28">
        <f t="shared" si="68"/>
        <v>1.0973507534484457</v>
      </c>
      <c r="AF246" s="197" t="s">
        <v>470</v>
      </c>
      <c r="AG246" s="84">
        <v>170</v>
      </c>
      <c r="AH246" s="157" t="s">
        <v>469</v>
      </c>
      <c r="AI246" s="8">
        <v>0.8926977325477593</v>
      </c>
      <c r="AJ246" s="9">
        <v>50.167999999999999</v>
      </c>
      <c r="AK246" s="9">
        <v>2.3719999999999999</v>
      </c>
      <c r="AL246" s="9">
        <v>12.643000000000001</v>
      </c>
      <c r="AM246" s="189">
        <v>11.330111163542201</v>
      </c>
      <c r="AN246" s="9">
        <v>0.25600000000000001</v>
      </c>
      <c r="AO246" s="9">
        <v>9.0039999999999996</v>
      </c>
      <c r="AP246" s="9">
        <v>11.013999999999999</v>
      </c>
      <c r="AQ246" s="9">
        <v>2.1030000000000002</v>
      </c>
      <c r="AR246" s="9">
        <v>0.45900000000000002</v>
      </c>
      <c r="AS246" s="9">
        <v>0.25800000000000001</v>
      </c>
      <c r="AT246" s="190">
        <v>855.55813247634342</v>
      </c>
      <c r="AU246" s="9">
        <v>0.5</v>
      </c>
      <c r="AV246" s="6">
        <v>95.720156362265669</v>
      </c>
      <c r="AW246" s="27" t="s">
        <v>64</v>
      </c>
      <c r="AX246" s="6">
        <v>95.720156362265683</v>
      </c>
      <c r="AY246" s="8">
        <f t="shared" si="69"/>
        <v>2.2666688565359805</v>
      </c>
      <c r="AZ246" s="9">
        <f t="shared" si="70"/>
        <v>9.2906911541046053</v>
      </c>
      <c r="BA246" s="123">
        <v>51.052300000000002</v>
      </c>
      <c r="BB246" s="121">
        <v>2.6360000000000001</v>
      </c>
      <c r="BC246" s="121">
        <v>14.0518</v>
      </c>
      <c r="BD246" s="121">
        <v>9.0357000000000003</v>
      </c>
      <c r="BE246" s="121">
        <v>0.22539999999999999</v>
      </c>
      <c r="BF246" s="121">
        <v>5.7846000000000002</v>
      </c>
      <c r="BG246" s="121">
        <v>12.159599999999999</v>
      </c>
      <c r="BH246" s="121">
        <v>2.3376999999999999</v>
      </c>
      <c r="BI246" s="121">
        <v>0.51029999999999998</v>
      </c>
      <c r="BJ246" s="121">
        <v>0.28720000000000001</v>
      </c>
      <c r="BK246" s="121">
        <v>9.5839621999999999E-2</v>
      </c>
      <c r="BL246" s="121">
        <f t="shared" si="72"/>
        <v>98.176439622000004</v>
      </c>
      <c r="BM246" s="121">
        <v>0.24259526532136899</v>
      </c>
      <c r="BN246" s="95">
        <v>107.22571915701</v>
      </c>
      <c r="BO246" s="95" t="s">
        <v>64</v>
      </c>
      <c r="BP246" s="95">
        <v>107.22571915701</v>
      </c>
      <c r="BQ246" s="194" t="s">
        <v>469</v>
      </c>
    </row>
    <row r="247" spans="12:69" ht="14.45" customHeight="1">
      <c r="L247" s="20" t="s">
        <v>64</v>
      </c>
      <c r="M247" s="763" t="s">
        <v>459</v>
      </c>
      <c r="N247" s="15" t="s">
        <v>460</v>
      </c>
      <c r="O247" s="14" t="s">
        <v>1232</v>
      </c>
      <c r="P247" s="15" t="s">
        <v>405</v>
      </c>
      <c r="Q247" s="15" t="s">
        <v>468</v>
      </c>
      <c r="R247" s="193">
        <v>83.569968819454999</v>
      </c>
      <c r="S247" s="15" t="s">
        <v>64</v>
      </c>
      <c r="T247" s="14">
        <f t="shared" ref="T247:T304" si="73" xml:space="preserve"> 20.1*AO247+1014</f>
        <v>1192.2066</v>
      </c>
      <c r="U247" s="27" t="s">
        <v>416</v>
      </c>
      <c r="V247" s="90" t="s">
        <v>64</v>
      </c>
      <c r="W247" s="109" t="s">
        <v>480</v>
      </c>
      <c r="X247" s="183" t="s">
        <v>64</v>
      </c>
      <c r="Y247" s="104" t="s">
        <v>64</v>
      </c>
      <c r="Z247" s="104" t="s">
        <v>64</v>
      </c>
      <c r="AA247" s="57" t="s">
        <v>64</v>
      </c>
      <c r="AB247" s="47" t="s">
        <v>64</v>
      </c>
      <c r="AC247" s="57">
        <v>363.73421201717048</v>
      </c>
      <c r="AD247" s="27" t="s">
        <v>470</v>
      </c>
      <c r="AE247" s="28">
        <f t="shared" si="68"/>
        <v>1.5629264085528343</v>
      </c>
      <c r="AF247" s="197" t="s">
        <v>470</v>
      </c>
      <c r="AG247" s="84">
        <v>270</v>
      </c>
      <c r="AH247" s="157" t="s">
        <v>469</v>
      </c>
      <c r="AI247" s="8">
        <v>0.91016656048056799</v>
      </c>
      <c r="AJ247" s="9">
        <v>49.329000000000001</v>
      </c>
      <c r="AK247" s="9">
        <v>2.218</v>
      </c>
      <c r="AL247" s="9">
        <v>13.395</v>
      </c>
      <c r="AM247" s="189">
        <v>11.330111163542201</v>
      </c>
      <c r="AN247" s="9">
        <v>0.184</v>
      </c>
      <c r="AO247" s="9">
        <v>8.8659999999999997</v>
      </c>
      <c r="AP247" s="9">
        <v>11.143000000000001</v>
      </c>
      <c r="AQ247" s="9">
        <v>2.2320000000000002</v>
      </c>
      <c r="AR247" s="9">
        <v>0.49099999999999999</v>
      </c>
      <c r="AS247" s="9">
        <v>0.41899999999999998</v>
      </c>
      <c r="AT247" s="190">
        <v>900.08625466460364</v>
      </c>
      <c r="AU247" s="9">
        <v>0.5</v>
      </c>
      <c r="AV247" s="6">
        <v>157.66536547247111</v>
      </c>
      <c r="AW247" s="27" t="s">
        <v>64</v>
      </c>
      <c r="AX247" s="6">
        <v>157.66536547247111</v>
      </c>
      <c r="AY247" s="8">
        <f t="shared" si="69"/>
        <v>2.2666688565359805</v>
      </c>
      <c r="AZ247" s="9">
        <f t="shared" si="70"/>
        <v>9.2906911541046053</v>
      </c>
      <c r="BA247" s="123">
        <v>49.853900000000003</v>
      </c>
      <c r="BB247" s="121">
        <v>2.415</v>
      </c>
      <c r="BC247" s="121">
        <v>14.586399999999999</v>
      </c>
      <c r="BD247" s="121">
        <v>9.5128000000000004</v>
      </c>
      <c r="BE247" s="121">
        <v>0.15140000000000001</v>
      </c>
      <c r="BF247" s="121">
        <v>6.1348000000000003</v>
      </c>
      <c r="BG247" s="121">
        <v>12.0678</v>
      </c>
      <c r="BH247" s="121">
        <v>2.4308999999999998</v>
      </c>
      <c r="BI247" s="121">
        <v>0.53449999999999998</v>
      </c>
      <c r="BJ247" s="121">
        <v>0.45679999999999998</v>
      </c>
      <c r="BK247" s="121">
        <v>9.8892476800000004E-2</v>
      </c>
      <c r="BL247" s="121">
        <f t="shared" ref="BL247:BL304" si="74">SUM(BA247:BK247)</f>
        <v>98.24319247679999</v>
      </c>
      <c r="BM247" s="121">
        <v>0.23855677748326601</v>
      </c>
      <c r="BN247" s="95">
        <v>173.226937044604</v>
      </c>
      <c r="BO247" s="95" t="s">
        <v>64</v>
      </c>
      <c r="BP247" s="95">
        <v>173.226937044604</v>
      </c>
      <c r="BQ247" s="194" t="s">
        <v>469</v>
      </c>
    </row>
    <row r="248" spans="12:69" ht="14.45" customHeight="1">
      <c r="L248" s="207" t="s">
        <v>483</v>
      </c>
      <c r="M248" s="763" t="s">
        <v>459</v>
      </c>
      <c r="N248" s="15" t="s">
        <v>460</v>
      </c>
      <c r="O248" s="14" t="s">
        <v>1233</v>
      </c>
      <c r="P248" s="15" t="s">
        <v>405</v>
      </c>
      <c r="Q248" s="15" t="s">
        <v>468</v>
      </c>
      <c r="R248" s="193">
        <v>73.454817832059405</v>
      </c>
      <c r="S248" s="15" t="s">
        <v>64</v>
      </c>
      <c r="T248" s="14">
        <f t="shared" si="73"/>
        <v>1120.6707000000001</v>
      </c>
      <c r="U248" s="27" t="s">
        <v>1471</v>
      </c>
      <c r="V248" s="90" t="s">
        <v>64</v>
      </c>
      <c r="W248" s="109" t="s">
        <v>481</v>
      </c>
      <c r="X248" s="183" t="s">
        <v>64</v>
      </c>
      <c r="Y248" s="104" t="s">
        <v>64</v>
      </c>
      <c r="Z248" s="104" t="s">
        <v>64</v>
      </c>
      <c r="AA248" s="57" t="s">
        <v>64</v>
      </c>
      <c r="AB248" s="47" t="s">
        <v>64</v>
      </c>
      <c r="AC248" s="57">
        <v>580</v>
      </c>
      <c r="AD248" s="27" t="s">
        <v>470</v>
      </c>
      <c r="AE248" s="28">
        <f t="shared" si="68"/>
        <v>2.4374765407999996</v>
      </c>
      <c r="AF248" s="197" t="s">
        <v>470</v>
      </c>
      <c r="AG248" s="84">
        <v>580</v>
      </c>
      <c r="AH248" s="157" t="s">
        <v>469</v>
      </c>
      <c r="AI248" s="8">
        <v>0.97924010967489217</v>
      </c>
      <c r="AJ248" s="9">
        <v>50.427</v>
      </c>
      <c r="AK248" s="9">
        <v>3.8580000000000001</v>
      </c>
      <c r="AL248" s="9">
        <v>13.095000000000001</v>
      </c>
      <c r="AM248" s="189">
        <v>12.79686664156165</v>
      </c>
      <c r="AN248" s="9">
        <v>0.189</v>
      </c>
      <c r="AO248" s="9">
        <v>5.3070000000000004</v>
      </c>
      <c r="AP248" s="9">
        <v>9.0839999999999996</v>
      </c>
      <c r="AQ248" s="9">
        <v>2.9580000000000002</v>
      </c>
      <c r="AR248" s="9">
        <v>0.76400000000000001</v>
      </c>
      <c r="AS248" s="9">
        <v>0.45900000000000002</v>
      </c>
      <c r="AT248" s="190">
        <v>1810.8394633764196</v>
      </c>
      <c r="AU248" s="9">
        <v>0.85690475957117196</v>
      </c>
      <c r="AV248" s="6">
        <v>335.40667957823047</v>
      </c>
      <c r="AW248" s="27" t="s">
        <v>64</v>
      </c>
      <c r="AX248" s="6">
        <v>335.40667957823047</v>
      </c>
      <c r="AY248" s="8">
        <f t="shared" si="69"/>
        <v>2.560103661737029</v>
      </c>
      <c r="AZ248" s="9">
        <f t="shared" si="70"/>
        <v>10.493430646080554</v>
      </c>
      <c r="BA248" s="123">
        <v>50.090400000000002</v>
      </c>
      <c r="BB248" s="121">
        <v>3.8933</v>
      </c>
      <c r="BC248" s="121">
        <v>13.215299999999999</v>
      </c>
      <c r="BD248" s="121">
        <v>12.7035</v>
      </c>
      <c r="BE248" s="121">
        <v>0.1908</v>
      </c>
      <c r="BF248" s="121">
        <v>4.4010999999999996</v>
      </c>
      <c r="BG248" s="121">
        <v>9.1682000000000006</v>
      </c>
      <c r="BH248" s="121">
        <v>2.9853000000000001</v>
      </c>
      <c r="BI248" s="121">
        <v>0.77059999999999995</v>
      </c>
      <c r="BJ248" s="121">
        <v>0.4637</v>
      </c>
      <c r="BK248" s="121">
        <v>0.18492292600000002</v>
      </c>
      <c r="BL248" s="121">
        <f t="shared" si="74"/>
        <v>98.067122925999996</v>
      </c>
      <c r="BM248" s="121">
        <v>0.87507114047408097</v>
      </c>
      <c r="BN248" s="95">
        <v>342.517301185289</v>
      </c>
      <c r="BO248" s="95" t="s">
        <v>64</v>
      </c>
      <c r="BP248" s="95">
        <v>342.517301185289</v>
      </c>
      <c r="BQ248" s="194" t="s">
        <v>469</v>
      </c>
    </row>
    <row r="249" spans="12:69" ht="14.45" customHeight="1">
      <c r="L249" s="207" t="s">
        <v>483</v>
      </c>
      <c r="M249" s="763" t="s">
        <v>459</v>
      </c>
      <c r="N249" s="15" t="s">
        <v>460</v>
      </c>
      <c r="O249" s="14" t="s">
        <v>1234</v>
      </c>
      <c r="P249" s="15" t="s">
        <v>405</v>
      </c>
      <c r="Q249" s="15" t="s">
        <v>468</v>
      </c>
      <c r="R249" s="193">
        <v>73.573293694482004</v>
      </c>
      <c r="S249" s="15" t="s">
        <v>64</v>
      </c>
      <c r="T249" s="14">
        <f t="shared" si="73"/>
        <v>1121.2737</v>
      </c>
      <c r="U249" s="27" t="s">
        <v>1471</v>
      </c>
      <c r="V249" s="90" t="s">
        <v>64</v>
      </c>
      <c r="W249" s="109" t="s">
        <v>481</v>
      </c>
      <c r="X249" s="183" t="s">
        <v>64</v>
      </c>
      <c r="Y249" s="104" t="s">
        <v>64</v>
      </c>
      <c r="Z249" s="104" t="s">
        <v>64</v>
      </c>
      <c r="AA249" s="57" t="s">
        <v>64</v>
      </c>
      <c r="AB249" s="47" t="s">
        <v>64</v>
      </c>
      <c r="AC249" s="57">
        <v>550</v>
      </c>
      <c r="AD249" s="27" t="s">
        <v>470</v>
      </c>
      <c r="AE249" s="28">
        <f t="shared" si="68"/>
        <v>2.3183880499999998</v>
      </c>
      <c r="AF249" s="197" t="s">
        <v>470</v>
      </c>
      <c r="AG249" s="84">
        <v>550</v>
      </c>
      <c r="AH249" s="157" t="s">
        <v>469</v>
      </c>
      <c r="AI249" s="8">
        <v>0.98347757671125102</v>
      </c>
      <c r="AJ249" s="9">
        <v>50.52</v>
      </c>
      <c r="AK249" s="9">
        <v>3.7050000000000001</v>
      </c>
      <c r="AL249" s="9">
        <v>13.013</v>
      </c>
      <c r="AM249" s="189">
        <v>12.816863307928651</v>
      </c>
      <c r="AN249" s="9">
        <v>0.23400000000000001</v>
      </c>
      <c r="AO249" s="9">
        <v>5.3369999999999997</v>
      </c>
      <c r="AP249" s="9">
        <v>9.0299999999999994</v>
      </c>
      <c r="AQ249" s="9">
        <v>3.1080000000000001</v>
      </c>
      <c r="AR249" s="9">
        <v>0.77300000000000002</v>
      </c>
      <c r="AS249" s="9">
        <v>0.48199999999999998</v>
      </c>
      <c r="AT249" s="190">
        <v>1659.2030173092055</v>
      </c>
      <c r="AU249" s="9">
        <v>0.76542702080687997</v>
      </c>
      <c r="AV249" s="6">
        <v>336.1486460544906</v>
      </c>
      <c r="AW249" s="27" t="s">
        <v>64</v>
      </c>
      <c r="AX249" s="6">
        <v>336.1486460544906</v>
      </c>
      <c r="AY249" s="8">
        <f t="shared" si="69"/>
        <v>2.5641041362455641</v>
      </c>
      <c r="AZ249" s="9">
        <f t="shared" si="70"/>
        <v>10.509827912501494</v>
      </c>
      <c r="BA249" s="123">
        <v>49.555900000000001</v>
      </c>
      <c r="BB249" s="121">
        <v>3.6802000000000001</v>
      </c>
      <c r="BC249" s="121">
        <v>12.9261</v>
      </c>
      <c r="BD249" s="121">
        <v>12.4716</v>
      </c>
      <c r="BE249" s="121">
        <v>0.23250000000000001</v>
      </c>
      <c r="BF249" s="121">
        <v>4.6074000000000002</v>
      </c>
      <c r="BG249" s="121">
        <v>8.9697999999999993</v>
      </c>
      <c r="BH249" s="121">
        <v>3.0870000000000002</v>
      </c>
      <c r="BI249" s="121">
        <v>0.76829999999999998</v>
      </c>
      <c r="BJ249" s="121">
        <v>0.4783</v>
      </c>
      <c r="BK249" s="121">
        <v>0.16870776279999999</v>
      </c>
      <c r="BL249" s="121">
        <f t="shared" si="74"/>
        <v>96.945807762800001</v>
      </c>
      <c r="BM249" s="121">
        <v>0.77828619475643501</v>
      </c>
      <c r="BN249" s="95">
        <v>341.79594330820601</v>
      </c>
      <c r="BO249" s="95" t="s">
        <v>64</v>
      </c>
      <c r="BP249" s="95">
        <v>341.79594330820601</v>
      </c>
      <c r="BQ249" s="194" t="s">
        <v>469</v>
      </c>
    </row>
    <row r="250" spans="12:69" ht="14.45" customHeight="1">
      <c r="L250" s="207" t="s">
        <v>483</v>
      </c>
      <c r="M250" s="763" t="s">
        <v>459</v>
      </c>
      <c r="N250" s="15" t="s">
        <v>460</v>
      </c>
      <c r="O250" s="14" t="s">
        <v>1235</v>
      </c>
      <c r="P250" s="15" t="s">
        <v>405</v>
      </c>
      <c r="Q250" s="15" t="s">
        <v>468</v>
      </c>
      <c r="R250" s="193">
        <v>75.272780950269109</v>
      </c>
      <c r="S250" s="15" t="s">
        <v>64</v>
      </c>
      <c r="T250" s="14">
        <f t="shared" si="73"/>
        <v>1126.0373999999999</v>
      </c>
      <c r="U250" s="27" t="s">
        <v>1471</v>
      </c>
      <c r="V250" s="90" t="s">
        <v>64</v>
      </c>
      <c r="W250" s="109" t="s">
        <v>481</v>
      </c>
      <c r="X250" s="183" t="s">
        <v>64</v>
      </c>
      <c r="Y250" s="104" t="s">
        <v>64</v>
      </c>
      <c r="Z250" s="104" t="s">
        <v>64</v>
      </c>
      <c r="AA250" s="57" t="s">
        <v>64</v>
      </c>
      <c r="AB250" s="47" t="s">
        <v>64</v>
      </c>
      <c r="AC250" s="57">
        <v>500</v>
      </c>
      <c r="AD250" s="27" t="s">
        <v>470</v>
      </c>
      <c r="AE250" s="28">
        <f t="shared" ref="AE250:AE313" si="75">(0.0684*((AC250/1000))^3-0.5008*((AC250/1000))^2+4.47*((AC250/1000)))</f>
        <v>2.11835</v>
      </c>
      <c r="AF250" s="197" t="s">
        <v>470</v>
      </c>
      <c r="AG250" s="84">
        <v>500</v>
      </c>
      <c r="AH250" s="157" t="s">
        <v>469</v>
      </c>
      <c r="AI250" s="8">
        <v>0.98212531919072876</v>
      </c>
      <c r="AJ250" s="9">
        <v>50.417000000000002</v>
      </c>
      <c r="AK250" s="9">
        <v>4.2510000000000003</v>
      </c>
      <c r="AL250" s="9">
        <v>12.775</v>
      </c>
      <c r="AM250" s="189">
        <v>12.2739538160646</v>
      </c>
      <c r="AN250" s="9">
        <v>0.17899999999999999</v>
      </c>
      <c r="AO250" s="9">
        <v>5.5739999999999998</v>
      </c>
      <c r="AP250" s="9">
        <v>9.2680000000000007</v>
      </c>
      <c r="AQ250" s="9">
        <v>3.0339999999999998</v>
      </c>
      <c r="AR250" s="9">
        <v>0.81399999999999995</v>
      </c>
      <c r="AS250" s="9">
        <v>0.45800000000000002</v>
      </c>
      <c r="AT250" s="190">
        <v>1877.6151640149283</v>
      </c>
      <c r="AU250" s="9">
        <v>0.74472367080522905</v>
      </c>
      <c r="AV250" s="6">
        <v>304.53808957872025</v>
      </c>
      <c r="AW250" s="27" t="s">
        <v>64</v>
      </c>
      <c r="AX250" s="6">
        <v>304.53808957872025</v>
      </c>
      <c r="AY250" s="8">
        <f t="shared" ref="AY250:AY313" si="76">IF(ISNUMBER(AM250),(AM250/71.84)*(0.18/2)*159.69,"-")</f>
        <v>2.4554912533388364</v>
      </c>
      <c r="AZ250" s="9">
        <f t="shared" ref="AZ250:AZ313" si="77">IF(ISNUMBER(AM250),(AM250/71.84)*(1-0.18)*71.84,"-")</f>
        <v>10.064642129172972</v>
      </c>
      <c r="BA250" s="123">
        <v>49.432600000000001</v>
      </c>
      <c r="BB250" s="121">
        <v>4.2257999999999996</v>
      </c>
      <c r="BC250" s="121">
        <v>12.698700000000001</v>
      </c>
      <c r="BD250" s="121">
        <v>11.943</v>
      </c>
      <c r="BE250" s="121">
        <v>0.1784</v>
      </c>
      <c r="BF250" s="121">
        <v>4.7686000000000002</v>
      </c>
      <c r="BG250" s="121">
        <v>9.2127999999999997</v>
      </c>
      <c r="BH250" s="121">
        <v>3.0164</v>
      </c>
      <c r="BI250" s="121">
        <v>0.80889999999999995</v>
      </c>
      <c r="BJ250" s="121">
        <v>0.45550000000000002</v>
      </c>
      <c r="BK250" s="121">
        <v>0.19117877599999999</v>
      </c>
      <c r="BL250" s="121">
        <f t="shared" si="74"/>
        <v>96.931878776000005</v>
      </c>
      <c r="BM250" s="121">
        <v>0.758277641613884</v>
      </c>
      <c r="BN250" s="95">
        <v>310.08068280905297</v>
      </c>
      <c r="BO250" s="95" t="s">
        <v>64</v>
      </c>
      <c r="BP250" s="95">
        <v>310.08068280905297</v>
      </c>
      <c r="BQ250" s="194" t="s">
        <v>469</v>
      </c>
    </row>
    <row r="251" spans="12:69" ht="14.45" customHeight="1">
      <c r="L251" s="20" t="s">
        <v>64</v>
      </c>
      <c r="M251" s="763" t="s">
        <v>459</v>
      </c>
      <c r="N251" s="15" t="s">
        <v>460</v>
      </c>
      <c r="O251" s="14" t="s">
        <v>1236</v>
      </c>
      <c r="P251" s="15" t="s">
        <v>405</v>
      </c>
      <c r="Q251" s="15" t="s">
        <v>468</v>
      </c>
      <c r="R251" s="193">
        <v>84.068562755137293</v>
      </c>
      <c r="S251" s="15" t="s">
        <v>64</v>
      </c>
      <c r="T251" s="14">
        <f t="shared" si="73"/>
        <v>1198.5984000000001</v>
      </c>
      <c r="U251" s="27" t="s">
        <v>416</v>
      </c>
      <c r="V251" s="90">
        <v>2.0727650940360599E-2</v>
      </c>
      <c r="W251" s="109" t="s">
        <v>480</v>
      </c>
      <c r="X251" s="208" t="s">
        <v>64</v>
      </c>
      <c r="Y251" s="209" t="s">
        <v>64</v>
      </c>
      <c r="Z251" s="104" t="s">
        <v>64</v>
      </c>
      <c r="AA251" s="57" t="s">
        <v>64</v>
      </c>
      <c r="AB251" s="47" t="s">
        <v>64</v>
      </c>
      <c r="AC251" s="57">
        <v>458.94417978489457</v>
      </c>
      <c r="AD251" s="27" t="s">
        <v>470</v>
      </c>
      <c r="AE251" s="28">
        <f t="shared" si="75"/>
        <v>1.9526091432431081</v>
      </c>
      <c r="AF251" s="197" t="s">
        <v>470</v>
      </c>
      <c r="AG251" s="84">
        <v>310</v>
      </c>
      <c r="AH251" s="157" t="s">
        <v>469</v>
      </c>
      <c r="AI251" s="8">
        <v>0.84281500210703741</v>
      </c>
      <c r="AJ251" s="9">
        <v>49.753999999999998</v>
      </c>
      <c r="AK251" s="9">
        <v>2.681</v>
      </c>
      <c r="AL251" s="9">
        <v>13.085000000000001</v>
      </c>
      <c r="AM251" s="189">
        <v>11.330111163542201</v>
      </c>
      <c r="AN251" s="9">
        <v>0.249</v>
      </c>
      <c r="AO251" s="9">
        <v>9.1839999999999993</v>
      </c>
      <c r="AP251" s="9">
        <v>10.218</v>
      </c>
      <c r="AQ251" s="9">
        <v>2.3570000000000002</v>
      </c>
      <c r="AR251" s="9">
        <v>0.51700000000000002</v>
      </c>
      <c r="AS251" s="9">
        <v>0.25600000000000001</v>
      </c>
      <c r="AT251" s="190">
        <v>1088.2490012642222</v>
      </c>
      <c r="AU251" s="9">
        <v>0.5</v>
      </c>
      <c r="AV251" s="6">
        <v>200.53132917930634</v>
      </c>
      <c r="AW251" s="27" t="s">
        <v>1473</v>
      </c>
      <c r="AX251" s="6">
        <v>200.53132917930637</v>
      </c>
      <c r="AY251" s="8">
        <f t="shared" si="76"/>
        <v>2.2666688565359805</v>
      </c>
      <c r="AZ251" s="9">
        <f t="shared" si="77"/>
        <v>9.2906911541046053</v>
      </c>
      <c r="BA251" s="123">
        <v>51.714799999999997</v>
      </c>
      <c r="BB251" s="121">
        <v>3.1846000000000001</v>
      </c>
      <c r="BC251" s="121">
        <v>15.545199999999999</v>
      </c>
      <c r="BD251" s="121">
        <v>8.9608000000000008</v>
      </c>
      <c r="BE251" s="121">
        <v>0.2145</v>
      </c>
      <c r="BF251" s="121">
        <v>3.6663000000000001</v>
      </c>
      <c r="BG251" s="121">
        <v>11.996600000000001</v>
      </c>
      <c r="BH251" s="121">
        <v>2.7997999999999998</v>
      </c>
      <c r="BI251" s="121">
        <v>0.61439999999999995</v>
      </c>
      <c r="BJ251" s="121">
        <v>0.30359999999999998</v>
      </c>
      <c r="BK251" s="121">
        <v>0.12912074399999998</v>
      </c>
      <c r="BL251" s="121">
        <f t="shared" si="74"/>
        <v>99.129720744000025</v>
      </c>
      <c r="BM251" s="121">
        <v>0.23640328909092501</v>
      </c>
      <c r="BN251" s="95">
        <v>237.93042207124699</v>
      </c>
      <c r="BO251" s="95" t="s">
        <v>1473</v>
      </c>
      <c r="BP251" s="95">
        <v>237.93042207124699</v>
      </c>
      <c r="BQ251" s="194" t="s">
        <v>469</v>
      </c>
    </row>
    <row r="252" spans="12:69" ht="14.45" customHeight="1">
      <c r="L252" s="20" t="s">
        <v>64</v>
      </c>
      <c r="M252" s="763" t="s">
        <v>459</v>
      </c>
      <c r="N252" s="15" t="s">
        <v>460</v>
      </c>
      <c r="O252" s="14" t="s">
        <v>1237</v>
      </c>
      <c r="P252" s="15" t="s">
        <v>405</v>
      </c>
      <c r="Q252" s="15" t="s">
        <v>468</v>
      </c>
      <c r="R252" s="193">
        <v>77.197619048644299</v>
      </c>
      <c r="S252" s="15" t="s">
        <v>64</v>
      </c>
      <c r="T252" s="14">
        <f t="shared" si="73"/>
        <v>1133.3336999999999</v>
      </c>
      <c r="U252" s="27" t="s">
        <v>1471</v>
      </c>
      <c r="V252" s="90" t="s">
        <v>64</v>
      </c>
      <c r="W252" s="109" t="s">
        <v>481</v>
      </c>
      <c r="X252" s="183" t="s">
        <v>64</v>
      </c>
      <c r="Y252" s="104" t="s">
        <v>64</v>
      </c>
      <c r="Z252" s="104" t="s">
        <v>64</v>
      </c>
      <c r="AA252" s="57" t="s">
        <v>64</v>
      </c>
      <c r="AB252" s="47" t="s">
        <v>64</v>
      </c>
      <c r="AC252" s="57">
        <v>724.08206892963506</v>
      </c>
      <c r="AD252" s="27" t="s">
        <v>470</v>
      </c>
      <c r="AE252" s="28">
        <f t="shared" si="75"/>
        <v>3.0000468535801703</v>
      </c>
      <c r="AF252" s="197" t="s">
        <v>470</v>
      </c>
      <c r="AG252" s="84">
        <v>470</v>
      </c>
      <c r="AH252" s="157" t="s">
        <v>469</v>
      </c>
      <c r="AI252" s="8">
        <v>0.96089170750456432</v>
      </c>
      <c r="AJ252" s="9">
        <v>51.307000000000002</v>
      </c>
      <c r="AK252" s="9">
        <v>3.6819999999999999</v>
      </c>
      <c r="AL252" s="9">
        <v>13.228999999999999</v>
      </c>
      <c r="AM252" s="189">
        <v>11.732044157518901</v>
      </c>
      <c r="AN252" s="9">
        <v>0.153</v>
      </c>
      <c r="AO252" s="9">
        <v>5.9370000000000003</v>
      </c>
      <c r="AP252" s="9">
        <v>9.2569999999999997</v>
      </c>
      <c r="AQ252" s="9">
        <v>2.9289999999999998</v>
      </c>
      <c r="AR252" s="9">
        <v>0.748</v>
      </c>
      <c r="AS252" s="9">
        <v>0.40600000000000003</v>
      </c>
      <c r="AT252" s="190">
        <v>1526.8433746516769</v>
      </c>
      <c r="AU252" s="9">
        <v>0.430423296494303</v>
      </c>
      <c r="AV252" s="6">
        <v>311.09496945958495</v>
      </c>
      <c r="AW252" s="27" t="s">
        <v>64</v>
      </c>
      <c r="AX252" s="6">
        <v>311.09496945958495</v>
      </c>
      <c r="AY252" s="8">
        <f t="shared" si="76"/>
        <v>2.3470783941575362</v>
      </c>
      <c r="AZ252" s="9">
        <f t="shared" si="77"/>
        <v>9.6202762091654996</v>
      </c>
      <c r="BA252" s="123">
        <v>50.680700000000002</v>
      </c>
      <c r="BB252" s="121">
        <v>3.7473000000000001</v>
      </c>
      <c r="BC252" s="121">
        <v>13.465400000000001</v>
      </c>
      <c r="BD252" s="121">
        <v>10.9519</v>
      </c>
      <c r="BE252" s="121">
        <v>0.15609999999999999</v>
      </c>
      <c r="BF252" s="121">
        <v>4.5301999999999998</v>
      </c>
      <c r="BG252" s="121">
        <v>9.4223999999999997</v>
      </c>
      <c r="BH252" s="121">
        <v>2.9817999999999998</v>
      </c>
      <c r="BI252" s="121">
        <v>0.76139999999999997</v>
      </c>
      <c r="BJ252" s="121">
        <v>0.41289999999999999</v>
      </c>
      <c r="BK252" s="121">
        <v>0.15889858999999998</v>
      </c>
      <c r="BL252" s="121">
        <f t="shared" si="74"/>
        <v>97.268998589999967</v>
      </c>
      <c r="BM252" s="121">
        <v>0.44794152466162102</v>
      </c>
      <c r="BN252" s="95">
        <v>323.75653471659001</v>
      </c>
      <c r="BO252" s="95" t="s">
        <v>64</v>
      </c>
      <c r="BP252" s="95">
        <v>323.75653471659001</v>
      </c>
      <c r="BQ252" s="194" t="s">
        <v>469</v>
      </c>
    </row>
    <row r="253" spans="12:69" ht="14.45" customHeight="1">
      <c r="L253" s="207" t="s">
        <v>483</v>
      </c>
      <c r="M253" s="763" t="s">
        <v>459</v>
      </c>
      <c r="N253" s="15" t="s">
        <v>460</v>
      </c>
      <c r="O253" s="14" t="s">
        <v>1238</v>
      </c>
      <c r="P253" s="15" t="s">
        <v>405</v>
      </c>
      <c r="Q253" s="15" t="s">
        <v>468</v>
      </c>
      <c r="R253" s="193">
        <v>73.718541553839998</v>
      </c>
      <c r="S253" s="15" t="s">
        <v>64</v>
      </c>
      <c r="T253" s="14">
        <f t="shared" si="73"/>
        <v>1122.3993</v>
      </c>
      <c r="U253" s="27" t="s">
        <v>1471</v>
      </c>
      <c r="V253" s="90" t="s">
        <v>64</v>
      </c>
      <c r="W253" s="109" t="s">
        <v>481</v>
      </c>
      <c r="X253" s="183" t="s">
        <v>64</v>
      </c>
      <c r="Y253" s="104" t="s">
        <v>64</v>
      </c>
      <c r="Z253" s="104" t="s">
        <v>64</v>
      </c>
      <c r="AA253" s="57" t="s">
        <v>64</v>
      </c>
      <c r="AB253" s="47" t="s">
        <v>64</v>
      </c>
      <c r="AC253" s="57">
        <v>600</v>
      </c>
      <c r="AD253" s="27" t="s">
        <v>470</v>
      </c>
      <c r="AE253" s="28">
        <f t="shared" si="75"/>
        <v>2.5164863999999998</v>
      </c>
      <c r="AF253" s="197" t="s">
        <v>470</v>
      </c>
      <c r="AG253" s="84">
        <v>600</v>
      </c>
      <c r="AH253" s="157" t="s">
        <v>469</v>
      </c>
      <c r="AI253" s="8">
        <v>0.97637180238234722</v>
      </c>
      <c r="AJ253" s="9">
        <v>50.878999999999998</v>
      </c>
      <c r="AK253" s="9">
        <v>2.71</v>
      </c>
      <c r="AL253" s="9">
        <v>13.414</v>
      </c>
      <c r="AM253" s="189">
        <v>12.841859140887399</v>
      </c>
      <c r="AN253" s="9">
        <v>0.245</v>
      </c>
      <c r="AO253" s="9">
        <v>5.3929999999999998</v>
      </c>
      <c r="AP253" s="9">
        <v>9.7409999999999997</v>
      </c>
      <c r="AQ253" s="9">
        <v>2.907</v>
      </c>
      <c r="AR253" s="9">
        <v>0.57199999999999995</v>
      </c>
      <c r="AS253" s="9">
        <v>0.28000000000000003</v>
      </c>
      <c r="AT253" s="190">
        <v>1211.3456082796331</v>
      </c>
      <c r="AU253" s="9">
        <v>0.79212187585088201</v>
      </c>
      <c r="AV253" s="6">
        <v>340.09639292053896</v>
      </c>
      <c r="AW253" s="27" t="s">
        <v>64</v>
      </c>
      <c r="AX253" s="6">
        <v>340.09639292053896</v>
      </c>
      <c r="AY253" s="8">
        <f t="shared" si="76"/>
        <v>2.569104729381233</v>
      </c>
      <c r="AZ253" s="9">
        <f t="shared" si="77"/>
        <v>10.530324495527669</v>
      </c>
      <c r="BA253" s="123">
        <v>49.350900000000003</v>
      </c>
      <c r="BB253" s="121">
        <v>2.6758000000000002</v>
      </c>
      <c r="BC253" s="121">
        <v>13.246</v>
      </c>
      <c r="BD253" s="121">
        <v>11.682499999999999</v>
      </c>
      <c r="BE253" s="121">
        <v>0.2417</v>
      </c>
      <c r="BF253" s="121">
        <v>4.6916000000000002</v>
      </c>
      <c r="BG253" s="121">
        <v>9.6191999999999993</v>
      </c>
      <c r="BH253" s="121">
        <v>2.8702000000000001</v>
      </c>
      <c r="BI253" s="121">
        <v>0.56499999999999995</v>
      </c>
      <c r="BJ253" s="121">
        <v>0.27660000000000001</v>
      </c>
      <c r="BK253" s="121">
        <v>0.1240660172</v>
      </c>
      <c r="BL253" s="121">
        <f t="shared" si="74"/>
        <v>95.34356601719999</v>
      </c>
      <c r="BM253" s="121">
        <v>0.81129122524647301</v>
      </c>
      <c r="BN253" s="95">
        <v>348.32672562921601</v>
      </c>
      <c r="BO253" s="95" t="s">
        <v>64</v>
      </c>
      <c r="BP253" s="95">
        <v>348.32672562921601</v>
      </c>
      <c r="BQ253" s="194" t="s">
        <v>469</v>
      </c>
    </row>
    <row r="254" spans="12:69" ht="14.45" customHeight="1">
      <c r="L254" s="20" t="s">
        <v>64</v>
      </c>
      <c r="M254" s="763" t="s">
        <v>459</v>
      </c>
      <c r="N254" s="15" t="s">
        <v>460</v>
      </c>
      <c r="O254" s="14" t="s">
        <v>1239</v>
      </c>
      <c r="P254" s="15" t="s">
        <v>405</v>
      </c>
      <c r="Q254" s="15" t="s">
        <v>468</v>
      </c>
      <c r="R254" s="193">
        <v>84.367498014857901</v>
      </c>
      <c r="S254" s="15" t="s">
        <v>64</v>
      </c>
      <c r="T254" s="14">
        <f t="shared" si="73"/>
        <v>1201.4928</v>
      </c>
      <c r="U254" s="27" t="s">
        <v>416</v>
      </c>
      <c r="V254" s="90">
        <v>2.7234150450479701E-2</v>
      </c>
      <c r="W254" s="109">
        <v>102.616121121121</v>
      </c>
      <c r="X254" s="183">
        <v>2.0570570570015399E-3</v>
      </c>
      <c r="Y254" s="104">
        <v>2.1976516641942102E-2</v>
      </c>
      <c r="Z254" s="104" t="s">
        <v>462</v>
      </c>
      <c r="AA254" s="57" t="s">
        <v>64</v>
      </c>
      <c r="AB254" s="47" t="s">
        <v>64</v>
      </c>
      <c r="AC254" s="57">
        <v>472.49184780976111</v>
      </c>
      <c r="AD254" s="27" t="s">
        <v>470</v>
      </c>
      <c r="AE254" s="28">
        <f t="shared" si="75"/>
        <v>2.0074507330298599</v>
      </c>
      <c r="AF254" s="197" t="s">
        <v>470</v>
      </c>
      <c r="AG254" s="84">
        <v>330</v>
      </c>
      <c r="AH254" s="157" t="s">
        <v>469</v>
      </c>
      <c r="AI254" s="8">
        <v>0.85763293310463129</v>
      </c>
      <c r="AJ254" s="9">
        <v>49.77</v>
      </c>
      <c r="AK254" s="9">
        <v>2.3940000000000001</v>
      </c>
      <c r="AL254" s="9">
        <v>12.9</v>
      </c>
      <c r="AM254" s="189">
        <v>11.334110496815601</v>
      </c>
      <c r="AN254" s="9">
        <v>0.14199999999999999</v>
      </c>
      <c r="AO254" s="9">
        <v>9.3279999999999994</v>
      </c>
      <c r="AP254" s="9">
        <v>10.702</v>
      </c>
      <c r="AQ254" s="9">
        <v>2.4689999999999999</v>
      </c>
      <c r="AR254" s="9">
        <v>0.34899999999999998</v>
      </c>
      <c r="AS254" s="9">
        <v>0.22900000000000001</v>
      </c>
      <c r="AT254" s="190">
        <v>380.71622298456265</v>
      </c>
      <c r="AU254" s="9">
        <v>0.5</v>
      </c>
      <c r="AV254" s="6">
        <v>24.853571912655404</v>
      </c>
      <c r="AW254" s="27">
        <v>188.13514702247602</v>
      </c>
      <c r="AX254" s="6">
        <v>212.9887189351312</v>
      </c>
      <c r="AY254" s="8">
        <f t="shared" si="76"/>
        <v>2.2674689514376873</v>
      </c>
      <c r="AZ254" s="9">
        <f t="shared" si="77"/>
        <v>9.2939706073887933</v>
      </c>
      <c r="BA254" s="123">
        <v>51.020600000000002</v>
      </c>
      <c r="BB254" s="121">
        <v>2.7671000000000001</v>
      </c>
      <c r="BC254" s="121">
        <v>14.907999999999999</v>
      </c>
      <c r="BD254" s="121">
        <v>7.8080999999999996</v>
      </c>
      <c r="BE254" s="121">
        <v>8.5500000000000007E-2</v>
      </c>
      <c r="BF254" s="121">
        <v>5.1593999999999998</v>
      </c>
      <c r="BG254" s="121">
        <v>12.254200000000001</v>
      </c>
      <c r="BH254" s="121">
        <v>2.8527999999999998</v>
      </c>
      <c r="BI254" s="121">
        <v>0.40339999999999998</v>
      </c>
      <c r="BJ254" s="121">
        <v>0.26490000000000002</v>
      </c>
      <c r="BK254" s="121">
        <v>4.4391511600000003E-2</v>
      </c>
      <c r="BL254" s="121">
        <f t="shared" si="74"/>
        <v>97.568391511599998</v>
      </c>
      <c r="BM254" s="121">
        <v>0.24027379545709501</v>
      </c>
      <c r="BN254" s="95">
        <v>28.979264850156198</v>
      </c>
      <c r="BO254" s="95">
        <v>219.36558142820701</v>
      </c>
      <c r="BP254" s="95">
        <v>248.34484627836301</v>
      </c>
      <c r="BQ254" s="194" t="s">
        <v>469</v>
      </c>
    </row>
    <row r="255" spans="12:69" ht="14.45" customHeight="1">
      <c r="L255" s="20" t="s">
        <v>64</v>
      </c>
      <c r="M255" s="763" t="s">
        <v>459</v>
      </c>
      <c r="N255" s="15" t="s">
        <v>460</v>
      </c>
      <c r="O255" s="14" t="s">
        <v>1240</v>
      </c>
      <c r="P255" s="15" t="s">
        <v>405</v>
      </c>
      <c r="Q255" s="15" t="s">
        <v>468</v>
      </c>
      <c r="R255" s="193">
        <v>88.758594237286403</v>
      </c>
      <c r="S255" s="15" t="s">
        <v>64</v>
      </c>
      <c r="T255" s="14">
        <f t="shared" si="73"/>
        <v>1287.6012000000001</v>
      </c>
      <c r="U255" s="27" t="s">
        <v>416</v>
      </c>
      <c r="V255" s="90">
        <v>4.2541404687421201E-2</v>
      </c>
      <c r="W255" s="109">
        <v>102.63729396062701</v>
      </c>
      <c r="X255" s="183">
        <v>1.8661124003644801E-2</v>
      </c>
      <c r="Y255" s="104">
        <v>2.2912478255257399E-2</v>
      </c>
      <c r="Z255" s="104" t="s">
        <v>462</v>
      </c>
      <c r="AA255" s="57" t="s">
        <v>64</v>
      </c>
      <c r="AB255" s="47" t="s">
        <v>64</v>
      </c>
      <c r="AC255" s="57">
        <v>599.72111891628185</v>
      </c>
      <c r="AD255" s="27" t="s">
        <v>470</v>
      </c>
      <c r="AE255" s="28">
        <f t="shared" si="75"/>
        <v>2.5153867670530179</v>
      </c>
      <c r="AF255" s="197" t="s">
        <v>470</v>
      </c>
      <c r="AG255" s="84">
        <v>380</v>
      </c>
      <c r="AH255" s="157" t="s">
        <v>469</v>
      </c>
      <c r="AI255" s="8">
        <v>0.76575541771958033</v>
      </c>
      <c r="AJ255" s="9">
        <v>49.676000000000002</v>
      </c>
      <c r="AK255" s="9">
        <v>1.8149999999999999</v>
      </c>
      <c r="AL255" s="9">
        <v>10.928000000000001</v>
      </c>
      <c r="AM255" s="189">
        <v>11.334110496815601</v>
      </c>
      <c r="AN255" s="9">
        <v>0.151</v>
      </c>
      <c r="AO255" s="9">
        <v>13.612</v>
      </c>
      <c r="AP255" s="9">
        <v>9.4350000000000005</v>
      </c>
      <c r="AQ255" s="9">
        <v>2.1309999999999998</v>
      </c>
      <c r="AR255" s="9">
        <v>0.33400000000000002</v>
      </c>
      <c r="AS255" s="9">
        <v>0.22900000000000001</v>
      </c>
      <c r="AT255" s="190">
        <v>494.37454628991492</v>
      </c>
      <c r="AU255" s="9">
        <v>0.5</v>
      </c>
      <c r="AV255" s="6">
        <v>28.7121174329565</v>
      </c>
      <c r="AW255" s="27">
        <v>275.85874009224977</v>
      </c>
      <c r="AX255" s="6">
        <v>304.57085752520635</v>
      </c>
      <c r="AY255" s="8">
        <f t="shared" si="76"/>
        <v>2.2674689514376873</v>
      </c>
      <c r="AZ255" s="9">
        <f t="shared" si="77"/>
        <v>9.2939706073887933</v>
      </c>
      <c r="BA255" s="123">
        <v>53.150599999999997</v>
      </c>
      <c r="BB255" s="121">
        <v>2.3954</v>
      </c>
      <c r="BC255" s="121">
        <v>14.418900000000001</v>
      </c>
      <c r="BD255" s="121">
        <v>6.5709999999999997</v>
      </c>
      <c r="BE255" s="121">
        <v>9.9900000000000003E-2</v>
      </c>
      <c r="BF255" s="121">
        <v>6.2401</v>
      </c>
      <c r="BG255" s="121">
        <v>12.245699999999999</v>
      </c>
      <c r="BH255" s="121">
        <v>2.8113999999999999</v>
      </c>
      <c r="BI255" s="121">
        <v>0.44030000000000002</v>
      </c>
      <c r="BJ255" s="121">
        <v>0.30259999999999998</v>
      </c>
      <c r="BK255" s="121">
        <v>6.4560371999999991E-2</v>
      </c>
      <c r="BL255" s="121">
        <f t="shared" si="74"/>
        <v>98.740460372000001</v>
      </c>
      <c r="BM255" s="121">
        <v>0.238325004661366</v>
      </c>
      <c r="BN255" s="95">
        <v>37.495154155697897</v>
      </c>
      <c r="BO255" s="95">
        <v>360.24392868646902</v>
      </c>
      <c r="BP255" s="95">
        <v>397.73908284216702</v>
      </c>
      <c r="BQ255" s="194" t="s">
        <v>469</v>
      </c>
    </row>
    <row r="256" spans="12:69" ht="14.45" customHeight="1">
      <c r="L256" s="20" t="s">
        <v>64</v>
      </c>
      <c r="M256" s="763" t="s">
        <v>459</v>
      </c>
      <c r="N256" s="15" t="s">
        <v>460</v>
      </c>
      <c r="O256" s="14" t="s">
        <v>1241</v>
      </c>
      <c r="P256" s="15" t="s">
        <v>405</v>
      </c>
      <c r="Q256" s="15" t="s">
        <v>468</v>
      </c>
      <c r="R256" s="193">
        <v>88.658527640146005</v>
      </c>
      <c r="S256" s="15" t="s">
        <v>64</v>
      </c>
      <c r="T256" s="14">
        <f t="shared" si="73"/>
        <v>1282.3149000000001</v>
      </c>
      <c r="U256" s="27" t="s">
        <v>416</v>
      </c>
      <c r="V256" s="90">
        <v>3.9962254241513999E-2</v>
      </c>
      <c r="W256" s="109">
        <v>102.650917584251</v>
      </c>
      <c r="X256" s="183">
        <v>1.61832966926719E-3</v>
      </c>
      <c r="Y256" s="104">
        <v>2.9049681162824501E-2</v>
      </c>
      <c r="Z256" s="104" t="s">
        <v>462</v>
      </c>
      <c r="AA256" s="57" t="s">
        <v>64</v>
      </c>
      <c r="AB256" s="47" t="s">
        <v>64</v>
      </c>
      <c r="AC256" s="57">
        <v>689.16654802586822</v>
      </c>
      <c r="AD256" s="27" t="s">
        <v>470</v>
      </c>
      <c r="AE256" s="28">
        <f t="shared" si="75"/>
        <v>2.8651079330146514</v>
      </c>
      <c r="AF256" s="197" t="s">
        <v>470</v>
      </c>
      <c r="AG256" s="84">
        <v>460</v>
      </c>
      <c r="AH256" s="157" t="s">
        <v>469</v>
      </c>
      <c r="AI256" s="8">
        <v>0.76911244423934777</v>
      </c>
      <c r="AJ256" s="9">
        <v>49.027999999999999</v>
      </c>
      <c r="AK256" s="9">
        <v>2.0089999999999999</v>
      </c>
      <c r="AL256" s="9">
        <v>11.323</v>
      </c>
      <c r="AM256" s="189">
        <v>11.3361101634523</v>
      </c>
      <c r="AN256" s="9">
        <v>0.13500000000000001</v>
      </c>
      <c r="AO256" s="9">
        <v>13.349</v>
      </c>
      <c r="AP256" s="9">
        <v>9.7569999999999997</v>
      </c>
      <c r="AQ256" s="9">
        <v>2.0920000000000001</v>
      </c>
      <c r="AR256" s="9">
        <v>0.32400000000000001</v>
      </c>
      <c r="AS256" s="9">
        <v>0.29099999999999998</v>
      </c>
      <c r="AT256" s="190">
        <v>603.9334656206737</v>
      </c>
      <c r="AU256" s="9">
        <v>0.5</v>
      </c>
      <c r="AV256" s="6">
        <v>31.766131732784643</v>
      </c>
      <c r="AW256" s="27">
        <v>328.62562028837488</v>
      </c>
      <c r="AX256" s="6">
        <v>360.39175202115905</v>
      </c>
      <c r="AY256" s="8">
        <f t="shared" si="76"/>
        <v>2.2678689988885412</v>
      </c>
      <c r="AZ256" s="9">
        <f t="shared" si="77"/>
        <v>9.2956103340308864</v>
      </c>
      <c r="BA256" s="123">
        <v>51.744599999999998</v>
      </c>
      <c r="BB256" s="121">
        <v>2.613</v>
      </c>
      <c r="BC256" s="121">
        <v>14.730600000000001</v>
      </c>
      <c r="BD256" s="121">
        <v>6.6710000000000003</v>
      </c>
      <c r="BE256" s="121">
        <v>7.8600000000000003E-2</v>
      </c>
      <c r="BF256" s="121">
        <v>5.9470000000000001</v>
      </c>
      <c r="BG256" s="121">
        <v>12.494899999999999</v>
      </c>
      <c r="BH256" s="121">
        <v>2.7212000000000001</v>
      </c>
      <c r="BI256" s="121">
        <v>0.42109999999999997</v>
      </c>
      <c r="BJ256" s="121">
        <v>0.37890000000000001</v>
      </c>
      <c r="BK256" s="121">
        <v>7.8523429199999994E-2</v>
      </c>
      <c r="BL256" s="121">
        <f t="shared" si="74"/>
        <v>97.879423429200003</v>
      </c>
      <c r="BM256" s="121">
        <v>0.235590483091731</v>
      </c>
      <c r="BN256" s="95">
        <v>41.302324478966597</v>
      </c>
      <c r="BO256" s="95">
        <v>427.27903149894502</v>
      </c>
      <c r="BP256" s="95">
        <v>468.58135597791102</v>
      </c>
      <c r="BQ256" s="194" t="s">
        <v>469</v>
      </c>
    </row>
    <row r="257" spans="12:69" ht="14.45" customHeight="1">
      <c r="L257" s="20" t="s">
        <v>64</v>
      </c>
      <c r="M257" s="763" t="s">
        <v>459</v>
      </c>
      <c r="N257" s="15" t="s">
        <v>460</v>
      </c>
      <c r="O257" s="14" t="s">
        <v>1242</v>
      </c>
      <c r="P257" s="15" t="s">
        <v>405</v>
      </c>
      <c r="Q257" s="15" t="s">
        <v>468</v>
      </c>
      <c r="R257" s="193">
        <v>88.133468221597099</v>
      </c>
      <c r="S257" s="15" t="s">
        <v>64</v>
      </c>
      <c r="T257" s="14">
        <f t="shared" si="73"/>
        <v>1265.5314000000001</v>
      </c>
      <c r="U257" s="27" t="s">
        <v>416</v>
      </c>
      <c r="V257" s="90">
        <v>5.1101203789506798E-2</v>
      </c>
      <c r="W257" s="109">
        <v>102.678588588588</v>
      </c>
      <c r="X257" s="183">
        <v>2.97749471044381E-2</v>
      </c>
      <c r="Y257" s="104">
        <v>5.2224762143062299E-2</v>
      </c>
      <c r="Z257" s="104" t="s">
        <v>462</v>
      </c>
      <c r="AA257" s="57" t="s">
        <v>64</v>
      </c>
      <c r="AB257" s="47" t="s">
        <v>64</v>
      </c>
      <c r="AC257" s="57">
        <v>1391.8205731465221</v>
      </c>
      <c r="AD257" s="27" t="s">
        <v>470</v>
      </c>
      <c r="AE257" s="28">
        <f t="shared" si="75"/>
        <v>5.4357250588668879</v>
      </c>
      <c r="AF257" s="197" t="s">
        <v>470</v>
      </c>
      <c r="AG257" s="84">
        <v>980</v>
      </c>
      <c r="AH257" s="157" t="s">
        <v>469</v>
      </c>
      <c r="AI257" s="8">
        <v>0.78939059046416171</v>
      </c>
      <c r="AJ257" s="9">
        <v>48.417999999999999</v>
      </c>
      <c r="AK257" s="9">
        <v>2.448</v>
      </c>
      <c r="AL257" s="9">
        <v>11.895</v>
      </c>
      <c r="AM257" s="189">
        <v>11.329111330223849</v>
      </c>
      <c r="AN257" s="9">
        <v>0.17699999999999999</v>
      </c>
      <c r="AO257" s="9">
        <v>12.513999999999999</v>
      </c>
      <c r="AP257" s="9">
        <v>10.022</v>
      </c>
      <c r="AQ257" s="9">
        <v>2.1030000000000002</v>
      </c>
      <c r="AR257" s="9">
        <v>0.44900000000000001</v>
      </c>
      <c r="AS257" s="9">
        <v>0.29899999999999999</v>
      </c>
      <c r="AT257" s="190">
        <v>601.28851910325238</v>
      </c>
      <c r="AU257" s="9">
        <v>0.5</v>
      </c>
      <c r="AV257" s="6">
        <v>18.816856714337149</v>
      </c>
      <c r="AW257" s="27">
        <v>772.12453619918062</v>
      </c>
      <c r="AX257" s="6">
        <v>790.94139291351439</v>
      </c>
      <c r="AY257" s="8">
        <f t="shared" si="76"/>
        <v>2.2664688328105536</v>
      </c>
      <c r="AZ257" s="9">
        <f t="shared" si="77"/>
        <v>9.2898712907835588</v>
      </c>
      <c r="BA257" s="123">
        <v>50.312800000000003</v>
      </c>
      <c r="BB257" s="121">
        <v>3.0798000000000001</v>
      </c>
      <c r="BC257" s="121">
        <v>14.964600000000001</v>
      </c>
      <c r="BD257" s="121">
        <v>6.6596000000000002</v>
      </c>
      <c r="BE257" s="121">
        <v>0.1313</v>
      </c>
      <c r="BF257" s="121">
        <v>5.9634</v>
      </c>
      <c r="BG257" s="121">
        <v>12.428699999999999</v>
      </c>
      <c r="BH257" s="121">
        <v>2.6459000000000001</v>
      </c>
      <c r="BI257" s="121">
        <v>0.56459999999999999</v>
      </c>
      <c r="BJ257" s="121">
        <v>0.37630000000000002</v>
      </c>
      <c r="BK257" s="121">
        <v>7.6171229600000001E-2</v>
      </c>
      <c r="BL257" s="121">
        <f t="shared" si="74"/>
        <v>97.203171229600002</v>
      </c>
      <c r="BM257" s="121">
        <v>0.216236613399264</v>
      </c>
      <c r="BN257" s="95">
        <v>23.837194085722299</v>
      </c>
      <c r="BO257" s="95">
        <v>978.12736245712199</v>
      </c>
      <c r="BP257" s="95">
        <v>1001.96455654284</v>
      </c>
      <c r="BQ257" s="194" t="s">
        <v>469</v>
      </c>
    </row>
    <row r="258" spans="12:69" ht="14.45" customHeight="1">
      <c r="L258" s="20" t="s">
        <v>64</v>
      </c>
      <c r="M258" s="763" t="s">
        <v>459</v>
      </c>
      <c r="N258" s="15" t="s">
        <v>460</v>
      </c>
      <c r="O258" s="14" t="s">
        <v>1243</v>
      </c>
      <c r="P258" s="15" t="s">
        <v>405</v>
      </c>
      <c r="Q258" s="15" t="s">
        <v>468</v>
      </c>
      <c r="R258" s="193">
        <v>85.250958953089395</v>
      </c>
      <c r="S258" s="15" t="s">
        <v>64</v>
      </c>
      <c r="T258" s="14">
        <f t="shared" si="73"/>
        <v>1214.4171000000001</v>
      </c>
      <c r="U258" s="27" t="s">
        <v>416</v>
      </c>
      <c r="V258" s="90">
        <v>4.8845333837712203E-2</v>
      </c>
      <c r="W258" s="109" t="s">
        <v>480</v>
      </c>
      <c r="X258" s="208" t="s">
        <v>64</v>
      </c>
      <c r="Y258" s="209" t="s">
        <v>64</v>
      </c>
      <c r="Z258" s="104" t="s">
        <v>64</v>
      </c>
      <c r="AA258" s="57" t="s">
        <v>64</v>
      </c>
      <c r="AB258" s="47" t="s">
        <v>64</v>
      </c>
      <c r="AC258" s="57">
        <v>626.13265951540916</v>
      </c>
      <c r="AD258" s="27" t="s">
        <v>470</v>
      </c>
      <c r="AE258" s="28">
        <f t="shared" si="75"/>
        <v>2.6192684738149641</v>
      </c>
      <c r="AF258" s="197" t="s">
        <v>470</v>
      </c>
      <c r="AG258" s="84">
        <v>420</v>
      </c>
      <c r="AH258" s="157" t="s">
        <v>469</v>
      </c>
      <c r="AI258" s="8">
        <v>0.85653104925053536</v>
      </c>
      <c r="AJ258" s="9">
        <v>49.58</v>
      </c>
      <c r="AK258" s="9">
        <v>2.6509999999999998</v>
      </c>
      <c r="AL258" s="9">
        <v>12.393000000000001</v>
      </c>
      <c r="AM258" s="189">
        <v>11.33111099686055</v>
      </c>
      <c r="AN258" s="9">
        <v>0.18</v>
      </c>
      <c r="AO258" s="9">
        <v>9.9710000000000001</v>
      </c>
      <c r="AP258" s="9">
        <v>10.484</v>
      </c>
      <c r="AQ258" s="9">
        <v>2.282</v>
      </c>
      <c r="AR258" s="9">
        <v>0.441</v>
      </c>
      <c r="AS258" s="9">
        <v>0.29499999999999998</v>
      </c>
      <c r="AT258" s="190">
        <v>706.01352976445401</v>
      </c>
      <c r="AU258" s="9">
        <v>0.5</v>
      </c>
      <c r="AV258" s="6">
        <v>286.63407393884029</v>
      </c>
      <c r="AW258" s="27" t="s">
        <v>1473</v>
      </c>
      <c r="AX258" s="6">
        <v>286.63407393884029</v>
      </c>
      <c r="AY258" s="8">
        <f t="shared" si="76"/>
        <v>2.2668688802614074</v>
      </c>
      <c r="AZ258" s="9">
        <f t="shared" si="77"/>
        <v>9.2915110174256519</v>
      </c>
      <c r="BA258" s="123">
        <v>51.156399999999998</v>
      </c>
      <c r="BB258" s="121">
        <v>3.0895999999999999</v>
      </c>
      <c r="BC258" s="121">
        <v>14.4436</v>
      </c>
      <c r="BD258" s="121">
        <v>8.0381</v>
      </c>
      <c r="BE258" s="121">
        <v>0.13519999999999999</v>
      </c>
      <c r="BF258" s="121">
        <v>5.7560000000000002</v>
      </c>
      <c r="BG258" s="121">
        <v>12.101699999999999</v>
      </c>
      <c r="BH258" s="121">
        <v>2.6595</v>
      </c>
      <c r="BI258" s="121">
        <v>0.51449999999999996</v>
      </c>
      <c r="BJ258" s="121">
        <v>0.34350000000000003</v>
      </c>
      <c r="BK258" s="121">
        <v>8.2427079600000008E-2</v>
      </c>
      <c r="BL258" s="121">
        <f t="shared" si="74"/>
        <v>98.320527079599984</v>
      </c>
      <c r="BM258" s="121">
        <v>0.252483496052611</v>
      </c>
      <c r="BN258" s="95">
        <v>334.64528132359601</v>
      </c>
      <c r="BO258" s="95" t="s">
        <v>1473</v>
      </c>
      <c r="BP258" s="95">
        <v>334.64528132359601</v>
      </c>
      <c r="BQ258" s="194" t="s">
        <v>469</v>
      </c>
    </row>
    <row r="259" spans="12:69" ht="14.45" customHeight="1">
      <c r="L259" s="20" t="s">
        <v>64</v>
      </c>
      <c r="M259" s="763" t="s">
        <v>459</v>
      </c>
      <c r="N259" s="15" t="s">
        <v>460</v>
      </c>
      <c r="O259" s="14" t="s">
        <v>1244</v>
      </c>
      <c r="P259" s="15" t="s">
        <v>405</v>
      </c>
      <c r="Q259" s="15" t="s">
        <v>468</v>
      </c>
      <c r="R259" s="193">
        <v>88.211068065521204</v>
      </c>
      <c r="S259" s="15" t="s">
        <v>64</v>
      </c>
      <c r="T259" s="14">
        <f t="shared" si="73"/>
        <v>1270.9383</v>
      </c>
      <c r="U259" s="27" t="s">
        <v>416</v>
      </c>
      <c r="V259" s="90">
        <v>5.6452098209865298E-2</v>
      </c>
      <c r="W259" s="109">
        <v>102.659314314315</v>
      </c>
      <c r="X259" s="183">
        <v>2.7862862862505701E-2</v>
      </c>
      <c r="Y259" s="104">
        <v>2.99964191622877E-2</v>
      </c>
      <c r="Z259" s="104" t="s">
        <v>462</v>
      </c>
      <c r="AA259" s="57" t="s">
        <v>64</v>
      </c>
      <c r="AB259" s="47" t="s">
        <v>64</v>
      </c>
      <c r="AC259" s="57">
        <v>927.85240788669773</v>
      </c>
      <c r="AD259" s="27" t="s">
        <v>470</v>
      </c>
      <c r="AE259" s="28">
        <f t="shared" si="75"/>
        <v>3.7709942388210873</v>
      </c>
      <c r="AF259" s="197" t="s">
        <v>470</v>
      </c>
      <c r="AG259" s="84">
        <v>630</v>
      </c>
      <c r="AH259" s="157" t="s">
        <v>469</v>
      </c>
      <c r="AI259" s="8">
        <v>0.78241139190986619</v>
      </c>
      <c r="AJ259" s="9">
        <v>49.215000000000003</v>
      </c>
      <c r="AK259" s="9">
        <v>2.0270000000000001</v>
      </c>
      <c r="AL259" s="9">
        <v>11.612</v>
      </c>
      <c r="AM259" s="189">
        <v>11.329111330223849</v>
      </c>
      <c r="AN259" s="9">
        <v>0.17199999999999999</v>
      </c>
      <c r="AO259" s="9">
        <v>12.782999999999999</v>
      </c>
      <c r="AP259" s="9">
        <v>9.7889999999999997</v>
      </c>
      <c r="AQ259" s="9">
        <v>2.181</v>
      </c>
      <c r="AR259" s="9">
        <v>0.33</v>
      </c>
      <c r="AS259" s="9">
        <v>0.20899999999999999</v>
      </c>
      <c r="AT259" s="190">
        <v>553.68261638369449</v>
      </c>
      <c r="AU259" s="9">
        <v>0.5</v>
      </c>
      <c r="AV259" s="6">
        <v>4.4289091127250293</v>
      </c>
      <c r="AW259" s="27">
        <v>488.07334153992019</v>
      </c>
      <c r="AX259" s="6">
        <v>492.50225065264533</v>
      </c>
      <c r="AY259" s="8">
        <f t="shared" si="76"/>
        <v>2.2664688328105536</v>
      </c>
      <c r="AZ259" s="9">
        <f t="shared" si="77"/>
        <v>9.2898712907835588</v>
      </c>
      <c r="BA259" s="123">
        <v>51.4253</v>
      </c>
      <c r="BB259" s="121">
        <v>2.5727000000000002</v>
      </c>
      <c r="BC259" s="121">
        <v>14.7415</v>
      </c>
      <c r="BD259" s="121">
        <v>6.6127000000000002</v>
      </c>
      <c r="BE259" s="121">
        <v>0.12429999999999999</v>
      </c>
      <c r="BF259" s="121">
        <v>5.9478</v>
      </c>
      <c r="BG259" s="121">
        <v>12.240500000000001</v>
      </c>
      <c r="BH259" s="121">
        <v>2.7685</v>
      </c>
      <c r="BI259" s="121">
        <v>0.41849999999999998</v>
      </c>
      <c r="BJ259" s="121">
        <v>0.26469999999999999</v>
      </c>
      <c r="BK259" s="121">
        <v>7.0766175200000003E-2</v>
      </c>
      <c r="BL259" s="121">
        <f t="shared" si="74"/>
        <v>97.187266175200008</v>
      </c>
      <c r="BM259" s="121">
        <v>0.22874796311641499</v>
      </c>
      <c r="BN259" s="95">
        <v>5.6605887369738603</v>
      </c>
      <c r="BO259" s="95">
        <v>623.806537822172</v>
      </c>
      <c r="BP259" s="95">
        <v>629.46712655914598</v>
      </c>
      <c r="BQ259" s="194" t="s">
        <v>469</v>
      </c>
    </row>
    <row r="260" spans="12:69" ht="14.45" customHeight="1">
      <c r="L260" s="20" t="s">
        <v>64</v>
      </c>
      <c r="M260" s="763" t="s">
        <v>459</v>
      </c>
      <c r="N260" s="15" t="s">
        <v>460</v>
      </c>
      <c r="O260" s="14" t="s">
        <v>1245</v>
      </c>
      <c r="P260" s="15" t="s">
        <v>405</v>
      </c>
      <c r="Q260" s="15" t="s">
        <v>468</v>
      </c>
      <c r="R260" s="193">
        <v>88.5042358849946</v>
      </c>
      <c r="S260" s="15" t="s">
        <v>64</v>
      </c>
      <c r="T260" s="14">
        <f t="shared" si="73"/>
        <v>1275.1794</v>
      </c>
      <c r="U260" s="27" t="s">
        <v>416</v>
      </c>
      <c r="V260" s="90">
        <v>4.4458061357344203E-2</v>
      </c>
      <c r="W260" s="109">
        <v>102.67697764431099</v>
      </c>
      <c r="X260" s="183">
        <v>2.6441492370261801E-2</v>
      </c>
      <c r="Y260" s="104">
        <v>3.5678706908207403E-2</v>
      </c>
      <c r="Z260" s="104" t="s">
        <v>462</v>
      </c>
      <c r="AA260" s="57" t="s">
        <v>64</v>
      </c>
      <c r="AB260" s="47" t="s">
        <v>64</v>
      </c>
      <c r="AC260" s="57">
        <v>888.92205477675418</v>
      </c>
      <c r="AD260" s="27" t="s">
        <v>470</v>
      </c>
      <c r="AE260" s="28">
        <f t="shared" si="75"/>
        <v>3.625803112851683</v>
      </c>
      <c r="AF260" s="197" t="s">
        <v>470</v>
      </c>
      <c r="AG260" s="84">
        <v>610</v>
      </c>
      <c r="AH260" s="157" t="s">
        <v>469</v>
      </c>
      <c r="AI260" s="8">
        <v>0.78070106956046537</v>
      </c>
      <c r="AJ260" s="9">
        <v>48.902000000000001</v>
      </c>
      <c r="AK260" s="9">
        <v>2.1030000000000002</v>
      </c>
      <c r="AL260" s="9">
        <v>11.534000000000001</v>
      </c>
      <c r="AM260" s="189">
        <v>11.332110830178898</v>
      </c>
      <c r="AN260" s="9">
        <v>0.13700000000000001</v>
      </c>
      <c r="AO260" s="9">
        <v>12.994</v>
      </c>
      <c r="AP260" s="9">
        <v>9.8810000000000002</v>
      </c>
      <c r="AQ260" s="9">
        <v>2.1829999999999998</v>
      </c>
      <c r="AR260" s="9">
        <v>0.41399999999999998</v>
      </c>
      <c r="AS260" s="9">
        <v>0.16600000000000001</v>
      </c>
      <c r="AT260" s="190">
        <v>619.28470606604731</v>
      </c>
      <c r="AU260" s="9">
        <v>0.5</v>
      </c>
      <c r="AV260" s="6">
        <v>33.467167995693579</v>
      </c>
      <c r="AW260" s="27">
        <v>454.57260125425876</v>
      </c>
      <c r="AX260" s="6">
        <v>488.03976924995249</v>
      </c>
      <c r="AY260" s="8">
        <f t="shared" si="76"/>
        <v>2.2670689039868335</v>
      </c>
      <c r="AZ260" s="9">
        <f t="shared" si="77"/>
        <v>9.2923308807466967</v>
      </c>
      <c r="BA260" s="123">
        <v>51.371299999999998</v>
      </c>
      <c r="BB260" s="121">
        <v>2.6926000000000001</v>
      </c>
      <c r="BC260" s="121">
        <v>14.770200000000001</v>
      </c>
      <c r="BD260" s="121">
        <v>6.9866000000000001</v>
      </c>
      <c r="BE260" s="121">
        <v>8.3599999999999994E-2</v>
      </c>
      <c r="BF260" s="121">
        <v>5.9519000000000002</v>
      </c>
      <c r="BG260" s="121">
        <v>12.466799999999999</v>
      </c>
      <c r="BH260" s="121">
        <v>2.7961999999999998</v>
      </c>
      <c r="BI260" s="121">
        <v>0.5302</v>
      </c>
      <c r="BJ260" s="121">
        <v>0.2127</v>
      </c>
      <c r="BK260" s="121">
        <v>7.9324177999999995E-2</v>
      </c>
      <c r="BL260" s="121">
        <f t="shared" si="74"/>
        <v>97.941424177999963</v>
      </c>
      <c r="BM260" s="121">
        <v>0.228331412993208</v>
      </c>
      <c r="BN260" s="95">
        <v>42.868095485683902</v>
      </c>
      <c r="BO260" s="95">
        <v>582.26204494657998</v>
      </c>
      <c r="BP260" s="95">
        <v>625.13014043226406</v>
      </c>
      <c r="BQ260" s="194" t="s">
        <v>469</v>
      </c>
    </row>
    <row r="261" spans="12:69" ht="14.45" customHeight="1">
      <c r="L261" s="20" t="s">
        <v>64</v>
      </c>
      <c r="M261" s="763" t="s">
        <v>459</v>
      </c>
      <c r="N261" s="15" t="s">
        <v>460</v>
      </c>
      <c r="O261" s="14" t="s">
        <v>1246</v>
      </c>
      <c r="P261" s="15" t="s">
        <v>405</v>
      </c>
      <c r="Q261" s="15" t="s">
        <v>468</v>
      </c>
      <c r="R261" s="193">
        <v>88.404352130273793</v>
      </c>
      <c r="S261" s="15" t="s">
        <v>64</v>
      </c>
      <c r="T261" s="14">
        <f t="shared" si="73"/>
        <v>1275.6015</v>
      </c>
      <c r="U261" s="27" t="s">
        <v>416</v>
      </c>
      <c r="V261" s="90">
        <v>4.6619893041940606E-2</v>
      </c>
      <c r="W261" s="109">
        <v>102.676476628656</v>
      </c>
      <c r="X261" s="183">
        <v>1.27305475620022E-2</v>
      </c>
      <c r="Y261" s="104">
        <v>3.55175303284909E-2</v>
      </c>
      <c r="Z261" s="104" t="s">
        <v>462</v>
      </c>
      <c r="AA261" s="57" t="s">
        <v>64</v>
      </c>
      <c r="AB261" s="47" t="s">
        <v>64</v>
      </c>
      <c r="AC261" s="57">
        <v>951.9015347642312</v>
      </c>
      <c r="AD261" s="27" t="s">
        <v>470</v>
      </c>
      <c r="AE261" s="28">
        <f t="shared" si="75"/>
        <v>3.8602140074960096</v>
      </c>
      <c r="AF261" s="197" t="s">
        <v>470</v>
      </c>
      <c r="AG261" s="84">
        <v>630</v>
      </c>
      <c r="AH261" s="157" t="s">
        <v>469</v>
      </c>
      <c r="AI261" s="8">
        <v>0.77549437766576201</v>
      </c>
      <c r="AJ261" s="9">
        <v>49.064</v>
      </c>
      <c r="AK261" s="9">
        <v>2.125</v>
      </c>
      <c r="AL261" s="9">
        <v>11.459</v>
      </c>
      <c r="AM261" s="189">
        <v>11.3361101634523</v>
      </c>
      <c r="AN261" s="9">
        <v>0.19800000000000001</v>
      </c>
      <c r="AO261" s="9">
        <v>13.015000000000001</v>
      </c>
      <c r="AP261" s="9">
        <v>9.8000000000000007</v>
      </c>
      <c r="AQ261" s="9">
        <v>2.077</v>
      </c>
      <c r="AR261" s="9">
        <v>0.36699999999999999</v>
      </c>
      <c r="AS261" s="9">
        <v>0.20699999999999999</v>
      </c>
      <c r="AT261" s="190">
        <v>658.6228739821637</v>
      </c>
      <c r="AU261" s="9">
        <v>0.5</v>
      </c>
      <c r="AV261" s="6">
        <v>31.786781054944246</v>
      </c>
      <c r="AW261" s="27">
        <v>472.51204647079493</v>
      </c>
      <c r="AX261" s="6">
        <v>504.29882752573866</v>
      </c>
      <c r="AY261" s="8">
        <f t="shared" si="76"/>
        <v>2.2678689988885412</v>
      </c>
      <c r="AZ261" s="9">
        <f t="shared" si="77"/>
        <v>9.2956103340308864</v>
      </c>
      <c r="BA261" s="123">
        <v>51.887599999999999</v>
      </c>
      <c r="BB261" s="121">
        <v>2.7513999999999998</v>
      </c>
      <c r="BC261" s="121">
        <v>14.8376</v>
      </c>
      <c r="BD261" s="121">
        <v>6.7347000000000001</v>
      </c>
      <c r="BE261" s="121">
        <v>0.15970000000000001</v>
      </c>
      <c r="BF261" s="121">
        <v>5.8852000000000002</v>
      </c>
      <c r="BG261" s="121">
        <v>12.495100000000001</v>
      </c>
      <c r="BH261" s="121">
        <v>2.6894999999999998</v>
      </c>
      <c r="BI261" s="121">
        <v>0.47499999999999998</v>
      </c>
      <c r="BJ261" s="121">
        <v>0.26840000000000003</v>
      </c>
      <c r="BK261" s="121">
        <v>8.49294196E-2</v>
      </c>
      <c r="BL261" s="121">
        <f t="shared" si="74"/>
        <v>98.269129419599977</v>
      </c>
      <c r="BM261" s="121">
        <v>0.231475508032357</v>
      </c>
      <c r="BN261" s="95">
        <v>40.989054170350599</v>
      </c>
      <c r="BO261" s="95">
        <v>609.30428392408999</v>
      </c>
      <c r="BP261" s="95">
        <v>650.29333809443995</v>
      </c>
      <c r="BQ261" s="194" t="s">
        <v>469</v>
      </c>
    </row>
    <row r="262" spans="12:69" ht="14.45" customHeight="1">
      <c r="L262" s="20" t="s">
        <v>64</v>
      </c>
      <c r="M262" s="763" t="s">
        <v>459</v>
      </c>
      <c r="N262" s="15" t="s">
        <v>460</v>
      </c>
      <c r="O262" s="14" t="s">
        <v>1247</v>
      </c>
      <c r="P262" s="15" t="s">
        <v>405</v>
      </c>
      <c r="Q262" s="15" t="s">
        <v>468</v>
      </c>
      <c r="R262" s="193">
        <v>88.894905633954195</v>
      </c>
      <c r="S262" s="15" t="s">
        <v>64</v>
      </c>
      <c r="T262" s="14">
        <f t="shared" si="73"/>
        <v>1290.0534</v>
      </c>
      <c r="U262" s="27" t="s">
        <v>416</v>
      </c>
      <c r="V262" s="90">
        <v>4.8542473947372308E-2</v>
      </c>
      <c r="W262" s="109">
        <v>102.71538538538501</v>
      </c>
      <c r="X262" s="183">
        <v>1.8522989116903098E-2</v>
      </c>
      <c r="Y262" s="104">
        <v>5.7488809311912803E-2</v>
      </c>
      <c r="Z262" s="104" t="s">
        <v>462</v>
      </c>
      <c r="AA262" s="57" t="s">
        <v>64</v>
      </c>
      <c r="AB262" s="47" t="s">
        <v>64</v>
      </c>
      <c r="AC262" s="57">
        <v>1588.750962078107</v>
      </c>
      <c r="AD262" s="27" t="s">
        <v>470</v>
      </c>
      <c r="AE262" s="28">
        <f t="shared" si="75"/>
        <v>6.1119312809610342</v>
      </c>
      <c r="AF262" s="197" t="s">
        <v>470</v>
      </c>
      <c r="AG262" s="84">
        <v>1050</v>
      </c>
      <c r="AH262" s="157" t="s">
        <v>469</v>
      </c>
      <c r="AI262" s="8">
        <v>0.76946752847029853</v>
      </c>
      <c r="AJ262" s="9">
        <v>49.279000000000003</v>
      </c>
      <c r="AK262" s="9">
        <v>2.0230000000000001</v>
      </c>
      <c r="AL262" s="9">
        <v>10.983000000000001</v>
      </c>
      <c r="AM262" s="189">
        <v>11.33311066349725</v>
      </c>
      <c r="AN262" s="9">
        <v>0.20200000000000001</v>
      </c>
      <c r="AO262" s="9">
        <v>13.734</v>
      </c>
      <c r="AP262" s="9">
        <v>9.5809999999999995</v>
      </c>
      <c r="AQ262" s="9">
        <v>1.9910000000000001</v>
      </c>
      <c r="AR262" s="9">
        <v>0.33700000000000002</v>
      </c>
      <c r="AS262" s="9">
        <v>0.192</v>
      </c>
      <c r="AT262" s="190">
        <v>620.38623268698063</v>
      </c>
      <c r="AU262" s="9">
        <v>0.5</v>
      </c>
      <c r="AV262" s="6">
        <v>98.523907387540788</v>
      </c>
      <c r="AW262" s="27">
        <v>788.25595112636961</v>
      </c>
      <c r="AX262" s="6">
        <v>886.7798585139119</v>
      </c>
      <c r="AY262" s="8">
        <f t="shared" si="76"/>
        <v>2.2672689277122609</v>
      </c>
      <c r="AZ262" s="9">
        <f t="shared" si="77"/>
        <v>9.293150744067745</v>
      </c>
      <c r="BA262" s="123">
        <v>51.732199999999999</v>
      </c>
      <c r="BB262" s="121">
        <v>2.6143999999999998</v>
      </c>
      <c r="BC262" s="121">
        <v>14.1952</v>
      </c>
      <c r="BD262" s="121">
        <v>6.9490999999999996</v>
      </c>
      <c r="BE262" s="121">
        <v>0.16800000000000001</v>
      </c>
      <c r="BF262" s="121">
        <v>6.2217000000000002</v>
      </c>
      <c r="BG262" s="121">
        <v>12.188000000000001</v>
      </c>
      <c r="BH262" s="121">
        <v>2.5728</v>
      </c>
      <c r="BI262" s="121">
        <v>0.43580000000000002</v>
      </c>
      <c r="BJ262" s="121">
        <v>0.24829999999999999</v>
      </c>
      <c r="BK262" s="121">
        <v>8.06253948E-2</v>
      </c>
      <c r="BL262" s="121">
        <f t="shared" si="74"/>
        <v>97.4061253948</v>
      </c>
      <c r="BM262" s="121">
        <v>0.22255593548904001</v>
      </c>
      <c r="BN262" s="95">
        <v>128.041670040848</v>
      </c>
      <c r="BO262" s="95">
        <v>1024.4174340838299</v>
      </c>
      <c r="BP262" s="95">
        <v>1152.4591041246799</v>
      </c>
      <c r="BQ262" s="194" t="s">
        <v>469</v>
      </c>
    </row>
    <row r="263" spans="12:69" ht="14.45" customHeight="1">
      <c r="L263" s="20" t="s">
        <v>64</v>
      </c>
      <c r="M263" s="763" t="s">
        <v>459</v>
      </c>
      <c r="N263" s="15" t="s">
        <v>460</v>
      </c>
      <c r="O263" s="14" t="s">
        <v>1248</v>
      </c>
      <c r="P263" s="15" t="s">
        <v>405</v>
      </c>
      <c r="Q263" s="15" t="s">
        <v>468</v>
      </c>
      <c r="R263" s="193">
        <v>81.190048203314007</v>
      </c>
      <c r="S263" s="15" t="s">
        <v>64</v>
      </c>
      <c r="T263" s="14">
        <f t="shared" si="73"/>
        <v>1169.8755000000001</v>
      </c>
      <c r="U263" s="27" t="s">
        <v>416</v>
      </c>
      <c r="V263" s="90">
        <v>2.4872516531633401E-2</v>
      </c>
      <c r="W263" s="109">
        <v>102.780265265265</v>
      </c>
      <c r="X263" s="183">
        <v>2.5040040039996801E-2</v>
      </c>
      <c r="Y263" s="104">
        <v>6.8906302325622504E-2</v>
      </c>
      <c r="Z263" s="104" t="s">
        <v>462</v>
      </c>
      <c r="AA263" s="57" t="s">
        <v>64</v>
      </c>
      <c r="AB263" s="47" t="s">
        <v>64</v>
      </c>
      <c r="AC263" s="57">
        <v>1429.7824698278159</v>
      </c>
      <c r="AD263" s="27" t="s">
        <v>470</v>
      </c>
      <c r="AE263" s="28">
        <f t="shared" si="75"/>
        <v>5.5672777563799993</v>
      </c>
      <c r="AF263" s="197" t="s">
        <v>470</v>
      </c>
      <c r="AG263" s="84">
        <v>1020</v>
      </c>
      <c r="AH263" s="157" t="s">
        <v>469</v>
      </c>
      <c r="AI263" s="8">
        <v>0.94153092929102722</v>
      </c>
      <c r="AJ263" s="9">
        <v>51.033000000000001</v>
      </c>
      <c r="AK263" s="9">
        <v>2.194</v>
      </c>
      <c r="AL263" s="9">
        <v>13.085000000000001</v>
      </c>
      <c r="AM263" s="189">
        <v>11.342109163362398</v>
      </c>
      <c r="AN263" s="9">
        <v>0.20799999999999999</v>
      </c>
      <c r="AO263" s="9">
        <v>7.7549999999999999</v>
      </c>
      <c r="AP263" s="9">
        <v>10.975</v>
      </c>
      <c r="AQ263" s="9">
        <v>2.3980000000000001</v>
      </c>
      <c r="AR263" s="9">
        <v>0.35099999999999998</v>
      </c>
      <c r="AS263" s="9">
        <v>0.25700000000000001</v>
      </c>
      <c r="AT263" s="190">
        <v>1000.841758779776</v>
      </c>
      <c r="AU263" s="9">
        <v>0.5</v>
      </c>
      <c r="AV263" s="6">
        <v>62.094996428590626</v>
      </c>
      <c r="AW263" s="27">
        <v>582.65337157865451</v>
      </c>
      <c r="AX263" s="6">
        <v>644.74836800724518</v>
      </c>
      <c r="AY263" s="8">
        <f t="shared" si="76"/>
        <v>2.269069141241101</v>
      </c>
      <c r="AZ263" s="9">
        <f t="shared" si="77"/>
        <v>9.3005295139571675</v>
      </c>
      <c r="BA263" s="123">
        <v>50.295699999999997</v>
      </c>
      <c r="BB263" s="121">
        <v>2.2642000000000002</v>
      </c>
      <c r="BC263" s="121">
        <v>13.505000000000001</v>
      </c>
      <c r="BD263" s="121">
        <v>10.954800000000001</v>
      </c>
      <c r="BE263" s="121">
        <v>0.1835</v>
      </c>
      <c r="BF263" s="121">
        <v>5.2874999999999996</v>
      </c>
      <c r="BG263" s="121">
        <v>11.2843</v>
      </c>
      <c r="BH263" s="121">
        <v>2.4750999999999999</v>
      </c>
      <c r="BI263" s="121">
        <v>0.36230000000000001</v>
      </c>
      <c r="BJ263" s="121">
        <v>0.26529999999999998</v>
      </c>
      <c r="BK263" s="121">
        <v>0.1062994032</v>
      </c>
      <c r="BL263" s="121">
        <f t="shared" si="74"/>
        <v>96.983999403199988</v>
      </c>
      <c r="BM263" s="121">
        <v>0.23680186625660399</v>
      </c>
      <c r="BN263" s="95">
        <v>65.9510957068061</v>
      </c>
      <c r="BO263" s="95">
        <v>618.83614595368897</v>
      </c>
      <c r="BP263" s="95">
        <v>684.78724166049506</v>
      </c>
      <c r="BQ263" s="194" t="s">
        <v>469</v>
      </c>
    </row>
    <row r="264" spans="12:69" ht="14.45" customHeight="1">
      <c r="L264" s="20" t="s">
        <v>64</v>
      </c>
      <c r="M264" s="763" t="s">
        <v>459</v>
      </c>
      <c r="N264" s="15" t="s">
        <v>460</v>
      </c>
      <c r="O264" s="14" t="s">
        <v>1249</v>
      </c>
      <c r="P264" s="15" t="s">
        <v>405</v>
      </c>
      <c r="Q264" s="15" t="s">
        <v>468</v>
      </c>
      <c r="R264" s="193">
        <v>81.045650325721695</v>
      </c>
      <c r="S264" s="15" t="s">
        <v>64</v>
      </c>
      <c r="T264" s="14">
        <f t="shared" si="73"/>
        <v>1167.1217999999999</v>
      </c>
      <c r="U264" s="27" t="s">
        <v>1471</v>
      </c>
      <c r="V264" s="90" t="s">
        <v>64</v>
      </c>
      <c r="W264" s="109" t="s">
        <v>481</v>
      </c>
      <c r="X264" s="183" t="s">
        <v>64</v>
      </c>
      <c r="Y264" s="104" t="s">
        <v>64</v>
      </c>
      <c r="Z264" s="104" t="s">
        <v>64</v>
      </c>
      <c r="AA264" s="57" t="s">
        <v>64</v>
      </c>
      <c r="AB264" s="47" t="s">
        <v>64</v>
      </c>
      <c r="AC264" s="57">
        <v>243.48519102810809</v>
      </c>
      <c r="AD264" s="27" t="s">
        <v>470</v>
      </c>
      <c r="AE264" s="28">
        <f t="shared" si="75"/>
        <v>1.0596762127143031</v>
      </c>
      <c r="AF264" s="197" t="s">
        <v>470</v>
      </c>
      <c r="AG264" s="84">
        <v>180</v>
      </c>
      <c r="AH264" s="157" t="s">
        <v>469</v>
      </c>
      <c r="AI264" s="8">
        <v>0.95803793830235673</v>
      </c>
      <c r="AJ264" s="9">
        <v>50.851999999999997</v>
      </c>
      <c r="AK264" s="9">
        <v>2.2330000000000001</v>
      </c>
      <c r="AL264" s="9">
        <v>13.333</v>
      </c>
      <c r="AM264" s="189">
        <v>11.332110830178898</v>
      </c>
      <c r="AN264" s="9">
        <v>0.20699999999999999</v>
      </c>
      <c r="AO264" s="9">
        <v>7.6180000000000003</v>
      </c>
      <c r="AP264" s="9">
        <v>10.837</v>
      </c>
      <c r="AQ264" s="9">
        <v>2.556</v>
      </c>
      <c r="AR264" s="9">
        <v>0.40100000000000002</v>
      </c>
      <c r="AS264" s="9">
        <v>0.29799999999999999</v>
      </c>
      <c r="AT264" s="190">
        <v>1049.0745200229928</v>
      </c>
      <c r="AU264" s="9">
        <v>0.5</v>
      </c>
      <c r="AV264" s="6">
        <v>92.37607997441205</v>
      </c>
      <c r="AW264" s="27" t="s">
        <v>64</v>
      </c>
      <c r="AX264" s="6">
        <v>92.37607997441205</v>
      </c>
      <c r="AY264" s="8">
        <f t="shared" si="76"/>
        <v>2.2670689039868335</v>
      </c>
      <c r="AZ264" s="9">
        <f t="shared" si="77"/>
        <v>9.2923308807466967</v>
      </c>
      <c r="BA264" s="123">
        <v>50.434899999999999</v>
      </c>
      <c r="BB264" s="121">
        <v>2.2892000000000001</v>
      </c>
      <c r="BC264" s="121">
        <v>13.667299999999999</v>
      </c>
      <c r="BD264" s="121">
        <v>11.019500000000001</v>
      </c>
      <c r="BE264" s="121">
        <v>0.18820000000000001</v>
      </c>
      <c r="BF264" s="121">
        <v>5.9089999999999998</v>
      </c>
      <c r="BG264" s="121">
        <v>11.0802</v>
      </c>
      <c r="BH264" s="121">
        <v>2.6204000000000001</v>
      </c>
      <c r="BI264" s="121">
        <v>0.41070000000000001</v>
      </c>
      <c r="BJ264" s="121">
        <v>0.30499999999999999</v>
      </c>
      <c r="BK264" s="121">
        <v>0.10950239839999999</v>
      </c>
      <c r="BL264" s="121">
        <f t="shared" si="74"/>
        <v>98.033902398400016</v>
      </c>
      <c r="BM264" s="121">
        <v>0.16319293147078001</v>
      </c>
      <c r="BN264" s="95">
        <v>96.422152277291303</v>
      </c>
      <c r="BO264" s="95" t="s">
        <v>64</v>
      </c>
      <c r="BP264" s="95">
        <v>96.422152277291303</v>
      </c>
      <c r="BQ264" s="194" t="s">
        <v>469</v>
      </c>
    </row>
    <row r="265" spans="12:69" ht="14.45" customHeight="1">
      <c r="L265" s="20" t="s">
        <v>64</v>
      </c>
      <c r="M265" s="763" t="s">
        <v>459</v>
      </c>
      <c r="N265" s="15" t="s">
        <v>460</v>
      </c>
      <c r="O265" s="14" t="s">
        <v>1250</v>
      </c>
      <c r="P265" s="15" t="s">
        <v>405</v>
      </c>
      <c r="Q265" s="15" t="s">
        <v>468</v>
      </c>
      <c r="R265" s="193">
        <v>86.990563817687701</v>
      </c>
      <c r="S265" s="15" t="s">
        <v>64</v>
      </c>
      <c r="T265" s="14">
        <f t="shared" si="73"/>
        <v>1242.7782</v>
      </c>
      <c r="U265" s="27" t="s">
        <v>416</v>
      </c>
      <c r="V265" s="90">
        <v>4.0635029592439899E-2</v>
      </c>
      <c r="W265" s="109">
        <v>102.551856856857</v>
      </c>
      <c r="X265" s="183">
        <v>1.3968968968995899E-2</v>
      </c>
      <c r="Y265" s="104">
        <v>4.34800006132718E-5</v>
      </c>
      <c r="Z265" s="104" t="s">
        <v>462</v>
      </c>
      <c r="AA265" s="57" t="s">
        <v>64</v>
      </c>
      <c r="AB265" s="47" t="s">
        <v>64</v>
      </c>
      <c r="AC265" s="57">
        <v>103.7088608634056</v>
      </c>
      <c r="AD265" s="27" t="s">
        <v>470</v>
      </c>
      <c r="AE265" s="28">
        <f t="shared" si="75"/>
        <v>0.4582685360643971</v>
      </c>
      <c r="AF265" s="197" t="s">
        <v>470</v>
      </c>
      <c r="AG265" s="84">
        <v>90</v>
      </c>
      <c r="AH265" s="157" t="s">
        <v>469</v>
      </c>
      <c r="AI265" s="8">
        <v>0.82243605559667732</v>
      </c>
      <c r="AJ265" s="9">
        <v>49.298000000000002</v>
      </c>
      <c r="AK265" s="9">
        <v>2.484</v>
      </c>
      <c r="AL265" s="9">
        <v>11.82</v>
      </c>
      <c r="AM265" s="189">
        <v>11.332110830178898</v>
      </c>
      <c r="AN265" s="9">
        <v>0.15</v>
      </c>
      <c r="AO265" s="9">
        <v>11.382</v>
      </c>
      <c r="AP265" s="9">
        <v>10.353999999999999</v>
      </c>
      <c r="AQ265" s="9">
        <v>2.2029999999999998</v>
      </c>
      <c r="AR265" s="9">
        <v>0.41799999999999998</v>
      </c>
      <c r="AS265" s="9">
        <v>0.192</v>
      </c>
      <c r="AT265" s="190">
        <v>724.42115305534992</v>
      </c>
      <c r="AU265" s="9">
        <v>0.5</v>
      </c>
      <c r="AV265" s="6">
        <v>37.731516552468541</v>
      </c>
      <c r="AW265" s="27">
        <v>0.53142242365791592</v>
      </c>
      <c r="AX265" s="6">
        <v>38.262938976126492</v>
      </c>
      <c r="AY265" s="8">
        <f t="shared" si="76"/>
        <v>2.2670689039868335</v>
      </c>
      <c r="AZ265" s="9">
        <f t="shared" si="77"/>
        <v>9.2923308807466967</v>
      </c>
      <c r="BA265" s="123">
        <v>50.980600000000003</v>
      </c>
      <c r="BB265" s="121">
        <v>2.9992000000000001</v>
      </c>
      <c r="BC265" s="121">
        <v>14.2729</v>
      </c>
      <c r="BD265" s="121">
        <v>7.5415000000000001</v>
      </c>
      <c r="BE265" s="121">
        <v>9.9599999999999994E-2</v>
      </c>
      <c r="BF265" s="121">
        <v>5.8746999999999998</v>
      </c>
      <c r="BG265" s="121">
        <v>12.353400000000001</v>
      </c>
      <c r="BH265" s="121">
        <v>2.66</v>
      </c>
      <c r="BI265" s="121">
        <v>0.50509999999999999</v>
      </c>
      <c r="BJ265" s="121">
        <v>0.23230000000000001</v>
      </c>
      <c r="BK265" s="121">
        <v>8.8082367999999994E-2</v>
      </c>
      <c r="BL265" s="121">
        <f t="shared" si="74"/>
        <v>97.607382368000003</v>
      </c>
      <c r="BM265" s="121">
        <v>0.23018342846280301</v>
      </c>
      <c r="BN265" s="95">
        <v>45.877750976146501</v>
      </c>
      <c r="BO265" s="95">
        <v>0.64615652492566</v>
      </c>
      <c r="BP265" s="95">
        <v>46.523907501072202</v>
      </c>
      <c r="BQ265" s="194" t="s">
        <v>469</v>
      </c>
    </row>
    <row r="266" spans="12:69" ht="14.45" customHeight="1">
      <c r="L266" s="20" t="s">
        <v>64</v>
      </c>
      <c r="M266" s="763" t="s">
        <v>459</v>
      </c>
      <c r="N266" s="15" t="s">
        <v>460</v>
      </c>
      <c r="O266" s="14" t="s">
        <v>1251</v>
      </c>
      <c r="P266" s="15" t="s">
        <v>405</v>
      </c>
      <c r="Q266" s="15" t="s">
        <v>468</v>
      </c>
      <c r="R266" s="193">
        <v>88.642143748615993</v>
      </c>
      <c r="S266" s="15" t="s">
        <v>64</v>
      </c>
      <c r="T266" s="14">
        <f t="shared" si="73"/>
        <v>1282.5962999999999</v>
      </c>
      <c r="U266" s="27" t="s">
        <v>416</v>
      </c>
      <c r="V266" s="90">
        <v>5.7638623163820402E-2</v>
      </c>
      <c r="W266" s="109">
        <v>102.697491082441</v>
      </c>
      <c r="X266" s="183">
        <v>9.1419101009306593E-3</v>
      </c>
      <c r="Y266" s="104">
        <v>3.5277669106264398E-2</v>
      </c>
      <c r="Z266" s="104" t="s">
        <v>462</v>
      </c>
      <c r="AA266" s="57" t="s">
        <v>64</v>
      </c>
      <c r="AB266" s="47" t="s">
        <v>64</v>
      </c>
      <c r="AC266" s="57">
        <v>1086.3573275628651</v>
      </c>
      <c r="AD266" s="27" t="s">
        <v>470</v>
      </c>
      <c r="AE266" s="28">
        <f t="shared" si="75"/>
        <v>4.3526818663033371</v>
      </c>
      <c r="AF266" s="197" t="s">
        <v>470</v>
      </c>
      <c r="AG266" s="84">
        <v>720</v>
      </c>
      <c r="AH266" s="157" t="s">
        <v>469</v>
      </c>
      <c r="AI266" s="8">
        <v>0.76051410753669479</v>
      </c>
      <c r="AJ266" s="9">
        <v>49.085000000000001</v>
      </c>
      <c r="AK266" s="9">
        <v>2.0409999999999999</v>
      </c>
      <c r="AL266" s="9">
        <v>11.407999999999999</v>
      </c>
      <c r="AM266" s="189">
        <v>11.3281114969055</v>
      </c>
      <c r="AN266" s="9">
        <v>0.16600000000000001</v>
      </c>
      <c r="AO266" s="9">
        <v>13.363</v>
      </c>
      <c r="AP266" s="9">
        <v>9.6460000000000008</v>
      </c>
      <c r="AQ266" s="9">
        <v>2.0409999999999999</v>
      </c>
      <c r="AR266" s="9">
        <v>0.33400000000000002</v>
      </c>
      <c r="AS266" s="9">
        <v>0.24</v>
      </c>
      <c r="AT266" s="190">
        <v>575.48681724845994</v>
      </c>
      <c r="AU266" s="9">
        <v>0.5</v>
      </c>
      <c r="AV266" s="6">
        <v>13.850723608742337</v>
      </c>
      <c r="AW266" s="27">
        <v>571.0282094689984</v>
      </c>
      <c r="AX266" s="6">
        <v>584.8789330777405</v>
      </c>
      <c r="AY266" s="8">
        <f t="shared" si="76"/>
        <v>2.2662688090851266</v>
      </c>
      <c r="AZ266" s="9">
        <f t="shared" si="77"/>
        <v>9.2890514274625087</v>
      </c>
      <c r="BA266" s="123">
        <v>52.445799999999998</v>
      </c>
      <c r="BB266" s="121">
        <v>2.7105000000000001</v>
      </c>
      <c r="BC266" s="121">
        <v>15.149699999999999</v>
      </c>
      <c r="BD266" s="121">
        <v>6.3836000000000004</v>
      </c>
      <c r="BE266" s="121">
        <v>0.1178</v>
      </c>
      <c r="BF266" s="121">
        <v>5.7256</v>
      </c>
      <c r="BG266" s="121">
        <v>12.5991</v>
      </c>
      <c r="BH266" s="121">
        <v>2.7105000000000001</v>
      </c>
      <c r="BI266" s="121">
        <v>0.44309999999999999</v>
      </c>
      <c r="BJ266" s="121">
        <v>0.31929999999999997</v>
      </c>
      <c r="BK266" s="121">
        <v>7.5670761599999997E-2</v>
      </c>
      <c r="BL266" s="121">
        <f t="shared" si="74"/>
        <v>98.680670761599998</v>
      </c>
      <c r="BM266" s="121">
        <v>0.23109279578061701</v>
      </c>
      <c r="BN266" s="95">
        <v>18.212316473135299</v>
      </c>
      <c r="BO266" s="95">
        <v>750.84499263078601</v>
      </c>
      <c r="BP266" s="95">
        <v>769.05730910392106</v>
      </c>
      <c r="BQ266" s="194" t="s">
        <v>469</v>
      </c>
    </row>
    <row r="267" spans="12:69" ht="14.45" customHeight="1">
      <c r="L267" s="20" t="s">
        <v>64</v>
      </c>
      <c r="M267" s="763" t="s">
        <v>459</v>
      </c>
      <c r="N267" s="15" t="s">
        <v>460</v>
      </c>
      <c r="O267" s="14" t="s">
        <v>1252</v>
      </c>
      <c r="P267" s="15" t="s">
        <v>405</v>
      </c>
      <c r="Q267" s="15" t="s">
        <v>468</v>
      </c>
      <c r="R267" s="193">
        <v>87.175196347990308</v>
      </c>
      <c r="S267" s="15" t="s">
        <v>64</v>
      </c>
      <c r="T267" s="14">
        <f t="shared" si="73"/>
        <v>1246.7982</v>
      </c>
      <c r="U267" s="27" t="s">
        <v>416</v>
      </c>
      <c r="V267" s="90">
        <v>5.3841578083306897E-2</v>
      </c>
      <c r="W267" s="109">
        <v>102.638495161828</v>
      </c>
      <c r="X267" s="183">
        <v>6.3663786076673798E-3</v>
      </c>
      <c r="Y267" s="104">
        <v>2.3298904306642498E-2</v>
      </c>
      <c r="Z267" s="104" t="s">
        <v>462</v>
      </c>
      <c r="AA267" s="57" t="s">
        <v>64</v>
      </c>
      <c r="AB267" s="47" t="s">
        <v>64</v>
      </c>
      <c r="AC267" s="57">
        <v>823.23389812071662</v>
      </c>
      <c r="AD267" s="27" t="s">
        <v>470</v>
      </c>
      <c r="AE267" s="28">
        <f t="shared" si="75"/>
        <v>3.3786178629652102</v>
      </c>
      <c r="AF267" s="197" t="s">
        <v>470</v>
      </c>
      <c r="AG267" s="84">
        <v>560</v>
      </c>
      <c r="AH267" s="157" t="s">
        <v>469</v>
      </c>
      <c r="AI267" s="8">
        <v>0.81188601120402693</v>
      </c>
      <c r="AJ267" s="9">
        <v>49.417000000000002</v>
      </c>
      <c r="AK267" s="9">
        <v>2.2250000000000001</v>
      </c>
      <c r="AL267" s="9">
        <v>11.585000000000001</v>
      </c>
      <c r="AM267" s="189">
        <v>11.330111163542201</v>
      </c>
      <c r="AN267" s="9">
        <v>0.16700000000000001</v>
      </c>
      <c r="AO267" s="9">
        <v>11.582000000000001</v>
      </c>
      <c r="AP267" s="9">
        <v>10.449</v>
      </c>
      <c r="AQ267" s="9">
        <v>2.2679999999999998</v>
      </c>
      <c r="AR267" s="9">
        <v>0.34899999999999998</v>
      </c>
      <c r="AS267" s="9">
        <v>0.26</v>
      </c>
      <c r="AT267" s="190">
        <v>677.74671104976858</v>
      </c>
      <c r="AU267" s="9">
        <v>0.5</v>
      </c>
      <c r="AV267" s="6">
        <v>44.280816876963137</v>
      </c>
      <c r="AW267" s="27">
        <v>373.78627277880082</v>
      </c>
      <c r="AX267" s="6">
        <v>418.06708965576354</v>
      </c>
      <c r="AY267" s="8">
        <f t="shared" si="76"/>
        <v>2.2666688565359805</v>
      </c>
      <c r="AZ267" s="9">
        <f t="shared" si="77"/>
        <v>9.2906911541046053</v>
      </c>
      <c r="BA267" s="123">
        <v>51.401200000000003</v>
      </c>
      <c r="BB267" s="121">
        <v>2.7284000000000002</v>
      </c>
      <c r="BC267" s="121">
        <v>14.2064</v>
      </c>
      <c r="BD267" s="121">
        <v>6.9584000000000001</v>
      </c>
      <c r="BE267" s="121">
        <v>0.11749999999999999</v>
      </c>
      <c r="BF267" s="121">
        <v>5.9172000000000002</v>
      </c>
      <c r="BG267" s="121">
        <v>12.653499999999999</v>
      </c>
      <c r="BH267" s="121">
        <v>2.7818999999999998</v>
      </c>
      <c r="BI267" s="121">
        <v>0.4279</v>
      </c>
      <c r="BJ267" s="121">
        <v>0.31850000000000001</v>
      </c>
      <c r="BK267" s="121">
        <v>8.3478062399999997E-2</v>
      </c>
      <c r="BL267" s="121">
        <f t="shared" si="74"/>
        <v>97.594378062399983</v>
      </c>
      <c r="BM267" s="121">
        <v>0.23271744782442999</v>
      </c>
      <c r="BN267" s="95">
        <v>54.540682147355497</v>
      </c>
      <c r="BO267" s="95">
        <v>460.39255218164902</v>
      </c>
      <c r="BP267" s="95">
        <v>514.93323432900399</v>
      </c>
      <c r="BQ267" s="194" t="s">
        <v>469</v>
      </c>
    </row>
    <row r="268" spans="12:69" ht="14.45" customHeight="1">
      <c r="L268" s="20" t="s">
        <v>64</v>
      </c>
      <c r="M268" s="763" t="s">
        <v>459</v>
      </c>
      <c r="N268" s="15" t="s">
        <v>460</v>
      </c>
      <c r="O268" s="14" t="s">
        <v>1253</v>
      </c>
      <c r="P268" s="15" t="s">
        <v>405</v>
      </c>
      <c r="Q268" s="15" t="s">
        <v>468</v>
      </c>
      <c r="R268" s="193">
        <v>88.505833217439104</v>
      </c>
      <c r="S268" s="15" t="s">
        <v>64</v>
      </c>
      <c r="T268" s="14">
        <f t="shared" si="73"/>
        <v>1281.2294999999999</v>
      </c>
      <c r="U268" s="27" t="s">
        <v>416</v>
      </c>
      <c r="V268" s="90">
        <v>3.7133536390443103E-2</v>
      </c>
      <c r="W268" s="109">
        <v>102.73973306640001</v>
      </c>
      <c r="X268" s="183">
        <v>6.3325820941419503E-2</v>
      </c>
      <c r="Y268" s="104">
        <v>6.8959224398156493E-2</v>
      </c>
      <c r="Z268" s="104" t="s">
        <v>462</v>
      </c>
      <c r="AA268" s="57" t="s">
        <v>64</v>
      </c>
      <c r="AB268" s="47" t="s">
        <v>64</v>
      </c>
      <c r="AC268" s="57">
        <v>1390.73525614558</v>
      </c>
      <c r="AD268" s="27" t="s">
        <v>470</v>
      </c>
      <c r="AE268" s="28">
        <f t="shared" si="75"/>
        <v>5.4319550015467879</v>
      </c>
      <c r="AF268" s="197" t="s">
        <v>470</v>
      </c>
      <c r="AG268" s="84">
        <v>910</v>
      </c>
      <c r="AH268" s="157" t="s">
        <v>469</v>
      </c>
      <c r="AI268" s="8">
        <v>0.76493536296182962</v>
      </c>
      <c r="AJ268" s="9">
        <v>49.789000000000001</v>
      </c>
      <c r="AK268" s="9">
        <v>1.869</v>
      </c>
      <c r="AL268" s="9">
        <v>10.867000000000001</v>
      </c>
      <c r="AM268" s="189">
        <v>11.335110330133951</v>
      </c>
      <c r="AN268" s="9">
        <v>0.20399999999999999</v>
      </c>
      <c r="AO268" s="9">
        <v>13.295</v>
      </c>
      <c r="AP268" s="9">
        <v>9.484</v>
      </c>
      <c r="AQ268" s="9">
        <v>2.1840000000000002</v>
      </c>
      <c r="AR268" s="9">
        <v>0.34</v>
      </c>
      <c r="AS268" s="9">
        <v>0.27800000000000002</v>
      </c>
      <c r="AT268" s="190">
        <v>555.8628746270939</v>
      </c>
      <c r="AU268" s="9">
        <v>0.5</v>
      </c>
      <c r="AV268" s="6">
        <v>36.10900972145177</v>
      </c>
      <c r="AW268" s="27">
        <v>725.47035587879816</v>
      </c>
      <c r="AX268" s="6">
        <v>761.57936560025007</v>
      </c>
      <c r="AY268" s="8">
        <f t="shared" si="76"/>
        <v>2.2676689751631143</v>
      </c>
      <c r="AZ268" s="9">
        <f t="shared" si="77"/>
        <v>9.2947904707098417</v>
      </c>
      <c r="BA268" s="123">
        <v>52.241100000000003</v>
      </c>
      <c r="BB268" s="121">
        <v>2.4186000000000001</v>
      </c>
      <c r="BC268" s="121">
        <v>14.0595</v>
      </c>
      <c r="BD268" s="121">
        <v>6.2077999999999998</v>
      </c>
      <c r="BE268" s="121">
        <v>0.1633</v>
      </c>
      <c r="BF268" s="121">
        <v>5.8140999999999998</v>
      </c>
      <c r="BG268" s="121">
        <v>12.068099999999999</v>
      </c>
      <c r="BH268" s="121">
        <v>2.8260000000000001</v>
      </c>
      <c r="BI268" s="121">
        <v>0.44</v>
      </c>
      <c r="BJ268" s="121">
        <v>0.35920000000000002</v>
      </c>
      <c r="BK268" s="121">
        <v>7.2667953600000001E-2</v>
      </c>
      <c r="BL268" s="121">
        <f t="shared" si="74"/>
        <v>96.670367953600007</v>
      </c>
      <c r="BM268" s="121">
        <v>0.232039273322587</v>
      </c>
      <c r="BN268" s="95">
        <v>47.205308408853902</v>
      </c>
      <c r="BO268" s="95">
        <v>948.40739624035302</v>
      </c>
      <c r="BP268" s="95">
        <v>995.61270464920699</v>
      </c>
      <c r="BQ268" s="194" t="s">
        <v>469</v>
      </c>
    </row>
    <row r="269" spans="12:69" ht="14.45" customHeight="1">
      <c r="L269" s="20" t="s">
        <v>64</v>
      </c>
      <c r="M269" s="763" t="s">
        <v>459</v>
      </c>
      <c r="N269" s="15" t="s">
        <v>460</v>
      </c>
      <c r="O269" s="14" t="s">
        <v>1254</v>
      </c>
      <c r="P269" s="15" t="s">
        <v>405</v>
      </c>
      <c r="Q269" s="15" t="s">
        <v>468</v>
      </c>
      <c r="R269" s="193">
        <v>85.653753082461307</v>
      </c>
      <c r="S269" s="15" t="s">
        <v>64</v>
      </c>
      <c r="T269" s="14">
        <f t="shared" si="73"/>
        <v>1220.1456000000001</v>
      </c>
      <c r="U269" s="27" t="s">
        <v>416</v>
      </c>
      <c r="V269" s="90">
        <v>2.0106457582100303E-2</v>
      </c>
      <c r="W269" s="109">
        <v>102.656746746747</v>
      </c>
      <c r="X269" s="183">
        <v>0.100906590292419</v>
      </c>
      <c r="Y269" s="104">
        <v>2.91704334772405E-2</v>
      </c>
      <c r="Z269" s="104" t="s">
        <v>462</v>
      </c>
      <c r="AA269" s="57" t="s">
        <v>64</v>
      </c>
      <c r="AB269" s="47" t="s">
        <v>64</v>
      </c>
      <c r="AC269" s="57">
        <v>621.90420908609906</v>
      </c>
      <c r="AD269" s="27" t="s">
        <v>470</v>
      </c>
      <c r="AE269" s="28">
        <f t="shared" si="75"/>
        <v>2.6026722789671961</v>
      </c>
      <c r="AF269" s="197" t="s">
        <v>470</v>
      </c>
      <c r="AG269" s="84">
        <v>410</v>
      </c>
      <c r="AH269" s="157" t="s">
        <v>469</v>
      </c>
      <c r="AI269" s="8">
        <v>0.85375224109963288</v>
      </c>
      <c r="AJ269" s="9">
        <v>49.375</v>
      </c>
      <c r="AK269" s="9">
        <v>2.5579999999999998</v>
      </c>
      <c r="AL269" s="9">
        <v>12.085000000000001</v>
      </c>
      <c r="AM269" s="189">
        <v>11.330111163542201</v>
      </c>
      <c r="AN269" s="9">
        <v>0.185</v>
      </c>
      <c r="AO269" s="9">
        <v>10.256</v>
      </c>
      <c r="AP269" s="9">
        <v>10.973000000000001</v>
      </c>
      <c r="AQ269" s="9">
        <v>2.0920000000000001</v>
      </c>
      <c r="AR269" s="9">
        <v>0.47099999999999997</v>
      </c>
      <c r="AS269" s="9">
        <v>0.30199999999999999</v>
      </c>
      <c r="AT269" s="190">
        <v>921.63363442329035</v>
      </c>
      <c r="AU269" s="9">
        <v>0.5</v>
      </c>
      <c r="AV269" s="6">
        <v>103.59228151138819</v>
      </c>
      <c r="AW269" s="27">
        <v>181.79813700661487</v>
      </c>
      <c r="AX269" s="6">
        <v>285.39041851800306</v>
      </c>
      <c r="AY269" s="8">
        <f t="shared" si="76"/>
        <v>2.2666688565359805</v>
      </c>
      <c r="AZ269" s="9">
        <f t="shared" si="77"/>
        <v>9.2906911541046053</v>
      </c>
      <c r="BA269" s="123">
        <v>50.317</v>
      </c>
      <c r="BB269" s="121">
        <v>2.9544999999999999</v>
      </c>
      <c r="BC269" s="121">
        <v>13.958299999999999</v>
      </c>
      <c r="BD269" s="121">
        <v>8.5912000000000006</v>
      </c>
      <c r="BE269" s="121">
        <v>0.14330000000000001</v>
      </c>
      <c r="BF269" s="121">
        <v>5.4912999999999998</v>
      </c>
      <c r="BG269" s="121">
        <v>12.5533</v>
      </c>
      <c r="BH269" s="121">
        <v>2.4165999999999999</v>
      </c>
      <c r="BI269" s="121">
        <v>0.54420000000000002</v>
      </c>
      <c r="BJ269" s="121">
        <v>0.34860000000000002</v>
      </c>
      <c r="BK269" s="121">
        <v>0.1079509476</v>
      </c>
      <c r="BL269" s="121">
        <f t="shared" si="74"/>
        <v>97.426250947599996</v>
      </c>
      <c r="BM269" s="121">
        <v>0.225913709614186</v>
      </c>
      <c r="BN269" s="95">
        <v>121.33763933428899</v>
      </c>
      <c r="BO269" s="95">
        <v>212.940157875848</v>
      </c>
      <c r="BP269" s="95">
        <v>334.27779721013701</v>
      </c>
      <c r="BQ269" s="194" t="s">
        <v>469</v>
      </c>
    </row>
    <row r="270" spans="12:69" ht="14.45" customHeight="1">
      <c r="L270" s="20" t="s">
        <v>64</v>
      </c>
      <c r="M270" s="763" t="s">
        <v>459</v>
      </c>
      <c r="N270" s="15" t="s">
        <v>460</v>
      </c>
      <c r="O270" s="14" t="s">
        <v>1255</v>
      </c>
      <c r="P270" s="15" t="s">
        <v>405</v>
      </c>
      <c r="Q270" s="15" t="s">
        <v>468</v>
      </c>
      <c r="R270" s="193">
        <v>88.057358703034808</v>
      </c>
      <c r="S270" s="15" t="s">
        <v>64</v>
      </c>
      <c r="T270" s="14">
        <f t="shared" si="73"/>
        <v>1272.2649000000001</v>
      </c>
      <c r="U270" s="27" t="s">
        <v>416</v>
      </c>
      <c r="V270" s="90">
        <v>6.26498247211381E-2</v>
      </c>
      <c r="W270" s="109">
        <v>102.65009676343</v>
      </c>
      <c r="X270" s="183">
        <v>2.4793130894281801E-2</v>
      </c>
      <c r="Y270" s="104">
        <v>3.50903086183934E-2</v>
      </c>
      <c r="Z270" s="104" t="s">
        <v>462</v>
      </c>
      <c r="AA270" s="57" t="s">
        <v>64</v>
      </c>
      <c r="AB270" s="47" t="s">
        <v>64</v>
      </c>
      <c r="AC270" s="57">
        <v>1272.5798179159019</v>
      </c>
      <c r="AD270" s="27" t="s">
        <v>470</v>
      </c>
      <c r="AE270" s="28">
        <f t="shared" si="75"/>
        <v>5.0183714897028731</v>
      </c>
      <c r="AF270" s="197" t="s">
        <v>470</v>
      </c>
      <c r="AG270" s="84">
        <v>810</v>
      </c>
      <c r="AH270" s="157" t="s">
        <v>469</v>
      </c>
      <c r="AI270" s="8">
        <v>0.77333539556105491</v>
      </c>
      <c r="AJ270" s="9">
        <v>49.930999999999997</v>
      </c>
      <c r="AK270" s="9">
        <v>2.0350000000000001</v>
      </c>
      <c r="AL270" s="9">
        <v>11.388999999999999</v>
      </c>
      <c r="AM270" s="189">
        <v>11.3361101634523</v>
      </c>
      <c r="AN270" s="9">
        <v>0.13600000000000001</v>
      </c>
      <c r="AO270" s="9">
        <v>12.849</v>
      </c>
      <c r="AP270" s="9">
        <v>9.3330000000000002</v>
      </c>
      <c r="AQ270" s="9">
        <v>2.0680000000000001</v>
      </c>
      <c r="AR270" s="9">
        <v>0.37</v>
      </c>
      <c r="AS270" s="9">
        <v>0.19600000000000001</v>
      </c>
      <c r="AT270" s="190">
        <v>608.41056066816179</v>
      </c>
      <c r="AU270" s="9">
        <v>0.5</v>
      </c>
      <c r="AV270" s="6">
        <v>23.596570241981517</v>
      </c>
      <c r="AW270" s="27">
        <v>629.7942772065835</v>
      </c>
      <c r="AX270" s="6">
        <v>653.39084744856484</v>
      </c>
      <c r="AY270" s="8">
        <f t="shared" si="76"/>
        <v>2.2678689988885412</v>
      </c>
      <c r="AZ270" s="9">
        <f t="shared" si="77"/>
        <v>9.2956103340308864</v>
      </c>
      <c r="BA270" s="123">
        <v>52.717599999999997</v>
      </c>
      <c r="BB270" s="121">
        <v>2.6246999999999998</v>
      </c>
      <c r="BC270" s="121">
        <v>14.691000000000001</v>
      </c>
      <c r="BD270" s="121">
        <v>6.5129999999999999</v>
      </c>
      <c r="BE270" s="121">
        <v>7.4700000000000003E-2</v>
      </c>
      <c r="BF270" s="121">
        <v>5.6441999999999997</v>
      </c>
      <c r="BG270" s="121">
        <v>11.8405</v>
      </c>
      <c r="BH270" s="121">
        <v>2.6671999999999998</v>
      </c>
      <c r="BI270" s="121">
        <v>0.47710000000000002</v>
      </c>
      <c r="BJ270" s="121">
        <v>0.25230000000000002</v>
      </c>
      <c r="BK270" s="121">
        <v>7.8673569599999993E-2</v>
      </c>
      <c r="BL270" s="121">
        <f t="shared" si="74"/>
        <v>97.580973569600005</v>
      </c>
      <c r="BM270" s="121">
        <v>0.24001054545445799</v>
      </c>
      <c r="BN270" s="95">
        <v>30.512724979906299</v>
      </c>
      <c r="BO270" s="95">
        <v>814.38697985583303</v>
      </c>
      <c r="BP270" s="95">
        <v>844.89970483573904</v>
      </c>
      <c r="BQ270" s="194" t="s">
        <v>469</v>
      </c>
    </row>
    <row r="271" spans="12:69" ht="14.45" customHeight="1">
      <c r="L271" s="20" t="s">
        <v>64</v>
      </c>
      <c r="M271" s="763" t="s">
        <v>459</v>
      </c>
      <c r="N271" s="15" t="s">
        <v>460</v>
      </c>
      <c r="O271" s="14" t="s">
        <v>1256</v>
      </c>
      <c r="P271" s="15" t="s">
        <v>405</v>
      </c>
      <c r="Q271" s="15" t="s">
        <v>468</v>
      </c>
      <c r="R271" s="193">
        <v>88.735474021341901</v>
      </c>
      <c r="S271" s="15" t="s">
        <v>64</v>
      </c>
      <c r="T271" s="14">
        <f t="shared" si="73"/>
        <v>1284.8072999999999</v>
      </c>
      <c r="U271" s="27" t="s">
        <v>416</v>
      </c>
      <c r="V271" s="90">
        <v>4.9186877823312707E-2</v>
      </c>
      <c r="W271" s="109">
        <v>102.62834834834899</v>
      </c>
      <c r="X271" s="183">
        <v>5.4854854855008704E-3</v>
      </c>
      <c r="Y271" s="104">
        <v>2.0034677577726302E-2</v>
      </c>
      <c r="Z271" s="104" t="s">
        <v>462</v>
      </c>
      <c r="AA271" s="57" t="s">
        <v>64</v>
      </c>
      <c r="AB271" s="47" t="s">
        <v>64</v>
      </c>
      <c r="AC271" s="57">
        <v>581.34026017050473</v>
      </c>
      <c r="AD271" s="27" t="s">
        <v>470</v>
      </c>
      <c r="AE271" s="28">
        <f t="shared" si="75"/>
        <v>2.4427807406635038</v>
      </c>
      <c r="AF271" s="197" t="s">
        <v>470</v>
      </c>
      <c r="AG271" s="84">
        <v>380</v>
      </c>
      <c r="AH271" s="157" t="s">
        <v>469</v>
      </c>
      <c r="AI271" s="8">
        <v>0.76988220802217266</v>
      </c>
      <c r="AJ271" s="9">
        <v>49.021999999999998</v>
      </c>
      <c r="AK271" s="9">
        <v>2.0259999999999998</v>
      </c>
      <c r="AL271" s="9">
        <v>11.316000000000001</v>
      </c>
      <c r="AM271" s="189">
        <v>11.33111099686055</v>
      </c>
      <c r="AN271" s="9">
        <v>0.183</v>
      </c>
      <c r="AO271" s="9">
        <v>13.473000000000001</v>
      </c>
      <c r="AP271" s="9">
        <v>9.84</v>
      </c>
      <c r="AQ271" s="9">
        <v>1.9330000000000001</v>
      </c>
      <c r="AR271" s="9">
        <v>0.34399999999999997</v>
      </c>
      <c r="AS271" s="9">
        <v>0.17899999999999999</v>
      </c>
      <c r="AT271" s="190">
        <v>594.90537531757639</v>
      </c>
      <c r="AU271" s="9">
        <v>0.5</v>
      </c>
      <c r="AV271" s="6">
        <v>12.777064110940412</v>
      </c>
      <c r="AW271" s="27">
        <v>278.82059179490648</v>
      </c>
      <c r="AX271" s="6">
        <v>291.59765590584647</v>
      </c>
      <c r="AY271" s="8">
        <f t="shared" si="76"/>
        <v>2.2668688802614074</v>
      </c>
      <c r="AZ271" s="9">
        <f t="shared" si="77"/>
        <v>9.2915110174256519</v>
      </c>
      <c r="BA271" s="123">
        <v>52.2761</v>
      </c>
      <c r="BB271" s="121">
        <v>2.6613000000000002</v>
      </c>
      <c r="BC271" s="121">
        <v>14.8658</v>
      </c>
      <c r="BD271" s="121">
        <v>6.9596</v>
      </c>
      <c r="BE271" s="121">
        <v>0.14369999999999999</v>
      </c>
      <c r="BF271" s="121">
        <v>6.0792999999999999</v>
      </c>
      <c r="BG271" s="121">
        <v>12.727600000000001</v>
      </c>
      <c r="BH271" s="121">
        <v>2.54</v>
      </c>
      <c r="BI271" s="121">
        <v>0.45190000000000002</v>
      </c>
      <c r="BJ271" s="121">
        <v>0.23569999999999999</v>
      </c>
      <c r="BK271" s="121">
        <v>7.7272259199999999E-2</v>
      </c>
      <c r="BL271" s="121">
        <f t="shared" si="74"/>
        <v>99.018272259199989</v>
      </c>
      <c r="BM271" s="121">
        <v>0.23710313110368</v>
      </c>
      <c r="BN271" s="95">
        <v>16.596128573700501</v>
      </c>
      <c r="BO271" s="95">
        <v>362.16006668240402</v>
      </c>
      <c r="BP271" s="95">
        <v>378.75619525610398</v>
      </c>
      <c r="BQ271" s="194" t="s">
        <v>469</v>
      </c>
    </row>
    <row r="272" spans="12:69" ht="14.45" customHeight="1">
      <c r="L272" s="20" t="s">
        <v>64</v>
      </c>
      <c r="M272" s="763" t="s">
        <v>459</v>
      </c>
      <c r="N272" s="15" t="s">
        <v>460</v>
      </c>
      <c r="O272" s="14" t="s">
        <v>1257</v>
      </c>
      <c r="P272" s="15" t="s">
        <v>405</v>
      </c>
      <c r="Q272" s="15" t="s">
        <v>468</v>
      </c>
      <c r="R272" s="193">
        <v>88.5148512756858</v>
      </c>
      <c r="S272" s="15" t="s">
        <v>64</v>
      </c>
      <c r="T272" s="14">
        <f t="shared" si="73"/>
        <v>1278.9983999999999</v>
      </c>
      <c r="U272" s="27" t="s">
        <v>416</v>
      </c>
      <c r="V272" s="90">
        <v>4.3013256460777E-2</v>
      </c>
      <c r="W272" s="109">
        <v>102.649025692359</v>
      </c>
      <c r="X272" s="183">
        <v>2.4293630021680002E-2</v>
      </c>
      <c r="Y272" s="104">
        <v>2.6686572691019698E-2</v>
      </c>
      <c r="Z272" s="104" t="s">
        <v>462</v>
      </c>
      <c r="AA272" s="57" t="s">
        <v>64</v>
      </c>
      <c r="AB272" s="47" t="s">
        <v>64</v>
      </c>
      <c r="AC272" s="57">
        <v>653.02660551819838</v>
      </c>
      <c r="AD272" s="27" t="s">
        <v>470</v>
      </c>
      <c r="AE272" s="28">
        <f t="shared" si="75"/>
        <v>2.7245138692322852</v>
      </c>
      <c r="AF272" s="197" t="s">
        <v>470</v>
      </c>
      <c r="AG272" s="84">
        <v>450</v>
      </c>
      <c r="AH272" s="157" t="s">
        <v>469</v>
      </c>
      <c r="AI272" s="8">
        <v>0.76213703223839646</v>
      </c>
      <c r="AJ272" s="9">
        <v>48.994</v>
      </c>
      <c r="AK272" s="9">
        <v>1.917</v>
      </c>
      <c r="AL272" s="9">
        <v>11.861000000000001</v>
      </c>
      <c r="AM272" s="189">
        <v>11.33111099686055</v>
      </c>
      <c r="AN272" s="9">
        <v>0.16800000000000001</v>
      </c>
      <c r="AO272" s="9">
        <v>13.183999999999999</v>
      </c>
      <c r="AP272" s="9">
        <v>9.5630000000000006</v>
      </c>
      <c r="AQ272" s="9">
        <v>2.1360000000000001</v>
      </c>
      <c r="AR272" s="9">
        <v>0.31</v>
      </c>
      <c r="AS272" s="9">
        <v>0.193</v>
      </c>
      <c r="AT272" s="190">
        <v>597.6932825241978</v>
      </c>
      <c r="AU272" s="9">
        <v>0.5</v>
      </c>
      <c r="AV272" s="6">
        <v>20.737153807558112</v>
      </c>
      <c r="AW272" s="27">
        <v>323.13879918545001</v>
      </c>
      <c r="AX272" s="6">
        <v>343.87595299300813</v>
      </c>
      <c r="AY272" s="8">
        <f t="shared" si="76"/>
        <v>2.2668688802614074</v>
      </c>
      <c r="AZ272" s="9">
        <f t="shared" si="77"/>
        <v>9.2915110174256519</v>
      </c>
      <c r="BA272" s="123">
        <v>52.226100000000002</v>
      </c>
      <c r="BB272" s="121">
        <v>2.536</v>
      </c>
      <c r="BC272" s="121">
        <v>15.693199999999999</v>
      </c>
      <c r="BD272" s="121">
        <v>6.4352</v>
      </c>
      <c r="BE272" s="121">
        <v>0.1195</v>
      </c>
      <c r="BF272" s="121">
        <v>5.5507999999999997</v>
      </c>
      <c r="BG272" s="121">
        <v>12.4434</v>
      </c>
      <c r="BH272" s="121">
        <v>2.8267000000000002</v>
      </c>
      <c r="BI272" s="121">
        <v>0.41060000000000002</v>
      </c>
      <c r="BJ272" s="121">
        <v>0.25509999999999999</v>
      </c>
      <c r="BK272" s="121">
        <v>7.8423335599999991E-2</v>
      </c>
      <c r="BL272" s="121">
        <f t="shared" si="74"/>
        <v>98.575023335599994</v>
      </c>
      <c r="BM272" s="121">
        <v>0.22681127348490099</v>
      </c>
      <c r="BN272" s="95">
        <v>27.209219510897</v>
      </c>
      <c r="BO272" s="95">
        <v>423.99041841122897</v>
      </c>
      <c r="BP272" s="95">
        <v>451.19963792212599</v>
      </c>
      <c r="BQ272" s="194" t="s">
        <v>469</v>
      </c>
    </row>
    <row r="273" spans="12:69" ht="14.45" customHeight="1">
      <c r="L273" s="20" t="s">
        <v>64</v>
      </c>
      <c r="M273" s="763" t="s">
        <v>459</v>
      </c>
      <c r="N273" s="15" t="s">
        <v>460</v>
      </c>
      <c r="O273" s="14" t="s">
        <v>1258</v>
      </c>
      <c r="P273" s="15" t="s">
        <v>405</v>
      </c>
      <c r="Q273" s="15" t="s">
        <v>468</v>
      </c>
      <c r="R273" s="193">
        <v>88.616832293529299</v>
      </c>
      <c r="S273" s="15" t="s">
        <v>64</v>
      </c>
      <c r="T273" s="14">
        <f t="shared" si="73"/>
        <v>1284.9078</v>
      </c>
      <c r="U273" s="27" t="s">
        <v>416</v>
      </c>
      <c r="V273" s="90">
        <v>4.8882926764894599E-2</v>
      </c>
      <c r="W273" s="109">
        <v>102.69035702369</v>
      </c>
      <c r="X273" s="183">
        <v>1.6106974639795501E-2</v>
      </c>
      <c r="Y273" s="104">
        <v>3.9982849077844697E-2</v>
      </c>
      <c r="Z273" s="104" t="s">
        <v>462</v>
      </c>
      <c r="AA273" s="57" t="s">
        <v>64</v>
      </c>
      <c r="AB273" s="47" t="s">
        <v>64</v>
      </c>
      <c r="AC273" s="57">
        <v>1066.375205664679</v>
      </c>
      <c r="AD273" s="27" t="s">
        <v>470</v>
      </c>
      <c r="AE273" s="28">
        <f t="shared" si="75"/>
        <v>4.2801536421051827</v>
      </c>
      <c r="AF273" s="197" t="s">
        <v>470</v>
      </c>
      <c r="AG273" s="84">
        <v>690</v>
      </c>
      <c r="AH273" s="157" t="s">
        <v>469</v>
      </c>
      <c r="AI273" s="8">
        <v>0.75369309617123903</v>
      </c>
      <c r="AJ273" s="9">
        <v>49.755000000000003</v>
      </c>
      <c r="AK273" s="9">
        <v>1.798</v>
      </c>
      <c r="AL273" s="9">
        <v>11.177</v>
      </c>
      <c r="AM273" s="189">
        <v>11.3361101634523</v>
      </c>
      <c r="AN273" s="9">
        <v>0.16300000000000001</v>
      </c>
      <c r="AO273" s="9">
        <v>13.478</v>
      </c>
      <c r="AP273" s="9">
        <v>9.2639999999999993</v>
      </c>
      <c r="AQ273" s="9">
        <v>2.181</v>
      </c>
      <c r="AR273" s="9">
        <v>0.28299999999999997</v>
      </c>
      <c r="AS273" s="9">
        <v>0.2</v>
      </c>
      <c r="AT273" s="190">
        <v>499.41184202592706</v>
      </c>
      <c r="AU273" s="9">
        <v>0.5</v>
      </c>
      <c r="AV273" s="6">
        <v>22.602762180883403</v>
      </c>
      <c r="AW273" s="27">
        <v>546.87012211301624</v>
      </c>
      <c r="AX273" s="6">
        <v>569.4728842938996</v>
      </c>
      <c r="AY273" s="8">
        <f t="shared" si="76"/>
        <v>2.2678689988885412</v>
      </c>
      <c r="AZ273" s="9">
        <f t="shared" si="77"/>
        <v>9.2956103340308864</v>
      </c>
      <c r="BA273" s="123">
        <v>52.561900000000001</v>
      </c>
      <c r="BB273" s="121">
        <v>2.3694000000000002</v>
      </c>
      <c r="BC273" s="121">
        <v>14.726800000000001</v>
      </c>
      <c r="BD273" s="121">
        <v>6.3048000000000002</v>
      </c>
      <c r="BE273" s="121">
        <v>0.10970000000000001</v>
      </c>
      <c r="BF273" s="121">
        <v>5.3811999999999998</v>
      </c>
      <c r="BG273" s="121">
        <v>11.991</v>
      </c>
      <c r="BH273" s="121">
        <v>2.8738000000000001</v>
      </c>
      <c r="BI273" s="121">
        <v>0.37269999999999998</v>
      </c>
      <c r="BJ273" s="121">
        <v>0.26290000000000002</v>
      </c>
      <c r="BK273" s="121">
        <v>6.6261963199999996E-2</v>
      </c>
      <c r="BL273" s="121">
        <f t="shared" si="74"/>
        <v>97.020461963200006</v>
      </c>
      <c r="BM273" s="121">
        <v>0.25495322156997702</v>
      </c>
      <c r="BN273" s="95">
        <v>29.989344861596098</v>
      </c>
      <c r="BO273" s="95">
        <v>725.58727801955001</v>
      </c>
      <c r="BP273" s="95">
        <v>755.57662288114602</v>
      </c>
      <c r="BQ273" s="194" t="s">
        <v>469</v>
      </c>
    </row>
    <row r="274" spans="12:69" ht="14.45" customHeight="1">
      <c r="L274" s="20" t="s">
        <v>64</v>
      </c>
      <c r="M274" s="763" t="s">
        <v>459</v>
      </c>
      <c r="N274" s="15" t="s">
        <v>460</v>
      </c>
      <c r="O274" s="14" t="s">
        <v>1259</v>
      </c>
      <c r="P274" s="15" t="s">
        <v>405</v>
      </c>
      <c r="Q274" s="15" t="s">
        <v>468</v>
      </c>
      <c r="R274" s="193">
        <v>88.37947992005239</v>
      </c>
      <c r="S274" s="15" t="s">
        <v>64</v>
      </c>
      <c r="T274" s="14">
        <f t="shared" si="73"/>
        <v>1277.9934000000001</v>
      </c>
      <c r="U274" s="27" t="s">
        <v>1471</v>
      </c>
      <c r="V274" s="90" t="s">
        <v>64</v>
      </c>
      <c r="W274" s="109" t="s">
        <v>481</v>
      </c>
      <c r="X274" s="183" t="s">
        <v>64</v>
      </c>
      <c r="Y274" s="104" t="s">
        <v>64</v>
      </c>
      <c r="Z274" s="104" t="s">
        <v>64</v>
      </c>
      <c r="AA274" s="57" t="s">
        <v>64</v>
      </c>
      <c r="AB274" s="47" t="s">
        <v>64</v>
      </c>
      <c r="AC274" s="57">
        <v>44.369276909001186</v>
      </c>
      <c r="AD274" s="27" t="s">
        <v>470</v>
      </c>
      <c r="AE274" s="28">
        <f t="shared" si="75"/>
        <v>0.19735075103219904</v>
      </c>
      <c r="AF274" s="197" t="s">
        <v>470</v>
      </c>
      <c r="AG274" s="84">
        <v>60</v>
      </c>
      <c r="AH274" s="157" t="s">
        <v>469</v>
      </c>
      <c r="AI274" s="8">
        <v>0.76994148444718202</v>
      </c>
      <c r="AJ274" s="9">
        <v>49.430999999999997</v>
      </c>
      <c r="AK274" s="9">
        <v>1.8520000000000001</v>
      </c>
      <c r="AL274" s="9">
        <v>11.561999999999999</v>
      </c>
      <c r="AM274" s="189">
        <v>11.33311066349725</v>
      </c>
      <c r="AN274" s="9">
        <v>0.18099999999999999</v>
      </c>
      <c r="AO274" s="9">
        <v>13.134</v>
      </c>
      <c r="AP274" s="9">
        <v>9.5259999999999998</v>
      </c>
      <c r="AQ274" s="9">
        <v>2.097</v>
      </c>
      <c r="AR274" s="9">
        <v>0.315</v>
      </c>
      <c r="AS274" s="9">
        <v>0.20499999999999999</v>
      </c>
      <c r="AT274" s="190">
        <v>525.59158607945801</v>
      </c>
      <c r="AU274" s="9">
        <v>0.5</v>
      </c>
      <c r="AV274" s="6">
        <v>10.958989147715045</v>
      </c>
      <c r="AW274" s="27" t="s">
        <v>64</v>
      </c>
      <c r="AX274" s="6">
        <v>10.958989147715045</v>
      </c>
      <c r="AY274" s="8">
        <f t="shared" si="76"/>
        <v>2.2672689277122609</v>
      </c>
      <c r="AZ274" s="9">
        <f t="shared" si="77"/>
        <v>9.293150744067745</v>
      </c>
      <c r="BA274" s="123">
        <v>52.786099999999998</v>
      </c>
      <c r="BB274" s="121">
        <v>2.431</v>
      </c>
      <c r="BC274" s="121">
        <v>15.1729</v>
      </c>
      <c r="BD274" s="121">
        <v>6.6562000000000001</v>
      </c>
      <c r="BE274" s="121">
        <v>0.1376</v>
      </c>
      <c r="BF274" s="121">
        <v>5.8372000000000002</v>
      </c>
      <c r="BG274" s="121">
        <v>12.2997</v>
      </c>
      <c r="BH274" s="121">
        <v>2.7517999999999998</v>
      </c>
      <c r="BI274" s="121">
        <v>0.41349999999999998</v>
      </c>
      <c r="BJ274" s="121">
        <v>0.26929999999999998</v>
      </c>
      <c r="BK274" s="121">
        <v>6.8263835200000011E-2</v>
      </c>
      <c r="BL274" s="121">
        <f t="shared" si="74"/>
        <v>98.823563835200005</v>
      </c>
      <c r="BM274" s="121">
        <v>0.25169495937806302</v>
      </c>
      <c r="BN274" s="95">
        <v>14.233535105052299</v>
      </c>
      <c r="BO274" s="95" t="s">
        <v>64</v>
      </c>
      <c r="BP274" s="95">
        <v>14.233535105052299</v>
      </c>
      <c r="BQ274" s="194" t="s">
        <v>469</v>
      </c>
    </row>
    <row r="275" spans="12:69" ht="14.45" customHeight="1">
      <c r="L275" s="20" t="s">
        <v>64</v>
      </c>
      <c r="M275" s="763" t="s">
        <v>459</v>
      </c>
      <c r="N275" s="15" t="s">
        <v>460</v>
      </c>
      <c r="O275" s="14" t="s">
        <v>1260</v>
      </c>
      <c r="P275" s="15" t="s">
        <v>405</v>
      </c>
      <c r="Q275" s="15" t="s">
        <v>468</v>
      </c>
      <c r="R275" s="193">
        <v>86.443568878623893</v>
      </c>
      <c r="S275" s="15" t="s">
        <v>64</v>
      </c>
      <c r="T275" s="14">
        <f t="shared" si="73"/>
        <v>1228.7082</v>
      </c>
      <c r="U275" s="27" t="s">
        <v>416</v>
      </c>
      <c r="V275" s="90">
        <v>2.4787321081500103E-2</v>
      </c>
      <c r="W275" s="109">
        <v>102.670667334</v>
      </c>
      <c r="X275" s="183">
        <v>4.9326321173814999E-4</v>
      </c>
      <c r="Y275" s="104">
        <v>3.3648682051129697E-2</v>
      </c>
      <c r="Z275" s="104" t="s">
        <v>462</v>
      </c>
      <c r="AA275" s="57" t="s">
        <v>64</v>
      </c>
      <c r="AB275" s="47" t="s">
        <v>64</v>
      </c>
      <c r="AC275" s="57">
        <v>626.91655560062077</v>
      </c>
      <c r="AD275" s="27" t="s">
        <v>470</v>
      </c>
      <c r="AE275" s="28">
        <f t="shared" si="75"/>
        <v>2.6223437144249653</v>
      </c>
      <c r="AF275" s="197" t="s">
        <v>470</v>
      </c>
      <c r="AG275" s="84">
        <v>450</v>
      </c>
      <c r="AH275" s="157" t="s">
        <v>469</v>
      </c>
      <c r="AI275" s="8">
        <v>0.85258760337624684</v>
      </c>
      <c r="AJ275" s="9">
        <v>48.561</v>
      </c>
      <c r="AK275" s="9">
        <v>2.593</v>
      </c>
      <c r="AL275" s="9">
        <v>12.276999999999999</v>
      </c>
      <c r="AM275" s="189">
        <v>11.330111163542201</v>
      </c>
      <c r="AN275" s="9">
        <v>0.2</v>
      </c>
      <c r="AO275" s="9">
        <v>10.682</v>
      </c>
      <c r="AP275" s="9">
        <v>10.911</v>
      </c>
      <c r="AQ275" s="9">
        <v>2.31</v>
      </c>
      <c r="AR275" s="9">
        <v>0.47199999999999998</v>
      </c>
      <c r="AS275" s="9">
        <v>0.28399999999999997</v>
      </c>
      <c r="AT275" s="190">
        <v>844.42507630659043</v>
      </c>
      <c r="AU275" s="9">
        <v>0.5</v>
      </c>
      <c r="AV275" s="6">
        <v>66.090235530821289</v>
      </c>
      <c r="AW275" s="27">
        <v>257.72037888318692</v>
      </c>
      <c r="AX275" s="6">
        <v>323.81061441400885</v>
      </c>
      <c r="AY275" s="8">
        <f t="shared" si="76"/>
        <v>2.2666688565359805</v>
      </c>
      <c r="AZ275" s="9">
        <f t="shared" si="77"/>
        <v>9.2906911541046053</v>
      </c>
      <c r="BA275" s="123">
        <v>48.898000000000003</v>
      </c>
      <c r="BB275" s="121">
        <v>2.9708000000000001</v>
      </c>
      <c r="BC275" s="121">
        <v>14.0632</v>
      </c>
      <c r="BD275" s="121">
        <v>8.1639999999999997</v>
      </c>
      <c r="BE275" s="121">
        <v>0.16120000000000001</v>
      </c>
      <c r="BF275" s="121">
        <v>6.0350000000000001</v>
      </c>
      <c r="BG275" s="121">
        <v>12.3794</v>
      </c>
      <c r="BH275" s="121">
        <v>2.6465000000000001</v>
      </c>
      <c r="BI275" s="121">
        <v>0.54039999999999999</v>
      </c>
      <c r="BJ275" s="121">
        <v>0.32529999999999998</v>
      </c>
      <c r="BK275" s="121">
        <v>9.9042617199999988E-2</v>
      </c>
      <c r="BL275" s="121">
        <f t="shared" si="74"/>
        <v>96.282842617200004</v>
      </c>
      <c r="BM275" s="121">
        <v>0.22894896934186201</v>
      </c>
      <c r="BN275" s="95">
        <v>77.517237254100294</v>
      </c>
      <c r="BO275" s="95">
        <v>302.28023239209</v>
      </c>
      <c r="BP275" s="95">
        <v>379.79746964619102</v>
      </c>
      <c r="BQ275" s="194" t="s">
        <v>469</v>
      </c>
    </row>
    <row r="276" spans="12:69" ht="14.45" customHeight="1">
      <c r="L276" s="20" t="s">
        <v>64</v>
      </c>
      <c r="M276" s="763" t="s">
        <v>459</v>
      </c>
      <c r="N276" s="15" t="s">
        <v>460</v>
      </c>
      <c r="O276" s="14" t="s">
        <v>1261</v>
      </c>
      <c r="P276" s="15" t="s">
        <v>405</v>
      </c>
      <c r="Q276" s="15" t="s">
        <v>468</v>
      </c>
      <c r="R276" s="193">
        <v>88.613695639608707</v>
      </c>
      <c r="S276" s="15" t="s">
        <v>64</v>
      </c>
      <c r="T276" s="14">
        <f t="shared" si="73"/>
        <v>1281.1491000000001</v>
      </c>
      <c r="U276" s="27" t="s">
        <v>416</v>
      </c>
      <c r="V276" s="90">
        <v>4.5085453725244501E-2</v>
      </c>
      <c r="W276" s="109">
        <v>102.72591095062199</v>
      </c>
      <c r="X276" s="183">
        <v>8.2398168454582092E-3</v>
      </c>
      <c r="Y276" s="104">
        <v>5.1420536272708303E-2</v>
      </c>
      <c r="Z276" s="104" t="s">
        <v>462</v>
      </c>
      <c r="AA276" s="57" t="s">
        <v>64</v>
      </c>
      <c r="AB276" s="47" t="s">
        <v>64</v>
      </c>
      <c r="AC276" s="57">
        <v>1335.5365912627699</v>
      </c>
      <c r="AD276" s="27" t="s">
        <v>470</v>
      </c>
      <c r="AE276" s="28">
        <f t="shared" si="75"/>
        <v>5.2395310539608957</v>
      </c>
      <c r="AF276" s="197" t="s">
        <v>470</v>
      </c>
      <c r="AG276" s="84">
        <v>850</v>
      </c>
      <c r="AH276" s="157" t="s">
        <v>469</v>
      </c>
      <c r="AI276" s="8">
        <v>0.78125</v>
      </c>
      <c r="AJ276" s="9">
        <v>49.451999999999998</v>
      </c>
      <c r="AK276" s="9">
        <v>2.2410000000000001</v>
      </c>
      <c r="AL276" s="9">
        <v>10.609</v>
      </c>
      <c r="AM276" s="189">
        <v>11.3361101634523</v>
      </c>
      <c r="AN276" s="9">
        <v>0.16900000000000001</v>
      </c>
      <c r="AO276" s="9">
        <v>13.291</v>
      </c>
      <c r="AP276" s="9">
        <v>9.8629999999999995</v>
      </c>
      <c r="AQ276" s="9">
        <v>2.0379999999999998</v>
      </c>
      <c r="AR276" s="9">
        <v>0.40899999999999997</v>
      </c>
      <c r="AS276" s="9">
        <v>0.25</v>
      </c>
      <c r="AT276" s="190">
        <v>622.848065625</v>
      </c>
      <c r="AU276" s="9">
        <v>0.5</v>
      </c>
      <c r="AV276" s="6">
        <v>50.345902975931409</v>
      </c>
      <c r="AW276" s="27">
        <v>665.18519433773588</v>
      </c>
      <c r="AX276" s="6">
        <v>715.53109731366794</v>
      </c>
      <c r="AY276" s="8">
        <f t="shared" si="76"/>
        <v>2.2678689988885412</v>
      </c>
      <c r="AZ276" s="9">
        <f t="shared" si="77"/>
        <v>9.2956103340308864</v>
      </c>
      <c r="BA276" s="123">
        <v>52.222200000000001</v>
      </c>
      <c r="BB276" s="121">
        <v>2.8763000000000001</v>
      </c>
      <c r="BC276" s="121">
        <v>13.6182</v>
      </c>
      <c r="BD276" s="121">
        <v>6.7678000000000003</v>
      </c>
      <c r="BE276" s="121">
        <v>0.126</v>
      </c>
      <c r="BF276" s="121">
        <v>6.5122999999999998</v>
      </c>
      <c r="BG276" s="121">
        <v>12.4739</v>
      </c>
      <c r="BH276" s="121">
        <v>2.6162999999999998</v>
      </c>
      <c r="BI276" s="121">
        <v>0.52470000000000006</v>
      </c>
      <c r="BJ276" s="121">
        <v>0.32029999999999997</v>
      </c>
      <c r="BK276" s="121">
        <v>7.9724552400000009E-2</v>
      </c>
      <c r="BL276" s="121">
        <f t="shared" si="74"/>
        <v>98.137724552399987</v>
      </c>
      <c r="BM276" s="121">
        <v>0.212062176695238</v>
      </c>
      <c r="BN276" s="95">
        <v>64.442755809192207</v>
      </c>
      <c r="BO276" s="95">
        <v>851.43704875230196</v>
      </c>
      <c r="BP276" s="95">
        <v>915.87980456149501</v>
      </c>
      <c r="BQ276" s="194" t="s">
        <v>469</v>
      </c>
    </row>
    <row r="277" spans="12:69" ht="14.45" customHeight="1">
      <c r="L277" s="20" t="s">
        <v>64</v>
      </c>
      <c r="M277" s="763" t="s">
        <v>459</v>
      </c>
      <c r="N277" s="15" t="s">
        <v>460</v>
      </c>
      <c r="O277" s="14" t="s">
        <v>1262</v>
      </c>
      <c r="P277" s="15" t="s">
        <v>405</v>
      </c>
      <c r="Q277" s="15" t="s">
        <v>468</v>
      </c>
      <c r="R277" s="193">
        <v>88.192936366249597</v>
      </c>
      <c r="S277" s="15" t="s">
        <v>64</v>
      </c>
      <c r="T277" s="14">
        <f t="shared" si="73"/>
        <v>1271.5815</v>
      </c>
      <c r="U277" s="27" t="s">
        <v>416</v>
      </c>
      <c r="V277" s="90">
        <v>4.1563074087029798E-2</v>
      </c>
      <c r="W277" s="109">
        <v>102.653797130464</v>
      </c>
      <c r="X277" s="183">
        <v>1.3543836598212001E-2</v>
      </c>
      <c r="Y277" s="104">
        <v>4.1731444523669801E-2</v>
      </c>
      <c r="Z277" s="104" t="s">
        <v>462</v>
      </c>
      <c r="AA277" s="57" t="s">
        <v>64</v>
      </c>
      <c r="AB277" s="47" t="s">
        <v>64</v>
      </c>
      <c r="AC277" s="57">
        <v>1014.059058730947</v>
      </c>
      <c r="AD277" s="27" t="s">
        <v>470</v>
      </c>
      <c r="AE277" s="28">
        <f t="shared" si="75"/>
        <v>4.0891891207805982</v>
      </c>
      <c r="AF277" s="197" t="s">
        <v>470</v>
      </c>
      <c r="AG277" s="84">
        <v>660</v>
      </c>
      <c r="AH277" s="157" t="s">
        <v>469</v>
      </c>
      <c r="AI277" s="8">
        <v>0.78505259852410114</v>
      </c>
      <c r="AJ277" s="9">
        <v>49.484000000000002</v>
      </c>
      <c r="AK277" s="9">
        <v>2.0510000000000002</v>
      </c>
      <c r="AL277" s="9">
        <v>11.345000000000001</v>
      </c>
      <c r="AM277" s="189">
        <v>11.329111330223849</v>
      </c>
      <c r="AN277" s="9">
        <v>0.14699999999999999</v>
      </c>
      <c r="AO277" s="9">
        <v>12.815</v>
      </c>
      <c r="AP277" s="9">
        <v>9.7560000000000002</v>
      </c>
      <c r="AQ277" s="9">
        <v>2.133</v>
      </c>
      <c r="AR277" s="9">
        <v>0.36599999999999999</v>
      </c>
      <c r="AS277" s="9">
        <v>0.217</v>
      </c>
      <c r="AT277" s="190">
        <v>575.58927618150415</v>
      </c>
      <c r="AU277" s="9">
        <v>0.5</v>
      </c>
      <c r="AV277" s="6">
        <v>27.786373109965226</v>
      </c>
      <c r="AW277" s="27">
        <v>501.57401865112024</v>
      </c>
      <c r="AX277" s="6">
        <v>529.36039176108488</v>
      </c>
      <c r="AY277" s="8">
        <f t="shared" si="76"/>
        <v>2.2664688328105536</v>
      </c>
      <c r="AZ277" s="9">
        <f t="shared" si="77"/>
        <v>9.2898712907835588</v>
      </c>
      <c r="BA277" s="123">
        <v>51.976700000000001</v>
      </c>
      <c r="BB277" s="121">
        <v>2.6072000000000002</v>
      </c>
      <c r="BC277" s="121">
        <v>14.4232</v>
      </c>
      <c r="BD277" s="121">
        <v>6.7103000000000002</v>
      </c>
      <c r="BE277" s="121">
        <v>9.3700000000000006E-2</v>
      </c>
      <c r="BF277" s="121">
        <v>6.1242999999999999</v>
      </c>
      <c r="BG277" s="121">
        <v>12.218999999999999</v>
      </c>
      <c r="BH277" s="121">
        <v>2.7119</v>
      </c>
      <c r="BI277" s="121">
        <v>0.46550000000000002</v>
      </c>
      <c r="BJ277" s="121">
        <v>0.2762</v>
      </c>
      <c r="BK277" s="121">
        <v>7.3318562000000004E-2</v>
      </c>
      <c r="BL277" s="121">
        <f t="shared" si="74"/>
        <v>97.681318562000001</v>
      </c>
      <c r="BM277" s="121">
        <v>0.23256545918449001</v>
      </c>
      <c r="BN277" s="95">
        <v>35.394282067473704</v>
      </c>
      <c r="BO277" s="95">
        <v>638.90498495779696</v>
      </c>
      <c r="BP277" s="95">
        <v>674.29926702526996</v>
      </c>
      <c r="BQ277" s="194" t="s">
        <v>469</v>
      </c>
    </row>
    <row r="278" spans="12:69" ht="14.45" customHeight="1">
      <c r="L278" s="20" t="s">
        <v>64</v>
      </c>
      <c r="M278" s="763" t="s">
        <v>459</v>
      </c>
      <c r="N278" s="15" t="s">
        <v>460</v>
      </c>
      <c r="O278" s="14" t="s">
        <v>1263</v>
      </c>
      <c r="P278" s="15" t="s">
        <v>405</v>
      </c>
      <c r="Q278" s="15" t="s">
        <v>468</v>
      </c>
      <c r="R278" s="193">
        <v>88.068647226854608</v>
      </c>
      <c r="S278" s="15" t="s">
        <v>64</v>
      </c>
      <c r="T278" s="14">
        <f t="shared" si="73"/>
        <v>1269.7725</v>
      </c>
      <c r="U278" s="27" t="s">
        <v>416</v>
      </c>
      <c r="V278" s="90">
        <v>4.0741748719820697E-2</v>
      </c>
      <c r="W278" s="109">
        <v>102.665345345345</v>
      </c>
      <c r="X278" s="183">
        <v>1.5925100650333798E-2</v>
      </c>
      <c r="Y278" s="104">
        <v>3.84564552545257E-2</v>
      </c>
      <c r="Z278" s="104" t="s">
        <v>462</v>
      </c>
      <c r="AA278" s="57" t="s">
        <v>64</v>
      </c>
      <c r="AB278" s="47" t="s">
        <v>64</v>
      </c>
      <c r="AC278" s="57">
        <v>939.18234083634252</v>
      </c>
      <c r="AD278" s="27" t="s">
        <v>470</v>
      </c>
      <c r="AE278" s="28">
        <f t="shared" si="75"/>
        <v>3.8130714989723153</v>
      </c>
      <c r="AF278" s="197" t="s">
        <v>470</v>
      </c>
      <c r="AG278" s="84">
        <v>610</v>
      </c>
      <c r="AH278" s="157" t="s">
        <v>469</v>
      </c>
      <c r="AI278" s="8">
        <v>0.78033554428404217</v>
      </c>
      <c r="AJ278" s="9">
        <v>49.406999999999996</v>
      </c>
      <c r="AK278" s="9">
        <v>2.0710000000000002</v>
      </c>
      <c r="AL278" s="9">
        <v>11.715</v>
      </c>
      <c r="AM278" s="189">
        <v>11.334110496815601</v>
      </c>
      <c r="AN278" s="9">
        <v>0.13300000000000001</v>
      </c>
      <c r="AO278" s="9">
        <v>12.725</v>
      </c>
      <c r="AP278" s="9">
        <v>9.6259999999999994</v>
      </c>
      <c r="AQ278" s="9">
        <v>2.093</v>
      </c>
      <c r="AR278" s="9">
        <v>0.34100000000000003</v>
      </c>
      <c r="AS278" s="9">
        <v>0.19900000000000001</v>
      </c>
      <c r="AT278" s="190">
        <v>597.51544284042143</v>
      </c>
      <c r="AU278" s="9">
        <v>0.5</v>
      </c>
      <c r="AV278" s="6">
        <v>30.332236008662736</v>
      </c>
      <c r="AW278" s="27">
        <v>450.98538733464454</v>
      </c>
      <c r="AX278" s="6">
        <v>481.31762334330784</v>
      </c>
      <c r="AY278" s="8">
        <f t="shared" si="76"/>
        <v>2.2674689514376873</v>
      </c>
      <c r="AZ278" s="9">
        <f t="shared" si="77"/>
        <v>9.2939706073887933</v>
      </c>
      <c r="BA278" s="123">
        <v>51.372599999999998</v>
      </c>
      <c r="BB278" s="121">
        <v>2.6183999999999998</v>
      </c>
      <c r="BC278" s="121">
        <v>14.815300000000001</v>
      </c>
      <c r="BD278" s="121">
        <v>6.5467000000000004</v>
      </c>
      <c r="BE278" s="121">
        <v>7.1999999999999995E-2</v>
      </c>
      <c r="BF278" s="121">
        <v>5.7488999999999999</v>
      </c>
      <c r="BG278" s="121">
        <v>11.9842</v>
      </c>
      <c r="BH278" s="121">
        <v>2.6463999999999999</v>
      </c>
      <c r="BI278" s="121">
        <v>0.43149999999999999</v>
      </c>
      <c r="BJ278" s="121">
        <v>0.25169999999999998</v>
      </c>
      <c r="BK278" s="121">
        <v>7.6571604000000001E-2</v>
      </c>
      <c r="BL278" s="121">
        <f t="shared" si="74"/>
        <v>96.564271603999998</v>
      </c>
      <c r="BM278" s="121">
        <v>0.23385440744771399</v>
      </c>
      <c r="BN278" s="95">
        <v>38.870760445101297</v>
      </c>
      <c r="BO278" s="95">
        <v>577.93777386934698</v>
      </c>
      <c r="BP278" s="95">
        <v>616.80853431444905</v>
      </c>
      <c r="BQ278" s="194" t="s">
        <v>469</v>
      </c>
    </row>
    <row r="279" spans="12:69" ht="14.45" customHeight="1">
      <c r="L279" s="20" t="s">
        <v>64</v>
      </c>
      <c r="M279" s="763" t="s">
        <v>459</v>
      </c>
      <c r="N279" s="15" t="s">
        <v>460</v>
      </c>
      <c r="O279" s="14" t="s">
        <v>1264</v>
      </c>
      <c r="P279" s="15" t="s">
        <v>405</v>
      </c>
      <c r="Q279" s="15" t="s">
        <v>468</v>
      </c>
      <c r="R279" s="193">
        <v>81.217675009626603</v>
      </c>
      <c r="S279" s="15" t="s">
        <v>64</v>
      </c>
      <c r="T279" s="14">
        <f t="shared" si="73"/>
        <v>1168.0664999999999</v>
      </c>
      <c r="U279" s="27" t="s">
        <v>416</v>
      </c>
      <c r="V279" s="90">
        <v>2.1281915090637402E-2</v>
      </c>
      <c r="W279" s="109" t="s">
        <v>480</v>
      </c>
      <c r="X279" s="208" t="s">
        <v>64</v>
      </c>
      <c r="Y279" s="209" t="s">
        <v>64</v>
      </c>
      <c r="Z279" s="104" t="s">
        <v>64</v>
      </c>
      <c r="AA279" s="57" t="s">
        <v>64</v>
      </c>
      <c r="AB279" s="47" t="s">
        <v>64</v>
      </c>
      <c r="AC279" s="57">
        <v>602.36826413580991</v>
      </c>
      <c r="AD279" s="27" t="s">
        <v>470</v>
      </c>
      <c r="AE279" s="28">
        <f t="shared" si="75"/>
        <v>2.5258221397044189</v>
      </c>
      <c r="AF279" s="197" t="s">
        <v>470</v>
      </c>
      <c r="AG279" s="84">
        <v>370</v>
      </c>
      <c r="AH279" s="157" t="s">
        <v>469</v>
      </c>
      <c r="AI279" s="8">
        <v>0.9088430428065073</v>
      </c>
      <c r="AJ279" s="9">
        <v>51.241</v>
      </c>
      <c r="AK279" s="9">
        <v>3.4169999999999998</v>
      </c>
      <c r="AL279" s="9">
        <v>12.558</v>
      </c>
      <c r="AM279" s="189">
        <v>11.335110330133951</v>
      </c>
      <c r="AN279" s="9">
        <v>0.20799999999999999</v>
      </c>
      <c r="AO279" s="9">
        <v>7.665</v>
      </c>
      <c r="AP279" s="9">
        <v>9.7490000000000006</v>
      </c>
      <c r="AQ279" s="9">
        <v>2.6</v>
      </c>
      <c r="AR279" s="9">
        <v>0.56399999999999995</v>
      </c>
      <c r="AS279" s="9">
        <v>0.27900000000000003</v>
      </c>
      <c r="AT279" s="190">
        <v>1193.0633136417341</v>
      </c>
      <c r="AU279" s="9">
        <v>0.5</v>
      </c>
      <c r="AV279" s="6">
        <v>241.66670917647642</v>
      </c>
      <c r="AW279" s="27" t="s">
        <v>1473</v>
      </c>
      <c r="AX279" s="6">
        <v>241.66670917647645</v>
      </c>
      <c r="AY279" s="8">
        <f t="shared" si="76"/>
        <v>2.2676689751631143</v>
      </c>
      <c r="AZ279" s="9">
        <f t="shared" si="77"/>
        <v>9.2947904707098417</v>
      </c>
      <c r="BA279" s="123">
        <v>51.447899999999997</v>
      </c>
      <c r="BB279" s="121">
        <v>3.6894</v>
      </c>
      <c r="BC279" s="121">
        <v>13.560700000000001</v>
      </c>
      <c r="BD279" s="121">
        <v>10.7166</v>
      </c>
      <c r="BE279" s="121">
        <v>0.1772</v>
      </c>
      <c r="BF279" s="121">
        <v>3.9998</v>
      </c>
      <c r="BG279" s="121">
        <v>10.4564</v>
      </c>
      <c r="BH279" s="121">
        <v>2.8071000000000002</v>
      </c>
      <c r="BI279" s="121">
        <v>0.60880000000000001</v>
      </c>
      <c r="BJ279" s="121">
        <v>0.30149999999999999</v>
      </c>
      <c r="BK279" s="121">
        <v>0.1312727564</v>
      </c>
      <c r="BL279" s="121">
        <f t="shared" si="74"/>
        <v>97.896672756399994</v>
      </c>
      <c r="BM279" s="121">
        <v>0.22922360625423299</v>
      </c>
      <c r="BN279" s="95">
        <v>265.90588010687702</v>
      </c>
      <c r="BO279" s="95" t="s">
        <v>1473</v>
      </c>
      <c r="BP279" s="95">
        <v>265.90588010687702</v>
      </c>
      <c r="BQ279" s="194" t="s">
        <v>469</v>
      </c>
    </row>
    <row r="280" spans="12:69" ht="14.45" customHeight="1">
      <c r="L280" s="20" t="s">
        <v>64</v>
      </c>
      <c r="M280" s="763" t="s">
        <v>459</v>
      </c>
      <c r="N280" s="15" t="s">
        <v>460</v>
      </c>
      <c r="O280" s="14" t="s">
        <v>1265</v>
      </c>
      <c r="P280" s="15" t="s">
        <v>405</v>
      </c>
      <c r="Q280" s="15" t="s">
        <v>468</v>
      </c>
      <c r="R280" s="193">
        <v>87.039326968843895</v>
      </c>
      <c r="S280" s="15" t="s">
        <v>64</v>
      </c>
      <c r="T280" s="14">
        <f t="shared" si="73"/>
        <v>1246.4766</v>
      </c>
      <c r="U280" s="27" t="s">
        <v>416</v>
      </c>
      <c r="V280" s="90">
        <v>5.7419241689923503E-2</v>
      </c>
      <c r="W280" s="109">
        <v>102.63358024691399</v>
      </c>
      <c r="X280" s="183">
        <v>3.4302998463862103E-2</v>
      </c>
      <c r="Y280" s="104">
        <v>3.1505234760075503E-2</v>
      </c>
      <c r="Z280" s="104" t="s">
        <v>462</v>
      </c>
      <c r="AA280" s="57" t="s">
        <v>64</v>
      </c>
      <c r="AB280" s="47" t="s">
        <v>64</v>
      </c>
      <c r="AC280" s="57">
        <v>1155.411578856467</v>
      </c>
      <c r="AD280" s="27" t="s">
        <v>470</v>
      </c>
      <c r="AE280" s="28">
        <f t="shared" si="75"/>
        <v>4.601637168070793</v>
      </c>
      <c r="AF280" s="197" t="s">
        <v>470</v>
      </c>
      <c r="AG280" s="84">
        <v>760</v>
      </c>
      <c r="AH280" s="157" t="s">
        <v>469</v>
      </c>
      <c r="AI280" s="8">
        <v>0.82101806239737274</v>
      </c>
      <c r="AJ280" s="9">
        <v>49.533999999999999</v>
      </c>
      <c r="AK280" s="9">
        <v>2.278</v>
      </c>
      <c r="AL280" s="9">
        <v>11.698</v>
      </c>
      <c r="AM280" s="189">
        <v>11.3361101634523</v>
      </c>
      <c r="AN280" s="9">
        <v>0.19500000000000001</v>
      </c>
      <c r="AO280" s="9">
        <v>11.566000000000001</v>
      </c>
      <c r="AP280" s="9">
        <v>10.262</v>
      </c>
      <c r="AQ280" s="9">
        <v>2.109</v>
      </c>
      <c r="AR280" s="9">
        <v>0.40899999999999997</v>
      </c>
      <c r="AS280" s="9">
        <v>0.248</v>
      </c>
      <c r="AT280" s="190">
        <v>687.83533004926107</v>
      </c>
      <c r="AU280" s="9">
        <v>0.5</v>
      </c>
      <c r="AV280" s="6">
        <v>36.465978980818313</v>
      </c>
      <c r="AW280" s="27">
        <v>544.45284127640798</v>
      </c>
      <c r="AX280" s="6">
        <v>580.91882025722578</v>
      </c>
      <c r="AY280" s="8">
        <f t="shared" si="76"/>
        <v>2.2678689988885412</v>
      </c>
      <c r="AZ280" s="9">
        <f t="shared" si="77"/>
        <v>9.2956103340308864</v>
      </c>
      <c r="BA280" s="123">
        <v>51.341799999999999</v>
      </c>
      <c r="BB280" s="121">
        <v>2.7587000000000002</v>
      </c>
      <c r="BC280" s="121">
        <v>14.1652</v>
      </c>
      <c r="BD280" s="121">
        <v>7.1478000000000002</v>
      </c>
      <c r="BE280" s="121">
        <v>0.15260000000000001</v>
      </c>
      <c r="BF280" s="121">
        <v>6.2610999999999999</v>
      </c>
      <c r="BG280" s="121">
        <v>12.274800000000001</v>
      </c>
      <c r="BH280" s="121">
        <v>2.5541999999999998</v>
      </c>
      <c r="BI280" s="121">
        <v>0.49490000000000001</v>
      </c>
      <c r="BJ280" s="121">
        <v>0.30059999999999998</v>
      </c>
      <c r="BK280" s="121">
        <v>8.3778343199999994E-2</v>
      </c>
      <c r="BL280" s="121">
        <f t="shared" si="74"/>
        <v>97.535478343199998</v>
      </c>
      <c r="BM280" s="121">
        <v>0.23055736956804099</v>
      </c>
      <c r="BN280" s="95">
        <v>44.415562398636702</v>
      </c>
      <c r="BO280" s="95">
        <v>663.14356067466497</v>
      </c>
      <c r="BP280" s="95">
        <v>707.55912307330095</v>
      </c>
      <c r="BQ280" s="194" t="s">
        <v>469</v>
      </c>
    </row>
    <row r="281" spans="12:69" ht="14.45" customHeight="1">
      <c r="L281" s="20" t="s">
        <v>64</v>
      </c>
      <c r="M281" s="763" t="s">
        <v>459</v>
      </c>
      <c r="N281" s="15" t="s">
        <v>460</v>
      </c>
      <c r="O281" s="14" t="s">
        <v>1266</v>
      </c>
      <c r="P281" s="15" t="s">
        <v>405</v>
      </c>
      <c r="Q281" s="15" t="s">
        <v>468</v>
      </c>
      <c r="R281" s="193">
        <v>88.098932687470693</v>
      </c>
      <c r="S281" s="15" t="s">
        <v>64</v>
      </c>
      <c r="T281" s="14">
        <f t="shared" si="73"/>
        <v>1270.6569</v>
      </c>
      <c r="U281" s="27" t="s">
        <v>416</v>
      </c>
      <c r="V281" s="90">
        <v>6.3550525403309702E-2</v>
      </c>
      <c r="W281" s="109">
        <v>102.65146813480099</v>
      </c>
      <c r="X281" s="183">
        <v>3.5152511308432603E-2</v>
      </c>
      <c r="Y281" s="104">
        <v>2.7472305662257699E-2</v>
      </c>
      <c r="Z281" s="104" t="s">
        <v>462</v>
      </c>
      <c r="AA281" s="57" t="s">
        <v>64</v>
      </c>
      <c r="AB281" s="47" t="s">
        <v>64</v>
      </c>
      <c r="AC281" s="57">
        <v>1051.0183013187291</v>
      </c>
      <c r="AD281" s="27" t="s">
        <v>470</v>
      </c>
      <c r="AE281" s="28">
        <f t="shared" si="75"/>
        <v>4.224260507318534</v>
      </c>
      <c r="AF281" s="197" t="s">
        <v>470</v>
      </c>
      <c r="AG281" s="84">
        <v>670</v>
      </c>
      <c r="AH281" s="157" t="s">
        <v>469</v>
      </c>
      <c r="AI281" s="8">
        <v>0.79145231499802138</v>
      </c>
      <c r="AJ281" s="9">
        <v>49.780999999999999</v>
      </c>
      <c r="AK281" s="9">
        <v>2.1230000000000002</v>
      </c>
      <c r="AL281" s="9">
        <v>11.218</v>
      </c>
      <c r="AM281" s="189">
        <v>11.334110496815601</v>
      </c>
      <c r="AN281" s="9">
        <v>0.14199999999999999</v>
      </c>
      <c r="AO281" s="9">
        <v>12.769</v>
      </c>
      <c r="AP281" s="9">
        <v>9.5619999999999994</v>
      </c>
      <c r="AQ281" s="9">
        <v>2.1360000000000001</v>
      </c>
      <c r="AR281" s="9">
        <v>0.39100000000000001</v>
      </c>
      <c r="AS281" s="9">
        <v>0.19500000000000001</v>
      </c>
      <c r="AT281" s="190">
        <v>696.3377475267115</v>
      </c>
      <c r="AU281" s="9">
        <v>0.5</v>
      </c>
      <c r="AV281" s="6">
        <v>29.239656868681994</v>
      </c>
      <c r="AW281" s="27">
        <v>508.54481959901943</v>
      </c>
      <c r="AX281" s="6">
        <v>537.78447646770167</v>
      </c>
      <c r="AY281" s="8">
        <f t="shared" si="76"/>
        <v>2.2674689514376873</v>
      </c>
      <c r="AZ281" s="9">
        <f t="shared" si="77"/>
        <v>9.2939706073887933</v>
      </c>
      <c r="BA281" s="123">
        <v>52.4191</v>
      </c>
      <c r="BB281" s="121">
        <v>2.6857000000000002</v>
      </c>
      <c r="BC281" s="121">
        <v>14.1913</v>
      </c>
      <c r="BD281" s="121">
        <v>7.1093999999999999</v>
      </c>
      <c r="BE281" s="121">
        <v>8.9599999999999999E-2</v>
      </c>
      <c r="BF281" s="121">
        <v>6.2259000000000002</v>
      </c>
      <c r="BG281" s="121">
        <v>11.917899999999999</v>
      </c>
      <c r="BH281" s="121">
        <v>2.7017000000000002</v>
      </c>
      <c r="BI281" s="121">
        <v>0.49509999999999998</v>
      </c>
      <c r="BJ281" s="121">
        <v>0.24709999999999999</v>
      </c>
      <c r="BK281" s="121">
        <v>8.7982274399999991E-2</v>
      </c>
      <c r="BL281" s="121">
        <f t="shared" si="74"/>
        <v>98.170782274399997</v>
      </c>
      <c r="BM281" s="121">
        <v>0.220602978455854</v>
      </c>
      <c r="BN281" s="95">
        <v>36.944306453579699</v>
      </c>
      <c r="BO281" s="95">
        <v>642.54637956336103</v>
      </c>
      <c r="BP281" s="95">
        <v>679.49068601694103</v>
      </c>
      <c r="BQ281" s="194" t="s">
        <v>469</v>
      </c>
    </row>
    <row r="282" spans="12:69" ht="14.45" customHeight="1">
      <c r="L282" s="20" t="s">
        <v>64</v>
      </c>
      <c r="M282" s="763" t="s">
        <v>459</v>
      </c>
      <c r="N282" s="15" t="s">
        <v>460</v>
      </c>
      <c r="O282" s="14" t="s">
        <v>1267</v>
      </c>
      <c r="P282" s="15" t="s">
        <v>405</v>
      </c>
      <c r="Q282" s="15" t="s">
        <v>468</v>
      </c>
      <c r="R282" s="193">
        <v>88.480682947044301</v>
      </c>
      <c r="S282" s="15" t="s">
        <v>64</v>
      </c>
      <c r="T282" s="14">
        <f t="shared" si="73"/>
        <v>1280.0637000000002</v>
      </c>
      <c r="U282" s="27" t="s">
        <v>416</v>
      </c>
      <c r="V282" s="90">
        <v>5.7072614560742599E-2</v>
      </c>
      <c r="W282" s="109">
        <v>102.668992325659</v>
      </c>
      <c r="X282" s="183">
        <v>1.0582060460014199E-2</v>
      </c>
      <c r="Y282" s="104">
        <v>3.3109832390614699E-2</v>
      </c>
      <c r="Z282" s="104" t="s">
        <v>462</v>
      </c>
      <c r="AA282" s="57" t="s">
        <v>64</v>
      </c>
      <c r="AB282" s="47" t="s">
        <v>64</v>
      </c>
      <c r="AC282" s="57">
        <v>1105.105492663238</v>
      </c>
      <c r="AD282" s="27" t="s">
        <v>470</v>
      </c>
      <c r="AE282" s="28">
        <f t="shared" si="75"/>
        <v>4.4205294164445395</v>
      </c>
      <c r="AF282" s="197" t="s">
        <v>470</v>
      </c>
      <c r="AG282" s="84">
        <v>700</v>
      </c>
      <c r="AH282" s="157" t="s">
        <v>469</v>
      </c>
      <c r="AI282" s="8">
        <v>0.77887685956850217</v>
      </c>
      <c r="AJ282" s="9">
        <v>49.594000000000001</v>
      </c>
      <c r="AK282" s="9">
        <v>2.032</v>
      </c>
      <c r="AL282" s="9">
        <v>11.022</v>
      </c>
      <c r="AM282" s="189">
        <v>11.330111163542201</v>
      </c>
      <c r="AN282" s="9">
        <v>0.15</v>
      </c>
      <c r="AO282" s="9">
        <v>13.237</v>
      </c>
      <c r="AP282" s="9">
        <v>9.75</v>
      </c>
      <c r="AQ282" s="9">
        <v>2.008</v>
      </c>
      <c r="AR282" s="9">
        <v>0.32800000000000001</v>
      </c>
      <c r="AS282" s="9">
        <v>0.19700000000000001</v>
      </c>
      <c r="AT282" s="190">
        <v>563.65505724744912</v>
      </c>
      <c r="AU282" s="9">
        <v>0.5</v>
      </c>
      <c r="AV282" s="6">
        <v>25.359463531116205</v>
      </c>
      <c r="AW282" s="27">
        <v>542.11747866227506</v>
      </c>
      <c r="AX282" s="6">
        <v>567.47694219339201</v>
      </c>
      <c r="AY282" s="8">
        <f t="shared" si="76"/>
        <v>2.2666688565359805</v>
      </c>
      <c r="AZ282" s="9">
        <f t="shared" si="77"/>
        <v>9.2906911541046053</v>
      </c>
      <c r="BA282" s="123">
        <v>52.373800000000003</v>
      </c>
      <c r="BB282" s="121">
        <v>2.6126</v>
      </c>
      <c r="BC282" s="121">
        <v>14.170999999999999</v>
      </c>
      <c r="BD282" s="121">
        <v>6.6379999999999999</v>
      </c>
      <c r="BE282" s="121">
        <v>9.8500000000000004E-2</v>
      </c>
      <c r="BF282" s="121">
        <v>6.3783000000000003</v>
      </c>
      <c r="BG282" s="121">
        <v>12.3454</v>
      </c>
      <c r="BH282" s="121">
        <v>2.5811999999999999</v>
      </c>
      <c r="BI282" s="121">
        <v>0.42170000000000002</v>
      </c>
      <c r="BJ282" s="121">
        <v>0.25309999999999999</v>
      </c>
      <c r="BK282" s="121">
        <v>7.2367672800000005E-2</v>
      </c>
      <c r="BL282" s="121">
        <f t="shared" si="74"/>
        <v>97.945967672799995</v>
      </c>
      <c r="BM282" s="121">
        <v>0.23036695037063901</v>
      </c>
      <c r="BN282" s="95">
        <v>32.559015227600099</v>
      </c>
      <c r="BO282" s="95">
        <v>696.02463085449494</v>
      </c>
      <c r="BP282" s="95">
        <v>728.58364608209604</v>
      </c>
      <c r="BQ282" s="194" t="s">
        <v>469</v>
      </c>
    </row>
    <row r="283" spans="12:69" ht="14.45" customHeight="1">
      <c r="L283" s="20" t="s">
        <v>64</v>
      </c>
      <c r="M283" s="763" t="s">
        <v>459</v>
      </c>
      <c r="N283" s="15" t="s">
        <v>460</v>
      </c>
      <c r="O283" s="14" t="s">
        <v>1268</v>
      </c>
      <c r="P283" s="15" t="s">
        <v>405</v>
      </c>
      <c r="Q283" s="15" t="s">
        <v>468</v>
      </c>
      <c r="R283" s="193">
        <v>88.439057873125805</v>
      </c>
      <c r="S283" s="15" t="s">
        <v>64</v>
      </c>
      <c r="T283" s="14">
        <f t="shared" si="73"/>
        <v>1276.7472</v>
      </c>
      <c r="U283" s="27" t="s">
        <v>416</v>
      </c>
      <c r="V283" s="90">
        <v>4.9648746222802402E-2</v>
      </c>
      <c r="W283" s="109">
        <v>102.69773488180201</v>
      </c>
      <c r="X283" s="183">
        <v>8.0234751203653708E-3</v>
      </c>
      <c r="Y283" s="104">
        <v>4.2356303729342001E-2</v>
      </c>
      <c r="Z283" s="104" t="s">
        <v>462</v>
      </c>
      <c r="AA283" s="57" t="s">
        <v>64</v>
      </c>
      <c r="AB283" s="47" t="s">
        <v>64</v>
      </c>
      <c r="AC283" s="57">
        <v>1170.633231086425</v>
      </c>
      <c r="AD283" s="27" t="s">
        <v>470</v>
      </c>
      <c r="AE283" s="28">
        <f t="shared" si="75"/>
        <v>4.6561714553746736</v>
      </c>
      <c r="AF283" s="197" t="s">
        <v>470</v>
      </c>
      <c r="AG283" s="84">
        <v>780</v>
      </c>
      <c r="AH283" s="157" t="s">
        <v>469</v>
      </c>
      <c r="AI283" s="8">
        <v>0.78505259852410114</v>
      </c>
      <c r="AJ283" s="9">
        <v>49.203000000000003</v>
      </c>
      <c r="AK283" s="9">
        <v>2.177</v>
      </c>
      <c r="AL283" s="9">
        <v>11.313000000000001</v>
      </c>
      <c r="AM283" s="189">
        <v>11.334110496815601</v>
      </c>
      <c r="AN283" s="9">
        <v>0.16500000000000001</v>
      </c>
      <c r="AO283" s="9">
        <v>13.071999999999999</v>
      </c>
      <c r="AP283" s="9">
        <v>9.5649999999999995</v>
      </c>
      <c r="AQ283" s="9">
        <v>2.1389999999999998</v>
      </c>
      <c r="AR283" s="9">
        <v>0.41099999999999998</v>
      </c>
      <c r="AS283" s="9">
        <v>0.26900000000000002</v>
      </c>
      <c r="AT283" s="190">
        <v>684.02793845187637</v>
      </c>
      <c r="AU283" s="9">
        <v>0.5</v>
      </c>
      <c r="AV283" s="6">
        <v>32.705369683195244</v>
      </c>
      <c r="AW283" s="27">
        <v>605.77612894674758</v>
      </c>
      <c r="AX283" s="6">
        <v>638.48149862994285</v>
      </c>
      <c r="AY283" s="8">
        <f t="shared" si="76"/>
        <v>2.2674689514376873</v>
      </c>
      <c r="AZ283" s="9">
        <f t="shared" si="77"/>
        <v>9.2939706073887933</v>
      </c>
      <c r="BA283" s="123">
        <v>51.702399999999997</v>
      </c>
      <c r="BB283" s="121">
        <v>2.7734999999999999</v>
      </c>
      <c r="BC283" s="121">
        <v>14.4115</v>
      </c>
      <c r="BD283" s="121">
        <v>7.3762999999999996</v>
      </c>
      <c r="BE283" s="121">
        <v>0.1211</v>
      </c>
      <c r="BF283" s="121">
        <v>6.0723000000000003</v>
      </c>
      <c r="BG283" s="121">
        <v>12.002000000000001</v>
      </c>
      <c r="BH283" s="121">
        <v>2.7252000000000001</v>
      </c>
      <c r="BI283" s="121">
        <v>0.52370000000000005</v>
      </c>
      <c r="BJ283" s="121">
        <v>0.34279999999999999</v>
      </c>
      <c r="BK283" s="121">
        <v>8.7131478800000009E-2</v>
      </c>
      <c r="BL283" s="121">
        <f t="shared" si="74"/>
        <v>98.137931478799999</v>
      </c>
      <c r="BM283" s="121">
        <v>0.223381716812979</v>
      </c>
      <c r="BN283" s="95">
        <v>41.6600999024541</v>
      </c>
      <c r="BO283" s="95">
        <v>771.63763305236705</v>
      </c>
      <c r="BP283" s="95">
        <v>813.29773295482096</v>
      </c>
      <c r="BQ283" s="194" t="s">
        <v>469</v>
      </c>
    </row>
    <row r="284" spans="12:69" ht="14.45" customHeight="1">
      <c r="L284" s="20" t="s">
        <v>64</v>
      </c>
      <c r="M284" s="763" t="s">
        <v>459</v>
      </c>
      <c r="N284" s="15" t="s">
        <v>460</v>
      </c>
      <c r="O284" s="14" t="s">
        <v>1269</v>
      </c>
      <c r="P284" s="15" t="s">
        <v>405</v>
      </c>
      <c r="Q284" s="15" t="s">
        <v>468</v>
      </c>
      <c r="R284" s="193">
        <v>86.696883789855193</v>
      </c>
      <c r="S284" s="15" t="s">
        <v>64</v>
      </c>
      <c r="T284" s="14">
        <f t="shared" si="73"/>
        <v>1242.3962999999999</v>
      </c>
      <c r="U284" s="27" t="s">
        <v>416</v>
      </c>
      <c r="V284" s="90">
        <v>4.36206634269121E-2</v>
      </c>
      <c r="W284" s="109">
        <v>102.734944944945</v>
      </c>
      <c r="X284" s="183">
        <v>3.9159443184630702E-2</v>
      </c>
      <c r="Y284" s="104">
        <v>5.43267694263889E-2</v>
      </c>
      <c r="Z284" s="104" t="s">
        <v>462</v>
      </c>
      <c r="AA284" s="57" t="s">
        <v>64</v>
      </c>
      <c r="AB284" s="47" t="s">
        <v>64</v>
      </c>
      <c r="AC284" s="57">
        <v>1504.967575679555</v>
      </c>
      <c r="AD284" s="27" t="s">
        <v>470</v>
      </c>
      <c r="AE284" s="28">
        <f t="shared" si="75"/>
        <v>5.8260805530386683</v>
      </c>
      <c r="AF284" s="197" t="s">
        <v>470</v>
      </c>
      <c r="AG284" s="84">
        <v>980</v>
      </c>
      <c r="AH284" s="157" t="s">
        <v>469</v>
      </c>
      <c r="AI284" s="8">
        <v>0.82061381913671427</v>
      </c>
      <c r="AJ284" s="9">
        <v>49.764000000000003</v>
      </c>
      <c r="AK284" s="9">
        <v>2.2839999999999998</v>
      </c>
      <c r="AL284" s="9">
        <v>11.887</v>
      </c>
      <c r="AM284" s="189">
        <v>11.332110830178898</v>
      </c>
      <c r="AN284" s="9">
        <v>0.192</v>
      </c>
      <c r="AO284" s="9">
        <v>11.363</v>
      </c>
      <c r="AP284" s="9">
        <v>10.16</v>
      </c>
      <c r="AQ284" s="9">
        <v>1.978</v>
      </c>
      <c r="AR284" s="9">
        <v>0.42599999999999999</v>
      </c>
      <c r="AS284" s="9">
        <v>0.254</v>
      </c>
      <c r="AT284" s="190">
        <v>740.47579517479073</v>
      </c>
      <c r="AU284" s="9">
        <v>0.5</v>
      </c>
      <c r="AV284" s="6">
        <v>28.654073547471853</v>
      </c>
      <c r="AW284" s="27">
        <v>713.96675724414331</v>
      </c>
      <c r="AX284" s="6">
        <v>742.62083079161494</v>
      </c>
      <c r="AY284" s="8">
        <f t="shared" si="76"/>
        <v>2.2670689039868335</v>
      </c>
      <c r="AZ284" s="9">
        <f t="shared" si="77"/>
        <v>9.2923308807466967</v>
      </c>
      <c r="BA284" s="123">
        <v>51.2836</v>
      </c>
      <c r="BB284" s="121">
        <v>2.7477</v>
      </c>
      <c r="BC284" s="121">
        <v>14.302899999999999</v>
      </c>
      <c r="BD284" s="121">
        <v>7.181</v>
      </c>
      <c r="BE284" s="121">
        <v>0.1462</v>
      </c>
      <c r="BF284" s="121">
        <v>5.9212999999999996</v>
      </c>
      <c r="BG284" s="121">
        <v>12.072800000000001</v>
      </c>
      <c r="BH284" s="121">
        <v>2.3795000000000002</v>
      </c>
      <c r="BI284" s="121">
        <v>0.51249999999999996</v>
      </c>
      <c r="BJ284" s="121">
        <v>0.30590000000000001</v>
      </c>
      <c r="BK284" s="121">
        <v>9.0234380399999994E-2</v>
      </c>
      <c r="BL284" s="121">
        <f t="shared" si="74"/>
        <v>96.943634380399999</v>
      </c>
      <c r="BM284" s="121">
        <v>0.22663270101531299</v>
      </c>
      <c r="BN284" s="95">
        <v>34.9178540249492</v>
      </c>
      <c r="BO284" s="95">
        <v>870.03989037771305</v>
      </c>
      <c r="BP284" s="95">
        <v>904.957744402662</v>
      </c>
      <c r="BQ284" s="194" t="s">
        <v>469</v>
      </c>
    </row>
    <row r="285" spans="12:69" ht="14.45" customHeight="1">
      <c r="L285" s="20" t="s">
        <v>64</v>
      </c>
      <c r="M285" s="763" t="s">
        <v>459</v>
      </c>
      <c r="N285" s="15" t="s">
        <v>460</v>
      </c>
      <c r="O285" s="14" t="s">
        <v>1270</v>
      </c>
      <c r="P285" s="15" t="s">
        <v>405</v>
      </c>
      <c r="Q285" s="15" t="s">
        <v>468</v>
      </c>
      <c r="R285" s="193">
        <v>86.411894012839895</v>
      </c>
      <c r="S285" s="15" t="s">
        <v>64</v>
      </c>
      <c r="T285" s="14">
        <f t="shared" si="73"/>
        <v>1231.9644000000001</v>
      </c>
      <c r="U285" s="27" t="s">
        <v>416</v>
      </c>
      <c r="V285" s="90">
        <v>6.0099064528128902E-2</v>
      </c>
      <c r="W285" s="109">
        <v>102.608138138138</v>
      </c>
      <c r="X285" s="183">
        <v>2.17128739000375E-2</v>
      </c>
      <c r="Y285" s="104">
        <v>1.3533059262052E-2</v>
      </c>
      <c r="Z285" s="104" t="s">
        <v>462</v>
      </c>
      <c r="AA285" s="57" t="s">
        <v>64</v>
      </c>
      <c r="AB285" s="47" t="s">
        <v>64</v>
      </c>
      <c r="AC285" s="57">
        <v>593.39598957077624</v>
      </c>
      <c r="AD285" s="27" t="s">
        <v>470</v>
      </c>
      <c r="AE285" s="28">
        <f t="shared" si="75"/>
        <v>2.4904308765895209</v>
      </c>
      <c r="AF285" s="197" t="s">
        <v>470</v>
      </c>
      <c r="AG285" s="84">
        <v>410</v>
      </c>
      <c r="AH285" s="157" t="s">
        <v>469</v>
      </c>
      <c r="AI285" s="8">
        <v>0.84466593462285666</v>
      </c>
      <c r="AJ285" s="9">
        <v>49.057000000000002</v>
      </c>
      <c r="AK285" s="9">
        <v>2.4220000000000002</v>
      </c>
      <c r="AL285" s="9">
        <v>12.138</v>
      </c>
      <c r="AM285" s="189">
        <v>11.33311066349725</v>
      </c>
      <c r="AN285" s="9">
        <v>0.17799999999999999</v>
      </c>
      <c r="AO285" s="9">
        <v>10.843999999999999</v>
      </c>
      <c r="AP285" s="9">
        <v>10.678000000000001</v>
      </c>
      <c r="AQ285" s="9">
        <v>2.1920000000000002</v>
      </c>
      <c r="AR285" s="9">
        <v>0.44500000000000001</v>
      </c>
      <c r="AS285" s="9">
        <v>0.32900000000000001</v>
      </c>
      <c r="AT285" s="190">
        <v>812.48373680209477</v>
      </c>
      <c r="AU285" s="9">
        <v>0.5</v>
      </c>
      <c r="AV285" s="6">
        <v>37.7587958383725</v>
      </c>
      <c r="AW285" s="27">
        <v>249.87371377316748</v>
      </c>
      <c r="AX285" s="6">
        <v>287.63250961153983</v>
      </c>
      <c r="AY285" s="8">
        <f t="shared" si="76"/>
        <v>2.2672689277122609</v>
      </c>
      <c r="AZ285" s="9">
        <f t="shared" si="77"/>
        <v>9.293150744067745</v>
      </c>
      <c r="BA285" s="123">
        <v>50.804299999999998</v>
      </c>
      <c r="BB285" s="121">
        <v>2.8700999999999999</v>
      </c>
      <c r="BC285" s="121">
        <v>14.385199999999999</v>
      </c>
      <c r="BD285" s="121">
        <v>8.4515999999999991</v>
      </c>
      <c r="BE285" s="121">
        <v>0.13780000000000001</v>
      </c>
      <c r="BF285" s="121">
        <v>5.9402999999999997</v>
      </c>
      <c r="BG285" s="121">
        <v>12.523999999999999</v>
      </c>
      <c r="BH285" s="121">
        <v>2.5983000000000001</v>
      </c>
      <c r="BI285" s="121">
        <v>0.52780000000000005</v>
      </c>
      <c r="BJ285" s="121">
        <v>0.38950000000000001</v>
      </c>
      <c r="BK285" s="121">
        <v>9.6189949600000005E-2</v>
      </c>
      <c r="BL285" s="121">
        <f t="shared" si="74"/>
        <v>98.72508994959999</v>
      </c>
      <c r="BM285" s="121">
        <v>0.245667641138825</v>
      </c>
      <c r="BN285" s="95">
        <v>44.702638393049199</v>
      </c>
      <c r="BO285" s="95">
        <v>295.82548973605299</v>
      </c>
      <c r="BP285" s="95">
        <v>340.52812812910202</v>
      </c>
      <c r="BQ285" s="194" t="s">
        <v>469</v>
      </c>
    </row>
    <row r="286" spans="12:69" ht="14.45" customHeight="1">
      <c r="L286" s="20" t="s">
        <v>64</v>
      </c>
      <c r="M286" s="763" t="s">
        <v>459</v>
      </c>
      <c r="N286" s="15" t="s">
        <v>460</v>
      </c>
      <c r="O286" s="14" t="s">
        <v>1271</v>
      </c>
      <c r="P286" s="15" t="s">
        <v>405</v>
      </c>
      <c r="Q286" s="15" t="s">
        <v>468</v>
      </c>
      <c r="R286" s="193">
        <v>85.597223447744796</v>
      </c>
      <c r="S286" s="15" t="s">
        <v>64</v>
      </c>
      <c r="T286" s="14">
        <f t="shared" si="73"/>
        <v>1221.5124000000001</v>
      </c>
      <c r="U286" s="27" t="s">
        <v>416</v>
      </c>
      <c r="V286" s="90">
        <v>5.8108148715715E-2</v>
      </c>
      <c r="W286" s="109">
        <v>102.661826826827</v>
      </c>
      <c r="X286" s="183">
        <v>1.53203203200007E-2</v>
      </c>
      <c r="Y286" s="104">
        <v>3.0804693653223601E-2</v>
      </c>
      <c r="Z286" s="104" t="s">
        <v>462</v>
      </c>
      <c r="AA286" s="57" t="s">
        <v>64</v>
      </c>
      <c r="AB286" s="47" t="s">
        <v>64</v>
      </c>
      <c r="AC286" s="57">
        <v>1175.591009671967</v>
      </c>
      <c r="AD286" s="27" t="s">
        <v>470</v>
      </c>
      <c r="AE286" s="28">
        <f t="shared" si="75"/>
        <v>4.6739074418791757</v>
      </c>
      <c r="AF286" s="197" t="s">
        <v>470</v>
      </c>
      <c r="AG286" s="84">
        <v>800</v>
      </c>
      <c r="AH286" s="157" t="s">
        <v>469</v>
      </c>
      <c r="AI286" s="8">
        <v>0.84595211911005841</v>
      </c>
      <c r="AJ286" s="9">
        <v>50.192999999999998</v>
      </c>
      <c r="AK286" s="9">
        <v>2.1539999999999999</v>
      </c>
      <c r="AL286" s="9">
        <v>12.106</v>
      </c>
      <c r="AM286" s="189">
        <v>11.33710999677065</v>
      </c>
      <c r="AN286" s="9">
        <v>0.157</v>
      </c>
      <c r="AO286" s="9">
        <v>10.324</v>
      </c>
      <c r="AP286" s="9">
        <v>10.413</v>
      </c>
      <c r="AQ286" s="9">
        <v>2.351</v>
      </c>
      <c r="AR286" s="9">
        <v>0.37</v>
      </c>
      <c r="AS286" s="9">
        <v>0.216</v>
      </c>
      <c r="AT286" s="190">
        <v>713.38176127231202</v>
      </c>
      <c r="AU286" s="9">
        <v>0.5</v>
      </c>
      <c r="AV286" s="6">
        <v>22.158517806835633</v>
      </c>
      <c r="AW286" s="27">
        <v>555.83821490166144</v>
      </c>
      <c r="AX286" s="6">
        <v>577.99673270849758</v>
      </c>
      <c r="AY286" s="8">
        <f t="shared" si="76"/>
        <v>2.2680690226139677</v>
      </c>
      <c r="AZ286" s="9">
        <f t="shared" si="77"/>
        <v>9.2964301973519348</v>
      </c>
      <c r="BA286" s="123">
        <v>51.420699999999997</v>
      </c>
      <c r="BB286" s="121">
        <v>2.5122</v>
      </c>
      <c r="BC286" s="121">
        <v>14.1218</v>
      </c>
      <c r="BD286" s="121">
        <v>7.6089000000000002</v>
      </c>
      <c r="BE286" s="121">
        <v>0.1047</v>
      </c>
      <c r="BF286" s="121">
        <v>5.7645999999999997</v>
      </c>
      <c r="BG286" s="121">
        <v>12.0207</v>
      </c>
      <c r="BH286" s="121">
        <v>2.7423000000000002</v>
      </c>
      <c r="BI286" s="121">
        <v>0.43130000000000002</v>
      </c>
      <c r="BJ286" s="121">
        <v>0.252</v>
      </c>
      <c r="BK286" s="121">
        <v>8.4328858000000007E-2</v>
      </c>
      <c r="BL286" s="121">
        <f t="shared" si="74"/>
        <v>97.063528857999998</v>
      </c>
      <c r="BM286" s="121">
        <v>0.23812248998241101</v>
      </c>
      <c r="BN286" s="95">
        <v>26.1935838994604</v>
      </c>
      <c r="BO286" s="95">
        <v>657.05635383525396</v>
      </c>
      <c r="BP286" s="95">
        <v>683.24993773471499</v>
      </c>
      <c r="BQ286" s="194" t="s">
        <v>469</v>
      </c>
    </row>
    <row r="287" spans="12:69" ht="14.45" customHeight="1">
      <c r="L287" s="20" t="s">
        <v>64</v>
      </c>
      <c r="M287" s="763" t="s">
        <v>459</v>
      </c>
      <c r="N287" s="15" t="s">
        <v>460</v>
      </c>
      <c r="O287" s="14" t="s">
        <v>1272</v>
      </c>
      <c r="P287" s="15" t="s">
        <v>405</v>
      </c>
      <c r="Q287" s="15" t="s">
        <v>468</v>
      </c>
      <c r="R287" s="193">
        <v>83.9461602221063</v>
      </c>
      <c r="S287" s="15" t="s">
        <v>64</v>
      </c>
      <c r="T287" s="14">
        <f t="shared" si="73"/>
        <v>1198.92</v>
      </c>
      <c r="U287" s="27" t="s">
        <v>416</v>
      </c>
      <c r="V287" s="90" t="s">
        <v>64</v>
      </c>
      <c r="W287" s="109" t="s">
        <v>481</v>
      </c>
      <c r="X287" s="183" t="s">
        <v>64</v>
      </c>
      <c r="Y287" s="104" t="s">
        <v>64</v>
      </c>
      <c r="Z287" s="104" t="s">
        <v>64</v>
      </c>
      <c r="AA287" s="57" t="s">
        <v>64</v>
      </c>
      <c r="AB287" s="47" t="s">
        <v>64</v>
      </c>
      <c r="AC287" s="57">
        <v>828.49490860105027</v>
      </c>
      <c r="AD287" s="27" t="s">
        <v>470</v>
      </c>
      <c r="AE287" s="28">
        <f t="shared" si="75"/>
        <v>3.3985190648387835</v>
      </c>
      <c r="AF287" s="197" t="s">
        <v>470</v>
      </c>
      <c r="AG287" s="84">
        <v>570</v>
      </c>
      <c r="AH287" s="157" t="s">
        <v>469</v>
      </c>
      <c r="AI287" s="8">
        <v>0.89381480157311399</v>
      </c>
      <c r="AJ287" s="9">
        <v>50.542000000000002</v>
      </c>
      <c r="AK287" s="9">
        <v>2.0419999999999998</v>
      </c>
      <c r="AL287" s="9">
        <v>12.855</v>
      </c>
      <c r="AM287" s="189">
        <v>11.329111330223849</v>
      </c>
      <c r="AN287" s="9">
        <v>0.113</v>
      </c>
      <c r="AO287" s="9">
        <v>9.1999999999999993</v>
      </c>
      <c r="AP287" s="9">
        <v>10.314</v>
      </c>
      <c r="AQ287" s="9">
        <v>2.4569999999999999</v>
      </c>
      <c r="AR287" s="9">
        <v>0.441</v>
      </c>
      <c r="AS287" s="9">
        <v>0.26400000000000001</v>
      </c>
      <c r="AT287" s="190">
        <v>414.22360386127991</v>
      </c>
      <c r="AU287" s="9">
        <v>0.5</v>
      </c>
      <c r="AV287" s="6">
        <v>383.1886129648766</v>
      </c>
      <c r="AW287" s="27" t="s">
        <v>64</v>
      </c>
      <c r="AX287" s="6">
        <v>383.18861296487654</v>
      </c>
      <c r="AY287" s="8">
        <f t="shared" si="76"/>
        <v>2.2664688328105536</v>
      </c>
      <c r="AZ287" s="9">
        <f t="shared" si="77"/>
        <v>9.2898712907835588</v>
      </c>
      <c r="BA287" s="123">
        <v>50.562100000000001</v>
      </c>
      <c r="BB287" s="121">
        <v>2.2273999999999998</v>
      </c>
      <c r="BC287" s="121">
        <v>14.0242</v>
      </c>
      <c r="BD287" s="121">
        <v>8.6312999999999995</v>
      </c>
      <c r="BE287" s="121">
        <v>6.5699999999999995E-2</v>
      </c>
      <c r="BF287" s="121">
        <v>6.0778999999999996</v>
      </c>
      <c r="BG287" s="121">
        <v>11.1731</v>
      </c>
      <c r="BH287" s="121">
        <v>2.6804999999999999</v>
      </c>
      <c r="BI287" s="121">
        <v>0.48159999999999997</v>
      </c>
      <c r="BJ287" s="121">
        <v>0.28770000000000001</v>
      </c>
      <c r="BK287" s="121">
        <v>4.6343336799999996E-2</v>
      </c>
      <c r="BL287" s="121">
        <f t="shared" si="74"/>
        <v>96.257843336800022</v>
      </c>
      <c r="BM287" s="121">
        <v>0.294430879366605</v>
      </c>
      <c r="BN287" s="95">
        <v>428.71142018510398</v>
      </c>
      <c r="BO287" s="95" t="s">
        <v>64</v>
      </c>
      <c r="BP287" s="95">
        <v>428.71142018510398</v>
      </c>
      <c r="BQ287" s="194" t="s">
        <v>469</v>
      </c>
    </row>
    <row r="288" spans="12:69" ht="14.45" customHeight="1">
      <c r="L288" s="20" t="s">
        <v>64</v>
      </c>
      <c r="M288" s="763" t="s">
        <v>459</v>
      </c>
      <c r="N288" s="15" t="s">
        <v>460</v>
      </c>
      <c r="O288" s="14" t="s">
        <v>1273</v>
      </c>
      <c r="P288" s="15" t="s">
        <v>405</v>
      </c>
      <c r="Q288" s="15" t="s">
        <v>468</v>
      </c>
      <c r="R288" s="193">
        <v>86.444533396139803</v>
      </c>
      <c r="S288" s="15" t="s">
        <v>64</v>
      </c>
      <c r="T288" s="14">
        <f t="shared" si="73"/>
        <v>1236.2055</v>
      </c>
      <c r="U288" s="27" t="s">
        <v>416</v>
      </c>
      <c r="V288" s="90">
        <v>4.2554452142103801E-2</v>
      </c>
      <c r="W288" s="109">
        <v>102.708268268268</v>
      </c>
      <c r="X288" s="183">
        <v>2.8311979822918502E-2</v>
      </c>
      <c r="Y288" s="104">
        <v>4.5744890867204901E-2</v>
      </c>
      <c r="Z288" s="104" t="s">
        <v>462</v>
      </c>
      <c r="AA288" s="57" t="s">
        <v>64</v>
      </c>
      <c r="AB288" s="47" t="s">
        <v>64</v>
      </c>
      <c r="AC288" s="57">
        <v>1263.3339324483011</v>
      </c>
      <c r="AD288" s="27" t="s">
        <v>470</v>
      </c>
      <c r="AE288" s="28">
        <f t="shared" si="75"/>
        <v>4.9857342638508264</v>
      </c>
      <c r="AF288" s="197" t="s">
        <v>470</v>
      </c>
      <c r="AG288" s="84">
        <v>840</v>
      </c>
      <c r="AH288" s="157" t="s">
        <v>469</v>
      </c>
      <c r="AI288" s="8">
        <v>0.82399472643375082</v>
      </c>
      <c r="AJ288" s="9">
        <v>49.921999999999997</v>
      </c>
      <c r="AK288" s="9">
        <v>2.2010000000000001</v>
      </c>
      <c r="AL288" s="9">
        <v>11.943</v>
      </c>
      <c r="AM288" s="189">
        <v>11.335110330133951</v>
      </c>
      <c r="AN288" s="9">
        <v>0.14499999999999999</v>
      </c>
      <c r="AO288" s="9">
        <v>11.055</v>
      </c>
      <c r="AP288" s="9">
        <v>10.114000000000001</v>
      </c>
      <c r="AQ288" s="9">
        <v>2.2109999999999999</v>
      </c>
      <c r="AR288" s="9">
        <v>0.435</v>
      </c>
      <c r="AS288" s="9">
        <v>0.22</v>
      </c>
      <c r="AT288" s="190">
        <v>656.51372445616346</v>
      </c>
      <c r="AU288" s="9">
        <v>0.5</v>
      </c>
      <c r="AV288" s="6">
        <v>39.731022239976269</v>
      </c>
      <c r="AW288" s="27">
        <v>592.38774724773407</v>
      </c>
      <c r="AX288" s="6">
        <v>632.1187694877101</v>
      </c>
      <c r="AY288" s="8">
        <f t="shared" si="76"/>
        <v>2.2676689751631143</v>
      </c>
      <c r="AZ288" s="9">
        <f t="shared" si="77"/>
        <v>9.2947904707098417</v>
      </c>
      <c r="BA288" s="123">
        <v>51.646500000000003</v>
      </c>
      <c r="BB288" s="121">
        <v>2.6480999999999999</v>
      </c>
      <c r="BC288" s="121">
        <v>14.370200000000001</v>
      </c>
      <c r="BD288" s="121">
        <v>6.3154000000000003</v>
      </c>
      <c r="BE288" s="121">
        <v>8.8599999999999998E-2</v>
      </c>
      <c r="BF288" s="121">
        <v>6.2697000000000003</v>
      </c>
      <c r="BG288" s="121">
        <v>12.020300000000001</v>
      </c>
      <c r="BH288" s="121">
        <v>2.6608000000000001</v>
      </c>
      <c r="BI288" s="121">
        <v>0.52300000000000002</v>
      </c>
      <c r="BJ288" s="121">
        <v>0.2651</v>
      </c>
      <c r="BK288" s="121">
        <v>7.9674505600000001E-2</v>
      </c>
      <c r="BL288" s="121">
        <f t="shared" si="74"/>
        <v>96.887374505599993</v>
      </c>
      <c r="BM288" s="121">
        <v>0.293620844893419</v>
      </c>
      <c r="BN288" s="95">
        <v>48.217568590435199</v>
      </c>
      <c r="BO288" s="95">
        <v>718.92177005985002</v>
      </c>
      <c r="BP288" s="95">
        <v>767.13933865028503</v>
      </c>
      <c r="BQ288" s="194" t="s">
        <v>469</v>
      </c>
    </row>
    <row r="289" spans="12:69" ht="14.45" customHeight="1">
      <c r="L289" s="20" t="s">
        <v>64</v>
      </c>
      <c r="M289" s="763" t="s">
        <v>459</v>
      </c>
      <c r="N289" s="15" t="s">
        <v>460</v>
      </c>
      <c r="O289" s="14" t="s">
        <v>1274</v>
      </c>
      <c r="P289" s="15" t="s">
        <v>405</v>
      </c>
      <c r="Q289" s="15" t="s">
        <v>468</v>
      </c>
      <c r="R289" s="193">
        <v>87.702015133994109</v>
      </c>
      <c r="S289" s="15" t="s">
        <v>64</v>
      </c>
      <c r="T289" s="14">
        <f t="shared" si="73"/>
        <v>1259.2802999999999</v>
      </c>
      <c r="U289" s="27" t="s">
        <v>416</v>
      </c>
      <c r="V289" s="90">
        <v>7.5662381497241499E-2</v>
      </c>
      <c r="W289" s="109">
        <v>102.72280613947299</v>
      </c>
      <c r="X289" s="183">
        <v>2.9389436363653501E-2</v>
      </c>
      <c r="Y289" s="104">
        <v>5.0421719495332702E-2</v>
      </c>
      <c r="Z289" s="104" t="s">
        <v>462</v>
      </c>
      <c r="AA289" s="57" t="s">
        <v>64</v>
      </c>
      <c r="AB289" s="47" t="s">
        <v>64</v>
      </c>
      <c r="AC289" s="57">
        <v>2058.2262410556282</v>
      </c>
      <c r="AD289" s="27" t="s">
        <v>470</v>
      </c>
      <c r="AE289" s="28">
        <f t="shared" si="75"/>
        <v>7.675131609856499</v>
      </c>
      <c r="AF289" s="197" t="s">
        <v>470</v>
      </c>
      <c r="AG289" s="84">
        <v>1470</v>
      </c>
      <c r="AH289" s="157" t="s">
        <v>469</v>
      </c>
      <c r="AI289" s="8">
        <v>0.80115366127223198</v>
      </c>
      <c r="AJ289" s="9">
        <v>49.46</v>
      </c>
      <c r="AK289" s="9">
        <v>2.2210000000000001</v>
      </c>
      <c r="AL289" s="9">
        <v>11.47</v>
      </c>
      <c r="AM289" s="189">
        <v>11.334110496815601</v>
      </c>
      <c r="AN289" s="9">
        <v>0.19500000000000001</v>
      </c>
      <c r="AO289" s="9">
        <v>12.202999999999999</v>
      </c>
      <c r="AP289" s="9">
        <v>9.7509999999999994</v>
      </c>
      <c r="AQ289" s="9">
        <v>2.25</v>
      </c>
      <c r="AR289" s="9">
        <v>0.45100000000000001</v>
      </c>
      <c r="AS289" s="9">
        <v>0.254</v>
      </c>
      <c r="AT289" s="190">
        <v>638.71617048549911</v>
      </c>
      <c r="AU289" s="9">
        <v>0.5</v>
      </c>
      <c r="AV289" s="6">
        <v>68.670130922270786</v>
      </c>
      <c r="AW289" s="27">
        <v>1126.325919307659</v>
      </c>
      <c r="AX289" s="6">
        <v>1194.9960502299311</v>
      </c>
      <c r="AY289" s="8">
        <f t="shared" si="76"/>
        <v>2.2674689514376873</v>
      </c>
      <c r="AZ289" s="9">
        <f t="shared" si="77"/>
        <v>9.2939706073887933</v>
      </c>
      <c r="BA289" s="123">
        <v>51.632100000000001</v>
      </c>
      <c r="BB289" s="121">
        <v>2.7624</v>
      </c>
      <c r="BC289" s="121">
        <v>14.265599999999999</v>
      </c>
      <c r="BD289" s="121">
        <v>6.6235999999999997</v>
      </c>
      <c r="BE289" s="121">
        <v>0.153</v>
      </c>
      <c r="BF289" s="121">
        <v>6.2866</v>
      </c>
      <c r="BG289" s="121">
        <v>11.9574</v>
      </c>
      <c r="BH289" s="121">
        <v>2.7987000000000002</v>
      </c>
      <c r="BI289" s="121">
        <v>0.56140000000000001</v>
      </c>
      <c r="BJ289" s="121">
        <v>0.31530000000000002</v>
      </c>
      <c r="BK289" s="121">
        <v>7.9724552400000009E-2</v>
      </c>
      <c r="BL289" s="121">
        <f t="shared" si="74"/>
        <v>97.435824552399993</v>
      </c>
      <c r="BM289" s="121">
        <v>0.29300617092433601</v>
      </c>
      <c r="BN289" s="95">
        <v>85.714057417178395</v>
      </c>
      <c r="BO289" s="95">
        <v>1405.8800124798199</v>
      </c>
      <c r="BP289" s="95">
        <v>1491.5940698970001</v>
      </c>
      <c r="BQ289" s="194" t="s">
        <v>469</v>
      </c>
    </row>
    <row r="290" spans="12:69" ht="14.45" customHeight="1">
      <c r="L290" s="20" t="s">
        <v>64</v>
      </c>
      <c r="M290" s="763" t="s">
        <v>459</v>
      </c>
      <c r="N290" s="15" t="s">
        <v>460</v>
      </c>
      <c r="O290" s="14" t="s">
        <v>1275</v>
      </c>
      <c r="P290" s="15" t="s">
        <v>405</v>
      </c>
      <c r="Q290" s="15" t="s">
        <v>468</v>
      </c>
      <c r="R290" s="193">
        <v>81.94852281973229</v>
      </c>
      <c r="S290" s="15" t="s">
        <v>64</v>
      </c>
      <c r="T290" s="14">
        <f t="shared" si="73"/>
        <v>1177.614</v>
      </c>
      <c r="U290" s="27" t="s">
        <v>416</v>
      </c>
      <c r="V290" s="90">
        <v>3.2525998304146403E-2</v>
      </c>
      <c r="W290" s="109">
        <v>102.688064731398</v>
      </c>
      <c r="X290" s="183">
        <v>2.4368370141251601E-2</v>
      </c>
      <c r="Y290" s="104">
        <v>3.9245419363098201E-2</v>
      </c>
      <c r="Z290" s="104" t="s">
        <v>462</v>
      </c>
      <c r="AA290" s="57" t="s">
        <v>64</v>
      </c>
      <c r="AB290" s="47" t="s">
        <v>64</v>
      </c>
      <c r="AC290" s="57">
        <v>1062.0070038373819</v>
      </c>
      <c r="AD290" s="27" t="s">
        <v>470</v>
      </c>
      <c r="AE290" s="28">
        <f t="shared" si="75"/>
        <v>4.2642686933214211</v>
      </c>
      <c r="AF290" s="197" t="s">
        <v>470</v>
      </c>
      <c r="AG290" s="84">
        <v>740</v>
      </c>
      <c r="AH290" s="157" t="s">
        <v>469</v>
      </c>
      <c r="AI290" s="8">
        <v>0.92498381278327635</v>
      </c>
      <c r="AJ290" s="9">
        <v>51.707999999999998</v>
      </c>
      <c r="AK290" s="9">
        <v>2.1110000000000002</v>
      </c>
      <c r="AL290" s="9">
        <v>12.875999999999999</v>
      </c>
      <c r="AM290" s="189">
        <v>11.329111330223849</v>
      </c>
      <c r="AN290" s="9">
        <v>0.22600000000000001</v>
      </c>
      <c r="AO290" s="9">
        <v>8.14</v>
      </c>
      <c r="AP290" s="9">
        <v>9.6120000000000001</v>
      </c>
      <c r="AQ290" s="9">
        <v>2.8370000000000002</v>
      </c>
      <c r="AR290" s="9">
        <v>0.36799999999999999</v>
      </c>
      <c r="AS290" s="9">
        <v>0.32400000000000001</v>
      </c>
      <c r="AT290" s="190">
        <v>803.63745074461201</v>
      </c>
      <c r="AU290" s="9">
        <v>0.5</v>
      </c>
      <c r="AV290" s="6">
        <v>57.192419438994087</v>
      </c>
      <c r="AW290" s="27">
        <v>432.61363045710851</v>
      </c>
      <c r="AX290" s="6">
        <v>489.80604989610219</v>
      </c>
      <c r="AY290" s="8">
        <f t="shared" si="76"/>
        <v>2.2664688328105536</v>
      </c>
      <c r="AZ290" s="9">
        <f t="shared" si="77"/>
        <v>9.2898712907835588</v>
      </c>
      <c r="BA290" s="123">
        <v>51.884799999999998</v>
      </c>
      <c r="BB290" s="121">
        <v>2.246</v>
      </c>
      <c r="BC290" s="121">
        <v>13.700100000000001</v>
      </c>
      <c r="BD290" s="121">
        <v>9.5297000000000001</v>
      </c>
      <c r="BE290" s="121">
        <v>0.1963</v>
      </c>
      <c r="BF290" s="121">
        <v>5.9364999999999997</v>
      </c>
      <c r="BG290" s="121">
        <v>10.1777</v>
      </c>
      <c r="BH290" s="121">
        <v>3.0190999999999999</v>
      </c>
      <c r="BI290" s="121">
        <v>0.39179999999999998</v>
      </c>
      <c r="BJ290" s="121">
        <v>0.34510000000000002</v>
      </c>
      <c r="BK290" s="121">
        <v>8.6881244800000007E-2</v>
      </c>
      <c r="BL290" s="121">
        <f t="shared" si="74"/>
        <v>97.513981244799993</v>
      </c>
      <c r="BM290" s="121">
        <v>0.31631744423990599</v>
      </c>
      <c r="BN290" s="95">
        <v>61.830724655496503</v>
      </c>
      <c r="BO290" s="95">
        <v>467.69859588717998</v>
      </c>
      <c r="BP290" s="95">
        <v>529.52932054267603</v>
      </c>
      <c r="BQ290" s="194" t="s">
        <v>469</v>
      </c>
    </row>
    <row r="291" spans="12:69" ht="14.45" customHeight="1">
      <c r="L291" s="20" t="s">
        <v>64</v>
      </c>
      <c r="M291" s="763" t="s">
        <v>459</v>
      </c>
      <c r="N291" s="15" t="s">
        <v>460</v>
      </c>
      <c r="O291" s="14" t="s">
        <v>1276</v>
      </c>
      <c r="P291" s="15" t="s">
        <v>405</v>
      </c>
      <c r="Q291" s="15" t="s">
        <v>468</v>
      </c>
      <c r="R291" s="193">
        <v>88.039140977941699</v>
      </c>
      <c r="S291" s="15" t="s">
        <v>64</v>
      </c>
      <c r="T291" s="14">
        <f t="shared" si="73"/>
        <v>1265.7324000000001</v>
      </c>
      <c r="U291" s="27" t="s">
        <v>416</v>
      </c>
      <c r="V291" s="90">
        <v>3.7742618818420198E-2</v>
      </c>
      <c r="W291" s="109">
        <v>102.713026359693</v>
      </c>
      <c r="X291" s="183">
        <v>1.54160487918031E-2</v>
      </c>
      <c r="Y291" s="104">
        <v>4.7275567393185697E-2</v>
      </c>
      <c r="Z291" s="104" t="s">
        <v>462</v>
      </c>
      <c r="AA291" s="57" t="s">
        <v>64</v>
      </c>
      <c r="AB291" s="47" t="s">
        <v>64</v>
      </c>
      <c r="AC291" s="57">
        <v>1060.970794413</v>
      </c>
      <c r="AD291" s="27" t="s">
        <v>470</v>
      </c>
      <c r="AE291" s="28">
        <f t="shared" si="75"/>
        <v>4.2604989389615575</v>
      </c>
      <c r="AF291" s="197" t="s">
        <v>470</v>
      </c>
      <c r="AG291" s="84">
        <v>700</v>
      </c>
      <c r="AH291" s="157" t="s">
        <v>469</v>
      </c>
      <c r="AI291" s="8">
        <v>0.79732100143517781</v>
      </c>
      <c r="AJ291" s="9">
        <v>49.152000000000001</v>
      </c>
      <c r="AK291" s="9">
        <v>2.3559999999999999</v>
      </c>
      <c r="AL291" s="9">
        <v>11.391999999999999</v>
      </c>
      <c r="AM291" s="189">
        <v>11.332110830178898</v>
      </c>
      <c r="AN291" s="9">
        <v>0.161</v>
      </c>
      <c r="AO291" s="9">
        <v>12.523999999999999</v>
      </c>
      <c r="AP291" s="9">
        <v>9.9510000000000005</v>
      </c>
      <c r="AQ291" s="9">
        <v>2.177</v>
      </c>
      <c r="AR291" s="9">
        <v>0.33400000000000002</v>
      </c>
      <c r="AS291" s="9">
        <v>0.223</v>
      </c>
      <c r="AT291" s="190">
        <v>719.45766544410776</v>
      </c>
      <c r="AU291" s="9">
        <v>0.5</v>
      </c>
      <c r="AV291" s="6">
        <v>34.89731253138104</v>
      </c>
      <c r="AW291" s="27">
        <v>522.89185521852733</v>
      </c>
      <c r="AX291" s="6">
        <v>557.7891677499083</v>
      </c>
      <c r="AY291" s="8">
        <f t="shared" si="76"/>
        <v>2.2670689039868335</v>
      </c>
      <c r="AZ291" s="9">
        <f t="shared" si="77"/>
        <v>9.2923308807466967</v>
      </c>
      <c r="BA291" s="123">
        <v>51.1449</v>
      </c>
      <c r="BB291" s="121">
        <v>2.9352999999999998</v>
      </c>
      <c r="BC291" s="121">
        <v>14.1951</v>
      </c>
      <c r="BD291" s="121">
        <v>6.5762999999999998</v>
      </c>
      <c r="BE291" s="121">
        <v>0.11219999999999999</v>
      </c>
      <c r="BF291" s="121">
        <v>6.4599000000000002</v>
      </c>
      <c r="BG291" s="121">
        <v>12.2278</v>
      </c>
      <c r="BH291" s="121">
        <v>2.7122999999999999</v>
      </c>
      <c r="BI291" s="121">
        <v>0.41620000000000001</v>
      </c>
      <c r="BJ291" s="121">
        <v>0.27789999999999998</v>
      </c>
      <c r="BK291" s="121">
        <v>9.0234380399999994E-2</v>
      </c>
      <c r="BL291" s="121">
        <f t="shared" si="74"/>
        <v>97.148134380400023</v>
      </c>
      <c r="BM291" s="121">
        <v>0.277988022408927</v>
      </c>
      <c r="BN291" s="95">
        <v>43.768209376858103</v>
      </c>
      <c r="BO291" s="95">
        <v>655.810964815077</v>
      </c>
      <c r="BP291" s="95">
        <v>699.57917419193495</v>
      </c>
      <c r="BQ291" s="194" t="s">
        <v>469</v>
      </c>
    </row>
    <row r="292" spans="12:69" ht="14.45" customHeight="1">
      <c r="L292" s="20" t="s">
        <v>64</v>
      </c>
      <c r="M292" s="763" t="s">
        <v>459</v>
      </c>
      <c r="N292" s="15" t="s">
        <v>460</v>
      </c>
      <c r="O292" s="14" t="s">
        <v>1277</v>
      </c>
      <c r="P292" s="15" t="s">
        <v>405</v>
      </c>
      <c r="Q292" s="15" t="s">
        <v>468</v>
      </c>
      <c r="R292" s="193">
        <v>88.702677307424011</v>
      </c>
      <c r="S292" s="15" t="s">
        <v>64</v>
      </c>
      <c r="T292" s="14">
        <f t="shared" si="73"/>
        <v>1283.6214</v>
      </c>
      <c r="U292" s="27" t="s">
        <v>416</v>
      </c>
      <c r="V292" s="90">
        <v>5.8770195471889802E-2</v>
      </c>
      <c r="W292" s="109">
        <v>102.70030697364</v>
      </c>
      <c r="X292" s="183">
        <v>2.8654079064064201E-2</v>
      </c>
      <c r="Y292" s="104">
        <v>4.3183744870667298E-2</v>
      </c>
      <c r="Z292" s="104" t="s">
        <v>462</v>
      </c>
      <c r="AA292" s="57" t="s">
        <v>64</v>
      </c>
      <c r="AB292" s="47" t="s">
        <v>64</v>
      </c>
      <c r="AC292" s="57">
        <v>1334.693408742977</v>
      </c>
      <c r="AD292" s="27" t="s">
        <v>470</v>
      </c>
      <c r="AE292" s="28">
        <f t="shared" si="75"/>
        <v>5.2365811593353975</v>
      </c>
      <c r="AF292" s="197" t="s">
        <v>470</v>
      </c>
      <c r="AG292" s="84">
        <v>920</v>
      </c>
      <c r="AH292" s="157" t="s">
        <v>469</v>
      </c>
      <c r="AI292" s="8">
        <v>0.76893502499038835</v>
      </c>
      <c r="AJ292" s="9">
        <v>49.271999999999998</v>
      </c>
      <c r="AK292" s="9">
        <v>1.8959999999999999</v>
      </c>
      <c r="AL292" s="9">
        <v>11.32</v>
      </c>
      <c r="AM292" s="189">
        <v>11.33111099686055</v>
      </c>
      <c r="AN292" s="9">
        <v>0.13200000000000001</v>
      </c>
      <c r="AO292" s="9">
        <v>13.414</v>
      </c>
      <c r="AP292" s="9">
        <v>9.5009999999999994</v>
      </c>
      <c r="AQ292" s="9">
        <v>2.2160000000000002</v>
      </c>
      <c r="AR292" s="9">
        <v>0.313</v>
      </c>
      <c r="AS292" s="9">
        <v>0.20899999999999999</v>
      </c>
      <c r="AT292" s="190">
        <v>609.95138792772013</v>
      </c>
      <c r="AU292" s="9">
        <v>0.5</v>
      </c>
      <c r="AV292" s="6">
        <v>37.536939441751635</v>
      </c>
      <c r="AW292" s="27">
        <v>721.35715919959171</v>
      </c>
      <c r="AX292" s="6">
        <v>758.89409864134336</v>
      </c>
      <c r="AY292" s="8">
        <f t="shared" si="76"/>
        <v>2.2668688802614074</v>
      </c>
      <c r="AZ292" s="9">
        <f t="shared" si="77"/>
        <v>9.2915110174256519</v>
      </c>
      <c r="BA292" s="123">
        <v>52.145200000000003</v>
      </c>
      <c r="BB292" s="121">
        <v>2.4706999999999999</v>
      </c>
      <c r="BC292" s="121">
        <v>14.752800000000001</v>
      </c>
      <c r="BD292" s="121">
        <v>6.2723000000000004</v>
      </c>
      <c r="BE292" s="121">
        <v>7.4999999999999997E-2</v>
      </c>
      <c r="BF292" s="121">
        <v>6.2541000000000002</v>
      </c>
      <c r="BG292" s="121">
        <v>12.183199999999999</v>
      </c>
      <c r="BH292" s="121">
        <v>2.8879999999999999</v>
      </c>
      <c r="BI292" s="121">
        <v>0.40760000000000002</v>
      </c>
      <c r="BJ292" s="121">
        <v>0.27289999999999998</v>
      </c>
      <c r="BK292" s="121">
        <v>7.9324177999999995E-2</v>
      </c>
      <c r="BL292" s="121">
        <f t="shared" si="74"/>
        <v>97.801124178000009</v>
      </c>
      <c r="BM292" s="121">
        <v>0.290316720700389</v>
      </c>
      <c r="BN292" s="95">
        <v>48.816789743998001</v>
      </c>
      <c r="BO292" s="95">
        <v>938.12498553906903</v>
      </c>
      <c r="BP292" s="95">
        <v>986.94177528306705</v>
      </c>
      <c r="BQ292" s="194" t="s">
        <v>469</v>
      </c>
    </row>
    <row r="293" spans="12:69" ht="14.45" customHeight="1">
      <c r="L293" s="20" t="s">
        <v>64</v>
      </c>
      <c r="M293" s="763" t="s">
        <v>459</v>
      </c>
      <c r="N293" s="15" t="s">
        <v>460</v>
      </c>
      <c r="O293" s="14" t="s">
        <v>1278</v>
      </c>
      <c r="P293" s="15" t="s">
        <v>405</v>
      </c>
      <c r="Q293" s="15" t="s">
        <v>468</v>
      </c>
      <c r="R293" s="193">
        <v>87.826470286006796</v>
      </c>
      <c r="S293" s="15" t="s">
        <v>64</v>
      </c>
      <c r="T293" s="14">
        <f t="shared" si="73"/>
        <v>1258.6974</v>
      </c>
      <c r="U293" s="27" t="s">
        <v>416</v>
      </c>
      <c r="V293" s="90">
        <v>5.0388707113498299E-2</v>
      </c>
      <c r="W293" s="109">
        <v>102.677704371038</v>
      </c>
      <c r="X293" s="183">
        <v>8.1953818476094304E-3</v>
      </c>
      <c r="Y293" s="104">
        <v>3.5912494669283E-2</v>
      </c>
      <c r="Z293" s="104" t="s">
        <v>462</v>
      </c>
      <c r="AA293" s="57" t="s">
        <v>64</v>
      </c>
      <c r="AB293" s="47" t="s">
        <v>64</v>
      </c>
      <c r="AC293" s="57">
        <v>1051.4202931297591</v>
      </c>
      <c r="AD293" s="27" t="s">
        <v>470</v>
      </c>
      <c r="AE293" s="28">
        <f t="shared" si="75"/>
        <v>4.2257253081857709</v>
      </c>
      <c r="AF293" s="197" t="s">
        <v>470</v>
      </c>
      <c r="AG293" s="84">
        <v>720</v>
      </c>
      <c r="AH293" s="157" t="s">
        <v>469</v>
      </c>
      <c r="AI293" s="8">
        <v>0.80651665456891686</v>
      </c>
      <c r="AJ293" s="9">
        <v>48.753</v>
      </c>
      <c r="AK293" s="9">
        <v>2.5089999999999999</v>
      </c>
      <c r="AL293" s="9">
        <v>11.663</v>
      </c>
      <c r="AM293" s="189">
        <v>11.33111099686055</v>
      </c>
      <c r="AN293" s="9">
        <v>0.21099999999999999</v>
      </c>
      <c r="AO293" s="9">
        <v>12.173999999999999</v>
      </c>
      <c r="AP293" s="9">
        <v>9.9870000000000001</v>
      </c>
      <c r="AQ293" s="9">
        <v>2.1960000000000002</v>
      </c>
      <c r="AR293" s="9">
        <v>0.496</v>
      </c>
      <c r="AS293" s="9">
        <v>0.26900000000000002</v>
      </c>
      <c r="AT293" s="190">
        <v>684.96991370271803</v>
      </c>
      <c r="AU293" s="9">
        <v>0.5</v>
      </c>
      <c r="AV293" s="6">
        <v>36.704722186534397</v>
      </c>
      <c r="AW293" s="27">
        <v>535.07876238355914</v>
      </c>
      <c r="AX293" s="6">
        <v>571.78348457009361</v>
      </c>
      <c r="AY293" s="8">
        <f t="shared" si="76"/>
        <v>2.2668688802614074</v>
      </c>
      <c r="AZ293" s="9">
        <f t="shared" si="77"/>
        <v>9.2915110174256519</v>
      </c>
      <c r="BA293" s="123">
        <v>50.1205</v>
      </c>
      <c r="BB293" s="121">
        <v>3.0659000000000001</v>
      </c>
      <c r="BC293" s="121">
        <v>14.251899999999999</v>
      </c>
      <c r="BD293" s="121">
        <v>6.8437999999999999</v>
      </c>
      <c r="BE293" s="121">
        <v>0.1734</v>
      </c>
      <c r="BF293" s="121">
        <v>6.2872000000000003</v>
      </c>
      <c r="BG293" s="121">
        <v>12.041399999999999</v>
      </c>
      <c r="BH293" s="121">
        <v>2.6835</v>
      </c>
      <c r="BI293" s="121">
        <v>0.60619999999999996</v>
      </c>
      <c r="BJ293" s="121">
        <v>0.3291</v>
      </c>
      <c r="BK293" s="121">
        <v>8.49294196E-2</v>
      </c>
      <c r="BL293" s="121">
        <f t="shared" si="74"/>
        <v>96.48782941959999</v>
      </c>
      <c r="BM293" s="121">
        <v>0.28609163506004598</v>
      </c>
      <c r="BN293" s="95">
        <v>45.510185039084</v>
      </c>
      <c r="BO293" s="95">
        <v>663.44415747937501</v>
      </c>
      <c r="BP293" s="95">
        <v>708.95434251845904</v>
      </c>
      <c r="BQ293" s="194" t="s">
        <v>469</v>
      </c>
    </row>
    <row r="294" spans="12:69" ht="14.45" customHeight="1">
      <c r="L294" s="20" t="s">
        <v>64</v>
      </c>
      <c r="M294" s="763" t="s">
        <v>459</v>
      </c>
      <c r="N294" s="15" t="s">
        <v>460</v>
      </c>
      <c r="O294" s="14" t="s">
        <v>1279</v>
      </c>
      <c r="P294" s="15" t="s">
        <v>405</v>
      </c>
      <c r="Q294" s="15" t="s">
        <v>468</v>
      </c>
      <c r="R294" s="193">
        <v>82.912814606809405</v>
      </c>
      <c r="S294" s="15" t="s">
        <v>64</v>
      </c>
      <c r="T294" s="14">
        <f t="shared" si="73"/>
        <v>1188.4680000000001</v>
      </c>
      <c r="U294" s="27" t="s">
        <v>416</v>
      </c>
      <c r="V294" s="90">
        <v>2.2410431684176099E-2</v>
      </c>
      <c r="W294" s="109">
        <v>102.773830497164</v>
      </c>
      <c r="X294" s="183">
        <v>1.35084762627745E-2</v>
      </c>
      <c r="Y294" s="104">
        <v>6.6836239436277395E-2</v>
      </c>
      <c r="Z294" s="104" t="s">
        <v>462</v>
      </c>
      <c r="AA294" s="57" t="s">
        <v>64</v>
      </c>
      <c r="AB294" s="47" t="s">
        <v>64</v>
      </c>
      <c r="AC294" s="57">
        <v>1279.2194286568381</v>
      </c>
      <c r="AD294" s="27" t="s">
        <v>470</v>
      </c>
      <c r="AE294" s="28">
        <f t="shared" si="75"/>
        <v>5.041783479857961</v>
      </c>
      <c r="AF294" s="197" t="s">
        <v>470</v>
      </c>
      <c r="AG294" s="84">
        <v>880</v>
      </c>
      <c r="AH294" s="157" t="s">
        <v>469</v>
      </c>
      <c r="AI294" s="8">
        <v>0.91124476034262814</v>
      </c>
      <c r="AJ294" s="9">
        <v>50.863999999999997</v>
      </c>
      <c r="AK294" s="9">
        <v>2.1989999999999998</v>
      </c>
      <c r="AL294" s="9">
        <v>13.064</v>
      </c>
      <c r="AM294" s="189">
        <v>11.335110330133951</v>
      </c>
      <c r="AN294" s="9">
        <v>0.224</v>
      </c>
      <c r="AO294" s="9">
        <v>8.68</v>
      </c>
      <c r="AP294" s="9">
        <v>10.090999999999999</v>
      </c>
      <c r="AQ294" s="9">
        <v>2.4550000000000001</v>
      </c>
      <c r="AR294" s="9">
        <v>0.34599999999999997</v>
      </c>
      <c r="AS294" s="9">
        <v>0.28599999999999998</v>
      </c>
      <c r="AT294" s="190">
        <v>815.87137962456734</v>
      </c>
      <c r="AU294" s="9">
        <v>0.5</v>
      </c>
      <c r="AV294" s="6">
        <v>89.474428616323038</v>
      </c>
      <c r="AW294" s="27">
        <v>498.32338562650449</v>
      </c>
      <c r="AX294" s="6">
        <v>587.79781424282771</v>
      </c>
      <c r="AY294" s="8">
        <f t="shared" si="76"/>
        <v>2.2676689751631143</v>
      </c>
      <c r="AZ294" s="9">
        <f t="shared" si="77"/>
        <v>9.2947904707098417</v>
      </c>
      <c r="BA294" s="123">
        <v>51.286299999999997</v>
      </c>
      <c r="BB294" s="121">
        <v>2.3807</v>
      </c>
      <c r="BC294" s="121">
        <v>14.1439</v>
      </c>
      <c r="BD294" s="121">
        <v>9.1226000000000003</v>
      </c>
      <c r="BE294" s="121">
        <v>0.192</v>
      </c>
      <c r="BF294" s="121">
        <v>6.1642999999999999</v>
      </c>
      <c r="BG294" s="121">
        <v>10.862500000000001</v>
      </c>
      <c r="BH294" s="121">
        <v>2.6577999999999999</v>
      </c>
      <c r="BI294" s="121">
        <v>0.37430000000000002</v>
      </c>
      <c r="BJ294" s="121">
        <v>0.31009999999999999</v>
      </c>
      <c r="BK294" s="121">
        <v>8.9533725199999997E-2</v>
      </c>
      <c r="BL294" s="121">
        <f t="shared" si="74"/>
        <v>97.584033725199987</v>
      </c>
      <c r="BM294" s="121">
        <v>0.31064017496702101</v>
      </c>
      <c r="BN294" s="95">
        <v>98.189237963552898</v>
      </c>
      <c r="BO294" s="95">
        <v>546.86008338652596</v>
      </c>
      <c r="BP294" s="95">
        <v>645.04932135007903</v>
      </c>
      <c r="BQ294" s="194" t="s">
        <v>469</v>
      </c>
    </row>
    <row r="295" spans="12:69" ht="14.45" customHeight="1">
      <c r="L295" s="20" t="s">
        <v>64</v>
      </c>
      <c r="M295" s="763" t="s">
        <v>459</v>
      </c>
      <c r="N295" s="15" t="s">
        <v>460</v>
      </c>
      <c r="O295" s="14" t="s">
        <v>1280</v>
      </c>
      <c r="P295" s="15" t="s">
        <v>405</v>
      </c>
      <c r="Q295" s="15" t="s">
        <v>468</v>
      </c>
      <c r="R295" s="193">
        <v>88.5247376208183</v>
      </c>
      <c r="S295" s="15" t="s">
        <v>64</v>
      </c>
      <c r="T295" s="14">
        <f t="shared" si="73"/>
        <v>1281.4506000000001</v>
      </c>
      <c r="U295" s="27" t="s">
        <v>416</v>
      </c>
      <c r="V295" s="90">
        <v>4.0958053368378204E-2</v>
      </c>
      <c r="W295" s="109">
        <v>102.733780447114</v>
      </c>
      <c r="X295" s="183">
        <v>1.6297313524990899E-2</v>
      </c>
      <c r="Y295" s="104">
        <v>5.39521508375813E-2</v>
      </c>
      <c r="Z295" s="104" t="s">
        <v>462</v>
      </c>
      <c r="AA295" s="57" t="s">
        <v>64</v>
      </c>
      <c r="AB295" s="47" t="s">
        <v>64</v>
      </c>
      <c r="AC295" s="57">
        <v>1246.412931058808</v>
      </c>
      <c r="AD295" s="27" t="s">
        <v>470</v>
      </c>
      <c r="AE295" s="28">
        <f t="shared" si="75"/>
        <v>4.9258973115873346</v>
      </c>
      <c r="AF295" s="197" t="s">
        <v>470</v>
      </c>
      <c r="AG295" s="84">
        <v>820</v>
      </c>
      <c r="AH295" s="157" t="s">
        <v>469</v>
      </c>
      <c r="AI295" s="8">
        <v>0.77273781006104625</v>
      </c>
      <c r="AJ295" s="9">
        <v>49.725000000000001</v>
      </c>
      <c r="AK295" s="9">
        <v>1.8480000000000001</v>
      </c>
      <c r="AL295" s="9">
        <v>11.164999999999999</v>
      </c>
      <c r="AM295" s="189">
        <v>11.329111330223849</v>
      </c>
      <c r="AN295" s="9">
        <v>0.151</v>
      </c>
      <c r="AO295" s="9">
        <v>13.305999999999999</v>
      </c>
      <c r="AP295" s="9">
        <v>9.452</v>
      </c>
      <c r="AQ295" s="9">
        <v>2.177</v>
      </c>
      <c r="AR295" s="9">
        <v>0.28799999999999998</v>
      </c>
      <c r="AS295" s="9">
        <v>0.17</v>
      </c>
      <c r="AT295" s="190">
        <v>611.80772428714931</v>
      </c>
      <c r="AU295" s="9">
        <v>0.5</v>
      </c>
      <c r="AV295" s="6">
        <v>39.681629828010124</v>
      </c>
      <c r="AW295" s="27">
        <v>632.02074274299594</v>
      </c>
      <c r="AX295" s="6">
        <v>671.70237257100609</v>
      </c>
      <c r="AY295" s="8">
        <f t="shared" si="76"/>
        <v>2.2664688328105536</v>
      </c>
      <c r="AZ295" s="9">
        <f t="shared" si="77"/>
        <v>9.2898712907835588</v>
      </c>
      <c r="BA295" s="123">
        <v>52.647599999999997</v>
      </c>
      <c r="BB295" s="121">
        <v>2.3946000000000001</v>
      </c>
      <c r="BC295" s="121">
        <v>14.4701</v>
      </c>
      <c r="BD295" s="121">
        <v>6.2599</v>
      </c>
      <c r="BE295" s="121">
        <v>9.8599999999999993E-2</v>
      </c>
      <c r="BF295" s="121">
        <v>6.3403</v>
      </c>
      <c r="BG295" s="121">
        <v>12.0532</v>
      </c>
      <c r="BH295" s="121">
        <v>2.8212999999999999</v>
      </c>
      <c r="BI295" s="121">
        <v>0.37290000000000001</v>
      </c>
      <c r="BJ295" s="121">
        <v>0.2208</v>
      </c>
      <c r="BK295" s="121">
        <v>7.9174037599999997E-2</v>
      </c>
      <c r="BL295" s="121">
        <f t="shared" si="74"/>
        <v>97.758474037599996</v>
      </c>
      <c r="BM295" s="121">
        <v>0.28043551408501799</v>
      </c>
      <c r="BN295" s="95">
        <v>51.351997160427899</v>
      </c>
      <c r="BO295" s="95">
        <v>817.89804318371102</v>
      </c>
      <c r="BP295" s="95">
        <v>869.25004034413905</v>
      </c>
      <c r="BQ295" s="194" t="s">
        <v>469</v>
      </c>
    </row>
    <row r="296" spans="12:69" ht="14.45" customHeight="1">
      <c r="L296" s="20" t="s">
        <v>64</v>
      </c>
      <c r="M296" s="763" t="s">
        <v>459</v>
      </c>
      <c r="N296" s="15" t="s">
        <v>460</v>
      </c>
      <c r="O296" s="14" t="s">
        <v>1281</v>
      </c>
      <c r="P296" s="15" t="s">
        <v>405</v>
      </c>
      <c r="Q296" s="15" t="s">
        <v>468</v>
      </c>
      <c r="R296" s="193">
        <v>85.110097952331103</v>
      </c>
      <c r="S296" s="15" t="s">
        <v>64</v>
      </c>
      <c r="T296" s="14">
        <f t="shared" si="73"/>
        <v>1214.3367000000001</v>
      </c>
      <c r="U296" s="27" t="s">
        <v>416</v>
      </c>
      <c r="V296" s="90">
        <v>4.9454645935817901E-2</v>
      </c>
      <c r="W296" s="109">
        <v>102.69140807474101</v>
      </c>
      <c r="X296" s="183">
        <v>8.1133270125363591E-3</v>
      </c>
      <c r="Y296" s="104">
        <v>4.03209718728448E-2</v>
      </c>
      <c r="Z296" s="104" t="s">
        <v>462</v>
      </c>
      <c r="AA296" s="57" t="s">
        <v>64</v>
      </c>
      <c r="AB296" s="47" t="s">
        <v>64</v>
      </c>
      <c r="AC296" s="57">
        <v>1326.3177843321571</v>
      </c>
      <c r="AD296" s="27" t="s">
        <v>470</v>
      </c>
      <c r="AE296" s="28">
        <f t="shared" si="75"/>
        <v>5.2072612718196902</v>
      </c>
      <c r="AF296" s="197" t="s">
        <v>470</v>
      </c>
      <c r="AG296" s="84">
        <v>920</v>
      </c>
      <c r="AH296" s="157" t="s">
        <v>469</v>
      </c>
      <c r="AI296" s="8">
        <v>0.86820628581350934</v>
      </c>
      <c r="AJ296" s="9">
        <v>50.298999999999999</v>
      </c>
      <c r="AK296" s="9">
        <v>2.2000000000000002</v>
      </c>
      <c r="AL296" s="9">
        <v>12.244999999999999</v>
      </c>
      <c r="AM296" s="189">
        <v>11.343108996680749</v>
      </c>
      <c r="AN296" s="9">
        <v>0.14099999999999999</v>
      </c>
      <c r="AO296" s="9">
        <v>9.9670000000000005</v>
      </c>
      <c r="AP296" s="9">
        <v>10.351000000000001</v>
      </c>
      <c r="AQ296" s="9">
        <v>2.403</v>
      </c>
      <c r="AR296" s="9">
        <v>0.38800000000000001</v>
      </c>
      <c r="AS296" s="9">
        <v>0.23699999999999999</v>
      </c>
      <c r="AT296" s="190">
        <v>707.81591595763155</v>
      </c>
      <c r="AU296" s="9">
        <v>0.5</v>
      </c>
      <c r="AV296" s="6">
        <v>22.316696557938361</v>
      </c>
      <c r="AW296" s="27">
        <v>634.35658883940187</v>
      </c>
      <c r="AX296" s="6">
        <v>656.67328539734069</v>
      </c>
      <c r="AY296" s="8">
        <f t="shared" si="76"/>
        <v>2.269269164966528</v>
      </c>
      <c r="AZ296" s="9">
        <f t="shared" si="77"/>
        <v>9.3013493772782141</v>
      </c>
      <c r="BA296" s="123">
        <v>51.650799999999997</v>
      </c>
      <c r="BB296" s="121">
        <v>2.5206</v>
      </c>
      <c r="BC296" s="121">
        <v>14.0318</v>
      </c>
      <c r="BD296" s="121">
        <v>8.0373999999999999</v>
      </c>
      <c r="BE296" s="121">
        <v>9.3100000000000002E-2</v>
      </c>
      <c r="BF296" s="121">
        <v>6.2882999999999996</v>
      </c>
      <c r="BG296" s="121">
        <v>11.755000000000001</v>
      </c>
      <c r="BH296" s="121">
        <v>2.7530999999999999</v>
      </c>
      <c r="BI296" s="121">
        <v>0.4446</v>
      </c>
      <c r="BJ296" s="121">
        <v>0.27210000000000001</v>
      </c>
      <c r="BK296" s="121">
        <v>8.1526237200000004E-2</v>
      </c>
      <c r="BL296" s="121">
        <f t="shared" si="74"/>
        <v>97.928326237199997</v>
      </c>
      <c r="BM296" s="121">
        <v>0.28622366598899701</v>
      </c>
      <c r="BN296" s="95">
        <v>25.704371095433402</v>
      </c>
      <c r="BO296" s="95">
        <v>730.65191902522304</v>
      </c>
      <c r="BP296" s="95">
        <v>756.35629012065704</v>
      </c>
      <c r="BQ296" s="194" t="s">
        <v>469</v>
      </c>
    </row>
    <row r="297" spans="12:69" ht="14.45" customHeight="1">
      <c r="L297" s="20" t="s">
        <v>64</v>
      </c>
      <c r="M297" s="763" t="s">
        <v>459</v>
      </c>
      <c r="N297" s="15" t="s">
        <v>460</v>
      </c>
      <c r="O297" s="14" t="s">
        <v>1282</v>
      </c>
      <c r="P297" s="15" t="s">
        <v>405</v>
      </c>
      <c r="Q297" s="15" t="s">
        <v>468</v>
      </c>
      <c r="R297" s="193">
        <v>78.639742789417994</v>
      </c>
      <c r="S297" s="15" t="s">
        <v>64</v>
      </c>
      <c r="T297" s="14">
        <f t="shared" si="73"/>
        <v>1134.8211000000001</v>
      </c>
      <c r="U297" s="27" t="s">
        <v>416</v>
      </c>
      <c r="V297" s="90">
        <v>1.3399277779924E-2</v>
      </c>
      <c r="W297" s="109">
        <v>102.614160827494</v>
      </c>
      <c r="X297" s="183">
        <v>1.2203447117519001E-2</v>
      </c>
      <c r="Y297" s="104">
        <v>1.54705565477684E-2</v>
      </c>
      <c r="Z297" s="104" t="s">
        <v>462</v>
      </c>
      <c r="AA297" s="57" t="s">
        <v>64</v>
      </c>
      <c r="AB297" s="47" t="s">
        <v>64</v>
      </c>
      <c r="AC297" s="57">
        <v>478.89778101873992</v>
      </c>
      <c r="AD297" s="27" t="s">
        <v>470</v>
      </c>
      <c r="AE297" s="28">
        <f t="shared" si="75"/>
        <v>2.0333305659264118</v>
      </c>
      <c r="AF297" s="197" t="s">
        <v>470</v>
      </c>
      <c r="AG297" s="84">
        <v>320</v>
      </c>
      <c r="AH297" s="157" t="s">
        <v>469</v>
      </c>
      <c r="AI297" s="8">
        <v>1.0031096398836392</v>
      </c>
      <c r="AJ297" s="9">
        <v>50.826000000000001</v>
      </c>
      <c r="AK297" s="9">
        <v>3.4550000000000001</v>
      </c>
      <c r="AL297" s="9">
        <v>13.068</v>
      </c>
      <c r="AM297" s="189">
        <v>11.330111163542201</v>
      </c>
      <c r="AN297" s="9">
        <v>0.17299999999999999</v>
      </c>
      <c r="AO297" s="9">
        <v>6.0110000000000001</v>
      </c>
      <c r="AP297" s="9">
        <v>10.602</v>
      </c>
      <c r="AQ297" s="9">
        <v>2.8330000000000002</v>
      </c>
      <c r="AR297" s="9">
        <v>0.372</v>
      </c>
      <c r="AS297" s="9">
        <v>0.30199999999999999</v>
      </c>
      <c r="AT297" s="190">
        <v>1058.7691965091785</v>
      </c>
      <c r="AU297" s="9">
        <v>0.5</v>
      </c>
      <c r="AV297" s="6">
        <v>113.59769712442571</v>
      </c>
      <c r="AW297" s="27">
        <v>75.065282677517089</v>
      </c>
      <c r="AX297" s="6">
        <v>188.66297980194301</v>
      </c>
      <c r="AY297" s="8">
        <f t="shared" si="76"/>
        <v>2.2666688565359805</v>
      </c>
      <c r="AZ297" s="9">
        <f t="shared" si="77"/>
        <v>9.2906911541046053</v>
      </c>
      <c r="BA297" s="123">
        <v>50.357700000000001</v>
      </c>
      <c r="BB297" s="121">
        <v>2.0243000000000002</v>
      </c>
      <c r="BC297" s="121">
        <v>13.307</v>
      </c>
      <c r="BD297" s="121">
        <v>11.535500000000001</v>
      </c>
      <c r="BE297" s="121">
        <v>0.17019999999999999</v>
      </c>
      <c r="BF297" s="121">
        <v>5.8140999999999998</v>
      </c>
      <c r="BG297" s="121">
        <v>10.2247</v>
      </c>
      <c r="BH297" s="121">
        <v>2.7319</v>
      </c>
      <c r="BI297" s="121">
        <v>0.35880000000000001</v>
      </c>
      <c r="BJ297" s="121">
        <v>0.29120000000000001</v>
      </c>
      <c r="BK297" s="121">
        <v>0.10554870120000001</v>
      </c>
      <c r="BL297" s="121">
        <f t="shared" si="74"/>
        <v>96.92094870119999</v>
      </c>
      <c r="BM297" s="121">
        <v>0.29484458423306198</v>
      </c>
      <c r="BN297" s="95">
        <v>113.24554426333999</v>
      </c>
      <c r="BO297" s="95">
        <v>74.832580301216794</v>
      </c>
      <c r="BP297" s="95">
        <v>188.07812456455699</v>
      </c>
      <c r="BQ297" s="194" t="s">
        <v>469</v>
      </c>
    </row>
    <row r="298" spans="12:69" ht="14.45" customHeight="1">
      <c r="L298" s="20" t="s">
        <v>64</v>
      </c>
      <c r="M298" s="763" t="s">
        <v>459</v>
      </c>
      <c r="N298" s="15" t="s">
        <v>460</v>
      </c>
      <c r="O298" s="14" t="s">
        <v>1283</v>
      </c>
      <c r="P298" s="15" t="s">
        <v>405</v>
      </c>
      <c r="Q298" s="15" t="s">
        <v>468</v>
      </c>
      <c r="R298" s="193">
        <v>78.845657348864989</v>
      </c>
      <c r="S298" s="15" t="s">
        <v>64</v>
      </c>
      <c r="T298" s="14">
        <f t="shared" si="73"/>
        <v>1137.5145</v>
      </c>
      <c r="U298" s="27" t="s">
        <v>416</v>
      </c>
      <c r="V298" s="90">
        <v>1.34681664072721E-2</v>
      </c>
      <c r="W298" s="109" t="s">
        <v>480</v>
      </c>
      <c r="X298" s="208" t="s">
        <v>64</v>
      </c>
      <c r="Y298" s="209" t="s">
        <v>64</v>
      </c>
      <c r="Z298" s="104" t="s">
        <v>64</v>
      </c>
      <c r="AA298" s="57" t="s">
        <v>64</v>
      </c>
      <c r="AB298" s="47" t="s">
        <v>64</v>
      </c>
      <c r="AC298" s="57">
        <v>646.17691676237359</v>
      </c>
      <c r="AD298" s="27" t="s">
        <v>470</v>
      </c>
      <c r="AE298" s="28">
        <f t="shared" si="75"/>
        <v>2.6977593241712996</v>
      </c>
      <c r="AF298" s="197" t="s">
        <v>470</v>
      </c>
      <c r="AG298" s="84">
        <v>430</v>
      </c>
      <c r="AH298" s="157" t="s">
        <v>469</v>
      </c>
      <c r="AI298" s="8">
        <v>0.99750623441396513</v>
      </c>
      <c r="AJ298" s="9">
        <v>51.115000000000002</v>
      </c>
      <c r="AK298" s="9">
        <v>3.4980000000000002</v>
      </c>
      <c r="AL298" s="9">
        <v>13.234</v>
      </c>
      <c r="AM298" s="189">
        <v>11.340109496725701</v>
      </c>
      <c r="AN298" s="9">
        <v>0.17499999999999999</v>
      </c>
      <c r="AO298" s="9">
        <v>6.1449999999999996</v>
      </c>
      <c r="AP298" s="9">
        <v>10.682</v>
      </c>
      <c r="AQ298" s="9">
        <v>2.7719999999999998</v>
      </c>
      <c r="AR298" s="9">
        <v>0.38800000000000001</v>
      </c>
      <c r="AS298" s="9">
        <v>0.26200000000000001</v>
      </c>
      <c r="AT298" s="190">
        <v>1018.4086982543641</v>
      </c>
      <c r="AU298" s="9">
        <v>0.5</v>
      </c>
      <c r="AV298" s="6">
        <v>259.75448934340847</v>
      </c>
      <c r="AW298" s="27" t="s">
        <v>1473</v>
      </c>
      <c r="AX298" s="6">
        <v>259.75448934340847</v>
      </c>
      <c r="AY298" s="8">
        <f t="shared" si="76"/>
        <v>2.2686690937902481</v>
      </c>
      <c r="AZ298" s="9">
        <f t="shared" si="77"/>
        <v>9.2988897873150744</v>
      </c>
      <c r="BA298" s="123">
        <v>50.396099999999997</v>
      </c>
      <c r="BB298" s="121">
        <v>2.1293000000000002</v>
      </c>
      <c r="BC298" s="121">
        <v>13.4321</v>
      </c>
      <c r="BD298" s="121">
        <v>11.468500000000001</v>
      </c>
      <c r="BE298" s="121">
        <v>0.15279999999999999</v>
      </c>
      <c r="BF298" s="121">
        <v>5.7527999999999997</v>
      </c>
      <c r="BG298" s="121">
        <v>10.3878</v>
      </c>
      <c r="BH298" s="121">
        <v>2.6956000000000002</v>
      </c>
      <c r="BI298" s="121">
        <v>0.37740000000000001</v>
      </c>
      <c r="BJ298" s="121">
        <v>0.2545</v>
      </c>
      <c r="BK298" s="121">
        <v>0.10209547199999999</v>
      </c>
      <c r="BL298" s="121">
        <f t="shared" si="74"/>
        <v>97.148995471999982</v>
      </c>
      <c r="BM298" s="121">
        <v>0.29273225126278402</v>
      </c>
      <c r="BN298" s="95">
        <v>260.403875566767</v>
      </c>
      <c r="BO298" s="95" t="s">
        <v>1473</v>
      </c>
      <c r="BP298" s="95">
        <v>260.403875566767</v>
      </c>
      <c r="BQ298" s="194" t="s">
        <v>469</v>
      </c>
    </row>
    <row r="299" spans="12:69" ht="14.45" customHeight="1">
      <c r="L299" s="20" t="s">
        <v>64</v>
      </c>
      <c r="M299" s="763" t="s">
        <v>459</v>
      </c>
      <c r="N299" s="15" t="s">
        <v>460</v>
      </c>
      <c r="O299" s="14" t="s">
        <v>1284</v>
      </c>
      <c r="P299" s="15" t="s">
        <v>405</v>
      </c>
      <c r="Q299" s="15" t="s">
        <v>468</v>
      </c>
      <c r="R299" s="193">
        <v>88.664726319245304</v>
      </c>
      <c r="S299" s="15" t="s">
        <v>64</v>
      </c>
      <c r="T299" s="14">
        <f t="shared" si="73"/>
        <v>1283.2797</v>
      </c>
      <c r="U299" s="27" t="s">
        <v>416</v>
      </c>
      <c r="V299" s="90">
        <v>4.9563101209174301E-2</v>
      </c>
      <c r="W299" s="109">
        <v>102.68190857524201</v>
      </c>
      <c r="X299" s="183">
        <v>3.6836836837011298E-2</v>
      </c>
      <c r="Y299" s="104">
        <v>3.72649858492764E-2</v>
      </c>
      <c r="Z299" s="104" t="s">
        <v>462</v>
      </c>
      <c r="AA299" s="57" t="s">
        <v>64</v>
      </c>
      <c r="AB299" s="47" t="s">
        <v>64</v>
      </c>
      <c r="AC299" s="57">
        <v>1022.737046791272</v>
      </c>
      <c r="AD299" s="27" t="s">
        <v>470</v>
      </c>
      <c r="AE299" s="28">
        <f t="shared" si="75"/>
        <v>4.1209748017899948</v>
      </c>
      <c r="AF299" s="197" t="s">
        <v>470</v>
      </c>
      <c r="AG299" s="84">
        <v>690</v>
      </c>
      <c r="AH299" s="157" t="s">
        <v>469</v>
      </c>
      <c r="AI299" s="8">
        <v>0.7665184730952016</v>
      </c>
      <c r="AJ299" s="9">
        <v>49.220999999999997</v>
      </c>
      <c r="AK299" s="9">
        <v>1.9159999999999999</v>
      </c>
      <c r="AL299" s="9">
        <v>11.388999999999999</v>
      </c>
      <c r="AM299" s="189">
        <v>11.335110330133951</v>
      </c>
      <c r="AN299" s="9">
        <v>0.189</v>
      </c>
      <c r="AO299" s="9">
        <v>13.397</v>
      </c>
      <c r="AP299" s="9">
        <v>9.4459999999999997</v>
      </c>
      <c r="AQ299" s="9">
        <v>2.1840000000000002</v>
      </c>
      <c r="AR299" s="9">
        <v>0.32400000000000001</v>
      </c>
      <c r="AS299" s="9">
        <v>0.219</v>
      </c>
      <c r="AT299" s="190">
        <v>573.89247892074195</v>
      </c>
      <c r="AU299" s="9">
        <v>0.5</v>
      </c>
      <c r="AV299" s="6">
        <v>39.185081771685958</v>
      </c>
      <c r="AW299" s="27">
        <v>523.78438452692706</v>
      </c>
      <c r="AX299" s="6">
        <v>562.96946629861338</v>
      </c>
      <c r="AY299" s="8">
        <f t="shared" si="76"/>
        <v>2.2676689751631143</v>
      </c>
      <c r="AZ299" s="9">
        <f t="shared" si="77"/>
        <v>9.2947904707098417</v>
      </c>
      <c r="BA299" s="123">
        <v>51.974800000000002</v>
      </c>
      <c r="BB299" s="121">
        <v>2.4975000000000001</v>
      </c>
      <c r="BC299" s="121">
        <v>14.848000000000001</v>
      </c>
      <c r="BD299" s="121">
        <v>5.9911000000000003</v>
      </c>
      <c r="BE299" s="121">
        <v>0.14799999999999999</v>
      </c>
      <c r="BF299" s="121">
        <v>6.2344999999999997</v>
      </c>
      <c r="BG299" s="121">
        <v>12.113099999999999</v>
      </c>
      <c r="BH299" s="121">
        <v>2.8468</v>
      </c>
      <c r="BI299" s="121">
        <v>0.42280000000000001</v>
      </c>
      <c r="BJ299" s="121">
        <v>0.28589999999999999</v>
      </c>
      <c r="BK299" s="121">
        <v>7.4870012799999996E-2</v>
      </c>
      <c r="BL299" s="121">
        <f t="shared" si="74"/>
        <v>97.437370012800002</v>
      </c>
      <c r="BM299" s="121">
        <v>0.27017198276777399</v>
      </c>
      <c r="BN299" s="95">
        <v>51.120857679341498</v>
      </c>
      <c r="BO299" s="95">
        <v>683.32910805382903</v>
      </c>
      <c r="BP299" s="95">
        <v>734.44996573317098</v>
      </c>
      <c r="BQ299" s="194" t="s">
        <v>469</v>
      </c>
    </row>
    <row r="300" spans="12:69" ht="14.45" customHeight="1">
      <c r="L300" s="20" t="s">
        <v>64</v>
      </c>
      <c r="M300" s="763" t="s">
        <v>459</v>
      </c>
      <c r="N300" s="15" t="s">
        <v>460</v>
      </c>
      <c r="O300" s="14" t="s">
        <v>1285</v>
      </c>
      <c r="P300" s="15" t="s">
        <v>405</v>
      </c>
      <c r="Q300" s="15" t="s">
        <v>468</v>
      </c>
      <c r="R300" s="193">
        <v>88.012854634263803</v>
      </c>
      <c r="S300" s="15" t="s">
        <v>64</v>
      </c>
      <c r="T300" s="14">
        <f t="shared" si="73"/>
        <v>1266.6168</v>
      </c>
      <c r="U300" s="27" t="s">
        <v>416</v>
      </c>
      <c r="V300" s="90">
        <v>3.8708504232791298E-2</v>
      </c>
      <c r="W300" s="109">
        <v>102.62949282615899</v>
      </c>
      <c r="X300" s="183">
        <v>1.3641055418540099E-2</v>
      </c>
      <c r="Y300" s="104">
        <v>2.0402855732193401E-2</v>
      </c>
      <c r="Z300" s="104" t="s">
        <v>462</v>
      </c>
      <c r="AA300" s="57" t="s">
        <v>64</v>
      </c>
      <c r="AB300" s="47" t="s">
        <v>64</v>
      </c>
      <c r="AC300" s="57">
        <v>539.98624672061362</v>
      </c>
      <c r="AD300" s="27" t="s">
        <v>470</v>
      </c>
      <c r="AE300" s="28">
        <f t="shared" si="75"/>
        <v>2.2784823960754497</v>
      </c>
      <c r="AF300" s="197" t="s">
        <v>470</v>
      </c>
      <c r="AG300" s="84">
        <v>360</v>
      </c>
      <c r="AH300" s="157" t="s">
        <v>469</v>
      </c>
      <c r="AI300" s="8">
        <v>0.8025682182985554</v>
      </c>
      <c r="AJ300" s="9">
        <v>49.279000000000003</v>
      </c>
      <c r="AK300" s="9">
        <v>2.0099999999999998</v>
      </c>
      <c r="AL300" s="9">
        <v>11.686999999999999</v>
      </c>
      <c r="AM300" s="189">
        <v>11.334110496815601</v>
      </c>
      <c r="AN300" s="9">
        <v>0.17899999999999999</v>
      </c>
      <c r="AO300" s="9">
        <v>12.568</v>
      </c>
      <c r="AP300" s="9">
        <v>10.003</v>
      </c>
      <c r="AQ300" s="9">
        <v>2.1190000000000002</v>
      </c>
      <c r="AR300" s="9">
        <v>0.316</v>
      </c>
      <c r="AS300" s="9">
        <v>0.14299999999999999</v>
      </c>
      <c r="AT300" s="190">
        <v>676.79661316211877</v>
      </c>
      <c r="AU300" s="9">
        <v>0.5</v>
      </c>
      <c r="AV300" s="6">
        <v>33.814319221252973</v>
      </c>
      <c r="AW300" s="27">
        <v>232.05983378438043</v>
      </c>
      <c r="AX300" s="6">
        <v>265.87415300563322</v>
      </c>
      <c r="AY300" s="8">
        <f t="shared" si="76"/>
        <v>2.2674689514376873</v>
      </c>
      <c r="AZ300" s="9">
        <f t="shared" si="77"/>
        <v>9.2939706073887933</v>
      </c>
      <c r="BA300" s="123">
        <v>51.308900000000001</v>
      </c>
      <c r="BB300" s="121">
        <v>2.4931000000000001</v>
      </c>
      <c r="BC300" s="121">
        <v>14.492699999999999</v>
      </c>
      <c r="BD300" s="121">
        <v>7.4314</v>
      </c>
      <c r="BE300" s="121">
        <v>0.13739999999999999</v>
      </c>
      <c r="BF300" s="121">
        <v>6.3227000000000002</v>
      </c>
      <c r="BG300" s="121">
        <v>12.2378</v>
      </c>
      <c r="BH300" s="121">
        <v>2.6278000000000001</v>
      </c>
      <c r="BI300" s="121">
        <v>0.39129999999999998</v>
      </c>
      <c r="BJ300" s="121">
        <v>0.1772</v>
      </c>
      <c r="BK300" s="121">
        <v>8.4328858000000007E-2</v>
      </c>
      <c r="BL300" s="121">
        <f t="shared" si="74"/>
        <v>97.704628858000007</v>
      </c>
      <c r="BM300" s="121">
        <v>0.232940693913919</v>
      </c>
      <c r="BN300" s="95">
        <v>42.132641749681198</v>
      </c>
      <c r="BO300" s="95">
        <v>289.146552895338</v>
      </c>
      <c r="BP300" s="95">
        <v>331.279194645019</v>
      </c>
      <c r="BQ300" s="194" t="s">
        <v>469</v>
      </c>
    </row>
    <row r="301" spans="12:69" ht="14.45" customHeight="1">
      <c r="L301" s="20" t="s">
        <v>64</v>
      </c>
      <c r="M301" s="763" t="s">
        <v>459</v>
      </c>
      <c r="N301" s="15" t="s">
        <v>460</v>
      </c>
      <c r="O301" s="14" t="s">
        <v>1286</v>
      </c>
      <c r="P301" s="15" t="s">
        <v>405</v>
      </c>
      <c r="Q301" s="15" t="s">
        <v>468</v>
      </c>
      <c r="R301" s="193">
        <v>87.531629286585101</v>
      </c>
      <c r="S301" s="15" t="s">
        <v>64</v>
      </c>
      <c r="T301" s="14">
        <f t="shared" si="73"/>
        <v>1257.6321</v>
      </c>
      <c r="U301" s="27" t="s">
        <v>416</v>
      </c>
      <c r="V301" s="90">
        <v>4.8765975051583102E-2</v>
      </c>
      <c r="W301" s="109">
        <v>102.637871204538</v>
      </c>
      <c r="X301" s="183">
        <v>3.6531126464245799E-2</v>
      </c>
      <c r="Y301" s="104">
        <v>2.3098177441120499E-2</v>
      </c>
      <c r="Z301" s="104" t="s">
        <v>462</v>
      </c>
      <c r="AA301" s="57" t="s">
        <v>64</v>
      </c>
      <c r="AB301" s="47" t="s">
        <v>64</v>
      </c>
      <c r="AC301" s="57">
        <v>754.32923147254405</v>
      </c>
      <c r="AD301" s="27" t="s">
        <v>470</v>
      </c>
      <c r="AE301" s="28">
        <f t="shared" si="75"/>
        <v>3.1162490014079181</v>
      </c>
      <c r="AF301" s="197" t="s">
        <v>470</v>
      </c>
      <c r="AG301" s="84">
        <v>490</v>
      </c>
      <c r="AH301" s="157" t="s">
        <v>469</v>
      </c>
      <c r="AI301" s="8">
        <v>0.80925791049607509</v>
      </c>
      <c r="AJ301" s="9">
        <v>49.762</v>
      </c>
      <c r="AK301" s="9">
        <v>2.0659999999999998</v>
      </c>
      <c r="AL301" s="9">
        <v>11.528</v>
      </c>
      <c r="AM301" s="189">
        <v>11.329111330223849</v>
      </c>
      <c r="AN301" s="9">
        <v>0.19800000000000001</v>
      </c>
      <c r="AO301" s="9">
        <v>12.121</v>
      </c>
      <c r="AP301" s="9">
        <v>9.7729999999999997</v>
      </c>
      <c r="AQ301" s="9">
        <v>2.2469999999999999</v>
      </c>
      <c r="AR301" s="9">
        <v>0.34599999999999997</v>
      </c>
      <c r="AS301" s="9">
        <v>0.26500000000000001</v>
      </c>
      <c r="AT301" s="190">
        <v>612.77663186857649</v>
      </c>
      <c r="AU301" s="9">
        <v>0.5</v>
      </c>
      <c r="AV301" s="6">
        <v>39.21162399764814</v>
      </c>
      <c r="AW301" s="27">
        <v>335.37782213423401</v>
      </c>
      <c r="AX301" s="6">
        <v>374.58944613188237</v>
      </c>
      <c r="AY301" s="8">
        <f t="shared" si="76"/>
        <v>2.2664688328105536</v>
      </c>
      <c r="AZ301" s="9">
        <f t="shared" si="77"/>
        <v>9.2898712907835588</v>
      </c>
      <c r="BA301" s="123">
        <v>51.974200000000003</v>
      </c>
      <c r="BB301" s="121">
        <v>2.5478999999999998</v>
      </c>
      <c r="BC301" s="121">
        <v>14.2172</v>
      </c>
      <c r="BD301" s="121">
        <v>6.9165000000000001</v>
      </c>
      <c r="BE301" s="121">
        <v>0.15809999999999999</v>
      </c>
      <c r="BF301" s="121">
        <v>6.4680999999999997</v>
      </c>
      <c r="BG301" s="121">
        <v>11.8901</v>
      </c>
      <c r="BH301" s="121">
        <v>2.7713999999999999</v>
      </c>
      <c r="BI301" s="121">
        <v>0.42670000000000002</v>
      </c>
      <c r="BJ301" s="121">
        <v>0.32729999999999998</v>
      </c>
      <c r="BK301" s="121">
        <v>7.5720808399999992E-2</v>
      </c>
      <c r="BL301" s="121">
        <f t="shared" si="74"/>
        <v>97.773220808400012</v>
      </c>
      <c r="BM301" s="121">
        <v>0.23462444860338999</v>
      </c>
      <c r="BN301" s="95">
        <v>48.453803773893803</v>
      </c>
      <c r="BO301" s="95">
        <v>414.42637481127298</v>
      </c>
      <c r="BP301" s="95">
        <v>462.88017858516702</v>
      </c>
      <c r="BQ301" s="194" t="s">
        <v>469</v>
      </c>
    </row>
    <row r="302" spans="12:69" ht="14.45" customHeight="1">
      <c r="L302" s="20" t="s">
        <v>64</v>
      </c>
      <c r="M302" s="763" t="s">
        <v>459</v>
      </c>
      <c r="N302" s="15" t="s">
        <v>460</v>
      </c>
      <c r="O302" s="14" t="s">
        <v>1287</v>
      </c>
      <c r="P302" s="15" t="s">
        <v>405</v>
      </c>
      <c r="Q302" s="15" t="s">
        <v>468</v>
      </c>
      <c r="R302" s="193">
        <v>88.097107009832399</v>
      </c>
      <c r="S302" s="15" t="s">
        <v>64</v>
      </c>
      <c r="T302" s="14">
        <f t="shared" si="73"/>
        <v>1267.8429000000001</v>
      </c>
      <c r="U302" s="27" t="s">
        <v>416</v>
      </c>
      <c r="V302" s="90">
        <v>5.1622574179931706E-2</v>
      </c>
      <c r="W302" s="109">
        <v>102.668835502169</v>
      </c>
      <c r="X302" s="183">
        <v>7.4821430419371301E-3</v>
      </c>
      <c r="Y302" s="104">
        <v>3.3059382322832703E-2</v>
      </c>
      <c r="Z302" s="104" t="s">
        <v>462</v>
      </c>
      <c r="AA302" s="57" t="s">
        <v>64</v>
      </c>
      <c r="AB302" s="47" t="s">
        <v>64</v>
      </c>
      <c r="AC302" s="57">
        <v>993.58630798027048</v>
      </c>
      <c r="AD302" s="27" t="s">
        <v>470</v>
      </c>
      <c r="AE302" s="28">
        <f t="shared" si="75"/>
        <v>4.0140264833127066</v>
      </c>
      <c r="AF302" s="197" t="s">
        <v>470</v>
      </c>
      <c r="AG302" s="84">
        <v>660</v>
      </c>
      <c r="AH302" s="157" t="s">
        <v>469</v>
      </c>
      <c r="AI302" s="8">
        <v>0.8005764150188136</v>
      </c>
      <c r="AJ302" s="9">
        <v>49.22</v>
      </c>
      <c r="AK302" s="9">
        <v>2.121</v>
      </c>
      <c r="AL302" s="9">
        <v>11.372</v>
      </c>
      <c r="AM302" s="189">
        <v>11.335110330133951</v>
      </c>
      <c r="AN302" s="9">
        <v>0.156</v>
      </c>
      <c r="AO302" s="9">
        <v>12.629</v>
      </c>
      <c r="AP302" s="9">
        <v>9.9789999999999992</v>
      </c>
      <c r="AQ302" s="9">
        <v>2.1619999999999999</v>
      </c>
      <c r="AR302" s="9">
        <v>0.38</v>
      </c>
      <c r="AS302" s="9">
        <v>0.29599999999999999</v>
      </c>
      <c r="AT302" s="190">
        <v>530.87831238491719</v>
      </c>
      <c r="AU302" s="9">
        <v>0.5</v>
      </c>
      <c r="AV302" s="6">
        <v>26.939991782905377</v>
      </c>
      <c r="AW302" s="27">
        <v>500.76981960844694</v>
      </c>
      <c r="AX302" s="6">
        <v>527.70981139135222</v>
      </c>
      <c r="AY302" s="8">
        <f t="shared" si="76"/>
        <v>2.2676689751631143</v>
      </c>
      <c r="AZ302" s="9">
        <f t="shared" si="77"/>
        <v>9.2947904707098417</v>
      </c>
      <c r="BA302" s="123">
        <v>51.576700000000002</v>
      </c>
      <c r="BB302" s="121">
        <v>2.6522999999999999</v>
      </c>
      <c r="BC302" s="121">
        <v>14.2232</v>
      </c>
      <c r="BD302" s="121">
        <v>7.0780000000000003</v>
      </c>
      <c r="BE302" s="121">
        <v>0.109</v>
      </c>
      <c r="BF302" s="121">
        <v>6.5541</v>
      </c>
      <c r="BG302" s="121">
        <v>12.3123</v>
      </c>
      <c r="BH302" s="121">
        <v>2.7044999999999999</v>
      </c>
      <c r="BI302" s="121">
        <v>0.47539999999999999</v>
      </c>
      <c r="BJ302" s="121">
        <v>0.37</v>
      </c>
      <c r="BK302" s="121">
        <v>6.6312010000000005E-2</v>
      </c>
      <c r="BL302" s="121">
        <f t="shared" si="74"/>
        <v>98.121812010000014</v>
      </c>
      <c r="BM302" s="121">
        <v>0.21806204217314101</v>
      </c>
      <c r="BN302" s="95">
        <v>33.650743736027103</v>
      </c>
      <c r="BO302" s="95">
        <v>625.51158167291101</v>
      </c>
      <c r="BP302" s="95">
        <v>659.16232540893805</v>
      </c>
      <c r="BQ302" s="194" t="s">
        <v>469</v>
      </c>
    </row>
    <row r="303" spans="12:69" ht="14.45" customHeight="1">
      <c r="L303" s="20" t="s">
        <v>64</v>
      </c>
      <c r="M303" s="763" t="s">
        <v>459</v>
      </c>
      <c r="N303" s="15" t="s">
        <v>460</v>
      </c>
      <c r="O303" s="14" t="s">
        <v>1288</v>
      </c>
      <c r="P303" s="15" t="s">
        <v>405</v>
      </c>
      <c r="Q303" s="15" t="s">
        <v>468</v>
      </c>
      <c r="R303" s="193">
        <v>88.373963185719788</v>
      </c>
      <c r="S303" s="15" t="s">
        <v>64</v>
      </c>
      <c r="T303" s="14">
        <f t="shared" si="73"/>
        <v>1276.8074999999999</v>
      </c>
      <c r="U303" s="27" t="s">
        <v>416</v>
      </c>
      <c r="V303" s="90">
        <v>5.7588010170489902E-2</v>
      </c>
      <c r="W303" s="109">
        <v>102.65981314648</v>
      </c>
      <c r="X303" s="183">
        <v>1.3937299760942099E-2</v>
      </c>
      <c r="Y303" s="104">
        <v>3.5041169912695097E-2</v>
      </c>
      <c r="Z303" s="104" t="s">
        <v>462</v>
      </c>
      <c r="AA303" s="57" t="s">
        <v>64</v>
      </c>
      <c r="AB303" s="47" t="s">
        <v>64</v>
      </c>
      <c r="AC303" s="57">
        <v>1160.5824155762509</v>
      </c>
      <c r="AD303" s="27" t="s">
        <v>470</v>
      </c>
      <c r="AE303" s="28">
        <f t="shared" si="75"/>
        <v>4.6201762467861691</v>
      </c>
      <c r="AF303" s="197" t="s">
        <v>470</v>
      </c>
      <c r="AG303" s="84">
        <v>770</v>
      </c>
      <c r="AH303" s="157" t="s">
        <v>469</v>
      </c>
      <c r="AI303" s="8">
        <v>0.78284014404258639</v>
      </c>
      <c r="AJ303" s="9">
        <v>49.561</v>
      </c>
      <c r="AK303" s="9">
        <v>1.972</v>
      </c>
      <c r="AL303" s="9">
        <v>11.289</v>
      </c>
      <c r="AM303" s="189">
        <v>11.329111330223849</v>
      </c>
      <c r="AN303" s="9">
        <v>0.20399999999999999</v>
      </c>
      <c r="AO303" s="9">
        <v>13.074999999999999</v>
      </c>
      <c r="AP303" s="9">
        <v>9.4359999999999999</v>
      </c>
      <c r="AQ303" s="9">
        <v>2.2010000000000001</v>
      </c>
      <c r="AR303" s="9">
        <v>0.35499999999999998</v>
      </c>
      <c r="AS303" s="9">
        <v>0.224</v>
      </c>
      <c r="AT303" s="190">
        <v>535.57206513229994</v>
      </c>
      <c r="AU303" s="9">
        <v>0.5</v>
      </c>
      <c r="AV303" s="6">
        <v>45.568795426450443</v>
      </c>
      <c r="AW303" s="27">
        <v>582.57904743446056</v>
      </c>
      <c r="AX303" s="6">
        <v>628.14784286091117</v>
      </c>
      <c r="AY303" s="8">
        <f t="shared" si="76"/>
        <v>2.2664688328105536</v>
      </c>
      <c r="AZ303" s="9">
        <f t="shared" si="77"/>
        <v>9.2898712907835588</v>
      </c>
      <c r="BA303" s="123">
        <v>52.430199999999999</v>
      </c>
      <c r="BB303" s="121">
        <v>2.5299</v>
      </c>
      <c r="BC303" s="121">
        <v>14.4838</v>
      </c>
      <c r="BD303" s="121">
        <v>6.6196000000000002</v>
      </c>
      <c r="BE303" s="121">
        <v>0.16819999999999999</v>
      </c>
      <c r="BF303" s="121">
        <v>6.4363000000000001</v>
      </c>
      <c r="BG303" s="121">
        <v>11.9198</v>
      </c>
      <c r="BH303" s="121">
        <v>2.8233999999999999</v>
      </c>
      <c r="BI303" s="121">
        <v>0.4551</v>
      </c>
      <c r="BJ303" s="121">
        <v>0.28799999999999998</v>
      </c>
      <c r="BK303" s="121">
        <v>6.841397560000001E-2</v>
      </c>
      <c r="BL303" s="121">
        <f t="shared" si="74"/>
        <v>98.222713975600001</v>
      </c>
      <c r="BM303" s="121">
        <v>0.231974089319674</v>
      </c>
      <c r="BN303" s="95">
        <v>58.2095792777478</v>
      </c>
      <c r="BO303" s="95">
        <v>744.18647519277999</v>
      </c>
      <c r="BP303" s="95">
        <v>802.39605447052804</v>
      </c>
      <c r="BQ303" s="194" t="s">
        <v>469</v>
      </c>
    </row>
    <row r="304" spans="12:69" ht="14.45" customHeight="1">
      <c r="L304" s="20" t="s">
        <v>64</v>
      </c>
      <c r="M304" s="763" t="s">
        <v>459</v>
      </c>
      <c r="N304" s="15" t="s">
        <v>460</v>
      </c>
      <c r="O304" s="14" t="s">
        <v>1289</v>
      </c>
      <c r="P304" s="15" t="s">
        <v>405</v>
      </c>
      <c r="Q304" s="15" t="s">
        <v>468</v>
      </c>
      <c r="R304" s="193">
        <v>85.160449172768011</v>
      </c>
      <c r="S304" s="15" t="s">
        <v>64</v>
      </c>
      <c r="T304" s="14">
        <f t="shared" si="73"/>
        <v>1213.1106</v>
      </c>
      <c r="U304" s="27" t="s">
        <v>416</v>
      </c>
      <c r="V304" s="90">
        <v>2.7995705890830502E-2</v>
      </c>
      <c r="W304" s="109">
        <v>102.644484484484</v>
      </c>
      <c r="X304" s="183">
        <v>3.16000695709691E-2</v>
      </c>
      <c r="Y304" s="104">
        <v>2.52256675352669E-2</v>
      </c>
      <c r="Z304" s="104" t="s">
        <v>462</v>
      </c>
      <c r="AA304" s="57" t="s">
        <v>64</v>
      </c>
      <c r="AB304" s="47" t="s">
        <v>64</v>
      </c>
      <c r="AC304" s="57">
        <v>520.1626746917126</v>
      </c>
      <c r="AD304" s="27" t="s">
        <v>470</v>
      </c>
      <c r="AE304" s="28">
        <f t="shared" si="75"/>
        <v>2.1992527126391899</v>
      </c>
      <c r="AF304" s="197" t="s">
        <v>470</v>
      </c>
      <c r="AG304" s="84">
        <v>370</v>
      </c>
      <c r="AH304" s="157" t="s">
        <v>469</v>
      </c>
      <c r="AI304" s="8">
        <v>0.87912087912087911</v>
      </c>
      <c r="AJ304" s="9">
        <v>49.585000000000001</v>
      </c>
      <c r="AK304" s="9">
        <v>2.282</v>
      </c>
      <c r="AL304" s="9">
        <v>12.839</v>
      </c>
      <c r="AM304" s="189">
        <v>11.342109163362398</v>
      </c>
      <c r="AN304" s="9">
        <v>0.14399999999999999</v>
      </c>
      <c r="AO304" s="9">
        <v>9.9060000000000006</v>
      </c>
      <c r="AP304" s="9">
        <v>10.462999999999999</v>
      </c>
      <c r="AQ304" s="9">
        <v>2.3479999999999999</v>
      </c>
      <c r="AR304" s="9">
        <v>0.47699999999999998</v>
      </c>
      <c r="AS304" s="9">
        <v>0.24299999999999999</v>
      </c>
      <c r="AT304" s="190">
        <v>881.70362373626369</v>
      </c>
      <c r="AU304" s="9">
        <v>0.5</v>
      </c>
      <c r="AV304" s="6">
        <v>16.272369771287735</v>
      </c>
      <c r="AW304" s="27">
        <v>225.9203041438347</v>
      </c>
      <c r="AX304" s="6">
        <v>242.19267391512173</v>
      </c>
      <c r="AY304" s="8">
        <f t="shared" si="76"/>
        <v>2.269069141241101</v>
      </c>
      <c r="AZ304" s="9">
        <f t="shared" si="77"/>
        <v>9.3005295139571675</v>
      </c>
      <c r="BA304" s="123">
        <v>50.717199999999998</v>
      </c>
      <c r="BB304" s="121">
        <v>2.5842000000000001</v>
      </c>
      <c r="BC304" s="121">
        <v>14.537599999999999</v>
      </c>
      <c r="BD304" s="121">
        <v>8.5229999999999997</v>
      </c>
      <c r="BE304" s="121">
        <v>0.10150000000000001</v>
      </c>
      <c r="BF304" s="121">
        <v>6.4622999999999999</v>
      </c>
      <c r="BG304" s="121">
        <v>11.751300000000001</v>
      </c>
      <c r="BH304" s="121">
        <v>2.6587000000000001</v>
      </c>
      <c r="BI304" s="121">
        <v>0.54039999999999999</v>
      </c>
      <c r="BJ304" s="121">
        <v>0.27510000000000001</v>
      </c>
      <c r="BK304" s="121">
        <v>0.1002937872</v>
      </c>
      <c r="BL304" s="121">
        <f t="shared" si="74"/>
        <v>98.251593787199994</v>
      </c>
      <c r="BM304" s="121">
        <v>0.22250645282138001</v>
      </c>
      <c r="BN304" s="95">
        <v>18.5098206148398</v>
      </c>
      <c r="BO304" s="95">
        <v>256.98434596361199</v>
      </c>
      <c r="BP304" s="95">
        <v>275.49416657845097</v>
      </c>
      <c r="BQ304" s="194" t="s">
        <v>469</v>
      </c>
    </row>
    <row r="305" spans="12:69" ht="14.45" customHeight="1">
      <c r="L305" s="20" t="s">
        <v>64</v>
      </c>
      <c r="M305" s="763" t="s">
        <v>459</v>
      </c>
      <c r="N305" s="15" t="s">
        <v>460</v>
      </c>
      <c r="O305" s="14" t="s">
        <v>1290</v>
      </c>
      <c r="P305" s="15" t="s">
        <v>405</v>
      </c>
      <c r="Q305" s="15" t="s">
        <v>468</v>
      </c>
      <c r="R305" s="193">
        <v>88.236885572804198</v>
      </c>
      <c r="S305" s="15" t="s">
        <v>64</v>
      </c>
      <c r="T305" s="14">
        <f t="shared" ref="T305:T324" si="78" xml:space="preserve"> 20.1*AO305+1014</f>
        <v>1271.1995999999999</v>
      </c>
      <c r="U305" s="27" t="s">
        <v>416</v>
      </c>
      <c r="V305" s="90">
        <v>6.6732109732790909E-2</v>
      </c>
      <c r="W305" s="109">
        <v>102.64155822489199</v>
      </c>
      <c r="X305" s="183">
        <v>1.7949505179131998E-2</v>
      </c>
      <c r="Y305" s="104">
        <v>2.42842907379099E-2</v>
      </c>
      <c r="Z305" s="104" t="s">
        <v>462</v>
      </c>
      <c r="AA305" s="57" t="s">
        <v>64</v>
      </c>
      <c r="AB305" s="47" t="s">
        <v>64</v>
      </c>
      <c r="AC305" s="57">
        <v>968.58476029169185</v>
      </c>
      <c r="AD305" s="27" t="s">
        <v>470</v>
      </c>
      <c r="AE305" s="28">
        <f t="shared" si="75"/>
        <v>3.9218991219676091</v>
      </c>
      <c r="AF305" s="197" t="s">
        <v>470</v>
      </c>
      <c r="AG305" s="84">
        <v>670</v>
      </c>
      <c r="AH305" s="157" t="s">
        <v>469</v>
      </c>
      <c r="AI305" s="8">
        <v>0.79770261646458196</v>
      </c>
      <c r="AJ305" s="9">
        <v>49.191000000000003</v>
      </c>
      <c r="AK305" s="9">
        <v>1.958</v>
      </c>
      <c r="AL305" s="9">
        <v>11.521000000000001</v>
      </c>
      <c r="AM305" s="189">
        <v>11.33111099686055</v>
      </c>
      <c r="AN305" s="9">
        <v>0.156</v>
      </c>
      <c r="AO305" s="9">
        <v>12.795999999999999</v>
      </c>
      <c r="AP305" s="9">
        <v>9.7029999999999994</v>
      </c>
      <c r="AQ305" s="9">
        <v>2.2629999999999999</v>
      </c>
      <c r="AR305" s="9">
        <v>0.39300000000000002</v>
      </c>
      <c r="AS305" s="9">
        <v>0.33</v>
      </c>
      <c r="AT305" s="190">
        <v>622.39120293554561</v>
      </c>
      <c r="AU305" s="9">
        <v>0.5</v>
      </c>
      <c r="AV305" s="6">
        <v>59.707507054387598</v>
      </c>
      <c r="AW305" s="27">
        <v>473.53417247315969</v>
      </c>
      <c r="AX305" s="6">
        <v>533.24167952754783</v>
      </c>
      <c r="AY305" s="8">
        <f t="shared" si="76"/>
        <v>2.2668688802614074</v>
      </c>
      <c r="AZ305" s="9">
        <f t="shared" si="77"/>
        <v>9.2915110174256519</v>
      </c>
      <c r="BA305" s="123">
        <v>51.5974</v>
      </c>
      <c r="BB305" s="121">
        <v>2.4594</v>
      </c>
      <c r="BC305" s="121">
        <v>14.468</v>
      </c>
      <c r="BD305" s="121">
        <v>7.5423999999999998</v>
      </c>
      <c r="BE305" s="121">
        <v>0.1101</v>
      </c>
      <c r="BF305" s="121">
        <v>6.3399000000000001</v>
      </c>
      <c r="BG305" s="121">
        <v>12.0136</v>
      </c>
      <c r="BH305" s="121">
        <v>2.8412999999999999</v>
      </c>
      <c r="BI305" s="121">
        <v>0.49309999999999998</v>
      </c>
      <c r="BJ305" s="121">
        <v>0.41399999999999998</v>
      </c>
      <c r="BK305" s="121">
        <v>7.8022961199999991E-2</v>
      </c>
      <c r="BL305" s="121">
        <f t="shared" ref="BL305:BL324" si="79">SUM(BA305:BK305)</f>
        <v>98.357222961200009</v>
      </c>
      <c r="BM305" s="121">
        <v>0.23067587746024301</v>
      </c>
      <c r="BN305" s="95">
        <v>74.849330843380301</v>
      </c>
      <c r="BO305" s="95">
        <v>593.62243861235299</v>
      </c>
      <c r="BP305" s="95">
        <v>668.47176945573403</v>
      </c>
      <c r="BQ305" s="194" t="s">
        <v>469</v>
      </c>
    </row>
    <row r="306" spans="12:69" ht="14.45" customHeight="1">
      <c r="L306" s="20" t="s">
        <v>64</v>
      </c>
      <c r="M306" s="763" t="s">
        <v>459</v>
      </c>
      <c r="N306" s="15" t="s">
        <v>460</v>
      </c>
      <c r="O306" s="14" t="s">
        <v>1291</v>
      </c>
      <c r="P306" s="15" t="s">
        <v>405</v>
      </c>
      <c r="Q306" s="15" t="s">
        <v>468</v>
      </c>
      <c r="R306" s="193">
        <v>87.712663784903597</v>
      </c>
      <c r="S306" s="15" t="s">
        <v>64</v>
      </c>
      <c r="T306" s="14">
        <f t="shared" si="78"/>
        <v>1259.8028999999999</v>
      </c>
      <c r="U306" s="27" t="s">
        <v>416</v>
      </c>
      <c r="V306" s="90">
        <v>4.3256982117243201E-2</v>
      </c>
      <c r="W306" s="109">
        <v>102.65416750083401</v>
      </c>
      <c r="X306" s="183">
        <v>4.7478841414780398E-2</v>
      </c>
      <c r="Y306" s="104">
        <v>2.83406908722981E-2</v>
      </c>
      <c r="Z306" s="104" t="s">
        <v>462</v>
      </c>
      <c r="AA306" s="57" t="s">
        <v>64</v>
      </c>
      <c r="AB306" s="47" t="s">
        <v>64</v>
      </c>
      <c r="AC306" s="57">
        <v>785.8730414417314</v>
      </c>
      <c r="AD306" s="27" t="s">
        <v>470</v>
      </c>
      <c r="AE306" s="28">
        <f t="shared" si="75"/>
        <v>3.2367583029750144</v>
      </c>
      <c r="AF306" s="197" t="s">
        <v>470</v>
      </c>
      <c r="AG306" s="84">
        <v>520</v>
      </c>
      <c r="AH306" s="157" t="s">
        <v>469</v>
      </c>
      <c r="AI306" s="8">
        <v>0.80541237113402064</v>
      </c>
      <c r="AJ306" s="9">
        <v>49.356999999999999</v>
      </c>
      <c r="AK306" s="9">
        <v>2.1389999999999998</v>
      </c>
      <c r="AL306" s="9">
        <v>11.760999999999999</v>
      </c>
      <c r="AM306" s="189">
        <v>11.3281114969055</v>
      </c>
      <c r="AN306" s="9">
        <v>0.19</v>
      </c>
      <c r="AO306" s="9">
        <v>12.228999999999999</v>
      </c>
      <c r="AP306" s="9">
        <v>9.8249999999999993</v>
      </c>
      <c r="AQ306" s="9">
        <v>2.1920000000000002</v>
      </c>
      <c r="AR306" s="9">
        <v>0.40400000000000003</v>
      </c>
      <c r="AS306" s="9">
        <v>0.218</v>
      </c>
      <c r="AT306" s="190">
        <v>590.91985180412371</v>
      </c>
      <c r="AU306" s="9">
        <v>0.5</v>
      </c>
      <c r="AV306" s="6">
        <v>38.422777703425417</v>
      </c>
      <c r="AW306" s="27">
        <v>362.81275787383538</v>
      </c>
      <c r="AX306" s="6">
        <v>401.2355355772608</v>
      </c>
      <c r="AY306" s="8">
        <f t="shared" si="76"/>
        <v>2.2662688090851266</v>
      </c>
      <c r="AZ306" s="9">
        <f t="shared" si="77"/>
        <v>9.2890514274625087</v>
      </c>
      <c r="BA306" s="123">
        <v>51.478900000000003</v>
      </c>
      <c r="BB306" s="121">
        <v>2.6480999999999999</v>
      </c>
      <c r="BC306" s="121">
        <v>14.560499999999999</v>
      </c>
      <c r="BD306" s="121">
        <v>6.7904</v>
      </c>
      <c r="BE306" s="121">
        <v>0.1487</v>
      </c>
      <c r="BF306" s="121">
        <v>6.4527000000000001</v>
      </c>
      <c r="BG306" s="121">
        <v>11.9978</v>
      </c>
      <c r="BH306" s="121">
        <v>2.7139000000000002</v>
      </c>
      <c r="BI306" s="121">
        <v>0.50029999999999997</v>
      </c>
      <c r="BJ306" s="121">
        <v>0.27029999999999998</v>
      </c>
      <c r="BK306" s="121">
        <v>7.3368608799999999E-2</v>
      </c>
      <c r="BL306" s="121">
        <f t="shared" si="79"/>
        <v>97.634968608800008</v>
      </c>
      <c r="BM306" s="121">
        <v>0.22473539075076701</v>
      </c>
      <c r="BN306" s="95">
        <v>47.705720796572997</v>
      </c>
      <c r="BO306" s="95">
        <v>450.46832017615401</v>
      </c>
      <c r="BP306" s="95">
        <v>498.17404097272703</v>
      </c>
      <c r="BQ306" s="194" t="s">
        <v>469</v>
      </c>
    </row>
    <row r="307" spans="12:69" ht="14.45" customHeight="1">
      <c r="L307" s="20" t="s">
        <v>64</v>
      </c>
      <c r="M307" s="763" t="s">
        <v>459</v>
      </c>
      <c r="N307" s="15" t="s">
        <v>460</v>
      </c>
      <c r="O307" s="14" t="s">
        <v>1292</v>
      </c>
      <c r="P307" s="15" t="s">
        <v>405</v>
      </c>
      <c r="Q307" s="15" t="s">
        <v>468</v>
      </c>
      <c r="R307" s="193">
        <v>85.639499457165996</v>
      </c>
      <c r="S307" s="15" t="s">
        <v>64</v>
      </c>
      <c r="T307" s="14">
        <f t="shared" si="78"/>
        <v>1220.829</v>
      </c>
      <c r="U307" s="27" t="s">
        <v>416</v>
      </c>
      <c r="V307" s="90">
        <v>2.9656940541195002E-2</v>
      </c>
      <c r="W307" s="109">
        <v>102.61325325325301</v>
      </c>
      <c r="X307" s="183">
        <v>3.1073002710871302E-2</v>
      </c>
      <c r="Y307" s="104">
        <v>1.5178590197862701E-2</v>
      </c>
      <c r="Z307" s="104" t="s">
        <v>462</v>
      </c>
      <c r="AA307" s="57" t="s">
        <v>64</v>
      </c>
      <c r="AB307" s="47" t="s">
        <v>64</v>
      </c>
      <c r="AC307" s="57">
        <v>419.94793345907772</v>
      </c>
      <c r="AD307" s="27" t="s">
        <v>470</v>
      </c>
      <c r="AE307" s="28">
        <f t="shared" si="75"/>
        <v>1.7939137789068174</v>
      </c>
      <c r="AF307" s="197" t="s">
        <v>470</v>
      </c>
      <c r="AG307" s="84">
        <v>280</v>
      </c>
      <c r="AH307" s="157" t="s">
        <v>469</v>
      </c>
      <c r="AI307" s="8">
        <v>0.87298123090353563</v>
      </c>
      <c r="AJ307" s="9">
        <v>50.027999999999999</v>
      </c>
      <c r="AK307" s="9">
        <v>2.5249999999999999</v>
      </c>
      <c r="AL307" s="9">
        <v>11.952999999999999</v>
      </c>
      <c r="AM307" s="189">
        <v>11.329111330223849</v>
      </c>
      <c r="AN307" s="9">
        <v>0.16700000000000001</v>
      </c>
      <c r="AO307" s="9">
        <v>10.29</v>
      </c>
      <c r="AP307" s="9">
        <v>10.301</v>
      </c>
      <c r="AQ307" s="9">
        <v>2.3279999999999998</v>
      </c>
      <c r="AR307" s="9">
        <v>0.47599999999999998</v>
      </c>
      <c r="AS307" s="9">
        <v>0.23699999999999999</v>
      </c>
      <c r="AT307" s="190">
        <v>861.56516455696215</v>
      </c>
      <c r="AU307" s="9">
        <v>0.5</v>
      </c>
      <c r="AV307" s="6">
        <v>42.616772238966831</v>
      </c>
      <c r="AW307" s="27">
        <v>143.04206897495769</v>
      </c>
      <c r="AX307" s="6">
        <v>185.65884121392409</v>
      </c>
      <c r="AY307" s="8">
        <f t="shared" si="76"/>
        <v>2.2664688328105536</v>
      </c>
      <c r="AZ307" s="9">
        <f t="shared" si="77"/>
        <v>9.2898712907835588</v>
      </c>
      <c r="BA307" s="123">
        <v>51.197600000000001</v>
      </c>
      <c r="BB307" s="121">
        <v>2.8744999999999998</v>
      </c>
      <c r="BC307" s="121">
        <v>13.6052</v>
      </c>
      <c r="BD307" s="121">
        <v>8.5594000000000001</v>
      </c>
      <c r="BE307" s="121">
        <v>0.12720000000000001</v>
      </c>
      <c r="BF307" s="121">
        <v>6.5464000000000002</v>
      </c>
      <c r="BG307" s="121">
        <v>11.6229</v>
      </c>
      <c r="BH307" s="121">
        <v>2.6494</v>
      </c>
      <c r="BI307" s="121">
        <v>0.54179999999999995</v>
      </c>
      <c r="BJ307" s="121">
        <v>0.26950000000000002</v>
      </c>
      <c r="BK307" s="121">
        <v>9.869228960000001E-2</v>
      </c>
      <c r="BL307" s="121">
        <f t="shared" si="79"/>
        <v>98.092592289599992</v>
      </c>
      <c r="BM307" s="121">
        <v>0.21605998279274299</v>
      </c>
      <c r="BN307" s="95">
        <v>48.817512599736503</v>
      </c>
      <c r="BO307" s="95">
        <v>163.85469001081401</v>
      </c>
      <c r="BP307" s="95">
        <v>212.67220261054999</v>
      </c>
      <c r="BQ307" s="194" t="s">
        <v>469</v>
      </c>
    </row>
    <row r="308" spans="12:69" ht="14.45" customHeight="1">
      <c r="L308" s="20" t="s">
        <v>64</v>
      </c>
      <c r="M308" s="763" t="s">
        <v>459</v>
      </c>
      <c r="N308" s="15" t="s">
        <v>460</v>
      </c>
      <c r="O308" s="14" t="s">
        <v>1293</v>
      </c>
      <c r="P308" s="15" t="s">
        <v>405</v>
      </c>
      <c r="Q308" s="15" t="s">
        <v>468</v>
      </c>
      <c r="R308" s="193">
        <v>87.029554999478194</v>
      </c>
      <c r="S308" s="15" t="s">
        <v>64</v>
      </c>
      <c r="T308" s="14">
        <f t="shared" si="78"/>
        <v>1247.6624999999999</v>
      </c>
      <c r="U308" s="27" t="s">
        <v>416</v>
      </c>
      <c r="V308" s="90">
        <v>4.1036853059637703E-2</v>
      </c>
      <c r="W308" s="109">
        <v>102.61357691024401</v>
      </c>
      <c r="X308" s="183">
        <v>2.1786323739000999E-2</v>
      </c>
      <c r="Y308" s="104">
        <v>1.52827105506219E-2</v>
      </c>
      <c r="Z308" s="104" t="s">
        <v>462</v>
      </c>
      <c r="AA308" s="57" t="s">
        <v>64</v>
      </c>
      <c r="AB308" s="47" t="s">
        <v>64</v>
      </c>
      <c r="AC308" s="57">
        <v>475.19058755785983</v>
      </c>
      <c r="AD308" s="27" t="s">
        <v>470</v>
      </c>
      <c r="AE308" s="28">
        <f t="shared" si="75"/>
        <v>2.0183576179175757</v>
      </c>
      <c r="AF308" s="197" t="s">
        <v>470</v>
      </c>
      <c r="AG308" s="84">
        <v>310</v>
      </c>
      <c r="AH308" s="157" t="s">
        <v>469</v>
      </c>
      <c r="AI308" s="8">
        <v>0.82189529053998522</v>
      </c>
      <c r="AJ308" s="9">
        <v>49.597999999999999</v>
      </c>
      <c r="AK308" s="9">
        <v>2.1419999999999999</v>
      </c>
      <c r="AL308" s="9">
        <v>11.897</v>
      </c>
      <c r="AM308" s="189">
        <v>11.332110830178898</v>
      </c>
      <c r="AN308" s="9">
        <v>0.16300000000000001</v>
      </c>
      <c r="AO308" s="9">
        <v>11.625</v>
      </c>
      <c r="AP308" s="9">
        <v>10.205</v>
      </c>
      <c r="AQ308" s="9">
        <v>2.0699999999999998</v>
      </c>
      <c r="AR308" s="9">
        <v>0.35199999999999998</v>
      </c>
      <c r="AS308" s="9">
        <v>0.25600000000000001</v>
      </c>
      <c r="AT308" s="190">
        <v>347.16445467247473</v>
      </c>
      <c r="AU308" s="9">
        <v>0.5</v>
      </c>
      <c r="AV308" s="6">
        <v>26.761092550550508</v>
      </c>
      <c r="AW308" s="27">
        <v>189.12592091008631</v>
      </c>
      <c r="AX308" s="6">
        <v>215.88701346063698</v>
      </c>
      <c r="AY308" s="8">
        <f t="shared" si="76"/>
        <v>2.2670689039868335</v>
      </c>
      <c r="AZ308" s="9">
        <f t="shared" si="77"/>
        <v>9.2923308807466967</v>
      </c>
      <c r="BA308" s="123">
        <v>51.651200000000003</v>
      </c>
      <c r="BB308" s="121">
        <v>2.6038999999999999</v>
      </c>
      <c r="BC308" s="121">
        <v>14.46</v>
      </c>
      <c r="BD308" s="121">
        <v>6.9850000000000003</v>
      </c>
      <c r="BE308" s="121">
        <v>0.11509999999999999</v>
      </c>
      <c r="BF308" s="121">
        <v>6.5163000000000002</v>
      </c>
      <c r="BG308" s="121">
        <v>12.2516</v>
      </c>
      <c r="BH308" s="121">
        <v>2.5163000000000002</v>
      </c>
      <c r="BI308" s="121">
        <v>0.42759999999999998</v>
      </c>
      <c r="BJ308" s="121">
        <v>0.31080000000000002</v>
      </c>
      <c r="BK308" s="121">
        <v>4.2239499200000002E-2</v>
      </c>
      <c r="BL308" s="121">
        <f t="shared" si="79"/>
        <v>97.880039499199995</v>
      </c>
      <c r="BM308" s="121">
        <v>0.22726367220485699</v>
      </c>
      <c r="BN308" s="95">
        <v>32.560221306254803</v>
      </c>
      <c r="BO308" s="95">
        <v>230.10950797130201</v>
      </c>
      <c r="BP308" s="95">
        <v>262.669729277557</v>
      </c>
      <c r="BQ308" s="194" t="s">
        <v>469</v>
      </c>
    </row>
    <row r="309" spans="12:69" ht="14.45" customHeight="1">
      <c r="L309" s="20" t="s">
        <v>64</v>
      </c>
      <c r="M309" s="763" t="s">
        <v>459</v>
      </c>
      <c r="N309" s="15" t="s">
        <v>460</v>
      </c>
      <c r="O309" s="14" t="s">
        <v>1294</v>
      </c>
      <c r="P309" s="15" t="s">
        <v>405</v>
      </c>
      <c r="Q309" s="15" t="s">
        <v>468</v>
      </c>
      <c r="R309" s="193">
        <v>86.680748035109701</v>
      </c>
      <c r="S309" s="15" t="s">
        <v>64</v>
      </c>
      <c r="T309" s="14">
        <f t="shared" si="78"/>
        <v>1238.5772999999999</v>
      </c>
      <c r="U309" s="27" t="s">
        <v>416</v>
      </c>
      <c r="V309" s="90">
        <v>3.2259324294001898E-2</v>
      </c>
      <c r="W309" s="109">
        <v>102.66965965966</v>
      </c>
      <c r="X309" s="183">
        <v>1.2219679147581101E-2</v>
      </c>
      <c r="Y309" s="104">
        <v>3.3324513530310199E-2</v>
      </c>
      <c r="Z309" s="104" t="s">
        <v>462</v>
      </c>
      <c r="AA309" s="57" t="s">
        <v>64</v>
      </c>
      <c r="AB309" s="47" t="s">
        <v>64</v>
      </c>
      <c r="AC309" s="57">
        <v>721.37203519472632</v>
      </c>
      <c r="AD309" s="27" t="s">
        <v>470</v>
      </c>
      <c r="AE309" s="28">
        <f t="shared" si="75"/>
        <v>2.9896042813281056</v>
      </c>
      <c r="AF309" s="197" t="s">
        <v>470</v>
      </c>
      <c r="AG309" s="84">
        <v>490</v>
      </c>
      <c r="AH309" s="157" t="s">
        <v>469</v>
      </c>
      <c r="AI309" s="8">
        <v>0.84076004708256258</v>
      </c>
      <c r="AJ309" s="9">
        <v>49.316000000000003</v>
      </c>
      <c r="AK309" s="9">
        <v>2.218</v>
      </c>
      <c r="AL309" s="9">
        <v>12.237</v>
      </c>
      <c r="AM309" s="189">
        <v>11.338109830089</v>
      </c>
      <c r="AN309" s="9">
        <v>0.16900000000000001</v>
      </c>
      <c r="AO309" s="9">
        <v>11.173</v>
      </c>
      <c r="AP309" s="9">
        <v>10.382</v>
      </c>
      <c r="AQ309" s="9">
        <v>2.1760000000000002</v>
      </c>
      <c r="AR309" s="9">
        <v>0.40500000000000003</v>
      </c>
      <c r="AS309" s="9">
        <v>0.222</v>
      </c>
      <c r="AT309" s="190">
        <v>289.07139398015801</v>
      </c>
      <c r="AU309" s="9">
        <v>0.5</v>
      </c>
      <c r="AV309" s="6">
        <v>21.757102516816545</v>
      </c>
      <c r="AW309" s="27">
        <v>330.23498142667307</v>
      </c>
      <c r="AX309" s="6">
        <v>351.99208394348909</v>
      </c>
      <c r="AY309" s="8">
        <f t="shared" si="76"/>
        <v>2.2682690463393946</v>
      </c>
      <c r="AZ309" s="9">
        <f t="shared" si="77"/>
        <v>9.2972500606729795</v>
      </c>
      <c r="BA309" s="123">
        <v>51.254800000000003</v>
      </c>
      <c r="BB309" s="121">
        <v>2.6454</v>
      </c>
      <c r="BC309" s="121">
        <v>14.595599999999999</v>
      </c>
      <c r="BD309" s="121">
        <v>7.4848999999999997</v>
      </c>
      <c r="BE309" s="121">
        <v>0.1258</v>
      </c>
      <c r="BF309" s="121">
        <v>6.7022000000000004</v>
      </c>
      <c r="BG309" s="121">
        <v>12.2492</v>
      </c>
      <c r="BH309" s="121">
        <v>2.5960000000000001</v>
      </c>
      <c r="BI309" s="121">
        <v>0.48320000000000002</v>
      </c>
      <c r="BJ309" s="121">
        <v>0.2646</v>
      </c>
      <c r="BK309" s="121">
        <v>3.4382151600000001E-2</v>
      </c>
      <c r="BL309" s="121">
        <f t="shared" si="79"/>
        <v>98.436082151600004</v>
      </c>
      <c r="BM309" s="121">
        <v>0.22724336112002599</v>
      </c>
      <c r="BN309" s="95">
        <v>25.877897733501602</v>
      </c>
      <c r="BO309" s="95">
        <v>392.78148690888497</v>
      </c>
      <c r="BP309" s="95">
        <v>418.65938464238599</v>
      </c>
      <c r="BQ309" s="194" t="s">
        <v>469</v>
      </c>
    </row>
    <row r="310" spans="12:69" ht="14.45" customHeight="1">
      <c r="L310" s="20" t="s">
        <v>64</v>
      </c>
      <c r="M310" s="763" t="s">
        <v>459</v>
      </c>
      <c r="N310" s="15" t="s">
        <v>460</v>
      </c>
      <c r="O310" s="14" t="s">
        <v>1295</v>
      </c>
      <c r="P310" s="15" t="s">
        <v>405</v>
      </c>
      <c r="Q310" s="15" t="s">
        <v>468</v>
      </c>
      <c r="R310" s="193">
        <v>88.417416344930004</v>
      </c>
      <c r="S310" s="15" t="s">
        <v>64</v>
      </c>
      <c r="T310" s="14">
        <f t="shared" si="78"/>
        <v>1278.2547</v>
      </c>
      <c r="U310" s="27" t="s">
        <v>416</v>
      </c>
      <c r="V310" s="90">
        <v>5.0616042430743004E-2</v>
      </c>
      <c r="W310" s="109">
        <v>102.71466466466499</v>
      </c>
      <c r="X310" s="183">
        <v>1.82540777955498E-2</v>
      </c>
      <c r="Y310" s="104">
        <v>5.11482412413784E-2</v>
      </c>
      <c r="Z310" s="104" t="s">
        <v>462</v>
      </c>
      <c r="AA310" s="57" t="s">
        <v>64</v>
      </c>
      <c r="AB310" s="47" t="s">
        <v>64</v>
      </c>
      <c r="AC310" s="57">
        <v>1423.8426385834471</v>
      </c>
      <c r="AD310" s="27" t="s">
        <v>470</v>
      </c>
      <c r="AE310" s="28">
        <f t="shared" si="75"/>
        <v>5.5467339585053796</v>
      </c>
      <c r="AF310" s="197" t="s">
        <v>470</v>
      </c>
      <c r="AG310" s="84">
        <v>970</v>
      </c>
      <c r="AH310" s="157" t="s">
        <v>469</v>
      </c>
      <c r="AI310" s="8">
        <v>0.78247261345852892</v>
      </c>
      <c r="AJ310" s="9">
        <v>49.445999999999998</v>
      </c>
      <c r="AK310" s="9">
        <v>1.915</v>
      </c>
      <c r="AL310" s="9">
        <v>11.52</v>
      </c>
      <c r="AM310" s="189">
        <v>11.33311066349725</v>
      </c>
      <c r="AN310" s="9">
        <v>0.13500000000000001</v>
      </c>
      <c r="AO310" s="9">
        <v>13.147</v>
      </c>
      <c r="AP310" s="9">
        <v>9.4369999999999994</v>
      </c>
      <c r="AQ310" s="9">
        <v>2.1739999999999999</v>
      </c>
      <c r="AR310" s="9">
        <v>0.307</v>
      </c>
      <c r="AS310" s="9">
        <v>0.218</v>
      </c>
      <c r="AT310" s="190">
        <v>565.08241314553993</v>
      </c>
      <c r="AU310" s="9">
        <v>0.5</v>
      </c>
      <c r="AV310" s="6">
        <v>44.493834588965491</v>
      </c>
      <c r="AW310" s="27">
        <v>747.04756888151007</v>
      </c>
      <c r="AX310" s="6">
        <v>791.54140347047735</v>
      </c>
      <c r="AY310" s="8">
        <f t="shared" si="76"/>
        <v>2.2672689277122609</v>
      </c>
      <c r="AZ310" s="9">
        <f t="shared" si="77"/>
        <v>9.293150744067745</v>
      </c>
      <c r="BA310" s="123">
        <v>52.121200000000002</v>
      </c>
      <c r="BB310" s="121">
        <v>2.4506000000000001</v>
      </c>
      <c r="BC310" s="121">
        <v>14.740600000000001</v>
      </c>
      <c r="BD310" s="121">
        <v>6.5201000000000002</v>
      </c>
      <c r="BE310" s="121">
        <v>8.0299999999999996E-2</v>
      </c>
      <c r="BF310" s="121">
        <v>6.5317999999999996</v>
      </c>
      <c r="BG310" s="121">
        <v>11.8886</v>
      </c>
      <c r="BH310" s="121">
        <v>2.7812000000000001</v>
      </c>
      <c r="BI310" s="121">
        <v>0.3931</v>
      </c>
      <c r="BJ310" s="121">
        <v>0.2787</v>
      </c>
      <c r="BK310" s="121">
        <v>7.2217532400000006E-2</v>
      </c>
      <c r="BL310" s="121">
        <f t="shared" si="79"/>
        <v>97.858417532399997</v>
      </c>
      <c r="BM310" s="121">
        <v>0.25021877946718502</v>
      </c>
      <c r="BN310" s="95">
        <v>56.863120604697897</v>
      </c>
      <c r="BO310" s="95">
        <v>954.72679303056998</v>
      </c>
      <c r="BP310" s="95">
        <v>1011.58991363527</v>
      </c>
      <c r="BQ310" s="194" t="s">
        <v>469</v>
      </c>
    </row>
    <row r="311" spans="12:69" ht="14.45" customHeight="1">
      <c r="L311" s="20" t="s">
        <v>64</v>
      </c>
      <c r="M311" s="763" t="s">
        <v>459</v>
      </c>
      <c r="N311" s="15" t="s">
        <v>460</v>
      </c>
      <c r="O311" s="14" t="s">
        <v>1296</v>
      </c>
      <c r="P311" s="15" t="s">
        <v>405</v>
      </c>
      <c r="Q311" s="15" t="s">
        <v>468</v>
      </c>
      <c r="R311" s="193">
        <v>81.626784158183895</v>
      </c>
      <c r="S311" s="15" t="s">
        <v>64</v>
      </c>
      <c r="T311" s="14">
        <f t="shared" si="78"/>
        <v>1169.8553999999999</v>
      </c>
      <c r="U311" s="27" t="s">
        <v>416</v>
      </c>
      <c r="V311" s="90">
        <v>3.9015610689372905E-2</v>
      </c>
      <c r="W311" s="109">
        <v>102.849289289289</v>
      </c>
      <c r="X311" s="183">
        <v>1.1070220277810201E-2</v>
      </c>
      <c r="Y311" s="104">
        <v>9.1111309306910498E-2</v>
      </c>
      <c r="Z311" s="104" t="s">
        <v>462</v>
      </c>
      <c r="AA311" s="57" t="s">
        <v>64</v>
      </c>
      <c r="AB311" s="47" t="s">
        <v>64</v>
      </c>
      <c r="AC311" s="57">
        <v>2567.942615415232</v>
      </c>
      <c r="AD311" s="27" t="s">
        <v>470</v>
      </c>
      <c r="AE311" s="28">
        <f t="shared" si="75"/>
        <v>9.3345393565497243</v>
      </c>
      <c r="AF311" s="197" t="s">
        <v>470</v>
      </c>
      <c r="AG311" s="84">
        <v>2080</v>
      </c>
      <c r="AH311" s="157" t="s">
        <v>469</v>
      </c>
      <c r="AI311" s="8">
        <v>0.95447169991409753</v>
      </c>
      <c r="AJ311" s="9">
        <v>50.100999999999999</v>
      </c>
      <c r="AK311" s="9">
        <v>2.9660000000000002</v>
      </c>
      <c r="AL311" s="9">
        <v>13.542999999999999</v>
      </c>
      <c r="AM311" s="189">
        <v>11.339109663407349</v>
      </c>
      <c r="AN311" s="9">
        <v>0.222</v>
      </c>
      <c r="AO311" s="9">
        <v>7.7539999999999996</v>
      </c>
      <c r="AP311" s="9">
        <v>10.32</v>
      </c>
      <c r="AQ311" s="9">
        <v>2.6459999999999999</v>
      </c>
      <c r="AR311" s="9">
        <v>0.495</v>
      </c>
      <c r="AS311" s="9">
        <v>0.16400000000000001</v>
      </c>
      <c r="AT311" s="190">
        <v>975.90543476185928</v>
      </c>
      <c r="AU311" s="9">
        <v>0.5</v>
      </c>
      <c r="AV311" s="6">
        <v>183.99011247029779</v>
      </c>
      <c r="AW311" s="27">
        <v>1220.9301530761384</v>
      </c>
      <c r="AX311" s="6">
        <v>1404.9202655464351</v>
      </c>
      <c r="AY311" s="8">
        <f t="shared" si="76"/>
        <v>2.2684690700648216</v>
      </c>
      <c r="AZ311" s="9">
        <f t="shared" si="77"/>
        <v>9.2980699239940279</v>
      </c>
      <c r="BA311" s="123">
        <v>49.582500000000003</v>
      </c>
      <c r="BB311" s="121">
        <v>3.0447000000000002</v>
      </c>
      <c r="BC311" s="121">
        <v>13.900399999999999</v>
      </c>
      <c r="BD311" s="121">
        <v>10.821199999999999</v>
      </c>
      <c r="BE311" s="121">
        <v>0.2026</v>
      </c>
      <c r="BF311" s="121">
        <v>5.9863</v>
      </c>
      <c r="BG311" s="121">
        <v>10.561</v>
      </c>
      <c r="BH311" s="121">
        <v>2.7155</v>
      </c>
      <c r="BI311" s="121">
        <v>0.5081</v>
      </c>
      <c r="BJ311" s="121">
        <v>0.16869999999999999</v>
      </c>
      <c r="BK311" s="121">
        <v>0.1022456124</v>
      </c>
      <c r="BL311" s="121">
        <f t="shared" si="79"/>
        <v>97.593245612400011</v>
      </c>
      <c r="BM311" s="121">
        <v>0.28462596492535902</v>
      </c>
      <c r="BN311" s="95">
        <v>192.76644083513099</v>
      </c>
      <c r="BO311" s="95">
        <v>1279.1685213778701</v>
      </c>
      <c r="BP311" s="95">
        <v>1471.9349622130001</v>
      </c>
      <c r="BQ311" s="194" t="s">
        <v>469</v>
      </c>
    </row>
    <row r="312" spans="12:69" ht="14.45" customHeight="1">
      <c r="L312" s="20" t="s">
        <v>64</v>
      </c>
      <c r="M312" s="763" t="s">
        <v>459</v>
      </c>
      <c r="N312" s="15" t="s">
        <v>460</v>
      </c>
      <c r="O312" s="14" t="s">
        <v>1297</v>
      </c>
      <c r="P312" s="15" t="s">
        <v>405</v>
      </c>
      <c r="Q312" s="15" t="s">
        <v>468</v>
      </c>
      <c r="R312" s="193">
        <v>78.786487965986097</v>
      </c>
      <c r="S312" s="15" t="s">
        <v>64</v>
      </c>
      <c r="T312" s="14">
        <f t="shared" si="78"/>
        <v>1134.1578</v>
      </c>
      <c r="U312" s="27" t="s">
        <v>416</v>
      </c>
      <c r="V312" s="90">
        <v>2.3502112331004299E-2</v>
      </c>
      <c r="W312" s="109">
        <v>102.563873873874</v>
      </c>
      <c r="X312" s="183">
        <v>2.45065993745909E-2</v>
      </c>
      <c r="Y312" s="104">
        <v>-7.0674073374021895E-4</v>
      </c>
      <c r="Z312" s="104" t="s">
        <v>462</v>
      </c>
      <c r="AA312" s="57" t="s">
        <v>64</v>
      </c>
      <c r="AB312" s="47" t="s">
        <v>64</v>
      </c>
      <c r="AC312" s="57">
        <v>365.37055319498972</v>
      </c>
      <c r="AD312" s="27" t="s">
        <v>470</v>
      </c>
      <c r="AE312" s="28">
        <f t="shared" si="75"/>
        <v>1.5696879914334012</v>
      </c>
      <c r="AF312" s="197" t="s">
        <v>470</v>
      </c>
      <c r="AG312" s="84">
        <v>240</v>
      </c>
      <c r="AH312" s="157" t="s">
        <v>469</v>
      </c>
      <c r="AI312" s="8">
        <v>0.98629056119932934</v>
      </c>
      <c r="AJ312" s="9">
        <v>51.295000000000002</v>
      </c>
      <c r="AK312" s="9">
        <v>3.536</v>
      </c>
      <c r="AL312" s="9">
        <v>13.375999999999999</v>
      </c>
      <c r="AM312" s="189">
        <v>11.36910466295785</v>
      </c>
      <c r="AN312" s="9">
        <v>0.17699999999999999</v>
      </c>
      <c r="AO312" s="9">
        <v>5.9779999999999998</v>
      </c>
      <c r="AP312" s="9">
        <v>10.564</v>
      </c>
      <c r="AQ312" s="9">
        <v>2.7050000000000001</v>
      </c>
      <c r="AR312" s="9">
        <v>0.36199999999999999</v>
      </c>
      <c r="AS312" s="9">
        <v>0.30299999999999999</v>
      </c>
      <c r="AT312" s="190">
        <v>1065.2036137686162</v>
      </c>
      <c r="AU312" s="9">
        <v>0.5</v>
      </c>
      <c r="AV312" s="6">
        <v>131.40417358525298</v>
      </c>
      <c r="AW312" s="27">
        <v>0</v>
      </c>
      <c r="AX312" s="6">
        <v>131.40417358525298</v>
      </c>
      <c r="AY312" s="8">
        <f t="shared" si="76"/>
        <v>2.2744697818276238</v>
      </c>
      <c r="AZ312" s="9">
        <f t="shared" si="77"/>
        <v>9.3226658236254387</v>
      </c>
      <c r="BA312" s="123">
        <v>51.0379</v>
      </c>
      <c r="BB312" s="121">
        <v>2.1244999999999998</v>
      </c>
      <c r="BC312" s="121">
        <v>13.913500000000001</v>
      </c>
      <c r="BD312" s="121">
        <v>11.401300000000001</v>
      </c>
      <c r="BE312" s="121">
        <v>0.14369999999999999</v>
      </c>
      <c r="BF312" s="121">
        <v>5.4886999999999997</v>
      </c>
      <c r="BG312" s="121">
        <v>10.492599999999999</v>
      </c>
      <c r="BH312" s="121">
        <v>2.6863000000000001</v>
      </c>
      <c r="BI312" s="121">
        <v>0.35909999999999997</v>
      </c>
      <c r="BJ312" s="121">
        <v>0.30059999999999998</v>
      </c>
      <c r="BK312" s="121">
        <v>0.10800099439999999</v>
      </c>
      <c r="BL312" s="121">
        <f t="shared" si="79"/>
        <v>98.056200994400001</v>
      </c>
      <c r="BM312" s="121">
        <v>0.29032568242263801</v>
      </c>
      <c r="BN312" s="95">
        <v>133.23069159808799</v>
      </c>
      <c r="BO312" s="95">
        <v>0</v>
      </c>
      <c r="BP312" s="95">
        <v>133.23069159808799</v>
      </c>
      <c r="BQ312" s="194" t="s">
        <v>469</v>
      </c>
    </row>
    <row r="313" spans="12:69" ht="14.45" customHeight="1">
      <c r="L313" s="20" t="s">
        <v>64</v>
      </c>
      <c r="M313" s="763" t="s">
        <v>459</v>
      </c>
      <c r="N313" s="15" t="s">
        <v>460</v>
      </c>
      <c r="O313" s="14" t="s">
        <v>1298</v>
      </c>
      <c r="P313" s="15" t="s">
        <v>405</v>
      </c>
      <c r="Q313" s="15" t="s">
        <v>468</v>
      </c>
      <c r="R313" s="193">
        <v>88.664726319245304</v>
      </c>
      <c r="S313" s="15" t="s">
        <v>64</v>
      </c>
      <c r="T313" s="14">
        <f t="shared" si="78"/>
        <v>1283.1993</v>
      </c>
      <c r="U313" s="27" t="s">
        <v>1471</v>
      </c>
      <c r="V313" s="90" t="s">
        <v>64</v>
      </c>
      <c r="W313" s="109" t="s">
        <v>481</v>
      </c>
      <c r="X313" s="183" t="s">
        <v>64</v>
      </c>
      <c r="Y313" s="104" t="s">
        <v>64</v>
      </c>
      <c r="Z313" s="104" t="s">
        <v>64</v>
      </c>
      <c r="AA313" s="57" t="s">
        <v>64</v>
      </c>
      <c r="AB313" s="47" t="s">
        <v>64</v>
      </c>
      <c r="AC313" s="57">
        <v>80.921983970847464</v>
      </c>
      <c r="AD313" s="27" t="s">
        <v>470</v>
      </c>
      <c r="AE313" s="28">
        <f t="shared" si="75"/>
        <v>0.35847809154201782</v>
      </c>
      <c r="AF313" s="197" t="s">
        <v>470</v>
      </c>
      <c r="AG313" s="84">
        <v>80</v>
      </c>
      <c r="AH313" s="157" t="s">
        <v>469</v>
      </c>
      <c r="AI313" s="8">
        <v>0.76657723265619016</v>
      </c>
      <c r="AJ313" s="9">
        <v>49.213999999999999</v>
      </c>
      <c r="AK313" s="9">
        <v>1.915</v>
      </c>
      <c r="AL313" s="9">
        <v>11.388</v>
      </c>
      <c r="AM313" s="189">
        <v>11.332110830178898</v>
      </c>
      <c r="AN313" s="9">
        <v>0.189</v>
      </c>
      <c r="AO313" s="9">
        <v>13.393000000000001</v>
      </c>
      <c r="AP313" s="9">
        <v>9.4450000000000003</v>
      </c>
      <c r="AQ313" s="9">
        <v>2.1829999999999998</v>
      </c>
      <c r="AR313" s="9">
        <v>0.32400000000000001</v>
      </c>
      <c r="AS313" s="9">
        <v>0.219</v>
      </c>
      <c r="AT313" s="190">
        <v>573.93647221157528</v>
      </c>
      <c r="AU313" s="9">
        <v>0.5</v>
      </c>
      <c r="AV313" s="6">
        <v>30.785316947219858</v>
      </c>
      <c r="AW313" s="27" t="s">
        <v>64</v>
      </c>
      <c r="AX313" s="6">
        <v>30.785316947219858</v>
      </c>
      <c r="AY313" s="8">
        <f t="shared" si="76"/>
        <v>2.2670689039868335</v>
      </c>
      <c r="AZ313" s="9">
        <f t="shared" si="77"/>
        <v>9.2923308807466967</v>
      </c>
      <c r="BA313" s="123">
        <v>51.974800000000002</v>
      </c>
      <c r="BB313" s="121">
        <v>2.4975000000000001</v>
      </c>
      <c r="BC313" s="121">
        <v>14.848000000000001</v>
      </c>
      <c r="BD313" s="121">
        <v>5.9911000000000003</v>
      </c>
      <c r="BE313" s="121">
        <v>0.14799999999999999</v>
      </c>
      <c r="BF313" s="121">
        <v>6.2344999999999997</v>
      </c>
      <c r="BG313" s="121">
        <v>12.113099999999999</v>
      </c>
      <c r="BH313" s="121">
        <v>2.8468</v>
      </c>
      <c r="BI313" s="121">
        <v>0.42280000000000001</v>
      </c>
      <c r="BJ313" s="121">
        <v>0.28589999999999999</v>
      </c>
      <c r="BK313" s="121">
        <v>7.4870012799999996E-2</v>
      </c>
      <c r="BL313" s="121">
        <f t="shared" si="79"/>
        <v>97.437370012800002</v>
      </c>
      <c r="BM313" s="121">
        <v>0.29095170712266499</v>
      </c>
      <c r="BN313" s="95">
        <v>40.159445957648302</v>
      </c>
      <c r="BO313" s="95" t="s">
        <v>64</v>
      </c>
      <c r="BP313" s="95">
        <v>40.159445957648302</v>
      </c>
      <c r="BQ313" s="194" t="s">
        <v>469</v>
      </c>
    </row>
    <row r="314" spans="12:69" ht="14.45" customHeight="1">
      <c r="L314" s="20" t="s">
        <v>64</v>
      </c>
      <c r="M314" s="763" t="s">
        <v>459</v>
      </c>
      <c r="N314" s="15" t="s">
        <v>460</v>
      </c>
      <c r="O314" s="14" t="s">
        <v>1299</v>
      </c>
      <c r="P314" s="15" t="s">
        <v>405</v>
      </c>
      <c r="Q314" s="15" t="s">
        <v>468</v>
      </c>
      <c r="R314" s="193">
        <v>87.041892373569894</v>
      </c>
      <c r="S314" s="15" t="s">
        <v>64</v>
      </c>
      <c r="T314" s="14">
        <f t="shared" si="78"/>
        <v>1245.1098</v>
      </c>
      <c r="U314" s="27" t="s">
        <v>416</v>
      </c>
      <c r="V314" s="90">
        <v>6.4559986538636802E-2</v>
      </c>
      <c r="W314" s="109">
        <v>102.657964631298</v>
      </c>
      <c r="X314" s="183">
        <v>4.27324598212908E-2</v>
      </c>
      <c r="Y314" s="104">
        <v>2.95622265572177E-2</v>
      </c>
      <c r="Z314" s="104" t="s">
        <v>462</v>
      </c>
      <c r="AA314" s="57" t="s">
        <v>64</v>
      </c>
      <c r="AB314" s="47" t="s">
        <v>64</v>
      </c>
      <c r="AC314" s="57">
        <v>1197.1761021171051</v>
      </c>
      <c r="AD314" s="27" t="s">
        <v>470</v>
      </c>
      <c r="AE314" s="28">
        <f t="shared" ref="AE314:AE377" si="80">(0.0684*((AC314/1000))^3-0.5008*((AC314/1000))^2+4.47*((AC314/1000)))</f>
        <v>4.7509780163658819</v>
      </c>
      <c r="AF314" s="197" t="s">
        <v>470</v>
      </c>
      <c r="AG314" s="84">
        <v>790</v>
      </c>
      <c r="AH314" s="157" t="s">
        <v>469</v>
      </c>
      <c r="AI314" s="8">
        <v>0.82169268693508624</v>
      </c>
      <c r="AJ314" s="9">
        <v>49.427999999999997</v>
      </c>
      <c r="AK314" s="9">
        <v>2.4569999999999999</v>
      </c>
      <c r="AL314" s="9">
        <v>11.701000000000001</v>
      </c>
      <c r="AM314" s="189">
        <v>11.332110830178898</v>
      </c>
      <c r="AN314" s="9">
        <v>0.186</v>
      </c>
      <c r="AO314" s="9">
        <v>11.497999999999999</v>
      </c>
      <c r="AP314" s="9">
        <v>10.148999999999999</v>
      </c>
      <c r="AQ314" s="9">
        <v>2.1659999999999999</v>
      </c>
      <c r="AR314" s="9">
        <v>0.48399999999999999</v>
      </c>
      <c r="AS314" s="9">
        <v>0.26700000000000002</v>
      </c>
      <c r="AT314" s="190">
        <v>538.30124239934264</v>
      </c>
      <c r="AU314" s="9">
        <v>0.5</v>
      </c>
      <c r="AV314" s="6">
        <v>40.895128302449791</v>
      </c>
      <c r="AW314" s="27">
        <v>574.4684090445727</v>
      </c>
      <c r="AX314" s="6">
        <v>615.363537347023</v>
      </c>
      <c r="AY314" s="8">
        <f t="shared" ref="AY314:AY377" si="81">IF(ISNUMBER(AM314),(AM314/71.84)*(0.18/2)*159.69,"-")</f>
        <v>2.2670689039868335</v>
      </c>
      <c r="AZ314" s="9">
        <f t="shared" ref="AZ314:AZ377" si="82">IF(ISNUMBER(AM314),(AM314/71.84)*(1-0.18)*71.84,"-")</f>
        <v>9.2923308807466967</v>
      </c>
      <c r="BA314" s="123">
        <v>51.629199999999997</v>
      </c>
      <c r="BB314" s="121">
        <v>2.9973999999999998</v>
      </c>
      <c r="BC314" s="121">
        <v>14.275399999999999</v>
      </c>
      <c r="BD314" s="121">
        <v>7.1586999999999996</v>
      </c>
      <c r="BE314" s="121">
        <v>0.1429</v>
      </c>
      <c r="BF314" s="121">
        <v>6.2881</v>
      </c>
      <c r="BG314" s="121">
        <v>12.229799999999999</v>
      </c>
      <c r="BH314" s="121">
        <v>2.6423999999999999</v>
      </c>
      <c r="BI314" s="121">
        <v>0.59109999999999996</v>
      </c>
      <c r="BJ314" s="121">
        <v>0.32550000000000001</v>
      </c>
      <c r="BK314" s="121">
        <v>6.5511261200000004E-2</v>
      </c>
      <c r="BL314" s="121">
        <f t="shared" si="79"/>
        <v>98.34601126119999</v>
      </c>
      <c r="BM314" s="121">
        <v>0.191784442522621</v>
      </c>
      <c r="BN314" s="95">
        <v>49.769371144081397</v>
      </c>
      <c r="BO314" s="95">
        <v>699.12805380724501</v>
      </c>
      <c r="BP314" s="95">
        <v>748.89742495132703</v>
      </c>
      <c r="BQ314" s="194" t="s">
        <v>469</v>
      </c>
    </row>
    <row r="315" spans="12:69" ht="14.45" customHeight="1">
      <c r="L315" s="20" t="s">
        <v>64</v>
      </c>
      <c r="M315" s="763" t="s">
        <v>459</v>
      </c>
      <c r="N315" s="15" t="s">
        <v>460</v>
      </c>
      <c r="O315" s="14" t="s">
        <v>1300</v>
      </c>
      <c r="P315" s="15" t="s">
        <v>405</v>
      </c>
      <c r="Q315" s="15" t="s">
        <v>468</v>
      </c>
      <c r="R315" s="193">
        <v>79.138107167156107</v>
      </c>
      <c r="S315" s="15" t="s">
        <v>64</v>
      </c>
      <c r="T315" s="14">
        <f t="shared" si="78"/>
        <v>1134.1578</v>
      </c>
      <c r="U315" s="27" t="s">
        <v>1471</v>
      </c>
      <c r="V315" s="90" t="s">
        <v>64</v>
      </c>
      <c r="W315" s="109" t="s">
        <v>481</v>
      </c>
      <c r="X315" s="183" t="s">
        <v>64</v>
      </c>
      <c r="Y315" s="104" t="s">
        <v>64</v>
      </c>
      <c r="Z315" s="104" t="s">
        <v>64</v>
      </c>
      <c r="AA315" s="57" t="s">
        <v>64</v>
      </c>
      <c r="AB315" s="47" t="s">
        <v>64</v>
      </c>
      <c r="AC315" s="57">
        <v>485.19547742745868</v>
      </c>
      <c r="AD315" s="27" t="s">
        <v>470</v>
      </c>
      <c r="AE315" s="28">
        <f t="shared" si="80"/>
        <v>2.0587409200127453</v>
      </c>
      <c r="AF315" s="197" t="s">
        <v>470</v>
      </c>
      <c r="AG315" s="84">
        <v>340</v>
      </c>
      <c r="AH315" s="157" t="s">
        <v>469</v>
      </c>
      <c r="AI315" s="8">
        <v>0.94330723516649373</v>
      </c>
      <c r="AJ315" s="9">
        <v>51.34</v>
      </c>
      <c r="AK315" s="9">
        <v>3.56</v>
      </c>
      <c r="AL315" s="9">
        <v>13.345000000000001</v>
      </c>
      <c r="AM315" s="189">
        <v>11.431094328695551</v>
      </c>
      <c r="AN315" s="9">
        <v>0.216</v>
      </c>
      <c r="AO315" s="9">
        <v>5.9779999999999998</v>
      </c>
      <c r="AP315" s="9">
        <v>9.0559999999999992</v>
      </c>
      <c r="AQ315" s="9">
        <v>2.903</v>
      </c>
      <c r="AR315" s="9">
        <v>0.749</v>
      </c>
      <c r="AS315" s="9">
        <v>0.35099999999999998</v>
      </c>
      <c r="AT315" s="190">
        <v>1423.8387774738233</v>
      </c>
      <c r="AU315" s="9">
        <v>0.73353954248424869</v>
      </c>
      <c r="AV315" s="6">
        <v>183.52633452358739</v>
      </c>
      <c r="AW315" s="27" t="s">
        <v>64</v>
      </c>
      <c r="AX315" s="6">
        <v>183.52633452358742</v>
      </c>
      <c r="AY315" s="8">
        <f t="shared" si="81"/>
        <v>2.2868712528040827</v>
      </c>
      <c r="AZ315" s="9">
        <f t="shared" si="82"/>
        <v>9.3734973495303517</v>
      </c>
      <c r="BA315" s="123">
        <v>52.249600000000001</v>
      </c>
      <c r="BB315" s="121">
        <v>3.3984000000000001</v>
      </c>
      <c r="BC315" s="121">
        <v>13.9053</v>
      </c>
      <c r="BD315" s="121">
        <v>9.9291</v>
      </c>
      <c r="BE315" s="121">
        <v>0.15029999999999999</v>
      </c>
      <c r="BF315" s="121">
        <v>4.8116000000000003</v>
      </c>
      <c r="BG315" s="121">
        <v>9.4700000000000006</v>
      </c>
      <c r="BH315" s="121">
        <v>3.0362</v>
      </c>
      <c r="BI315" s="121">
        <v>0.78290000000000004</v>
      </c>
      <c r="BJ315" s="121">
        <v>0.36680000000000001</v>
      </c>
      <c r="BK315" s="121">
        <v>0.15094114880000001</v>
      </c>
      <c r="BL315" s="121">
        <f t="shared" si="79"/>
        <v>98.251141148800002</v>
      </c>
      <c r="BM315" s="121">
        <v>0.77762526898755202</v>
      </c>
      <c r="BN315" s="95">
        <v>194.556267228455</v>
      </c>
      <c r="BO315" s="95" t="s">
        <v>64</v>
      </c>
      <c r="BP315" s="95">
        <v>194.556267228455</v>
      </c>
      <c r="BQ315" s="194" t="s">
        <v>469</v>
      </c>
    </row>
    <row r="316" spans="12:69" ht="14.45" customHeight="1">
      <c r="L316" s="207" t="s">
        <v>483</v>
      </c>
      <c r="M316" s="763" t="s">
        <v>459</v>
      </c>
      <c r="N316" s="15" t="s">
        <v>460</v>
      </c>
      <c r="O316" s="14" t="s">
        <v>1301</v>
      </c>
      <c r="P316" s="15" t="s">
        <v>405</v>
      </c>
      <c r="Q316" s="15" t="s">
        <v>468</v>
      </c>
      <c r="R316" s="193">
        <v>73.580717245736409</v>
      </c>
      <c r="S316" s="15" t="s">
        <v>64</v>
      </c>
      <c r="T316" s="14">
        <f t="shared" si="78"/>
        <v>1121.3139000000001</v>
      </c>
      <c r="U316" s="27" t="s">
        <v>1471</v>
      </c>
      <c r="V316" s="90" t="s">
        <v>64</v>
      </c>
      <c r="W316" s="109" t="s">
        <v>481</v>
      </c>
      <c r="X316" s="183" t="s">
        <v>64</v>
      </c>
      <c r="Y316" s="104" t="s">
        <v>64</v>
      </c>
      <c r="Z316" s="104" t="s">
        <v>64</v>
      </c>
      <c r="AA316" s="57" t="s">
        <v>64</v>
      </c>
      <c r="AB316" s="47" t="s">
        <v>64</v>
      </c>
      <c r="AC316" s="57">
        <v>680</v>
      </c>
      <c r="AD316" s="27" t="s">
        <v>470</v>
      </c>
      <c r="AE316" s="28">
        <f t="shared" si="80"/>
        <v>2.8295372288</v>
      </c>
      <c r="AF316" s="197" t="s">
        <v>470</v>
      </c>
      <c r="AG316" s="84">
        <v>680</v>
      </c>
      <c r="AH316" s="157" t="s">
        <v>469</v>
      </c>
      <c r="AI316" s="8">
        <v>0.97809076682316121</v>
      </c>
      <c r="AJ316" s="9">
        <v>50.91</v>
      </c>
      <c r="AK316" s="9">
        <v>3.4630000000000001</v>
      </c>
      <c r="AL316" s="9">
        <v>13.499000000000001</v>
      </c>
      <c r="AM316" s="189">
        <v>12.757873142146</v>
      </c>
      <c r="AN316" s="9">
        <v>0.124</v>
      </c>
      <c r="AO316" s="9">
        <v>5.3390000000000004</v>
      </c>
      <c r="AP316" s="9">
        <v>8.74</v>
      </c>
      <c r="AQ316" s="9">
        <v>3.0630000000000002</v>
      </c>
      <c r="AR316" s="9">
        <v>0.71</v>
      </c>
      <c r="AS316" s="9">
        <v>0.46400000000000002</v>
      </c>
      <c r="AT316" s="190">
        <v>1399.4894483568075</v>
      </c>
      <c r="AU316" s="9">
        <v>0.72779630576656296</v>
      </c>
      <c r="AV316" s="6">
        <v>419.01996459082943</v>
      </c>
      <c r="AW316" s="27" t="s">
        <v>64</v>
      </c>
      <c r="AX316" s="6">
        <v>419.01996459082943</v>
      </c>
      <c r="AY316" s="8">
        <f t="shared" si="81"/>
        <v>2.5523027364453856</v>
      </c>
      <c r="AZ316" s="9">
        <f t="shared" si="82"/>
        <v>10.461455976559721</v>
      </c>
      <c r="BA316" s="123">
        <v>50.4998</v>
      </c>
      <c r="BB316" s="121">
        <v>3.4925000000000002</v>
      </c>
      <c r="BC316" s="121">
        <v>13.6143</v>
      </c>
      <c r="BD316" s="121">
        <v>12.244300000000001</v>
      </c>
      <c r="BE316" s="121">
        <v>0.1249</v>
      </c>
      <c r="BF316" s="121">
        <v>4.6031000000000004</v>
      </c>
      <c r="BG316" s="121">
        <v>8.8141999999999996</v>
      </c>
      <c r="BH316" s="121">
        <v>3.0891999999999999</v>
      </c>
      <c r="BI316" s="121">
        <v>0.71650000000000003</v>
      </c>
      <c r="BJ316" s="121">
        <v>0.46750000000000003</v>
      </c>
      <c r="BK316" s="121">
        <v>0.1430838012</v>
      </c>
      <c r="BL316" s="121">
        <f t="shared" si="79"/>
        <v>97.809383801199999</v>
      </c>
      <c r="BM316" s="121">
        <v>0.74409894301573398</v>
      </c>
      <c r="BN316" s="95">
        <v>428.40601179766401</v>
      </c>
      <c r="BO316" s="95" t="s">
        <v>64</v>
      </c>
      <c r="BP316" s="95">
        <v>428.40601179766401</v>
      </c>
      <c r="BQ316" s="194" t="s">
        <v>469</v>
      </c>
    </row>
    <row r="317" spans="12:69" ht="14.45" customHeight="1">
      <c r="L317" s="207" t="s">
        <v>483</v>
      </c>
      <c r="M317" s="763" t="s">
        <v>459</v>
      </c>
      <c r="N317" s="15" t="s">
        <v>460</v>
      </c>
      <c r="O317" s="14" t="s">
        <v>1302</v>
      </c>
      <c r="P317" s="15" t="s">
        <v>405</v>
      </c>
      <c r="Q317" s="15" t="s">
        <v>468</v>
      </c>
      <c r="R317" s="193">
        <v>73.303186946680796</v>
      </c>
      <c r="S317" s="15" t="s">
        <v>64</v>
      </c>
      <c r="T317" s="14">
        <f t="shared" si="78"/>
        <v>1121.8767</v>
      </c>
      <c r="U317" s="27" t="s">
        <v>1471</v>
      </c>
      <c r="V317" s="90" t="s">
        <v>64</v>
      </c>
      <c r="W317" s="109" t="s">
        <v>481</v>
      </c>
      <c r="X317" s="183" t="s">
        <v>64</v>
      </c>
      <c r="Y317" s="104" t="s">
        <v>64</v>
      </c>
      <c r="Z317" s="104" t="s">
        <v>64</v>
      </c>
      <c r="AA317" s="57" t="s">
        <v>64</v>
      </c>
      <c r="AB317" s="47" t="s">
        <v>64</v>
      </c>
      <c r="AC317" s="57">
        <v>570</v>
      </c>
      <c r="AD317" s="27" t="s">
        <v>470</v>
      </c>
      <c r="AE317" s="28">
        <f t="shared" si="80"/>
        <v>2.3978572811999999</v>
      </c>
      <c r="AF317" s="197" t="s">
        <v>470</v>
      </c>
      <c r="AG317" s="84">
        <v>570</v>
      </c>
      <c r="AH317" s="157" t="s">
        <v>469</v>
      </c>
      <c r="AI317" s="8">
        <v>0.97370983446932824</v>
      </c>
      <c r="AJ317" s="9">
        <v>50.448999999999998</v>
      </c>
      <c r="AK317" s="9">
        <v>3.323</v>
      </c>
      <c r="AL317" s="9">
        <v>13.97</v>
      </c>
      <c r="AM317" s="189">
        <v>12.97483697222795</v>
      </c>
      <c r="AN317" s="9">
        <v>0.21299999999999999</v>
      </c>
      <c r="AO317" s="9">
        <v>5.367</v>
      </c>
      <c r="AP317" s="9">
        <v>8.6820000000000004</v>
      </c>
      <c r="AQ317" s="9">
        <v>2.9359999999999999</v>
      </c>
      <c r="AR317" s="9">
        <v>0.72899999999999998</v>
      </c>
      <c r="AS317" s="9">
        <v>0.40600000000000003</v>
      </c>
      <c r="AT317" s="190">
        <v>1426.3581655306721</v>
      </c>
      <c r="AU317" s="9">
        <v>0.75086117796446405</v>
      </c>
      <c r="AV317" s="6">
        <v>335.49957600923278</v>
      </c>
      <c r="AW317" s="27" t="s">
        <v>64</v>
      </c>
      <c r="AX317" s="6">
        <v>335.49957600923284</v>
      </c>
      <c r="AY317" s="8">
        <f t="shared" si="81"/>
        <v>2.5957078848629913</v>
      </c>
      <c r="AZ317" s="9">
        <f t="shared" si="82"/>
        <v>10.639366317226921</v>
      </c>
      <c r="BA317" s="123">
        <v>50.115600000000001</v>
      </c>
      <c r="BB317" s="121">
        <v>3.3677000000000001</v>
      </c>
      <c r="BC317" s="121">
        <v>14.1591</v>
      </c>
      <c r="BD317" s="121">
        <v>12.314</v>
      </c>
      <c r="BE317" s="121">
        <v>0.2155</v>
      </c>
      <c r="BF317" s="121">
        <v>4.5446999999999997</v>
      </c>
      <c r="BG317" s="121">
        <v>8.7995999999999999</v>
      </c>
      <c r="BH317" s="121">
        <v>2.9762</v>
      </c>
      <c r="BI317" s="121">
        <v>0.73899999999999999</v>
      </c>
      <c r="BJ317" s="121">
        <v>0.41099999999999998</v>
      </c>
      <c r="BK317" s="121">
        <v>0.14648698360000001</v>
      </c>
      <c r="BL317" s="121">
        <f t="shared" si="79"/>
        <v>97.788886983600023</v>
      </c>
      <c r="BM317" s="121">
        <v>0.77113442976950397</v>
      </c>
      <c r="BN317" s="95">
        <v>344.55806456148201</v>
      </c>
      <c r="BO317" s="95" t="s">
        <v>64</v>
      </c>
      <c r="BP317" s="95">
        <v>344.55806456148201</v>
      </c>
      <c r="BQ317" s="194" t="s">
        <v>469</v>
      </c>
    </row>
    <row r="318" spans="12:69" ht="14.45" customHeight="1">
      <c r="L318" s="207" t="s">
        <v>483</v>
      </c>
      <c r="M318" s="763" t="s">
        <v>459</v>
      </c>
      <c r="N318" s="15" t="s">
        <v>460</v>
      </c>
      <c r="O318" s="14" t="s">
        <v>1303</v>
      </c>
      <c r="P318" s="15" t="s">
        <v>405</v>
      </c>
      <c r="Q318" s="15" t="s">
        <v>468</v>
      </c>
      <c r="R318" s="193">
        <v>73.471091424869911</v>
      </c>
      <c r="S318" s="15" t="s">
        <v>64</v>
      </c>
      <c r="T318" s="14">
        <f t="shared" si="78"/>
        <v>1121.0325</v>
      </c>
      <c r="U318" s="27" t="s">
        <v>1471</v>
      </c>
      <c r="V318" s="90" t="s">
        <v>64</v>
      </c>
      <c r="W318" s="109" t="s">
        <v>481</v>
      </c>
      <c r="X318" s="183" t="s">
        <v>64</v>
      </c>
      <c r="Y318" s="104" t="s">
        <v>64</v>
      </c>
      <c r="Z318" s="104" t="s">
        <v>64</v>
      </c>
      <c r="AA318" s="57" t="s">
        <v>64</v>
      </c>
      <c r="AB318" s="47" t="s">
        <v>64</v>
      </c>
      <c r="AC318" s="57">
        <v>550</v>
      </c>
      <c r="AD318" s="27" t="s">
        <v>470</v>
      </c>
      <c r="AE318" s="28">
        <f t="shared" si="80"/>
        <v>2.3183880499999998</v>
      </c>
      <c r="AF318" s="197" t="s">
        <v>470</v>
      </c>
      <c r="AG318" s="84">
        <v>550</v>
      </c>
      <c r="AH318" s="157" t="s">
        <v>469</v>
      </c>
      <c r="AI318" s="8">
        <v>0.97580015612802506</v>
      </c>
      <c r="AJ318" s="9">
        <v>50.329000000000001</v>
      </c>
      <c r="AK318" s="9">
        <v>3.6779999999999999</v>
      </c>
      <c r="AL318" s="9">
        <v>13.378</v>
      </c>
      <c r="AM318" s="189">
        <v>12.840859307569049</v>
      </c>
      <c r="AN318" s="9">
        <v>0.193</v>
      </c>
      <c r="AO318" s="9">
        <v>5.3250000000000002</v>
      </c>
      <c r="AP318" s="9">
        <v>8.9879999999999995</v>
      </c>
      <c r="AQ318" s="9">
        <v>3.1549999999999998</v>
      </c>
      <c r="AR318" s="9">
        <v>0.755</v>
      </c>
      <c r="AS318" s="9">
        <v>0.43099999999999999</v>
      </c>
      <c r="AT318" s="190">
        <v>1330.2837939110073</v>
      </c>
      <c r="AU318" s="9">
        <v>0.71910118888737595</v>
      </c>
      <c r="AV318" s="6">
        <v>339.06187983764249</v>
      </c>
      <c r="AW318" s="27" t="s">
        <v>64</v>
      </c>
      <c r="AX318" s="6">
        <v>339.06187983764249</v>
      </c>
      <c r="AY318" s="8">
        <f t="shared" si="81"/>
        <v>2.5689047056558065</v>
      </c>
      <c r="AZ318" s="9">
        <f t="shared" si="82"/>
        <v>10.529504632206621</v>
      </c>
      <c r="BA318" s="123">
        <v>49.845799999999997</v>
      </c>
      <c r="BB318" s="121">
        <v>3.7103000000000002</v>
      </c>
      <c r="BC318" s="121">
        <v>13.4968</v>
      </c>
      <c r="BD318" s="121">
        <v>12.357200000000001</v>
      </c>
      <c r="BE318" s="121">
        <v>0.1946</v>
      </c>
      <c r="BF318" s="121">
        <v>4.4593999999999996</v>
      </c>
      <c r="BG318" s="121">
        <v>9.0678999999999998</v>
      </c>
      <c r="BH318" s="121">
        <v>3.1833</v>
      </c>
      <c r="BI318" s="121">
        <v>0.76170000000000004</v>
      </c>
      <c r="BJ318" s="121">
        <v>0.43480000000000002</v>
      </c>
      <c r="BK318" s="121">
        <v>0.13632748320000002</v>
      </c>
      <c r="BL318" s="121">
        <f t="shared" si="79"/>
        <v>97.6481274832</v>
      </c>
      <c r="BM318" s="121">
        <v>0.73693489837178305</v>
      </c>
      <c r="BN318" s="95">
        <v>347.47061445761602</v>
      </c>
      <c r="BO318" s="95" t="s">
        <v>64</v>
      </c>
      <c r="BP318" s="95">
        <v>347.47061445761602</v>
      </c>
      <c r="BQ318" s="194" t="s">
        <v>469</v>
      </c>
    </row>
    <row r="319" spans="12:69" ht="14.45" customHeight="1">
      <c r="L319" s="20" t="s">
        <v>64</v>
      </c>
      <c r="M319" s="763" t="s">
        <v>459</v>
      </c>
      <c r="N319" s="15" t="s">
        <v>460</v>
      </c>
      <c r="O319" s="14" t="s">
        <v>1304</v>
      </c>
      <c r="P319" s="15" t="s">
        <v>405</v>
      </c>
      <c r="Q319" s="15" t="s">
        <v>468</v>
      </c>
      <c r="R319" s="193">
        <v>78.046283210643296</v>
      </c>
      <c r="S319" s="15" t="s">
        <v>64</v>
      </c>
      <c r="T319" s="14">
        <f t="shared" si="78"/>
        <v>1138.3386</v>
      </c>
      <c r="U319" s="27" t="s">
        <v>1471</v>
      </c>
      <c r="V319" s="90" t="s">
        <v>64</v>
      </c>
      <c r="W319" s="109" t="s">
        <v>481</v>
      </c>
      <c r="X319" s="183" t="s">
        <v>64</v>
      </c>
      <c r="Y319" s="104" t="s">
        <v>64</v>
      </c>
      <c r="Z319" s="104" t="s">
        <v>64</v>
      </c>
      <c r="AA319" s="57" t="s">
        <v>64</v>
      </c>
      <c r="AB319" s="47" t="s">
        <v>64</v>
      </c>
      <c r="AC319" s="57">
        <v>55.673971296563273</v>
      </c>
      <c r="AD319" s="27" t="s">
        <v>470</v>
      </c>
      <c r="AE319" s="28">
        <f t="shared" si="80"/>
        <v>0.24732218003447398</v>
      </c>
      <c r="AF319" s="197" t="s">
        <v>470</v>
      </c>
      <c r="AG319" s="84">
        <v>50</v>
      </c>
      <c r="AH319" s="157" t="s">
        <v>469</v>
      </c>
      <c r="AI319" s="8">
        <v>0.93755859741233827</v>
      </c>
      <c r="AJ319" s="9">
        <v>50.804000000000002</v>
      </c>
      <c r="AK319" s="9">
        <v>2.7309999999999999</v>
      </c>
      <c r="AL319" s="9">
        <v>15.154</v>
      </c>
      <c r="AM319" s="189">
        <v>11.555073660170949</v>
      </c>
      <c r="AN319" s="9">
        <v>0.111</v>
      </c>
      <c r="AO319" s="9">
        <v>6.1859999999999999</v>
      </c>
      <c r="AP319" s="9">
        <v>9.0459999999999994</v>
      </c>
      <c r="AQ319" s="9">
        <v>2.9020000000000001</v>
      </c>
      <c r="AR319" s="9">
        <v>0.56200000000000006</v>
      </c>
      <c r="AS319" s="9">
        <v>0.30299999999999999</v>
      </c>
      <c r="AT319" s="190">
        <v>303.58409525595351</v>
      </c>
      <c r="AU319" s="9">
        <v>0.46843587288689598</v>
      </c>
      <c r="AV319" s="6">
        <v>9.1503070495131631</v>
      </c>
      <c r="AW319" s="27" t="s">
        <v>64</v>
      </c>
      <c r="AX319" s="6">
        <v>9.1503070495131631</v>
      </c>
      <c r="AY319" s="8">
        <f t="shared" si="81"/>
        <v>2.3116741947569999</v>
      </c>
      <c r="AZ319" s="9">
        <f t="shared" si="82"/>
        <v>9.4751604013401778</v>
      </c>
      <c r="BA319" s="123">
        <v>50.457799999999999</v>
      </c>
      <c r="BB319" s="121">
        <v>2.8485</v>
      </c>
      <c r="BC319" s="121">
        <v>15.806100000000001</v>
      </c>
      <c r="BD319" s="121">
        <v>10.361599999999999</v>
      </c>
      <c r="BE319" s="121">
        <v>0.11559999999999999</v>
      </c>
      <c r="BF319" s="121">
        <v>4.0039999999999996</v>
      </c>
      <c r="BG319" s="121">
        <v>9.4350000000000005</v>
      </c>
      <c r="BH319" s="121">
        <v>3.0272999999999999</v>
      </c>
      <c r="BI319" s="121">
        <v>0.58579999999999999</v>
      </c>
      <c r="BJ319" s="121">
        <v>0.31630000000000003</v>
      </c>
      <c r="BK319" s="121">
        <v>3.2380279599999999E-2</v>
      </c>
      <c r="BL319" s="121">
        <f t="shared" si="79"/>
        <v>96.990380279600018</v>
      </c>
      <c r="BM319" s="121">
        <v>0.49963370202116297</v>
      </c>
      <c r="BN319" s="95">
        <v>9.7597174990107405</v>
      </c>
      <c r="BO319" s="95" t="s">
        <v>64</v>
      </c>
      <c r="BP319" s="95">
        <v>9.7597174990107405</v>
      </c>
      <c r="BQ319" s="194" t="s">
        <v>469</v>
      </c>
    </row>
    <row r="320" spans="12:69" ht="14.45" customHeight="1">
      <c r="L320" s="20" t="s">
        <v>64</v>
      </c>
      <c r="M320" s="763" t="s">
        <v>459</v>
      </c>
      <c r="N320" s="15" t="s">
        <v>460</v>
      </c>
      <c r="O320" s="14" t="s">
        <v>1305</v>
      </c>
      <c r="P320" s="15" t="s">
        <v>405</v>
      </c>
      <c r="Q320" s="15" t="s">
        <v>468</v>
      </c>
      <c r="R320" s="193">
        <v>78.040209777090098</v>
      </c>
      <c r="S320" s="15" t="s">
        <v>64</v>
      </c>
      <c r="T320" s="14">
        <f t="shared" si="78"/>
        <v>1135.3638000000001</v>
      </c>
      <c r="U320" s="27" t="s">
        <v>1471</v>
      </c>
      <c r="V320" s="90" t="s">
        <v>64</v>
      </c>
      <c r="W320" s="109" t="s">
        <v>481</v>
      </c>
      <c r="X320" s="183" t="s">
        <v>64</v>
      </c>
      <c r="Y320" s="104" t="s">
        <v>64</v>
      </c>
      <c r="Z320" s="104" t="s">
        <v>64</v>
      </c>
      <c r="AA320" s="57" t="s">
        <v>64</v>
      </c>
      <c r="AB320" s="47" t="s">
        <v>64</v>
      </c>
      <c r="AC320" s="57">
        <v>137.22002749977091</v>
      </c>
      <c r="AD320" s="27" t="s">
        <v>470</v>
      </c>
      <c r="AE320" s="28">
        <f t="shared" si="80"/>
        <v>0.60412052080225687</v>
      </c>
      <c r="AF320" s="197" t="s">
        <v>470</v>
      </c>
      <c r="AG320" s="84">
        <v>90</v>
      </c>
      <c r="AH320" s="157" t="s">
        <v>469</v>
      </c>
      <c r="AI320" s="8">
        <v>0.96497153333976649</v>
      </c>
      <c r="AJ320" s="9">
        <v>52.014000000000003</v>
      </c>
      <c r="AK320" s="9">
        <v>3.375</v>
      </c>
      <c r="AL320" s="9">
        <v>11.532</v>
      </c>
      <c r="AM320" s="189">
        <v>11.5000828276617</v>
      </c>
      <c r="AN320" s="9">
        <v>0.17</v>
      </c>
      <c r="AO320" s="9">
        <v>6.0380000000000003</v>
      </c>
      <c r="AP320" s="9">
        <v>11.358000000000001</v>
      </c>
      <c r="AQ320" s="9">
        <v>2.4900000000000002</v>
      </c>
      <c r="AR320" s="9">
        <v>0.59</v>
      </c>
      <c r="AS320" s="9">
        <v>0.307</v>
      </c>
      <c r="AT320" s="190">
        <v>324.53391488951075</v>
      </c>
      <c r="AU320" s="9">
        <v>0.42381931103975401</v>
      </c>
      <c r="AV320" s="6">
        <v>43.381644691698355</v>
      </c>
      <c r="AW320" s="27" t="s">
        <v>64</v>
      </c>
      <c r="AX320" s="6">
        <v>43.381644691698355</v>
      </c>
      <c r="AY320" s="8">
        <f t="shared" si="81"/>
        <v>2.3006728898585287</v>
      </c>
      <c r="AZ320" s="9">
        <f t="shared" si="82"/>
        <v>9.4300679186825942</v>
      </c>
      <c r="BA320" s="123">
        <v>50.676499999999997</v>
      </c>
      <c r="BB320" s="121">
        <v>3.3767999999999998</v>
      </c>
      <c r="BC320" s="121">
        <v>11.5388</v>
      </c>
      <c r="BD320" s="121">
        <v>11.139699999999999</v>
      </c>
      <c r="BE320" s="121">
        <v>0.1699</v>
      </c>
      <c r="BF320" s="121">
        <v>4.4135</v>
      </c>
      <c r="BG320" s="121">
        <v>11.3645</v>
      </c>
      <c r="BH320" s="121">
        <v>2.4914999999999998</v>
      </c>
      <c r="BI320" s="121">
        <v>0.58989999999999998</v>
      </c>
      <c r="BJ320" s="121">
        <v>0.30669999999999997</v>
      </c>
      <c r="BK320" s="121">
        <v>3.3631449600000002E-2</v>
      </c>
      <c r="BL320" s="121">
        <f t="shared" si="79"/>
        <v>96.1014314496</v>
      </c>
      <c r="BM320" s="121">
        <v>0.439203952030497</v>
      </c>
      <c r="BN320" s="95">
        <v>44.956398394007003</v>
      </c>
      <c r="BO320" s="95" t="s">
        <v>64</v>
      </c>
      <c r="BP320" s="95">
        <v>44.956398394007003</v>
      </c>
      <c r="BQ320" s="194" t="s">
        <v>469</v>
      </c>
    </row>
    <row r="321" spans="11:69" ht="14.45" customHeight="1">
      <c r="L321" s="20" t="s">
        <v>64</v>
      </c>
      <c r="M321" s="763" t="s">
        <v>459</v>
      </c>
      <c r="N321" s="15" t="s">
        <v>460</v>
      </c>
      <c r="O321" s="14" t="s">
        <v>1306</v>
      </c>
      <c r="P321" s="15" t="s">
        <v>405</v>
      </c>
      <c r="Q321" s="15" t="s">
        <v>468</v>
      </c>
      <c r="R321" s="193">
        <v>88.531088352899602</v>
      </c>
      <c r="S321" s="15" t="s">
        <v>64</v>
      </c>
      <c r="T321" s="14">
        <f t="shared" si="78"/>
        <v>1280.9883</v>
      </c>
      <c r="U321" s="27" t="s">
        <v>416</v>
      </c>
      <c r="V321" s="90">
        <v>5.4937762978581002E-2</v>
      </c>
      <c r="W321" s="109">
        <v>102.713957062373</v>
      </c>
      <c r="X321" s="183">
        <v>3.5737260580887699E-2</v>
      </c>
      <c r="Y321" s="104">
        <v>3.8147591876459302E-2</v>
      </c>
      <c r="Z321" s="104" t="s">
        <v>462</v>
      </c>
      <c r="AA321" s="57" t="s">
        <v>64</v>
      </c>
      <c r="AB321" s="47" t="s">
        <v>64</v>
      </c>
      <c r="AC321" s="57">
        <v>1209.131598297181</v>
      </c>
      <c r="AD321" s="27" t="s">
        <v>470</v>
      </c>
      <c r="AE321" s="28">
        <f t="shared" si="80"/>
        <v>4.7935630968013241</v>
      </c>
      <c r="AF321" s="197" t="s">
        <v>470</v>
      </c>
      <c r="AG321" s="84">
        <v>800</v>
      </c>
      <c r="AH321" s="157" t="s">
        <v>469</v>
      </c>
      <c r="AI321" s="8">
        <v>0.78021377857532959</v>
      </c>
      <c r="AJ321" s="9">
        <v>49.37</v>
      </c>
      <c r="AK321" s="9">
        <v>1.96</v>
      </c>
      <c r="AL321" s="9">
        <v>11.364000000000001</v>
      </c>
      <c r="AM321" s="189">
        <v>11.330111163542201</v>
      </c>
      <c r="AN321" s="9">
        <v>0.153</v>
      </c>
      <c r="AO321" s="9">
        <v>13.282999999999999</v>
      </c>
      <c r="AP321" s="9">
        <v>9.6319999999999997</v>
      </c>
      <c r="AQ321" s="9">
        <v>2.0579999999999998</v>
      </c>
      <c r="AR321" s="9">
        <v>0.29799999999999999</v>
      </c>
      <c r="AS321" s="9">
        <v>0.20699999999999999</v>
      </c>
      <c r="AT321" s="190">
        <v>614.21250214558791</v>
      </c>
      <c r="AU321" s="9">
        <v>0.5</v>
      </c>
      <c r="AV321" s="6">
        <v>44.539209667769363</v>
      </c>
      <c r="AW321" s="27">
        <v>601.5379152867074</v>
      </c>
      <c r="AX321" s="6">
        <v>646.07712495447686</v>
      </c>
      <c r="AY321" s="8">
        <f t="shared" si="81"/>
        <v>2.2666688565359805</v>
      </c>
      <c r="AZ321" s="9">
        <f t="shared" si="82"/>
        <v>9.2906911541046053</v>
      </c>
      <c r="BA321" s="123">
        <v>51.938499999999998</v>
      </c>
      <c r="BB321" s="121">
        <v>2.5101</v>
      </c>
      <c r="BC321" s="121">
        <v>14.551399999999999</v>
      </c>
      <c r="BD321" s="121">
        <v>6.6477000000000004</v>
      </c>
      <c r="BE321" s="121">
        <v>0.1033</v>
      </c>
      <c r="BF321" s="121">
        <v>6.4770000000000003</v>
      </c>
      <c r="BG321" s="121">
        <v>12.145300000000001</v>
      </c>
      <c r="BH321" s="121">
        <v>2.6345999999999998</v>
      </c>
      <c r="BI321" s="121">
        <v>0.38200000000000001</v>
      </c>
      <c r="BJ321" s="121">
        <v>0.26550000000000001</v>
      </c>
      <c r="BK321" s="121">
        <v>7.8723616400000002E-2</v>
      </c>
      <c r="BL321" s="121">
        <f t="shared" si="79"/>
        <v>97.734123616400026</v>
      </c>
      <c r="BM321" s="121">
        <v>0.220878873522729</v>
      </c>
      <c r="BN321" s="95">
        <v>57.085905031179998</v>
      </c>
      <c r="BO321" s="95">
        <v>770.991146022973</v>
      </c>
      <c r="BP321" s="95">
        <v>828.077051054153</v>
      </c>
      <c r="BQ321" s="194" t="s">
        <v>469</v>
      </c>
    </row>
    <row r="322" spans="11:69" ht="14.45" customHeight="1">
      <c r="L322" s="20" t="s">
        <v>64</v>
      </c>
      <c r="M322" s="763" t="s">
        <v>459</v>
      </c>
      <c r="N322" s="15" t="s">
        <v>460</v>
      </c>
      <c r="O322" s="14" t="s">
        <v>1307</v>
      </c>
      <c r="P322" s="15" t="s">
        <v>405</v>
      </c>
      <c r="Q322" s="15" t="s">
        <v>468</v>
      </c>
      <c r="R322" s="193">
        <v>87.968241197508604</v>
      </c>
      <c r="S322" s="15" t="s">
        <v>64</v>
      </c>
      <c r="T322" s="14">
        <f t="shared" si="78"/>
        <v>1260.5064</v>
      </c>
      <c r="U322" s="27" t="s">
        <v>1471</v>
      </c>
      <c r="V322" s="90" t="s">
        <v>64</v>
      </c>
      <c r="W322" s="109" t="s">
        <v>481</v>
      </c>
      <c r="X322" s="183" t="s">
        <v>64</v>
      </c>
      <c r="Y322" s="104" t="s">
        <v>64</v>
      </c>
      <c r="Z322" s="104" t="s">
        <v>64</v>
      </c>
      <c r="AA322" s="57" t="s">
        <v>64</v>
      </c>
      <c r="AB322" s="47" t="s">
        <v>64</v>
      </c>
      <c r="AC322" s="57">
        <v>122.06914259499671</v>
      </c>
      <c r="AD322" s="27" t="s">
        <v>470</v>
      </c>
      <c r="AE322" s="28">
        <f t="shared" si="80"/>
        <v>0.53831112421023419</v>
      </c>
      <c r="AF322" s="197" t="s">
        <v>470</v>
      </c>
      <c r="AG322" s="84">
        <v>110</v>
      </c>
      <c r="AH322" s="157" t="s">
        <v>469</v>
      </c>
      <c r="AI322" s="8">
        <v>0.81606006202056469</v>
      </c>
      <c r="AJ322" s="9">
        <v>48.790999999999997</v>
      </c>
      <c r="AK322" s="9">
        <v>2.048</v>
      </c>
      <c r="AL322" s="9">
        <v>11.311</v>
      </c>
      <c r="AM322" s="189">
        <v>11.33111099686055</v>
      </c>
      <c r="AN322" s="9">
        <v>0.189</v>
      </c>
      <c r="AO322" s="9">
        <v>12.263999999999999</v>
      </c>
      <c r="AP322" s="9">
        <v>10.946</v>
      </c>
      <c r="AQ322" s="9">
        <v>2.173</v>
      </c>
      <c r="AR322" s="9">
        <v>0.32100000000000001</v>
      </c>
      <c r="AS322" s="9">
        <v>0.27800000000000002</v>
      </c>
      <c r="AT322" s="190">
        <v>649.37499591969959</v>
      </c>
      <c r="AU322" s="9">
        <v>0.5</v>
      </c>
      <c r="AV322" s="6">
        <v>53.169011089583897</v>
      </c>
      <c r="AW322" s="27" t="s">
        <v>64</v>
      </c>
      <c r="AX322" s="6">
        <v>53.169011089583897</v>
      </c>
      <c r="AY322" s="8">
        <f t="shared" si="81"/>
        <v>2.2668688802614074</v>
      </c>
      <c r="AZ322" s="9">
        <f t="shared" si="82"/>
        <v>9.2915110174256519</v>
      </c>
      <c r="BA322" s="123">
        <v>50.770699999999998</v>
      </c>
      <c r="BB322" s="121">
        <v>2.5101</v>
      </c>
      <c r="BC322" s="121">
        <v>13.8626</v>
      </c>
      <c r="BD322" s="121">
        <v>7.2281000000000004</v>
      </c>
      <c r="BE322" s="121">
        <v>0.153</v>
      </c>
      <c r="BF322" s="121">
        <v>6.8137999999999996</v>
      </c>
      <c r="BG322" s="121">
        <v>13.260899999999999</v>
      </c>
      <c r="BH322" s="121">
        <v>2.6634000000000002</v>
      </c>
      <c r="BI322" s="121">
        <v>0.39369999999999999</v>
      </c>
      <c r="BJ322" s="121">
        <v>0.34060000000000001</v>
      </c>
      <c r="BK322" s="121">
        <v>7.9574411999999997E-2</v>
      </c>
      <c r="BL322" s="121">
        <f t="shared" si="79"/>
        <v>98.076474411999982</v>
      </c>
      <c r="BM322" s="121">
        <v>0.20288979458133699</v>
      </c>
      <c r="BN322" s="95">
        <v>65.153306189176106</v>
      </c>
      <c r="BO322" s="95" t="s">
        <v>64</v>
      </c>
      <c r="BP322" s="95">
        <v>65.153306189176106</v>
      </c>
      <c r="BQ322" s="194" t="s">
        <v>469</v>
      </c>
    </row>
    <row r="323" spans="11:69" ht="14.45" customHeight="1">
      <c r="L323" s="20" t="s">
        <v>64</v>
      </c>
      <c r="M323" s="763" t="s">
        <v>459</v>
      </c>
      <c r="N323" s="15" t="s">
        <v>460</v>
      </c>
      <c r="O323" s="14" t="s">
        <v>1308</v>
      </c>
      <c r="P323" s="15" t="s">
        <v>405</v>
      </c>
      <c r="Q323" s="15" t="s">
        <v>468</v>
      </c>
      <c r="R323" s="193">
        <v>86.551839775062106</v>
      </c>
      <c r="S323" s="15" t="s">
        <v>64</v>
      </c>
      <c r="T323" s="14">
        <f t="shared" si="78"/>
        <v>1238.1954000000001</v>
      </c>
      <c r="U323" s="27" t="s">
        <v>1471</v>
      </c>
      <c r="V323" s="90" t="s">
        <v>64</v>
      </c>
      <c r="W323" s="109" t="s">
        <v>481</v>
      </c>
      <c r="X323" s="183" t="s">
        <v>64</v>
      </c>
      <c r="Y323" s="104" t="s">
        <v>64</v>
      </c>
      <c r="Z323" s="104" t="s">
        <v>64</v>
      </c>
      <c r="AA323" s="57" t="s">
        <v>64</v>
      </c>
      <c r="AB323" s="47" t="s">
        <v>64</v>
      </c>
      <c r="AC323" s="57">
        <v>64.037349096489919</v>
      </c>
      <c r="AD323" s="27" t="s">
        <v>470</v>
      </c>
      <c r="AE323" s="28">
        <f t="shared" si="80"/>
        <v>0.28421124085580257</v>
      </c>
      <c r="AF323" s="197" t="s">
        <v>470</v>
      </c>
      <c r="AG323" s="84">
        <v>60</v>
      </c>
      <c r="AH323" s="157" t="s">
        <v>469</v>
      </c>
      <c r="AI323" s="8">
        <v>0.82250370126665573</v>
      </c>
      <c r="AJ323" s="9">
        <v>49.921999999999997</v>
      </c>
      <c r="AK323" s="9">
        <v>2.1869999999999998</v>
      </c>
      <c r="AL323" s="9">
        <v>11.701000000000001</v>
      </c>
      <c r="AM323" s="189">
        <v>11.334110496815601</v>
      </c>
      <c r="AN323" s="9">
        <v>0.13500000000000001</v>
      </c>
      <c r="AO323" s="9">
        <v>11.154</v>
      </c>
      <c r="AP323" s="9">
        <v>10.593</v>
      </c>
      <c r="AQ323" s="9">
        <v>2.0760000000000001</v>
      </c>
      <c r="AR323" s="9">
        <v>0.34200000000000003</v>
      </c>
      <c r="AS323" s="9">
        <v>0.19700000000000001</v>
      </c>
      <c r="AT323" s="190">
        <v>211.58130613587761</v>
      </c>
      <c r="AU323" s="9">
        <v>0.5</v>
      </c>
      <c r="AV323" s="6">
        <v>17.682854603205133</v>
      </c>
      <c r="AW323" s="27" t="s">
        <v>64</v>
      </c>
      <c r="AX323" s="6">
        <v>17.682854603205133</v>
      </c>
      <c r="AY323" s="8">
        <f t="shared" si="81"/>
        <v>2.2674689514376873</v>
      </c>
      <c r="AZ323" s="9">
        <f t="shared" si="82"/>
        <v>9.2939706073887933</v>
      </c>
      <c r="BA323" s="123">
        <v>51.734000000000002</v>
      </c>
      <c r="BB323" s="121">
        <v>2.6400999999999999</v>
      </c>
      <c r="BC323" s="121">
        <v>14.123699999999999</v>
      </c>
      <c r="BD323" s="121">
        <v>7.0434000000000001</v>
      </c>
      <c r="BE323" s="121">
        <v>7.6700000000000004E-2</v>
      </c>
      <c r="BF323" s="121">
        <v>5.9082999999999997</v>
      </c>
      <c r="BG323" s="121">
        <v>12.636100000000001</v>
      </c>
      <c r="BH323" s="121">
        <v>2.5061</v>
      </c>
      <c r="BI323" s="121">
        <v>0.4133</v>
      </c>
      <c r="BJ323" s="121">
        <v>0.23830000000000001</v>
      </c>
      <c r="BK323" s="121">
        <v>2.5724055199999998E-2</v>
      </c>
      <c r="BL323" s="121">
        <f t="shared" si="79"/>
        <v>97.345724055200009</v>
      </c>
      <c r="BM323" s="121">
        <v>0.22038642920943599</v>
      </c>
      <c r="BN323" s="95">
        <v>21.498814626576799</v>
      </c>
      <c r="BO323" s="95" t="s">
        <v>64</v>
      </c>
      <c r="BP323" s="95">
        <v>21.498814626576799</v>
      </c>
      <c r="BQ323" s="194" t="s">
        <v>469</v>
      </c>
    </row>
    <row r="324" spans="11:69" ht="14.45" customHeight="1" thickBot="1">
      <c r="K324" s="36"/>
      <c r="L324" s="210" t="s">
        <v>64</v>
      </c>
      <c r="M324" s="1025" t="s">
        <v>459</v>
      </c>
      <c r="N324" s="133" t="s">
        <v>460</v>
      </c>
      <c r="O324" s="161" t="s">
        <v>1309</v>
      </c>
      <c r="P324" s="133" t="s">
        <v>405</v>
      </c>
      <c r="Q324" s="133" t="s">
        <v>468</v>
      </c>
      <c r="R324" s="211">
        <v>77.107564437043294</v>
      </c>
      <c r="S324" s="133" t="s">
        <v>64</v>
      </c>
      <c r="T324" s="161">
        <f t="shared" si="78"/>
        <v>1134.2783999999999</v>
      </c>
      <c r="U324" s="134" t="s">
        <v>1471</v>
      </c>
      <c r="V324" s="206" t="s">
        <v>64</v>
      </c>
      <c r="W324" s="110" t="s">
        <v>481</v>
      </c>
      <c r="X324" s="107" t="s">
        <v>64</v>
      </c>
      <c r="Y324" s="105" t="s">
        <v>64</v>
      </c>
      <c r="Z324" s="105" t="s">
        <v>64</v>
      </c>
      <c r="AA324" s="135" t="s">
        <v>64</v>
      </c>
      <c r="AB324" s="97" t="s">
        <v>64</v>
      </c>
      <c r="AC324" s="135">
        <v>579.12656616297511</v>
      </c>
      <c r="AD324" s="134" t="s">
        <v>470</v>
      </c>
      <c r="AE324" s="136">
        <f t="shared" si="80"/>
        <v>2.4340191099081756</v>
      </c>
      <c r="AF324" s="212" t="s">
        <v>470</v>
      </c>
      <c r="AG324" s="170">
        <v>410</v>
      </c>
      <c r="AH324" s="213" t="s">
        <v>469</v>
      </c>
      <c r="AI324" s="164">
        <v>0.90334236675700097</v>
      </c>
      <c r="AJ324" s="165">
        <v>51.066000000000003</v>
      </c>
      <c r="AK324" s="165">
        <v>3.1080000000000001</v>
      </c>
      <c r="AL324" s="165">
        <v>13.369</v>
      </c>
      <c r="AM324" s="214">
        <v>11.8660218221778</v>
      </c>
      <c r="AN324" s="165">
        <v>0.18</v>
      </c>
      <c r="AO324" s="165">
        <v>5.984</v>
      </c>
      <c r="AP324" s="165">
        <v>9.923</v>
      </c>
      <c r="AQ324" s="165">
        <v>2.5259999999999998</v>
      </c>
      <c r="AR324" s="165">
        <v>0.61599999999999999</v>
      </c>
      <c r="AS324" s="165">
        <v>0.34</v>
      </c>
      <c r="AT324" s="215">
        <v>666.83857271906061</v>
      </c>
      <c r="AU324" s="165">
        <v>0.82778733188124998</v>
      </c>
      <c r="AV324" s="167">
        <v>207.87654406843092</v>
      </c>
      <c r="AW324" s="134" t="s">
        <v>64</v>
      </c>
      <c r="AX324" s="167">
        <v>207.87654406843092</v>
      </c>
      <c r="AY324" s="164">
        <f t="shared" si="81"/>
        <v>2.3738815733647209</v>
      </c>
      <c r="AZ324" s="165">
        <f t="shared" si="82"/>
        <v>9.7301378941857966</v>
      </c>
      <c r="BA324" s="168">
        <v>51.526400000000002</v>
      </c>
      <c r="BB324" s="169">
        <v>3.3835000000000002</v>
      </c>
      <c r="BC324" s="169">
        <v>14.5519</v>
      </c>
      <c r="BD324" s="169">
        <v>9.1455000000000002</v>
      </c>
      <c r="BE324" s="169">
        <v>0.19620000000000001</v>
      </c>
      <c r="BF324" s="169">
        <v>3.1823999999999999</v>
      </c>
      <c r="BG324" s="169">
        <v>10.801600000000001</v>
      </c>
      <c r="BH324" s="169">
        <v>2.7501000000000002</v>
      </c>
      <c r="BI324" s="169">
        <v>0.67059999999999997</v>
      </c>
      <c r="BJ324" s="169">
        <v>0.37009999999999998</v>
      </c>
      <c r="BK324" s="169">
        <v>7.3819029999999994E-2</v>
      </c>
      <c r="BL324" s="169">
        <f t="shared" si="79"/>
        <v>96.65211902999998</v>
      </c>
      <c r="BM324" s="169">
        <v>0.91636057639254398</v>
      </c>
      <c r="BN324" s="101">
        <v>230.11933428375301</v>
      </c>
      <c r="BO324" s="101" t="s">
        <v>64</v>
      </c>
      <c r="BP324" s="101">
        <v>230.11933428375301</v>
      </c>
      <c r="BQ324" s="216" t="s">
        <v>469</v>
      </c>
    </row>
    <row r="325" spans="11:69" ht="14.45" customHeight="1">
      <c r="K325" s="224" t="s">
        <v>487</v>
      </c>
      <c r="L325" s="20" t="str">
        <f>IF(T325&lt;1130,"'&lt;1130°C entrapment temp; original MagmaSat calculations used for saturation pressures","-")</f>
        <v>-</v>
      </c>
      <c r="M325" s="763" t="s">
        <v>459</v>
      </c>
      <c r="N325" s="15" t="s">
        <v>460</v>
      </c>
      <c r="O325" s="14" t="s">
        <v>1310</v>
      </c>
      <c r="P325" s="15" t="s">
        <v>405</v>
      </c>
      <c r="Q325" s="15" t="s">
        <v>490</v>
      </c>
      <c r="R325" s="217">
        <v>78.903326700156498</v>
      </c>
      <c r="S325" s="217" t="s">
        <v>64</v>
      </c>
      <c r="T325" s="14">
        <f xml:space="preserve"> 20.1*AO325+1014</f>
        <v>1132.1966926333416</v>
      </c>
      <c r="U325" s="27" t="s">
        <v>300</v>
      </c>
      <c r="V325" s="90" t="s">
        <v>64</v>
      </c>
      <c r="W325" s="109" t="s">
        <v>64</v>
      </c>
      <c r="X325" s="183" t="s">
        <v>64</v>
      </c>
      <c r="Y325" s="104" t="s">
        <v>64</v>
      </c>
      <c r="Z325" s="104" t="s">
        <v>64</v>
      </c>
      <c r="AA325" s="57" t="s">
        <v>64</v>
      </c>
      <c r="AB325" s="47" t="s">
        <v>64</v>
      </c>
      <c r="AC325" s="57">
        <v>153.20381698118081</v>
      </c>
      <c r="AD325" s="27" t="s">
        <v>470</v>
      </c>
      <c r="AE325" s="28">
        <f t="shared" si="80"/>
        <v>0.67331254022137299</v>
      </c>
      <c r="AF325" s="197" t="s">
        <v>470</v>
      </c>
      <c r="AG325" s="84">
        <v>80</v>
      </c>
      <c r="AH325" s="157" t="s">
        <v>469</v>
      </c>
      <c r="AI325" s="8">
        <v>0.88911571355970698</v>
      </c>
      <c r="AJ325" s="9">
        <v>51.343254511358381</v>
      </c>
      <c r="AK325" s="9">
        <v>3.7963033445347905</v>
      </c>
      <c r="AL325" s="9">
        <v>11.14789574365011</v>
      </c>
      <c r="AM325" s="189">
        <v>12.728381824279385</v>
      </c>
      <c r="AN325" s="9">
        <v>0.24381700855255239</v>
      </c>
      <c r="AO325" s="9">
        <v>5.880432469320481</v>
      </c>
      <c r="AP325" s="9">
        <v>9.5779846533083486</v>
      </c>
      <c r="AQ325" s="9">
        <v>2.5575994910094542</v>
      </c>
      <c r="AR325" s="9">
        <v>0.74890216553134126</v>
      </c>
      <c r="AS325" s="9">
        <v>0.43157676736188177</v>
      </c>
      <c r="AT325" s="190">
        <v>423.17023875004327</v>
      </c>
      <c r="AU325" s="9">
        <v>0.25264569818940946</v>
      </c>
      <c r="AV325" s="6">
        <v>52.640203706132169</v>
      </c>
      <c r="AW325" s="27" t="s">
        <v>64</v>
      </c>
      <c r="AX325" s="6">
        <v>52.640203706132169</v>
      </c>
      <c r="AY325" s="8">
        <f t="shared" si="81"/>
        <v>2.5464027897651129</v>
      </c>
      <c r="AZ325" s="9">
        <f t="shared" si="82"/>
        <v>10.437273095909097</v>
      </c>
      <c r="BA325" s="123">
        <v>51.2667</v>
      </c>
      <c r="BB325" s="121">
        <v>4.1509999999999998</v>
      </c>
      <c r="BC325" s="121">
        <v>12.205</v>
      </c>
      <c r="BD325" s="121">
        <v>13.2902</v>
      </c>
      <c r="BE325" s="121">
        <v>0.2467</v>
      </c>
      <c r="BF325" s="121">
        <v>4.4569000000000001</v>
      </c>
      <c r="BG325" s="121">
        <v>8.6144999999999996</v>
      </c>
      <c r="BH325" s="121">
        <v>2.8397999999999999</v>
      </c>
      <c r="BI325" s="121">
        <v>0.84230000000000005</v>
      </c>
      <c r="BJ325" s="121">
        <v>0.4854</v>
      </c>
      <c r="BK325" s="121">
        <v>4.7594506799999999E-2</v>
      </c>
      <c r="BL325" s="121">
        <f>SUM(BA325:BK325)</f>
        <v>98.44609450679998</v>
      </c>
      <c r="BM325" s="121">
        <v>0.28415390070872198</v>
      </c>
      <c r="BN325" s="95">
        <v>59.205121339470303</v>
      </c>
      <c r="BO325" s="122" t="s">
        <v>64</v>
      </c>
      <c r="BP325" s="95">
        <v>59.205121339470303</v>
      </c>
      <c r="BQ325" s="194" t="s">
        <v>469</v>
      </c>
    </row>
    <row r="326" spans="11:69" ht="14.45" customHeight="1">
      <c r="K326" s="222"/>
      <c r="L326" s="207" t="str">
        <f t="shared" ref="L326:L364" si="83">IF(T326&lt;1130,"'&lt;1130°C entrapment temp; original MagmaSat calculations used for saturation pressures","-")</f>
        <v>'&lt;1130°C entrapment temp; original MagmaSat calculations used for saturation pressures</v>
      </c>
      <c r="M326" s="763" t="s">
        <v>459</v>
      </c>
      <c r="N326" s="15" t="s">
        <v>460</v>
      </c>
      <c r="O326" s="14" t="s">
        <v>1311</v>
      </c>
      <c r="P326" s="15" t="s">
        <v>405</v>
      </c>
      <c r="Q326" s="15" t="s">
        <v>490</v>
      </c>
      <c r="R326" s="217">
        <v>78.903326700156498</v>
      </c>
      <c r="S326" s="217" t="s">
        <v>64</v>
      </c>
      <c r="T326" s="14">
        <f t="shared" ref="T326:T364" si="84" xml:space="preserve"> 20.1*AO326+1014</f>
        <v>1124.9189393412792</v>
      </c>
      <c r="U326" s="27" t="s">
        <v>300</v>
      </c>
      <c r="V326" s="90" t="s">
        <v>64</v>
      </c>
      <c r="W326" s="109" t="s">
        <v>64</v>
      </c>
      <c r="X326" s="183" t="s">
        <v>64</v>
      </c>
      <c r="Y326" s="104" t="s">
        <v>64</v>
      </c>
      <c r="Z326" s="104" t="s">
        <v>64</v>
      </c>
      <c r="AA326" s="57" t="s">
        <v>64</v>
      </c>
      <c r="AB326" s="47" t="s">
        <v>64</v>
      </c>
      <c r="AC326" s="57">
        <v>280</v>
      </c>
      <c r="AD326" s="27" t="s">
        <v>470</v>
      </c>
      <c r="AE326" s="28">
        <f t="shared" si="80"/>
        <v>1.2138387968</v>
      </c>
      <c r="AF326" s="197" t="s">
        <v>470</v>
      </c>
      <c r="AG326" s="84">
        <v>280</v>
      </c>
      <c r="AH326" s="157" t="s">
        <v>469</v>
      </c>
      <c r="AI326" s="8">
        <v>0.93511397038928834</v>
      </c>
      <c r="AJ326" s="9">
        <v>50.747997636286648</v>
      </c>
      <c r="AK326" s="9">
        <v>2.942870620164717</v>
      </c>
      <c r="AL326" s="9">
        <v>13.806843647998607</v>
      </c>
      <c r="AM326" s="189">
        <v>12.001622773761309</v>
      </c>
      <c r="AN326" s="9">
        <v>0.16814659486412201</v>
      </c>
      <c r="AO326" s="9">
        <v>5.5183551911084194</v>
      </c>
      <c r="AP326" s="9">
        <v>9.5091445226141644</v>
      </c>
      <c r="AQ326" s="9">
        <v>3.0211247806699704</v>
      </c>
      <c r="AR326" s="9">
        <v>0.68347480095753088</v>
      </c>
      <c r="AS326" s="9">
        <v>0.31775172713828015</v>
      </c>
      <c r="AT326" s="190">
        <v>990.74460743390864</v>
      </c>
      <c r="AU326" s="9">
        <v>0.32158028977159914</v>
      </c>
      <c r="AV326" s="6">
        <v>170.99920466267679</v>
      </c>
      <c r="AW326" s="27" t="s">
        <v>64</v>
      </c>
      <c r="AX326" s="6">
        <v>170.99920466267679</v>
      </c>
      <c r="AY326" s="8">
        <f t="shared" si="81"/>
        <v>2.4010095025998734</v>
      </c>
      <c r="AZ326" s="9">
        <f t="shared" si="82"/>
        <v>9.8413306744842739</v>
      </c>
      <c r="BA326" s="123">
        <v>50.664099999999998</v>
      </c>
      <c r="BB326" s="121">
        <v>3.081</v>
      </c>
      <c r="BC326" s="121">
        <v>14.579499999999999</v>
      </c>
      <c r="BD326" s="121">
        <v>12.2646</v>
      </c>
      <c r="BE326" s="121">
        <v>0.16450000000000001</v>
      </c>
      <c r="BF326" s="121">
        <v>4.7012</v>
      </c>
      <c r="BG326" s="121">
        <v>8.9682999999999993</v>
      </c>
      <c r="BH326" s="121">
        <v>3.2103000000000002</v>
      </c>
      <c r="BI326" s="121">
        <v>0.73089999999999999</v>
      </c>
      <c r="BJ326" s="121">
        <v>0.33979999999999999</v>
      </c>
      <c r="BK326" s="121">
        <v>0.1059490756</v>
      </c>
      <c r="BL326" s="121">
        <f t="shared" ref="BL326:BL364" si="85">SUM(BA326:BK326)</f>
        <v>98.810149075600009</v>
      </c>
      <c r="BM326" s="121">
        <v>0.34389422033522299</v>
      </c>
      <c r="BN326" s="95">
        <v>182.86455991186801</v>
      </c>
      <c r="BO326" s="122" t="s">
        <v>64</v>
      </c>
      <c r="BP326" s="95">
        <v>182.86455991186801</v>
      </c>
      <c r="BQ326" s="194" t="s">
        <v>469</v>
      </c>
    </row>
    <row r="327" spans="11:69" ht="14.45" customHeight="1">
      <c r="K327" s="222"/>
      <c r="L327" s="20" t="str">
        <f t="shared" si="83"/>
        <v>-</v>
      </c>
      <c r="M327" s="763" t="s">
        <v>459</v>
      </c>
      <c r="N327" s="15" t="s">
        <v>460</v>
      </c>
      <c r="O327" s="14" t="s">
        <v>1312</v>
      </c>
      <c r="P327" s="15" t="s">
        <v>405</v>
      </c>
      <c r="Q327" s="15" t="s">
        <v>490</v>
      </c>
      <c r="R327" s="217">
        <v>79.122021867288197</v>
      </c>
      <c r="S327" s="217" t="s">
        <v>64</v>
      </c>
      <c r="T327" s="14">
        <f t="shared" si="84"/>
        <v>1131.3213295209778</v>
      </c>
      <c r="U327" s="218" t="s">
        <v>1472</v>
      </c>
      <c r="V327" s="90" t="s">
        <v>462</v>
      </c>
      <c r="W327" s="109" t="s">
        <v>480</v>
      </c>
      <c r="X327" s="183" t="s">
        <v>64</v>
      </c>
      <c r="Y327" s="104" t="s">
        <v>64</v>
      </c>
      <c r="Z327" s="104" t="s">
        <v>64</v>
      </c>
      <c r="AA327" s="57" t="s">
        <v>64</v>
      </c>
      <c r="AB327" s="47" t="s">
        <v>64</v>
      </c>
      <c r="AC327" s="57">
        <v>676.07189632881887</v>
      </c>
      <c r="AD327" s="27" t="s">
        <v>470</v>
      </c>
      <c r="AE327" s="28">
        <f t="shared" si="80"/>
        <v>2.8142756951400631</v>
      </c>
      <c r="AF327" s="197" t="s">
        <v>470</v>
      </c>
      <c r="AG327" s="84">
        <v>420</v>
      </c>
      <c r="AH327" s="157" t="s">
        <v>469</v>
      </c>
      <c r="AI327" s="8">
        <v>0.88276732135039904</v>
      </c>
      <c r="AJ327" s="9">
        <v>49.841247504059439</v>
      </c>
      <c r="AK327" s="9">
        <v>3.6652015119240633</v>
      </c>
      <c r="AL327" s="9">
        <v>11.209071725844614</v>
      </c>
      <c r="AM327" s="189">
        <v>12.449987245181259</v>
      </c>
      <c r="AN327" s="9">
        <v>0.21748782460500093</v>
      </c>
      <c r="AO327" s="9">
        <v>5.8368820657202889</v>
      </c>
      <c r="AP327" s="9">
        <v>9.6316453762196979</v>
      </c>
      <c r="AQ327" s="9">
        <v>2.5103717887832802</v>
      </c>
      <c r="AR327" s="9">
        <v>0.79784510503649064</v>
      </c>
      <c r="AS327" s="9">
        <v>0.49170139799217233</v>
      </c>
      <c r="AT327" s="190">
        <v>1426.5618535787589</v>
      </c>
      <c r="AU327" s="9">
        <v>0.6542740585197192</v>
      </c>
      <c r="AV327" s="6">
        <v>264.50413643914749</v>
      </c>
      <c r="AW327" s="27" t="s">
        <v>64</v>
      </c>
      <c r="AX327" s="6">
        <v>264.50413643914749</v>
      </c>
      <c r="AY327" s="8">
        <f t="shared" si="81"/>
        <v>2.4907079856134402</v>
      </c>
      <c r="AZ327" s="9">
        <f t="shared" si="82"/>
        <v>10.208989541048631</v>
      </c>
      <c r="BA327" s="123">
        <v>49.645000000000003</v>
      </c>
      <c r="BB327" s="121">
        <v>4.0201000000000002</v>
      </c>
      <c r="BC327" s="121">
        <v>12.366</v>
      </c>
      <c r="BD327" s="121">
        <v>13.1008</v>
      </c>
      <c r="BE327" s="121">
        <v>0.22070000000000001</v>
      </c>
      <c r="BF327" s="121">
        <v>4.4755000000000003</v>
      </c>
      <c r="BG327" s="121">
        <v>8.3381000000000007</v>
      </c>
      <c r="BH327" s="121">
        <v>2.8086000000000002</v>
      </c>
      <c r="BI327" s="121">
        <v>0.90380000000000005</v>
      </c>
      <c r="BJ327" s="121">
        <v>0.55700000000000005</v>
      </c>
      <c r="BK327" s="121">
        <v>0.16160111720000001</v>
      </c>
      <c r="BL327" s="121">
        <f t="shared" si="85"/>
        <v>96.597201117199987</v>
      </c>
      <c r="BM327" s="121">
        <v>0.741162526857988</v>
      </c>
      <c r="BN327" s="95">
        <v>299.630638835301</v>
      </c>
      <c r="BO327" s="122" t="s">
        <v>64</v>
      </c>
      <c r="BP327" s="95">
        <v>299.630638835301</v>
      </c>
      <c r="BQ327" s="194" t="s">
        <v>469</v>
      </c>
    </row>
    <row r="328" spans="11:69" ht="14.45" customHeight="1">
      <c r="K328" s="222"/>
      <c r="L328" s="207" t="str">
        <f t="shared" si="83"/>
        <v>'&lt;1130°C entrapment temp; original MagmaSat calculations used for saturation pressures</v>
      </c>
      <c r="M328" s="763" t="s">
        <v>459</v>
      </c>
      <c r="N328" s="15" t="s">
        <v>460</v>
      </c>
      <c r="O328" s="14" t="s">
        <v>1313</v>
      </c>
      <c r="P328" s="15" t="s">
        <v>405</v>
      </c>
      <c r="Q328" s="15" t="s">
        <v>490</v>
      </c>
      <c r="R328" s="217">
        <v>78.286041672666499</v>
      </c>
      <c r="S328" s="217" t="s">
        <v>64</v>
      </c>
      <c r="T328" s="14">
        <f t="shared" si="84"/>
        <v>1126.8038622471227</v>
      </c>
      <c r="U328" s="218" t="s">
        <v>1472</v>
      </c>
      <c r="V328" s="90" t="s">
        <v>462</v>
      </c>
      <c r="W328" s="109" t="s">
        <v>480</v>
      </c>
      <c r="X328" s="183" t="s">
        <v>64</v>
      </c>
      <c r="Y328" s="104" t="s">
        <v>64</v>
      </c>
      <c r="Z328" s="104" t="s">
        <v>64</v>
      </c>
      <c r="AA328" s="57" t="s">
        <v>64</v>
      </c>
      <c r="AB328" s="47" t="s">
        <v>64</v>
      </c>
      <c r="AC328" s="57">
        <v>380</v>
      </c>
      <c r="AD328" s="27" t="s">
        <v>470</v>
      </c>
      <c r="AE328" s="28">
        <f t="shared" si="80"/>
        <v>1.6300377248</v>
      </c>
      <c r="AF328" s="197" t="s">
        <v>470</v>
      </c>
      <c r="AG328" s="84">
        <v>380</v>
      </c>
      <c r="AH328" s="157" t="s">
        <v>469</v>
      </c>
      <c r="AI328" s="8">
        <v>0.92303927756948922</v>
      </c>
      <c r="AJ328" s="9">
        <v>47.987098291965872</v>
      </c>
      <c r="AK328" s="9">
        <v>3.8439938635868645</v>
      </c>
      <c r="AL328" s="9">
        <v>12.032324551391234</v>
      </c>
      <c r="AM328" s="189">
        <v>12.707471226063531</v>
      </c>
      <c r="AN328" s="9">
        <v>0.22116127494298643</v>
      </c>
      <c r="AO328" s="9">
        <v>5.6121324501055998</v>
      </c>
      <c r="AP328" s="9">
        <v>9.8577202689274728</v>
      </c>
      <c r="AQ328" s="9">
        <v>2.4079811252236323</v>
      </c>
      <c r="AR328" s="9">
        <v>0.57911484274709746</v>
      </c>
      <c r="AS328" s="9">
        <v>0.30008006913784097</v>
      </c>
      <c r="AT328" s="190">
        <v>1142.868310766285</v>
      </c>
      <c r="AU328" s="9">
        <v>0.47569517623195623</v>
      </c>
      <c r="AV328" s="6">
        <v>242.16934706787291</v>
      </c>
      <c r="AW328" s="27" t="s">
        <v>64</v>
      </c>
      <c r="AX328" s="6">
        <v>242.16934706787291</v>
      </c>
      <c r="AY328" s="8">
        <f t="shared" si="81"/>
        <v>2.5422194767275563</v>
      </c>
      <c r="AZ328" s="9">
        <f t="shared" si="82"/>
        <v>10.420126405372095</v>
      </c>
      <c r="BA328" s="123">
        <v>47.691800000000001</v>
      </c>
      <c r="BB328" s="121">
        <v>4.0766999999999998</v>
      </c>
      <c r="BC328" s="121">
        <v>12.8156</v>
      </c>
      <c r="BD328" s="121">
        <v>13.0853</v>
      </c>
      <c r="BE328" s="121">
        <v>0.22170000000000001</v>
      </c>
      <c r="BF328" s="121">
        <v>4.6966000000000001</v>
      </c>
      <c r="BG328" s="121">
        <v>9.1557999999999993</v>
      </c>
      <c r="BH328" s="121">
        <v>2.5880999999999998</v>
      </c>
      <c r="BI328" s="121">
        <v>0.62739999999999996</v>
      </c>
      <c r="BJ328" s="121">
        <v>0.3251</v>
      </c>
      <c r="BK328" s="121">
        <v>0.12381578320000002</v>
      </c>
      <c r="BL328" s="121">
        <f t="shared" si="85"/>
        <v>95.407915783200011</v>
      </c>
      <c r="BM328" s="121">
        <v>0.51535745855207604</v>
      </c>
      <c r="BN328" s="95">
        <v>262.36082575547999</v>
      </c>
      <c r="BO328" s="122" t="s">
        <v>64</v>
      </c>
      <c r="BP328" s="95">
        <v>262.36082575547999</v>
      </c>
      <c r="BQ328" s="194" t="s">
        <v>469</v>
      </c>
    </row>
    <row r="329" spans="11:69" ht="14.45" customHeight="1">
      <c r="K329" s="222"/>
      <c r="L329" s="207" t="str">
        <f t="shared" si="83"/>
        <v>'&lt;1130°C entrapment temp; original MagmaSat calculations used for saturation pressures</v>
      </c>
      <c r="M329" s="763" t="s">
        <v>459</v>
      </c>
      <c r="N329" s="15" t="s">
        <v>460</v>
      </c>
      <c r="O329" s="14" t="s">
        <v>1314</v>
      </c>
      <c r="P329" s="15" t="s">
        <v>405</v>
      </c>
      <c r="Q329" s="15" t="s">
        <v>490</v>
      </c>
      <c r="R329" s="217">
        <v>78.557843043790797</v>
      </c>
      <c r="S329" s="217" t="s">
        <v>64</v>
      </c>
      <c r="T329" s="14">
        <f t="shared" si="84"/>
        <v>1122.2122263612696</v>
      </c>
      <c r="U329" s="218" t="s">
        <v>1472</v>
      </c>
      <c r="V329" s="90" t="s">
        <v>462</v>
      </c>
      <c r="W329" s="109" t="s">
        <v>480</v>
      </c>
      <c r="X329" s="183" t="s">
        <v>64</v>
      </c>
      <c r="Y329" s="104" t="s">
        <v>64</v>
      </c>
      <c r="Z329" s="104" t="s">
        <v>64</v>
      </c>
      <c r="AA329" s="57" t="s">
        <v>64</v>
      </c>
      <c r="AB329" s="47" t="s">
        <v>64</v>
      </c>
      <c r="AC329" s="57">
        <v>320</v>
      </c>
      <c r="AD329" s="27" t="s">
        <v>470</v>
      </c>
      <c r="AE329" s="28">
        <f t="shared" si="80"/>
        <v>1.3813594111999998</v>
      </c>
      <c r="AF329" s="197" t="s">
        <v>470</v>
      </c>
      <c r="AG329" s="84">
        <v>320</v>
      </c>
      <c r="AH329" s="157" t="s">
        <v>469</v>
      </c>
      <c r="AI329" s="8">
        <v>0.93508955569176422</v>
      </c>
      <c r="AJ329" s="9">
        <v>51.459452248203</v>
      </c>
      <c r="AK329" s="9">
        <v>3.3060907605963461</v>
      </c>
      <c r="AL329" s="9">
        <v>12.702263177863497</v>
      </c>
      <c r="AM329" s="189">
        <v>11.985320451557705</v>
      </c>
      <c r="AN329" s="9">
        <v>0.17047369911682156</v>
      </c>
      <c r="AO329" s="9">
        <v>5.3836928537945123</v>
      </c>
      <c r="AP329" s="9">
        <v>9.3920928078153167</v>
      </c>
      <c r="AQ329" s="9">
        <v>2.9197646859199344</v>
      </c>
      <c r="AR329" s="9">
        <v>0.67644378458742227</v>
      </c>
      <c r="AS329" s="9">
        <v>0.40236903581416616</v>
      </c>
      <c r="AT329" s="190">
        <v>1363.2327304948963</v>
      </c>
      <c r="AU329" s="9">
        <v>0.25621606278429854</v>
      </c>
      <c r="AV329" s="6">
        <v>214.23474991265957</v>
      </c>
      <c r="AW329" s="27" t="s">
        <v>64</v>
      </c>
      <c r="AX329" s="6">
        <v>214.23474991265957</v>
      </c>
      <c r="AY329" s="8">
        <f t="shared" si="81"/>
        <v>2.3977481077649285</v>
      </c>
      <c r="AZ329" s="9">
        <f t="shared" si="82"/>
        <v>9.8279627702773187</v>
      </c>
      <c r="BA329" s="123">
        <v>51.439700000000002</v>
      </c>
      <c r="BB329" s="121">
        <v>3.4632000000000001</v>
      </c>
      <c r="BC329" s="121">
        <v>13.394399999999999</v>
      </c>
      <c r="BD329" s="121">
        <v>12.2628</v>
      </c>
      <c r="BE329" s="121">
        <v>0.16789999999999999</v>
      </c>
      <c r="BF329" s="121">
        <v>4.6132999999999997</v>
      </c>
      <c r="BG329" s="121">
        <v>8.7533999999999992</v>
      </c>
      <c r="BH329" s="121">
        <v>3.1040000000000001</v>
      </c>
      <c r="BI329" s="121">
        <v>0.72340000000000004</v>
      </c>
      <c r="BJ329" s="121">
        <v>0.43030000000000002</v>
      </c>
      <c r="BK329" s="121">
        <v>0.1457863284</v>
      </c>
      <c r="BL329" s="121">
        <f t="shared" si="85"/>
        <v>98.49818632840001</v>
      </c>
      <c r="BM329" s="121">
        <v>0.27400163035160202</v>
      </c>
      <c r="BN329" s="95">
        <v>229.10613064667601</v>
      </c>
      <c r="BO329" s="122" t="s">
        <v>64</v>
      </c>
      <c r="BP329" s="95">
        <v>229.10613064667601</v>
      </c>
      <c r="BQ329" s="194" t="s">
        <v>469</v>
      </c>
    </row>
    <row r="330" spans="11:69" ht="14.45" customHeight="1">
      <c r="K330" s="222"/>
      <c r="L330" s="20" t="str">
        <f t="shared" si="83"/>
        <v>-</v>
      </c>
      <c r="M330" s="763" t="s">
        <v>459</v>
      </c>
      <c r="N330" s="15" t="s">
        <v>460</v>
      </c>
      <c r="O330" s="14" t="s">
        <v>1315</v>
      </c>
      <c r="P330" s="15" t="s">
        <v>405</v>
      </c>
      <c r="Q330" s="15" t="s">
        <v>490</v>
      </c>
      <c r="R330" s="217">
        <v>77.927485803503799</v>
      </c>
      <c r="S330" s="217" t="s">
        <v>64</v>
      </c>
      <c r="T330" s="14">
        <f t="shared" si="84"/>
        <v>1131.259108391044</v>
      </c>
      <c r="U330" s="218" t="s">
        <v>1472</v>
      </c>
      <c r="V330" s="90" t="s">
        <v>462</v>
      </c>
      <c r="W330" s="109" t="s">
        <v>480</v>
      </c>
      <c r="X330" s="183" t="s">
        <v>64</v>
      </c>
      <c r="Y330" s="104" t="s">
        <v>64</v>
      </c>
      <c r="Z330" s="104" t="s">
        <v>64</v>
      </c>
      <c r="AA330" s="57" t="s">
        <v>64</v>
      </c>
      <c r="AB330" s="47" t="s">
        <v>64</v>
      </c>
      <c r="AC330" s="57">
        <v>182.13299436831929</v>
      </c>
      <c r="AD330" s="27" t="s">
        <v>470</v>
      </c>
      <c r="AE330" s="28">
        <f t="shared" si="80"/>
        <v>0.79793499174609706</v>
      </c>
      <c r="AF330" s="197" t="s">
        <v>470</v>
      </c>
      <c r="AG330" s="84">
        <v>130</v>
      </c>
      <c r="AH330" s="157" t="s">
        <v>469</v>
      </c>
      <c r="AI330" s="8">
        <v>0.90384077600577206</v>
      </c>
      <c r="AJ330" s="9">
        <v>47.841345679736719</v>
      </c>
      <c r="AK330" s="9">
        <v>3.954828991255853</v>
      </c>
      <c r="AL330" s="9">
        <v>12.468210916118254</v>
      </c>
      <c r="AM330" s="189">
        <v>13.496448268789267</v>
      </c>
      <c r="AN330" s="9">
        <v>0.18326565673410797</v>
      </c>
      <c r="AO330" s="9">
        <v>5.8337864871166136</v>
      </c>
      <c r="AP330" s="9">
        <v>10.023966697661981</v>
      </c>
      <c r="AQ330" s="9">
        <v>2.4231005369746721</v>
      </c>
      <c r="AR330" s="9">
        <v>0.55541015685554695</v>
      </c>
      <c r="AS330" s="9">
        <v>0.33424031896693451</v>
      </c>
      <c r="AT330" s="190">
        <v>1135.8342409554882</v>
      </c>
      <c r="AU330" s="9">
        <v>0.44806463104172239</v>
      </c>
      <c r="AV330" s="6">
        <v>66.154676366780265</v>
      </c>
      <c r="AW330" s="27" t="s">
        <v>64</v>
      </c>
      <c r="AX330" s="6">
        <v>66.154676366780265</v>
      </c>
      <c r="AY330" s="8">
        <f t="shared" si="81"/>
        <v>2.7000599131941287</v>
      </c>
      <c r="AZ330" s="9">
        <f t="shared" si="82"/>
        <v>11.0670875804072</v>
      </c>
      <c r="BA330" s="123">
        <v>47.42</v>
      </c>
      <c r="BB330" s="121">
        <v>4.2789000000000001</v>
      </c>
      <c r="BC330" s="121">
        <v>13.545299999999999</v>
      </c>
      <c r="BD330" s="121">
        <v>14.0143</v>
      </c>
      <c r="BE330" s="121">
        <v>0.1784</v>
      </c>
      <c r="BF330" s="121">
        <v>4.6311999999999998</v>
      </c>
      <c r="BG330" s="121">
        <v>9.2439999999999998</v>
      </c>
      <c r="BH330" s="121">
        <v>2.6541999999999999</v>
      </c>
      <c r="BI330" s="121">
        <v>0.61450000000000005</v>
      </c>
      <c r="BJ330" s="121">
        <v>0.36980000000000002</v>
      </c>
      <c r="BK330" s="121">
        <v>0.12566751479999999</v>
      </c>
      <c r="BL330" s="121">
        <f t="shared" si="85"/>
        <v>97.076267514800023</v>
      </c>
      <c r="BM330" s="121">
        <v>0.495734030745766</v>
      </c>
      <c r="BN330" s="95">
        <v>73.192843388997304</v>
      </c>
      <c r="BO330" s="122" t="s">
        <v>64</v>
      </c>
      <c r="BP330" s="95">
        <v>73.192843388997304</v>
      </c>
      <c r="BQ330" s="194" t="s">
        <v>469</v>
      </c>
    </row>
    <row r="331" spans="11:69" ht="14.45" customHeight="1">
      <c r="K331" s="222"/>
      <c r="L331" s="20" t="str">
        <f t="shared" si="83"/>
        <v>-</v>
      </c>
      <c r="M331" s="763" t="s">
        <v>459</v>
      </c>
      <c r="N331" s="15" t="s">
        <v>460</v>
      </c>
      <c r="O331" s="14" t="s">
        <v>1316</v>
      </c>
      <c r="P331" s="15" t="s">
        <v>405</v>
      </c>
      <c r="Q331" s="15" t="s">
        <v>490</v>
      </c>
      <c r="R331" s="217">
        <v>80.051692929095097</v>
      </c>
      <c r="S331" s="217" t="s">
        <v>64</v>
      </c>
      <c r="T331" s="14">
        <f t="shared" si="84"/>
        <v>1137.3439507875419</v>
      </c>
      <c r="U331" s="218" t="s">
        <v>1472</v>
      </c>
      <c r="V331" s="90" t="s">
        <v>462</v>
      </c>
      <c r="W331" s="109" t="s">
        <v>480</v>
      </c>
      <c r="X331" s="183" t="s">
        <v>64</v>
      </c>
      <c r="Y331" s="104" t="s">
        <v>64</v>
      </c>
      <c r="Z331" s="104" t="s">
        <v>64</v>
      </c>
      <c r="AA331" s="57" t="s">
        <v>64</v>
      </c>
      <c r="AB331" s="47" t="s">
        <v>64</v>
      </c>
      <c r="AC331" s="57">
        <v>108.26661634226321</v>
      </c>
      <c r="AD331" s="27" t="s">
        <v>470</v>
      </c>
      <c r="AE331" s="28">
        <f t="shared" si="80"/>
        <v>0.47816837162571224</v>
      </c>
      <c r="AF331" s="197" t="s">
        <v>470</v>
      </c>
      <c r="AG331" s="84">
        <v>70</v>
      </c>
      <c r="AH331" s="157" t="s">
        <v>469</v>
      </c>
      <c r="AI331" s="8">
        <v>0.85203700278350403</v>
      </c>
      <c r="AJ331" s="9">
        <v>49.580004439754454</v>
      </c>
      <c r="AK331" s="9">
        <v>3.0258271757856412</v>
      </c>
      <c r="AL331" s="9">
        <v>12.786544865229285</v>
      </c>
      <c r="AM331" s="189">
        <v>12.232678676262983</v>
      </c>
      <c r="AN331" s="9">
        <v>0.26370659926057205</v>
      </c>
      <c r="AO331" s="9">
        <v>6.1365149645543244</v>
      </c>
      <c r="AP331" s="9">
        <v>10.262184843031882</v>
      </c>
      <c r="AQ331" s="9">
        <v>2.4859169276815742</v>
      </c>
      <c r="AR331" s="9">
        <v>0.46436016651700973</v>
      </c>
      <c r="AS331" s="9">
        <v>0.31610572803268</v>
      </c>
      <c r="AT331" s="190">
        <v>1029.797670122367</v>
      </c>
      <c r="AU331" s="9">
        <v>0.37002720430694785</v>
      </c>
      <c r="AV331" s="6">
        <v>35.747785871833685</v>
      </c>
      <c r="AW331" s="27" t="s">
        <v>64</v>
      </c>
      <c r="AX331" s="6">
        <v>35.747785871833685</v>
      </c>
      <c r="AY331" s="8">
        <f t="shared" si="81"/>
        <v>2.4472338697538865</v>
      </c>
      <c r="AZ331" s="9">
        <f t="shared" si="82"/>
        <v>10.030796514535647</v>
      </c>
      <c r="BA331" s="123">
        <v>49.160299999999999</v>
      </c>
      <c r="BB331" s="121">
        <v>3.4264000000000001</v>
      </c>
      <c r="BC331" s="121">
        <v>14.6486</v>
      </c>
      <c r="BD331" s="121">
        <v>13.030200000000001</v>
      </c>
      <c r="BE331" s="121">
        <v>0.27489999999999998</v>
      </c>
      <c r="BF331" s="121">
        <v>4.2098000000000004</v>
      </c>
      <c r="BG331" s="121">
        <v>8.9003999999999994</v>
      </c>
      <c r="BH331" s="121">
        <v>2.8782999999999999</v>
      </c>
      <c r="BI331" s="121">
        <v>0.54500000000000004</v>
      </c>
      <c r="BJ331" s="121">
        <v>0.371</v>
      </c>
      <c r="BK331" s="121">
        <v>0.120863022</v>
      </c>
      <c r="BL331" s="121">
        <f t="shared" si="85"/>
        <v>97.565763021999999</v>
      </c>
      <c r="BM331" s="121">
        <v>0.434285369177762</v>
      </c>
      <c r="BN331" s="95">
        <v>41.955672999001102</v>
      </c>
      <c r="BO331" s="122" t="s">
        <v>64</v>
      </c>
      <c r="BP331" s="95">
        <v>41.955672999001102</v>
      </c>
      <c r="BQ331" s="194" t="s">
        <v>469</v>
      </c>
    </row>
    <row r="332" spans="11:69" ht="14.45" customHeight="1">
      <c r="K332" s="222"/>
      <c r="L332" s="20" t="str">
        <f t="shared" si="83"/>
        <v>-</v>
      </c>
      <c r="M332" s="763" t="s">
        <v>459</v>
      </c>
      <c r="N332" s="15" t="s">
        <v>460</v>
      </c>
      <c r="O332" s="14" t="s">
        <v>1317</v>
      </c>
      <c r="P332" s="15" t="s">
        <v>405</v>
      </c>
      <c r="Q332" s="15" t="s">
        <v>490</v>
      </c>
      <c r="R332" s="217">
        <v>79.565150879928197</v>
      </c>
      <c r="S332" s="217" t="s">
        <v>64</v>
      </c>
      <c r="T332" s="14">
        <f t="shared" si="84"/>
        <v>1131.1211477366869</v>
      </c>
      <c r="U332" s="218" t="s">
        <v>1472</v>
      </c>
      <c r="V332" s="90" t="s">
        <v>462</v>
      </c>
      <c r="W332" s="109" t="s">
        <v>480</v>
      </c>
      <c r="X332" s="183" t="s">
        <v>64</v>
      </c>
      <c r="Y332" s="104" t="s">
        <v>64</v>
      </c>
      <c r="Z332" s="104" t="s">
        <v>64</v>
      </c>
      <c r="AA332" s="57" t="s">
        <v>64</v>
      </c>
      <c r="AB332" s="47" t="s">
        <v>64</v>
      </c>
      <c r="AC332" s="57">
        <v>169.90562010691389</v>
      </c>
      <c r="AD332" s="27" t="s">
        <v>470</v>
      </c>
      <c r="AE332" s="28">
        <f t="shared" si="80"/>
        <v>0.74535655748163399</v>
      </c>
      <c r="AF332" s="197" t="s">
        <v>470</v>
      </c>
      <c r="AG332" s="84">
        <v>110</v>
      </c>
      <c r="AH332" s="157" t="s">
        <v>469</v>
      </c>
      <c r="AI332" s="8">
        <v>0.87623586449712498</v>
      </c>
      <c r="AJ332" s="9">
        <v>49.884433954395234</v>
      </c>
      <c r="AK332" s="9">
        <v>2.9709468841498401</v>
      </c>
      <c r="AL332" s="9">
        <v>13.287633268965978</v>
      </c>
      <c r="AM332" s="189">
        <v>12.04328287182013</v>
      </c>
      <c r="AN332" s="9">
        <v>0.22112969628508905</v>
      </c>
      <c r="AO332" s="9">
        <v>5.8269227729694979</v>
      </c>
      <c r="AP332" s="9">
        <v>10.01314156190287</v>
      </c>
      <c r="AQ332" s="9">
        <v>2.5396542961624085</v>
      </c>
      <c r="AR332" s="9">
        <v>0.5244271649015293</v>
      </c>
      <c r="AS332" s="9">
        <v>0.3185117367447049</v>
      </c>
      <c r="AT332" s="190">
        <v>955.99106318026088</v>
      </c>
      <c r="AU332" s="9">
        <v>0.39182007034817989</v>
      </c>
      <c r="AV332" s="6">
        <v>59.52281075578577</v>
      </c>
      <c r="AW332" s="27" t="s">
        <v>64</v>
      </c>
      <c r="AX332" s="6">
        <v>59.52281075578577</v>
      </c>
      <c r="AY332" s="8">
        <f t="shared" si="81"/>
        <v>2.4093438998063208</v>
      </c>
      <c r="AZ332" s="9">
        <f t="shared" si="82"/>
        <v>9.8754919548925066</v>
      </c>
      <c r="BA332" s="123">
        <v>49.655000000000001</v>
      </c>
      <c r="BB332" s="121">
        <v>3.2597999999999998</v>
      </c>
      <c r="BC332" s="121">
        <v>14.7781</v>
      </c>
      <c r="BD332" s="121">
        <v>12.6683</v>
      </c>
      <c r="BE332" s="121">
        <v>0.22159999999999999</v>
      </c>
      <c r="BF332" s="121">
        <v>4.2945000000000002</v>
      </c>
      <c r="BG332" s="121">
        <v>8.8306000000000004</v>
      </c>
      <c r="BH332" s="121">
        <v>2.8643000000000001</v>
      </c>
      <c r="BI332" s="121">
        <v>0.59850000000000003</v>
      </c>
      <c r="BJ332" s="121">
        <v>0.36349999999999999</v>
      </c>
      <c r="BK332" s="121">
        <v>0.10910202400000001</v>
      </c>
      <c r="BL332" s="121">
        <f t="shared" si="85"/>
        <v>97.643302023999993</v>
      </c>
      <c r="BM332" s="121">
        <v>0.447162785984624</v>
      </c>
      <c r="BN332" s="95">
        <v>67.930123802848598</v>
      </c>
      <c r="BO332" s="122" t="s">
        <v>64</v>
      </c>
      <c r="BP332" s="95">
        <v>67.930123802848598</v>
      </c>
      <c r="BQ332" s="194" t="s">
        <v>469</v>
      </c>
    </row>
    <row r="333" spans="11:69" ht="14.45" customHeight="1">
      <c r="K333" s="222"/>
      <c r="L333" s="207" t="str">
        <f t="shared" si="83"/>
        <v>'&lt;1130°C entrapment temp; original MagmaSat calculations used for saturation pressures</v>
      </c>
      <c r="M333" s="763" t="s">
        <v>459</v>
      </c>
      <c r="N333" s="15" t="s">
        <v>460</v>
      </c>
      <c r="O333" s="14" t="s">
        <v>1318</v>
      </c>
      <c r="P333" s="15" t="s">
        <v>405</v>
      </c>
      <c r="Q333" s="15" t="s">
        <v>490</v>
      </c>
      <c r="R333" s="217">
        <v>80.186043687915003</v>
      </c>
      <c r="S333" s="217" t="s">
        <v>64</v>
      </c>
      <c r="T333" s="14">
        <f t="shared" si="84"/>
        <v>1125.6643872020654</v>
      </c>
      <c r="U333" s="218" t="s">
        <v>1472</v>
      </c>
      <c r="V333" s="90" t="s">
        <v>462</v>
      </c>
      <c r="W333" s="109" t="s">
        <v>480</v>
      </c>
      <c r="X333" s="183" t="s">
        <v>64</v>
      </c>
      <c r="Y333" s="104" t="s">
        <v>64</v>
      </c>
      <c r="Z333" s="104" t="s">
        <v>64</v>
      </c>
      <c r="AA333" s="57" t="s">
        <v>64</v>
      </c>
      <c r="AB333" s="47" t="s">
        <v>64</v>
      </c>
      <c r="AC333" s="57">
        <v>650</v>
      </c>
      <c r="AD333" s="27" t="s">
        <v>470</v>
      </c>
      <c r="AE333" s="28">
        <f t="shared" si="80"/>
        <v>2.7126963499999999</v>
      </c>
      <c r="AF333" s="197" t="s">
        <v>470</v>
      </c>
      <c r="AG333" s="84">
        <v>650</v>
      </c>
      <c r="AH333" s="157" t="s">
        <v>469</v>
      </c>
      <c r="AI333" s="8">
        <v>0.92271606082171531</v>
      </c>
      <c r="AJ333" s="9">
        <v>50.390438158950268</v>
      </c>
      <c r="AK333" s="9">
        <v>3.3680204126707847</v>
      </c>
      <c r="AL333" s="9">
        <v>12.883706039819327</v>
      </c>
      <c r="AM333" s="189">
        <v>11.051341816797313</v>
      </c>
      <c r="AN333" s="9">
        <v>0.18023665425635729</v>
      </c>
      <c r="AO333" s="9">
        <v>5.5554421493564927</v>
      </c>
      <c r="AP333" s="9">
        <v>9.6062312668767351</v>
      </c>
      <c r="AQ333" s="9">
        <v>2.8934270818082752</v>
      </c>
      <c r="AR333" s="9">
        <v>0.66601645270111409</v>
      </c>
      <c r="AS333" s="9">
        <v>0.30671081861713817</v>
      </c>
      <c r="AT333" s="190">
        <v>1291.164452830393</v>
      </c>
      <c r="AU333" s="9">
        <v>0.72160265883423313</v>
      </c>
      <c r="AV333" s="6">
        <v>391.30763473312379</v>
      </c>
      <c r="AW333" s="27" t="s">
        <v>64</v>
      </c>
      <c r="AX333" s="6">
        <v>391.30763473312379</v>
      </c>
      <c r="AY333" s="8">
        <f t="shared" si="81"/>
        <v>2.2108990774664901</v>
      </c>
      <c r="AZ333" s="9">
        <f t="shared" si="82"/>
        <v>9.062100289773797</v>
      </c>
      <c r="BA333" s="123">
        <v>50.296599999999998</v>
      </c>
      <c r="BB333" s="121">
        <v>3.5703999999999998</v>
      </c>
      <c r="BC333" s="121">
        <v>13.736599999999999</v>
      </c>
      <c r="BD333" s="121">
        <v>11.3735</v>
      </c>
      <c r="BE333" s="121">
        <v>0.17979999999999999</v>
      </c>
      <c r="BF333" s="121">
        <v>4.6460999999999997</v>
      </c>
      <c r="BG333" s="121">
        <v>8.8236000000000008</v>
      </c>
      <c r="BH333" s="121">
        <v>3.1124999999999998</v>
      </c>
      <c r="BI333" s="121">
        <v>0.7218</v>
      </c>
      <c r="BJ333" s="121">
        <v>0.33239999999999997</v>
      </c>
      <c r="BK333" s="121">
        <v>0.13993085280000001</v>
      </c>
      <c r="BL333" s="121">
        <f t="shared" si="85"/>
        <v>96.933230852800023</v>
      </c>
      <c r="BM333" s="121">
        <v>0.78204194060696997</v>
      </c>
      <c r="BN333" s="95">
        <v>424.08239256684101</v>
      </c>
      <c r="BO333" s="122" t="s">
        <v>64</v>
      </c>
      <c r="BP333" s="95">
        <v>424.08239256684101</v>
      </c>
      <c r="BQ333" s="194" t="s">
        <v>469</v>
      </c>
    </row>
    <row r="334" spans="11:69" ht="14.45" customHeight="1">
      <c r="K334" s="222"/>
      <c r="L334" s="207" t="str">
        <f t="shared" si="83"/>
        <v>'&lt;1130°C entrapment temp; original MagmaSat calculations used for saturation pressures</v>
      </c>
      <c r="M334" s="763" t="s">
        <v>459</v>
      </c>
      <c r="N334" s="15" t="s">
        <v>460</v>
      </c>
      <c r="O334" s="14" t="s">
        <v>1319</v>
      </c>
      <c r="P334" s="15" t="s">
        <v>405</v>
      </c>
      <c r="Q334" s="15" t="s">
        <v>490</v>
      </c>
      <c r="R334" s="217">
        <v>79.943953983433204</v>
      </c>
      <c r="S334" s="217" t="s">
        <v>64</v>
      </c>
      <c r="T334" s="14">
        <f t="shared" si="84"/>
        <v>1123.0507035684016</v>
      </c>
      <c r="U334" s="218" t="s">
        <v>1472</v>
      </c>
      <c r="V334" s="90" t="s">
        <v>462</v>
      </c>
      <c r="W334" s="109" t="s">
        <v>480</v>
      </c>
      <c r="X334" s="183" t="s">
        <v>64</v>
      </c>
      <c r="Y334" s="104" t="s">
        <v>64</v>
      </c>
      <c r="Z334" s="104" t="s">
        <v>64</v>
      </c>
      <c r="AA334" s="57" t="s">
        <v>64</v>
      </c>
      <c r="AB334" s="47" t="s">
        <v>64</v>
      </c>
      <c r="AC334" s="57">
        <v>840</v>
      </c>
      <c r="AD334" s="27" t="s">
        <v>470</v>
      </c>
      <c r="AE334" s="28">
        <f t="shared" si="80"/>
        <v>3.4419764735999996</v>
      </c>
      <c r="AF334" s="197" t="s">
        <v>470</v>
      </c>
      <c r="AG334" s="84">
        <v>840</v>
      </c>
      <c r="AH334" s="157" t="s">
        <v>469</v>
      </c>
      <c r="AI334" s="8">
        <v>0.94190922618977202</v>
      </c>
      <c r="AJ334" s="9">
        <v>50.362682393081172</v>
      </c>
      <c r="AK334" s="9">
        <v>3.4744507604891717</v>
      </c>
      <c r="AL334" s="9">
        <v>13.388094193072371</v>
      </c>
      <c r="AM334" s="189">
        <v>10.999512532719638</v>
      </c>
      <c r="AN334" s="9">
        <v>0.22768341763390776</v>
      </c>
      <c r="AO334" s="9">
        <v>5.4254081377314183</v>
      </c>
      <c r="AP334" s="9">
        <v>9.3142744189804265</v>
      </c>
      <c r="AQ334" s="9">
        <v>2.7220000758910428</v>
      </c>
      <c r="AR334" s="9">
        <v>0.66216218601140964</v>
      </c>
      <c r="AS334" s="9">
        <v>0.32420515565451952</v>
      </c>
      <c r="AT334" s="190">
        <v>1295.3946323318173</v>
      </c>
      <c r="AU334" s="9">
        <v>0.77372676731883028</v>
      </c>
      <c r="AV334" s="6">
        <v>506.13292229945984</v>
      </c>
      <c r="AW334" s="27" t="s">
        <v>64</v>
      </c>
      <c r="AX334" s="6">
        <v>506.13292229945984</v>
      </c>
      <c r="AY334" s="8">
        <f t="shared" si="81"/>
        <v>2.2005302626879164</v>
      </c>
      <c r="AZ334" s="9">
        <f t="shared" si="82"/>
        <v>9.0196002768301042</v>
      </c>
      <c r="BA334" s="123">
        <v>50.295299999999997</v>
      </c>
      <c r="BB334" s="121">
        <v>3.6312000000000002</v>
      </c>
      <c r="BC334" s="121">
        <v>14.046799999999999</v>
      </c>
      <c r="BD334" s="121">
        <v>11.227600000000001</v>
      </c>
      <c r="BE334" s="121">
        <v>0.22939999999999999</v>
      </c>
      <c r="BF334" s="121">
        <v>4.7487000000000004</v>
      </c>
      <c r="BG334" s="121">
        <v>8.7193000000000005</v>
      </c>
      <c r="BH334" s="121">
        <v>2.8717000000000001</v>
      </c>
      <c r="BI334" s="121">
        <v>0.70299999999999996</v>
      </c>
      <c r="BJ334" s="121">
        <v>0.34420000000000001</v>
      </c>
      <c r="BK334" s="121">
        <v>0.1375286064</v>
      </c>
      <c r="BL334" s="121">
        <f t="shared" si="85"/>
        <v>96.954728606399996</v>
      </c>
      <c r="BM334" s="121">
        <v>0.82144515183137501</v>
      </c>
      <c r="BN334" s="95">
        <v>537.34787623524801</v>
      </c>
      <c r="BO334" s="122" t="s">
        <v>64</v>
      </c>
      <c r="BP334" s="95">
        <v>537.34787623524801</v>
      </c>
      <c r="BQ334" s="194" t="s">
        <v>469</v>
      </c>
    </row>
    <row r="335" spans="11:69" ht="14.45" customHeight="1">
      <c r="K335" s="222"/>
      <c r="L335" s="207" t="str">
        <f t="shared" si="83"/>
        <v>'&lt;1130°C entrapment temp; original MagmaSat calculations used for saturation pressures</v>
      </c>
      <c r="M335" s="763" t="s">
        <v>459</v>
      </c>
      <c r="N335" s="15" t="s">
        <v>460</v>
      </c>
      <c r="O335" s="14" t="s">
        <v>1320</v>
      </c>
      <c r="P335" s="15" t="s">
        <v>405</v>
      </c>
      <c r="Q335" s="15" t="s">
        <v>490</v>
      </c>
      <c r="R335" s="217">
        <v>74.057087120707791</v>
      </c>
      <c r="S335" s="217" t="s">
        <v>64</v>
      </c>
      <c r="T335" s="14">
        <f t="shared" si="84"/>
        <v>1105.1817722561364</v>
      </c>
      <c r="U335" s="27" t="s">
        <v>300</v>
      </c>
      <c r="V335" s="90" t="s">
        <v>64</v>
      </c>
      <c r="W335" s="109" t="s">
        <v>64</v>
      </c>
      <c r="X335" s="183" t="s">
        <v>64</v>
      </c>
      <c r="Y335" s="104" t="s">
        <v>64</v>
      </c>
      <c r="Z335" s="104" t="s">
        <v>64</v>
      </c>
      <c r="AA335" s="57" t="s">
        <v>64</v>
      </c>
      <c r="AB335" s="47" t="s">
        <v>64</v>
      </c>
      <c r="AC335" s="57">
        <v>380</v>
      </c>
      <c r="AD335" s="27" t="s">
        <v>470</v>
      </c>
      <c r="AE335" s="28">
        <f t="shared" si="80"/>
        <v>1.6300377248</v>
      </c>
      <c r="AF335" s="197" t="s">
        <v>470</v>
      </c>
      <c r="AG335" s="84">
        <v>380</v>
      </c>
      <c r="AH335" s="157" t="s">
        <v>469</v>
      </c>
      <c r="AI335" s="8">
        <v>0.98917177802393219</v>
      </c>
      <c r="AJ335" s="9">
        <v>49.487039111898525</v>
      </c>
      <c r="AK335" s="9">
        <v>4.1723814444771135</v>
      </c>
      <c r="AL335" s="9">
        <v>11.908286381844814</v>
      </c>
      <c r="AM335" s="189">
        <v>13.4853814156863</v>
      </c>
      <c r="AN335" s="9">
        <v>0.25203005516623866</v>
      </c>
      <c r="AO335" s="9">
        <v>4.5364065799072817</v>
      </c>
      <c r="AP335" s="9">
        <v>8.4298240146665222</v>
      </c>
      <c r="AQ335" s="9">
        <v>3.3345335364451243</v>
      </c>
      <c r="AR335" s="9">
        <v>0.95019840996978933</v>
      </c>
      <c r="AS335" s="9">
        <v>0.45867895346969734</v>
      </c>
      <c r="AT335" s="190">
        <v>1721.7798008433949</v>
      </c>
      <c r="AU335" s="9">
        <v>0.32285752317502875</v>
      </c>
      <c r="AV335" s="6">
        <v>270.81879500316603</v>
      </c>
      <c r="AW335" s="27" t="s">
        <v>64</v>
      </c>
      <c r="AX335" s="6">
        <v>270.81879500316603</v>
      </c>
      <c r="AY335" s="8">
        <f t="shared" si="81"/>
        <v>2.6978459109741793</v>
      </c>
      <c r="AZ335" s="9">
        <f t="shared" si="82"/>
        <v>11.058012760862766</v>
      </c>
      <c r="BA335" s="123">
        <v>49.472799999999999</v>
      </c>
      <c r="BB335" s="121">
        <v>4.2050999999999998</v>
      </c>
      <c r="BC335" s="121">
        <v>12.0129</v>
      </c>
      <c r="BD335" s="121">
        <v>13.5291</v>
      </c>
      <c r="BE335" s="121">
        <v>0.2525</v>
      </c>
      <c r="BF335" s="121">
        <v>4.4160000000000004</v>
      </c>
      <c r="BG335" s="121">
        <v>8.3173999999999992</v>
      </c>
      <c r="BH335" s="121">
        <v>3.3677999999999999</v>
      </c>
      <c r="BI335" s="121">
        <v>0.96060000000000001</v>
      </c>
      <c r="BJ335" s="121">
        <v>0.4637</v>
      </c>
      <c r="BK335" s="121">
        <v>0.17406277040000001</v>
      </c>
      <c r="BL335" s="121">
        <f t="shared" si="85"/>
        <v>97.171962770399986</v>
      </c>
      <c r="BM335" s="121">
        <v>0.32639176566480799</v>
      </c>
      <c r="BN335" s="95">
        <v>273.78338223941302</v>
      </c>
      <c r="BO335" s="122" t="s">
        <v>64</v>
      </c>
      <c r="BP335" s="95">
        <v>273.78338223941302</v>
      </c>
      <c r="BQ335" s="194" t="s">
        <v>469</v>
      </c>
    </row>
    <row r="336" spans="11:69" ht="14.45" customHeight="1">
      <c r="K336" s="222"/>
      <c r="L336" s="207" t="str">
        <f t="shared" si="83"/>
        <v>'&lt;1130°C entrapment temp; original MagmaSat calculations used for saturation pressures</v>
      </c>
      <c r="M336" s="763" t="s">
        <v>459</v>
      </c>
      <c r="N336" s="15" t="s">
        <v>460</v>
      </c>
      <c r="O336" s="14" t="s">
        <v>1321</v>
      </c>
      <c r="P336" s="15" t="s">
        <v>405</v>
      </c>
      <c r="Q336" s="15" t="s">
        <v>490</v>
      </c>
      <c r="R336" s="217">
        <v>73.639901689657407</v>
      </c>
      <c r="S336" s="217" t="s">
        <v>64</v>
      </c>
      <c r="T336" s="14">
        <f t="shared" si="84"/>
        <v>1108.9833822242617</v>
      </c>
      <c r="U336" s="27" t="s">
        <v>300</v>
      </c>
      <c r="V336" s="90" t="s">
        <v>64</v>
      </c>
      <c r="W336" s="109" t="s">
        <v>64</v>
      </c>
      <c r="X336" s="183" t="s">
        <v>64</v>
      </c>
      <c r="Y336" s="104" t="s">
        <v>64</v>
      </c>
      <c r="Z336" s="104" t="s">
        <v>64</v>
      </c>
      <c r="AA336" s="57" t="s">
        <v>64</v>
      </c>
      <c r="AB336" s="47" t="s">
        <v>64</v>
      </c>
      <c r="AC336" s="57">
        <v>530</v>
      </c>
      <c r="AD336" s="27" t="s">
        <v>470</v>
      </c>
      <c r="AE336" s="28">
        <f t="shared" si="80"/>
        <v>2.2386084668000001</v>
      </c>
      <c r="AF336" s="197" t="s">
        <v>470</v>
      </c>
      <c r="AG336" s="84">
        <v>530</v>
      </c>
      <c r="AH336" s="157" t="s">
        <v>469</v>
      </c>
      <c r="AI336" s="8">
        <v>0.99234798439248684</v>
      </c>
      <c r="AJ336" s="9">
        <v>49.131317718208948</v>
      </c>
      <c r="AK336" s="9">
        <v>4.1740017668834826</v>
      </c>
      <c r="AL336" s="9">
        <v>11.870750215187384</v>
      </c>
      <c r="AM336" s="189">
        <v>14.406065399551801</v>
      </c>
      <c r="AN336" s="9">
        <v>0.20219881120947339</v>
      </c>
      <c r="AO336" s="9">
        <v>4.7255414041921266</v>
      </c>
      <c r="AP336" s="9">
        <v>8.6376387531345902</v>
      </c>
      <c r="AQ336" s="9">
        <v>2.8361103162476642</v>
      </c>
      <c r="AR336" s="9">
        <v>0.85897641529013669</v>
      </c>
      <c r="AS336" s="9">
        <v>0.47771631968654316</v>
      </c>
      <c r="AT336" s="190">
        <v>1903.1183911548628</v>
      </c>
      <c r="AU336" s="9">
        <v>0.48046076700709889</v>
      </c>
      <c r="AV336" s="6">
        <v>376.92532556896822</v>
      </c>
      <c r="AW336" s="27" t="s">
        <v>64</v>
      </c>
      <c r="AX336" s="6">
        <v>376.92532556896822</v>
      </c>
      <c r="AY336" s="8">
        <f t="shared" si="81"/>
        <v>2.8820352523510357</v>
      </c>
      <c r="AZ336" s="9">
        <f t="shared" si="82"/>
        <v>11.812973627632479</v>
      </c>
      <c r="BA336" s="123">
        <v>49.121899999999997</v>
      </c>
      <c r="BB336" s="121">
        <v>4.1971999999999996</v>
      </c>
      <c r="BC336" s="121">
        <v>11.9442</v>
      </c>
      <c r="BD336" s="121">
        <v>14.443099999999999</v>
      </c>
      <c r="BE336" s="121">
        <v>0.2019</v>
      </c>
      <c r="BF336" s="121">
        <v>4.6421000000000001</v>
      </c>
      <c r="BG336" s="121">
        <v>8.5655999999999999</v>
      </c>
      <c r="BH336" s="121">
        <v>2.8555999999999999</v>
      </c>
      <c r="BI336" s="121">
        <v>0.86560000000000004</v>
      </c>
      <c r="BJ336" s="121">
        <v>0.48139999999999999</v>
      </c>
      <c r="BK336" s="121">
        <v>0.19177933760000002</v>
      </c>
      <c r="BL336" s="121">
        <f t="shared" si="85"/>
        <v>97.510379337599986</v>
      </c>
      <c r="BM336" s="121">
        <v>0.48416560980998602</v>
      </c>
      <c r="BN336" s="95">
        <v>379.83180446496402</v>
      </c>
      <c r="BO336" s="122" t="s">
        <v>64</v>
      </c>
      <c r="BP336" s="95">
        <v>379.83180446496402</v>
      </c>
      <c r="BQ336" s="194" t="s">
        <v>469</v>
      </c>
    </row>
    <row r="337" spans="11:69" ht="14.45" customHeight="1">
      <c r="K337" s="222"/>
      <c r="L337" s="207" t="str">
        <f t="shared" si="83"/>
        <v>'&lt;1130°C entrapment temp; original MagmaSat calculations used for saturation pressures</v>
      </c>
      <c r="M337" s="763" t="s">
        <v>459</v>
      </c>
      <c r="N337" s="15" t="s">
        <v>460</v>
      </c>
      <c r="O337" s="14" t="s">
        <v>1322</v>
      </c>
      <c r="P337" s="15" t="s">
        <v>405</v>
      </c>
      <c r="Q337" s="15" t="s">
        <v>490</v>
      </c>
      <c r="R337" s="217">
        <v>77.403563874985807</v>
      </c>
      <c r="S337" s="217" t="s">
        <v>64</v>
      </c>
      <c r="T337" s="14">
        <f t="shared" si="84"/>
        <v>1116.5511428694228</v>
      </c>
      <c r="U337" s="27" t="s">
        <v>300</v>
      </c>
      <c r="V337" s="90" t="s">
        <v>64</v>
      </c>
      <c r="W337" s="109" t="s">
        <v>64</v>
      </c>
      <c r="X337" s="183" t="s">
        <v>64</v>
      </c>
      <c r="Y337" s="104" t="s">
        <v>64</v>
      </c>
      <c r="Z337" s="104" t="s">
        <v>64</v>
      </c>
      <c r="AA337" s="57" t="s">
        <v>64</v>
      </c>
      <c r="AB337" s="47" t="s">
        <v>64</v>
      </c>
      <c r="AC337" s="57">
        <v>510</v>
      </c>
      <c r="AD337" s="27" t="s">
        <v>470</v>
      </c>
      <c r="AE337" s="28">
        <f t="shared" si="80"/>
        <v>2.1585152484000001</v>
      </c>
      <c r="AF337" s="197" t="s">
        <v>470</v>
      </c>
      <c r="AG337" s="84">
        <v>510</v>
      </c>
      <c r="AH337" s="157" t="s">
        <v>469</v>
      </c>
      <c r="AI337" s="8">
        <v>0.98847181141196705</v>
      </c>
      <c r="AJ337" s="9">
        <v>49.855097231342874</v>
      </c>
      <c r="AK337" s="9">
        <v>3.6300947119117817</v>
      </c>
      <c r="AL337" s="9">
        <v>12.92411705926216</v>
      </c>
      <c r="AM337" s="189">
        <v>12.327652366652645</v>
      </c>
      <c r="AN337" s="9">
        <v>0.16096256153109365</v>
      </c>
      <c r="AO337" s="9">
        <v>5.1020469089265044</v>
      </c>
      <c r="AP337" s="9">
        <v>8.8117937931989818</v>
      </c>
      <c r="AQ337" s="9">
        <v>2.9528928982514793</v>
      </c>
      <c r="AR337" s="9">
        <v>0.78860281114446729</v>
      </c>
      <c r="AS337" s="9">
        <v>0.38649247826207911</v>
      </c>
      <c r="AT337" s="190">
        <v>1495.9682957935022</v>
      </c>
      <c r="AU337" s="9">
        <v>0.51865020033183085</v>
      </c>
      <c r="AV337" s="6">
        <v>329.32103351877845</v>
      </c>
      <c r="AW337" s="27" t="s">
        <v>64</v>
      </c>
      <c r="AX337" s="6">
        <v>329.32103351877845</v>
      </c>
      <c r="AY337" s="8">
        <f t="shared" si="81"/>
        <v>2.4662340281008972</v>
      </c>
      <c r="AZ337" s="9">
        <f t="shared" si="82"/>
        <v>10.10867494065517</v>
      </c>
      <c r="BA337" s="123">
        <v>49.841200000000001</v>
      </c>
      <c r="BB337" s="121">
        <v>3.6602000000000001</v>
      </c>
      <c r="BC337" s="121">
        <v>13.046200000000001</v>
      </c>
      <c r="BD337" s="121">
        <v>12.3727</v>
      </c>
      <c r="BE337" s="121">
        <v>0.16059999999999999</v>
      </c>
      <c r="BF337" s="121">
        <v>4.9678000000000004</v>
      </c>
      <c r="BG337" s="121">
        <v>8.7034000000000002</v>
      </c>
      <c r="BH337" s="121">
        <v>2.9842</v>
      </c>
      <c r="BI337" s="121">
        <v>0.79779999999999995</v>
      </c>
      <c r="BJ337" s="121">
        <v>0.39100000000000001</v>
      </c>
      <c r="BK337" s="121">
        <v>0.15134152319999999</v>
      </c>
      <c r="BL337" s="121">
        <f t="shared" si="85"/>
        <v>97.076441523200003</v>
      </c>
      <c r="BM337" s="121">
        <v>0.52469902969814897</v>
      </c>
      <c r="BN337" s="95">
        <v>333.16178541132598</v>
      </c>
      <c r="BO337" s="122" t="s">
        <v>64</v>
      </c>
      <c r="BP337" s="95">
        <v>333.16178541132598</v>
      </c>
      <c r="BQ337" s="194" t="s">
        <v>469</v>
      </c>
    </row>
    <row r="338" spans="11:69" ht="14.45" customHeight="1">
      <c r="K338" s="222"/>
      <c r="L338" s="207" t="str">
        <f t="shared" si="83"/>
        <v>'&lt;1130°C entrapment temp; original MagmaSat calculations used for saturation pressures</v>
      </c>
      <c r="M338" s="763" t="s">
        <v>459</v>
      </c>
      <c r="N338" s="15" t="s">
        <v>460</v>
      </c>
      <c r="O338" s="14" t="s">
        <v>1323</v>
      </c>
      <c r="P338" s="15" t="s">
        <v>405</v>
      </c>
      <c r="Q338" s="15" t="s">
        <v>490</v>
      </c>
      <c r="R338" s="217">
        <v>78.214694479774309</v>
      </c>
      <c r="S338" s="217" t="s">
        <v>64</v>
      </c>
      <c r="T338" s="14">
        <f t="shared" si="84"/>
        <v>1117.9057161075682</v>
      </c>
      <c r="U338" s="218" t="s">
        <v>1472</v>
      </c>
      <c r="V338" s="90" t="s">
        <v>462</v>
      </c>
      <c r="W338" s="109" t="s">
        <v>480</v>
      </c>
      <c r="X338" s="183" t="s">
        <v>64</v>
      </c>
      <c r="Y338" s="104" t="s">
        <v>64</v>
      </c>
      <c r="Z338" s="104" t="s">
        <v>64</v>
      </c>
      <c r="AA338" s="57" t="s">
        <v>64</v>
      </c>
      <c r="AB338" s="47" t="s">
        <v>64</v>
      </c>
      <c r="AC338" s="57">
        <v>560</v>
      </c>
      <c r="AD338" s="27" t="s">
        <v>470</v>
      </c>
      <c r="AE338" s="28">
        <f t="shared" si="80"/>
        <v>2.3581612544000001</v>
      </c>
      <c r="AF338" s="197" t="s">
        <v>470</v>
      </c>
      <c r="AG338" s="84">
        <v>560</v>
      </c>
      <c r="AH338" s="157" t="s">
        <v>469</v>
      </c>
      <c r="AI338" s="8">
        <v>0.96649647202582312</v>
      </c>
      <c r="AJ338" s="9">
        <v>50.638469548253134</v>
      </c>
      <c r="AK338" s="9">
        <v>3.4854286220057276</v>
      </c>
      <c r="AL338" s="9">
        <v>13.075009720813336</v>
      </c>
      <c r="AM338" s="189">
        <v>11.812723122103508</v>
      </c>
      <c r="AN338" s="9">
        <v>0.17512367620424221</v>
      </c>
      <c r="AO338" s="9">
        <v>5.1694386123168217</v>
      </c>
      <c r="AP338" s="9">
        <v>8.9295880709520219</v>
      </c>
      <c r="AQ338" s="9">
        <v>2.6036245889206291</v>
      </c>
      <c r="AR338" s="9">
        <v>0.73357082226759973</v>
      </c>
      <c r="AS338" s="9">
        <v>0.43308706911477135</v>
      </c>
      <c r="AT338" s="190">
        <v>1632.4893777211414</v>
      </c>
      <c r="AU338" s="9">
        <v>0.73233137193194131</v>
      </c>
      <c r="AV338" s="6">
        <v>332.30865928431592</v>
      </c>
      <c r="AW338" s="27" t="s">
        <v>64</v>
      </c>
      <c r="AX338" s="6">
        <v>332.30865928431592</v>
      </c>
      <c r="AY338" s="8">
        <f t="shared" si="81"/>
        <v>2.3632187915253868</v>
      </c>
      <c r="AZ338" s="9">
        <f t="shared" si="82"/>
        <v>9.6864329601248773</v>
      </c>
      <c r="BA338" s="123">
        <v>50.600499999999997</v>
      </c>
      <c r="BB338" s="121">
        <v>3.5733000000000001</v>
      </c>
      <c r="BC338" s="121">
        <v>13.4504</v>
      </c>
      <c r="BD338" s="121">
        <v>11.926600000000001</v>
      </c>
      <c r="BE338" s="121">
        <v>0.1744</v>
      </c>
      <c r="BF338" s="121">
        <v>4.7491000000000003</v>
      </c>
      <c r="BG338" s="121">
        <v>8.6255000000000006</v>
      </c>
      <c r="BH338" s="121">
        <v>2.6854</v>
      </c>
      <c r="BI338" s="121">
        <v>0.75900000000000001</v>
      </c>
      <c r="BJ338" s="121">
        <v>0.4481</v>
      </c>
      <c r="BK338" s="121">
        <v>0.16890795</v>
      </c>
      <c r="BL338" s="121">
        <f t="shared" si="85"/>
        <v>97.161207950000019</v>
      </c>
      <c r="BM338" s="121">
        <v>0.75771758421108304</v>
      </c>
      <c r="BN338" s="95">
        <v>343.82811412418403</v>
      </c>
      <c r="BO338" s="122" t="s">
        <v>64</v>
      </c>
      <c r="BP338" s="95">
        <v>343.82811412418403</v>
      </c>
      <c r="BQ338" s="194" t="s">
        <v>469</v>
      </c>
    </row>
    <row r="339" spans="11:69" ht="14.45" customHeight="1">
      <c r="K339" s="222"/>
      <c r="L339" s="207" t="str">
        <f t="shared" si="83"/>
        <v>'&lt;1130°C entrapment temp; original MagmaSat calculations used for saturation pressures</v>
      </c>
      <c r="M339" s="763" t="s">
        <v>459</v>
      </c>
      <c r="N339" s="15" t="s">
        <v>460</v>
      </c>
      <c r="O339" s="14" t="s">
        <v>1324</v>
      </c>
      <c r="P339" s="15" t="s">
        <v>405</v>
      </c>
      <c r="Q339" s="15" t="s">
        <v>490</v>
      </c>
      <c r="R339" s="217">
        <v>82.286833387689697</v>
      </c>
      <c r="S339" s="217" t="s">
        <v>64</v>
      </c>
      <c r="T339" s="14">
        <f t="shared" si="84"/>
        <v>1126.7319186162772</v>
      </c>
      <c r="U339" s="27" t="s">
        <v>300</v>
      </c>
      <c r="V339" s="90" t="s">
        <v>64</v>
      </c>
      <c r="W339" s="109" t="s">
        <v>64</v>
      </c>
      <c r="X339" s="183" t="s">
        <v>64</v>
      </c>
      <c r="Y339" s="104" t="s">
        <v>64</v>
      </c>
      <c r="Z339" s="104" t="s">
        <v>64</v>
      </c>
      <c r="AA339" s="57" t="s">
        <v>64</v>
      </c>
      <c r="AB339" s="47" t="s">
        <v>64</v>
      </c>
      <c r="AC339" s="57">
        <v>640</v>
      </c>
      <c r="AD339" s="27" t="s">
        <v>470</v>
      </c>
      <c r="AE339" s="28">
        <f t="shared" si="80"/>
        <v>2.6736029695999997</v>
      </c>
      <c r="AF339" s="197" t="s">
        <v>470</v>
      </c>
      <c r="AG339" s="84">
        <v>640</v>
      </c>
      <c r="AH339" s="157" t="s">
        <v>469</v>
      </c>
      <c r="AI339" s="8">
        <v>0.96650445486992032</v>
      </c>
      <c r="AJ339" s="9">
        <v>51.051216533431145</v>
      </c>
      <c r="AK339" s="9">
        <v>3.2465805898886213</v>
      </c>
      <c r="AL339" s="9">
        <v>13.739573107236099</v>
      </c>
      <c r="AM339" s="189">
        <v>9.6203664837045473</v>
      </c>
      <c r="AN339" s="9">
        <v>9.8789635380726729E-2</v>
      </c>
      <c r="AO339" s="9">
        <v>5.6085531649889111</v>
      </c>
      <c r="AP339" s="9">
        <v>9.1300510715822849</v>
      </c>
      <c r="AQ339" s="9">
        <v>2.9956540144096664</v>
      </c>
      <c r="AR339" s="9">
        <v>0.61015426235938064</v>
      </c>
      <c r="AS339" s="9">
        <v>0.35441718360079982</v>
      </c>
      <c r="AT339" s="190">
        <v>1189.4294921872849</v>
      </c>
      <c r="AU339" s="9">
        <v>0.55745870202327963</v>
      </c>
      <c r="AV339" s="6">
        <v>383.8231238665677</v>
      </c>
      <c r="AW339" s="27" t="s">
        <v>64</v>
      </c>
      <c r="AX339" s="6">
        <v>383.8231238665677</v>
      </c>
      <c r="AY339" s="8">
        <f t="shared" si="81"/>
        <v>1.9246223432690717</v>
      </c>
      <c r="AZ339" s="9">
        <f t="shared" si="82"/>
        <v>7.8887005166377291</v>
      </c>
      <c r="BA339" s="123">
        <v>51.0244</v>
      </c>
      <c r="BB339" s="121">
        <v>3.3294000000000001</v>
      </c>
      <c r="BC339" s="121">
        <v>14.132300000000001</v>
      </c>
      <c r="BD339" s="121">
        <v>9.7235999999999994</v>
      </c>
      <c r="BE339" s="121">
        <v>9.6799999999999997E-2</v>
      </c>
      <c r="BF339" s="121">
        <v>5.1986999999999997</v>
      </c>
      <c r="BG339" s="121">
        <v>8.7959999999999994</v>
      </c>
      <c r="BH339" s="121">
        <v>3.0905</v>
      </c>
      <c r="BI339" s="121">
        <v>0.63129999999999997</v>
      </c>
      <c r="BJ339" s="121">
        <v>0.36670000000000003</v>
      </c>
      <c r="BK339" s="121">
        <v>0.12306508120000001</v>
      </c>
      <c r="BL339" s="121">
        <f t="shared" si="85"/>
        <v>96.512765081199987</v>
      </c>
      <c r="BM339" s="121">
        <v>0.57677820232945198</v>
      </c>
      <c r="BN339" s="95">
        <v>397.125043689763</v>
      </c>
      <c r="BO339" s="122" t="s">
        <v>64</v>
      </c>
      <c r="BP339" s="95">
        <v>397.125043689763</v>
      </c>
      <c r="BQ339" s="194" t="s">
        <v>469</v>
      </c>
    </row>
    <row r="340" spans="11:69" ht="14.45" customHeight="1">
      <c r="K340" s="222"/>
      <c r="L340" s="20" t="str">
        <f t="shared" si="83"/>
        <v>-</v>
      </c>
      <c r="M340" s="763" t="s">
        <v>459</v>
      </c>
      <c r="N340" s="15" t="s">
        <v>460</v>
      </c>
      <c r="O340" s="14" t="s">
        <v>1325</v>
      </c>
      <c r="P340" s="15" t="s">
        <v>405</v>
      </c>
      <c r="Q340" s="15" t="s">
        <v>490</v>
      </c>
      <c r="R340" s="217">
        <v>81.342276447985398</v>
      </c>
      <c r="S340" s="217" t="s">
        <v>64</v>
      </c>
      <c r="T340" s="14">
        <f t="shared" si="84"/>
        <v>1131.5407626779136</v>
      </c>
      <c r="U340" s="27" t="s">
        <v>300</v>
      </c>
      <c r="V340" s="90" t="s">
        <v>64</v>
      </c>
      <c r="W340" s="109" t="s">
        <v>64</v>
      </c>
      <c r="X340" s="183" t="s">
        <v>64</v>
      </c>
      <c r="Y340" s="104" t="s">
        <v>64</v>
      </c>
      <c r="Z340" s="104" t="s">
        <v>64</v>
      </c>
      <c r="AA340" s="57" t="s">
        <v>64</v>
      </c>
      <c r="AB340" s="47" t="s">
        <v>64</v>
      </c>
      <c r="AC340" s="57">
        <v>554.9638228294549</v>
      </c>
      <c r="AD340" s="27" t="s">
        <v>470</v>
      </c>
      <c r="AE340" s="28">
        <f t="shared" si="80"/>
        <v>2.3381404364056011</v>
      </c>
      <c r="AF340" s="197" t="s">
        <v>470</v>
      </c>
      <c r="AG340" s="84">
        <v>390</v>
      </c>
      <c r="AH340" s="157" t="s">
        <v>469</v>
      </c>
      <c r="AI340" s="8">
        <v>0.95481774111661688</v>
      </c>
      <c r="AJ340" s="9">
        <v>50.320559505567488</v>
      </c>
      <c r="AK340" s="9">
        <v>2.9149400545212703</v>
      </c>
      <c r="AL340" s="9">
        <v>13.506966698016198</v>
      </c>
      <c r="AM340" s="189">
        <v>10.748316257475826</v>
      </c>
      <c r="AN340" s="9">
        <v>0.19100884844796628</v>
      </c>
      <c r="AO340" s="9">
        <v>5.8477991382046568</v>
      </c>
      <c r="AP340" s="9">
        <v>9.6036019508477644</v>
      </c>
      <c r="AQ340" s="9">
        <v>2.8702388275757706</v>
      </c>
      <c r="AR340" s="9">
        <v>0.56467921209636729</v>
      </c>
      <c r="AS340" s="9">
        <v>0.25484085510402504</v>
      </c>
      <c r="AT340" s="190">
        <v>1621.3644758110854</v>
      </c>
      <c r="AU340" s="9">
        <v>0.5221570297747673</v>
      </c>
      <c r="AV340" s="6">
        <v>228.43148724719461</v>
      </c>
      <c r="AW340" s="27" t="s">
        <v>64</v>
      </c>
      <c r="AX340" s="6">
        <v>228.43148724719461</v>
      </c>
      <c r="AY340" s="8">
        <f t="shared" si="81"/>
        <v>2.1502766715488351</v>
      </c>
      <c r="AZ340" s="9">
        <f t="shared" si="82"/>
        <v>8.8136193311301767</v>
      </c>
      <c r="BA340" s="123">
        <v>50.240299999999998</v>
      </c>
      <c r="BB340" s="121">
        <v>3.0169999999999999</v>
      </c>
      <c r="BC340" s="121">
        <v>14.034700000000001</v>
      </c>
      <c r="BD340" s="121">
        <v>10.924200000000001</v>
      </c>
      <c r="BE340" s="121">
        <v>0.19209999999999999</v>
      </c>
      <c r="BF340" s="121">
        <v>5.3060999999999998</v>
      </c>
      <c r="BG340" s="121">
        <v>9.1608000000000001</v>
      </c>
      <c r="BH340" s="121">
        <v>2.9950999999999999</v>
      </c>
      <c r="BI340" s="121">
        <v>0.59140000000000004</v>
      </c>
      <c r="BJ340" s="121">
        <v>0.26690000000000003</v>
      </c>
      <c r="BK340" s="121">
        <v>0.16980879239999999</v>
      </c>
      <c r="BL340" s="121">
        <f t="shared" si="85"/>
        <v>96.898408792399991</v>
      </c>
      <c r="BM340" s="121">
        <v>0.54686565539107801</v>
      </c>
      <c r="BN340" s="95">
        <v>239.24093301833099</v>
      </c>
      <c r="BO340" s="122" t="s">
        <v>64</v>
      </c>
      <c r="BP340" s="95">
        <v>239.24093301833099</v>
      </c>
      <c r="BQ340" s="194" t="s">
        <v>469</v>
      </c>
    </row>
    <row r="341" spans="11:69" ht="14.45" customHeight="1">
      <c r="K341" s="222"/>
      <c r="L341" s="207" t="str">
        <f t="shared" si="83"/>
        <v>'&lt;1130°C entrapment temp; original MagmaSat calculations used for saturation pressures</v>
      </c>
      <c r="M341" s="763" t="s">
        <v>459</v>
      </c>
      <c r="N341" s="15" t="s">
        <v>460</v>
      </c>
      <c r="O341" s="14" t="s">
        <v>1326</v>
      </c>
      <c r="P341" s="15" t="s">
        <v>405</v>
      </c>
      <c r="Q341" s="15" t="s">
        <v>490</v>
      </c>
      <c r="R341" s="217">
        <v>76.979818849296905</v>
      </c>
      <c r="S341" s="217" t="s">
        <v>64</v>
      </c>
      <c r="T341" s="14">
        <f t="shared" si="84"/>
        <v>1095.9720822284787</v>
      </c>
      <c r="U341" s="218" t="s">
        <v>1472</v>
      </c>
      <c r="V341" s="90" t="s">
        <v>462</v>
      </c>
      <c r="W341" s="109" t="s">
        <v>480</v>
      </c>
      <c r="X341" s="183" t="s">
        <v>64</v>
      </c>
      <c r="Y341" s="104" t="s">
        <v>64</v>
      </c>
      <c r="Z341" s="104" t="s">
        <v>64</v>
      </c>
      <c r="AA341" s="57" t="s">
        <v>64</v>
      </c>
      <c r="AB341" s="47" t="s">
        <v>64</v>
      </c>
      <c r="AC341" s="57">
        <v>110</v>
      </c>
      <c r="AD341" s="27" t="s">
        <v>470</v>
      </c>
      <c r="AE341" s="28">
        <f t="shared" si="80"/>
        <v>0.48573136039999998</v>
      </c>
      <c r="AF341" s="197" t="s">
        <v>470</v>
      </c>
      <c r="AG341" s="84">
        <v>110</v>
      </c>
      <c r="AH341" s="157" t="s">
        <v>469</v>
      </c>
      <c r="AI341" s="8">
        <v>1.016778429848441</v>
      </c>
      <c r="AJ341" s="9">
        <v>54.893131751564368</v>
      </c>
      <c r="AK341" s="9">
        <v>2.6493788595317018</v>
      </c>
      <c r="AL341" s="9">
        <v>14.190631775655056</v>
      </c>
      <c r="AM341" s="189">
        <v>10.165740226557601</v>
      </c>
      <c r="AN341" s="9">
        <v>0.17325704666148467</v>
      </c>
      <c r="AO341" s="9">
        <v>4.0782130461929755</v>
      </c>
      <c r="AP341" s="9">
        <v>6.6821492686259374</v>
      </c>
      <c r="AQ341" s="9">
        <v>2.9800655214147316</v>
      </c>
      <c r="AR341" s="9">
        <v>1.1916643197823729</v>
      </c>
      <c r="AS341" s="9">
        <v>0.64067208864750269</v>
      </c>
      <c r="AT341" s="190">
        <v>984.65390508886878</v>
      </c>
      <c r="AU341" s="9">
        <v>0.61493783328193319</v>
      </c>
      <c r="AV341" s="6">
        <v>39.254234994171128</v>
      </c>
      <c r="AW341" s="27" t="s">
        <v>64</v>
      </c>
      <c r="AX341" s="6">
        <v>39.254234994171128</v>
      </c>
      <c r="AY341" s="8">
        <f t="shared" si="81"/>
        <v>2.0337282170115323</v>
      </c>
      <c r="AZ341" s="9">
        <f t="shared" si="82"/>
        <v>8.3359069857772337</v>
      </c>
      <c r="BA341" s="123">
        <v>54.840200000000003</v>
      </c>
      <c r="BB341" s="121">
        <v>2.6194000000000002</v>
      </c>
      <c r="BC341" s="121">
        <v>13.9917</v>
      </c>
      <c r="BD341" s="121">
        <v>10.143800000000001</v>
      </c>
      <c r="BE341" s="121">
        <v>0.17319999999999999</v>
      </c>
      <c r="BF341" s="121">
        <v>4.2812999999999999</v>
      </c>
      <c r="BG341" s="121">
        <v>6.8818000000000001</v>
      </c>
      <c r="BH341" s="121">
        <v>2.9352</v>
      </c>
      <c r="BI341" s="121">
        <v>1.1719999999999999</v>
      </c>
      <c r="BJ341" s="121">
        <v>0.63009999999999999</v>
      </c>
      <c r="BK341" s="121">
        <v>9.6840557999999993E-2</v>
      </c>
      <c r="BL341" s="121">
        <f t="shared" si="85"/>
        <v>97.765540557999984</v>
      </c>
      <c r="BM341" s="121">
        <v>0.60479039998281103</v>
      </c>
      <c r="BN341" s="95">
        <v>38.606478896314002</v>
      </c>
      <c r="BO341" s="122" t="s">
        <v>64</v>
      </c>
      <c r="BP341" s="95">
        <v>38.606478896314002</v>
      </c>
      <c r="BQ341" s="194" t="s">
        <v>469</v>
      </c>
    </row>
    <row r="342" spans="11:69" ht="14.45" customHeight="1">
      <c r="K342" s="222"/>
      <c r="L342" s="207" t="str">
        <f t="shared" si="83"/>
        <v>'&lt;1130°C entrapment temp; original MagmaSat calculations used for saturation pressures</v>
      </c>
      <c r="M342" s="763" t="s">
        <v>459</v>
      </c>
      <c r="N342" s="15" t="s">
        <v>460</v>
      </c>
      <c r="O342" s="14" t="s">
        <v>1327</v>
      </c>
      <c r="P342" s="15" t="s">
        <v>405</v>
      </c>
      <c r="Q342" s="15" t="s">
        <v>490</v>
      </c>
      <c r="R342" s="217">
        <v>75.387799418505892</v>
      </c>
      <c r="S342" s="217" t="s">
        <v>64</v>
      </c>
      <c r="T342" s="14">
        <f t="shared" si="84"/>
        <v>1107.0119032335335</v>
      </c>
      <c r="U342" s="218" t="s">
        <v>1472</v>
      </c>
      <c r="V342" s="90" t="s">
        <v>462</v>
      </c>
      <c r="W342" s="109" t="s">
        <v>480</v>
      </c>
      <c r="X342" s="183" t="s">
        <v>64</v>
      </c>
      <c r="Y342" s="104" t="s">
        <v>64</v>
      </c>
      <c r="Z342" s="104" t="s">
        <v>64</v>
      </c>
      <c r="AA342" s="57" t="s">
        <v>64</v>
      </c>
      <c r="AB342" s="47" t="s">
        <v>64</v>
      </c>
      <c r="AC342" s="57">
        <v>110</v>
      </c>
      <c r="AD342" s="27" t="s">
        <v>470</v>
      </c>
      <c r="AE342" s="28">
        <f t="shared" si="80"/>
        <v>0.48573136039999998</v>
      </c>
      <c r="AF342" s="197" t="s">
        <v>470</v>
      </c>
      <c r="AG342" s="84">
        <v>110</v>
      </c>
      <c r="AH342" s="157" t="s">
        <v>469</v>
      </c>
      <c r="AI342" s="8">
        <v>0.95871529313643011</v>
      </c>
      <c r="AJ342" s="9">
        <v>51.830501383952502</v>
      </c>
      <c r="AK342" s="9">
        <v>3.3035437495863045</v>
      </c>
      <c r="AL342" s="9">
        <v>12.898950463941782</v>
      </c>
      <c r="AM342" s="189">
        <v>12.643484963172847</v>
      </c>
      <c r="AN342" s="9">
        <v>0.15404840733567216</v>
      </c>
      <c r="AO342" s="9">
        <v>4.6274578723150999</v>
      </c>
      <c r="AP342" s="9">
        <v>8.5101609778196288</v>
      </c>
      <c r="AQ342" s="9">
        <v>1.1493192238269572</v>
      </c>
      <c r="AR342" s="9">
        <v>1.0369464610563628</v>
      </c>
      <c r="AS342" s="9">
        <v>0.5597938596623615</v>
      </c>
      <c r="AT342" s="190">
        <v>1377.523960009232</v>
      </c>
      <c r="AU342" s="9">
        <v>0.55331633193564433</v>
      </c>
      <c r="AV342" s="6">
        <v>44.274307703635159</v>
      </c>
      <c r="AW342" s="27" t="s">
        <v>64</v>
      </c>
      <c r="AX342" s="6">
        <v>44.274307703635159</v>
      </c>
      <c r="AY342" s="8">
        <f t="shared" si="81"/>
        <v>2.5294185723721667</v>
      </c>
      <c r="AZ342" s="9">
        <f t="shared" si="82"/>
        <v>10.367657669801735</v>
      </c>
      <c r="BA342" s="123">
        <v>51.8919</v>
      </c>
      <c r="BB342" s="121">
        <v>3.4051</v>
      </c>
      <c r="BC342" s="121">
        <v>13.3667</v>
      </c>
      <c r="BD342" s="121">
        <v>12.7957</v>
      </c>
      <c r="BE342" s="121">
        <v>0.15229999999999999</v>
      </c>
      <c r="BF342" s="121">
        <v>4.1489000000000003</v>
      </c>
      <c r="BG342" s="121">
        <v>8.0771999999999995</v>
      </c>
      <c r="BH342" s="121">
        <v>1.1862999999999999</v>
      </c>
      <c r="BI342" s="121">
        <v>1.0815999999999999</v>
      </c>
      <c r="BJ342" s="121">
        <v>0.58389999999999997</v>
      </c>
      <c r="BK342" s="121">
        <v>0.14368436280000002</v>
      </c>
      <c r="BL342" s="121">
        <f t="shared" si="85"/>
        <v>96.833284362799986</v>
      </c>
      <c r="BM342" s="121">
        <v>0.57714353353587799</v>
      </c>
      <c r="BN342" s="95">
        <v>46.180871443900799</v>
      </c>
      <c r="BO342" s="122" t="s">
        <v>64</v>
      </c>
      <c r="BP342" s="95">
        <v>46.180871443900799</v>
      </c>
      <c r="BQ342" s="194" t="s">
        <v>469</v>
      </c>
    </row>
    <row r="343" spans="11:69" ht="14.45" customHeight="1">
      <c r="K343" s="222"/>
      <c r="L343" s="207" t="str">
        <f t="shared" si="83"/>
        <v>'&lt;1130°C entrapment temp; original MagmaSat calculations used for saturation pressures</v>
      </c>
      <c r="M343" s="763" t="s">
        <v>459</v>
      </c>
      <c r="N343" s="15" t="s">
        <v>460</v>
      </c>
      <c r="O343" s="14" t="s">
        <v>1328</v>
      </c>
      <c r="P343" s="15" t="s">
        <v>405</v>
      </c>
      <c r="Q343" s="15" t="s">
        <v>490</v>
      </c>
      <c r="R343" s="217">
        <v>73.682046553855997</v>
      </c>
      <c r="S343" s="217" t="s">
        <v>64</v>
      </c>
      <c r="T343" s="14">
        <f t="shared" si="84"/>
        <v>1104.4409578099189</v>
      </c>
      <c r="U343" s="27" t="s">
        <v>300</v>
      </c>
      <c r="V343" s="90" t="s">
        <v>64</v>
      </c>
      <c r="W343" s="109" t="s">
        <v>64</v>
      </c>
      <c r="X343" s="183" t="s">
        <v>64</v>
      </c>
      <c r="Y343" s="104" t="s">
        <v>64</v>
      </c>
      <c r="Z343" s="104" t="s">
        <v>64</v>
      </c>
      <c r="AA343" s="57" t="s">
        <v>64</v>
      </c>
      <c r="AB343" s="47" t="s">
        <v>64</v>
      </c>
      <c r="AC343" s="57">
        <v>600</v>
      </c>
      <c r="AD343" s="27" t="s">
        <v>470</v>
      </c>
      <c r="AE343" s="28">
        <f t="shared" si="80"/>
        <v>2.5164863999999998</v>
      </c>
      <c r="AF343" s="197" t="s">
        <v>470</v>
      </c>
      <c r="AG343" s="84">
        <v>600</v>
      </c>
      <c r="AH343" s="157" t="s">
        <v>469</v>
      </c>
      <c r="AI343" s="8">
        <v>1.0303396236463489</v>
      </c>
      <c r="AJ343" s="9">
        <v>49.324970655132283</v>
      </c>
      <c r="AK343" s="9">
        <v>4.3532625990271034</v>
      </c>
      <c r="AL343" s="9">
        <v>12.085480122106155</v>
      </c>
      <c r="AM343" s="189">
        <v>13.750004967669113</v>
      </c>
      <c r="AN343" s="9">
        <v>0.20741073962630915</v>
      </c>
      <c r="AO343" s="9">
        <v>4.4995501397969617</v>
      </c>
      <c r="AP343" s="9">
        <v>8.129891952765151</v>
      </c>
      <c r="AQ343" s="9">
        <v>2.7691902741354015</v>
      </c>
      <c r="AR343" s="9">
        <v>0.94379109526005567</v>
      </c>
      <c r="AS343" s="9">
        <v>0.50229056652759507</v>
      </c>
      <c r="AT343" s="190">
        <v>1790.8594333939332</v>
      </c>
      <c r="AU343" s="9">
        <v>0.516443823136987</v>
      </c>
      <c r="AV343" s="6">
        <v>417.78695079430315</v>
      </c>
      <c r="AW343" s="27" t="s">
        <v>64</v>
      </c>
      <c r="AX343" s="6">
        <v>417.78695079430315</v>
      </c>
      <c r="AY343" s="8">
        <f t="shared" si="81"/>
        <v>2.7507857237727897</v>
      </c>
      <c r="AZ343" s="9">
        <f t="shared" si="82"/>
        <v>11.275004073488674</v>
      </c>
      <c r="BA343" s="123">
        <v>49.369399999999999</v>
      </c>
      <c r="BB343" s="121">
        <v>4.2686999999999999</v>
      </c>
      <c r="BC343" s="121">
        <v>11.816800000000001</v>
      </c>
      <c r="BD343" s="121">
        <v>13.646000000000001</v>
      </c>
      <c r="BE343" s="121">
        <v>0.20730000000000001</v>
      </c>
      <c r="BF343" s="121">
        <v>4.8361000000000001</v>
      </c>
      <c r="BG343" s="121">
        <v>8.4167000000000005</v>
      </c>
      <c r="BH343" s="121">
        <v>2.6956000000000002</v>
      </c>
      <c r="BI343" s="121">
        <v>0.91600000000000004</v>
      </c>
      <c r="BJ343" s="121">
        <v>0.48749999999999999</v>
      </c>
      <c r="BK343" s="121">
        <v>0.1738125364</v>
      </c>
      <c r="BL343" s="121">
        <f t="shared" si="85"/>
        <v>96.833912536400021</v>
      </c>
      <c r="BM343" s="121">
        <v>0.50123649647608803</v>
      </c>
      <c r="BN343" s="95">
        <v>405.48469767256398</v>
      </c>
      <c r="BO343" s="122" t="s">
        <v>64</v>
      </c>
      <c r="BP343" s="95">
        <v>405.48469767256398</v>
      </c>
      <c r="BQ343" s="194" t="s">
        <v>469</v>
      </c>
    </row>
    <row r="344" spans="11:69" ht="14.45" customHeight="1">
      <c r="K344" s="222"/>
      <c r="L344" s="207" t="str">
        <f t="shared" si="83"/>
        <v>'&lt;1130°C entrapment temp; original MagmaSat calculations used for saturation pressures</v>
      </c>
      <c r="M344" s="763" t="s">
        <v>459</v>
      </c>
      <c r="N344" s="15" t="s">
        <v>460</v>
      </c>
      <c r="O344" s="14" t="s">
        <v>1329</v>
      </c>
      <c r="P344" s="15" t="s">
        <v>405</v>
      </c>
      <c r="Q344" s="15" t="s">
        <v>490</v>
      </c>
      <c r="R344" s="217">
        <v>81.004881228381691</v>
      </c>
      <c r="S344" s="217" t="s">
        <v>64</v>
      </c>
      <c r="T344" s="14">
        <f t="shared" si="84"/>
        <v>1127.0110514262014</v>
      </c>
      <c r="U344" s="27" t="s">
        <v>300</v>
      </c>
      <c r="V344" s="90" t="s">
        <v>64</v>
      </c>
      <c r="W344" s="109" t="s">
        <v>64</v>
      </c>
      <c r="X344" s="183" t="s">
        <v>64</v>
      </c>
      <c r="Y344" s="104" t="s">
        <v>64</v>
      </c>
      <c r="Z344" s="104" t="s">
        <v>64</v>
      </c>
      <c r="AA344" s="57" t="s">
        <v>64</v>
      </c>
      <c r="AB344" s="47" t="s">
        <v>64</v>
      </c>
      <c r="AC344" s="57">
        <v>430</v>
      </c>
      <c r="AD344" s="27" t="s">
        <v>470</v>
      </c>
      <c r="AE344" s="28">
        <f t="shared" si="80"/>
        <v>1.8349403587999999</v>
      </c>
      <c r="AF344" s="197" t="s">
        <v>470</v>
      </c>
      <c r="AG344" s="84">
        <v>430</v>
      </c>
      <c r="AH344" s="157" t="s">
        <v>469</v>
      </c>
      <c r="AI344" s="8">
        <v>0.97317485045828134</v>
      </c>
      <c r="AJ344" s="9">
        <v>50.481384379285331</v>
      </c>
      <c r="AK344" s="9">
        <v>2.9530870482513447</v>
      </c>
      <c r="AL344" s="9">
        <v>13.919489891688471</v>
      </c>
      <c r="AM344" s="189">
        <v>10.611555776036303</v>
      </c>
      <c r="AN344" s="9">
        <v>0.11896511107272044</v>
      </c>
      <c r="AO344" s="9">
        <v>5.6224403694627556</v>
      </c>
      <c r="AP344" s="9">
        <v>9.5702661063063612</v>
      </c>
      <c r="AQ344" s="9">
        <v>2.8831241162400127</v>
      </c>
      <c r="AR344" s="9">
        <v>0.59684813578606388</v>
      </c>
      <c r="AS344" s="9">
        <v>0.33642654580342785</v>
      </c>
      <c r="AT344" s="190">
        <v>1680.7849480251446</v>
      </c>
      <c r="AU344" s="9">
        <v>0.506907249549996</v>
      </c>
      <c r="AV344" s="6">
        <v>249.06273739372753</v>
      </c>
      <c r="AW344" s="27" t="s">
        <v>64</v>
      </c>
      <c r="AX344" s="6">
        <v>249.06273739372753</v>
      </c>
      <c r="AY344" s="8">
        <f t="shared" si="81"/>
        <v>2.1229167701666389</v>
      </c>
      <c r="AZ344" s="9">
        <f t="shared" si="82"/>
        <v>8.701475736349769</v>
      </c>
      <c r="BA344" s="123">
        <v>50.441600000000001</v>
      </c>
      <c r="BB344" s="121">
        <v>3.0116999999999998</v>
      </c>
      <c r="BC344" s="121">
        <v>14.2349</v>
      </c>
      <c r="BD344" s="121">
        <v>10.706</v>
      </c>
      <c r="BE344" s="121">
        <v>0.1181</v>
      </c>
      <c r="BF344" s="121">
        <v>5.2991999999999999</v>
      </c>
      <c r="BG344" s="121">
        <v>9.3106000000000009</v>
      </c>
      <c r="BH344" s="121">
        <v>2.956</v>
      </c>
      <c r="BI344" s="121">
        <v>0.61329999999999996</v>
      </c>
      <c r="BJ344" s="121">
        <v>0.34570000000000001</v>
      </c>
      <c r="BK344" s="121">
        <v>0.1727115068</v>
      </c>
      <c r="BL344" s="121">
        <f t="shared" si="85"/>
        <v>97.20981150679998</v>
      </c>
      <c r="BM344" s="121">
        <v>0.52087993160867896</v>
      </c>
      <c r="BN344" s="95">
        <v>255.92804548580401</v>
      </c>
      <c r="BO344" s="122" t="s">
        <v>64</v>
      </c>
      <c r="BP344" s="95">
        <v>255.92804548580401</v>
      </c>
      <c r="BQ344" s="194" t="s">
        <v>469</v>
      </c>
    </row>
    <row r="345" spans="11:69" ht="14.45" customHeight="1">
      <c r="K345" s="222"/>
      <c r="L345" s="207" t="str">
        <f t="shared" si="83"/>
        <v>'&lt;1130°C entrapment temp; original MagmaSat calculations used for saturation pressures</v>
      </c>
      <c r="M345" s="763" t="s">
        <v>459</v>
      </c>
      <c r="N345" s="15" t="s">
        <v>460</v>
      </c>
      <c r="O345" s="14" t="s">
        <v>1330</v>
      </c>
      <c r="P345" s="15" t="s">
        <v>405</v>
      </c>
      <c r="Q345" s="15" t="s">
        <v>490</v>
      </c>
      <c r="R345" s="217">
        <v>76.573257964323901</v>
      </c>
      <c r="S345" s="217" t="s">
        <v>64</v>
      </c>
      <c r="T345" s="14">
        <f t="shared" si="84"/>
        <v>1118.5298569793169</v>
      </c>
      <c r="U345" s="27" t="s">
        <v>300</v>
      </c>
      <c r="V345" s="90" t="s">
        <v>64</v>
      </c>
      <c r="W345" s="109" t="s">
        <v>64</v>
      </c>
      <c r="X345" s="183" t="s">
        <v>64</v>
      </c>
      <c r="Y345" s="104" t="s">
        <v>64</v>
      </c>
      <c r="Z345" s="104" t="s">
        <v>64</v>
      </c>
      <c r="AA345" s="57" t="s">
        <v>64</v>
      </c>
      <c r="AB345" s="47" t="s">
        <v>64</v>
      </c>
      <c r="AC345" s="57">
        <v>610</v>
      </c>
      <c r="AD345" s="27" t="s">
        <v>470</v>
      </c>
      <c r="AE345" s="28">
        <f t="shared" si="80"/>
        <v>2.5558778203999997</v>
      </c>
      <c r="AF345" s="197" t="s">
        <v>470</v>
      </c>
      <c r="AG345" s="84">
        <v>610</v>
      </c>
      <c r="AH345" s="157" t="s">
        <v>469</v>
      </c>
      <c r="AI345" s="8">
        <v>0.91246853372225578</v>
      </c>
      <c r="AJ345" s="9">
        <v>50.187934899651495</v>
      </c>
      <c r="AK345" s="9">
        <v>3.8739974454850303</v>
      </c>
      <c r="AL345" s="9">
        <v>11.665315785226863</v>
      </c>
      <c r="AM345" s="189">
        <v>13.12714259899489</v>
      </c>
      <c r="AN345" s="9">
        <v>0.22433400566562328</v>
      </c>
      <c r="AO345" s="9">
        <v>5.2004903969809444</v>
      </c>
      <c r="AP345" s="9">
        <v>9.2098438584408253</v>
      </c>
      <c r="AQ345" s="9">
        <v>2.3294476830173281</v>
      </c>
      <c r="AR345" s="9">
        <v>0.70077583389869247</v>
      </c>
      <c r="AS345" s="9">
        <v>0.38798162053870316</v>
      </c>
      <c r="AT345" s="190">
        <v>1467.7094250616003</v>
      </c>
      <c r="AU345" s="9">
        <v>0.43745968881637326</v>
      </c>
      <c r="AV345" s="6">
        <v>422.38146675706946</v>
      </c>
      <c r="AW345" s="27" t="s">
        <v>64</v>
      </c>
      <c r="AX345" s="6">
        <v>422.38146675706946</v>
      </c>
      <c r="AY345" s="8">
        <f t="shared" si="81"/>
        <v>2.6261777024918493</v>
      </c>
      <c r="AZ345" s="9">
        <f t="shared" si="82"/>
        <v>10.764256931175812</v>
      </c>
      <c r="BA345" s="123">
        <v>50.106499999999997</v>
      </c>
      <c r="BB345" s="121">
        <v>4.1332000000000004</v>
      </c>
      <c r="BC345" s="121">
        <v>12.544600000000001</v>
      </c>
      <c r="BD345" s="121">
        <v>13.5122</v>
      </c>
      <c r="BE345" s="121">
        <v>0.2271</v>
      </c>
      <c r="BF345" s="121">
        <v>4.0918999999999999</v>
      </c>
      <c r="BG345" s="121">
        <v>8.3697999999999997</v>
      </c>
      <c r="BH345" s="121">
        <v>2.5253999999999999</v>
      </c>
      <c r="BI345" s="121">
        <v>0.76800000000000002</v>
      </c>
      <c r="BJ345" s="121">
        <v>0.42520000000000002</v>
      </c>
      <c r="BK345" s="121">
        <v>0.16085041519999999</v>
      </c>
      <c r="BL345" s="121">
        <f t="shared" si="85"/>
        <v>96.864750415200007</v>
      </c>
      <c r="BM345" s="121">
        <v>0.47942441043071699</v>
      </c>
      <c r="BN345" s="95">
        <v>462.89976163236901</v>
      </c>
      <c r="BO345" s="122" t="s">
        <v>64</v>
      </c>
      <c r="BP345" s="95">
        <v>462.89976163236901</v>
      </c>
      <c r="BQ345" s="194" t="s">
        <v>469</v>
      </c>
    </row>
    <row r="346" spans="11:69" ht="14.45" customHeight="1">
      <c r="K346" s="222"/>
      <c r="L346" s="20" t="str">
        <f t="shared" si="83"/>
        <v>-</v>
      </c>
      <c r="M346" s="763" t="s">
        <v>459</v>
      </c>
      <c r="N346" s="15" t="s">
        <v>460</v>
      </c>
      <c r="O346" s="14" t="s">
        <v>1331</v>
      </c>
      <c r="P346" s="15" t="s">
        <v>405</v>
      </c>
      <c r="Q346" s="15" t="s">
        <v>490</v>
      </c>
      <c r="R346" s="217">
        <v>80.6265288792966</v>
      </c>
      <c r="S346" s="217" t="s">
        <v>64</v>
      </c>
      <c r="T346" s="14">
        <f t="shared" si="84"/>
        <v>1131.6460826073387</v>
      </c>
      <c r="U346" s="27" t="s">
        <v>300</v>
      </c>
      <c r="V346" s="90" t="s">
        <v>64</v>
      </c>
      <c r="W346" s="109" t="s">
        <v>64</v>
      </c>
      <c r="X346" s="183" t="s">
        <v>64</v>
      </c>
      <c r="Y346" s="104" t="s">
        <v>64</v>
      </c>
      <c r="Z346" s="104" t="s">
        <v>64</v>
      </c>
      <c r="AA346" s="57" t="s">
        <v>64</v>
      </c>
      <c r="AB346" s="47" t="s">
        <v>64</v>
      </c>
      <c r="AC346" s="57">
        <v>453.50777394703778</v>
      </c>
      <c r="AD346" s="27" t="s">
        <v>470</v>
      </c>
      <c r="AE346" s="28">
        <f t="shared" si="80"/>
        <v>1.9305604112657961</v>
      </c>
      <c r="AF346" s="197" t="s">
        <v>470</v>
      </c>
      <c r="AG346" s="84">
        <v>280</v>
      </c>
      <c r="AH346" s="157" t="s">
        <v>469</v>
      </c>
      <c r="AI346" s="8">
        <v>0.9336372086538548</v>
      </c>
      <c r="AJ346" s="9">
        <v>49.525857951479018</v>
      </c>
      <c r="AK346" s="9">
        <v>2.7815916497223747</v>
      </c>
      <c r="AL346" s="9">
        <v>13.076429227988175</v>
      </c>
      <c r="AM346" s="189">
        <v>11.298256474004258</v>
      </c>
      <c r="AN346" s="9">
        <v>0.22320404833500052</v>
      </c>
      <c r="AO346" s="9">
        <v>5.8530389356884962</v>
      </c>
      <c r="AP346" s="9">
        <v>10.077923818499494</v>
      </c>
      <c r="AQ346" s="9">
        <v>2.4784407500755976</v>
      </c>
      <c r="AR346" s="9">
        <v>0.46859251502336974</v>
      </c>
      <c r="AS346" s="9">
        <v>0.27028797190529097</v>
      </c>
      <c r="AT346" s="190">
        <v>791.53089583973804</v>
      </c>
      <c r="AU346" s="9">
        <v>0.20809584886505905</v>
      </c>
      <c r="AV346" s="6">
        <v>176.64025316411065</v>
      </c>
      <c r="AW346" s="27" t="s">
        <v>64</v>
      </c>
      <c r="AX346" s="6">
        <v>176.64025316411065</v>
      </c>
      <c r="AY346" s="8">
        <f t="shared" si="81"/>
        <v>2.2602961006408209</v>
      </c>
      <c r="AZ346" s="9">
        <f t="shared" si="82"/>
        <v>9.2645703086834921</v>
      </c>
      <c r="BA346" s="123">
        <v>49.350700000000003</v>
      </c>
      <c r="BB346" s="121">
        <v>2.9289999999999998</v>
      </c>
      <c r="BC346" s="121">
        <v>13.829700000000001</v>
      </c>
      <c r="BD346" s="121">
        <v>11.563700000000001</v>
      </c>
      <c r="BE346" s="121">
        <v>0.22700000000000001</v>
      </c>
      <c r="BF346" s="121">
        <v>5.0091000000000001</v>
      </c>
      <c r="BG346" s="121">
        <v>9.5175000000000001</v>
      </c>
      <c r="BH346" s="121">
        <v>2.6373000000000002</v>
      </c>
      <c r="BI346" s="121">
        <v>0.50190000000000001</v>
      </c>
      <c r="BJ346" s="121">
        <v>0.28949999999999998</v>
      </c>
      <c r="BK346" s="121">
        <v>8.4779279200000002E-2</v>
      </c>
      <c r="BL346" s="121">
        <f t="shared" si="85"/>
        <v>95.940179279200024</v>
      </c>
      <c r="BM346" s="121">
        <v>0.222887270276104</v>
      </c>
      <c r="BN346" s="95">
        <v>189.19581559821901</v>
      </c>
      <c r="BO346" s="122" t="s">
        <v>64</v>
      </c>
      <c r="BP346" s="95">
        <v>189.19581559821901</v>
      </c>
      <c r="BQ346" s="194" t="s">
        <v>469</v>
      </c>
    </row>
    <row r="347" spans="11:69" ht="14.45" customHeight="1">
      <c r="K347" s="222"/>
      <c r="L347" s="207" t="str">
        <f t="shared" si="83"/>
        <v>'&lt;1130°C entrapment temp; original MagmaSat calculations used for saturation pressures</v>
      </c>
      <c r="M347" s="763" t="s">
        <v>459</v>
      </c>
      <c r="N347" s="15" t="s">
        <v>460</v>
      </c>
      <c r="O347" s="14" t="s">
        <v>1332</v>
      </c>
      <c r="P347" s="15" t="s">
        <v>405</v>
      </c>
      <c r="Q347" s="15" t="s">
        <v>490</v>
      </c>
      <c r="R347" s="217">
        <v>76.8453059288356</v>
      </c>
      <c r="S347" s="217" t="s">
        <v>64</v>
      </c>
      <c r="T347" s="14">
        <f t="shared" si="84"/>
        <v>1094.5682360888711</v>
      </c>
      <c r="U347" s="218" t="s">
        <v>1472</v>
      </c>
      <c r="V347" s="90" t="s">
        <v>462</v>
      </c>
      <c r="W347" s="109" t="s">
        <v>480</v>
      </c>
      <c r="X347" s="183" t="s">
        <v>64</v>
      </c>
      <c r="Y347" s="104" t="s">
        <v>64</v>
      </c>
      <c r="Z347" s="104" t="s">
        <v>64</v>
      </c>
      <c r="AA347" s="57" t="s">
        <v>64</v>
      </c>
      <c r="AB347" s="47" t="s">
        <v>64</v>
      </c>
      <c r="AC347" s="57">
        <v>110</v>
      </c>
      <c r="AD347" s="27" t="s">
        <v>470</v>
      </c>
      <c r="AE347" s="28">
        <f t="shared" si="80"/>
        <v>0.48573136039999998</v>
      </c>
      <c r="AF347" s="197" t="s">
        <v>470</v>
      </c>
      <c r="AG347" s="84">
        <v>110</v>
      </c>
      <c r="AH347" s="157" t="s">
        <v>469</v>
      </c>
      <c r="AI347" s="8">
        <v>0.9854367318883458</v>
      </c>
      <c r="AJ347" s="9">
        <v>51.10526638817484</v>
      </c>
      <c r="AK347" s="9">
        <v>3.6775852629578138</v>
      </c>
      <c r="AL347" s="9">
        <v>12.876467017454221</v>
      </c>
      <c r="AM347" s="189">
        <v>10.029644900949753</v>
      </c>
      <c r="AN347" s="9">
        <v>0.168088597645146</v>
      </c>
      <c r="AO347" s="9">
        <v>4.0083699546701999</v>
      </c>
      <c r="AP347" s="9">
        <v>8.4941671563793388</v>
      </c>
      <c r="AQ347" s="9">
        <v>3.3699543487576422</v>
      </c>
      <c r="AR347" s="9">
        <v>0.92709887736055574</v>
      </c>
      <c r="AS347" s="9">
        <v>0.53992078540162469</v>
      </c>
      <c r="AT347" s="190">
        <v>1602.3403590374296</v>
      </c>
      <c r="AU347" s="9">
        <v>0.34808139951697459</v>
      </c>
      <c r="AV347" s="6">
        <v>60.412734340880327</v>
      </c>
      <c r="AW347" s="27" t="s">
        <v>64</v>
      </c>
      <c r="AX347" s="6">
        <v>60.412734340880327</v>
      </c>
      <c r="AY347" s="8">
        <f t="shared" si="81"/>
        <v>2.0065013847569588</v>
      </c>
      <c r="AZ347" s="9">
        <f t="shared" si="82"/>
        <v>8.2243088187787983</v>
      </c>
      <c r="BA347" s="123">
        <v>51.1158</v>
      </c>
      <c r="BB347" s="121">
        <v>3.7151999999999998</v>
      </c>
      <c r="BC347" s="121">
        <v>13.0274</v>
      </c>
      <c r="BD347" s="121">
        <v>10.0511</v>
      </c>
      <c r="BE347" s="121">
        <v>0.1676</v>
      </c>
      <c r="BF347" s="121">
        <v>3.8283999999999998</v>
      </c>
      <c r="BG347" s="121">
        <v>8.3476999999999997</v>
      </c>
      <c r="BH347" s="121">
        <v>3.4156</v>
      </c>
      <c r="BI347" s="121">
        <v>0.94079999999999997</v>
      </c>
      <c r="BJ347" s="121">
        <v>0.54790000000000005</v>
      </c>
      <c r="BK347" s="121">
        <v>0.16260205320000001</v>
      </c>
      <c r="BL347" s="121">
        <f t="shared" si="85"/>
        <v>95.320102053200003</v>
      </c>
      <c r="BM347" s="121">
        <v>0.35322551743120301</v>
      </c>
      <c r="BN347" s="95">
        <v>61.305543406235998</v>
      </c>
      <c r="BO347" s="122" t="s">
        <v>64</v>
      </c>
      <c r="BP347" s="95">
        <v>61.305543406235998</v>
      </c>
      <c r="BQ347" s="194" t="s">
        <v>469</v>
      </c>
    </row>
    <row r="348" spans="11:69" ht="14.45" customHeight="1">
      <c r="K348" s="222"/>
      <c r="L348" s="207" t="str">
        <f t="shared" si="83"/>
        <v>'&lt;1130°C entrapment temp; original MagmaSat calculations used for saturation pressures</v>
      </c>
      <c r="M348" s="763" t="s">
        <v>459</v>
      </c>
      <c r="N348" s="15" t="s">
        <v>460</v>
      </c>
      <c r="O348" s="14" t="s">
        <v>1333</v>
      </c>
      <c r="P348" s="15" t="s">
        <v>405</v>
      </c>
      <c r="Q348" s="15" t="s">
        <v>490</v>
      </c>
      <c r="R348" s="217">
        <v>77.765968302780394</v>
      </c>
      <c r="S348" s="217" t="s">
        <v>64</v>
      </c>
      <c r="T348" s="14">
        <f t="shared" si="84"/>
        <v>1111.6982248487964</v>
      </c>
      <c r="U348" s="218" t="s">
        <v>1472</v>
      </c>
      <c r="V348" s="90" t="s">
        <v>462</v>
      </c>
      <c r="W348" s="109" t="s">
        <v>480</v>
      </c>
      <c r="X348" s="183" t="s">
        <v>64</v>
      </c>
      <c r="Y348" s="104" t="s">
        <v>64</v>
      </c>
      <c r="Z348" s="104" t="s">
        <v>64</v>
      </c>
      <c r="AA348" s="57" t="s">
        <v>64</v>
      </c>
      <c r="AB348" s="47" t="s">
        <v>64</v>
      </c>
      <c r="AC348" s="57">
        <v>260</v>
      </c>
      <c r="AD348" s="27" t="s">
        <v>470</v>
      </c>
      <c r="AE348" s="28">
        <f t="shared" si="80"/>
        <v>1.1295481183999998</v>
      </c>
      <c r="AF348" s="197" t="s">
        <v>470</v>
      </c>
      <c r="AG348" s="84">
        <v>260</v>
      </c>
      <c r="AH348" s="157" t="s">
        <v>469</v>
      </c>
      <c r="AI348" s="8">
        <v>0.96836557306625981</v>
      </c>
      <c r="AJ348" s="9">
        <v>50.086820361404982</v>
      </c>
      <c r="AK348" s="9">
        <v>3.631911299047502</v>
      </c>
      <c r="AL348" s="9">
        <v>13.164283867811202</v>
      </c>
      <c r="AM348" s="189">
        <v>11.440866820673717</v>
      </c>
      <c r="AN348" s="9">
        <v>0.10342794282089965</v>
      </c>
      <c r="AO348" s="9">
        <v>4.8606082014326599</v>
      </c>
      <c r="AP348" s="9">
        <v>8.6926683439440851</v>
      </c>
      <c r="AQ348" s="9">
        <v>3.0841410046278113</v>
      </c>
      <c r="AR348" s="9">
        <v>0.75542198354898926</v>
      </c>
      <c r="AS348" s="9">
        <v>0.43247206493139162</v>
      </c>
      <c r="AT348" s="190">
        <v>1212.0745900349339</v>
      </c>
      <c r="AU348" s="9">
        <v>0.43597382406561008</v>
      </c>
      <c r="AV348" s="6">
        <v>161.88147075206604</v>
      </c>
      <c r="AW348" s="27" t="s">
        <v>64</v>
      </c>
      <c r="AX348" s="6">
        <v>161.88147075206604</v>
      </c>
      <c r="AY348" s="8">
        <f t="shared" si="81"/>
        <v>2.2888263089282392</v>
      </c>
      <c r="AZ348" s="9">
        <f t="shared" si="82"/>
        <v>9.3815107929524491</v>
      </c>
      <c r="BA348" s="123">
        <v>50.0458</v>
      </c>
      <c r="BB348" s="121">
        <v>3.7151999999999998</v>
      </c>
      <c r="BC348" s="121">
        <v>13.5093</v>
      </c>
      <c r="BD348" s="121">
        <v>11.541499999999999</v>
      </c>
      <c r="BE348" s="121">
        <v>0.1019</v>
      </c>
      <c r="BF348" s="121">
        <v>4.4795999999999996</v>
      </c>
      <c r="BG348" s="121">
        <v>8.3719000000000001</v>
      </c>
      <c r="BH348" s="121">
        <v>3.1745000000000001</v>
      </c>
      <c r="BI348" s="121">
        <v>0.78010000000000002</v>
      </c>
      <c r="BJ348" s="121">
        <v>0.4466</v>
      </c>
      <c r="BK348" s="121">
        <v>0.12516704680000001</v>
      </c>
      <c r="BL348" s="121">
        <f t="shared" si="85"/>
        <v>96.291567046800012</v>
      </c>
      <c r="BM348" s="121">
        <v>0.45021615409677401</v>
      </c>
      <c r="BN348" s="95">
        <v>167.16979130049</v>
      </c>
      <c r="BO348" s="122" t="s">
        <v>64</v>
      </c>
      <c r="BP348" s="95">
        <v>167.16979130049</v>
      </c>
      <c r="BQ348" s="194" t="s">
        <v>469</v>
      </c>
    </row>
    <row r="349" spans="11:69" ht="14.45" customHeight="1">
      <c r="K349" s="222"/>
      <c r="L349" s="207" t="str">
        <f t="shared" si="83"/>
        <v>'&lt;1130°C entrapment temp; original MagmaSat calculations used for saturation pressures</v>
      </c>
      <c r="M349" s="763" t="s">
        <v>459</v>
      </c>
      <c r="N349" s="15" t="s">
        <v>460</v>
      </c>
      <c r="O349" s="14" t="s">
        <v>1334</v>
      </c>
      <c r="P349" s="15" t="s">
        <v>405</v>
      </c>
      <c r="Q349" s="15" t="s">
        <v>490</v>
      </c>
      <c r="R349" s="217">
        <v>76.440564087270701</v>
      </c>
      <c r="S349" s="217" t="s">
        <v>64</v>
      </c>
      <c r="T349" s="14">
        <f t="shared" si="84"/>
        <v>1120.1294069856824</v>
      </c>
      <c r="U349" s="27" t="s">
        <v>300</v>
      </c>
      <c r="V349" s="90" t="s">
        <v>64</v>
      </c>
      <c r="W349" s="109" t="s">
        <v>64</v>
      </c>
      <c r="X349" s="183" t="s">
        <v>64</v>
      </c>
      <c r="Y349" s="104" t="s">
        <v>64</v>
      </c>
      <c r="Z349" s="104" t="s">
        <v>64</v>
      </c>
      <c r="AA349" s="57" t="s">
        <v>64</v>
      </c>
      <c r="AB349" s="47" t="s">
        <v>64</v>
      </c>
      <c r="AC349" s="57">
        <v>310</v>
      </c>
      <c r="AD349" s="27" t="s">
        <v>470</v>
      </c>
      <c r="AE349" s="28">
        <f t="shared" si="80"/>
        <v>1.3396108244</v>
      </c>
      <c r="AF349" s="197" t="s">
        <v>470</v>
      </c>
      <c r="AG349" s="84">
        <v>310</v>
      </c>
      <c r="AH349" s="157" t="s">
        <v>469</v>
      </c>
      <c r="AI349" s="8">
        <v>0.93842994111324562</v>
      </c>
      <c r="AJ349" s="9">
        <v>49.721567505033292</v>
      </c>
      <c r="AK349" s="9">
        <v>3.8415197913151524</v>
      </c>
      <c r="AL349" s="9">
        <v>11.961253801748665</v>
      </c>
      <c r="AM349" s="189">
        <v>13.486826211470142</v>
      </c>
      <c r="AN349" s="9">
        <v>0.15184623000911315</v>
      </c>
      <c r="AO349" s="9">
        <v>5.2800699992876865</v>
      </c>
      <c r="AP349" s="9">
        <v>8.9852460955599547</v>
      </c>
      <c r="AQ349" s="9">
        <v>2.7746763886768151</v>
      </c>
      <c r="AR349" s="9">
        <v>0.89845282562182138</v>
      </c>
      <c r="AS349" s="9">
        <v>0.53790804224611244</v>
      </c>
      <c r="AT349" s="190">
        <v>1521.6794646917667</v>
      </c>
      <c r="AU349" s="9">
        <v>0.30900371038405644</v>
      </c>
      <c r="AV349" s="6">
        <v>217.56727978904937</v>
      </c>
      <c r="AW349" s="27" t="s">
        <v>64</v>
      </c>
      <c r="AX349" s="6">
        <v>217.56727978904937</v>
      </c>
      <c r="AY349" s="8">
        <f t="shared" si="81"/>
        <v>2.6981349525872771</v>
      </c>
      <c r="AZ349" s="9">
        <f t="shared" si="82"/>
        <v>11.059197493405518</v>
      </c>
      <c r="BA349" s="123">
        <v>49.628999999999998</v>
      </c>
      <c r="BB349" s="121">
        <v>4.0157999999999996</v>
      </c>
      <c r="BC349" s="121">
        <v>12.5669</v>
      </c>
      <c r="BD349" s="121">
        <v>13.7844</v>
      </c>
      <c r="BE349" s="121">
        <v>0.1487</v>
      </c>
      <c r="BF349" s="121">
        <v>4.5530999999999997</v>
      </c>
      <c r="BG349" s="121">
        <v>8.3797999999999995</v>
      </c>
      <c r="BH349" s="121">
        <v>2.9376000000000002</v>
      </c>
      <c r="BI349" s="121">
        <v>0.95740000000000003</v>
      </c>
      <c r="BJ349" s="121">
        <v>0.57320000000000004</v>
      </c>
      <c r="BK349" s="121">
        <v>0.16215163199999999</v>
      </c>
      <c r="BL349" s="121">
        <f t="shared" si="85"/>
        <v>97.708051632000021</v>
      </c>
      <c r="BM349" s="121">
        <v>0.32927733530911202</v>
      </c>
      <c r="BN349" s="95">
        <v>231.841792612619</v>
      </c>
      <c r="BO349" s="122" t="s">
        <v>64</v>
      </c>
      <c r="BP349" s="95">
        <v>231.841792612619</v>
      </c>
      <c r="BQ349" s="194" t="s">
        <v>469</v>
      </c>
    </row>
    <row r="350" spans="11:69" ht="14.45" customHeight="1">
      <c r="K350" s="222"/>
      <c r="L350" s="207" t="str">
        <f t="shared" si="83"/>
        <v>'&lt;1130°C entrapment temp; original MagmaSat calculations used for saturation pressures</v>
      </c>
      <c r="M350" s="763" t="s">
        <v>459</v>
      </c>
      <c r="N350" s="15" t="s">
        <v>460</v>
      </c>
      <c r="O350" s="14" t="s">
        <v>1335</v>
      </c>
      <c r="P350" s="15" t="s">
        <v>405</v>
      </c>
      <c r="Q350" s="15" t="s">
        <v>490</v>
      </c>
      <c r="R350" s="217">
        <v>75.684052672661295</v>
      </c>
      <c r="S350" s="217" t="s">
        <v>64</v>
      </c>
      <c r="T350" s="14">
        <f t="shared" si="84"/>
        <v>1110.2261909171389</v>
      </c>
      <c r="U350" s="27" t="s">
        <v>300</v>
      </c>
      <c r="V350" s="90" t="s">
        <v>64</v>
      </c>
      <c r="W350" s="109" t="s">
        <v>64</v>
      </c>
      <c r="X350" s="183" t="s">
        <v>64</v>
      </c>
      <c r="Y350" s="104" t="s">
        <v>64</v>
      </c>
      <c r="Z350" s="104" t="s">
        <v>64</v>
      </c>
      <c r="AA350" s="57" t="s">
        <v>64</v>
      </c>
      <c r="AB350" s="47" t="s">
        <v>64</v>
      </c>
      <c r="AC350" s="57">
        <v>660</v>
      </c>
      <c r="AD350" s="27" t="s">
        <v>470</v>
      </c>
      <c r="AE350" s="28">
        <f t="shared" si="80"/>
        <v>2.7517162464</v>
      </c>
      <c r="AF350" s="197" t="s">
        <v>470</v>
      </c>
      <c r="AG350" s="84">
        <v>660</v>
      </c>
      <c r="AH350" s="157" t="s">
        <v>469</v>
      </c>
      <c r="AI350" s="8">
        <v>1.0047681094213334</v>
      </c>
      <c r="AJ350" s="9">
        <v>50.815784201511732</v>
      </c>
      <c r="AK350" s="9">
        <v>3.8295887624942044</v>
      </c>
      <c r="AL350" s="9">
        <v>12.33629051663755</v>
      </c>
      <c r="AM350" s="189">
        <v>12.919552073986241</v>
      </c>
      <c r="AN350" s="9">
        <v>0.20712431735804882</v>
      </c>
      <c r="AO350" s="9">
        <v>4.7873726824447189</v>
      </c>
      <c r="AP350" s="9">
        <v>8.0776853128054693</v>
      </c>
      <c r="AQ350" s="9">
        <v>3.0701521146223349</v>
      </c>
      <c r="AR350" s="9">
        <v>0.79768540206959671</v>
      </c>
      <c r="AS350" s="9">
        <v>0.44249987538915525</v>
      </c>
      <c r="AT350" s="190">
        <v>1616.1736758014049</v>
      </c>
      <c r="AU350" s="9">
        <v>0.59811399828513823</v>
      </c>
      <c r="AV350" s="6">
        <v>440.17937347931394</v>
      </c>
      <c r="AW350" s="27" t="s">
        <v>64</v>
      </c>
      <c r="AX350" s="6">
        <v>440.17937347931394</v>
      </c>
      <c r="AY350" s="8">
        <f t="shared" si="81"/>
        <v>2.5846477500353231</v>
      </c>
      <c r="AZ350" s="9">
        <f t="shared" si="82"/>
        <v>10.594032700668718</v>
      </c>
      <c r="BA350" s="123">
        <v>50.815300000000001</v>
      </c>
      <c r="BB350" s="121">
        <v>3.8170000000000002</v>
      </c>
      <c r="BC350" s="121">
        <v>12.290699999999999</v>
      </c>
      <c r="BD350" s="121">
        <v>12.904299999999999</v>
      </c>
      <c r="BE350" s="121">
        <v>0.20710000000000001</v>
      </c>
      <c r="BF350" s="121">
        <v>4.8413000000000004</v>
      </c>
      <c r="BG350" s="121">
        <v>8.1251999999999995</v>
      </c>
      <c r="BH350" s="121">
        <v>3.0569999999999999</v>
      </c>
      <c r="BI350" s="121">
        <v>0.79390000000000005</v>
      </c>
      <c r="BJ350" s="121">
        <v>0.44040000000000001</v>
      </c>
      <c r="BK350" s="121">
        <v>0.16085041519999999</v>
      </c>
      <c r="BL350" s="121">
        <f t="shared" si="85"/>
        <v>97.453050415199996</v>
      </c>
      <c r="BM350" s="121">
        <v>0.59527565880808497</v>
      </c>
      <c r="BN350" s="95">
        <v>438.09050999122798</v>
      </c>
      <c r="BO350" s="122" t="s">
        <v>64</v>
      </c>
      <c r="BP350" s="95">
        <v>438.09050999122798</v>
      </c>
      <c r="BQ350" s="194" t="s">
        <v>469</v>
      </c>
    </row>
    <row r="351" spans="11:69" ht="14.45" customHeight="1">
      <c r="K351" s="222"/>
      <c r="L351" s="207" t="str">
        <f t="shared" si="83"/>
        <v>'&lt;1130°C entrapment temp; original MagmaSat calculations used for saturation pressures</v>
      </c>
      <c r="M351" s="763" t="s">
        <v>459</v>
      </c>
      <c r="N351" s="15" t="s">
        <v>460</v>
      </c>
      <c r="O351" s="14" t="s">
        <v>1336</v>
      </c>
      <c r="P351" s="15" t="s">
        <v>405</v>
      </c>
      <c r="Q351" s="15" t="s">
        <v>490</v>
      </c>
      <c r="R351" s="217">
        <v>75.649497365423599</v>
      </c>
      <c r="S351" s="217" t="s">
        <v>64</v>
      </c>
      <c r="T351" s="14">
        <f t="shared" si="84"/>
        <v>1112.2833001272911</v>
      </c>
      <c r="U351" s="27" t="s">
        <v>300</v>
      </c>
      <c r="V351" s="90" t="s">
        <v>64</v>
      </c>
      <c r="W351" s="109" t="s">
        <v>64</v>
      </c>
      <c r="X351" s="183" t="s">
        <v>64</v>
      </c>
      <c r="Y351" s="104" t="s">
        <v>64</v>
      </c>
      <c r="Z351" s="104" t="s">
        <v>64</v>
      </c>
      <c r="AA351" s="57" t="s">
        <v>64</v>
      </c>
      <c r="AB351" s="47" t="s">
        <v>64</v>
      </c>
      <c r="AC351" s="57">
        <v>650</v>
      </c>
      <c r="AD351" s="27" t="s">
        <v>470</v>
      </c>
      <c r="AE351" s="28">
        <f t="shared" si="80"/>
        <v>2.7126963499999999</v>
      </c>
      <c r="AF351" s="197" t="s">
        <v>470</v>
      </c>
      <c r="AG351" s="84">
        <v>650</v>
      </c>
      <c r="AH351" s="157" t="s">
        <v>469</v>
      </c>
      <c r="AI351" s="8">
        <v>1.0152353665256186</v>
      </c>
      <c r="AJ351" s="9">
        <v>51.988464424018524</v>
      </c>
      <c r="AK351" s="9">
        <v>4.008196704526382</v>
      </c>
      <c r="AL351" s="9">
        <v>11.290588238435832</v>
      </c>
      <c r="AM351" s="189">
        <v>13.240479666812014</v>
      </c>
      <c r="AN351" s="9">
        <v>0.21006038804703342</v>
      </c>
      <c r="AO351" s="9">
        <v>4.8897164242433337</v>
      </c>
      <c r="AP351" s="9">
        <v>8.0159049258130874</v>
      </c>
      <c r="AQ351" s="9">
        <v>2.5210711301392008</v>
      </c>
      <c r="AR351" s="9">
        <v>0.86447291459656428</v>
      </c>
      <c r="AS351" s="9">
        <v>0.42558666564753933</v>
      </c>
      <c r="AT351" s="190">
        <v>1611.1623113368828</v>
      </c>
      <c r="AU351" s="9">
        <v>0.61152743539286347</v>
      </c>
      <c r="AV351" s="6">
        <v>456.54345023362509</v>
      </c>
      <c r="AW351" s="27" t="s">
        <v>64</v>
      </c>
      <c r="AX351" s="6">
        <v>456.54345023362509</v>
      </c>
      <c r="AY351" s="8">
        <f t="shared" si="81"/>
        <v>2.6488515843456137</v>
      </c>
      <c r="AZ351" s="9">
        <f t="shared" si="82"/>
        <v>10.857193326785852</v>
      </c>
      <c r="BA351" s="123">
        <v>51.956800000000001</v>
      </c>
      <c r="BB351" s="121">
        <v>3.9664000000000001</v>
      </c>
      <c r="BC351" s="121">
        <v>11.164300000000001</v>
      </c>
      <c r="BD351" s="121">
        <v>13.1808</v>
      </c>
      <c r="BE351" s="121">
        <v>0.21010000000000001</v>
      </c>
      <c r="BF351" s="121">
        <v>5.0548000000000002</v>
      </c>
      <c r="BG351" s="121">
        <v>8.1689000000000007</v>
      </c>
      <c r="BH351" s="121">
        <v>2.4874999999999998</v>
      </c>
      <c r="BI351" s="121">
        <v>0.85150000000000003</v>
      </c>
      <c r="BJ351" s="121">
        <v>0.41920000000000002</v>
      </c>
      <c r="BK351" s="121">
        <v>0.1586984028</v>
      </c>
      <c r="BL351" s="121">
        <f t="shared" si="85"/>
        <v>97.618998402800003</v>
      </c>
      <c r="BM351" s="121">
        <v>0.60235040617788804</v>
      </c>
      <c r="BN351" s="95">
        <v>449.692224371603</v>
      </c>
      <c r="BO351" s="122" t="s">
        <v>64</v>
      </c>
      <c r="BP351" s="95">
        <v>449.692224371603</v>
      </c>
      <c r="BQ351" s="194" t="s">
        <v>469</v>
      </c>
    </row>
    <row r="352" spans="11:69" ht="14.45" customHeight="1">
      <c r="K352" s="222"/>
      <c r="L352" s="207" t="str">
        <f t="shared" si="83"/>
        <v>'&lt;1130°C entrapment temp; original MagmaSat calculations used for saturation pressures</v>
      </c>
      <c r="M352" s="763" t="s">
        <v>459</v>
      </c>
      <c r="N352" s="15" t="s">
        <v>460</v>
      </c>
      <c r="O352" s="14" t="s">
        <v>1337</v>
      </c>
      <c r="P352" s="15" t="s">
        <v>405</v>
      </c>
      <c r="Q352" s="15" t="s">
        <v>490</v>
      </c>
      <c r="R352" s="217">
        <v>71.275856884747498</v>
      </c>
      <c r="S352" s="217" t="s">
        <v>64</v>
      </c>
      <c r="T352" s="14">
        <f t="shared" si="84"/>
        <v>1108.749975214266</v>
      </c>
      <c r="U352" s="218" t="s">
        <v>1472</v>
      </c>
      <c r="V352" s="90" t="s">
        <v>462</v>
      </c>
      <c r="W352" s="109" t="s">
        <v>480</v>
      </c>
      <c r="X352" s="183" t="s">
        <v>64</v>
      </c>
      <c r="Y352" s="104" t="s">
        <v>64</v>
      </c>
      <c r="Z352" s="104" t="s">
        <v>64</v>
      </c>
      <c r="AA352" s="57" t="s">
        <v>64</v>
      </c>
      <c r="AB352" s="47" t="s">
        <v>64</v>
      </c>
      <c r="AC352" s="57">
        <v>520</v>
      </c>
      <c r="AD352" s="27" t="s">
        <v>470</v>
      </c>
      <c r="AE352" s="28">
        <f t="shared" si="80"/>
        <v>2.1986012671999999</v>
      </c>
      <c r="AF352" s="197" t="s">
        <v>470</v>
      </c>
      <c r="AG352" s="84">
        <v>520</v>
      </c>
      <c r="AH352" s="157" t="s">
        <v>469</v>
      </c>
      <c r="AI352" s="8">
        <v>0.94619708923837265</v>
      </c>
      <c r="AJ352" s="9">
        <v>49.005575960397252</v>
      </c>
      <c r="AK352" s="9">
        <v>4.1029725753560404</v>
      </c>
      <c r="AL352" s="9">
        <v>11.009359854482195</v>
      </c>
      <c r="AM352" s="189">
        <v>16.383719233838345</v>
      </c>
      <c r="AN352" s="9">
        <v>0.25092651127534937</v>
      </c>
      <c r="AO352" s="9">
        <v>4.7139291151376126</v>
      </c>
      <c r="AP352" s="9">
        <v>8.9673899388728131</v>
      </c>
      <c r="AQ352" s="9">
        <v>1.7454146599663414</v>
      </c>
      <c r="AR352" s="9">
        <v>0.58919692746873464</v>
      </c>
      <c r="AS352" s="9">
        <v>0.29180718232111413</v>
      </c>
      <c r="AT352" s="190">
        <v>1381.7937026525799</v>
      </c>
      <c r="AU352" s="9">
        <v>0.68544443482686557</v>
      </c>
      <c r="AV352" s="6">
        <v>342.45934563783084</v>
      </c>
      <c r="AW352" s="27" t="s">
        <v>64</v>
      </c>
      <c r="AX352" s="6">
        <v>342.45934563783084</v>
      </c>
      <c r="AY352" s="8">
        <f t="shared" si="81"/>
        <v>3.2776788864232751</v>
      </c>
      <c r="AZ352" s="9">
        <f t="shared" si="82"/>
        <v>13.434649771747445</v>
      </c>
      <c r="BA352" s="123">
        <v>48.899099999999997</v>
      </c>
      <c r="BB352" s="121">
        <v>4.2817999999999996</v>
      </c>
      <c r="BC352" s="121">
        <v>11.512600000000001</v>
      </c>
      <c r="BD352" s="121">
        <v>16.689699999999998</v>
      </c>
      <c r="BE352" s="121">
        <v>0.2485</v>
      </c>
      <c r="BF352" s="121">
        <v>4.1070000000000002</v>
      </c>
      <c r="BG352" s="121">
        <v>8.4614999999999991</v>
      </c>
      <c r="BH352" s="121">
        <v>1.8272999999999999</v>
      </c>
      <c r="BI352" s="121">
        <v>0.62270000000000003</v>
      </c>
      <c r="BJ352" s="121">
        <v>0.30840000000000001</v>
      </c>
      <c r="BK352" s="121">
        <v>0.14603656240000001</v>
      </c>
      <c r="BL352" s="121">
        <f t="shared" si="85"/>
        <v>97.104636562400003</v>
      </c>
      <c r="BM352" s="121">
        <v>0.72442035874217703</v>
      </c>
      <c r="BN352" s="95">
        <v>361.93236011060702</v>
      </c>
      <c r="BO352" s="122" t="s">
        <v>64</v>
      </c>
      <c r="BP352" s="95">
        <v>361.93236011060702</v>
      </c>
      <c r="BQ352" s="194" t="s">
        <v>469</v>
      </c>
    </row>
    <row r="353" spans="11:69" ht="14.45" customHeight="1">
      <c r="K353" s="222"/>
      <c r="L353" s="207" t="str">
        <f t="shared" si="83"/>
        <v>'&lt;1130°C entrapment temp; original MagmaSat calculations used for saturation pressures</v>
      </c>
      <c r="M353" s="763" t="s">
        <v>459</v>
      </c>
      <c r="N353" s="15" t="s">
        <v>460</v>
      </c>
      <c r="O353" s="14" t="s">
        <v>1338</v>
      </c>
      <c r="P353" s="15" t="s">
        <v>405</v>
      </c>
      <c r="Q353" s="15" t="s">
        <v>490</v>
      </c>
      <c r="R353" s="217">
        <v>72.491854270649696</v>
      </c>
      <c r="S353" s="217" t="s">
        <v>64</v>
      </c>
      <c r="T353" s="14">
        <f t="shared" si="84"/>
        <v>1101.0736107222499</v>
      </c>
      <c r="U353" s="218" t="s">
        <v>1472</v>
      </c>
      <c r="V353" s="90" t="s">
        <v>462</v>
      </c>
      <c r="W353" s="109" t="s">
        <v>480</v>
      </c>
      <c r="X353" s="183" t="s">
        <v>64</v>
      </c>
      <c r="Y353" s="104" t="s">
        <v>64</v>
      </c>
      <c r="Z353" s="104" t="s">
        <v>64</v>
      </c>
      <c r="AA353" s="57" t="s">
        <v>64</v>
      </c>
      <c r="AB353" s="47" t="s">
        <v>64</v>
      </c>
      <c r="AC353" s="57">
        <v>620</v>
      </c>
      <c r="AD353" s="27" t="s">
        <v>470</v>
      </c>
      <c r="AE353" s="28">
        <f t="shared" si="80"/>
        <v>2.5951941152</v>
      </c>
      <c r="AF353" s="197" t="s">
        <v>470</v>
      </c>
      <c r="AG353" s="84">
        <v>620</v>
      </c>
      <c r="AH353" s="157" t="s">
        <v>469</v>
      </c>
      <c r="AI353" s="8">
        <v>0.97616370648315287</v>
      </c>
      <c r="AJ353" s="9">
        <v>48.945027320344117</v>
      </c>
      <c r="AK353" s="9">
        <v>3.7035317084988768</v>
      </c>
      <c r="AL353" s="9">
        <v>11.933459214633483</v>
      </c>
      <c r="AM353" s="189">
        <v>14.09246230617981</v>
      </c>
      <c r="AN353" s="9">
        <v>0.2737749269460048</v>
      </c>
      <c r="AO353" s="9">
        <v>4.3320204339427759</v>
      </c>
      <c r="AP353" s="9">
        <v>8.8537825663671388</v>
      </c>
      <c r="AQ353" s="9">
        <v>2.9341272559973195</v>
      </c>
      <c r="AR353" s="9">
        <v>0.74725331731285349</v>
      </c>
      <c r="AS353" s="9">
        <v>0.44366640459659301</v>
      </c>
      <c r="AT353" s="190">
        <v>1649.7951826604231</v>
      </c>
      <c r="AU353" s="9">
        <v>0.78282345567332545</v>
      </c>
      <c r="AV353" s="6">
        <v>387.2024241274238</v>
      </c>
      <c r="AW353" s="27" t="s">
        <v>64</v>
      </c>
      <c r="AX353" s="6">
        <v>387.2024241274238</v>
      </c>
      <c r="AY353" s="8">
        <f t="shared" si="81"/>
        <v>2.8192967359499836</v>
      </c>
      <c r="AZ353" s="9">
        <f t="shared" si="82"/>
        <v>11.555819091067445</v>
      </c>
      <c r="BA353" s="123">
        <v>48.8889</v>
      </c>
      <c r="BB353" s="121">
        <v>3.7707000000000002</v>
      </c>
      <c r="BC353" s="121">
        <v>12.173299999999999</v>
      </c>
      <c r="BD353" s="121">
        <v>14.188800000000001</v>
      </c>
      <c r="BE353" s="121">
        <v>0.27489999999999998</v>
      </c>
      <c r="BF353" s="121">
        <v>4.0678999999999998</v>
      </c>
      <c r="BG353" s="121">
        <v>8.6149000000000004</v>
      </c>
      <c r="BH353" s="121">
        <v>2.9988999999999999</v>
      </c>
      <c r="BI353" s="121">
        <v>0.76549999999999996</v>
      </c>
      <c r="BJ353" s="121">
        <v>0.45450000000000002</v>
      </c>
      <c r="BK353" s="121">
        <v>0.16900804359999999</v>
      </c>
      <c r="BL353" s="121">
        <f t="shared" si="85"/>
        <v>96.367308043600005</v>
      </c>
      <c r="BM353" s="121">
        <v>0.80193870195565997</v>
      </c>
      <c r="BN353" s="95">
        <v>396.65726307568502</v>
      </c>
      <c r="BO353" s="122" t="s">
        <v>64</v>
      </c>
      <c r="BP353" s="95">
        <v>396.65726307568502</v>
      </c>
      <c r="BQ353" s="194" t="s">
        <v>469</v>
      </c>
    </row>
    <row r="354" spans="11:69" ht="14.45" customHeight="1">
      <c r="K354" s="222"/>
      <c r="L354" s="207" t="str">
        <f t="shared" si="83"/>
        <v>'&lt;1130°C entrapment temp; original MagmaSat calculations used for saturation pressures</v>
      </c>
      <c r="M354" s="763" t="s">
        <v>459</v>
      </c>
      <c r="N354" s="15" t="s">
        <v>460</v>
      </c>
      <c r="O354" s="14" t="s">
        <v>1339</v>
      </c>
      <c r="P354" s="15" t="s">
        <v>405</v>
      </c>
      <c r="Q354" s="15" t="s">
        <v>490</v>
      </c>
      <c r="R354" s="217">
        <v>72.404295168014798</v>
      </c>
      <c r="S354" s="217" t="s">
        <v>64</v>
      </c>
      <c r="T354" s="14">
        <f t="shared" si="84"/>
        <v>1106.2803752674192</v>
      </c>
      <c r="U354" s="218" t="s">
        <v>1472</v>
      </c>
      <c r="V354" s="90" t="s">
        <v>462</v>
      </c>
      <c r="W354" s="109" t="s">
        <v>480</v>
      </c>
      <c r="X354" s="183" t="s">
        <v>64</v>
      </c>
      <c r="Y354" s="104" t="s">
        <v>64</v>
      </c>
      <c r="Z354" s="104" t="s">
        <v>64</v>
      </c>
      <c r="AA354" s="57" t="s">
        <v>64</v>
      </c>
      <c r="AB354" s="47" t="s">
        <v>64</v>
      </c>
      <c r="AC354" s="57">
        <v>470</v>
      </c>
      <c r="AD354" s="27" t="s">
        <v>470</v>
      </c>
      <c r="AE354" s="28">
        <f t="shared" si="80"/>
        <v>1.9973747731999998</v>
      </c>
      <c r="AF354" s="197" t="s">
        <v>470</v>
      </c>
      <c r="AG354" s="84">
        <v>470</v>
      </c>
      <c r="AH354" s="157" t="s">
        <v>469</v>
      </c>
      <c r="AI354" s="8">
        <v>0.97400710312601979</v>
      </c>
      <c r="AJ354" s="9">
        <v>48.510240507920273</v>
      </c>
      <c r="AK354" s="9">
        <v>3.5838962852952974</v>
      </c>
      <c r="AL354" s="9">
        <v>11.448162499076707</v>
      </c>
      <c r="AM354" s="189">
        <v>15.009256716650199</v>
      </c>
      <c r="AN354" s="9">
        <v>0.3211652647455211</v>
      </c>
      <c r="AO354" s="9">
        <v>4.5910634461402573</v>
      </c>
      <c r="AP354" s="9">
        <v>8.9656885908796369</v>
      </c>
      <c r="AQ354" s="9">
        <v>2.8892370183117642</v>
      </c>
      <c r="AR354" s="9">
        <v>0.63096180140503566</v>
      </c>
      <c r="AS354" s="9">
        <v>0.43479677083545526</v>
      </c>
      <c r="AT354" s="190">
        <v>1418.506815841964</v>
      </c>
      <c r="AU354" s="9">
        <v>0.75620170564716849</v>
      </c>
      <c r="AV354" s="6">
        <v>283.5104515473891</v>
      </c>
      <c r="AW354" s="27" t="s">
        <v>64</v>
      </c>
      <c r="AX354" s="6">
        <v>283.5104515473891</v>
      </c>
      <c r="AY354" s="8">
        <f t="shared" si="81"/>
        <v>3.0027079406649264</v>
      </c>
      <c r="AZ354" s="9">
        <f t="shared" si="82"/>
        <v>12.307590507653165</v>
      </c>
      <c r="BA354" s="123">
        <v>48.461599999999997</v>
      </c>
      <c r="BB354" s="121">
        <v>3.6551999999999998</v>
      </c>
      <c r="BC354" s="121">
        <v>11.694800000000001</v>
      </c>
      <c r="BD354" s="121">
        <v>15.136100000000001</v>
      </c>
      <c r="BE354" s="121">
        <v>0.32250000000000001</v>
      </c>
      <c r="BF354" s="121">
        <v>4.3068999999999997</v>
      </c>
      <c r="BG354" s="121">
        <v>8.7095000000000002</v>
      </c>
      <c r="BH354" s="121">
        <v>2.9581</v>
      </c>
      <c r="BI354" s="121">
        <v>0.64780000000000004</v>
      </c>
      <c r="BJ354" s="121">
        <v>0.44640000000000002</v>
      </c>
      <c r="BK354" s="121">
        <v>0.145636188</v>
      </c>
      <c r="BL354" s="121">
        <f t="shared" si="85"/>
        <v>96.484536188000007</v>
      </c>
      <c r="BM354" s="121">
        <v>0.77638212618797398</v>
      </c>
      <c r="BN354" s="95">
        <v>291.076369604984</v>
      </c>
      <c r="BO354" s="122" t="s">
        <v>64</v>
      </c>
      <c r="BP354" s="95">
        <v>291.076369604984</v>
      </c>
      <c r="BQ354" s="194" t="s">
        <v>469</v>
      </c>
    </row>
    <row r="355" spans="11:69" ht="14.45" customHeight="1">
      <c r="K355" s="222"/>
      <c r="L355" s="207" t="str">
        <f t="shared" si="83"/>
        <v>'&lt;1130°C entrapment temp; original MagmaSat calculations used for saturation pressures</v>
      </c>
      <c r="M355" s="763" t="s">
        <v>459</v>
      </c>
      <c r="N355" s="15" t="s">
        <v>460</v>
      </c>
      <c r="O355" s="14" t="s">
        <v>1340</v>
      </c>
      <c r="P355" s="15" t="s">
        <v>405</v>
      </c>
      <c r="Q355" s="15" t="s">
        <v>490</v>
      </c>
      <c r="R355" s="217">
        <v>77.073010793358605</v>
      </c>
      <c r="S355" s="217" t="s">
        <v>64</v>
      </c>
      <c r="T355" s="14">
        <f t="shared" si="84"/>
        <v>1109.901104773003</v>
      </c>
      <c r="U355" s="218" t="s">
        <v>1472</v>
      </c>
      <c r="V355" s="90" t="s">
        <v>462</v>
      </c>
      <c r="W355" s="109" t="s">
        <v>480</v>
      </c>
      <c r="X355" s="183" t="s">
        <v>64</v>
      </c>
      <c r="Y355" s="104" t="s">
        <v>64</v>
      </c>
      <c r="Z355" s="104" t="s">
        <v>64</v>
      </c>
      <c r="AA355" s="57" t="s">
        <v>64</v>
      </c>
      <c r="AB355" s="47" t="s">
        <v>64</v>
      </c>
      <c r="AC355" s="57">
        <v>570</v>
      </c>
      <c r="AD355" s="27" t="s">
        <v>470</v>
      </c>
      <c r="AE355" s="28">
        <f t="shared" si="80"/>
        <v>2.3978572811999999</v>
      </c>
      <c r="AF355" s="197" t="s">
        <v>470</v>
      </c>
      <c r="AG355" s="84">
        <v>570</v>
      </c>
      <c r="AH355" s="157" t="s">
        <v>469</v>
      </c>
      <c r="AI355" s="8">
        <v>0.98961985614993841</v>
      </c>
      <c r="AJ355" s="9">
        <v>49.339143218299661</v>
      </c>
      <c r="AK355" s="9">
        <v>3.7233615659728945</v>
      </c>
      <c r="AL355" s="9">
        <v>13.3748273905757</v>
      </c>
      <c r="AM355" s="189">
        <v>11.777297990068753</v>
      </c>
      <c r="AN355" s="9">
        <v>0.18396815833037097</v>
      </c>
      <c r="AO355" s="9">
        <v>4.7711992424379561</v>
      </c>
      <c r="AP355" s="9">
        <v>8.674172697031409</v>
      </c>
      <c r="AQ355" s="9">
        <v>3.0905362984579066</v>
      </c>
      <c r="AR355" s="9">
        <v>0.87046962546948592</v>
      </c>
      <c r="AS355" s="9">
        <v>0.40891092456115458</v>
      </c>
      <c r="AT355" s="190">
        <v>1689.3764423418452</v>
      </c>
      <c r="AU355" s="9">
        <v>0.7465386589046088</v>
      </c>
      <c r="AV355" s="6">
        <v>336.71328220141328</v>
      </c>
      <c r="AW355" s="27" t="s">
        <v>64</v>
      </c>
      <c r="AX355" s="6">
        <v>336.71328220141328</v>
      </c>
      <c r="AY355" s="8">
        <f t="shared" si="81"/>
        <v>2.3561317433611793</v>
      </c>
      <c r="AZ355" s="9">
        <f t="shared" si="82"/>
        <v>9.6573843518563791</v>
      </c>
      <c r="BA355" s="123">
        <v>49.3384</v>
      </c>
      <c r="BB355" s="121">
        <v>3.7452999999999999</v>
      </c>
      <c r="BC355" s="121">
        <v>13.4735</v>
      </c>
      <c r="BD355" s="121">
        <v>11.815899999999999</v>
      </c>
      <c r="BE355" s="121">
        <v>0.18379999999999999</v>
      </c>
      <c r="BF355" s="121">
        <v>4.6573000000000002</v>
      </c>
      <c r="BG355" s="121">
        <v>8.5699000000000005</v>
      </c>
      <c r="BH355" s="121">
        <v>3.1198000000000001</v>
      </c>
      <c r="BI355" s="121">
        <v>0.87960000000000005</v>
      </c>
      <c r="BJ355" s="121">
        <v>0.41320000000000001</v>
      </c>
      <c r="BK355" s="121">
        <v>0.17070963480000001</v>
      </c>
      <c r="BL355" s="121">
        <f t="shared" si="85"/>
        <v>96.367409634800012</v>
      </c>
      <c r="BM355" s="121">
        <v>0.75436911887457103</v>
      </c>
      <c r="BN355" s="95">
        <v>340.24507502444197</v>
      </c>
      <c r="BO355" s="122" t="s">
        <v>64</v>
      </c>
      <c r="BP355" s="95">
        <v>340.24507502444197</v>
      </c>
      <c r="BQ355" s="194" t="s">
        <v>469</v>
      </c>
    </row>
    <row r="356" spans="11:69" ht="14.45" customHeight="1">
      <c r="K356" s="222"/>
      <c r="L356" s="207" t="str">
        <f t="shared" si="83"/>
        <v>'&lt;1130°C entrapment temp; original MagmaSat calculations used for saturation pressures</v>
      </c>
      <c r="M356" s="763" t="s">
        <v>459</v>
      </c>
      <c r="N356" s="15" t="s">
        <v>460</v>
      </c>
      <c r="O356" s="14" t="s">
        <v>1341</v>
      </c>
      <c r="P356" s="15" t="s">
        <v>405</v>
      </c>
      <c r="Q356" s="15" t="s">
        <v>490</v>
      </c>
      <c r="R356" s="217">
        <v>76.387510908364504</v>
      </c>
      <c r="S356" s="217" t="s">
        <v>64</v>
      </c>
      <c r="T356" s="14">
        <f t="shared" si="84"/>
        <v>1108.91433077745</v>
      </c>
      <c r="U356" s="218" t="s">
        <v>1472</v>
      </c>
      <c r="V356" s="90" t="s">
        <v>462</v>
      </c>
      <c r="W356" s="109" t="s">
        <v>480</v>
      </c>
      <c r="X356" s="183" t="s">
        <v>64</v>
      </c>
      <c r="Y356" s="104" t="s">
        <v>64</v>
      </c>
      <c r="Z356" s="104" t="s">
        <v>64</v>
      </c>
      <c r="AA356" s="57" t="s">
        <v>64</v>
      </c>
      <c r="AB356" s="47" t="s">
        <v>64</v>
      </c>
      <c r="AC356" s="57">
        <v>520</v>
      </c>
      <c r="AD356" s="27" t="s">
        <v>470</v>
      </c>
      <c r="AE356" s="28">
        <f t="shared" si="80"/>
        <v>2.1986012671999999</v>
      </c>
      <c r="AF356" s="197" t="s">
        <v>470</v>
      </c>
      <c r="AG356" s="84">
        <v>520</v>
      </c>
      <c r="AH356" s="157" t="s">
        <v>469</v>
      </c>
      <c r="AI356" s="8">
        <v>1.0010326238830427</v>
      </c>
      <c r="AJ356" s="9">
        <v>50.469846884640113</v>
      </c>
      <c r="AK356" s="9">
        <v>3.708973195454154</v>
      </c>
      <c r="AL356" s="9">
        <v>13.595701894260175</v>
      </c>
      <c r="AM356" s="189">
        <v>12.191155132769085</v>
      </c>
      <c r="AN356" s="9">
        <v>0.21602431829244562</v>
      </c>
      <c r="AO356" s="9">
        <v>4.7221060088283595</v>
      </c>
      <c r="AP356" s="9">
        <v>8.3925612279282955</v>
      </c>
      <c r="AQ356" s="9">
        <v>3.1708582609001406</v>
      </c>
      <c r="AR356" s="9">
        <v>1.0620956139399083</v>
      </c>
      <c r="AS356" s="9">
        <v>0.53074749718278924</v>
      </c>
      <c r="AT356" s="190">
        <v>1527.0016557985516</v>
      </c>
      <c r="AU356" s="9">
        <v>0.59061955048963377</v>
      </c>
      <c r="AV356" s="6">
        <v>329.50277292150616</v>
      </c>
      <c r="AW356" s="27" t="s">
        <v>64</v>
      </c>
      <c r="AX356" s="6">
        <v>329.50277292150616</v>
      </c>
      <c r="AY356" s="8">
        <f t="shared" si="81"/>
        <v>2.438926791253766</v>
      </c>
      <c r="AZ356" s="9">
        <f t="shared" si="82"/>
        <v>9.9967472088706515</v>
      </c>
      <c r="BA356" s="123">
        <v>50.470300000000002</v>
      </c>
      <c r="BB356" s="121">
        <v>3.7063999999999999</v>
      </c>
      <c r="BC356" s="121">
        <v>13.5846</v>
      </c>
      <c r="BD356" s="121">
        <v>12.1897</v>
      </c>
      <c r="BE356" s="121">
        <v>0.216</v>
      </c>
      <c r="BF356" s="121">
        <v>4.7336999999999998</v>
      </c>
      <c r="BG356" s="121">
        <v>8.4032999999999998</v>
      </c>
      <c r="BH356" s="121">
        <v>3.1678999999999999</v>
      </c>
      <c r="BI356" s="121">
        <v>1.0609999999999999</v>
      </c>
      <c r="BJ356" s="121">
        <v>0.5302</v>
      </c>
      <c r="BK356" s="121">
        <v>0.15254264639999998</v>
      </c>
      <c r="BL356" s="121">
        <f t="shared" si="85"/>
        <v>98.215642646399999</v>
      </c>
      <c r="BM356" s="121">
        <v>0.59001029177110997</v>
      </c>
      <c r="BN356" s="95">
        <v>329.16287147900601</v>
      </c>
      <c r="BO356" s="122" t="s">
        <v>64</v>
      </c>
      <c r="BP356" s="95">
        <v>329.16287147900601</v>
      </c>
      <c r="BQ356" s="194" t="s">
        <v>469</v>
      </c>
    </row>
    <row r="357" spans="11:69" ht="14.45" customHeight="1">
      <c r="K357" s="222"/>
      <c r="L357" s="207" t="str">
        <f t="shared" si="83"/>
        <v>'&lt;1130°C entrapment temp; original MagmaSat calculations used for saturation pressures</v>
      </c>
      <c r="M357" s="763" t="s">
        <v>459</v>
      </c>
      <c r="N357" s="15" t="s">
        <v>460</v>
      </c>
      <c r="O357" s="14" t="s">
        <v>1342</v>
      </c>
      <c r="P357" s="15" t="s">
        <v>405</v>
      </c>
      <c r="Q357" s="15" t="s">
        <v>490</v>
      </c>
      <c r="R357" s="217">
        <v>78.787043647346195</v>
      </c>
      <c r="S357" s="217" t="s">
        <v>64</v>
      </c>
      <c r="T357" s="14">
        <f t="shared" si="84"/>
        <v>1116.8729188451973</v>
      </c>
      <c r="U357" s="218" t="s">
        <v>1472</v>
      </c>
      <c r="V357" s="90" t="s">
        <v>462</v>
      </c>
      <c r="W357" s="109" t="s">
        <v>480</v>
      </c>
      <c r="X357" s="183" t="s">
        <v>64</v>
      </c>
      <c r="Y357" s="104" t="s">
        <v>64</v>
      </c>
      <c r="Z357" s="104" t="s">
        <v>64</v>
      </c>
      <c r="AA357" s="57" t="s">
        <v>64</v>
      </c>
      <c r="AB357" s="47" t="s">
        <v>64</v>
      </c>
      <c r="AC357" s="57">
        <v>660</v>
      </c>
      <c r="AD357" s="27" t="s">
        <v>470</v>
      </c>
      <c r="AE357" s="28">
        <f t="shared" si="80"/>
        <v>2.7517162464</v>
      </c>
      <c r="AF357" s="197" t="s">
        <v>470</v>
      </c>
      <c r="AG357" s="84">
        <v>660</v>
      </c>
      <c r="AH357" s="157" t="s">
        <v>469</v>
      </c>
      <c r="AI357" s="8">
        <v>0.95489064274503455</v>
      </c>
      <c r="AJ357" s="9">
        <v>50.021345565659011</v>
      </c>
      <c r="AK357" s="9">
        <v>3.4745368742710614</v>
      </c>
      <c r="AL357" s="9">
        <v>13.616673604546571</v>
      </c>
      <c r="AM357" s="189">
        <v>11.246232877241383</v>
      </c>
      <c r="AN357" s="9">
        <v>0.10589005929472856</v>
      </c>
      <c r="AO357" s="9">
        <v>5.1180556639401606</v>
      </c>
      <c r="AP357" s="9">
        <v>9.1196558610448086</v>
      </c>
      <c r="AQ357" s="9">
        <v>2.8627573250379665</v>
      </c>
      <c r="AR357" s="9">
        <v>0.95173950362397597</v>
      </c>
      <c r="AS357" s="9">
        <v>0.4587294647747146</v>
      </c>
      <c r="AT357" s="190">
        <v>1557.9286052302296</v>
      </c>
      <c r="AU357" s="9">
        <v>0.6656866478107587</v>
      </c>
      <c r="AV357" s="6">
        <v>400.67671724526014</v>
      </c>
      <c r="AW357" s="27" t="s">
        <v>64</v>
      </c>
      <c r="AX357" s="6">
        <v>400.67671724526014</v>
      </c>
      <c r="AY357" s="8">
        <f t="shared" si="81"/>
        <v>2.2498884122355354</v>
      </c>
      <c r="AZ357" s="9">
        <f t="shared" si="82"/>
        <v>9.2219109593379347</v>
      </c>
      <c r="BA357" s="123">
        <v>49.997599999999998</v>
      </c>
      <c r="BB357" s="121">
        <v>3.5838999999999999</v>
      </c>
      <c r="BC357" s="121">
        <v>14.100899999999999</v>
      </c>
      <c r="BD357" s="121">
        <v>11.421200000000001</v>
      </c>
      <c r="BE357" s="121">
        <v>0.1037</v>
      </c>
      <c r="BF357" s="121">
        <v>4.6132999999999997</v>
      </c>
      <c r="BG357" s="121">
        <v>8.6273999999999997</v>
      </c>
      <c r="BH357" s="121">
        <v>2.984</v>
      </c>
      <c r="BI357" s="121">
        <v>0.99670000000000003</v>
      </c>
      <c r="BJ357" s="121">
        <v>0.48039999999999999</v>
      </c>
      <c r="BK357" s="121">
        <v>0.163152568</v>
      </c>
      <c r="BL357" s="121">
        <f t="shared" si="85"/>
        <v>97.072252567999996</v>
      </c>
      <c r="BM357" s="121">
        <v>0.69713391043093897</v>
      </c>
      <c r="BN357" s="95">
        <v>419.60482102267798</v>
      </c>
      <c r="BO357" s="122" t="s">
        <v>64</v>
      </c>
      <c r="BP357" s="95">
        <v>419.60482102267798</v>
      </c>
      <c r="BQ357" s="194" t="s">
        <v>469</v>
      </c>
    </row>
    <row r="358" spans="11:69" ht="14.45" customHeight="1">
      <c r="K358" s="222"/>
      <c r="L358" s="207" t="str">
        <f t="shared" si="83"/>
        <v>'&lt;1130°C entrapment temp; original MagmaSat calculations used for saturation pressures</v>
      </c>
      <c r="M358" s="763" t="s">
        <v>459</v>
      </c>
      <c r="N358" s="15" t="s">
        <v>460</v>
      </c>
      <c r="O358" s="14" t="s">
        <v>1343</v>
      </c>
      <c r="P358" s="15" t="s">
        <v>405</v>
      </c>
      <c r="Q358" s="15" t="s">
        <v>490</v>
      </c>
      <c r="R358" s="217">
        <v>77.809118017157303</v>
      </c>
      <c r="S358" s="217" t="s">
        <v>64</v>
      </c>
      <c r="T358" s="14">
        <f t="shared" si="84"/>
        <v>1117.1609338683879</v>
      </c>
      <c r="U358" s="218" t="s">
        <v>1472</v>
      </c>
      <c r="V358" s="90" t="s">
        <v>462</v>
      </c>
      <c r="W358" s="109" t="s">
        <v>480</v>
      </c>
      <c r="X358" s="183" t="s">
        <v>64</v>
      </c>
      <c r="Y358" s="104" t="s">
        <v>64</v>
      </c>
      <c r="Z358" s="104" t="s">
        <v>64</v>
      </c>
      <c r="AA358" s="57" t="s">
        <v>64</v>
      </c>
      <c r="AB358" s="47" t="s">
        <v>64</v>
      </c>
      <c r="AC358" s="57">
        <v>580</v>
      </c>
      <c r="AD358" s="27" t="s">
        <v>470</v>
      </c>
      <c r="AE358" s="28">
        <f t="shared" si="80"/>
        <v>2.4374765407999996</v>
      </c>
      <c r="AF358" s="197" t="s">
        <v>470</v>
      </c>
      <c r="AG358" s="84">
        <v>580</v>
      </c>
      <c r="AH358" s="157" t="s">
        <v>469</v>
      </c>
      <c r="AI358" s="8">
        <v>0.97982867493362824</v>
      </c>
      <c r="AJ358" s="9">
        <v>49.508147976101633</v>
      </c>
      <c r="AK358" s="9">
        <v>3.9185026333448914</v>
      </c>
      <c r="AL358" s="9">
        <v>13.660050129444761</v>
      </c>
      <c r="AM358" s="189">
        <v>12.06722950470798</v>
      </c>
      <c r="AN358" s="9">
        <v>0.18636424435836946</v>
      </c>
      <c r="AO358" s="9">
        <v>5.132384769571539</v>
      </c>
      <c r="AP358" s="9">
        <v>8.8630745425462347</v>
      </c>
      <c r="AQ358" s="9">
        <v>3.0575975486130971</v>
      </c>
      <c r="AR358" s="9">
        <v>0.75241043948153319</v>
      </c>
      <c r="AS358" s="9">
        <v>0.43759148622535837</v>
      </c>
      <c r="AT358" s="190">
        <v>1649.6144264724019</v>
      </c>
      <c r="AU358" s="9">
        <v>0.76557661071291661</v>
      </c>
      <c r="AV358" s="6">
        <v>347.67572940021955</v>
      </c>
      <c r="AW358" s="27" t="s">
        <v>64</v>
      </c>
      <c r="AX358" s="6">
        <v>347.67572940021955</v>
      </c>
      <c r="AY358" s="8">
        <f t="shared" si="81"/>
        <v>2.4141345930486295</v>
      </c>
      <c r="AZ358" s="9">
        <f t="shared" si="82"/>
        <v>9.8951281938605433</v>
      </c>
      <c r="BA358" s="123">
        <v>49.487900000000003</v>
      </c>
      <c r="BB358" s="121">
        <v>3.9740000000000002</v>
      </c>
      <c r="BC358" s="121">
        <v>13.8835</v>
      </c>
      <c r="BD358" s="121">
        <v>12.150600000000001</v>
      </c>
      <c r="BE358" s="121">
        <v>0.18609999999999999</v>
      </c>
      <c r="BF358" s="121">
        <v>4.9093</v>
      </c>
      <c r="BG358" s="121">
        <v>8.6492000000000004</v>
      </c>
      <c r="BH358" s="121">
        <v>3.1143999999999998</v>
      </c>
      <c r="BI358" s="121">
        <v>0.76790000000000003</v>
      </c>
      <c r="BJ358" s="121">
        <v>0.4466</v>
      </c>
      <c r="BK358" s="121">
        <v>0.16835743520000002</v>
      </c>
      <c r="BL358" s="121">
        <f t="shared" si="85"/>
        <v>97.737857435199999</v>
      </c>
      <c r="BM358" s="121">
        <v>0.78133721771796005</v>
      </c>
      <c r="BN358" s="95">
        <v>354.83318491752698</v>
      </c>
      <c r="BO358" s="122" t="s">
        <v>64</v>
      </c>
      <c r="BP358" s="95">
        <v>354.83318491752698</v>
      </c>
      <c r="BQ358" s="194" t="s">
        <v>469</v>
      </c>
    </row>
    <row r="359" spans="11:69" ht="14.45" customHeight="1">
      <c r="K359" s="222"/>
      <c r="L359" s="207" t="str">
        <f t="shared" si="83"/>
        <v>'&lt;1130°C entrapment temp; original MagmaSat calculations used for saturation pressures</v>
      </c>
      <c r="M359" s="763" t="s">
        <v>459</v>
      </c>
      <c r="N359" s="15" t="s">
        <v>460</v>
      </c>
      <c r="O359" s="14" t="s">
        <v>1344</v>
      </c>
      <c r="P359" s="15" t="s">
        <v>405</v>
      </c>
      <c r="Q359" s="15" t="s">
        <v>490</v>
      </c>
      <c r="R359" s="217">
        <v>77.922092869082306</v>
      </c>
      <c r="S359" s="217" t="s">
        <v>64</v>
      </c>
      <c r="T359" s="14">
        <f t="shared" si="84"/>
        <v>1118.8215988233233</v>
      </c>
      <c r="U359" s="27" t="s">
        <v>300</v>
      </c>
      <c r="V359" s="90" t="s">
        <v>64</v>
      </c>
      <c r="W359" s="109" t="s">
        <v>64</v>
      </c>
      <c r="X359" s="183" t="s">
        <v>64</v>
      </c>
      <c r="Y359" s="104" t="s">
        <v>64</v>
      </c>
      <c r="Z359" s="104" t="s">
        <v>64</v>
      </c>
      <c r="AA359" s="57" t="s">
        <v>64</v>
      </c>
      <c r="AB359" s="47" t="s">
        <v>64</v>
      </c>
      <c r="AC359" s="57">
        <v>510</v>
      </c>
      <c r="AD359" s="27" t="s">
        <v>470</v>
      </c>
      <c r="AE359" s="28">
        <f t="shared" si="80"/>
        <v>2.1585152484000001</v>
      </c>
      <c r="AF359" s="197" t="s">
        <v>470</v>
      </c>
      <c r="AG359" s="84">
        <v>510</v>
      </c>
      <c r="AH359" s="157" t="s">
        <v>469</v>
      </c>
      <c r="AI359" s="8">
        <v>0.96642911589905245</v>
      </c>
      <c r="AJ359" s="9">
        <v>49.563540858571237</v>
      </c>
      <c r="AK359" s="9">
        <v>3.9364119902216625</v>
      </c>
      <c r="AL359" s="9">
        <v>12.938058258289606</v>
      </c>
      <c r="AM359" s="189">
        <v>12.15120527040021</v>
      </c>
      <c r="AN359" s="9">
        <v>0.16933260499219874</v>
      </c>
      <c r="AO359" s="9">
        <v>5.2150049165832471</v>
      </c>
      <c r="AP359" s="9">
        <v>9.1230608692249593</v>
      </c>
      <c r="AQ359" s="9">
        <v>2.8553107598379115</v>
      </c>
      <c r="AR359" s="9">
        <v>0.70897239942354495</v>
      </c>
      <c r="AS359" s="9">
        <v>0.43421660177344423</v>
      </c>
      <c r="AT359" s="190">
        <v>1552.0869113034362</v>
      </c>
      <c r="AU359" s="9">
        <v>0.55480516001087932</v>
      </c>
      <c r="AV359" s="6">
        <v>325.26113795622433</v>
      </c>
      <c r="AW359" s="27" t="s">
        <v>64</v>
      </c>
      <c r="AX359" s="6">
        <v>325.26113795622433</v>
      </c>
      <c r="AY359" s="8">
        <f t="shared" si="81"/>
        <v>2.4309345387906296</v>
      </c>
      <c r="AZ359" s="9">
        <f t="shared" si="82"/>
        <v>9.9639883217281735</v>
      </c>
      <c r="BA359" s="123">
        <v>49.532800000000002</v>
      </c>
      <c r="BB359" s="121">
        <v>4.0327000000000002</v>
      </c>
      <c r="BC359" s="121">
        <v>13.290900000000001</v>
      </c>
      <c r="BD359" s="121">
        <v>12.2867</v>
      </c>
      <c r="BE359" s="121">
        <v>0.16919999999999999</v>
      </c>
      <c r="BF359" s="121">
        <v>4.8244999999999996</v>
      </c>
      <c r="BG359" s="121">
        <v>8.7979000000000003</v>
      </c>
      <c r="BH359" s="121">
        <v>2.944</v>
      </c>
      <c r="BI359" s="121">
        <v>0.73360000000000003</v>
      </c>
      <c r="BJ359" s="121">
        <v>0.44929999999999998</v>
      </c>
      <c r="BK359" s="121">
        <v>0.1606001812</v>
      </c>
      <c r="BL359" s="121">
        <f t="shared" si="85"/>
        <v>97.222200181199995</v>
      </c>
      <c r="BM359" s="121">
        <v>0.57407744746468403</v>
      </c>
      <c r="BN359" s="95">
        <v>336.55974618856499</v>
      </c>
      <c r="BO359" s="122" t="s">
        <v>64</v>
      </c>
      <c r="BP359" s="95">
        <v>336.55974618856499</v>
      </c>
      <c r="BQ359" s="194" t="s">
        <v>469</v>
      </c>
    </row>
    <row r="360" spans="11:69" ht="14.45" customHeight="1">
      <c r="K360" s="222"/>
      <c r="L360" s="207" t="str">
        <f t="shared" si="83"/>
        <v>'&lt;1130°C entrapment temp; original MagmaSat calculations used for saturation pressures</v>
      </c>
      <c r="M360" s="763" t="s">
        <v>459</v>
      </c>
      <c r="N360" s="15" t="s">
        <v>460</v>
      </c>
      <c r="O360" s="14" t="s">
        <v>1345</v>
      </c>
      <c r="P360" s="15" t="s">
        <v>405</v>
      </c>
      <c r="Q360" s="15" t="s">
        <v>490</v>
      </c>
      <c r="R360" s="217">
        <v>77.284197062655608</v>
      </c>
      <c r="S360" s="217" t="s">
        <v>64</v>
      </c>
      <c r="T360" s="14">
        <f t="shared" si="84"/>
        <v>1117.3765490694141</v>
      </c>
      <c r="U360" s="218" t="s">
        <v>1472</v>
      </c>
      <c r="V360" s="90" t="s">
        <v>462</v>
      </c>
      <c r="W360" s="109" t="s">
        <v>480</v>
      </c>
      <c r="X360" s="183" t="s">
        <v>64</v>
      </c>
      <c r="Y360" s="104" t="s">
        <v>64</v>
      </c>
      <c r="Z360" s="104" t="s">
        <v>64</v>
      </c>
      <c r="AA360" s="57" t="s">
        <v>64</v>
      </c>
      <c r="AB360" s="47" t="s">
        <v>64</v>
      </c>
      <c r="AC360" s="57">
        <v>480</v>
      </c>
      <c r="AD360" s="27" t="s">
        <v>470</v>
      </c>
      <c r="AE360" s="28">
        <f t="shared" si="80"/>
        <v>2.0377801727999998</v>
      </c>
      <c r="AF360" s="197" t="s">
        <v>470</v>
      </c>
      <c r="AG360" s="84">
        <v>480</v>
      </c>
      <c r="AH360" s="157" t="s">
        <v>469</v>
      </c>
      <c r="AI360" s="8">
        <v>0.97128720095176801</v>
      </c>
      <c r="AJ360" s="9">
        <v>49.157546640221931</v>
      </c>
      <c r="AK360" s="9">
        <v>3.9307825793156099</v>
      </c>
      <c r="AL360" s="9">
        <v>13.573126044500382</v>
      </c>
      <c r="AM360" s="189">
        <v>12.497439250254992</v>
      </c>
      <c r="AN360" s="9">
        <v>0.17679470348680515</v>
      </c>
      <c r="AO360" s="9">
        <v>5.1431118940006986</v>
      </c>
      <c r="AP360" s="9">
        <v>9.2284890355262359</v>
      </c>
      <c r="AQ360" s="9">
        <v>2.8931454891309891</v>
      </c>
      <c r="AR360" s="9">
        <v>0.74138352048648448</v>
      </c>
      <c r="AS360" s="9">
        <v>0.40250141607441264</v>
      </c>
      <c r="AT360" s="190">
        <v>1513.2235810638983</v>
      </c>
      <c r="AU360" s="9">
        <v>0.47573432102997237</v>
      </c>
      <c r="AV360" s="6">
        <v>306.60863059687529</v>
      </c>
      <c r="AW360" s="27" t="s">
        <v>64</v>
      </c>
      <c r="AX360" s="6">
        <v>306.60863059687529</v>
      </c>
      <c r="AY360" s="8">
        <f t="shared" si="81"/>
        <v>2.500201094774356</v>
      </c>
      <c r="AZ360" s="9">
        <f t="shared" si="82"/>
        <v>10.247900185209094</v>
      </c>
      <c r="BA360" s="123">
        <v>49.120800000000003</v>
      </c>
      <c r="BB360" s="121">
        <v>4.0114999999999998</v>
      </c>
      <c r="BC360" s="121">
        <v>13.889900000000001</v>
      </c>
      <c r="BD360" s="121">
        <v>12.6168</v>
      </c>
      <c r="BE360" s="121">
        <v>0.17699999999999999</v>
      </c>
      <c r="BF360" s="121">
        <v>4.8136999999999999</v>
      </c>
      <c r="BG360" s="121">
        <v>8.9632000000000005</v>
      </c>
      <c r="BH360" s="121">
        <v>2.9695</v>
      </c>
      <c r="BI360" s="121">
        <v>0.76329999999999998</v>
      </c>
      <c r="BJ360" s="121">
        <v>0.41439999999999999</v>
      </c>
      <c r="BK360" s="121">
        <v>0.15579568839999999</v>
      </c>
      <c r="BL360" s="121">
        <f t="shared" si="85"/>
        <v>97.895895688400003</v>
      </c>
      <c r="BM360" s="121">
        <v>0.48979778644647898</v>
      </c>
      <c r="BN360" s="95">
        <v>315.67247081648799</v>
      </c>
      <c r="BO360" s="122" t="s">
        <v>64</v>
      </c>
      <c r="BP360" s="95">
        <v>315.67247081648799</v>
      </c>
      <c r="BQ360" s="194" t="s">
        <v>469</v>
      </c>
    </row>
    <row r="361" spans="11:69" ht="14.45" customHeight="1">
      <c r="K361" s="222"/>
      <c r="L361" s="207" t="str">
        <f t="shared" si="83"/>
        <v>'&lt;1130°C entrapment temp; original MagmaSat calculations used for saturation pressures</v>
      </c>
      <c r="M361" s="763" t="s">
        <v>459</v>
      </c>
      <c r="N361" s="15" t="s">
        <v>460</v>
      </c>
      <c r="O361" s="14" t="s">
        <v>1346</v>
      </c>
      <c r="P361" s="15" t="s">
        <v>405</v>
      </c>
      <c r="Q361" s="15" t="s">
        <v>490</v>
      </c>
      <c r="R361" s="217">
        <v>78.3649349647295</v>
      </c>
      <c r="S361" s="217" t="s">
        <v>64</v>
      </c>
      <c r="T361" s="14">
        <f t="shared" si="84"/>
        <v>1122.026911459945</v>
      </c>
      <c r="U361" s="218" t="s">
        <v>1472</v>
      </c>
      <c r="V361" s="90" t="s">
        <v>462</v>
      </c>
      <c r="W361" s="109" t="s">
        <v>480</v>
      </c>
      <c r="X361" s="183" t="s">
        <v>64</v>
      </c>
      <c r="Y361" s="104" t="s">
        <v>64</v>
      </c>
      <c r="Z361" s="104" t="s">
        <v>64</v>
      </c>
      <c r="AA361" s="57" t="s">
        <v>64</v>
      </c>
      <c r="AB361" s="47" t="s">
        <v>64</v>
      </c>
      <c r="AC361" s="57">
        <v>1150</v>
      </c>
      <c r="AD361" s="27" t="s">
        <v>470</v>
      </c>
      <c r="AE361" s="28">
        <f t="shared" si="80"/>
        <v>4.5822198499999995</v>
      </c>
      <c r="AF361" s="197" t="s">
        <v>470</v>
      </c>
      <c r="AG361" s="84">
        <v>1150</v>
      </c>
      <c r="AH361" s="157" t="s">
        <v>469</v>
      </c>
      <c r="AI361" s="8">
        <v>0.92008509741182753</v>
      </c>
      <c r="AJ361" s="9">
        <v>49.319583896464465</v>
      </c>
      <c r="AK361" s="9">
        <v>3.8394371818196698</v>
      </c>
      <c r="AL361" s="9">
        <v>12.53912450422354</v>
      </c>
      <c r="AM361" s="189">
        <v>12.097138508303344</v>
      </c>
      <c r="AN361" s="9">
        <v>0.21599802531840151</v>
      </c>
      <c r="AO361" s="9">
        <v>5.3744732069624366</v>
      </c>
      <c r="AP361" s="9">
        <v>9.175843740067517</v>
      </c>
      <c r="AQ361" s="9">
        <v>3.081665517532802</v>
      </c>
      <c r="AR361" s="9">
        <v>0.71729834194226072</v>
      </c>
      <c r="AS361" s="9">
        <v>0.40124911098129795</v>
      </c>
      <c r="AT361" s="190">
        <v>1533.3755846099034</v>
      </c>
      <c r="AU361" s="9">
        <v>0.57187158264944027</v>
      </c>
      <c r="AV361" s="6">
        <v>789.86571088519054</v>
      </c>
      <c r="AW361" s="27" t="s">
        <v>64</v>
      </c>
      <c r="AX361" s="6">
        <v>789.86571088519054</v>
      </c>
      <c r="AY361" s="8">
        <f t="shared" si="81"/>
        <v>2.4201181007125068</v>
      </c>
      <c r="AZ361" s="9">
        <f t="shared" si="82"/>
        <v>9.9196535768087433</v>
      </c>
      <c r="BA361" s="123">
        <v>49.180500000000002</v>
      </c>
      <c r="BB361" s="121">
        <v>4.0772000000000004</v>
      </c>
      <c r="BC361" s="121">
        <v>13.392300000000001</v>
      </c>
      <c r="BD361" s="121">
        <v>12.4421</v>
      </c>
      <c r="BE361" s="121">
        <v>0.21790000000000001</v>
      </c>
      <c r="BF361" s="121">
        <v>4.4027000000000003</v>
      </c>
      <c r="BG361" s="121">
        <v>8.3829999999999991</v>
      </c>
      <c r="BH361" s="121">
        <v>3.3235000000000001</v>
      </c>
      <c r="BI361" s="121">
        <v>0.77959999999999996</v>
      </c>
      <c r="BJ361" s="121">
        <v>0.43609999999999999</v>
      </c>
      <c r="BK361" s="121">
        <v>0.166655844</v>
      </c>
      <c r="BL361" s="121">
        <f t="shared" si="85"/>
        <v>96.801555843999992</v>
      </c>
      <c r="BM361" s="121">
        <v>0.62154205546649799</v>
      </c>
      <c r="BN361" s="95">
        <v>858.47027965897905</v>
      </c>
      <c r="BO361" s="122" t="s">
        <v>64</v>
      </c>
      <c r="BP361" s="95">
        <v>858.47027965897905</v>
      </c>
      <c r="BQ361" s="194" t="s">
        <v>469</v>
      </c>
    </row>
    <row r="362" spans="11:69" ht="14.45" customHeight="1">
      <c r="K362" s="222"/>
      <c r="L362" s="207" t="str">
        <f t="shared" si="83"/>
        <v>'&lt;1130°C entrapment temp; original MagmaSat calculations used for saturation pressures</v>
      </c>
      <c r="M362" s="763" t="s">
        <v>459</v>
      </c>
      <c r="N362" s="15" t="s">
        <v>460</v>
      </c>
      <c r="O362" s="14" t="s">
        <v>1347</v>
      </c>
      <c r="P362" s="15" t="s">
        <v>405</v>
      </c>
      <c r="Q362" s="15" t="s">
        <v>490</v>
      </c>
      <c r="R362" s="217">
        <v>78.852621444000008</v>
      </c>
      <c r="S362" s="217" t="s">
        <v>64</v>
      </c>
      <c r="T362" s="14">
        <f t="shared" si="84"/>
        <v>1116.377517666016</v>
      </c>
      <c r="U362" s="218" t="s">
        <v>1472</v>
      </c>
      <c r="V362" s="90" t="s">
        <v>462</v>
      </c>
      <c r="W362" s="109" t="s">
        <v>480</v>
      </c>
      <c r="X362" s="183" t="s">
        <v>64</v>
      </c>
      <c r="Y362" s="104" t="s">
        <v>64</v>
      </c>
      <c r="Z362" s="104" t="s">
        <v>64</v>
      </c>
      <c r="AA362" s="57" t="s">
        <v>64</v>
      </c>
      <c r="AB362" s="47" t="s">
        <v>64</v>
      </c>
      <c r="AC362" s="57">
        <v>690</v>
      </c>
      <c r="AD362" s="27" t="s">
        <v>470</v>
      </c>
      <c r="AE362" s="28">
        <f t="shared" si="80"/>
        <v>2.8683391355999994</v>
      </c>
      <c r="AF362" s="197" t="s">
        <v>470</v>
      </c>
      <c r="AG362" s="84">
        <v>690</v>
      </c>
      <c r="AH362" s="157" t="s">
        <v>469</v>
      </c>
      <c r="AI362" s="8">
        <v>1.1676413777315331</v>
      </c>
      <c r="AJ362" s="9">
        <v>49.06828294363288</v>
      </c>
      <c r="AK362" s="9">
        <v>4.0681402937623403</v>
      </c>
      <c r="AL362" s="9">
        <v>12.636070054921987</v>
      </c>
      <c r="AM362" s="189">
        <v>11.438447630062589</v>
      </c>
      <c r="AN362" s="9">
        <v>0.21260955306097826</v>
      </c>
      <c r="AO362" s="9">
        <v>5.0934088391052734</v>
      </c>
      <c r="AP362" s="9">
        <v>8.9276442115612635</v>
      </c>
      <c r="AQ362" s="9">
        <v>2.7998689234913705</v>
      </c>
      <c r="AR362" s="9">
        <v>0.85284526229511182</v>
      </c>
      <c r="AS362" s="9">
        <v>0.39045927671342462</v>
      </c>
      <c r="AT362" s="190">
        <v>1756.0232708167875</v>
      </c>
      <c r="AU362" s="9">
        <v>0.74498846774500749</v>
      </c>
      <c r="AV362" s="6">
        <v>436.9312949350782</v>
      </c>
      <c r="AW362" s="27" t="s">
        <v>64</v>
      </c>
      <c r="AX362" s="6">
        <v>436.9312949350782</v>
      </c>
      <c r="AY362" s="8">
        <f t="shared" si="81"/>
        <v>2.2883423327397345</v>
      </c>
      <c r="AZ362" s="9">
        <f t="shared" si="82"/>
        <v>9.3795270566513249</v>
      </c>
      <c r="BA362" s="123">
        <v>49.380800000000001</v>
      </c>
      <c r="BB362" s="121">
        <v>3.6255000000000002</v>
      </c>
      <c r="BC362" s="121">
        <v>11.1449</v>
      </c>
      <c r="BD362" s="121">
        <v>10.9422</v>
      </c>
      <c r="BE362" s="121">
        <v>0.20810000000000001</v>
      </c>
      <c r="BF362" s="121">
        <v>6.7558999999999996</v>
      </c>
      <c r="BG362" s="121">
        <v>10.3017</v>
      </c>
      <c r="BH362" s="121">
        <v>2.4382999999999999</v>
      </c>
      <c r="BI362" s="121">
        <v>0.73040000000000005</v>
      </c>
      <c r="BJ362" s="121">
        <v>0.33439999999999998</v>
      </c>
      <c r="BK362" s="121">
        <v>0.150390634</v>
      </c>
      <c r="BL362" s="121">
        <f t="shared" si="85"/>
        <v>96.012590634000006</v>
      </c>
      <c r="BM362" s="121">
        <v>0.63802849226905101</v>
      </c>
      <c r="BN362" s="95">
        <v>374.199906981661</v>
      </c>
      <c r="BO362" s="122" t="s">
        <v>64</v>
      </c>
      <c r="BP362" s="95">
        <v>374.199906981661</v>
      </c>
      <c r="BQ362" s="194" t="s">
        <v>469</v>
      </c>
    </row>
    <row r="363" spans="11:69" ht="14.45" customHeight="1">
      <c r="K363" s="222"/>
      <c r="L363" s="207" t="str">
        <f t="shared" si="83"/>
        <v>'&lt;1130°C entrapment temp; original MagmaSat calculations used for saturation pressures</v>
      </c>
      <c r="M363" s="763" t="s">
        <v>459</v>
      </c>
      <c r="N363" s="15" t="s">
        <v>460</v>
      </c>
      <c r="O363" s="14" t="s">
        <v>1348</v>
      </c>
      <c r="P363" s="15" t="s">
        <v>405</v>
      </c>
      <c r="Q363" s="15" t="s">
        <v>490</v>
      </c>
      <c r="R363" s="217">
        <v>80.219761342247594</v>
      </c>
      <c r="S363" s="217" t="s">
        <v>64</v>
      </c>
      <c r="T363" s="14">
        <f t="shared" si="84"/>
        <v>1127.9863358429127</v>
      </c>
      <c r="U363" s="218" t="s">
        <v>1472</v>
      </c>
      <c r="V363" s="90" t="s">
        <v>462</v>
      </c>
      <c r="W363" s="109" t="s">
        <v>480</v>
      </c>
      <c r="X363" s="183" t="s">
        <v>64</v>
      </c>
      <c r="Y363" s="104" t="s">
        <v>64</v>
      </c>
      <c r="Z363" s="104" t="s">
        <v>64</v>
      </c>
      <c r="AA363" s="57" t="s">
        <v>64</v>
      </c>
      <c r="AB363" s="47" t="s">
        <v>64</v>
      </c>
      <c r="AC363" s="57">
        <v>490</v>
      </c>
      <c r="AD363" s="27" t="s">
        <v>470</v>
      </c>
      <c r="AE363" s="28">
        <f t="shared" si="80"/>
        <v>2.0781051115999998</v>
      </c>
      <c r="AF363" s="197" t="s">
        <v>470</v>
      </c>
      <c r="AG363" s="84">
        <v>490</v>
      </c>
      <c r="AH363" s="157" t="s">
        <v>469</v>
      </c>
      <c r="AI363" s="8">
        <v>0.9082679941168833</v>
      </c>
      <c r="AJ363" s="9">
        <v>50.149150533988106</v>
      </c>
      <c r="AK363" s="9">
        <v>3.3827266025746843</v>
      </c>
      <c r="AL363" s="9">
        <v>12.387740515242719</v>
      </c>
      <c r="AM363" s="189">
        <v>11.236946465463063</v>
      </c>
      <c r="AN363" s="9">
        <v>0.10972105870800712</v>
      </c>
      <c r="AO363" s="9">
        <v>5.6709619822344646</v>
      </c>
      <c r="AP363" s="9">
        <v>9.5161675909230912</v>
      </c>
      <c r="AQ363" s="9">
        <v>2.9634662632059512</v>
      </c>
      <c r="AR363" s="9">
        <v>0.74305404598702229</v>
      </c>
      <c r="AS363" s="9">
        <v>0.36594117482969224</v>
      </c>
      <c r="AT363" s="190">
        <v>1337.3127735832431</v>
      </c>
      <c r="AU363" s="9">
        <v>0.55341283709081068</v>
      </c>
      <c r="AV363" s="6">
        <v>312.95821155125685</v>
      </c>
      <c r="AW363" s="27" t="s">
        <v>64</v>
      </c>
      <c r="AX363" s="6">
        <v>312.95821155125685</v>
      </c>
      <c r="AY363" s="8">
        <f t="shared" si="81"/>
        <v>2.2480305998925623</v>
      </c>
      <c r="AZ363" s="9">
        <f t="shared" si="82"/>
        <v>9.2142961016797127</v>
      </c>
      <c r="BA363" s="123">
        <v>50.058900000000001</v>
      </c>
      <c r="BB363" s="121">
        <v>3.6326000000000001</v>
      </c>
      <c r="BC363" s="121">
        <v>13.403700000000001</v>
      </c>
      <c r="BD363" s="121">
        <v>11.6381</v>
      </c>
      <c r="BE363" s="121">
        <v>0.1018</v>
      </c>
      <c r="BF363" s="121">
        <v>4.5696000000000003</v>
      </c>
      <c r="BG363" s="121">
        <v>8.5443999999999996</v>
      </c>
      <c r="BH363" s="121">
        <v>3.2378</v>
      </c>
      <c r="BI363" s="121">
        <v>0.81810000000000005</v>
      </c>
      <c r="BJ363" s="121">
        <v>0.40289999999999998</v>
      </c>
      <c r="BK363" s="121">
        <v>0.1472376856</v>
      </c>
      <c r="BL363" s="121">
        <f t="shared" si="85"/>
        <v>96.555137685599988</v>
      </c>
      <c r="BM363" s="121">
        <v>0.60930566823385501</v>
      </c>
      <c r="BN363" s="95">
        <v>344.56593602150298</v>
      </c>
      <c r="BO363" s="122" t="s">
        <v>64</v>
      </c>
      <c r="BP363" s="95">
        <v>344.56593602150298</v>
      </c>
      <c r="BQ363" s="194" t="s">
        <v>469</v>
      </c>
    </row>
    <row r="364" spans="11:69" ht="14.45" customHeight="1" thickBot="1">
      <c r="K364" s="223"/>
      <c r="L364" s="210" t="str">
        <f t="shared" si="83"/>
        <v>-</v>
      </c>
      <c r="M364" s="1025" t="s">
        <v>459</v>
      </c>
      <c r="N364" s="133" t="s">
        <v>460</v>
      </c>
      <c r="O364" s="161" t="s">
        <v>1349</v>
      </c>
      <c r="P364" s="133" t="s">
        <v>405</v>
      </c>
      <c r="Q364" s="133" t="s">
        <v>490</v>
      </c>
      <c r="R364" s="220">
        <v>81.041595032645091</v>
      </c>
      <c r="S364" s="220" t="s">
        <v>64</v>
      </c>
      <c r="T364" s="161">
        <f t="shared" si="84"/>
        <v>1130.538557472059</v>
      </c>
      <c r="U364" s="134" t="s">
        <v>300</v>
      </c>
      <c r="V364" s="206" t="s">
        <v>64</v>
      </c>
      <c r="W364" s="110" t="s">
        <v>64</v>
      </c>
      <c r="X364" s="107" t="s">
        <v>64</v>
      </c>
      <c r="Y364" s="105" t="s">
        <v>64</v>
      </c>
      <c r="Z364" s="105" t="s">
        <v>64</v>
      </c>
      <c r="AA364" s="135" t="s">
        <v>64</v>
      </c>
      <c r="AB364" s="97" t="s">
        <v>64</v>
      </c>
      <c r="AC364" s="135">
        <v>598.42610206814061</v>
      </c>
      <c r="AD364" s="134" t="s">
        <v>470</v>
      </c>
      <c r="AE364" s="136">
        <f t="shared" si="80"/>
        <v>2.5102797231192322</v>
      </c>
      <c r="AF364" s="212" t="s">
        <v>470</v>
      </c>
      <c r="AG364" s="170">
        <v>430</v>
      </c>
      <c r="AH364" s="213" t="s">
        <v>469</v>
      </c>
      <c r="AI364" s="164">
        <v>0.94964281589427857</v>
      </c>
      <c r="AJ364" s="165">
        <v>50.086189330429171</v>
      </c>
      <c r="AK364" s="165">
        <v>2.9542104943582981</v>
      </c>
      <c r="AL364" s="165">
        <v>13.582477908165721</v>
      </c>
      <c r="AM364" s="214">
        <v>10.886156481443942</v>
      </c>
      <c r="AN364" s="165">
        <v>0.22325805132544346</v>
      </c>
      <c r="AO364" s="165">
        <v>5.797938182689502</v>
      </c>
      <c r="AP364" s="165">
        <v>9.6615990691267744</v>
      </c>
      <c r="AQ364" s="165">
        <v>2.8689112792544327</v>
      </c>
      <c r="AR364" s="165">
        <v>0.59229222427326156</v>
      </c>
      <c r="AS364" s="165">
        <v>0.29192020160590126</v>
      </c>
      <c r="AT364" s="215">
        <v>1776.068447013462</v>
      </c>
      <c r="AU364" s="165">
        <v>0.55565752239580279</v>
      </c>
      <c r="AV364" s="167">
        <v>251.69610999505645</v>
      </c>
      <c r="AW364" s="134" t="s">
        <v>64</v>
      </c>
      <c r="AX364" s="167">
        <v>251.69610999505645</v>
      </c>
      <c r="AY364" s="164">
        <f t="shared" si="81"/>
        <v>2.1778525830590265</v>
      </c>
      <c r="AZ364" s="165">
        <f t="shared" si="82"/>
        <v>8.9266483147840319</v>
      </c>
      <c r="BA364" s="168">
        <v>50.009799999999998</v>
      </c>
      <c r="BB364" s="169">
        <v>3.0701000000000001</v>
      </c>
      <c r="BC364" s="169">
        <v>14.174200000000001</v>
      </c>
      <c r="BD364" s="169">
        <v>11.089600000000001</v>
      </c>
      <c r="BE364" s="169">
        <v>0.22600000000000001</v>
      </c>
      <c r="BF364" s="169">
        <v>5.2042999999999999</v>
      </c>
      <c r="BG364" s="169">
        <v>9.1630000000000003</v>
      </c>
      <c r="BH364" s="169">
        <v>3.0076000000000001</v>
      </c>
      <c r="BI364" s="169">
        <v>0.62370000000000003</v>
      </c>
      <c r="BJ364" s="169">
        <v>0.30740000000000001</v>
      </c>
      <c r="BK364" s="169">
        <v>0.18702489159999999</v>
      </c>
      <c r="BL364" s="169">
        <f t="shared" si="85"/>
        <v>97.062724891599999</v>
      </c>
      <c r="BM364" s="169">
        <v>0.58512265148085196</v>
      </c>
      <c r="BN364" s="101">
        <v>265.04292538456599</v>
      </c>
      <c r="BO364" s="171" t="s">
        <v>64</v>
      </c>
      <c r="BP364" s="101">
        <v>265.04292538456599</v>
      </c>
      <c r="BQ364" s="216" t="s">
        <v>469</v>
      </c>
    </row>
    <row r="365" spans="11:69" ht="14.45" customHeight="1">
      <c r="K365" s="224" t="s">
        <v>486</v>
      </c>
      <c r="L365" s="207" t="s">
        <v>483</v>
      </c>
      <c r="M365" s="763" t="s">
        <v>459</v>
      </c>
      <c r="N365" s="15" t="s">
        <v>460</v>
      </c>
      <c r="O365" s="14" t="s">
        <v>1350</v>
      </c>
      <c r="P365" s="15" t="s">
        <v>405</v>
      </c>
      <c r="Q365" s="15" t="s">
        <v>484</v>
      </c>
      <c r="R365" s="217">
        <v>77.603825959320005</v>
      </c>
      <c r="S365" s="217" t="s">
        <v>64</v>
      </c>
      <c r="T365" s="14">
        <f xml:space="preserve"> 20.1*AO365+1014</f>
        <v>1095.4391700000001</v>
      </c>
      <c r="U365" s="218" t="s">
        <v>1472</v>
      </c>
      <c r="V365" s="90" t="s">
        <v>462</v>
      </c>
      <c r="W365" s="109" t="s">
        <v>480</v>
      </c>
      <c r="X365" s="183" t="s">
        <v>64</v>
      </c>
      <c r="Y365" s="104" t="s">
        <v>64</v>
      </c>
      <c r="Z365" s="104" t="s">
        <v>64</v>
      </c>
      <c r="AA365" s="57" t="s">
        <v>64</v>
      </c>
      <c r="AB365" s="47" t="s">
        <v>64</v>
      </c>
      <c r="AC365" s="57">
        <v>130</v>
      </c>
      <c r="AD365" s="27" t="s">
        <v>470</v>
      </c>
      <c r="AE365" s="28">
        <f t="shared" si="80"/>
        <v>0.57278675479999996</v>
      </c>
      <c r="AF365" s="197" t="s">
        <v>470</v>
      </c>
      <c r="AG365" s="84">
        <v>130</v>
      </c>
      <c r="AH365" s="157" t="s">
        <v>469</v>
      </c>
      <c r="AI365" s="8">
        <v>1</v>
      </c>
      <c r="AJ365" s="9">
        <v>50.745199999999997</v>
      </c>
      <c r="AK365" s="9">
        <v>3.3797999999999999</v>
      </c>
      <c r="AL365" s="9">
        <v>13.6914</v>
      </c>
      <c r="AM365" s="189">
        <v>12.969337888977025</v>
      </c>
      <c r="AN365" s="9">
        <v>0.24199999999999999</v>
      </c>
      <c r="AO365" s="9">
        <v>4.0517000000000003</v>
      </c>
      <c r="AP365" s="9">
        <v>8.64</v>
      </c>
      <c r="AQ365" s="9">
        <v>2.8812000000000002</v>
      </c>
      <c r="AR365" s="9">
        <v>0.65439999999999998</v>
      </c>
      <c r="AS365" s="9">
        <v>0.41820000000000002</v>
      </c>
      <c r="AT365" s="190">
        <v>1023.45706</v>
      </c>
      <c r="AU365" s="9">
        <v>0.59504135352241005</v>
      </c>
      <c r="AV365" s="6">
        <v>48.832277963904502</v>
      </c>
      <c r="AW365" s="27" t="s">
        <v>64</v>
      </c>
      <c r="AX365" s="6">
        <v>48.832277963904502</v>
      </c>
      <c r="AY365" s="8">
        <f t="shared" si="81"/>
        <v>2.5946077543731443</v>
      </c>
      <c r="AZ365" s="9">
        <f t="shared" si="82"/>
        <v>10.634857068961162</v>
      </c>
      <c r="BA365" s="123">
        <v>50.745199999999997</v>
      </c>
      <c r="BB365" s="121">
        <v>3.3797999999999999</v>
      </c>
      <c r="BC365" s="121">
        <v>13.6914</v>
      </c>
      <c r="BD365" s="121">
        <v>12.971500000000001</v>
      </c>
      <c r="BE365" s="121">
        <v>0.24199999999999999</v>
      </c>
      <c r="BF365" s="121">
        <v>4.0517000000000003</v>
      </c>
      <c r="BG365" s="121">
        <v>8.64</v>
      </c>
      <c r="BH365" s="121">
        <v>2.8812000000000002</v>
      </c>
      <c r="BI365" s="121">
        <v>0.65439999999999998</v>
      </c>
      <c r="BJ365" s="121">
        <v>0.41820000000000002</v>
      </c>
      <c r="BK365" s="121">
        <v>0.10234570599999999</v>
      </c>
      <c r="BL365" s="121">
        <f>SUM(BA365:BK365)</f>
        <v>97.777745706000005</v>
      </c>
      <c r="BM365" s="121">
        <v>0.59504135352241005</v>
      </c>
      <c r="BN365" s="95">
        <v>48.832277963904502</v>
      </c>
      <c r="BO365" s="122" t="s">
        <v>64</v>
      </c>
      <c r="BP365" s="95">
        <v>48.832277963904502</v>
      </c>
      <c r="BQ365" s="194" t="s">
        <v>469</v>
      </c>
    </row>
    <row r="366" spans="11:69" ht="14.45" customHeight="1">
      <c r="L366" s="207" t="s">
        <v>483</v>
      </c>
      <c r="M366" s="763" t="s">
        <v>459</v>
      </c>
      <c r="N366" s="15" t="s">
        <v>460</v>
      </c>
      <c r="O366" s="14" t="s">
        <v>1351</v>
      </c>
      <c r="P366" s="15" t="s">
        <v>405</v>
      </c>
      <c r="Q366" s="15" t="s">
        <v>484</v>
      </c>
      <c r="R366" s="217">
        <v>79.422919399431805</v>
      </c>
      <c r="S366" s="217" t="s">
        <v>64</v>
      </c>
      <c r="T366" s="14">
        <f t="shared" ref="T366:T401" si="86" xml:space="preserve"> 20.1*AO366+1014</f>
        <v>1101.77469</v>
      </c>
      <c r="U366" s="218" t="s">
        <v>1472</v>
      </c>
      <c r="V366" s="90" t="s">
        <v>462</v>
      </c>
      <c r="W366" s="109" t="s">
        <v>480</v>
      </c>
      <c r="X366" s="183" t="s">
        <v>64</v>
      </c>
      <c r="Y366" s="104" t="s">
        <v>64</v>
      </c>
      <c r="Z366" s="104" t="s">
        <v>64</v>
      </c>
      <c r="AA366" s="57" t="s">
        <v>64</v>
      </c>
      <c r="AB366" s="47" t="s">
        <v>64</v>
      </c>
      <c r="AC366" s="57">
        <v>170</v>
      </c>
      <c r="AD366" s="27" t="s">
        <v>470</v>
      </c>
      <c r="AE366" s="28">
        <f t="shared" si="80"/>
        <v>0.74576292919999998</v>
      </c>
      <c r="AF366" s="197" t="s">
        <v>470</v>
      </c>
      <c r="AG366" s="84">
        <v>170</v>
      </c>
      <c r="AH366" s="157" t="s">
        <v>469</v>
      </c>
      <c r="AI366" s="8">
        <v>1</v>
      </c>
      <c r="AJ366" s="9">
        <v>50.8827</v>
      </c>
      <c r="AK366" s="9">
        <v>3.7806000000000002</v>
      </c>
      <c r="AL366" s="9">
        <v>13.457800000000001</v>
      </c>
      <c r="AM366" s="189">
        <v>11.597766542864495</v>
      </c>
      <c r="AN366" s="9">
        <v>0.20730000000000001</v>
      </c>
      <c r="AO366" s="9">
        <v>4.3669000000000002</v>
      </c>
      <c r="AP366" s="9">
        <v>8.3035999999999994</v>
      </c>
      <c r="AQ366" s="9">
        <v>3.2646999999999999</v>
      </c>
      <c r="AR366" s="9">
        <v>0.94930000000000003</v>
      </c>
      <c r="AS366" s="9">
        <v>0.50260000000000005</v>
      </c>
      <c r="AT366" s="190">
        <v>1313.228032</v>
      </c>
      <c r="AU366" s="9">
        <v>0.58518311669261902</v>
      </c>
      <c r="AV366" s="6">
        <v>79.222004523951796</v>
      </c>
      <c r="AW366" s="27" t="s">
        <v>64</v>
      </c>
      <c r="AX366" s="6">
        <v>79.222004523951796</v>
      </c>
      <c r="AY366" s="8">
        <f t="shared" si="81"/>
        <v>2.3202152078327223</v>
      </c>
      <c r="AZ366" s="9">
        <f t="shared" si="82"/>
        <v>9.5101685651488861</v>
      </c>
      <c r="BA366" s="123">
        <v>50.8827</v>
      </c>
      <c r="BB366" s="121">
        <v>3.7806000000000002</v>
      </c>
      <c r="BC366" s="121">
        <v>13.457800000000001</v>
      </c>
      <c r="BD366" s="121">
        <v>11.5997</v>
      </c>
      <c r="BE366" s="121">
        <v>0.20730000000000001</v>
      </c>
      <c r="BF366" s="121">
        <v>4.3669000000000002</v>
      </c>
      <c r="BG366" s="121">
        <v>8.3035999999999994</v>
      </c>
      <c r="BH366" s="121">
        <v>3.2646999999999999</v>
      </c>
      <c r="BI366" s="121">
        <v>0.94930000000000003</v>
      </c>
      <c r="BJ366" s="121">
        <v>0.50260000000000005</v>
      </c>
      <c r="BK366" s="121">
        <v>0.1313228032</v>
      </c>
      <c r="BL366" s="121">
        <f t="shared" ref="BL366:BL401" si="87">SUM(BA366:BK366)</f>
        <v>97.446522803200011</v>
      </c>
      <c r="BM366" s="121">
        <v>0.58518311669261902</v>
      </c>
      <c r="BN366" s="95">
        <v>79.222004523951796</v>
      </c>
      <c r="BO366" s="122" t="s">
        <v>64</v>
      </c>
      <c r="BP366" s="95">
        <v>79.222004523951796</v>
      </c>
      <c r="BQ366" s="194" t="s">
        <v>469</v>
      </c>
    </row>
    <row r="367" spans="11:69" ht="14.45" customHeight="1">
      <c r="L367" s="207" t="s">
        <v>483</v>
      </c>
      <c r="M367" s="763" t="s">
        <v>459</v>
      </c>
      <c r="N367" s="15" t="s">
        <v>460</v>
      </c>
      <c r="O367" s="14" t="s">
        <v>1352</v>
      </c>
      <c r="P367" s="15" t="s">
        <v>405</v>
      </c>
      <c r="Q367" s="15" t="s">
        <v>484</v>
      </c>
      <c r="R367" s="217">
        <v>75.960146416510995</v>
      </c>
      <c r="S367" s="217" t="s">
        <v>64</v>
      </c>
      <c r="T367" s="14">
        <f t="shared" si="86"/>
        <v>1103.51334</v>
      </c>
      <c r="U367" s="27" t="s">
        <v>300</v>
      </c>
      <c r="V367" s="90" t="s">
        <v>64</v>
      </c>
      <c r="W367" s="109" t="s">
        <v>64</v>
      </c>
      <c r="X367" s="183" t="s">
        <v>64</v>
      </c>
      <c r="Y367" s="104" t="s">
        <v>64</v>
      </c>
      <c r="Z367" s="104" t="s">
        <v>64</v>
      </c>
      <c r="AA367" s="57" t="s">
        <v>64</v>
      </c>
      <c r="AB367" s="47" t="s">
        <v>64</v>
      </c>
      <c r="AC367" s="57">
        <v>460</v>
      </c>
      <c r="AD367" s="27" t="s">
        <v>470</v>
      </c>
      <c r="AE367" s="28">
        <f t="shared" si="80"/>
        <v>1.9568885024</v>
      </c>
      <c r="AF367" s="197" t="s">
        <v>470</v>
      </c>
      <c r="AG367" s="84">
        <v>460</v>
      </c>
      <c r="AH367" s="157" t="s">
        <v>469</v>
      </c>
      <c r="AI367" s="8">
        <v>1</v>
      </c>
      <c r="AJ367" s="9">
        <v>49.696899999999999</v>
      </c>
      <c r="AK367" s="9">
        <v>3.8220999999999998</v>
      </c>
      <c r="AL367" s="9">
        <v>12.8131</v>
      </c>
      <c r="AM367" s="189">
        <v>13.296283384077475</v>
      </c>
      <c r="AN367" s="9">
        <v>0.20030000000000001</v>
      </c>
      <c r="AO367" s="9">
        <v>4.4534000000000002</v>
      </c>
      <c r="AP367" s="9">
        <v>8.9438999999999993</v>
      </c>
      <c r="AQ367" s="9">
        <v>2.9272999999999998</v>
      </c>
      <c r="AR367" s="9">
        <v>0.74990000000000001</v>
      </c>
      <c r="AS367" s="9">
        <v>0.51400000000000001</v>
      </c>
      <c r="AT367" s="190">
        <v>1324.2383279999999</v>
      </c>
      <c r="AU367" s="9">
        <v>0.40968719144073601</v>
      </c>
      <c r="AV367" s="6">
        <v>304.34368329709599</v>
      </c>
      <c r="AW367" s="27" t="s">
        <v>64</v>
      </c>
      <c r="AX367" s="6">
        <v>304.34368329709599</v>
      </c>
      <c r="AY367" s="8">
        <f t="shared" si="81"/>
        <v>2.6600155125876928</v>
      </c>
      <c r="AZ367" s="9">
        <f t="shared" si="82"/>
        <v>10.902952374943531</v>
      </c>
      <c r="BA367" s="123">
        <v>49.696899999999999</v>
      </c>
      <c r="BB367" s="121">
        <v>3.8220999999999998</v>
      </c>
      <c r="BC367" s="121">
        <v>12.8131</v>
      </c>
      <c r="BD367" s="121">
        <v>13.298500000000001</v>
      </c>
      <c r="BE367" s="121">
        <v>0.20030000000000001</v>
      </c>
      <c r="BF367" s="121">
        <v>4.4534000000000002</v>
      </c>
      <c r="BG367" s="121">
        <v>8.9438999999999993</v>
      </c>
      <c r="BH367" s="121">
        <v>2.9272999999999998</v>
      </c>
      <c r="BI367" s="121">
        <v>0.74990000000000001</v>
      </c>
      <c r="BJ367" s="121">
        <v>0.51400000000000001</v>
      </c>
      <c r="BK367" s="121">
        <v>0.1324238328</v>
      </c>
      <c r="BL367" s="121">
        <f t="shared" si="87"/>
        <v>97.551823832799997</v>
      </c>
      <c r="BM367" s="121">
        <v>0.40968719144073601</v>
      </c>
      <c r="BN367" s="95">
        <v>304.34368329709599</v>
      </c>
      <c r="BO367" s="122" t="s">
        <v>64</v>
      </c>
      <c r="BP367" s="95">
        <v>304.34368329709599</v>
      </c>
      <c r="BQ367" s="194" t="s">
        <v>469</v>
      </c>
    </row>
    <row r="368" spans="11:69" ht="14.45" customHeight="1">
      <c r="L368" s="207" t="s">
        <v>483</v>
      </c>
      <c r="M368" s="763" t="s">
        <v>459</v>
      </c>
      <c r="N368" s="15" t="s">
        <v>460</v>
      </c>
      <c r="O368" s="14" t="s">
        <v>1353</v>
      </c>
      <c r="P368" s="15" t="s">
        <v>405</v>
      </c>
      <c r="Q368" s="15" t="s">
        <v>484</v>
      </c>
      <c r="R368" s="217">
        <v>77.316731722089102</v>
      </c>
      <c r="S368" s="217" t="s">
        <v>64</v>
      </c>
      <c r="T368" s="14">
        <f t="shared" si="86"/>
        <v>1110.94029</v>
      </c>
      <c r="U368" s="27" t="s">
        <v>300</v>
      </c>
      <c r="V368" s="90" t="s">
        <v>64</v>
      </c>
      <c r="W368" s="109" t="s">
        <v>64</v>
      </c>
      <c r="X368" s="183" t="s">
        <v>64</v>
      </c>
      <c r="Y368" s="104" t="s">
        <v>64</v>
      </c>
      <c r="Z368" s="104" t="s">
        <v>64</v>
      </c>
      <c r="AA368" s="57" t="s">
        <v>64</v>
      </c>
      <c r="AB368" s="47" t="s">
        <v>64</v>
      </c>
      <c r="AC368" s="57">
        <v>430</v>
      </c>
      <c r="AD368" s="27" t="s">
        <v>470</v>
      </c>
      <c r="AE368" s="28">
        <f t="shared" si="80"/>
        <v>1.8349403587999999</v>
      </c>
      <c r="AF368" s="197" t="s">
        <v>470</v>
      </c>
      <c r="AG368" s="84">
        <v>430</v>
      </c>
      <c r="AH368" s="157" t="s">
        <v>469</v>
      </c>
      <c r="AI368" s="8">
        <v>1</v>
      </c>
      <c r="AJ368" s="9">
        <v>49.576599999999999</v>
      </c>
      <c r="AK368" s="9">
        <v>3.6025999999999998</v>
      </c>
      <c r="AL368" s="9">
        <v>13.1343</v>
      </c>
      <c r="AM368" s="189">
        <v>11.895016988409951</v>
      </c>
      <c r="AN368" s="9">
        <v>0.184</v>
      </c>
      <c r="AO368" s="9">
        <v>4.8228999999999997</v>
      </c>
      <c r="AP368" s="9">
        <v>9.0722000000000005</v>
      </c>
      <c r="AQ368" s="9">
        <v>2.7945000000000002</v>
      </c>
      <c r="AR368" s="9">
        <v>0.77270000000000005</v>
      </c>
      <c r="AS368" s="9">
        <v>0.40889999999999999</v>
      </c>
      <c r="AT368" s="190">
        <v>1518.4199120000001</v>
      </c>
      <c r="AU368" s="9">
        <v>0.59325192857810405</v>
      </c>
      <c r="AV368" s="6">
        <v>260.26178627889999</v>
      </c>
      <c r="AW368" s="27" t="s">
        <v>64</v>
      </c>
      <c r="AX368" s="6">
        <v>260.26178627889999</v>
      </c>
      <c r="AY368" s="8">
        <f t="shared" si="81"/>
        <v>2.3796822614020967</v>
      </c>
      <c r="AZ368" s="9">
        <f t="shared" si="82"/>
        <v>9.7539139304961608</v>
      </c>
      <c r="BA368" s="123">
        <v>49.576599999999999</v>
      </c>
      <c r="BB368" s="121">
        <v>3.6025999999999998</v>
      </c>
      <c r="BC368" s="121">
        <v>13.1343</v>
      </c>
      <c r="BD368" s="121">
        <v>11.897</v>
      </c>
      <c r="BE368" s="121">
        <v>0.184</v>
      </c>
      <c r="BF368" s="121">
        <v>4.8228999999999997</v>
      </c>
      <c r="BG368" s="121">
        <v>9.0722000000000005</v>
      </c>
      <c r="BH368" s="121">
        <v>2.7945000000000002</v>
      </c>
      <c r="BI368" s="121">
        <v>0.77270000000000005</v>
      </c>
      <c r="BJ368" s="121">
        <v>0.40889999999999999</v>
      </c>
      <c r="BK368" s="121">
        <v>0.1518419912</v>
      </c>
      <c r="BL368" s="121">
        <f t="shared" si="87"/>
        <v>96.417541991200011</v>
      </c>
      <c r="BM368" s="121">
        <v>0.59325192857810405</v>
      </c>
      <c r="BN368" s="95">
        <v>260.26178627889999</v>
      </c>
      <c r="BO368" s="122" t="s">
        <v>64</v>
      </c>
      <c r="BP368" s="95">
        <v>260.26178627889999</v>
      </c>
      <c r="BQ368" s="194" t="s">
        <v>469</v>
      </c>
    </row>
    <row r="369" spans="12:69" ht="14.45" customHeight="1">
      <c r="L369" s="207" t="s">
        <v>483</v>
      </c>
      <c r="M369" s="763" t="s">
        <v>459</v>
      </c>
      <c r="N369" s="15" t="s">
        <v>460</v>
      </c>
      <c r="O369" s="14" t="s">
        <v>1354</v>
      </c>
      <c r="P369" s="15" t="s">
        <v>405</v>
      </c>
      <c r="Q369" s="15" t="s">
        <v>484</v>
      </c>
      <c r="R369" s="217">
        <v>77.823845526723204</v>
      </c>
      <c r="S369" s="217" t="s">
        <v>64</v>
      </c>
      <c r="T369" s="14">
        <f t="shared" si="86"/>
        <v>1112.8317</v>
      </c>
      <c r="U369" s="27" t="s">
        <v>300</v>
      </c>
      <c r="V369" s="90" t="s">
        <v>64</v>
      </c>
      <c r="W369" s="109" t="s">
        <v>64</v>
      </c>
      <c r="X369" s="183" t="s">
        <v>64</v>
      </c>
      <c r="Y369" s="104" t="s">
        <v>64</v>
      </c>
      <c r="Z369" s="104" t="s">
        <v>64</v>
      </c>
      <c r="AA369" s="57" t="s">
        <v>64</v>
      </c>
      <c r="AB369" s="47" t="s">
        <v>64</v>
      </c>
      <c r="AC369" s="57">
        <v>440</v>
      </c>
      <c r="AD369" s="27" t="s">
        <v>470</v>
      </c>
      <c r="AE369" s="28">
        <f t="shared" si="80"/>
        <v>1.8756717055999999</v>
      </c>
      <c r="AF369" s="197" t="s">
        <v>470</v>
      </c>
      <c r="AG369" s="84">
        <v>440</v>
      </c>
      <c r="AH369" s="157" t="s">
        <v>469</v>
      </c>
      <c r="AI369" s="8">
        <v>1</v>
      </c>
      <c r="AJ369" s="9">
        <v>49.522399999999998</v>
      </c>
      <c r="AK369" s="9">
        <v>3.7397</v>
      </c>
      <c r="AL369" s="9">
        <v>12.8895</v>
      </c>
      <c r="AM369" s="189">
        <v>12.175670200870794</v>
      </c>
      <c r="AN369" s="9">
        <v>0.2596</v>
      </c>
      <c r="AO369" s="9">
        <v>4.9169999999999998</v>
      </c>
      <c r="AP369" s="9">
        <v>9.2082999999999995</v>
      </c>
      <c r="AQ369" s="9">
        <v>2.6815000000000002</v>
      </c>
      <c r="AR369" s="9">
        <v>0.78620000000000001</v>
      </c>
      <c r="AS369" s="9">
        <v>0.37430000000000002</v>
      </c>
      <c r="AT369" s="190">
        <v>1516.918508</v>
      </c>
      <c r="AU369" s="9">
        <v>0.57426790577159803</v>
      </c>
      <c r="AV369" s="6">
        <v>270.15682662152801</v>
      </c>
      <c r="AW369" s="27" t="s">
        <v>64</v>
      </c>
      <c r="AX369" s="6">
        <v>270.15682662152801</v>
      </c>
      <c r="AY369" s="8">
        <f t="shared" si="81"/>
        <v>2.4358289211293864</v>
      </c>
      <c r="AZ369" s="9">
        <f t="shared" si="82"/>
        <v>9.9840495647140521</v>
      </c>
      <c r="BA369" s="123">
        <v>49.522399999999998</v>
      </c>
      <c r="BB369" s="121">
        <v>3.7397</v>
      </c>
      <c r="BC369" s="121">
        <v>12.8895</v>
      </c>
      <c r="BD369" s="121">
        <v>12.1777</v>
      </c>
      <c r="BE369" s="121">
        <v>0.2596</v>
      </c>
      <c r="BF369" s="121">
        <v>4.9169999999999998</v>
      </c>
      <c r="BG369" s="121">
        <v>9.2082999999999995</v>
      </c>
      <c r="BH369" s="121">
        <v>2.6815000000000002</v>
      </c>
      <c r="BI369" s="121">
        <v>0.78620000000000001</v>
      </c>
      <c r="BJ369" s="121">
        <v>0.37430000000000002</v>
      </c>
      <c r="BK369" s="121">
        <v>0.1516918508</v>
      </c>
      <c r="BL369" s="121">
        <f t="shared" si="87"/>
        <v>96.70789185080001</v>
      </c>
      <c r="BM369" s="121">
        <v>0.57426790577159803</v>
      </c>
      <c r="BN369" s="95">
        <v>270.15682662152801</v>
      </c>
      <c r="BO369" s="122" t="s">
        <v>64</v>
      </c>
      <c r="BP369" s="95">
        <v>270.15682662152801</v>
      </c>
      <c r="BQ369" s="194" t="s">
        <v>469</v>
      </c>
    </row>
    <row r="370" spans="12:69" ht="14.45" customHeight="1">
      <c r="L370" s="207" t="s">
        <v>483</v>
      </c>
      <c r="M370" s="763" t="s">
        <v>459</v>
      </c>
      <c r="N370" s="15" t="s">
        <v>460</v>
      </c>
      <c r="O370" s="14" t="s">
        <v>1355</v>
      </c>
      <c r="P370" s="15" t="s">
        <v>405</v>
      </c>
      <c r="Q370" s="15" t="s">
        <v>484</v>
      </c>
      <c r="R370" s="217">
        <v>76.811581715979599</v>
      </c>
      <c r="S370" s="217" t="s">
        <v>64</v>
      </c>
      <c r="T370" s="14">
        <f t="shared" si="86"/>
        <v>1110.4538700000001</v>
      </c>
      <c r="U370" s="218" t="s">
        <v>1472</v>
      </c>
      <c r="V370" s="90" t="s">
        <v>462</v>
      </c>
      <c r="W370" s="109" t="s">
        <v>480</v>
      </c>
      <c r="X370" s="183" t="s">
        <v>64</v>
      </c>
      <c r="Y370" s="104" t="s">
        <v>64</v>
      </c>
      <c r="Z370" s="104" t="s">
        <v>64</v>
      </c>
      <c r="AA370" s="57" t="s">
        <v>64</v>
      </c>
      <c r="AB370" s="47" t="s">
        <v>64</v>
      </c>
      <c r="AC370" s="57">
        <v>140</v>
      </c>
      <c r="AD370" s="27" t="s">
        <v>470</v>
      </c>
      <c r="AE370" s="28">
        <f t="shared" si="80"/>
        <v>0.61617200960000007</v>
      </c>
      <c r="AF370" s="197" t="s">
        <v>470</v>
      </c>
      <c r="AG370" s="84">
        <v>140</v>
      </c>
      <c r="AH370" s="157" t="s">
        <v>469</v>
      </c>
      <c r="AI370" s="8">
        <v>1</v>
      </c>
      <c r="AJ370" s="9">
        <v>50.716500000000003</v>
      </c>
      <c r="AK370" s="9">
        <v>3.6812</v>
      </c>
      <c r="AL370" s="9">
        <v>12.811400000000001</v>
      </c>
      <c r="AM370" s="189">
        <v>12.42472868047178</v>
      </c>
      <c r="AN370" s="9">
        <v>0.1993</v>
      </c>
      <c r="AO370" s="9">
        <v>4.7987000000000002</v>
      </c>
      <c r="AP370" s="9">
        <v>8.9819999999999993</v>
      </c>
      <c r="AQ370" s="9">
        <v>2.8420999999999998</v>
      </c>
      <c r="AR370" s="9">
        <v>0.81759999999999999</v>
      </c>
      <c r="AS370" s="9">
        <v>0.39090000000000003</v>
      </c>
      <c r="AT370" s="190">
        <v>1396.8061879999998</v>
      </c>
      <c r="AU370" s="9">
        <v>0.60213493324178902</v>
      </c>
      <c r="AV370" s="6">
        <v>62.523655565353103</v>
      </c>
      <c r="AW370" s="27" t="s">
        <v>64</v>
      </c>
      <c r="AX370" s="6">
        <v>62.523655565353103</v>
      </c>
      <c r="AY370" s="8">
        <f t="shared" si="81"/>
        <v>2.485654831133191</v>
      </c>
      <c r="AZ370" s="9">
        <f t="shared" si="82"/>
        <v>10.18827751798686</v>
      </c>
      <c r="BA370" s="123">
        <v>50.716500000000003</v>
      </c>
      <c r="BB370" s="121">
        <v>3.6812</v>
      </c>
      <c r="BC370" s="121">
        <v>12.811400000000001</v>
      </c>
      <c r="BD370" s="121">
        <v>12.4268</v>
      </c>
      <c r="BE370" s="121">
        <v>0.1993</v>
      </c>
      <c r="BF370" s="121">
        <v>4.7987000000000002</v>
      </c>
      <c r="BG370" s="121">
        <v>8.9819999999999993</v>
      </c>
      <c r="BH370" s="121">
        <v>2.8420999999999998</v>
      </c>
      <c r="BI370" s="121">
        <v>0.81759999999999999</v>
      </c>
      <c r="BJ370" s="121">
        <v>0.39090000000000003</v>
      </c>
      <c r="BK370" s="121">
        <v>0.13968061879999999</v>
      </c>
      <c r="BL370" s="121">
        <f t="shared" si="87"/>
        <v>97.806180618799999</v>
      </c>
      <c r="BM370" s="121">
        <v>0.60213493324178902</v>
      </c>
      <c r="BN370" s="95">
        <v>62.523655565353103</v>
      </c>
      <c r="BO370" s="122" t="s">
        <v>64</v>
      </c>
      <c r="BP370" s="95">
        <v>62.523655565353103</v>
      </c>
      <c r="BQ370" s="194" t="s">
        <v>469</v>
      </c>
    </row>
    <row r="371" spans="12:69" ht="14.45" customHeight="1">
      <c r="L371" s="207" t="s">
        <v>483</v>
      </c>
      <c r="M371" s="763" t="s">
        <v>459</v>
      </c>
      <c r="N371" s="15" t="s">
        <v>460</v>
      </c>
      <c r="O371" s="14" t="s">
        <v>1356</v>
      </c>
      <c r="P371" s="15" t="s">
        <v>405</v>
      </c>
      <c r="Q371" s="15" t="s">
        <v>484</v>
      </c>
      <c r="R371" s="217">
        <v>76.811581715979599</v>
      </c>
      <c r="S371" s="217" t="s">
        <v>64</v>
      </c>
      <c r="T371" s="14">
        <f t="shared" si="86"/>
        <v>1114.1180999999999</v>
      </c>
      <c r="U371" s="218" t="s">
        <v>1472</v>
      </c>
      <c r="V371" s="90" t="s">
        <v>462</v>
      </c>
      <c r="W371" s="109" t="s">
        <v>480</v>
      </c>
      <c r="X371" s="183" t="s">
        <v>64</v>
      </c>
      <c r="Y371" s="104" t="s">
        <v>64</v>
      </c>
      <c r="Z371" s="104" t="s">
        <v>64</v>
      </c>
      <c r="AA371" s="57" t="s">
        <v>64</v>
      </c>
      <c r="AB371" s="47" t="s">
        <v>64</v>
      </c>
      <c r="AC371" s="57">
        <v>120</v>
      </c>
      <c r="AD371" s="27" t="s">
        <v>470</v>
      </c>
      <c r="AE371" s="28">
        <f t="shared" si="80"/>
        <v>0.52930667519999997</v>
      </c>
      <c r="AF371" s="197" t="s">
        <v>470</v>
      </c>
      <c r="AG371" s="84">
        <v>120</v>
      </c>
      <c r="AH371" s="157" t="s">
        <v>469</v>
      </c>
      <c r="AI371" s="8">
        <v>1</v>
      </c>
      <c r="AJ371" s="9">
        <v>50.700400000000002</v>
      </c>
      <c r="AK371" s="9">
        <v>3.6905000000000001</v>
      </c>
      <c r="AL371" s="9">
        <v>12.824199999999999</v>
      </c>
      <c r="AM371" s="189">
        <v>12.321045965358884</v>
      </c>
      <c r="AN371" s="9">
        <v>0.22559999999999999</v>
      </c>
      <c r="AO371" s="9">
        <v>4.9809999999999999</v>
      </c>
      <c r="AP371" s="9">
        <v>8.9435000000000002</v>
      </c>
      <c r="AQ371" s="9">
        <v>2.8866000000000001</v>
      </c>
      <c r="AR371" s="9">
        <v>0.79520000000000002</v>
      </c>
      <c r="AS371" s="9">
        <v>0.38650000000000001</v>
      </c>
      <c r="AT371" s="190">
        <v>1463.8688999999999</v>
      </c>
      <c r="AU371" s="9">
        <v>0.596006060957464</v>
      </c>
      <c r="AV371" s="6">
        <v>44.9791505262626</v>
      </c>
      <c r="AW371" s="27" t="s">
        <v>64</v>
      </c>
      <c r="AX371" s="6">
        <v>44.9791505262626</v>
      </c>
      <c r="AY371" s="8">
        <f t="shared" si="81"/>
        <v>2.4649123708064367</v>
      </c>
      <c r="AZ371" s="9">
        <f t="shared" si="82"/>
        <v>10.103257691594287</v>
      </c>
      <c r="BA371" s="123">
        <v>50.700400000000002</v>
      </c>
      <c r="BB371" s="121">
        <v>3.6905000000000001</v>
      </c>
      <c r="BC371" s="121">
        <v>12.824199999999999</v>
      </c>
      <c r="BD371" s="121">
        <v>12.3231</v>
      </c>
      <c r="BE371" s="121">
        <v>0.22559999999999999</v>
      </c>
      <c r="BF371" s="121">
        <v>4.9809999999999999</v>
      </c>
      <c r="BG371" s="121">
        <v>8.9435000000000002</v>
      </c>
      <c r="BH371" s="121">
        <v>2.8866000000000001</v>
      </c>
      <c r="BI371" s="121">
        <v>0.79520000000000002</v>
      </c>
      <c r="BJ371" s="121">
        <v>0.38650000000000001</v>
      </c>
      <c r="BK371" s="121">
        <v>0.14638688999999999</v>
      </c>
      <c r="BL371" s="121">
        <f t="shared" si="87"/>
        <v>97.902986889999994</v>
      </c>
      <c r="BM371" s="121">
        <v>0.596006060957464</v>
      </c>
      <c r="BN371" s="95">
        <v>44.9791505262626</v>
      </c>
      <c r="BO371" s="122" t="s">
        <v>64</v>
      </c>
      <c r="BP371" s="95">
        <v>44.9791505262626</v>
      </c>
      <c r="BQ371" s="194" t="s">
        <v>469</v>
      </c>
    </row>
    <row r="372" spans="12:69" ht="14.45" customHeight="1">
      <c r="L372" s="207" t="s">
        <v>483</v>
      </c>
      <c r="M372" s="763" t="s">
        <v>459</v>
      </c>
      <c r="N372" s="15" t="s">
        <v>460</v>
      </c>
      <c r="O372" s="14" t="s">
        <v>1357</v>
      </c>
      <c r="P372" s="15" t="s">
        <v>405</v>
      </c>
      <c r="Q372" s="15" t="s">
        <v>484</v>
      </c>
      <c r="R372" s="217">
        <v>76.811581715979599</v>
      </c>
      <c r="S372" s="217" t="s">
        <v>64</v>
      </c>
      <c r="T372" s="14">
        <f t="shared" si="86"/>
        <v>1113.1311900000001</v>
      </c>
      <c r="U372" s="218" t="s">
        <v>1472</v>
      </c>
      <c r="V372" s="90" t="s">
        <v>462</v>
      </c>
      <c r="W372" s="109" t="s">
        <v>480</v>
      </c>
      <c r="X372" s="183" t="s">
        <v>64</v>
      </c>
      <c r="Y372" s="104" t="s">
        <v>64</v>
      </c>
      <c r="Z372" s="104" t="s">
        <v>64</v>
      </c>
      <c r="AA372" s="57" t="s">
        <v>64</v>
      </c>
      <c r="AB372" s="47" t="s">
        <v>64</v>
      </c>
      <c r="AC372" s="57">
        <v>190</v>
      </c>
      <c r="AD372" s="27" t="s">
        <v>470</v>
      </c>
      <c r="AE372" s="28">
        <f t="shared" si="80"/>
        <v>0.83169027559999997</v>
      </c>
      <c r="AF372" s="197" t="s">
        <v>470</v>
      </c>
      <c r="AG372" s="84">
        <v>190</v>
      </c>
      <c r="AH372" s="157" t="s">
        <v>469</v>
      </c>
      <c r="AI372" s="8">
        <v>1</v>
      </c>
      <c r="AJ372" s="9">
        <v>49.826599999999999</v>
      </c>
      <c r="AK372" s="9">
        <v>3.6857000000000002</v>
      </c>
      <c r="AL372" s="9">
        <v>12.7944</v>
      </c>
      <c r="AM372" s="189">
        <v>12.325845165286964</v>
      </c>
      <c r="AN372" s="9">
        <v>0.19919999999999999</v>
      </c>
      <c r="AO372" s="9">
        <v>4.9318999999999997</v>
      </c>
      <c r="AP372" s="9">
        <v>8.9877000000000002</v>
      </c>
      <c r="AQ372" s="9">
        <v>2.8176999999999999</v>
      </c>
      <c r="AR372" s="9">
        <v>0.75629999999999997</v>
      </c>
      <c r="AS372" s="9">
        <v>0.47570000000000001</v>
      </c>
      <c r="AT372" s="190">
        <v>1479.8838760000001</v>
      </c>
      <c r="AU372" s="9">
        <v>0.60801537821639295</v>
      </c>
      <c r="AV372" s="6">
        <v>95.549118201760095</v>
      </c>
      <c r="AW372" s="27" t="s">
        <v>64</v>
      </c>
      <c r="AX372" s="6">
        <v>95.549118201760095</v>
      </c>
      <c r="AY372" s="8">
        <f t="shared" si="81"/>
        <v>2.465872484688485</v>
      </c>
      <c r="AZ372" s="9">
        <f t="shared" si="82"/>
        <v>10.107193035535312</v>
      </c>
      <c r="BA372" s="123">
        <v>49.826599999999999</v>
      </c>
      <c r="BB372" s="121">
        <v>3.6857000000000002</v>
      </c>
      <c r="BC372" s="121">
        <v>12.7944</v>
      </c>
      <c r="BD372" s="121">
        <v>12.3279</v>
      </c>
      <c r="BE372" s="121">
        <v>0.19919999999999999</v>
      </c>
      <c r="BF372" s="121">
        <v>4.9318999999999997</v>
      </c>
      <c r="BG372" s="121">
        <v>8.9877000000000002</v>
      </c>
      <c r="BH372" s="121">
        <v>2.8176999999999999</v>
      </c>
      <c r="BI372" s="121">
        <v>0.75629999999999997</v>
      </c>
      <c r="BJ372" s="121">
        <v>0.47570000000000001</v>
      </c>
      <c r="BK372" s="121">
        <v>0.14798838760000002</v>
      </c>
      <c r="BL372" s="121">
        <f t="shared" si="87"/>
        <v>96.951088387599995</v>
      </c>
      <c r="BM372" s="121">
        <v>0.60801537821639295</v>
      </c>
      <c r="BN372" s="95">
        <v>95.549118201760095</v>
      </c>
      <c r="BO372" s="122" t="s">
        <v>64</v>
      </c>
      <c r="BP372" s="95">
        <v>95.549118201760095</v>
      </c>
      <c r="BQ372" s="194" t="s">
        <v>469</v>
      </c>
    </row>
    <row r="373" spans="12:69" ht="14.45" customHeight="1">
      <c r="L373" s="207" t="s">
        <v>483</v>
      </c>
      <c r="M373" s="763" t="s">
        <v>459</v>
      </c>
      <c r="N373" s="15" t="s">
        <v>460</v>
      </c>
      <c r="O373" s="14" t="s">
        <v>1358</v>
      </c>
      <c r="P373" s="15" t="s">
        <v>405</v>
      </c>
      <c r="Q373" s="15" t="s">
        <v>484</v>
      </c>
      <c r="R373" s="217">
        <v>78.390563689443709</v>
      </c>
      <c r="S373" s="217" t="s">
        <v>64</v>
      </c>
      <c r="T373" s="14">
        <f t="shared" si="86"/>
        <v>1107.2278200000001</v>
      </c>
      <c r="U373" s="27" t="s">
        <v>300</v>
      </c>
      <c r="V373" s="90" t="s">
        <v>64</v>
      </c>
      <c r="W373" s="109" t="s">
        <v>64</v>
      </c>
      <c r="X373" s="183" t="s">
        <v>64</v>
      </c>
      <c r="Y373" s="104" t="s">
        <v>64</v>
      </c>
      <c r="Z373" s="104" t="s">
        <v>64</v>
      </c>
      <c r="AA373" s="57" t="s">
        <v>64</v>
      </c>
      <c r="AB373" s="47" t="s">
        <v>64</v>
      </c>
      <c r="AC373" s="57">
        <v>290</v>
      </c>
      <c r="AD373" s="27" t="s">
        <v>470</v>
      </c>
      <c r="AE373" s="28">
        <f t="shared" si="80"/>
        <v>1.2558509275999998</v>
      </c>
      <c r="AF373" s="197" t="s">
        <v>470</v>
      </c>
      <c r="AG373" s="84">
        <v>290</v>
      </c>
      <c r="AH373" s="157" t="s">
        <v>469</v>
      </c>
      <c r="AI373" s="8">
        <v>1</v>
      </c>
      <c r="AJ373" s="9">
        <v>51.0749</v>
      </c>
      <c r="AK373" s="9">
        <v>3.1838000000000002</v>
      </c>
      <c r="AL373" s="9">
        <v>13.657999999999999</v>
      </c>
      <c r="AM373" s="189">
        <v>12.161072634422885</v>
      </c>
      <c r="AN373" s="9">
        <v>8.4900000000000003E-2</v>
      </c>
      <c r="AO373" s="9">
        <v>4.6382000000000003</v>
      </c>
      <c r="AP373" s="9">
        <v>9.1473999999999993</v>
      </c>
      <c r="AQ373" s="9">
        <v>2.7505999999999999</v>
      </c>
      <c r="AR373" s="9">
        <v>0.63619999999999999</v>
      </c>
      <c r="AS373" s="9">
        <v>0.29110000000000003</v>
      </c>
      <c r="AT373" s="190">
        <v>1116.0436400000001</v>
      </c>
      <c r="AU373" s="9">
        <v>0.52235006706075504</v>
      </c>
      <c r="AV373" s="6">
        <v>165.43717061468701</v>
      </c>
      <c r="AW373" s="27" t="s">
        <v>64</v>
      </c>
      <c r="AX373" s="6">
        <v>165.43717061468701</v>
      </c>
      <c r="AY373" s="8">
        <f t="shared" si="81"/>
        <v>2.432908574738156</v>
      </c>
      <c r="AZ373" s="9">
        <f t="shared" si="82"/>
        <v>9.9720795602267671</v>
      </c>
      <c r="BA373" s="123">
        <v>51.0749</v>
      </c>
      <c r="BB373" s="121">
        <v>3.1838000000000002</v>
      </c>
      <c r="BC373" s="121">
        <v>13.657999999999999</v>
      </c>
      <c r="BD373" s="121">
        <v>12.1631</v>
      </c>
      <c r="BE373" s="121">
        <v>8.4900000000000003E-2</v>
      </c>
      <c r="BF373" s="121">
        <v>4.6382000000000003</v>
      </c>
      <c r="BG373" s="121">
        <v>9.1473999999999993</v>
      </c>
      <c r="BH373" s="121">
        <v>2.7505999999999999</v>
      </c>
      <c r="BI373" s="121">
        <v>0.63619999999999999</v>
      </c>
      <c r="BJ373" s="121">
        <v>0.29110000000000003</v>
      </c>
      <c r="BK373" s="121">
        <v>0.11160436400000001</v>
      </c>
      <c r="BL373" s="121">
        <f t="shared" si="87"/>
        <v>97.739804364000008</v>
      </c>
      <c r="BM373" s="121">
        <v>0.52235006706075504</v>
      </c>
      <c r="BN373" s="95">
        <v>165.43717061468701</v>
      </c>
      <c r="BO373" s="122" t="s">
        <v>64</v>
      </c>
      <c r="BP373" s="95">
        <v>165.43717061468701</v>
      </c>
      <c r="BQ373" s="194" t="s">
        <v>469</v>
      </c>
    </row>
    <row r="374" spans="12:69" ht="14.45" customHeight="1">
      <c r="L374" s="207" t="s">
        <v>483</v>
      </c>
      <c r="M374" s="763" t="s">
        <v>459</v>
      </c>
      <c r="N374" s="15" t="s">
        <v>460</v>
      </c>
      <c r="O374" s="14" t="s">
        <v>1359</v>
      </c>
      <c r="P374" s="15" t="s">
        <v>405</v>
      </c>
      <c r="Q374" s="15" t="s">
        <v>484</v>
      </c>
      <c r="R374" s="217">
        <v>76.370276354034502</v>
      </c>
      <c r="S374" s="217" t="s">
        <v>64</v>
      </c>
      <c r="T374" s="14">
        <f t="shared" si="86"/>
        <v>1101.02898</v>
      </c>
      <c r="U374" s="27" t="s">
        <v>300</v>
      </c>
      <c r="V374" s="90" t="s">
        <v>64</v>
      </c>
      <c r="W374" s="109" t="s">
        <v>64</v>
      </c>
      <c r="X374" s="183" t="s">
        <v>64</v>
      </c>
      <c r="Y374" s="104" t="s">
        <v>64</v>
      </c>
      <c r="Z374" s="104" t="s">
        <v>64</v>
      </c>
      <c r="AA374" s="57" t="s">
        <v>64</v>
      </c>
      <c r="AB374" s="47" t="s">
        <v>64</v>
      </c>
      <c r="AC374" s="57">
        <v>0</v>
      </c>
      <c r="AD374" s="27" t="s">
        <v>470</v>
      </c>
      <c r="AE374" s="28">
        <f t="shared" si="80"/>
        <v>0</v>
      </c>
      <c r="AF374" s="197" t="s">
        <v>470</v>
      </c>
      <c r="AG374" s="84">
        <v>0</v>
      </c>
      <c r="AH374" s="157" t="s">
        <v>469</v>
      </c>
      <c r="AI374" s="8">
        <v>1</v>
      </c>
      <c r="AJ374" s="9">
        <v>50.646299999999997</v>
      </c>
      <c r="AK374" s="9">
        <v>3.7902</v>
      </c>
      <c r="AL374" s="9">
        <v>12.732799999999999</v>
      </c>
      <c r="AM374" s="189">
        <v>12.333243931842754</v>
      </c>
      <c r="AN374" s="9">
        <v>0.21099999999999999</v>
      </c>
      <c r="AO374" s="9">
        <v>4.3297999999999996</v>
      </c>
      <c r="AP374" s="9">
        <v>8.9266000000000005</v>
      </c>
      <c r="AQ374" s="9">
        <v>2.7968999999999999</v>
      </c>
      <c r="AR374" s="9">
        <v>0.84940000000000004</v>
      </c>
      <c r="AS374" s="9">
        <v>0.45569999999999999</v>
      </c>
      <c r="AT374" s="190">
        <v>1587.484496</v>
      </c>
      <c r="AU374" s="9">
        <v>0</v>
      </c>
      <c r="AV374" s="6">
        <v>0</v>
      </c>
      <c r="AW374" s="27" t="s">
        <v>64</v>
      </c>
      <c r="AX374" s="6">
        <v>0</v>
      </c>
      <c r="AY374" s="8">
        <f t="shared" si="81"/>
        <v>2.4673526602566427</v>
      </c>
      <c r="AZ374" s="9">
        <f t="shared" si="82"/>
        <v>10.113260024111058</v>
      </c>
      <c r="BA374" s="123">
        <v>50.646299999999997</v>
      </c>
      <c r="BB374" s="121">
        <v>3.7902</v>
      </c>
      <c r="BC374" s="121">
        <v>12.732799999999999</v>
      </c>
      <c r="BD374" s="121">
        <v>12.3353</v>
      </c>
      <c r="BE374" s="121">
        <v>0.21099999999999999</v>
      </c>
      <c r="BF374" s="121">
        <v>4.3297999999999996</v>
      </c>
      <c r="BG374" s="121">
        <v>8.9266000000000005</v>
      </c>
      <c r="BH374" s="121">
        <v>2.7968999999999999</v>
      </c>
      <c r="BI374" s="121">
        <v>0.84940000000000004</v>
      </c>
      <c r="BJ374" s="121">
        <v>0.45569999999999999</v>
      </c>
      <c r="BK374" s="121">
        <v>0.15874844960000001</v>
      </c>
      <c r="BL374" s="121">
        <f t="shared" si="87"/>
        <v>97.232748449599995</v>
      </c>
      <c r="BM374" s="121">
        <v>0</v>
      </c>
      <c r="BN374" s="95">
        <v>0</v>
      </c>
      <c r="BO374" s="122" t="s">
        <v>64</v>
      </c>
      <c r="BP374" s="95">
        <v>0</v>
      </c>
      <c r="BQ374" s="194" t="s">
        <v>469</v>
      </c>
    </row>
    <row r="375" spans="12:69" ht="14.45" customHeight="1">
      <c r="L375" s="207" t="s">
        <v>483</v>
      </c>
      <c r="M375" s="763" t="s">
        <v>459</v>
      </c>
      <c r="N375" s="15" t="s">
        <v>460</v>
      </c>
      <c r="O375" s="14" t="s">
        <v>1360</v>
      </c>
      <c r="P375" s="15" t="s">
        <v>405</v>
      </c>
      <c r="Q375" s="15" t="s">
        <v>484</v>
      </c>
      <c r="R375" s="217">
        <v>76.370276354034502</v>
      </c>
      <c r="S375" s="217" t="s">
        <v>64</v>
      </c>
      <c r="T375" s="14">
        <f t="shared" si="86"/>
        <v>1101.99378</v>
      </c>
      <c r="U375" s="27" t="s">
        <v>300</v>
      </c>
      <c r="V375" s="90" t="s">
        <v>64</v>
      </c>
      <c r="W375" s="109" t="s">
        <v>64</v>
      </c>
      <c r="X375" s="183" t="s">
        <v>64</v>
      </c>
      <c r="Y375" s="104" t="s">
        <v>64</v>
      </c>
      <c r="Z375" s="104" t="s">
        <v>64</v>
      </c>
      <c r="AA375" s="57" t="s">
        <v>64</v>
      </c>
      <c r="AB375" s="47" t="s">
        <v>64</v>
      </c>
      <c r="AC375" s="57">
        <v>520</v>
      </c>
      <c r="AD375" s="27" t="s">
        <v>470</v>
      </c>
      <c r="AE375" s="28">
        <f t="shared" si="80"/>
        <v>2.1986012671999999</v>
      </c>
      <c r="AF375" s="197" t="s">
        <v>470</v>
      </c>
      <c r="AG375" s="84">
        <v>520</v>
      </c>
      <c r="AH375" s="157" t="s">
        <v>469</v>
      </c>
      <c r="AI375" s="8">
        <v>1</v>
      </c>
      <c r="AJ375" s="9">
        <v>51.5045</v>
      </c>
      <c r="AK375" s="9">
        <v>3.7732999999999999</v>
      </c>
      <c r="AL375" s="9">
        <v>12.950799999999999</v>
      </c>
      <c r="AM375" s="189">
        <v>12.852057440734569</v>
      </c>
      <c r="AN375" s="9">
        <v>0.23350000000000001</v>
      </c>
      <c r="AO375" s="9">
        <v>4.3777999999999997</v>
      </c>
      <c r="AP375" s="9">
        <v>8.8658999999999999</v>
      </c>
      <c r="AQ375" s="9">
        <v>2.8506</v>
      </c>
      <c r="AR375" s="9">
        <v>0.83750000000000002</v>
      </c>
      <c r="AS375" s="9">
        <v>0.43630000000000002</v>
      </c>
      <c r="AT375" s="190">
        <v>1477.3815360000001</v>
      </c>
      <c r="AU375" s="9">
        <v>0.65399843895055398</v>
      </c>
      <c r="AV375" s="6">
        <v>319.02499747830097</v>
      </c>
      <c r="AW375" s="27" t="s">
        <v>64</v>
      </c>
      <c r="AX375" s="6">
        <v>319.02499747830097</v>
      </c>
      <c r="AY375" s="8">
        <f t="shared" si="81"/>
        <v>2.5711449713805856</v>
      </c>
      <c r="AZ375" s="9">
        <f t="shared" si="82"/>
        <v>10.538687101402347</v>
      </c>
      <c r="BA375" s="123">
        <v>51.5045</v>
      </c>
      <c r="BB375" s="121">
        <v>3.7732999999999999</v>
      </c>
      <c r="BC375" s="121">
        <v>12.950799999999999</v>
      </c>
      <c r="BD375" s="121">
        <v>12.854200000000001</v>
      </c>
      <c r="BE375" s="121">
        <v>0.23350000000000001</v>
      </c>
      <c r="BF375" s="121">
        <v>4.3777999999999997</v>
      </c>
      <c r="BG375" s="121">
        <v>8.8658999999999999</v>
      </c>
      <c r="BH375" s="121">
        <v>2.8506</v>
      </c>
      <c r="BI375" s="121">
        <v>0.83750000000000002</v>
      </c>
      <c r="BJ375" s="121">
        <v>0.43630000000000002</v>
      </c>
      <c r="BK375" s="121">
        <v>0.14773815360000001</v>
      </c>
      <c r="BL375" s="121">
        <f t="shared" si="87"/>
        <v>98.832138153600013</v>
      </c>
      <c r="BM375" s="121">
        <v>0.65399843895055398</v>
      </c>
      <c r="BN375" s="95">
        <v>319.02499747830097</v>
      </c>
      <c r="BO375" s="122" t="s">
        <v>64</v>
      </c>
      <c r="BP375" s="95">
        <v>319.02499747830097</v>
      </c>
      <c r="BQ375" s="194" t="s">
        <v>469</v>
      </c>
    </row>
    <row r="376" spans="12:69" ht="14.45" customHeight="1">
      <c r="L376" s="207" t="s">
        <v>483</v>
      </c>
      <c r="M376" s="763" t="s">
        <v>459</v>
      </c>
      <c r="N376" s="15" t="s">
        <v>460</v>
      </c>
      <c r="O376" s="14" t="s">
        <v>1361</v>
      </c>
      <c r="P376" s="15" t="s">
        <v>405</v>
      </c>
      <c r="Q376" s="15" t="s">
        <v>484</v>
      </c>
      <c r="R376" s="217">
        <v>79.302612279962204</v>
      </c>
      <c r="S376" s="217" t="s">
        <v>64</v>
      </c>
      <c r="T376" s="14">
        <f t="shared" si="86"/>
        <v>1112.73723</v>
      </c>
      <c r="U376" s="218" t="s">
        <v>1472</v>
      </c>
      <c r="V376" s="90" t="s">
        <v>462</v>
      </c>
      <c r="W376" s="109" t="s">
        <v>480</v>
      </c>
      <c r="X376" s="183" t="s">
        <v>64</v>
      </c>
      <c r="Y376" s="104" t="s">
        <v>64</v>
      </c>
      <c r="Z376" s="104" t="s">
        <v>64</v>
      </c>
      <c r="AA376" s="57" t="s">
        <v>64</v>
      </c>
      <c r="AB376" s="47" t="s">
        <v>64</v>
      </c>
      <c r="AC376" s="57">
        <v>600</v>
      </c>
      <c r="AD376" s="27" t="s">
        <v>470</v>
      </c>
      <c r="AE376" s="28">
        <f t="shared" si="80"/>
        <v>2.5164863999999998</v>
      </c>
      <c r="AF376" s="197" t="s">
        <v>470</v>
      </c>
      <c r="AG376" s="84">
        <v>600</v>
      </c>
      <c r="AH376" s="157" t="s">
        <v>469</v>
      </c>
      <c r="AI376" s="8">
        <v>1</v>
      </c>
      <c r="AJ376" s="9">
        <v>50.611199999999997</v>
      </c>
      <c r="AK376" s="9">
        <v>4.3604000000000003</v>
      </c>
      <c r="AL376" s="9">
        <v>13.245799999999999</v>
      </c>
      <c r="AM376" s="189">
        <v>11.299416280668854</v>
      </c>
      <c r="AN376" s="9">
        <v>0.1991</v>
      </c>
      <c r="AO376" s="9">
        <v>4.9123000000000001</v>
      </c>
      <c r="AP376" s="9">
        <v>8.9403000000000006</v>
      </c>
      <c r="AQ376" s="9">
        <v>2.8458000000000001</v>
      </c>
      <c r="AR376" s="9">
        <v>0.80379999999999996</v>
      </c>
      <c r="AS376" s="9">
        <v>0.42380000000000001</v>
      </c>
      <c r="AT376" s="190">
        <v>1427.835204</v>
      </c>
      <c r="AU376" s="9">
        <v>0.60105649246695902</v>
      </c>
      <c r="AV376" s="6">
        <v>380.23624632911901</v>
      </c>
      <c r="AW376" s="27" t="s">
        <v>64</v>
      </c>
      <c r="AX376" s="6">
        <v>380.23624632911901</v>
      </c>
      <c r="AY376" s="8">
        <f t="shared" si="81"/>
        <v>2.2605281281653791</v>
      </c>
      <c r="AZ376" s="9">
        <f t="shared" si="82"/>
        <v>9.265521350148461</v>
      </c>
      <c r="BA376" s="123">
        <v>50.611199999999997</v>
      </c>
      <c r="BB376" s="121">
        <v>4.3604000000000003</v>
      </c>
      <c r="BC376" s="121">
        <v>13.245799999999999</v>
      </c>
      <c r="BD376" s="121">
        <v>11.301299999999999</v>
      </c>
      <c r="BE376" s="121">
        <v>0.1991</v>
      </c>
      <c r="BF376" s="121">
        <v>4.9123000000000001</v>
      </c>
      <c r="BG376" s="121">
        <v>8.9403000000000006</v>
      </c>
      <c r="BH376" s="121">
        <v>2.8458000000000001</v>
      </c>
      <c r="BI376" s="121">
        <v>0.80379999999999996</v>
      </c>
      <c r="BJ376" s="121">
        <v>0.42380000000000001</v>
      </c>
      <c r="BK376" s="121">
        <v>0.1427835204</v>
      </c>
      <c r="BL376" s="121">
        <f t="shared" si="87"/>
        <v>97.786583520400001</v>
      </c>
      <c r="BM376" s="121">
        <v>0.60105649246695902</v>
      </c>
      <c r="BN376" s="95">
        <v>380.23624632911901</v>
      </c>
      <c r="BO376" s="122" t="s">
        <v>64</v>
      </c>
      <c r="BP376" s="95">
        <v>380.23624632911901</v>
      </c>
      <c r="BQ376" s="194" t="s">
        <v>469</v>
      </c>
    </row>
    <row r="377" spans="12:69" ht="14.45" customHeight="1">
      <c r="L377" s="207" t="s">
        <v>483</v>
      </c>
      <c r="M377" s="763" t="s">
        <v>459</v>
      </c>
      <c r="N377" s="15" t="s">
        <v>460</v>
      </c>
      <c r="O377" s="14" t="s">
        <v>1362</v>
      </c>
      <c r="P377" s="15" t="s">
        <v>405</v>
      </c>
      <c r="Q377" s="15" t="s">
        <v>484</v>
      </c>
      <c r="R377" s="217">
        <v>79.302612279962204</v>
      </c>
      <c r="S377" s="217" t="s">
        <v>64</v>
      </c>
      <c r="T377" s="14">
        <f t="shared" si="86"/>
        <v>1114.1944800000001</v>
      </c>
      <c r="U377" s="218" t="s">
        <v>1472</v>
      </c>
      <c r="V377" s="90" t="s">
        <v>462</v>
      </c>
      <c r="W377" s="109" t="s">
        <v>480</v>
      </c>
      <c r="X377" s="183" t="s">
        <v>64</v>
      </c>
      <c r="Y377" s="104" t="s">
        <v>64</v>
      </c>
      <c r="Z377" s="104" t="s">
        <v>64</v>
      </c>
      <c r="AA377" s="57" t="s">
        <v>64</v>
      </c>
      <c r="AB377" s="47" t="s">
        <v>64</v>
      </c>
      <c r="AC377" s="57">
        <v>650</v>
      </c>
      <c r="AD377" s="27" t="s">
        <v>470</v>
      </c>
      <c r="AE377" s="28">
        <f t="shared" si="80"/>
        <v>2.7126963499999999</v>
      </c>
      <c r="AF377" s="197" t="s">
        <v>470</v>
      </c>
      <c r="AG377" s="84">
        <v>650</v>
      </c>
      <c r="AH377" s="157" t="s">
        <v>469</v>
      </c>
      <c r="AI377" s="8">
        <v>1</v>
      </c>
      <c r="AJ377" s="9">
        <v>50.112900000000003</v>
      </c>
      <c r="AK377" s="9">
        <v>4.0739000000000001</v>
      </c>
      <c r="AL377" s="9">
        <v>13.401899999999999</v>
      </c>
      <c r="AM377" s="189">
        <v>11.453390611694754</v>
      </c>
      <c r="AN377" s="9">
        <v>0.26479999999999998</v>
      </c>
      <c r="AO377" s="9">
        <v>4.9847999999999999</v>
      </c>
      <c r="AP377" s="9">
        <v>9.2146000000000008</v>
      </c>
      <c r="AQ377" s="9">
        <v>3.1126</v>
      </c>
      <c r="AR377" s="9">
        <v>0.73209999999999997</v>
      </c>
      <c r="AS377" s="9">
        <v>0.52300000000000002</v>
      </c>
      <c r="AT377" s="190">
        <v>1547.447056</v>
      </c>
      <c r="AU377" s="9">
        <v>0.61599460765851499</v>
      </c>
      <c r="AV377" s="6">
        <v>413.67087511928099</v>
      </c>
      <c r="AW377" s="27" t="s">
        <v>64</v>
      </c>
      <c r="AX377" s="6">
        <v>413.67087511928099</v>
      </c>
      <c r="AY377" s="8">
        <f t="shared" si="81"/>
        <v>2.291331781881099</v>
      </c>
      <c r="AZ377" s="9">
        <f t="shared" si="82"/>
        <v>9.3917803015896979</v>
      </c>
      <c r="BA377" s="123">
        <v>50.112900000000003</v>
      </c>
      <c r="BB377" s="121">
        <v>4.0739000000000001</v>
      </c>
      <c r="BC377" s="121">
        <v>13.401899999999999</v>
      </c>
      <c r="BD377" s="121">
        <v>11.455299999999999</v>
      </c>
      <c r="BE377" s="121">
        <v>0.26479999999999998</v>
      </c>
      <c r="BF377" s="121">
        <v>4.9847999999999999</v>
      </c>
      <c r="BG377" s="121">
        <v>9.2146000000000008</v>
      </c>
      <c r="BH377" s="121">
        <v>3.1126</v>
      </c>
      <c r="BI377" s="121">
        <v>0.73209999999999997</v>
      </c>
      <c r="BJ377" s="121">
        <v>0.52300000000000002</v>
      </c>
      <c r="BK377" s="121">
        <v>0.1547447056</v>
      </c>
      <c r="BL377" s="121">
        <f t="shared" si="87"/>
        <v>98.030644705599997</v>
      </c>
      <c r="BM377" s="121">
        <v>0.61599460765851499</v>
      </c>
      <c r="BN377" s="95">
        <v>413.67087511928099</v>
      </c>
      <c r="BO377" s="122" t="s">
        <v>64</v>
      </c>
      <c r="BP377" s="95">
        <v>413.67087511928099</v>
      </c>
      <c r="BQ377" s="194" t="s">
        <v>469</v>
      </c>
    </row>
    <row r="378" spans="12:69" ht="14.45" customHeight="1">
      <c r="L378" s="207" t="s">
        <v>483</v>
      </c>
      <c r="M378" s="763" t="s">
        <v>459</v>
      </c>
      <c r="N378" s="15" t="s">
        <v>460</v>
      </c>
      <c r="O378" s="14" t="s">
        <v>1363</v>
      </c>
      <c r="P378" s="15" t="s">
        <v>405</v>
      </c>
      <c r="Q378" s="15" t="s">
        <v>484</v>
      </c>
      <c r="R378" s="217">
        <v>79.302612279962204</v>
      </c>
      <c r="S378" s="217" t="s">
        <v>64</v>
      </c>
      <c r="T378" s="14">
        <f t="shared" si="86"/>
        <v>1114.7231099999999</v>
      </c>
      <c r="U378" s="218" t="s">
        <v>1472</v>
      </c>
      <c r="V378" s="90" t="s">
        <v>462</v>
      </c>
      <c r="W378" s="109" t="s">
        <v>480</v>
      </c>
      <c r="X378" s="183" t="s">
        <v>64</v>
      </c>
      <c r="Y378" s="104" t="s">
        <v>64</v>
      </c>
      <c r="Z378" s="104" t="s">
        <v>64</v>
      </c>
      <c r="AA378" s="57" t="s">
        <v>64</v>
      </c>
      <c r="AB378" s="47" t="s">
        <v>64</v>
      </c>
      <c r="AC378" s="57">
        <v>660</v>
      </c>
      <c r="AD378" s="27" t="s">
        <v>470</v>
      </c>
      <c r="AE378" s="28">
        <f t="shared" ref="AE378:AE441" si="88">(0.0684*((AC378/1000))^3-0.5008*((AC378/1000))^2+4.47*((AC378/1000)))</f>
        <v>2.7517162464</v>
      </c>
      <c r="AF378" s="197" t="s">
        <v>470</v>
      </c>
      <c r="AG378" s="84">
        <v>660</v>
      </c>
      <c r="AH378" s="157" t="s">
        <v>469</v>
      </c>
      <c r="AI378" s="8">
        <v>1</v>
      </c>
      <c r="AJ378" s="9">
        <v>49.771599999999999</v>
      </c>
      <c r="AK378" s="9">
        <v>4.0446999999999997</v>
      </c>
      <c r="AL378" s="9">
        <v>13.235099999999999</v>
      </c>
      <c r="AM378" s="189">
        <v>11.634960342307116</v>
      </c>
      <c r="AN378" s="9">
        <v>0.16930000000000001</v>
      </c>
      <c r="AO378" s="9">
        <v>5.0110999999999999</v>
      </c>
      <c r="AP378" s="9">
        <v>9.4415999999999993</v>
      </c>
      <c r="AQ378" s="9">
        <v>2.9289999999999998</v>
      </c>
      <c r="AR378" s="9">
        <v>0.71009999999999995</v>
      </c>
      <c r="AS378" s="9">
        <v>0.41959999999999997</v>
      </c>
      <c r="AT378" s="190">
        <v>1470.374984</v>
      </c>
      <c r="AU378" s="9">
        <v>0.61221743958001495</v>
      </c>
      <c r="AV378" s="6">
        <v>414.72404900198603</v>
      </c>
      <c r="AW378" s="27" t="s">
        <v>64</v>
      </c>
      <c r="AX378" s="6">
        <v>414.72404900198603</v>
      </c>
      <c r="AY378" s="8">
        <f t="shared" ref="AY378:AY441" si="89">IF(ISNUMBER(AM378),(AM378/71.84)*(0.18/2)*159.69,"-")</f>
        <v>2.3276560904185981</v>
      </c>
      <c r="AZ378" s="9">
        <f t="shared" ref="AZ378:AZ441" si="90">IF(ISNUMBER(AM378),(AM378/71.84)*(1-0.18)*71.84,"-")</f>
        <v>9.5406674806918339</v>
      </c>
      <c r="BA378" s="123">
        <v>49.771599999999999</v>
      </c>
      <c r="BB378" s="121">
        <v>4.0446999999999997</v>
      </c>
      <c r="BC378" s="121">
        <v>13.235099999999999</v>
      </c>
      <c r="BD378" s="121">
        <v>11.636900000000001</v>
      </c>
      <c r="BE378" s="121">
        <v>0.16930000000000001</v>
      </c>
      <c r="BF378" s="121">
        <v>5.0110999999999999</v>
      </c>
      <c r="BG378" s="121">
        <v>9.4415999999999993</v>
      </c>
      <c r="BH378" s="121">
        <v>2.9289999999999998</v>
      </c>
      <c r="BI378" s="121">
        <v>0.71009999999999995</v>
      </c>
      <c r="BJ378" s="121">
        <v>0.41959999999999997</v>
      </c>
      <c r="BK378" s="121">
        <v>0.14703749839999999</v>
      </c>
      <c r="BL378" s="121">
        <f t="shared" si="87"/>
        <v>97.516037498399996</v>
      </c>
      <c r="BM378" s="121">
        <v>0.61221743958001495</v>
      </c>
      <c r="BN378" s="95">
        <v>414.72404900198597</v>
      </c>
      <c r="BO378" s="122" t="s">
        <v>64</v>
      </c>
      <c r="BP378" s="95">
        <v>414.72404900198597</v>
      </c>
      <c r="BQ378" s="194" t="s">
        <v>469</v>
      </c>
    </row>
    <row r="379" spans="12:69" ht="14.45" customHeight="1">
      <c r="L379" s="207" t="s">
        <v>483</v>
      </c>
      <c r="M379" s="763" t="s">
        <v>459</v>
      </c>
      <c r="N379" s="15" t="s">
        <v>460</v>
      </c>
      <c r="O379" s="14" t="s">
        <v>1364</v>
      </c>
      <c r="P379" s="15" t="s">
        <v>405</v>
      </c>
      <c r="Q379" s="15" t="s">
        <v>484</v>
      </c>
      <c r="R379" s="217">
        <v>76.452952647875406</v>
      </c>
      <c r="S379" s="217" t="s">
        <v>64</v>
      </c>
      <c r="T379" s="14">
        <f t="shared" si="86"/>
        <v>1107.1494299999999</v>
      </c>
      <c r="U379" s="27" t="s">
        <v>300</v>
      </c>
      <c r="V379" s="90" t="s">
        <v>64</v>
      </c>
      <c r="W379" s="109" t="s">
        <v>64</v>
      </c>
      <c r="X379" s="183" t="s">
        <v>64</v>
      </c>
      <c r="Y379" s="104" t="s">
        <v>64</v>
      </c>
      <c r="Z379" s="104" t="s">
        <v>64</v>
      </c>
      <c r="AA379" s="57" t="s">
        <v>64</v>
      </c>
      <c r="AB379" s="47" t="s">
        <v>64</v>
      </c>
      <c r="AC379" s="57">
        <v>560</v>
      </c>
      <c r="AD379" s="27" t="s">
        <v>470</v>
      </c>
      <c r="AE379" s="28">
        <f t="shared" si="88"/>
        <v>2.3581612544000001</v>
      </c>
      <c r="AF379" s="197" t="s">
        <v>470</v>
      </c>
      <c r="AG379" s="84">
        <v>560</v>
      </c>
      <c r="AH379" s="157" t="s">
        <v>469</v>
      </c>
      <c r="AI379" s="8">
        <v>1</v>
      </c>
      <c r="AJ379" s="9">
        <v>49.709000000000003</v>
      </c>
      <c r="AK379" s="9">
        <v>3.8138999999999998</v>
      </c>
      <c r="AL379" s="9">
        <v>12.692299999999999</v>
      </c>
      <c r="AM379" s="189">
        <v>12.521112612360719</v>
      </c>
      <c r="AN379" s="9">
        <v>0.21859999999999999</v>
      </c>
      <c r="AO379" s="9">
        <v>4.6342999999999996</v>
      </c>
      <c r="AP379" s="9">
        <v>9.0656999999999996</v>
      </c>
      <c r="AQ379" s="9">
        <v>3.0598000000000001</v>
      </c>
      <c r="AR379" s="9">
        <v>0.76790000000000003</v>
      </c>
      <c r="AS379" s="9">
        <v>0.47270000000000001</v>
      </c>
      <c r="AT379" s="190">
        <v>1597.4938560000001</v>
      </c>
      <c r="AU379" s="9">
        <v>0.62475176671935495</v>
      </c>
      <c r="AV379" s="6">
        <v>351.742188221417</v>
      </c>
      <c r="AW379" s="27" t="s">
        <v>64</v>
      </c>
      <c r="AX379" s="6">
        <v>351.742188221417</v>
      </c>
      <c r="AY379" s="8">
        <f t="shared" si="89"/>
        <v>2.5049371182643299</v>
      </c>
      <c r="AZ379" s="9">
        <f t="shared" si="90"/>
        <v>10.267312342135792</v>
      </c>
      <c r="BA379" s="123">
        <v>49.709000000000003</v>
      </c>
      <c r="BB379" s="121">
        <v>3.8138999999999998</v>
      </c>
      <c r="BC379" s="121">
        <v>12.692299999999999</v>
      </c>
      <c r="BD379" s="121">
        <v>12.523199999999999</v>
      </c>
      <c r="BE379" s="121">
        <v>0.21859999999999999</v>
      </c>
      <c r="BF379" s="121">
        <v>4.6342999999999996</v>
      </c>
      <c r="BG379" s="121">
        <v>9.0656999999999996</v>
      </c>
      <c r="BH379" s="121">
        <v>3.0598000000000001</v>
      </c>
      <c r="BI379" s="121">
        <v>0.76790000000000003</v>
      </c>
      <c r="BJ379" s="121">
        <v>0.47270000000000001</v>
      </c>
      <c r="BK379" s="121">
        <v>0.15974938560000002</v>
      </c>
      <c r="BL379" s="121">
        <f t="shared" si="87"/>
        <v>97.117149385599973</v>
      </c>
      <c r="BM379" s="121">
        <v>0.62475176671935495</v>
      </c>
      <c r="BN379" s="95">
        <v>351.742188221417</v>
      </c>
      <c r="BO379" s="122" t="s">
        <v>64</v>
      </c>
      <c r="BP379" s="95">
        <v>351.742188221417</v>
      </c>
      <c r="BQ379" s="194" t="s">
        <v>469</v>
      </c>
    </row>
    <row r="380" spans="12:69" ht="14.45" customHeight="1">
      <c r="L380" s="207" t="s">
        <v>483</v>
      </c>
      <c r="M380" s="763" t="s">
        <v>459</v>
      </c>
      <c r="N380" s="15" t="s">
        <v>460</v>
      </c>
      <c r="O380" s="14" t="s">
        <v>1365</v>
      </c>
      <c r="P380" s="15" t="s">
        <v>405</v>
      </c>
      <c r="Q380" s="15" t="s">
        <v>484</v>
      </c>
      <c r="R380" s="217">
        <v>74.552531597537893</v>
      </c>
      <c r="S380" s="217" t="s">
        <v>64</v>
      </c>
      <c r="T380" s="14">
        <f t="shared" si="86"/>
        <v>1108.1323199999999</v>
      </c>
      <c r="U380" s="27" t="s">
        <v>300</v>
      </c>
      <c r="V380" s="90" t="s">
        <v>64</v>
      </c>
      <c r="W380" s="109" t="s">
        <v>64</v>
      </c>
      <c r="X380" s="183" t="s">
        <v>64</v>
      </c>
      <c r="Y380" s="104" t="s">
        <v>64</v>
      </c>
      <c r="Z380" s="104" t="s">
        <v>64</v>
      </c>
      <c r="AA380" s="57" t="s">
        <v>64</v>
      </c>
      <c r="AB380" s="47" t="s">
        <v>64</v>
      </c>
      <c r="AC380" s="57">
        <v>590</v>
      </c>
      <c r="AD380" s="27" t="s">
        <v>470</v>
      </c>
      <c r="AE380" s="28">
        <f t="shared" si="88"/>
        <v>2.4770194435999997</v>
      </c>
      <c r="AF380" s="197" t="s">
        <v>470</v>
      </c>
      <c r="AG380" s="84">
        <v>590</v>
      </c>
      <c r="AH380" s="157" t="s">
        <v>469</v>
      </c>
      <c r="AI380" s="8">
        <v>1</v>
      </c>
      <c r="AJ380" s="9">
        <v>50.442700000000002</v>
      </c>
      <c r="AK380" s="9">
        <v>4.1597999999999997</v>
      </c>
      <c r="AL380" s="9">
        <v>12.512700000000001</v>
      </c>
      <c r="AM380" s="189">
        <v>13.115313553456124</v>
      </c>
      <c r="AN380" s="9">
        <v>0.19339999999999999</v>
      </c>
      <c r="AO380" s="9">
        <v>4.6832000000000003</v>
      </c>
      <c r="AP380" s="9">
        <v>8.5161999999999995</v>
      </c>
      <c r="AQ380" s="9">
        <v>1.9308000000000001</v>
      </c>
      <c r="AR380" s="9">
        <v>0.84919999999999995</v>
      </c>
      <c r="AS380" s="9">
        <v>0.53210000000000002</v>
      </c>
      <c r="AT380" s="190">
        <v>1792.6763760000001</v>
      </c>
      <c r="AU380" s="9">
        <v>0.78748900746085904</v>
      </c>
      <c r="AV380" s="6">
        <v>371.18856813569005</v>
      </c>
      <c r="AW380" s="27" t="s">
        <v>64</v>
      </c>
      <c r="AX380" s="6">
        <v>371.18856813569005</v>
      </c>
      <c r="AY380" s="8">
        <f t="shared" si="89"/>
        <v>2.6238112182854501</v>
      </c>
      <c r="AZ380" s="9">
        <f t="shared" si="90"/>
        <v>10.754557113834021</v>
      </c>
      <c r="BA380" s="123">
        <v>50.442700000000002</v>
      </c>
      <c r="BB380" s="121">
        <v>4.1597999999999997</v>
      </c>
      <c r="BC380" s="121">
        <v>12.512700000000001</v>
      </c>
      <c r="BD380" s="121">
        <v>13.1175</v>
      </c>
      <c r="BE380" s="121">
        <v>0.19339999999999999</v>
      </c>
      <c r="BF380" s="121">
        <v>4.6832000000000003</v>
      </c>
      <c r="BG380" s="121">
        <v>8.5161999999999995</v>
      </c>
      <c r="BH380" s="121">
        <v>1.9308000000000001</v>
      </c>
      <c r="BI380" s="121">
        <v>0.84919999999999995</v>
      </c>
      <c r="BJ380" s="121">
        <v>0.53210000000000002</v>
      </c>
      <c r="BK380" s="121">
        <v>0.1792676376</v>
      </c>
      <c r="BL380" s="121">
        <f t="shared" si="87"/>
        <v>97.116867637599995</v>
      </c>
      <c r="BM380" s="121">
        <v>0.78748900746085904</v>
      </c>
      <c r="BN380" s="95">
        <v>371.18856813568999</v>
      </c>
      <c r="BO380" s="122" t="s">
        <v>64</v>
      </c>
      <c r="BP380" s="95">
        <v>371.18856813568999</v>
      </c>
      <c r="BQ380" s="194" t="s">
        <v>469</v>
      </c>
    </row>
    <row r="381" spans="12:69" ht="14.45" customHeight="1">
      <c r="L381" s="207" t="s">
        <v>483</v>
      </c>
      <c r="M381" s="763" t="s">
        <v>459</v>
      </c>
      <c r="N381" s="15" t="s">
        <v>460</v>
      </c>
      <c r="O381" s="14" t="s">
        <v>1366</v>
      </c>
      <c r="P381" s="15" t="s">
        <v>405</v>
      </c>
      <c r="Q381" s="15" t="s">
        <v>484</v>
      </c>
      <c r="R381" s="217">
        <v>77.295383646804808</v>
      </c>
      <c r="S381" s="217" t="s">
        <v>64</v>
      </c>
      <c r="T381" s="14">
        <f t="shared" si="86"/>
        <v>1107.2238</v>
      </c>
      <c r="U381" s="218" t="s">
        <v>1472</v>
      </c>
      <c r="V381" s="90" t="s">
        <v>462</v>
      </c>
      <c r="W381" s="109" t="s">
        <v>480</v>
      </c>
      <c r="X381" s="183" t="s">
        <v>64</v>
      </c>
      <c r="Y381" s="104" t="s">
        <v>64</v>
      </c>
      <c r="Z381" s="104" t="s">
        <v>64</v>
      </c>
      <c r="AA381" s="57" t="s">
        <v>64</v>
      </c>
      <c r="AB381" s="47" t="s">
        <v>64</v>
      </c>
      <c r="AC381" s="57">
        <v>290</v>
      </c>
      <c r="AD381" s="27" t="s">
        <v>470</v>
      </c>
      <c r="AE381" s="28">
        <f t="shared" si="88"/>
        <v>1.2558509275999998</v>
      </c>
      <c r="AF381" s="197" t="s">
        <v>470</v>
      </c>
      <c r="AG381" s="84">
        <v>290</v>
      </c>
      <c r="AH381" s="157" t="s">
        <v>469</v>
      </c>
      <c r="AI381" s="8">
        <v>1</v>
      </c>
      <c r="AJ381" s="9">
        <v>49.322699999999998</v>
      </c>
      <c r="AK381" s="9">
        <v>3.9468999999999999</v>
      </c>
      <c r="AL381" s="9">
        <v>13.0799</v>
      </c>
      <c r="AM381" s="189">
        <v>13.508448014231345</v>
      </c>
      <c r="AN381" s="9">
        <v>0.2437</v>
      </c>
      <c r="AO381" s="9">
        <v>4.6379999999999999</v>
      </c>
      <c r="AP381" s="9">
        <v>8.7161000000000008</v>
      </c>
      <c r="AQ381" s="9">
        <v>3.1314000000000002</v>
      </c>
      <c r="AR381" s="9">
        <v>0.67889999999999995</v>
      </c>
      <c r="AS381" s="9">
        <v>0.41870000000000002</v>
      </c>
      <c r="AT381" s="190">
        <v>1842.222708</v>
      </c>
      <c r="AU381" s="9">
        <v>0.778917038500195</v>
      </c>
      <c r="AV381" s="6">
        <v>139.051991488217</v>
      </c>
      <c r="AW381" s="27" t="s">
        <v>64</v>
      </c>
      <c r="AX381" s="6">
        <v>139.051991488217</v>
      </c>
      <c r="AY381" s="8">
        <f t="shared" si="89"/>
        <v>2.7024605471232501</v>
      </c>
      <c r="AZ381" s="9">
        <f t="shared" si="90"/>
        <v>11.076927371669704</v>
      </c>
      <c r="BA381" s="123">
        <v>49.322699999999998</v>
      </c>
      <c r="BB381" s="121">
        <v>3.9468999999999999</v>
      </c>
      <c r="BC381" s="121">
        <v>13.0799</v>
      </c>
      <c r="BD381" s="121">
        <v>13.5107</v>
      </c>
      <c r="BE381" s="121">
        <v>0.2437</v>
      </c>
      <c r="BF381" s="121">
        <v>4.6379999999999999</v>
      </c>
      <c r="BG381" s="121">
        <v>8.7161000000000008</v>
      </c>
      <c r="BH381" s="121">
        <v>3.1314000000000002</v>
      </c>
      <c r="BI381" s="121">
        <v>0.67889999999999995</v>
      </c>
      <c r="BJ381" s="121">
        <v>0.41870000000000002</v>
      </c>
      <c r="BK381" s="121">
        <v>0.1842222708</v>
      </c>
      <c r="BL381" s="121">
        <f t="shared" si="87"/>
        <v>97.871222270800004</v>
      </c>
      <c r="BM381" s="121">
        <v>0.778917038500195</v>
      </c>
      <c r="BN381" s="95">
        <v>139.051991488217</v>
      </c>
      <c r="BO381" s="122" t="s">
        <v>64</v>
      </c>
      <c r="BP381" s="95">
        <v>139.051991488217</v>
      </c>
      <c r="BQ381" s="194" t="s">
        <v>469</v>
      </c>
    </row>
    <row r="382" spans="12:69" ht="14.45" customHeight="1">
      <c r="L382" s="207" t="s">
        <v>483</v>
      </c>
      <c r="M382" s="763" t="s">
        <v>459</v>
      </c>
      <c r="N382" s="15" t="s">
        <v>460</v>
      </c>
      <c r="O382" s="14" t="s">
        <v>1367</v>
      </c>
      <c r="P382" s="15" t="s">
        <v>405</v>
      </c>
      <c r="Q382" s="15" t="s">
        <v>484</v>
      </c>
      <c r="R382" s="217">
        <v>76.966190935768097</v>
      </c>
      <c r="S382" s="217" t="s">
        <v>64</v>
      </c>
      <c r="T382" s="14">
        <f t="shared" si="86"/>
        <v>1107.3846000000001</v>
      </c>
      <c r="U382" s="218" t="s">
        <v>1472</v>
      </c>
      <c r="V382" s="90" t="s">
        <v>462</v>
      </c>
      <c r="W382" s="109" t="s">
        <v>480</v>
      </c>
      <c r="X382" s="183" t="s">
        <v>64</v>
      </c>
      <c r="Y382" s="104" t="s">
        <v>64</v>
      </c>
      <c r="Z382" s="104" t="s">
        <v>64</v>
      </c>
      <c r="AA382" s="57" t="s">
        <v>64</v>
      </c>
      <c r="AB382" s="47" t="s">
        <v>64</v>
      </c>
      <c r="AC382" s="57">
        <v>290</v>
      </c>
      <c r="AD382" s="27" t="s">
        <v>470</v>
      </c>
      <c r="AE382" s="28">
        <f t="shared" si="88"/>
        <v>1.2558509275999998</v>
      </c>
      <c r="AF382" s="197" t="s">
        <v>470</v>
      </c>
      <c r="AG382" s="84">
        <v>290</v>
      </c>
      <c r="AH382" s="157" t="s">
        <v>469</v>
      </c>
      <c r="AI382" s="8">
        <v>1</v>
      </c>
      <c r="AJ382" s="9">
        <v>49.633499999999998</v>
      </c>
      <c r="AK382" s="9">
        <v>3.9401999999999999</v>
      </c>
      <c r="AL382" s="9">
        <v>12.931699999999999</v>
      </c>
      <c r="AM382" s="189">
        <v>13.42096259887572</v>
      </c>
      <c r="AN382" s="9">
        <v>0.16619999999999999</v>
      </c>
      <c r="AO382" s="9">
        <v>4.6459999999999999</v>
      </c>
      <c r="AP382" s="9">
        <v>8.6465999999999994</v>
      </c>
      <c r="AQ382" s="9">
        <v>3.1619999999999999</v>
      </c>
      <c r="AR382" s="9">
        <v>0.7621</v>
      </c>
      <c r="AS382" s="9">
        <v>0.43669999999999998</v>
      </c>
      <c r="AT382" s="190">
        <v>1812.6950959999999</v>
      </c>
      <c r="AU382" s="9">
        <v>0.77723349538572095</v>
      </c>
      <c r="AV382" s="6">
        <v>142.23754898305799</v>
      </c>
      <c r="AW382" s="27" t="s">
        <v>64</v>
      </c>
      <c r="AX382" s="6">
        <v>142.23754898305799</v>
      </c>
      <c r="AY382" s="8">
        <f t="shared" si="89"/>
        <v>2.6849584711484091</v>
      </c>
      <c r="AZ382" s="9">
        <f t="shared" si="90"/>
        <v>11.005189331078091</v>
      </c>
      <c r="BA382" s="123">
        <v>49.633499999999998</v>
      </c>
      <c r="BB382" s="121">
        <v>3.9401999999999999</v>
      </c>
      <c r="BC382" s="121">
        <v>12.931699999999999</v>
      </c>
      <c r="BD382" s="121">
        <v>13.4232</v>
      </c>
      <c r="BE382" s="121">
        <v>0.16619999999999999</v>
      </c>
      <c r="BF382" s="121">
        <v>4.6459999999999999</v>
      </c>
      <c r="BG382" s="121">
        <v>8.6465999999999994</v>
      </c>
      <c r="BH382" s="121">
        <v>3.1619999999999999</v>
      </c>
      <c r="BI382" s="121">
        <v>0.7621</v>
      </c>
      <c r="BJ382" s="121">
        <v>0.43669999999999998</v>
      </c>
      <c r="BK382" s="121">
        <v>0.18126950959999999</v>
      </c>
      <c r="BL382" s="121">
        <f t="shared" si="87"/>
        <v>97.929469509599997</v>
      </c>
      <c r="BM382" s="121">
        <v>0.77723349538572095</v>
      </c>
      <c r="BN382" s="95">
        <v>142.23754898305799</v>
      </c>
      <c r="BO382" s="122" t="s">
        <v>64</v>
      </c>
      <c r="BP382" s="95">
        <v>142.23754898305799</v>
      </c>
      <c r="BQ382" s="194" t="s">
        <v>469</v>
      </c>
    </row>
    <row r="383" spans="12:69" ht="14.45" customHeight="1">
      <c r="L383" s="207" t="s">
        <v>483</v>
      </c>
      <c r="M383" s="763" t="s">
        <v>459</v>
      </c>
      <c r="N383" s="15" t="s">
        <v>460</v>
      </c>
      <c r="O383" s="14" t="s">
        <v>1368</v>
      </c>
      <c r="P383" s="15" t="s">
        <v>405</v>
      </c>
      <c r="Q383" s="15" t="s">
        <v>484</v>
      </c>
      <c r="R383" s="217">
        <v>77.115344751858089</v>
      </c>
      <c r="S383" s="217" t="s">
        <v>64</v>
      </c>
      <c r="T383" s="14">
        <f t="shared" si="86"/>
        <v>1109.6900700000001</v>
      </c>
      <c r="U383" s="218" t="s">
        <v>1472</v>
      </c>
      <c r="V383" s="90" t="s">
        <v>462</v>
      </c>
      <c r="W383" s="109" t="s">
        <v>480</v>
      </c>
      <c r="X383" s="183" t="s">
        <v>64</v>
      </c>
      <c r="Y383" s="104" t="s">
        <v>64</v>
      </c>
      <c r="Z383" s="104" t="s">
        <v>64</v>
      </c>
      <c r="AA383" s="57" t="s">
        <v>64</v>
      </c>
      <c r="AB383" s="47" t="s">
        <v>64</v>
      </c>
      <c r="AC383" s="57">
        <v>560</v>
      </c>
      <c r="AD383" s="27" t="s">
        <v>470</v>
      </c>
      <c r="AE383" s="28">
        <f t="shared" si="88"/>
        <v>2.3581612544000001</v>
      </c>
      <c r="AF383" s="197" t="s">
        <v>470</v>
      </c>
      <c r="AG383" s="84">
        <v>560</v>
      </c>
      <c r="AH383" s="157" t="s">
        <v>469</v>
      </c>
      <c r="AI383" s="8">
        <v>1</v>
      </c>
      <c r="AJ383" s="9">
        <v>49.589199999999998</v>
      </c>
      <c r="AK383" s="9">
        <v>3.9047999999999998</v>
      </c>
      <c r="AL383" s="9">
        <v>12.55</v>
      </c>
      <c r="AM383" s="189">
        <v>12.600499377837711</v>
      </c>
      <c r="AN383" s="9">
        <v>0.20760000000000001</v>
      </c>
      <c r="AO383" s="9">
        <v>4.7606999999999999</v>
      </c>
      <c r="AP383" s="9">
        <v>8.8393999999999995</v>
      </c>
      <c r="AQ383" s="9">
        <v>3.0445000000000002</v>
      </c>
      <c r="AR383" s="9">
        <v>0.71360000000000001</v>
      </c>
      <c r="AS383" s="9">
        <v>0.4229</v>
      </c>
      <c r="AT383" s="190">
        <v>1715.103836</v>
      </c>
      <c r="AU383" s="9">
        <v>0.87767535721491796</v>
      </c>
      <c r="AV383" s="6">
        <v>318.65463990061301</v>
      </c>
      <c r="AW383" s="27" t="s">
        <v>64</v>
      </c>
      <c r="AX383" s="6">
        <v>318.65463990061301</v>
      </c>
      <c r="AY383" s="8">
        <f t="shared" si="89"/>
        <v>2.5208190020632149</v>
      </c>
      <c r="AZ383" s="9">
        <f t="shared" si="90"/>
        <v>10.332409489826922</v>
      </c>
      <c r="BA383" s="123">
        <v>49.589199999999998</v>
      </c>
      <c r="BB383" s="121">
        <v>3.9047999999999998</v>
      </c>
      <c r="BC383" s="121">
        <v>12.55</v>
      </c>
      <c r="BD383" s="121">
        <v>12.602600000000001</v>
      </c>
      <c r="BE383" s="121">
        <v>0.20760000000000001</v>
      </c>
      <c r="BF383" s="121">
        <v>4.7606999999999999</v>
      </c>
      <c r="BG383" s="121">
        <v>8.8393999999999995</v>
      </c>
      <c r="BH383" s="121">
        <v>3.0445000000000002</v>
      </c>
      <c r="BI383" s="121">
        <v>0.71360000000000001</v>
      </c>
      <c r="BJ383" s="121">
        <v>0.4229</v>
      </c>
      <c r="BK383" s="121">
        <v>0.17151038360000001</v>
      </c>
      <c r="BL383" s="121">
        <f t="shared" si="87"/>
        <v>96.806810383599981</v>
      </c>
      <c r="BM383" s="121">
        <v>0.87767535721491796</v>
      </c>
      <c r="BN383" s="95">
        <v>318.65463990061301</v>
      </c>
      <c r="BO383" s="122" t="s">
        <v>64</v>
      </c>
      <c r="BP383" s="95">
        <v>318.65463990061301</v>
      </c>
      <c r="BQ383" s="194" t="s">
        <v>469</v>
      </c>
    </row>
    <row r="384" spans="12:69" ht="14.45" customHeight="1">
      <c r="L384" s="207" t="s">
        <v>483</v>
      </c>
      <c r="M384" s="763" t="s">
        <v>459</v>
      </c>
      <c r="N384" s="15" t="s">
        <v>460</v>
      </c>
      <c r="O384" s="14" t="s">
        <v>1369</v>
      </c>
      <c r="P384" s="15" t="s">
        <v>405</v>
      </c>
      <c r="Q384" s="15" t="s">
        <v>484</v>
      </c>
      <c r="R384" s="217">
        <v>77.06797681801099</v>
      </c>
      <c r="S384" s="217" t="s">
        <v>64</v>
      </c>
      <c r="T384" s="14">
        <f t="shared" si="86"/>
        <v>1102.8922500000001</v>
      </c>
      <c r="U384" s="218" t="s">
        <v>1472</v>
      </c>
      <c r="V384" s="90" t="s">
        <v>462</v>
      </c>
      <c r="W384" s="109" t="s">
        <v>480</v>
      </c>
      <c r="X384" s="183" t="s">
        <v>64</v>
      </c>
      <c r="Y384" s="104" t="s">
        <v>64</v>
      </c>
      <c r="Z384" s="104" t="s">
        <v>64</v>
      </c>
      <c r="AA384" s="57" t="s">
        <v>64</v>
      </c>
      <c r="AB384" s="47" t="s">
        <v>64</v>
      </c>
      <c r="AC384" s="57">
        <v>300</v>
      </c>
      <c r="AD384" s="27" t="s">
        <v>470</v>
      </c>
      <c r="AE384" s="28">
        <f t="shared" si="88"/>
        <v>1.2977748</v>
      </c>
      <c r="AF384" s="197" t="s">
        <v>470</v>
      </c>
      <c r="AG384" s="84">
        <v>300</v>
      </c>
      <c r="AH384" s="157" t="s">
        <v>469</v>
      </c>
      <c r="AI384" s="8">
        <v>1</v>
      </c>
      <c r="AJ384" s="9">
        <v>49.511699999999998</v>
      </c>
      <c r="AK384" s="9">
        <v>3.6573000000000002</v>
      </c>
      <c r="AL384" s="9">
        <v>13.111599999999999</v>
      </c>
      <c r="AM384" s="189">
        <v>12.760772658769215</v>
      </c>
      <c r="AN384" s="9">
        <v>0.17380000000000001</v>
      </c>
      <c r="AO384" s="9">
        <v>4.4225000000000003</v>
      </c>
      <c r="AP384" s="9">
        <v>8.8247999999999998</v>
      </c>
      <c r="AQ384" s="9">
        <v>2.9653</v>
      </c>
      <c r="AR384" s="9">
        <v>0.71689999999999998</v>
      </c>
      <c r="AS384" s="9">
        <v>0.41249999999999998</v>
      </c>
      <c r="AT384" s="190">
        <v>1715.604304</v>
      </c>
      <c r="AU384" s="9">
        <v>0.79137308159845898</v>
      </c>
      <c r="AV384" s="6">
        <v>138.125130687248</v>
      </c>
      <c r="AW384" s="27" t="s">
        <v>64</v>
      </c>
      <c r="AX384" s="6">
        <v>138.125130687248</v>
      </c>
      <c r="AY384" s="8">
        <f t="shared" si="89"/>
        <v>2.5528828052491233</v>
      </c>
      <c r="AZ384" s="9">
        <f t="shared" si="90"/>
        <v>10.463833580190757</v>
      </c>
      <c r="BA384" s="123">
        <v>49.511699999999998</v>
      </c>
      <c r="BB384" s="121">
        <v>3.6573000000000002</v>
      </c>
      <c r="BC384" s="121">
        <v>13.111599999999999</v>
      </c>
      <c r="BD384" s="121">
        <v>12.7629</v>
      </c>
      <c r="BE384" s="121">
        <v>0.17380000000000001</v>
      </c>
      <c r="BF384" s="121">
        <v>4.4225000000000003</v>
      </c>
      <c r="BG384" s="121">
        <v>8.8247999999999998</v>
      </c>
      <c r="BH384" s="121">
        <v>2.9653</v>
      </c>
      <c r="BI384" s="121">
        <v>0.71689999999999998</v>
      </c>
      <c r="BJ384" s="121">
        <v>0.41249999999999998</v>
      </c>
      <c r="BK384" s="121">
        <v>0.17156043039999999</v>
      </c>
      <c r="BL384" s="121">
        <f t="shared" si="87"/>
        <v>96.730860430399986</v>
      </c>
      <c r="BM384" s="121">
        <v>0.79137308159845898</v>
      </c>
      <c r="BN384" s="95">
        <v>138.125130687248</v>
      </c>
      <c r="BO384" s="122" t="s">
        <v>64</v>
      </c>
      <c r="BP384" s="95">
        <v>138.125130687248</v>
      </c>
      <c r="BQ384" s="194" t="s">
        <v>469</v>
      </c>
    </row>
    <row r="385" spans="12:69" ht="14.45" customHeight="1">
      <c r="L385" s="207" t="s">
        <v>483</v>
      </c>
      <c r="M385" s="763" t="s">
        <v>459</v>
      </c>
      <c r="N385" s="15" t="s">
        <v>460</v>
      </c>
      <c r="O385" s="14" t="s">
        <v>1370</v>
      </c>
      <c r="P385" s="15" t="s">
        <v>405</v>
      </c>
      <c r="Q385" s="15" t="s">
        <v>484</v>
      </c>
      <c r="R385" s="217">
        <v>77.235825162103694</v>
      </c>
      <c r="S385" s="217" t="s">
        <v>64</v>
      </c>
      <c r="T385" s="14">
        <f t="shared" si="86"/>
        <v>1115.09295</v>
      </c>
      <c r="U385" s="218" t="s">
        <v>1472</v>
      </c>
      <c r="V385" s="90" t="s">
        <v>462</v>
      </c>
      <c r="W385" s="109" t="s">
        <v>480</v>
      </c>
      <c r="X385" s="183" t="s">
        <v>64</v>
      </c>
      <c r="Y385" s="104" t="s">
        <v>64</v>
      </c>
      <c r="Z385" s="104" t="s">
        <v>64</v>
      </c>
      <c r="AA385" s="57" t="s">
        <v>64</v>
      </c>
      <c r="AB385" s="47" t="s">
        <v>64</v>
      </c>
      <c r="AC385" s="57">
        <v>510</v>
      </c>
      <c r="AD385" s="27" t="s">
        <v>470</v>
      </c>
      <c r="AE385" s="28">
        <f t="shared" si="88"/>
        <v>2.1585152484000001</v>
      </c>
      <c r="AF385" s="197" t="s">
        <v>470</v>
      </c>
      <c r="AG385" s="84">
        <v>510</v>
      </c>
      <c r="AH385" s="157" t="s">
        <v>469</v>
      </c>
      <c r="AI385" s="8">
        <v>1</v>
      </c>
      <c r="AJ385" s="9">
        <v>49.406599999999997</v>
      </c>
      <c r="AK385" s="9">
        <v>4.0045000000000002</v>
      </c>
      <c r="AL385" s="9">
        <v>12.361800000000001</v>
      </c>
      <c r="AM385" s="189">
        <v>13.19480030226495</v>
      </c>
      <c r="AN385" s="9">
        <v>0.2359</v>
      </c>
      <c r="AO385" s="9">
        <v>5.0294999999999996</v>
      </c>
      <c r="AP385" s="9">
        <v>9.1679999999999993</v>
      </c>
      <c r="AQ385" s="9">
        <v>2.7987000000000002</v>
      </c>
      <c r="AR385" s="9">
        <v>0.60619999999999996</v>
      </c>
      <c r="AS385" s="9">
        <v>0.3876</v>
      </c>
      <c r="AT385" s="190">
        <v>1937.8120960000001</v>
      </c>
      <c r="AU385" s="9">
        <v>0.88250356276766695</v>
      </c>
      <c r="AV385" s="6">
        <v>286.43953828338903</v>
      </c>
      <c r="AW385" s="27" t="s">
        <v>64</v>
      </c>
      <c r="AX385" s="6">
        <v>286.43953828338903</v>
      </c>
      <c r="AY385" s="8">
        <f t="shared" si="89"/>
        <v>2.6397131044568769</v>
      </c>
      <c r="AZ385" s="9">
        <f t="shared" si="90"/>
        <v>10.819736247857259</v>
      </c>
      <c r="BA385" s="123">
        <v>49.406599999999997</v>
      </c>
      <c r="BB385" s="121">
        <v>4.0045000000000002</v>
      </c>
      <c r="BC385" s="121">
        <v>12.361800000000001</v>
      </c>
      <c r="BD385" s="121">
        <v>13.196999999999999</v>
      </c>
      <c r="BE385" s="121">
        <v>0.2359</v>
      </c>
      <c r="BF385" s="121">
        <v>5.0294999999999996</v>
      </c>
      <c r="BG385" s="121">
        <v>9.1679999999999993</v>
      </c>
      <c r="BH385" s="121">
        <v>2.7987000000000002</v>
      </c>
      <c r="BI385" s="121">
        <v>0.60619999999999996</v>
      </c>
      <c r="BJ385" s="121">
        <v>0.3876</v>
      </c>
      <c r="BK385" s="121">
        <v>0.1937812096</v>
      </c>
      <c r="BL385" s="121">
        <f t="shared" si="87"/>
        <v>97.38958120960001</v>
      </c>
      <c r="BM385" s="121">
        <v>0.88250356276766695</v>
      </c>
      <c r="BN385" s="95">
        <v>286.43953828338903</v>
      </c>
      <c r="BO385" s="122" t="s">
        <v>64</v>
      </c>
      <c r="BP385" s="95">
        <v>286.43953828338903</v>
      </c>
      <c r="BQ385" s="194" t="s">
        <v>469</v>
      </c>
    </row>
    <row r="386" spans="12:69" ht="14.45" customHeight="1">
      <c r="L386" s="207" t="s">
        <v>483</v>
      </c>
      <c r="M386" s="763" t="s">
        <v>459</v>
      </c>
      <c r="N386" s="15" t="s">
        <v>460</v>
      </c>
      <c r="O386" s="14" t="s">
        <v>1371</v>
      </c>
      <c r="P386" s="15" t="s">
        <v>405</v>
      </c>
      <c r="Q386" s="15" t="s">
        <v>484</v>
      </c>
      <c r="R386" s="217">
        <v>75.702399901112599</v>
      </c>
      <c r="S386" s="217" t="s">
        <v>64</v>
      </c>
      <c r="T386" s="14">
        <f t="shared" si="86"/>
        <v>1110.9704400000001</v>
      </c>
      <c r="U386" s="218" t="s">
        <v>1472</v>
      </c>
      <c r="V386" s="90" t="s">
        <v>462</v>
      </c>
      <c r="W386" s="109" t="s">
        <v>480</v>
      </c>
      <c r="X386" s="183" t="s">
        <v>64</v>
      </c>
      <c r="Y386" s="104" t="s">
        <v>64</v>
      </c>
      <c r="Z386" s="104" t="s">
        <v>64</v>
      </c>
      <c r="AA386" s="57" t="s">
        <v>64</v>
      </c>
      <c r="AB386" s="47" t="s">
        <v>64</v>
      </c>
      <c r="AC386" s="57">
        <v>580</v>
      </c>
      <c r="AD386" s="27" t="s">
        <v>470</v>
      </c>
      <c r="AE386" s="28">
        <f t="shared" si="88"/>
        <v>2.4374765407999996</v>
      </c>
      <c r="AF386" s="197" t="s">
        <v>470</v>
      </c>
      <c r="AG386" s="84">
        <v>580</v>
      </c>
      <c r="AH386" s="157" t="s">
        <v>469</v>
      </c>
      <c r="AI386" s="8">
        <v>1</v>
      </c>
      <c r="AJ386" s="9">
        <v>50.173099999999998</v>
      </c>
      <c r="AK386" s="9">
        <v>4.0782999999999996</v>
      </c>
      <c r="AL386" s="9">
        <v>12.6435</v>
      </c>
      <c r="AM386" s="189">
        <v>13.325578500305131</v>
      </c>
      <c r="AN386" s="9">
        <v>0.18229999999999999</v>
      </c>
      <c r="AO386" s="9">
        <v>4.8243999999999998</v>
      </c>
      <c r="AP386" s="9">
        <v>8.7230000000000008</v>
      </c>
      <c r="AQ386" s="9">
        <v>3.0766</v>
      </c>
      <c r="AR386" s="9">
        <v>0.85680000000000001</v>
      </c>
      <c r="AS386" s="9">
        <v>0.46429999999999999</v>
      </c>
      <c r="AT386" s="190">
        <v>1626.521</v>
      </c>
      <c r="AU386" s="9">
        <v>0.749583920104264</v>
      </c>
      <c r="AV386" s="6">
        <v>361.27016130683802</v>
      </c>
      <c r="AW386" s="27" t="s">
        <v>64</v>
      </c>
      <c r="AX386" s="6">
        <v>361.27016130683802</v>
      </c>
      <c r="AY386" s="8">
        <f t="shared" si="89"/>
        <v>2.6658762077426967</v>
      </c>
      <c r="AZ386" s="9">
        <f t="shared" si="90"/>
        <v>10.926974370250207</v>
      </c>
      <c r="BA386" s="123">
        <v>50.173099999999998</v>
      </c>
      <c r="BB386" s="121">
        <v>4.0782999999999996</v>
      </c>
      <c r="BC386" s="121">
        <v>12.6435</v>
      </c>
      <c r="BD386" s="121">
        <v>13.3278</v>
      </c>
      <c r="BE386" s="121">
        <v>0.18229999999999999</v>
      </c>
      <c r="BF386" s="121">
        <v>4.8243999999999998</v>
      </c>
      <c r="BG386" s="121">
        <v>8.7230000000000008</v>
      </c>
      <c r="BH386" s="121">
        <v>3.0766</v>
      </c>
      <c r="BI386" s="121">
        <v>0.85680000000000001</v>
      </c>
      <c r="BJ386" s="121">
        <v>0.46429999999999999</v>
      </c>
      <c r="BK386" s="121">
        <v>0.16265209999999999</v>
      </c>
      <c r="BL386" s="121">
        <f t="shared" si="87"/>
        <v>98.512752099999986</v>
      </c>
      <c r="BM386" s="121">
        <v>0.749583920104264</v>
      </c>
      <c r="BN386" s="95">
        <v>361.27016130683802</v>
      </c>
      <c r="BO386" s="122" t="s">
        <v>64</v>
      </c>
      <c r="BP386" s="95">
        <v>361.27016130683802</v>
      </c>
      <c r="BQ386" s="194" t="s">
        <v>469</v>
      </c>
    </row>
    <row r="387" spans="12:69" ht="14.45" customHeight="1">
      <c r="L387" s="207" t="s">
        <v>483</v>
      </c>
      <c r="M387" s="763" t="s">
        <v>459</v>
      </c>
      <c r="N387" s="15" t="s">
        <v>460</v>
      </c>
      <c r="O387" s="14" t="s">
        <v>1372</v>
      </c>
      <c r="P387" s="15" t="s">
        <v>405</v>
      </c>
      <c r="Q387" s="15" t="s">
        <v>484</v>
      </c>
      <c r="R387" s="217">
        <v>77.480779049825202</v>
      </c>
      <c r="S387" s="217" t="s">
        <v>64</v>
      </c>
      <c r="T387" s="14">
        <f t="shared" si="86"/>
        <v>1093.9397100000001</v>
      </c>
      <c r="U387" s="27" t="s">
        <v>300</v>
      </c>
      <c r="V387" s="90" t="s">
        <v>64</v>
      </c>
      <c r="W387" s="109" t="s">
        <v>64</v>
      </c>
      <c r="X387" s="183" t="s">
        <v>64</v>
      </c>
      <c r="Y387" s="104" t="s">
        <v>64</v>
      </c>
      <c r="Z387" s="104" t="s">
        <v>64</v>
      </c>
      <c r="AA387" s="57" t="s">
        <v>64</v>
      </c>
      <c r="AB387" s="47" t="s">
        <v>64</v>
      </c>
      <c r="AC387" s="57">
        <v>540</v>
      </c>
      <c r="AD387" s="27" t="s">
        <v>470</v>
      </c>
      <c r="AE387" s="28">
        <f t="shared" si="88"/>
        <v>2.2785372576</v>
      </c>
      <c r="AF387" s="197" t="s">
        <v>470</v>
      </c>
      <c r="AG387" s="84">
        <v>540</v>
      </c>
      <c r="AH387" s="157" t="s">
        <v>469</v>
      </c>
      <c r="AI387" s="8">
        <v>1</v>
      </c>
      <c r="AJ387" s="9">
        <v>50.183799999999998</v>
      </c>
      <c r="AK387" s="9">
        <v>3.9321999999999999</v>
      </c>
      <c r="AL387" s="9">
        <v>12.9519</v>
      </c>
      <c r="AM387" s="189">
        <v>12.413530547306259</v>
      </c>
      <c r="AN387" s="9">
        <v>0.18229999999999999</v>
      </c>
      <c r="AO387" s="9">
        <v>3.9771000000000001</v>
      </c>
      <c r="AP387" s="9">
        <v>9.2308000000000003</v>
      </c>
      <c r="AQ387" s="9">
        <v>2.8908</v>
      </c>
      <c r="AR387" s="9">
        <v>0.80610000000000004</v>
      </c>
      <c r="AS387" s="9">
        <v>0.41010000000000002</v>
      </c>
      <c r="AT387" s="190">
        <v>1600.997132</v>
      </c>
      <c r="AU387" s="9">
        <v>0.48476036230084302</v>
      </c>
      <c r="AV387" s="6">
        <v>340.35929697225401</v>
      </c>
      <c r="AW387" s="27" t="s">
        <v>64</v>
      </c>
      <c r="AX387" s="6">
        <v>340.35929697225401</v>
      </c>
      <c r="AY387" s="8">
        <f t="shared" si="89"/>
        <v>2.483414565408411</v>
      </c>
      <c r="AZ387" s="9">
        <f t="shared" si="90"/>
        <v>10.179095048791133</v>
      </c>
      <c r="BA387" s="123">
        <v>50.183799999999998</v>
      </c>
      <c r="BB387" s="121">
        <v>3.9321999999999999</v>
      </c>
      <c r="BC387" s="121">
        <v>12.9519</v>
      </c>
      <c r="BD387" s="121">
        <v>12.4156</v>
      </c>
      <c r="BE387" s="121">
        <v>0.18229999999999999</v>
      </c>
      <c r="BF387" s="121">
        <v>3.9771000000000001</v>
      </c>
      <c r="BG387" s="121">
        <v>9.2308000000000003</v>
      </c>
      <c r="BH387" s="121">
        <v>2.8908</v>
      </c>
      <c r="BI387" s="121">
        <v>0.80610000000000004</v>
      </c>
      <c r="BJ387" s="121">
        <v>0.41010000000000002</v>
      </c>
      <c r="BK387" s="121">
        <v>0.16009971319999999</v>
      </c>
      <c r="BL387" s="121">
        <f t="shared" si="87"/>
        <v>97.140799713199996</v>
      </c>
      <c r="BM387" s="121">
        <v>0.48476036230084302</v>
      </c>
      <c r="BN387" s="95">
        <v>340.35929697225401</v>
      </c>
      <c r="BO387" s="122" t="s">
        <v>64</v>
      </c>
      <c r="BP387" s="95">
        <v>340.35929697225401</v>
      </c>
      <c r="BQ387" s="194" t="s">
        <v>469</v>
      </c>
    </row>
    <row r="388" spans="12:69" ht="14.45" customHeight="1">
      <c r="L388" s="207" t="s">
        <v>483</v>
      </c>
      <c r="M388" s="763" t="s">
        <v>459</v>
      </c>
      <c r="N388" s="15" t="s">
        <v>460</v>
      </c>
      <c r="O388" s="14" t="s">
        <v>1373</v>
      </c>
      <c r="P388" s="15" t="s">
        <v>405</v>
      </c>
      <c r="Q388" s="15" t="s">
        <v>484</v>
      </c>
      <c r="R388" s="217">
        <v>77.273973795649695</v>
      </c>
      <c r="S388" s="217" t="s">
        <v>64</v>
      </c>
      <c r="T388" s="14">
        <f t="shared" si="86"/>
        <v>1101.7344900000001</v>
      </c>
      <c r="U388" s="27" t="s">
        <v>300</v>
      </c>
      <c r="V388" s="90" t="s">
        <v>64</v>
      </c>
      <c r="W388" s="109" t="s">
        <v>64</v>
      </c>
      <c r="X388" s="183" t="s">
        <v>64</v>
      </c>
      <c r="Y388" s="104" t="s">
        <v>64</v>
      </c>
      <c r="Z388" s="104" t="s">
        <v>64</v>
      </c>
      <c r="AA388" s="57" t="s">
        <v>64</v>
      </c>
      <c r="AB388" s="47" t="s">
        <v>64</v>
      </c>
      <c r="AC388" s="57">
        <v>470</v>
      </c>
      <c r="AD388" s="27" t="s">
        <v>470</v>
      </c>
      <c r="AE388" s="28">
        <f t="shared" si="88"/>
        <v>1.9973747731999998</v>
      </c>
      <c r="AF388" s="197" t="s">
        <v>470</v>
      </c>
      <c r="AG388" s="84">
        <v>470</v>
      </c>
      <c r="AH388" s="157" t="s">
        <v>469</v>
      </c>
      <c r="AI388" s="8">
        <v>1</v>
      </c>
      <c r="AJ388" s="9">
        <v>49.132199999999997</v>
      </c>
      <c r="AK388" s="9">
        <v>3.8654999999999999</v>
      </c>
      <c r="AL388" s="9">
        <v>12.4558</v>
      </c>
      <c r="AM388" s="189">
        <v>12.588901311344848</v>
      </c>
      <c r="AN388" s="9">
        <v>0.21759999999999999</v>
      </c>
      <c r="AO388" s="9">
        <v>4.3648999999999996</v>
      </c>
      <c r="AP388" s="9">
        <v>9.1682000000000006</v>
      </c>
      <c r="AQ388" s="9">
        <v>2.7696999999999998</v>
      </c>
      <c r="AR388" s="9">
        <v>0.79979999999999996</v>
      </c>
      <c r="AS388" s="9">
        <v>0.53149999999999997</v>
      </c>
      <c r="AT388" s="190">
        <v>1523.92506</v>
      </c>
      <c r="AU388" s="9">
        <v>0.47609934757709699</v>
      </c>
      <c r="AV388" s="6">
        <v>304.659621991954</v>
      </c>
      <c r="AW388" s="27" t="s">
        <v>64</v>
      </c>
      <c r="AX388" s="6">
        <v>304.659621991954</v>
      </c>
      <c r="AY388" s="8">
        <f t="shared" si="89"/>
        <v>2.5184987268482639</v>
      </c>
      <c r="AZ388" s="9">
        <f t="shared" si="90"/>
        <v>10.322899075302777</v>
      </c>
      <c r="BA388" s="123">
        <v>49.132199999999997</v>
      </c>
      <c r="BB388" s="121">
        <v>3.8654999999999999</v>
      </c>
      <c r="BC388" s="121">
        <v>12.4558</v>
      </c>
      <c r="BD388" s="121">
        <v>12.590999999999999</v>
      </c>
      <c r="BE388" s="121">
        <v>0.21759999999999999</v>
      </c>
      <c r="BF388" s="121">
        <v>4.3648999999999996</v>
      </c>
      <c r="BG388" s="121">
        <v>9.1682000000000006</v>
      </c>
      <c r="BH388" s="121">
        <v>2.7696999999999998</v>
      </c>
      <c r="BI388" s="121">
        <v>0.79979999999999996</v>
      </c>
      <c r="BJ388" s="121">
        <v>0.53149999999999997</v>
      </c>
      <c r="BK388" s="121">
        <v>0.15239250600000001</v>
      </c>
      <c r="BL388" s="121">
        <f t="shared" si="87"/>
        <v>96.048592505999991</v>
      </c>
      <c r="BM388" s="121">
        <v>0.47609934757709699</v>
      </c>
      <c r="BN388" s="95">
        <v>304.659621991954</v>
      </c>
      <c r="BO388" s="122" t="s">
        <v>64</v>
      </c>
      <c r="BP388" s="95">
        <v>304.659621991954</v>
      </c>
      <c r="BQ388" s="194" t="s">
        <v>469</v>
      </c>
    </row>
    <row r="389" spans="12:69" ht="14.45" customHeight="1">
      <c r="L389" s="207" t="s">
        <v>483</v>
      </c>
      <c r="M389" s="763" t="s">
        <v>459</v>
      </c>
      <c r="N389" s="15" t="s">
        <v>460</v>
      </c>
      <c r="O389" s="14" t="s">
        <v>1374</v>
      </c>
      <c r="P389" s="15" t="s">
        <v>405</v>
      </c>
      <c r="Q389" s="15" t="s">
        <v>484</v>
      </c>
      <c r="R389" s="217">
        <v>75.461619449628699</v>
      </c>
      <c r="S389" s="217" t="s">
        <v>64</v>
      </c>
      <c r="T389" s="14">
        <f t="shared" si="86"/>
        <v>1104.9444599999999</v>
      </c>
      <c r="U389" s="218" t="s">
        <v>1472</v>
      </c>
      <c r="V389" s="90" t="s">
        <v>462</v>
      </c>
      <c r="W389" s="109" t="s">
        <v>480</v>
      </c>
      <c r="X389" s="183" t="s">
        <v>64</v>
      </c>
      <c r="Y389" s="104" t="s">
        <v>64</v>
      </c>
      <c r="Z389" s="104" t="s">
        <v>64</v>
      </c>
      <c r="AA389" s="57" t="s">
        <v>64</v>
      </c>
      <c r="AB389" s="47" t="s">
        <v>64</v>
      </c>
      <c r="AC389" s="57">
        <v>290</v>
      </c>
      <c r="AD389" s="27" t="s">
        <v>470</v>
      </c>
      <c r="AE389" s="28">
        <f t="shared" si="88"/>
        <v>1.2558509275999998</v>
      </c>
      <c r="AF389" s="197" t="s">
        <v>470</v>
      </c>
      <c r="AG389" s="84">
        <v>290</v>
      </c>
      <c r="AH389" s="157" t="s">
        <v>469</v>
      </c>
      <c r="AI389" s="8">
        <v>1</v>
      </c>
      <c r="AJ389" s="9">
        <v>49.805399999999999</v>
      </c>
      <c r="AK389" s="9">
        <v>3.8896999999999999</v>
      </c>
      <c r="AL389" s="9">
        <v>13.489599999999999</v>
      </c>
      <c r="AM389" s="189">
        <v>12.305248598928955</v>
      </c>
      <c r="AN389" s="9">
        <v>0.2248</v>
      </c>
      <c r="AO389" s="9">
        <v>4.5246000000000004</v>
      </c>
      <c r="AP389" s="9">
        <v>8.7911999999999999</v>
      </c>
      <c r="AQ389" s="9">
        <v>3.1080000000000001</v>
      </c>
      <c r="AR389" s="9">
        <v>0.69040000000000001</v>
      </c>
      <c r="AS389" s="9">
        <v>0.38529999999999998</v>
      </c>
      <c r="AT389" s="190">
        <v>1968.8411120000001</v>
      </c>
      <c r="AU389" s="9">
        <v>0.73462754101724603</v>
      </c>
      <c r="AV389" s="6">
        <v>145.59067998691199</v>
      </c>
      <c r="AW389" s="27" t="s">
        <v>64</v>
      </c>
      <c r="AX389" s="6">
        <v>145.59067998691199</v>
      </c>
      <c r="AY389" s="8">
        <f t="shared" si="89"/>
        <v>2.4617519959446938</v>
      </c>
      <c r="AZ389" s="9">
        <f t="shared" si="90"/>
        <v>10.090303851121742</v>
      </c>
      <c r="BA389" s="123">
        <v>49.805399999999999</v>
      </c>
      <c r="BB389" s="121">
        <v>3.8896999999999999</v>
      </c>
      <c r="BC389" s="121">
        <v>13.489599999999999</v>
      </c>
      <c r="BD389" s="121">
        <v>12.3073</v>
      </c>
      <c r="BE389" s="121">
        <v>0.2248</v>
      </c>
      <c r="BF389" s="121">
        <v>4.5246000000000004</v>
      </c>
      <c r="BG389" s="121">
        <v>8.7911999999999999</v>
      </c>
      <c r="BH389" s="121">
        <v>3.1080000000000001</v>
      </c>
      <c r="BI389" s="121">
        <v>0.69040000000000001</v>
      </c>
      <c r="BJ389" s="121">
        <v>0.38529999999999998</v>
      </c>
      <c r="BK389" s="121">
        <v>0.19688411120000002</v>
      </c>
      <c r="BL389" s="121">
        <f t="shared" si="87"/>
        <v>97.41318411120001</v>
      </c>
      <c r="BM389" s="121">
        <v>0.73462754101724603</v>
      </c>
      <c r="BN389" s="95">
        <v>145.59067998691199</v>
      </c>
      <c r="BO389" s="122" t="s">
        <v>64</v>
      </c>
      <c r="BP389" s="95">
        <v>145.59067998691199</v>
      </c>
      <c r="BQ389" s="194" t="s">
        <v>469</v>
      </c>
    </row>
    <row r="390" spans="12:69" ht="14.45" customHeight="1">
      <c r="L390" s="207" t="s">
        <v>483</v>
      </c>
      <c r="M390" s="763" t="s">
        <v>459</v>
      </c>
      <c r="N390" s="15" t="s">
        <v>460</v>
      </c>
      <c r="O390" s="14" t="s">
        <v>1375</v>
      </c>
      <c r="P390" s="15" t="s">
        <v>405</v>
      </c>
      <c r="Q390" s="15" t="s">
        <v>484</v>
      </c>
      <c r="R390" s="217">
        <v>77.101193394150002</v>
      </c>
      <c r="S390" s="217" t="s">
        <v>64</v>
      </c>
      <c r="T390" s="14">
        <f t="shared" si="86"/>
        <v>1110.9422999999999</v>
      </c>
      <c r="U390" s="218" t="s">
        <v>1472</v>
      </c>
      <c r="V390" s="90" t="s">
        <v>462</v>
      </c>
      <c r="W390" s="109" t="s">
        <v>480</v>
      </c>
      <c r="X390" s="183" t="s">
        <v>64</v>
      </c>
      <c r="Y390" s="104" t="s">
        <v>64</v>
      </c>
      <c r="Z390" s="104" t="s">
        <v>64</v>
      </c>
      <c r="AA390" s="57" t="s">
        <v>64</v>
      </c>
      <c r="AB390" s="47" t="s">
        <v>64</v>
      </c>
      <c r="AC390" s="57">
        <v>540</v>
      </c>
      <c r="AD390" s="27" t="s">
        <v>470</v>
      </c>
      <c r="AE390" s="28">
        <f t="shared" si="88"/>
        <v>2.2785372576</v>
      </c>
      <c r="AF390" s="197" t="s">
        <v>470</v>
      </c>
      <c r="AG390" s="84">
        <v>540</v>
      </c>
      <c r="AH390" s="157" t="s">
        <v>469</v>
      </c>
      <c r="AI390" s="8">
        <v>1</v>
      </c>
      <c r="AJ390" s="9">
        <v>49.447499999999998</v>
      </c>
      <c r="AK390" s="9">
        <v>4.1985000000000001</v>
      </c>
      <c r="AL390" s="9">
        <v>12.593999999999999</v>
      </c>
      <c r="AM390" s="189">
        <v>12.802665674808079</v>
      </c>
      <c r="AN390" s="9">
        <v>0.1588</v>
      </c>
      <c r="AO390" s="9">
        <v>4.8230000000000004</v>
      </c>
      <c r="AP390" s="9">
        <v>8.4957999999999991</v>
      </c>
      <c r="AQ390" s="9">
        <v>2.9325999999999999</v>
      </c>
      <c r="AR390" s="9">
        <v>0.79710000000000003</v>
      </c>
      <c r="AS390" s="9">
        <v>0.4597</v>
      </c>
      <c r="AT390" s="190">
        <v>1669.06078</v>
      </c>
      <c r="AU390" s="9">
        <v>0.71469347488017498</v>
      </c>
      <c r="AV390" s="6">
        <v>336.49248444077602</v>
      </c>
      <c r="AW390" s="27" t="s">
        <v>64</v>
      </c>
      <c r="AX390" s="6">
        <v>336.49248444077602</v>
      </c>
      <c r="AY390" s="8">
        <f t="shared" si="89"/>
        <v>2.5612637993445038</v>
      </c>
      <c r="AZ390" s="9">
        <f t="shared" si="90"/>
        <v>10.498185853342626</v>
      </c>
      <c r="BA390" s="123">
        <v>49.447499999999998</v>
      </c>
      <c r="BB390" s="121">
        <v>4.1985000000000001</v>
      </c>
      <c r="BC390" s="121">
        <v>12.593999999999999</v>
      </c>
      <c r="BD390" s="121">
        <v>12.8048</v>
      </c>
      <c r="BE390" s="121">
        <v>0.1588</v>
      </c>
      <c r="BF390" s="121">
        <v>4.8230000000000004</v>
      </c>
      <c r="BG390" s="121">
        <v>8.4957999999999991</v>
      </c>
      <c r="BH390" s="121">
        <v>2.9325999999999999</v>
      </c>
      <c r="BI390" s="121">
        <v>0.79710000000000003</v>
      </c>
      <c r="BJ390" s="121">
        <v>0.4597</v>
      </c>
      <c r="BK390" s="121">
        <v>0.16690607800000001</v>
      </c>
      <c r="BL390" s="121">
        <f t="shared" si="87"/>
        <v>96.878706077999993</v>
      </c>
      <c r="BM390" s="121">
        <v>0.71469347488017498</v>
      </c>
      <c r="BN390" s="95">
        <v>336.49248444077602</v>
      </c>
      <c r="BO390" s="122" t="s">
        <v>64</v>
      </c>
      <c r="BP390" s="95">
        <v>336.49248444077602</v>
      </c>
      <c r="BQ390" s="194" t="s">
        <v>469</v>
      </c>
    </row>
    <row r="391" spans="12:69" ht="14.45" customHeight="1">
      <c r="L391" s="207" t="s">
        <v>483</v>
      </c>
      <c r="M391" s="763" t="s">
        <v>459</v>
      </c>
      <c r="N391" s="15" t="s">
        <v>460</v>
      </c>
      <c r="O391" s="14" t="s">
        <v>1376</v>
      </c>
      <c r="P391" s="15" t="s">
        <v>405</v>
      </c>
      <c r="Q391" s="15" t="s">
        <v>484</v>
      </c>
      <c r="R391" s="217">
        <v>77.359157510388698</v>
      </c>
      <c r="S391" s="217" t="s">
        <v>64</v>
      </c>
      <c r="T391" s="14">
        <f t="shared" si="86"/>
        <v>1096.8562200000001</v>
      </c>
      <c r="U391" s="218" t="s">
        <v>1472</v>
      </c>
      <c r="V391" s="90" t="s">
        <v>462</v>
      </c>
      <c r="W391" s="109" t="s">
        <v>480</v>
      </c>
      <c r="X391" s="183" t="s">
        <v>64</v>
      </c>
      <c r="Y391" s="104" t="s">
        <v>64</v>
      </c>
      <c r="Z391" s="104" t="s">
        <v>64</v>
      </c>
      <c r="AA391" s="57" t="s">
        <v>64</v>
      </c>
      <c r="AB391" s="47" t="s">
        <v>64</v>
      </c>
      <c r="AC391" s="57">
        <v>610</v>
      </c>
      <c r="AD391" s="27" t="s">
        <v>470</v>
      </c>
      <c r="AE391" s="28">
        <f t="shared" si="88"/>
        <v>2.5558778203999997</v>
      </c>
      <c r="AF391" s="197" t="s">
        <v>470</v>
      </c>
      <c r="AG391" s="84">
        <v>610</v>
      </c>
      <c r="AH391" s="157" t="s">
        <v>469</v>
      </c>
      <c r="AI391" s="8">
        <v>1</v>
      </c>
      <c r="AJ391" s="9">
        <v>49.546500000000002</v>
      </c>
      <c r="AK391" s="9">
        <v>4.3323</v>
      </c>
      <c r="AL391" s="9">
        <v>13.2616</v>
      </c>
      <c r="AM391" s="189">
        <v>12.137376584777991</v>
      </c>
      <c r="AN391" s="9">
        <v>6.2199999999999998E-2</v>
      </c>
      <c r="AO391" s="9">
        <v>4.1222000000000003</v>
      </c>
      <c r="AP391" s="9">
        <v>8.7810000000000006</v>
      </c>
      <c r="AQ391" s="9">
        <v>3.0684</v>
      </c>
      <c r="AR391" s="9">
        <v>0.8407</v>
      </c>
      <c r="AS391" s="9">
        <v>0.45989999999999998</v>
      </c>
      <c r="AT391" s="190">
        <v>1756.142212</v>
      </c>
      <c r="AU391" s="9">
        <v>0.74838002185883301</v>
      </c>
      <c r="AV391" s="6">
        <v>368.07068236650707</v>
      </c>
      <c r="AW391" s="27" t="s">
        <v>64</v>
      </c>
      <c r="AX391" s="6">
        <v>368.07068236650707</v>
      </c>
      <c r="AY391" s="8">
        <f t="shared" si="89"/>
        <v>2.4281680124455423</v>
      </c>
      <c r="AZ391" s="9">
        <f t="shared" si="90"/>
        <v>9.952648799517954</v>
      </c>
      <c r="BA391" s="123">
        <v>49.546500000000002</v>
      </c>
      <c r="BB391" s="121">
        <v>4.3323</v>
      </c>
      <c r="BC391" s="121">
        <v>13.2616</v>
      </c>
      <c r="BD391" s="121">
        <v>12.1394</v>
      </c>
      <c r="BE391" s="121">
        <v>6.2199999999999998E-2</v>
      </c>
      <c r="BF391" s="121">
        <v>4.1222000000000003</v>
      </c>
      <c r="BG391" s="121">
        <v>8.7810000000000006</v>
      </c>
      <c r="BH391" s="121">
        <v>3.0684</v>
      </c>
      <c r="BI391" s="121">
        <v>0.8407</v>
      </c>
      <c r="BJ391" s="121">
        <v>0.45989999999999998</v>
      </c>
      <c r="BK391" s="121">
        <v>0.1756142212</v>
      </c>
      <c r="BL391" s="121">
        <f t="shared" si="87"/>
        <v>96.789814221200004</v>
      </c>
      <c r="BM391" s="121">
        <v>0.74838002185883301</v>
      </c>
      <c r="BN391" s="95">
        <v>368.07068236650701</v>
      </c>
      <c r="BO391" s="122" t="s">
        <v>64</v>
      </c>
      <c r="BP391" s="95">
        <v>368.07068236650701</v>
      </c>
      <c r="BQ391" s="194" t="s">
        <v>469</v>
      </c>
    </row>
    <row r="392" spans="12:69" ht="14.45" customHeight="1">
      <c r="L392" s="20" t="s">
        <v>64</v>
      </c>
      <c r="M392" s="763" t="s">
        <v>459</v>
      </c>
      <c r="N392" s="15" t="s">
        <v>460</v>
      </c>
      <c r="O392" s="14" t="s">
        <v>1377</v>
      </c>
      <c r="P392" s="15" t="s">
        <v>405</v>
      </c>
      <c r="Q392" s="15" t="s">
        <v>484</v>
      </c>
      <c r="R392" s="217">
        <v>77.339994314643704</v>
      </c>
      <c r="S392" s="217" t="s">
        <v>64</v>
      </c>
      <c r="T392" s="14">
        <f t="shared" si="86"/>
        <v>1149.79359</v>
      </c>
      <c r="U392" s="218" t="s">
        <v>1472</v>
      </c>
      <c r="V392" s="90" t="s">
        <v>462</v>
      </c>
      <c r="W392" s="109" t="s">
        <v>480</v>
      </c>
      <c r="X392" s="183" t="s">
        <v>64</v>
      </c>
      <c r="Y392" s="104" t="s">
        <v>64</v>
      </c>
      <c r="Z392" s="104" t="s">
        <v>64</v>
      </c>
      <c r="AA392" s="57" t="s">
        <v>64</v>
      </c>
      <c r="AB392" s="47" t="s">
        <v>64</v>
      </c>
      <c r="AC392" s="57">
        <v>836.7204866134042</v>
      </c>
      <c r="AD392" s="27" t="s">
        <v>470</v>
      </c>
      <c r="AE392" s="28">
        <f t="shared" si="88"/>
        <v>3.4295978750482901</v>
      </c>
      <c r="AF392" s="197" t="s">
        <v>470</v>
      </c>
      <c r="AG392" s="84">
        <v>530</v>
      </c>
      <c r="AH392" s="157" t="s">
        <v>469</v>
      </c>
      <c r="AI392" s="8">
        <v>1</v>
      </c>
      <c r="AJ392" s="9">
        <v>49.380800000000001</v>
      </c>
      <c r="AK392" s="9">
        <v>3.6255000000000002</v>
      </c>
      <c r="AL392" s="9">
        <v>11.1449</v>
      </c>
      <c r="AM392" s="189">
        <v>10.94037613604937</v>
      </c>
      <c r="AN392" s="9">
        <v>0.20810000000000001</v>
      </c>
      <c r="AO392" s="9">
        <v>6.7558999999999996</v>
      </c>
      <c r="AP392" s="9">
        <v>10.3017</v>
      </c>
      <c r="AQ392" s="9">
        <v>2.4382999999999999</v>
      </c>
      <c r="AR392" s="9">
        <v>0.73040000000000005</v>
      </c>
      <c r="AS392" s="9">
        <v>0.33439999999999998</v>
      </c>
      <c r="AT392" s="190">
        <v>1503.90634</v>
      </c>
      <c r="AU392" s="9">
        <v>0.67086601470229601</v>
      </c>
      <c r="AV392" s="6">
        <v>348.05965197166103</v>
      </c>
      <c r="AW392" s="27" t="s">
        <v>64</v>
      </c>
      <c r="AX392" s="6">
        <v>348.05965197166103</v>
      </c>
      <c r="AY392" s="8">
        <f t="shared" si="89"/>
        <v>2.1886996083646317</v>
      </c>
      <c r="AZ392" s="9">
        <f t="shared" si="90"/>
        <v>8.9711084315604843</v>
      </c>
      <c r="BA392" s="123">
        <v>49.380800000000001</v>
      </c>
      <c r="BB392" s="121">
        <v>3.6255000000000002</v>
      </c>
      <c r="BC392" s="121">
        <v>11.1449</v>
      </c>
      <c r="BD392" s="121">
        <v>10.9422</v>
      </c>
      <c r="BE392" s="121">
        <v>0.20810000000000001</v>
      </c>
      <c r="BF392" s="121">
        <v>6.7558999999999996</v>
      </c>
      <c r="BG392" s="121">
        <v>10.3017</v>
      </c>
      <c r="BH392" s="121">
        <v>2.4382999999999999</v>
      </c>
      <c r="BI392" s="121">
        <v>0.73040000000000005</v>
      </c>
      <c r="BJ392" s="121">
        <v>0.33439999999999998</v>
      </c>
      <c r="BK392" s="121">
        <v>0.150390634</v>
      </c>
      <c r="BL392" s="121">
        <f t="shared" si="87"/>
        <v>96.012590634000006</v>
      </c>
      <c r="BM392" s="121">
        <v>0.67086601470229601</v>
      </c>
      <c r="BN392" s="95">
        <v>348.05965197166103</v>
      </c>
      <c r="BO392" s="122" t="s">
        <v>64</v>
      </c>
      <c r="BP392" s="95">
        <v>348.05965197166103</v>
      </c>
      <c r="BQ392" s="194" t="s">
        <v>469</v>
      </c>
    </row>
    <row r="393" spans="12:69" ht="14.45" customHeight="1">
      <c r="L393" s="207" t="s">
        <v>483</v>
      </c>
      <c r="M393" s="763" t="s">
        <v>459</v>
      </c>
      <c r="N393" s="15" t="s">
        <v>460</v>
      </c>
      <c r="O393" s="14" t="s">
        <v>1378</v>
      </c>
      <c r="P393" s="15" t="s">
        <v>405</v>
      </c>
      <c r="Q393" s="15" t="s">
        <v>484</v>
      </c>
      <c r="R393" s="217">
        <v>76.959070212769902</v>
      </c>
      <c r="S393" s="217" t="s">
        <v>64</v>
      </c>
      <c r="T393" s="14">
        <f t="shared" si="86"/>
        <v>1065.40173</v>
      </c>
      <c r="U393" s="218" t="s">
        <v>1472</v>
      </c>
      <c r="V393" s="90" t="s">
        <v>462</v>
      </c>
      <c r="W393" s="109" t="s">
        <v>480</v>
      </c>
      <c r="X393" s="183" t="s">
        <v>64</v>
      </c>
      <c r="Y393" s="104" t="s">
        <v>64</v>
      </c>
      <c r="Z393" s="104" t="s">
        <v>64</v>
      </c>
      <c r="AA393" s="57" t="s">
        <v>64</v>
      </c>
      <c r="AB393" s="47" t="s">
        <v>64</v>
      </c>
      <c r="AC393" s="57">
        <v>220</v>
      </c>
      <c r="AD393" s="27" t="s">
        <v>470</v>
      </c>
      <c r="AE393" s="28">
        <f t="shared" si="88"/>
        <v>0.95988960319999994</v>
      </c>
      <c r="AF393" s="197" t="s">
        <v>470</v>
      </c>
      <c r="AG393" s="84">
        <v>220</v>
      </c>
      <c r="AH393" s="157" t="s">
        <v>469</v>
      </c>
      <c r="AI393" s="8">
        <v>1</v>
      </c>
      <c r="AJ393" s="9">
        <v>55.289099999999998</v>
      </c>
      <c r="AK393" s="9">
        <v>2.5099</v>
      </c>
      <c r="AL393" s="9">
        <v>16.284400000000002</v>
      </c>
      <c r="AM393" s="189">
        <v>7.2321943249528893</v>
      </c>
      <c r="AN393" s="9">
        <v>0.1336</v>
      </c>
      <c r="AO393" s="9">
        <v>2.5573000000000001</v>
      </c>
      <c r="AP393" s="9">
        <v>6.9046000000000003</v>
      </c>
      <c r="AQ393" s="9">
        <v>4.0018000000000002</v>
      </c>
      <c r="AR393" s="9">
        <v>1.1294999999999999</v>
      </c>
      <c r="AS393" s="9">
        <v>0.58740000000000003</v>
      </c>
      <c r="AT393" s="190">
        <v>584.54662399999995</v>
      </c>
      <c r="AU393" s="9">
        <v>0.89505206342371602</v>
      </c>
      <c r="AV393" s="6">
        <v>65.906992119810994</v>
      </c>
      <c r="AW393" s="27" t="s">
        <v>64</v>
      </c>
      <c r="AX393" s="6">
        <v>65.906992119810994</v>
      </c>
      <c r="AY393" s="8">
        <f t="shared" si="89"/>
        <v>1.4468516155018849</v>
      </c>
      <c r="AZ393" s="9">
        <f t="shared" si="90"/>
        <v>5.9303993464613702</v>
      </c>
      <c r="BA393" s="123">
        <v>55.289099999999998</v>
      </c>
      <c r="BB393" s="121">
        <v>2.5099</v>
      </c>
      <c r="BC393" s="121">
        <v>16.284400000000002</v>
      </c>
      <c r="BD393" s="121">
        <v>7.2333999999999996</v>
      </c>
      <c r="BE393" s="121">
        <v>0.1336</v>
      </c>
      <c r="BF393" s="121">
        <v>2.5573000000000001</v>
      </c>
      <c r="BG393" s="121">
        <v>6.9046000000000003</v>
      </c>
      <c r="BH393" s="121">
        <v>4.0018000000000002</v>
      </c>
      <c r="BI393" s="121">
        <v>1.1294999999999999</v>
      </c>
      <c r="BJ393" s="121">
        <v>0.58740000000000003</v>
      </c>
      <c r="BK393" s="121">
        <v>5.8454662399999996E-2</v>
      </c>
      <c r="BL393" s="121">
        <f t="shared" si="87"/>
        <v>96.689454662399996</v>
      </c>
      <c r="BM393" s="121">
        <v>0.89505206342371602</v>
      </c>
      <c r="BN393" s="95">
        <v>65.906992119810994</v>
      </c>
      <c r="BO393" s="122" t="s">
        <v>64</v>
      </c>
      <c r="BP393" s="95">
        <v>65.906992119810994</v>
      </c>
      <c r="BQ393" s="194" t="s">
        <v>469</v>
      </c>
    </row>
    <row r="394" spans="12:69" ht="14.45" customHeight="1">
      <c r="L394" s="207" t="s">
        <v>483</v>
      </c>
      <c r="M394" s="763" t="s">
        <v>459</v>
      </c>
      <c r="N394" s="15" t="s">
        <v>460</v>
      </c>
      <c r="O394" s="14" t="s">
        <v>1379</v>
      </c>
      <c r="P394" s="15" t="s">
        <v>405</v>
      </c>
      <c r="Q394" s="15" t="s">
        <v>484</v>
      </c>
      <c r="R394" s="217">
        <v>76.831301728086402</v>
      </c>
      <c r="S394" s="217" t="s">
        <v>64</v>
      </c>
      <c r="T394" s="14">
        <f t="shared" si="86"/>
        <v>1064.3042700000001</v>
      </c>
      <c r="U394" s="218" t="s">
        <v>1472</v>
      </c>
      <c r="V394" s="90" t="s">
        <v>462</v>
      </c>
      <c r="W394" s="109" t="s">
        <v>480</v>
      </c>
      <c r="X394" s="183" t="s">
        <v>64</v>
      </c>
      <c r="Y394" s="104" t="s">
        <v>64</v>
      </c>
      <c r="Z394" s="104" t="s">
        <v>64</v>
      </c>
      <c r="AA394" s="57" t="s">
        <v>64</v>
      </c>
      <c r="AB394" s="47" t="s">
        <v>64</v>
      </c>
      <c r="AC394" s="57">
        <v>120</v>
      </c>
      <c r="AD394" s="27" t="s">
        <v>470</v>
      </c>
      <c r="AE394" s="28">
        <f t="shared" si="88"/>
        <v>0.52930667519999997</v>
      </c>
      <c r="AF394" s="197" t="s">
        <v>470</v>
      </c>
      <c r="AG394" s="84">
        <v>120</v>
      </c>
      <c r="AH394" s="157" t="s">
        <v>469</v>
      </c>
      <c r="AI394" s="8">
        <v>1</v>
      </c>
      <c r="AJ394" s="9">
        <v>55.881100000000004</v>
      </c>
      <c r="AK394" s="9">
        <v>1.9695</v>
      </c>
      <c r="AL394" s="9">
        <v>16.787099999999999</v>
      </c>
      <c r="AM394" s="189">
        <v>7.6295280856651804</v>
      </c>
      <c r="AN394" s="9">
        <v>0.15709999999999999</v>
      </c>
      <c r="AO394" s="9">
        <v>2.5026999999999999</v>
      </c>
      <c r="AP394" s="9">
        <v>6.8459000000000003</v>
      </c>
      <c r="AQ394" s="9">
        <v>3.7528999999999999</v>
      </c>
      <c r="AR394" s="9">
        <v>1.1196999999999999</v>
      </c>
      <c r="AS394" s="9">
        <v>0.67769999999999997</v>
      </c>
      <c r="AT394" s="190">
        <v>721.17438800000002</v>
      </c>
      <c r="AU394" s="9">
        <v>0.52171764236830998</v>
      </c>
      <c r="AV394" s="6">
        <v>47.569765724714202</v>
      </c>
      <c r="AW394" s="27" t="s">
        <v>64</v>
      </c>
      <c r="AX394" s="6">
        <v>47.569765724714202</v>
      </c>
      <c r="AY394" s="8">
        <f t="shared" si="89"/>
        <v>1.5263410439864773</v>
      </c>
      <c r="AZ394" s="9">
        <f t="shared" si="90"/>
        <v>6.2562130302454477</v>
      </c>
      <c r="BA394" s="123">
        <v>55.881100000000004</v>
      </c>
      <c r="BB394" s="121">
        <v>1.9695</v>
      </c>
      <c r="BC394" s="121">
        <v>16.787099999999999</v>
      </c>
      <c r="BD394" s="121">
        <v>7.6307999999999998</v>
      </c>
      <c r="BE394" s="121">
        <v>0.15709999999999999</v>
      </c>
      <c r="BF394" s="121">
        <v>2.5026999999999999</v>
      </c>
      <c r="BG394" s="121">
        <v>6.8459000000000003</v>
      </c>
      <c r="BH394" s="121">
        <v>3.7528999999999999</v>
      </c>
      <c r="BI394" s="121">
        <v>1.1196999999999999</v>
      </c>
      <c r="BJ394" s="121">
        <v>0.67769999999999997</v>
      </c>
      <c r="BK394" s="121">
        <v>7.2117438800000003E-2</v>
      </c>
      <c r="BL394" s="121">
        <f t="shared" si="87"/>
        <v>97.396617438799993</v>
      </c>
      <c r="BM394" s="121">
        <v>0.52171764236830998</v>
      </c>
      <c r="BN394" s="95">
        <v>47.569765724714202</v>
      </c>
      <c r="BO394" s="122" t="s">
        <v>64</v>
      </c>
      <c r="BP394" s="95">
        <v>47.569765724714202</v>
      </c>
      <c r="BQ394" s="194" t="s">
        <v>469</v>
      </c>
    </row>
    <row r="395" spans="12:69" ht="14.45" customHeight="1">
      <c r="L395" s="207" t="s">
        <v>483</v>
      </c>
      <c r="M395" s="763" t="s">
        <v>459</v>
      </c>
      <c r="N395" s="15" t="s">
        <v>460</v>
      </c>
      <c r="O395" s="14" t="s">
        <v>1380</v>
      </c>
      <c r="P395" s="15" t="s">
        <v>405</v>
      </c>
      <c r="Q395" s="15" t="s">
        <v>484</v>
      </c>
      <c r="R395" s="217">
        <v>76.724583942071604</v>
      </c>
      <c r="S395" s="217" t="s">
        <v>64</v>
      </c>
      <c r="T395" s="14">
        <f t="shared" si="86"/>
        <v>1109.8790100000001</v>
      </c>
      <c r="U395" s="27" t="s">
        <v>300</v>
      </c>
      <c r="V395" s="90" t="s">
        <v>64</v>
      </c>
      <c r="W395" s="109" t="s">
        <v>64</v>
      </c>
      <c r="X395" s="183" t="s">
        <v>64</v>
      </c>
      <c r="Y395" s="104" t="s">
        <v>64</v>
      </c>
      <c r="Z395" s="104" t="s">
        <v>64</v>
      </c>
      <c r="AA395" s="57" t="s">
        <v>64</v>
      </c>
      <c r="AB395" s="47" t="s">
        <v>64</v>
      </c>
      <c r="AC395" s="57">
        <v>530</v>
      </c>
      <c r="AD395" s="27" t="s">
        <v>470</v>
      </c>
      <c r="AE395" s="28">
        <f t="shared" si="88"/>
        <v>2.2386084668000001</v>
      </c>
      <c r="AF395" s="197" t="s">
        <v>470</v>
      </c>
      <c r="AG395" s="84">
        <v>530</v>
      </c>
      <c r="AH395" s="157" t="s">
        <v>469</v>
      </c>
      <c r="AI395" s="8">
        <v>1</v>
      </c>
      <c r="AJ395" s="9">
        <v>49.965299999999999</v>
      </c>
      <c r="AK395" s="9">
        <v>3.8458000000000001</v>
      </c>
      <c r="AL395" s="9">
        <v>13.2026</v>
      </c>
      <c r="AM395" s="189">
        <v>13.111714153510063</v>
      </c>
      <c r="AN395" s="9">
        <v>0.17879999999999999</v>
      </c>
      <c r="AO395" s="9">
        <v>4.7701000000000002</v>
      </c>
      <c r="AP395" s="9">
        <v>8.8689</v>
      </c>
      <c r="AQ395" s="9">
        <v>3.1419000000000001</v>
      </c>
      <c r="AR395" s="9">
        <v>0.86180000000000001</v>
      </c>
      <c r="AS395" s="9">
        <v>0.4955</v>
      </c>
      <c r="AT395" s="190">
        <v>1614.0092999999999</v>
      </c>
      <c r="AU395" s="9">
        <v>0.71511771633776799</v>
      </c>
      <c r="AV395" s="6">
        <v>323.43807055459598</v>
      </c>
      <c r="AW395" s="27" t="s">
        <v>64</v>
      </c>
      <c r="AX395" s="6">
        <v>323.43807055459598</v>
      </c>
      <c r="AY395" s="8">
        <f t="shared" si="89"/>
        <v>2.6230911328739137</v>
      </c>
      <c r="AZ395" s="9">
        <f t="shared" si="90"/>
        <v>10.751605605878252</v>
      </c>
      <c r="BA395" s="123">
        <v>49.965299999999999</v>
      </c>
      <c r="BB395" s="121">
        <v>3.8458000000000001</v>
      </c>
      <c r="BC395" s="121">
        <v>13.2026</v>
      </c>
      <c r="BD395" s="121">
        <v>13.113899999999999</v>
      </c>
      <c r="BE395" s="121">
        <v>0.17879999999999999</v>
      </c>
      <c r="BF395" s="121">
        <v>4.7701000000000002</v>
      </c>
      <c r="BG395" s="121">
        <v>8.8689</v>
      </c>
      <c r="BH395" s="121">
        <v>3.1419000000000001</v>
      </c>
      <c r="BI395" s="121">
        <v>0.86180000000000001</v>
      </c>
      <c r="BJ395" s="121">
        <v>0.4955</v>
      </c>
      <c r="BK395" s="121">
        <v>0.16140093</v>
      </c>
      <c r="BL395" s="121">
        <f t="shared" si="87"/>
        <v>98.606000930000008</v>
      </c>
      <c r="BM395" s="121">
        <v>0.71511771633776799</v>
      </c>
      <c r="BN395" s="95">
        <v>323.43807055459598</v>
      </c>
      <c r="BO395" s="122" t="s">
        <v>64</v>
      </c>
      <c r="BP395" s="95">
        <v>323.43807055459598</v>
      </c>
      <c r="BQ395" s="194" t="s">
        <v>469</v>
      </c>
    </row>
    <row r="396" spans="12:69" ht="14.45" customHeight="1">
      <c r="L396" s="207" t="s">
        <v>483</v>
      </c>
      <c r="M396" s="763" t="s">
        <v>459</v>
      </c>
      <c r="N396" s="15" t="s">
        <v>460</v>
      </c>
      <c r="O396" s="14" t="s">
        <v>1381</v>
      </c>
      <c r="P396" s="15" t="s">
        <v>405</v>
      </c>
      <c r="Q396" s="15" t="s">
        <v>484</v>
      </c>
      <c r="R396" s="217">
        <v>79.702430034619098</v>
      </c>
      <c r="S396" s="217" t="s">
        <v>64</v>
      </c>
      <c r="T396" s="14">
        <f t="shared" si="86"/>
        <v>1098.5586900000001</v>
      </c>
      <c r="U396" s="218" t="s">
        <v>1472</v>
      </c>
      <c r="V396" s="90" t="s">
        <v>462</v>
      </c>
      <c r="W396" s="109" t="s">
        <v>480</v>
      </c>
      <c r="X396" s="183" t="s">
        <v>64</v>
      </c>
      <c r="Y396" s="104" t="s">
        <v>64</v>
      </c>
      <c r="Z396" s="104" t="s">
        <v>64</v>
      </c>
      <c r="AA396" s="57" t="s">
        <v>64</v>
      </c>
      <c r="AB396" s="47" t="s">
        <v>64</v>
      </c>
      <c r="AC396" s="57">
        <v>150</v>
      </c>
      <c r="AD396" s="27" t="s">
        <v>470</v>
      </c>
      <c r="AE396" s="28">
        <f t="shared" si="88"/>
        <v>0.65946284999999993</v>
      </c>
      <c r="AF396" s="197" t="s">
        <v>470</v>
      </c>
      <c r="AG396" s="84">
        <v>150</v>
      </c>
      <c r="AH396" s="157" t="s">
        <v>469</v>
      </c>
      <c r="AI396" s="8">
        <v>1</v>
      </c>
      <c r="AJ396" s="9">
        <v>50.482999999999997</v>
      </c>
      <c r="AK396" s="9">
        <v>3.5754999999999999</v>
      </c>
      <c r="AL396" s="9">
        <v>14.8583</v>
      </c>
      <c r="AM396" s="189">
        <v>10.730111189200365</v>
      </c>
      <c r="AN396" s="9">
        <v>0.1216</v>
      </c>
      <c r="AO396" s="9">
        <v>4.2069000000000001</v>
      </c>
      <c r="AP396" s="9">
        <v>8.4467999999999996</v>
      </c>
      <c r="AQ396" s="9">
        <v>3.3864999999999998</v>
      </c>
      <c r="AR396" s="9">
        <v>0.90759999999999996</v>
      </c>
      <c r="AS396" s="9">
        <v>0.56259999999999999</v>
      </c>
      <c r="AT396" s="190">
        <v>1068.999648</v>
      </c>
      <c r="AU396" s="9">
        <v>0.59467680327637595</v>
      </c>
      <c r="AV396" s="6">
        <v>60.701768942986199</v>
      </c>
      <c r="AW396" s="27" t="s">
        <v>64</v>
      </c>
      <c r="AX396" s="6">
        <v>60.701768942986199</v>
      </c>
      <c r="AY396" s="8">
        <f t="shared" si="89"/>
        <v>2.1466346189073851</v>
      </c>
      <c r="AZ396" s="9">
        <f t="shared" si="90"/>
        <v>8.7986911751443007</v>
      </c>
      <c r="BA396" s="123">
        <v>50.482999999999997</v>
      </c>
      <c r="BB396" s="121">
        <v>3.5754999999999999</v>
      </c>
      <c r="BC396" s="121">
        <v>14.8583</v>
      </c>
      <c r="BD396" s="121">
        <v>10.7319</v>
      </c>
      <c r="BE396" s="121">
        <v>0.1216</v>
      </c>
      <c r="BF396" s="121">
        <v>4.2069000000000001</v>
      </c>
      <c r="BG396" s="121">
        <v>8.4467999999999996</v>
      </c>
      <c r="BH396" s="121">
        <v>3.3864999999999998</v>
      </c>
      <c r="BI396" s="121">
        <v>0.90759999999999996</v>
      </c>
      <c r="BJ396" s="121">
        <v>0.56259999999999999</v>
      </c>
      <c r="BK396" s="121">
        <v>0.1068999648</v>
      </c>
      <c r="BL396" s="121">
        <f t="shared" si="87"/>
        <v>97.387599964799989</v>
      </c>
      <c r="BM396" s="121">
        <v>0.59467680327637595</v>
      </c>
      <c r="BN396" s="95">
        <v>60.701768942986199</v>
      </c>
      <c r="BO396" s="122" t="s">
        <v>64</v>
      </c>
      <c r="BP396" s="95">
        <v>60.701768942986199</v>
      </c>
      <c r="BQ396" s="194" t="s">
        <v>469</v>
      </c>
    </row>
    <row r="397" spans="12:69" ht="14.45" customHeight="1">
      <c r="L397" s="207" t="s">
        <v>483</v>
      </c>
      <c r="M397" s="763" t="s">
        <v>459</v>
      </c>
      <c r="N397" s="15" t="s">
        <v>460</v>
      </c>
      <c r="O397" s="14" t="s">
        <v>1382</v>
      </c>
      <c r="P397" s="15" t="s">
        <v>405</v>
      </c>
      <c r="Q397" s="15" t="s">
        <v>484</v>
      </c>
      <c r="R397" s="217">
        <v>78.7132452751231</v>
      </c>
      <c r="S397" s="217" t="s">
        <v>64</v>
      </c>
      <c r="T397" s="14">
        <f t="shared" si="86"/>
        <v>1088.9810400000001</v>
      </c>
      <c r="U397" s="27" t="s">
        <v>300</v>
      </c>
      <c r="V397" s="90" t="s">
        <v>64</v>
      </c>
      <c r="W397" s="109" t="s">
        <v>64</v>
      </c>
      <c r="X397" s="183" t="s">
        <v>64</v>
      </c>
      <c r="Y397" s="104" t="s">
        <v>64</v>
      </c>
      <c r="Z397" s="104" t="s">
        <v>64</v>
      </c>
      <c r="AA397" s="57" t="s">
        <v>64</v>
      </c>
      <c r="AB397" s="47" t="s">
        <v>64</v>
      </c>
      <c r="AC397" s="57">
        <v>0</v>
      </c>
      <c r="AD397" s="27" t="s">
        <v>470</v>
      </c>
      <c r="AE397" s="28">
        <f t="shared" si="88"/>
        <v>0</v>
      </c>
      <c r="AF397" s="197" t="s">
        <v>470</v>
      </c>
      <c r="AG397" s="84">
        <v>0</v>
      </c>
      <c r="AH397" s="157" t="s">
        <v>469</v>
      </c>
      <c r="AI397" s="8">
        <v>1</v>
      </c>
      <c r="AJ397" s="9">
        <v>49.282499999999999</v>
      </c>
      <c r="AK397" s="9">
        <v>3.9380000000000002</v>
      </c>
      <c r="AL397" s="9">
        <v>13.0741</v>
      </c>
      <c r="AM397" s="189">
        <v>13.885285191917461</v>
      </c>
      <c r="AN397" s="9">
        <v>0.20399999999999999</v>
      </c>
      <c r="AO397" s="9">
        <v>3.7303999999999999</v>
      </c>
      <c r="AP397" s="9">
        <v>8.7637999999999998</v>
      </c>
      <c r="AQ397" s="9">
        <v>3.1135000000000002</v>
      </c>
      <c r="AR397" s="9">
        <v>0.90580000000000005</v>
      </c>
      <c r="AS397" s="9">
        <v>0.61599999999999999</v>
      </c>
      <c r="AT397" s="190">
        <v>990.92664000000002</v>
      </c>
      <c r="AU397" s="9">
        <v>0</v>
      </c>
      <c r="AV397" s="6">
        <v>0</v>
      </c>
      <c r="AW397" s="27" t="s">
        <v>64</v>
      </c>
      <c r="AX397" s="6">
        <v>0</v>
      </c>
      <c r="AY397" s="8">
        <f t="shared" si="89"/>
        <v>2.7778494892365941</v>
      </c>
      <c r="AZ397" s="9">
        <f t="shared" si="90"/>
        <v>11.385933857372319</v>
      </c>
      <c r="BA397" s="123">
        <v>49.282499999999999</v>
      </c>
      <c r="BB397" s="121">
        <v>3.9380000000000002</v>
      </c>
      <c r="BC397" s="121">
        <v>13.0741</v>
      </c>
      <c r="BD397" s="121">
        <v>13.887600000000001</v>
      </c>
      <c r="BE397" s="121">
        <v>0.20399999999999999</v>
      </c>
      <c r="BF397" s="121">
        <v>3.7303999999999999</v>
      </c>
      <c r="BG397" s="121">
        <v>8.7637999999999998</v>
      </c>
      <c r="BH397" s="121">
        <v>3.1135000000000002</v>
      </c>
      <c r="BI397" s="121">
        <v>0.90580000000000005</v>
      </c>
      <c r="BJ397" s="121">
        <v>0.61599999999999999</v>
      </c>
      <c r="BK397" s="121">
        <v>9.9092663999999997E-2</v>
      </c>
      <c r="BL397" s="121">
        <f t="shared" si="87"/>
        <v>97.614792664000007</v>
      </c>
      <c r="BM397" s="121">
        <v>0</v>
      </c>
      <c r="BN397" s="95">
        <v>0</v>
      </c>
      <c r="BO397" s="122" t="s">
        <v>64</v>
      </c>
      <c r="BP397" s="95">
        <v>0</v>
      </c>
      <c r="BQ397" s="194" t="s">
        <v>469</v>
      </c>
    </row>
    <row r="398" spans="12:69" ht="14.45" customHeight="1">
      <c r="L398" s="207" t="s">
        <v>483</v>
      </c>
      <c r="M398" s="763" t="s">
        <v>459</v>
      </c>
      <c r="N398" s="15" t="s">
        <v>460</v>
      </c>
      <c r="O398" s="14" t="s">
        <v>1383</v>
      </c>
      <c r="P398" s="15" t="s">
        <v>405</v>
      </c>
      <c r="Q398" s="15" t="s">
        <v>484</v>
      </c>
      <c r="R398" s="217">
        <v>75.13883916276049</v>
      </c>
      <c r="S398" s="217" t="s">
        <v>64</v>
      </c>
      <c r="T398" s="14">
        <f t="shared" si="86"/>
        <v>1113.7723800000001</v>
      </c>
      <c r="U398" s="218" t="s">
        <v>1472</v>
      </c>
      <c r="V398" s="90" t="s">
        <v>462</v>
      </c>
      <c r="W398" s="109" t="s">
        <v>480</v>
      </c>
      <c r="X398" s="183" t="s">
        <v>64</v>
      </c>
      <c r="Y398" s="104" t="s">
        <v>64</v>
      </c>
      <c r="Z398" s="104" t="s">
        <v>64</v>
      </c>
      <c r="AA398" s="57" t="s">
        <v>64</v>
      </c>
      <c r="AB398" s="47" t="s">
        <v>64</v>
      </c>
      <c r="AC398" s="57">
        <v>640</v>
      </c>
      <c r="AD398" s="27" t="s">
        <v>470</v>
      </c>
      <c r="AE398" s="28">
        <f t="shared" si="88"/>
        <v>2.6736029695999997</v>
      </c>
      <c r="AF398" s="197" t="s">
        <v>470</v>
      </c>
      <c r="AG398" s="84">
        <v>640</v>
      </c>
      <c r="AH398" s="157" t="s">
        <v>469</v>
      </c>
      <c r="AI398" s="8">
        <v>1</v>
      </c>
      <c r="AJ398" s="9">
        <v>49.133899999999997</v>
      </c>
      <c r="AK398" s="9">
        <v>4.0575000000000001</v>
      </c>
      <c r="AL398" s="9">
        <v>12.9575</v>
      </c>
      <c r="AM398" s="189">
        <v>13.449657815112365</v>
      </c>
      <c r="AN398" s="9">
        <v>0.24540000000000001</v>
      </c>
      <c r="AO398" s="9">
        <v>4.9638</v>
      </c>
      <c r="AP398" s="9">
        <v>8.5940999999999992</v>
      </c>
      <c r="AQ398" s="9">
        <v>3.0430000000000001</v>
      </c>
      <c r="AR398" s="9">
        <v>0.82520000000000004</v>
      </c>
      <c r="AS398" s="9">
        <v>0.46350000000000002</v>
      </c>
      <c r="AT398" s="190">
        <v>1702.091668</v>
      </c>
      <c r="AU398" s="9">
        <v>0.70186042696144901</v>
      </c>
      <c r="AV398" s="6">
        <v>412.901596433669</v>
      </c>
      <c r="AW398" s="27" t="s">
        <v>64</v>
      </c>
      <c r="AX398" s="6">
        <v>412.901596433669</v>
      </c>
      <c r="AY398" s="8">
        <f t="shared" si="89"/>
        <v>2.6906991520681571</v>
      </c>
      <c r="AZ398" s="9">
        <f t="shared" si="90"/>
        <v>11.02871940839214</v>
      </c>
      <c r="BA398" s="123">
        <v>49.133899999999997</v>
      </c>
      <c r="BB398" s="121">
        <v>4.0575000000000001</v>
      </c>
      <c r="BC398" s="121">
        <v>12.9575</v>
      </c>
      <c r="BD398" s="121">
        <v>13.4519</v>
      </c>
      <c r="BE398" s="121">
        <v>0.24540000000000001</v>
      </c>
      <c r="BF398" s="121">
        <v>4.9638</v>
      </c>
      <c r="BG398" s="121">
        <v>8.5940999999999992</v>
      </c>
      <c r="BH398" s="121">
        <v>3.0430000000000001</v>
      </c>
      <c r="BI398" s="121">
        <v>0.82520000000000004</v>
      </c>
      <c r="BJ398" s="121">
        <v>0.46350000000000002</v>
      </c>
      <c r="BK398" s="121">
        <v>0.17020916680000001</v>
      </c>
      <c r="BL398" s="121">
        <f t="shared" si="87"/>
        <v>97.906009166800004</v>
      </c>
      <c r="BM398" s="121">
        <v>0.70186042696144901</v>
      </c>
      <c r="BN398" s="95">
        <v>412.901596433669</v>
      </c>
      <c r="BO398" s="122" t="s">
        <v>64</v>
      </c>
      <c r="BP398" s="95">
        <v>412.901596433669</v>
      </c>
      <c r="BQ398" s="194" t="s">
        <v>469</v>
      </c>
    </row>
    <row r="399" spans="12:69" ht="14.45" customHeight="1">
      <c r="L399" s="207" t="s">
        <v>483</v>
      </c>
      <c r="M399" s="763" t="s">
        <v>459</v>
      </c>
      <c r="N399" s="15" t="s">
        <v>460</v>
      </c>
      <c r="O399" s="14" t="s">
        <v>1384</v>
      </c>
      <c r="P399" s="15" t="s">
        <v>405</v>
      </c>
      <c r="Q399" s="15" t="s">
        <v>484</v>
      </c>
      <c r="R399" s="217">
        <v>76.428508265065901</v>
      </c>
      <c r="S399" s="217" t="s">
        <v>64</v>
      </c>
      <c r="T399" s="14">
        <f t="shared" si="86"/>
        <v>1105.9655399999999</v>
      </c>
      <c r="U399" s="218" t="s">
        <v>1472</v>
      </c>
      <c r="V399" s="90" t="s">
        <v>462</v>
      </c>
      <c r="W399" s="109" t="s">
        <v>480</v>
      </c>
      <c r="X399" s="183" t="s">
        <v>64</v>
      </c>
      <c r="Y399" s="104" t="s">
        <v>64</v>
      </c>
      <c r="Z399" s="104" t="s">
        <v>64</v>
      </c>
      <c r="AA399" s="57" t="s">
        <v>64</v>
      </c>
      <c r="AB399" s="47" t="s">
        <v>64</v>
      </c>
      <c r="AC399" s="57">
        <v>560</v>
      </c>
      <c r="AD399" s="27" t="s">
        <v>470</v>
      </c>
      <c r="AE399" s="28">
        <f t="shared" si="88"/>
        <v>2.3581612544000001</v>
      </c>
      <c r="AF399" s="197" t="s">
        <v>470</v>
      </c>
      <c r="AG399" s="84">
        <v>560</v>
      </c>
      <c r="AH399" s="157" t="s">
        <v>469</v>
      </c>
      <c r="AI399" s="8">
        <v>1</v>
      </c>
      <c r="AJ399" s="9">
        <v>48.882399999999997</v>
      </c>
      <c r="AK399" s="9">
        <v>3.9327000000000001</v>
      </c>
      <c r="AL399" s="9">
        <v>12.684200000000001</v>
      </c>
      <c r="AM399" s="189">
        <v>12.995933455245135</v>
      </c>
      <c r="AN399" s="9">
        <v>0.16900000000000001</v>
      </c>
      <c r="AO399" s="9">
        <v>4.5754000000000001</v>
      </c>
      <c r="AP399" s="9">
        <v>8.7355999999999998</v>
      </c>
      <c r="AQ399" s="9">
        <v>2.9352</v>
      </c>
      <c r="AR399" s="9">
        <v>0.83650000000000002</v>
      </c>
      <c r="AS399" s="9">
        <v>0.5151</v>
      </c>
      <c r="AT399" s="190">
        <v>1618.513512</v>
      </c>
      <c r="AU399" s="9">
        <v>0.68106879324193303</v>
      </c>
      <c r="AV399" s="6">
        <v>351.384565596816</v>
      </c>
      <c r="AW399" s="27" t="s">
        <v>64</v>
      </c>
      <c r="AX399" s="6">
        <v>351.384565596816</v>
      </c>
      <c r="AY399" s="8">
        <f t="shared" si="89"/>
        <v>2.5999283854694957</v>
      </c>
      <c r="AZ399" s="9">
        <f t="shared" si="90"/>
        <v>10.656665433301011</v>
      </c>
      <c r="BA399" s="123">
        <v>48.882399999999997</v>
      </c>
      <c r="BB399" s="121">
        <v>3.9327000000000001</v>
      </c>
      <c r="BC399" s="121">
        <v>12.684200000000001</v>
      </c>
      <c r="BD399" s="121">
        <v>12.998100000000001</v>
      </c>
      <c r="BE399" s="121">
        <v>0.16900000000000001</v>
      </c>
      <c r="BF399" s="121">
        <v>4.5754000000000001</v>
      </c>
      <c r="BG399" s="121">
        <v>8.7355999999999998</v>
      </c>
      <c r="BH399" s="121">
        <v>2.9352</v>
      </c>
      <c r="BI399" s="121">
        <v>0.83650000000000002</v>
      </c>
      <c r="BJ399" s="121">
        <v>0.5151</v>
      </c>
      <c r="BK399" s="121">
        <v>0.16185135119999999</v>
      </c>
      <c r="BL399" s="121">
        <f t="shared" si="87"/>
        <v>96.426051351200002</v>
      </c>
      <c r="BM399" s="121">
        <v>0.68106879324193303</v>
      </c>
      <c r="BN399" s="95">
        <v>351.384565596816</v>
      </c>
      <c r="BO399" s="122" t="s">
        <v>64</v>
      </c>
      <c r="BP399" s="95">
        <v>351.384565596816</v>
      </c>
      <c r="BQ399" s="194" t="s">
        <v>469</v>
      </c>
    </row>
    <row r="400" spans="12:69" ht="14.45" customHeight="1">
      <c r="L400" s="207" t="s">
        <v>483</v>
      </c>
      <c r="M400" s="763" t="s">
        <v>459</v>
      </c>
      <c r="N400" s="15" t="s">
        <v>460</v>
      </c>
      <c r="O400" s="14" t="s">
        <v>1385</v>
      </c>
      <c r="P400" s="15" t="s">
        <v>405</v>
      </c>
      <c r="Q400" s="15" t="s">
        <v>484</v>
      </c>
      <c r="R400" s="217">
        <v>76.047969189268699</v>
      </c>
      <c r="S400" s="217" t="s">
        <v>64</v>
      </c>
      <c r="T400" s="14">
        <f t="shared" si="86"/>
        <v>1103.4510299999999</v>
      </c>
      <c r="U400" s="218" t="s">
        <v>1472</v>
      </c>
      <c r="V400" s="90" t="s">
        <v>462</v>
      </c>
      <c r="W400" s="109" t="s">
        <v>480</v>
      </c>
      <c r="X400" s="183" t="s">
        <v>64</v>
      </c>
      <c r="Y400" s="104" t="s">
        <v>64</v>
      </c>
      <c r="Z400" s="104" t="s">
        <v>64</v>
      </c>
      <c r="AA400" s="57" t="s">
        <v>64</v>
      </c>
      <c r="AB400" s="47" t="s">
        <v>64</v>
      </c>
      <c r="AC400" s="57">
        <v>530</v>
      </c>
      <c r="AD400" s="27" t="s">
        <v>470</v>
      </c>
      <c r="AE400" s="28">
        <f t="shared" si="88"/>
        <v>2.2386084668000001</v>
      </c>
      <c r="AF400" s="197" t="s">
        <v>470</v>
      </c>
      <c r="AG400" s="84">
        <v>530</v>
      </c>
      <c r="AH400" s="157" t="s">
        <v>469</v>
      </c>
      <c r="AI400" s="8">
        <v>1</v>
      </c>
      <c r="AJ400" s="9">
        <v>49.233600000000003</v>
      </c>
      <c r="AK400" s="9">
        <v>3.8591000000000002</v>
      </c>
      <c r="AL400" s="9">
        <v>13.2202</v>
      </c>
      <c r="AM400" s="189">
        <v>12.36753821466216</v>
      </c>
      <c r="AN400" s="9">
        <v>0.18029999999999999</v>
      </c>
      <c r="AO400" s="9">
        <v>4.4503000000000004</v>
      </c>
      <c r="AP400" s="9">
        <v>8.6022999999999996</v>
      </c>
      <c r="AQ400" s="9">
        <v>3.0293000000000001</v>
      </c>
      <c r="AR400" s="9">
        <v>0.86609999999999998</v>
      </c>
      <c r="AS400" s="9">
        <v>0.439</v>
      </c>
      <c r="AT400" s="190">
        <v>1498.401192</v>
      </c>
      <c r="AU400" s="9">
        <v>0.58292741494451406</v>
      </c>
      <c r="AV400" s="6">
        <v>328.49912451593906</v>
      </c>
      <c r="AW400" s="27" t="s">
        <v>64</v>
      </c>
      <c r="AX400" s="6">
        <v>328.49912451593906</v>
      </c>
      <c r="AY400" s="8">
        <f t="shared" si="89"/>
        <v>2.4742134740387804</v>
      </c>
      <c r="AZ400" s="9">
        <f t="shared" si="90"/>
        <v>10.14138133602297</v>
      </c>
      <c r="BA400" s="123">
        <v>49.233600000000003</v>
      </c>
      <c r="BB400" s="121">
        <v>3.8591000000000002</v>
      </c>
      <c r="BC400" s="121">
        <v>13.2202</v>
      </c>
      <c r="BD400" s="121">
        <v>12.3696</v>
      </c>
      <c r="BE400" s="121">
        <v>0.18029999999999999</v>
      </c>
      <c r="BF400" s="121">
        <v>4.4503000000000004</v>
      </c>
      <c r="BG400" s="121">
        <v>8.6022999999999996</v>
      </c>
      <c r="BH400" s="121">
        <v>3.0293000000000001</v>
      </c>
      <c r="BI400" s="121">
        <v>0.86609999999999998</v>
      </c>
      <c r="BJ400" s="121">
        <v>0.439</v>
      </c>
      <c r="BK400" s="121">
        <v>0.14984011920000001</v>
      </c>
      <c r="BL400" s="121">
        <f t="shared" si="87"/>
        <v>96.399640119200001</v>
      </c>
      <c r="BM400" s="121">
        <v>0.58292741494451406</v>
      </c>
      <c r="BN400" s="95">
        <v>328.499124515939</v>
      </c>
      <c r="BO400" s="122" t="s">
        <v>64</v>
      </c>
      <c r="BP400" s="95">
        <v>328.499124515939</v>
      </c>
      <c r="BQ400" s="194" t="s">
        <v>469</v>
      </c>
    </row>
    <row r="401" spans="11:69" ht="14.45" customHeight="1" thickBot="1">
      <c r="K401" s="36"/>
      <c r="L401" s="219" t="s">
        <v>483</v>
      </c>
      <c r="M401" s="1025" t="s">
        <v>459</v>
      </c>
      <c r="N401" s="133" t="s">
        <v>460</v>
      </c>
      <c r="O401" s="161" t="s">
        <v>1386</v>
      </c>
      <c r="P401" s="133" t="s">
        <v>405</v>
      </c>
      <c r="Q401" s="133" t="s">
        <v>484</v>
      </c>
      <c r="R401" s="220">
        <v>76.017387099040306</v>
      </c>
      <c r="S401" s="220" t="s">
        <v>64</v>
      </c>
      <c r="T401" s="161">
        <f t="shared" si="86"/>
        <v>1097.32656</v>
      </c>
      <c r="U401" s="134" t="s">
        <v>300</v>
      </c>
      <c r="V401" s="206" t="s">
        <v>64</v>
      </c>
      <c r="W401" s="110" t="s">
        <v>64</v>
      </c>
      <c r="X401" s="107" t="s">
        <v>64</v>
      </c>
      <c r="Y401" s="105" t="s">
        <v>64</v>
      </c>
      <c r="Z401" s="105" t="s">
        <v>64</v>
      </c>
      <c r="AA401" s="135" t="s">
        <v>64</v>
      </c>
      <c r="AB401" s="97" t="s">
        <v>64</v>
      </c>
      <c r="AC401" s="135">
        <v>570</v>
      </c>
      <c r="AD401" s="134" t="s">
        <v>470</v>
      </c>
      <c r="AE401" s="136">
        <f t="shared" si="88"/>
        <v>2.3978572811999999</v>
      </c>
      <c r="AF401" s="212" t="s">
        <v>470</v>
      </c>
      <c r="AG401" s="170">
        <v>570</v>
      </c>
      <c r="AH401" s="213" t="s">
        <v>469</v>
      </c>
      <c r="AI401" s="164">
        <v>1</v>
      </c>
      <c r="AJ401" s="165">
        <v>49.297199999999997</v>
      </c>
      <c r="AK401" s="165">
        <v>3.9521000000000002</v>
      </c>
      <c r="AL401" s="165">
        <v>12.8764</v>
      </c>
      <c r="AM401" s="214">
        <v>12.229861166725364</v>
      </c>
      <c r="AN401" s="165">
        <v>0.1321</v>
      </c>
      <c r="AO401" s="165">
        <v>4.1456</v>
      </c>
      <c r="AP401" s="165">
        <v>8.9179999999999993</v>
      </c>
      <c r="AQ401" s="165">
        <v>3.1846000000000001</v>
      </c>
      <c r="AR401" s="165">
        <v>0.8286</v>
      </c>
      <c r="AS401" s="165">
        <v>0.43559999999999999</v>
      </c>
      <c r="AT401" s="215">
        <v>1430.8380119999999</v>
      </c>
      <c r="AU401" s="165">
        <v>0.52448871358293603</v>
      </c>
      <c r="AV401" s="167">
        <v>366.13690041356392</v>
      </c>
      <c r="AW401" s="134" t="s">
        <v>64</v>
      </c>
      <c r="AX401" s="167">
        <v>366.13690041356392</v>
      </c>
      <c r="AY401" s="164">
        <f t="shared" si="89"/>
        <v>2.4466702070475166</v>
      </c>
      <c r="AZ401" s="165">
        <f t="shared" si="90"/>
        <v>10.0284861567148</v>
      </c>
      <c r="BA401" s="168">
        <v>49.297199999999997</v>
      </c>
      <c r="BB401" s="169">
        <v>3.9521000000000002</v>
      </c>
      <c r="BC401" s="169">
        <v>12.8764</v>
      </c>
      <c r="BD401" s="169">
        <v>12.2319</v>
      </c>
      <c r="BE401" s="169">
        <v>0.1321</v>
      </c>
      <c r="BF401" s="169">
        <v>4.1456</v>
      </c>
      <c r="BG401" s="169">
        <v>8.9179999999999993</v>
      </c>
      <c r="BH401" s="169">
        <v>3.1846000000000001</v>
      </c>
      <c r="BI401" s="169">
        <v>0.8286</v>
      </c>
      <c r="BJ401" s="169">
        <v>0.43559999999999999</v>
      </c>
      <c r="BK401" s="169">
        <v>0.1430838012</v>
      </c>
      <c r="BL401" s="169">
        <f t="shared" si="87"/>
        <v>96.145183801199977</v>
      </c>
      <c r="BM401" s="169">
        <v>0.52448871358293603</v>
      </c>
      <c r="BN401" s="101">
        <v>366.13690041356398</v>
      </c>
      <c r="BO401" s="171" t="s">
        <v>64</v>
      </c>
      <c r="BP401" s="101">
        <v>366.13690041356398</v>
      </c>
      <c r="BQ401" s="216" t="s">
        <v>469</v>
      </c>
    </row>
    <row r="402" spans="11:69" ht="14.45" customHeight="1">
      <c r="K402" s="224" t="s">
        <v>485</v>
      </c>
      <c r="L402" s="207" t="s">
        <v>483</v>
      </c>
      <c r="M402" s="763" t="s">
        <v>459</v>
      </c>
      <c r="N402" s="15" t="s">
        <v>460</v>
      </c>
      <c r="O402" s="14" t="s">
        <v>1387</v>
      </c>
      <c r="P402" s="15" t="s">
        <v>405</v>
      </c>
      <c r="Q402" s="15" t="s">
        <v>482</v>
      </c>
      <c r="R402" s="217" t="s">
        <v>64</v>
      </c>
      <c r="S402" s="193">
        <v>47.904974336343201</v>
      </c>
      <c r="T402" s="14">
        <f xml:space="preserve"> 20.1*AO402+1014</f>
        <v>1032.8095800000001</v>
      </c>
      <c r="U402" s="218" t="s">
        <v>1472</v>
      </c>
      <c r="V402" s="90" t="s">
        <v>462</v>
      </c>
      <c r="W402" s="109" t="s">
        <v>480</v>
      </c>
      <c r="X402" s="208" t="s">
        <v>64</v>
      </c>
      <c r="Y402" s="104" t="s">
        <v>64</v>
      </c>
      <c r="Z402" s="104" t="s">
        <v>64</v>
      </c>
      <c r="AA402" s="57" t="s">
        <v>64</v>
      </c>
      <c r="AB402" s="47" t="s">
        <v>64</v>
      </c>
      <c r="AC402" s="57">
        <v>100</v>
      </c>
      <c r="AD402" s="27" t="s">
        <v>470</v>
      </c>
      <c r="AE402" s="28">
        <f t="shared" si="88"/>
        <v>0.44206040000000002</v>
      </c>
      <c r="AF402" s="197" t="s">
        <v>470</v>
      </c>
      <c r="AG402" s="84">
        <v>100</v>
      </c>
      <c r="AH402" s="157" t="s">
        <v>469</v>
      </c>
      <c r="AI402" s="8">
        <v>1</v>
      </c>
      <c r="AJ402" s="9">
        <v>62.081600000000002</v>
      </c>
      <c r="AK402" s="9">
        <v>1.0216000000000001</v>
      </c>
      <c r="AL402" s="9">
        <v>14.7136</v>
      </c>
      <c r="AM402" s="189">
        <v>6.107172814546999</v>
      </c>
      <c r="AN402" s="9">
        <v>0.156</v>
      </c>
      <c r="AO402" s="9">
        <v>0.93579999999999997</v>
      </c>
      <c r="AP402" s="9">
        <v>4.6195000000000004</v>
      </c>
      <c r="AQ402" s="9">
        <v>5.7967000000000004</v>
      </c>
      <c r="AR402" s="9">
        <v>1.8097000000000001</v>
      </c>
      <c r="AS402" s="9">
        <v>0.3125</v>
      </c>
      <c r="AT402" s="190">
        <v>231.71668399999999</v>
      </c>
      <c r="AU402" s="9">
        <v>0.55650661317934302</v>
      </c>
      <c r="AV402" s="6">
        <v>33.186216832706698</v>
      </c>
      <c r="AW402" s="27" t="s">
        <v>64</v>
      </c>
      <c r="AX402" s="6">
        <v>33.186216832706698</v>
      </c>
      <c r="AY402" s="8">
        <f t="shared" si="89"/>
        <v>1.2217831070149068</v>
      </c>
      <c r="AZ402" s="9">
        <f t="shared" si="90"/>
        <v>5.0078817079285392</v>
      </c>
      <c r="BA402" s="123">
        <v>62.081600000000002</v>
      </c>
      <c r="BB402" s="121">
        <v>1.0216000000000001</v>
      </c>
      <c r="BC402" s="121">
        <v>14.7136</v>
      </c>
      <c r="BD402" s="121">
        <v>6.1082000000000001</v>
      </c>
      <c r="BE402" s="121">
        <v>0.156</v>
      </c>
      <c r="BF402" s="121">
        <v>0.93579999999999997</v>
      </c>
      <c r="BG402" s="121">
        <v>4.6195000000000004</v>
      </c>
      <c r="BH402" s="121">
        <v>5.7967000000000004</v>
      </c>
      <c r="BI402" s="121">
        <v>1.8097000000000001</v>
      </c>
      <c r="BJ402" s="121">
        <v>0.3125</v>
      </c>
      <c r="BK402" s="121">
        <v>2.3171668399999998E-2</v>
      </c>
      <c r="BL402" s="121">
        <f t="shared" ref="BL402" si="91">SUM(BA402:BK402)</f>
        <v>97.57837166840001</v>
      </c>
      <c r="BM402" s="121">
        <v>0.55650661317934302</v>
      </c>
      <c r="BN402" s="95">
        <v>33.186216832706698</v>
      </c>
      <c r="BO402" s="122" t="s">
        <v>64</v>
      </c>
      <c r="BP402" s="95">
        <v>33.186216832706698</v>
      </c>
      <c r="BQ402" s="194" t="s">
        <v>469</v>
      </c>
    </row>
    <row r="403" spans="11:69" ht="14.45" customHeight="1">
      <c r="L403" s="207" t="s">
        <v>483</v>
      </c>
      <c r="M403" s="763" t="s">
        <v>459</v>
      </c>
      <c r="N403" s="15" t="s">
        <v>460</v>
      </c>
      <c r="O403" s="14" t="s">
        <v>1388</v>
      </c>
      <c r="P403" s="15" t="s">
        <v>405</v>
      </c>
      <c r="Q403" s="15" t="s">
        <v>482</v>
      </c>
      <c r="R403" s="217" t="s">
        <v>64</v>
      </c>
      <c r="S403" s="193">
        <v>63.808152305246402</v>
      </c>
      <c r="T403" s="14">
        <f t="shared" ref="T403:T462" si="92" xml:space="preserve"> 20.1*AO403+1014</f>
        <v>1117.04466</v>
      </c>
      <c r="U403" s="27" t="s">
        <v>300</v>
      </c>
      <c r="V403" s="90" t="s">
        <v>64</v>
      </c>
      <c r="W403" s="109" t="s">
        <v>64</v>
      </c>
      <c r="X403" s="183" t="s">
        <v>64</v>
      </c>
      <c r="Y403" s="104" t="s">
        <v>64</v>
      </c>
      <c r="Z403" s="104" t="s">
        <v>64</v>
      </c>
      <c r="AA403" s="57" t="s">
        <v>64</v>
      </c>
      <c r="AB403" s="47" t="s">
        <v>64</v>
      </c>
      <c r="AC403" s="57">
        <v>1000</v>
      </c>
      <c r="AD403" s="27" t="s">
        <v>470</v>
      </c>
      <c r="AE403" s="28">
        <f t="shared" si="88"/>
        <v>4.0375999999999994</v>
      </c>
      <c r="AF403" s="197" t="s">
        <v>470</v>
      </c>
      <c r="AG403" s="84">
        <v>1000</v>
      </c>
      <c r="AH403" s="157" t="s">
        <v>469</v>
      </c>
      <c r="AI403" s="8">
        <v>1</v>
      </c>
      <c r="AJ403" s="9">
        <v>51.146799999999999</v>
      </c>
      <c r="AK403" s="9">
        <v>3.859</v>
      </c>
      <c r="AL403" s="9">
        <v>12.2225</v>
      </c>
      <c r="AM403" s="189">
        <v>12.4534054208425</v>
      </c>
      <c r="AN403" s="9">
        <v>0.1646</v>
      </c>
      <c r="AO403" s="9">
        <v>5.1265999999999998</v>
      </c>
      <c r="AP403" s="9">
        <v>8.5693999999999999</v>
      </c>
      <c r="AQ403" s="9">
        <v>2.6326000000000001</v>
      </c>
      <c r="AR403" s="9">
        <v>0.79859999999999998</v>
      </c>
      <c r="AS403" s="9">
        <v>0.52829999999999999</v>
      </c>
      <c r="AT403" s="190">
        <v>1609.0046199999999</v>
      </c>
      <c r="AU403" s="9">
        <v>0.69429214119722005</v>
      </c>
      <c r="AV403" s="6">
        <v>683.95357797193105</v>
      </c>
      <c r="AW403" s="27" t="s">
        <v>64</v>
      </c>
      <c r="AX403" s="6">
        <v>683.95357797193105</v>
      </c>
      <c r="AY403" s="8">
        <f t="shared" si="89"/>
        <v>2.4913918158253128</v>
      </c>
      <c r="AZ403" s="9">
        <f t="shared" si="90"/>
        <v>10.21179244509085</v>
      </c>
      <c r="BA403" s="123">
        <v>51.146799999999999</v>
      </c>
      <c r="BB403" s="121">
        <v>3.859</v>
      </c>
      <c r="BC403" s="121">
        <v>12.2225</v>
      </c>
      <c r="BD403" s="121">
        <v>12.455500000000001</v>
      </c>
      <c r="BE403" s="121">
        <v>0.1646</v>
      </c>
      <c r="BF403" s="121">
        <v>5.1265999999999998</v>
      </c>
      <c r="BG403" s="121">
        <v>8.5693999999999999</v>
      </c>
      <c r="BH403" s="121">
        <v>2.6326000000000001</v>
      </c>
      <c r="BI403" s="121">
        <v>0.79859999999999998</v>
      </c>
      <c r="BJ403" s="121">
        <v>0.52829999999999999</v>
      </c>
      <c r="BK403" s="121">
        <v>0.16090046199999999</v>
      </c>
      <c r="BL403" s="121">
        <f t="shared" ref="BL403:BL462" si="93">SUM(BA403:BK403)</f>
        <v>97.664800461999988</v>
      </c>
      <c r="BM403" s="121">
        <v>0.69429214119722005</v>
      </c>
      <c r="BN403" s="95">
        <v>683.95357797193105</v>
      </c>
      <c r="BO403" s="122" t="s">
        <v>64</v>
      </c>
      <c r="BP403" s="95">
        <v>683.95357797193105</v>
      </c>
      <c r="BQ403" s="194" t="s">
        <v>469</v>
      </c>
    </row>
    <row r="404" spans="11:69" ht="14.45" customHeight="1">
      <c r="L404" s="207" t="s">
        <v>483</v>
      </c>
      <c r="M404" s="763" t="s">
        <v>459</v>
      </c>
      <c r="N404" s="15" t="s">
        <v>460</v>
      </c>
      <c r="O404" s="14" t="s">
        <v>1389</v>
      </c>
      <c r="P404" s="15" t="s">
        <v>405</v>
      </c>
      <c r="Q404" s="15" t="s">
        <v>482</v>
      </c>
      <c r="R404" s="217" t="s">
        <v>64</v>
      </c>
      <c r="S404" s="193">
        <v>64.009065778211109</v>
      </c>
      <c r="T404" s="14">
        <f t="shared" si="92"/>
        <v>1107.38058</v>
      </c>
      <c r="U404" s="27" t="s">
        <v>300</v>
      </c>
      <c r="V404" s="90" t="s">
        <v>64</v>
      </c>
      <c r="W404" s="109" t="s">
        <v>64</v>
      </c>
      <c r="X404" s="183" t="s">
        <v>64</v>
      </c>
      <c r="Y404" s="104" t="s">
        <v>64</v>
      </c>
      <c r="Z404" s="104" t="s">
        <v>64</v>
      </c>
      <c r="AA404" s="57" t="s">
        <v>64</v>
      </c>
      <c r="AB404" s="47" t="s">
        <v>64</v>
      </c>
      <c r="AC404" s="57">
        <v>130</v>
      </c>
      <c r="AD404" s="27" t="s">
        <v>470</v>
      </c>
      <c r="AE404" s="28">
        <f t="shared" si="88"/>
        <v>0.57278675479999996</v>
      </c>
      <c r="AF404" s="197" t="s">
        <v>470</v>
      </c>
      <c r="AG404" s="84">
        <v>130</v>
      </c>
      <c r="AH404" s="157" t="s">
        <v>469</v>
      </c>
      <c r="AI404" s="8">
        <v>1</v>
      </c>
      <c r="AJ404" s="9">
        <v>50.764299999999999</v>
      </c>
      <c r="AK404" s="9">
        <v>4.0092999999999996</v>
      </c>
      <c r="AL404" s="9">
        <v>11.9472</v>
      </c>
      <c r="AM404" s="189">
        <v>13.2388733104185</v>
      </c>
      <c r="AN404" s="9">
        <v>0.21920000000000001</v>
      </c>
      <c r="AO404" s="9">
        <v>4.6458000000000004</v>
      </c>
      <c r="AP404" s="9">
        <v>8.4323999999999995</v>
      </c>
      <c r="AQ404" s="9">
        <v>3.0295999999999998</v>
      </c>
      <c r="AR404" s="9">
        <v>0.97519999999999996</v>
      </c>
      <c r="AS404" s="9">
        <v>0.47460000000000002</v>
      </c>
      <c r="AT404" s="190">
        <v>1496.39932</v>
      </c>
      <c r="AU404" s="9">
        <v>0.34493772216653401</v>
      </c>
      <c r="AV404" s="6">
        <v>87.367162360046706</v>
      </c>
      <c r="AW404" s="27" t="s">
        <v>64</v>
      </c>
      <c r="AX404" s="6">
        <v>87.367162360046706</v>
      </c>
      <c r="AY404" s="8">
        <f t="shared" si="89"/>
        <v>2.6485302213901125</v>
      </c>
      <c r="AZ404" s="9">
        <f t="shared" si="90"/>
        <v>10.855876114543172</v>
      </c>
      <c r="BA404" s="123">
        <v>50.764299999999999</v>
      </c>
      <c r="BB404" s="121">
        <v>4.0092999999999996</v>
      </c>
      <c r="BC404" s="121">
        <v>11.9472</v>
      </c>
      <c r="BD404" s="121">
        <v>13.241099999999999</v>
      </c>
      <c r="BE404" s="121">
        <v>0.21920000000000001</v>
      </c>
      <c r="BF404" s="121">
        <v>4.6458000000000004</v>
      </c>
      <c r="BG404" s="121">
        <v>8.4323999999999995</v>
      </c>
      <c r="BH404" s="121">
        <v>3.0295999999999998</v>
      </c>
      <c r="BI404" s="121">
        <v>0.97519999999999996</v>
      </c>
      <c r="BJ404" s="121">
        <v>0.47460000000000002</v>
      </c>
      <c r="BK404" s="121">
        <v>0.149639932</v>
      </c>
      <c r="BL404" s="121">
        <f t="shared" si="93"/>
        <v>97.888339931999994</v>
      </c>
      <c r="BM404" s="121">
        <v>0.34493772216653401</v>
      </c>
      <c r="BN404" s="95">
        <v>87.367162360046706</v>
      </c>
      <c r="BO404" s="122" t="s">
        <v>64</v>
      </c>
      <c r="BP404" s="95">
        <v>87.367162360046706</v>
      </c>
      <c r="BQ404" s="194" t="s">
        <v>469</v>
      </c>
    </row>
    <row r="405" spans="11:69" ht="14.45" customHeight="1">
      <c r="L405" s="207" t="s">
        <v>483</v>
      </c>
      <c r="M405" s="763" t="s">
        <v>459</v>
      </c>
      <c r="N405" s="15" t="s">
        <v>460</v>
      </c>
      <c r="O405" s="14" t="s">
        <v>1390</v>
      </c>
      <c r="P405" s="15" t="s">
        <v>405</v>
      </c>
      <c r="Q405" s="15" t="s">
        <v>482</v>
      </c>
      <c r="R405" s="217" t="s">
        <v>64</v>
      </c>
      <c r="S405" s="193">
        <v>62.424886221283003</v>
      </c>
      <c r="T405" s="14">
        <f t="shared" si="92"/>
        <v>1113.8547900000001</v>
      </c>
      <c r="U405" s="27" t="s">
        <v>300</v>
      </c>
      <c r="V405" s="90" t="s">
        <v>64</v>
      </c>
      <c r="W405" s="109" t="s">
        <v>64</v>
      </c>
      <c r="X405" s="183" t="s">
        <v>64</v>
      </c>
      <c r="Y405" s="104" t="s">
        <v>64</v>
      </c>
      <c r="Z405" s="104" t="s">
        <v>64</v>
      </c>
      <c r="AA405" s="57" t="s">
        <v>64</v>
      </c>
      <c r="AB405" s="47" t="s">
        <v>64</v>
      </c>
      <c r="AC405" s="57">
        <v>510</v>
      </c>
      <c r="AD405" s="27" t="s">
        <v>470</v>
      </c>
      <c r="AE405" s="28">
        <f t="shared" si="88"/>
        <v>2.1585152484000001</v>
      </c>
      <c r="AF405" s="197" t="s">
        <v>470</v>
      </c>
      <c r="AG405" s="84">
        <v>510</v>
      </c>
      <c r="AH405" s="157" t="s">
        <v>469</v>
      </c>
      <c r="AI405" s="8">
        <v>1</v>
      </c>
      <c r="AJ405" s="9">
        <v>51.408900000000003</v>
      </c>
      <c r="AK405" s="9">
        <v>3.9649000000000001</v>
      </c>
      <c r="AL405" s="9">
        <v>12.16</v>
      </c>
      <c r="AM405" s="189">
        <v>12.4915989969395</v>
      </c>
      <c r="AN405" s="9">
        <v>0.21929999999999999</v>
      </c>
      <c r="AO405" s="9">
        <v>4.9679000000000002</v>
      </c>
      <c r="AP405" s="9">
        <v>8.6237999999999992</v>
      </c>
      <c r="AQ405" s="9">
        <v>2.6976</v>
      </c>
      <c r="AR405" s="9">
        <v>0.88009999999999999</v>
      </c>
      <c r="AS405" s="9">
        <v>0.48880000000000001</v>
      </c>
      <c r="AT405" s="190">
        <v>1722.610856</v>
      </c>
      <c r="AU405" s="9">
        <v>0.70288150776365399</v>
      </c>
      <c r="AV405" s="6">
        <v>320.270574678836</v>
      </c>
      <c r="AW405" s="27" t="s">
        <v>64</v>
      </c>
      <c r="AX405" s="6">
        <v>320.270574678836</v>
      </c>
      <c r="AY405" s="8">
        <f t="shared" si="89"/>
        <v>2.499032710800587</v>
      </c>
      <c r="AZ405" s="9">
        <f t="shared" si="90"/>
        <v>10.243111177490389</v>
      </c>
      <c r="BA405" s="123">
        <v>51.408900000000003</v>
      </c>
      <c r="BB405" s="121">
        <v>3.9649000000000001</v>
      </c>
      <c r="BC405" s="121">
        <v>12.16</v>
      </c>
      <c r="BD405" s="121">
        <v>12.4937</v>
      </c>
      <c r="BE405" s="121">
        <v>0.21929999999999999</v>
      </c>
      <c r="BF405" s="121">
        <v>4.9679000000000002</v>
      </c>
      <c r="BG405" s="121">
        <v>8.6237999999999992</v>
      </c>
      <c r="BH405" s="121">
        <v>2.6976</v>
      </c>
      <c r="BI405" s="121">
        <v>0.88009999999999999</v>
      </c>
      <c r="BJ405" s="121">
        <v>0.48880000000000001</v>
      </c>
      <c r="BK405" s="121">
        <v>0.1722610856</v>
      </c>
      <c r="BL405" s="121">
        <f t="shared" si="93"/>
        <v>98.0772610856</v>
      </c>
      <c r="BM405" s="121">
        <v>0.70288150776365399</v>
      </c>
      <c r="BN405" s="95">
        <v>320.270574678836</v>
      </c>
      <c r="BO405" s="122" t="s">
        <v>64</v>
      </c>
      <c r="BP405" s="95">
        <v>320.270574678836</v>
      </c>
      <c r="BQ405" s="194" t="s">
        <v>469</v>
      </c>
    </row>
    <row r="406" spans="11:69" ht="14.45" customHeight="1">
      <c r="L406" s="207" t="s">
        <v>483</v>
      </c>
      <c r="M406" s="763" t="s">
        <v>459</v>
      </c>
      <c r="N406" s="15" t="s">
        <v>460</v>
      </c>
      <c r="O406" s="14" t="s">
        <v>1391</v>
      </c>
      <c r="P406" s="15" t="s">
        <v>405</v>
      </c>
      <c r="Q406" s="15" t="s">
        <v>482</v>
      </c>
      <c r="R406" s="217" t="s">
        <v>64</v>
      </c>
      <c r="S406" s="193">
        <v>60.433196282954107</v>
      </c>
      <c r="T406" s="14">
        <f t="shared" si="92"/>
        <v>1099.1858099999999</v>
      </c>
      <c r="U406" s="27" t="s">
        <v>300</v>
      </c>
      <c r="V406" s="90" t="s">
        <v>64</v>
      </c>
      <c r="W406" s="109" t="s">
        <v>64</v>
      </c>
      <c r="X406" s="183" t="s">
        <v>64</v>
      </c>
      <c r="Y406" s="104" t="s">
        <v>64</v>
      </c>
      <c r="Z406" s="104" t="s">
        <v>64</v>
      </c>
      <c r="AA406" s="57" t="s">
        <v>64</v>
      </c>
      <c r="AB406" s="47" t="s">
        <v>64</v>
      </c>
      <c r="AC406" s="57">
        <v>710</v>
      </c>
      <c r="AD406" s="27" t="s">
        <v>470</v>
      </c>
      <c r="AE406" s="28">
        <f t="shared" si="88"/>
        <v>2.9457278323999998</v>
      </c>
      <c r="AF406" s="197" t="s">
        <v>470</v>
      </c>
      <c r="AG406" s="84">
        <v>710</v>
      </c>
      <c r="AH406" s="157" t="s">
        <v>469</v>
      </c>
      <c r="AI406" s="8">
        <v>1</v>
      </c>
      <c r="AJ406" s="9">
        <v>50.694400000000002</v>
      </c>
      <c r="AK406" s="9">
        <v>4.0541</v>
      </c>
      <c r="AL406" s="9">
        <v>13.0213</v>
      </c>
      <c r="AM406" s="189">
        <v>12.484700157278001</v>
      </c>
      <c r="AN406" s="9">
        <v>0.19489999999999999</v>
      </c>
      <c r="AO406" s="9">
        <v>4.2381000000000002</v>
      </c>
      <c r="AP406" s="9">
        <v>8.1064000000000007</v>
      </c>
      <c r="AQ406" s="9">
        <v>2.9977999999999998</v>
      </c>
      <c r="AR406" s="9">
        <v>1.1792</v>
      </c>
      <c r="AS406" s="9">
        <v>0.41849999999999998</v>
      </c>
      <c r="AT406" s="190">
        <v>1855.7353439999999</v>
      </c>
      <c r="AU406" s="9">
        <v>1.1356859626600699</v>
      </c>
      <c r="AV406" s="6">
        <v>382.07238856150099</v>
      </c>
      <c r="AW406" s="27" t="s">
        <v>64</v>
      </c>
      <c r="AX406" s="6">
        <v>382.07238856150099</v>
      </c>
      <c r="AY406" s="8">
        <f t="shared" si="89"/>
        <v>2.4976525491427499</v>
      </c>
      <c r="AZ406" s="9">
        <f t="shared" si="90"/>
        <v>10.237454128967961</v>
      </c>
      <c r="BA406" s="123">
        <v>50.694400000000002</v>
      </c>
      <c r="BB406" s="121">
        <v>4.0541</v>
      </c>
      <c r="BC406" s="121">
        <v>13.0213</v>
      </c>
      <c r="BD406" s="121">
        <v>12.486800000000001</v>
      </c>
      <c r="BE406" s="121">
        <v>0.19489999999999999</v>
      </c>
      <c r="BF406" s="121">
        <v>4.2381000000000002</v>
      </c>
      <c r="BG406" s="121">
        <v>8.1064000000000007</v>
      </c>
      <c r="BH406" s="121">
        <v>2.9977999999999998</v>
      </c>
      <c r="BI406" s="121">
        <v>1.1792</v>
      </c>
      <c r="BJ406" s="121">
        <v>0.41849999999999998</v>
      </c>
      <c r="BK406" s="121">
        <v>0.18557353439999999</v>
      </c>
      <c r="BL406" s="121">
        <f t="shared" si="93"/>
        <v>97.577073534400014</v>
      </c>
      <c r="BM406" s="121">
        <v>1.1356859626600699</v>
      </c>
      <c r="BN406" s="95">
        <v>382.07238856150099</v>
      </c>
      <c r="BO406" s="122" t="s">
        <v>64</v>
      </c>
      <c r="BP406" s="95">
        <v>382.07238856150099</v>
      </c>
      <c r="BQ406" s="194" t="s">
        <v>469</v>
      </c>
    </row>
    <row r="407" spans="11:69" ht="14.45" customHeight="1">
      <c r="L407" s="207" t="s">
        <v>483</v>
      </c>
      <c r="M407" s="763" t="s">
        <v>459</v>
      </c>
      <c r="N407" s="15" t="s">
        <v>460</v>
      </c>
      <c r="O407" s="14" t="s">
        <v>1392</v>
      </c>
      <c r="P407" s="15" t="s">
        <v>405</v>
      </c>
      <c r="Q407" s="15" t="s">
        <v>482</v>
      </c>
      <c r="R407" s="217" t="s">
        <v>64</v>
      </c>
      <c r="S407" s="193">
        <v>60.465637637538308</v>
      </c>
      <c r="T407" s="14">
        <f t="shared" si="92"/>
        <v>1099.1858099999999</v>
      </c>
      <c r="U407" s="27" t="s">
        <v>300</v>
      </c>
      <c r="V407" s="90" t="s">
        <v>64</v>
      </c>
      <c r="W407" s="109" t="s">
        <v>64</v>
      </c>
      <c r="X407" s="183" t="s">
        <v>64</v>
      </c>
      <c r="Y407" s="104" t="s">
        <v>64</v>
      </c>
      <c r="Z407" s="104" t="s">
        <v>64</v>
      </c>
      <c r="AA407" s="57" t="s">
        <v>64</v>
      </c>
      <c r="AB407" s="47" t="s">
        <v>64</v>
      </c>
      <c r="AC407" s="57">
        <v>410</v>
      </c>
      <c r="AD407" s="27" t="s">
        <v>470</v>
      </c>
      <c r="AE407" s="28">
        <f t="shared" si="88"/>
        <v>1.7532297163999997</v>
      </c>
      <c r="AF407" s="197" t="s">
        <v>470</v>
      </c>
      <c r="AG407" s="84">
        <v>410</v>
      </c>
      <c r="AH407" s="157" t="s">
        <v>469</v>
      </c>
      <c r="AI407" s="8">
        <v>1</v>
      </c>
      <c r="AJ407" s="9">
        <v>50.694400000000002</v>
      </c>
      <c r="AK407" s="9">
        <v>4.0541</v>
      </c>
      <c r="AL407" s="9">
        <v>13.0213</v>
      </c>
      <c r="AM407" s="189">
        <v>12.484700157278001</v>
      </c>
      <c r="AN407" s="9">
        <v>0.19489999999999999</v>
      </c>
      <c r="AO407" s="9">
        <v>4.2381000000000002</v>
      </c>
      <c r="AP407" s="9">
        <v>8.1064000000000007</v>
      </c>
      <c r="AQ407" s="9">
        <v>2.9977999999999998</v>
      </c>
      <c r="AR407" s="9">
        <v>1.1792</v>
      </c>
      <c r="AS407" s="9">
        <v>0.41849999999999998</v>
      </c>
      <c r="AT407" s="190">
        <v>1855.7353439999999</v>
      </c>
      <c r="AU407" s="9">
        <v>1.1765895279379599</v>
      </c>
      <c r="AV407" s="6">
        <v>150.98030155566499</v>
      </c>
      <c r="AW407" s="27" t="s">
        <v>64</v>
      </c>
      <c r="AX407" s="6">
        <v>150.98030155566499</v>
      </c>
      <c r="AY407" s="8">
        <f t="shared" si="89"/>
        <v>2.4976525491427499</v>
      </c>
      <c r="AZ407" s="9">
        <f t="shared" si="90"/>
        <v>10.237454128967961</v>
      </c>
      <c r="BA407" s="123">
        <v>50.694400000000002</v>
      </c>
      <c r="BB407" s="121">
        <v>4.0541</v>
      </c>
      <c r="BC407" s="121">
        <v>13.0213</v>
      </c>
      <c r="BD407" s="121">
        <v>12.486800000000001</v>
      </c>
      <c r="BE407" s="121">
        <v>0.19489999999999999</v>
      </c>
      <c r="BF407" s="121">
        <v>4.2381000000000002</v>
      </c>
      <c r="BG407" s="121">
        <v>8.1064000000000007</v>
      </c>
      <c r="BH407" s="121">
        <v>2.9977999999999998</v>
      </c>
      <c r="BI407" s="121">
        <v>1.1792</v>
      </c>
      <c r="BJ407" s="121">
        <v>0.41849999999999998</v>
      </c>
      <c r="BK407" s="121">
        <v>0.18557353439999999</v>
      </c>
      <c r="BL407" s="121">
        <f t="shared" si="93"/>
        <v>97.577073534400014</v>
      </c>
      <c r="BM407" s="121">
        <v>1.1765895279379599</v>
      </c>
      <c r="BN407" s="95">
        <v>150.98030155566499</v>
      </c>
      <c r="BO407" s="122" t="s">
        <v>64</v>
      </c>
      <c r="BP407" s="95">
        <v>150.98030155566499</v>
      </c>
      <c r="BQ407" s="194" t="s">
        <v>469</v>
      </c>
    </row>
    <row r="408" spans="11:69" ht="14.45" customHeight="1">
      <c r="L408" s="207" t="s">
        <v>483</v>
      </c>
      <c r="M408" s="763" t="s">
        <v>459</v>
      </c>
      <c r="N408" s="15" t="s">
        <v>460</v>
      </c>
      <c r="O408" s="14" t="s">
        <v>1393</v>
      </c>
      <c r="P408" s="15" t="s">
        <v>405</v>
      </c>
      <c r="Q408" s="15" t="s">
        <v>482</v>
      </c>
      <c r="R408" s="217" t="s">
        <v>64</v>
      </c>
      <c r="S408" s="193">
        <v>47.386904499738904</v>
      </c>
      <c r="T408" s="14">
        <f t="shared" si="92"/>
        <v>1111.30008</v>
      </c>
      <c r="U408" s="27" t="s">
        <v>300</v>
      </c>
      <c r="V408" s="90" t="s">
        <v>64</v>
      </c>
      <c r="W408" s="109" t="s">
        <v>64</v>
      </c>
      <c r="X408" s="183" t="s">
        <v>64</v>
      </c>
      <c r="Y408" s="104" t="s">
        <v>64</v>
      </c>
      <c r="Z408" s="104" t="s">
        <v>64</v>
      </c>
      <c r="AA408" s="57" t="s">
        <v>64</v>
      </c>
      <c r="AB408" s="47" t="s">
        <v>64</v>
      </c>
      <c r="AC408" s="57">
        <v>220</v>
      </c>
      <c r="AD408" s="27" t="s">
        <v>470</v>
      </c>
      <c r="AE408" s="28">
        <f t="shared" si="88"/>
        <v>0.95988960319999994</v>
      </c>
      <c r="AF408" s="197" t="s">
        <v>470</v>
      </c>
      <c r="AG408" s="84">
        <v>220</v>
      </c>
      <c r="AH408" s="157" t="s">
        <v>469</v>
      </c>
      <c r="AI408" s="8">
        <v>1</v>
      </c>
      <c r="AJ408" s="9">
        <v>50.243099999999998</v>
      </c>
      <c r="AK408" s="9">
        <v>4.1711999999999998</v>
      </c>
      <c r="AL408" s="9">
        <v>11.5703</v>
      </c>
      <c r="AM408" s="189">
        <v>13.652403757374499</v>
      </c>
      <c r="AN408" s="9">
        <v>0.22559999999999999</v>
      </c>
      <c r="AO408" s="9">
        <v>4.8407999999999998</v>
      </c>
      <c r="AP408" s="9">
        <v>8.4016999999999999</v>
      </c>
      <c r="AQ408" s="9">
        <v>2.7690000000000001</v>
      </c>
      <c r="AR408" s="9">
        <v>0.91790000000000005</v>
      </c>
      <c r="AS408" s="9">
        <v>0.37219999999999998</v>
      </c>
      <c r="AT408" s="190">
        <v>1298.213992</v>
      </c>
      <c r="AU408" s="9">
        <v>0.36140098179559499</v>
      </c>
      <c r="AV408" s="6">
        <v>150.37763677191001</v>
      </c>
      <c r="AW408" s="27" t="s">
        <v>64</v>
      </c>
      <c r="AX408" s="6">
        <v>150.37763677191001</v>
      </c>
      <c r="AY408" s="8">
        <f t="shared" si="89"/>
        <v>2.731259911488892</v>
      </c>
      <c r="AZ408" s="9">
        <f t="shared" si="90"/>
        <v>11.194971081047091</v>
      </c>
      <c r="BA408" s="123">
        <v>50.243099999999998</v>
      </c>
      <c r="BB408" s="121">
        <v>4.1711999999999998</v>
      </c>
      <c r="BC408" s="121">
        <v>11.5703</v>
      </c>
      <c r="BD408" s="121">
        <v>13.6547</v>
      </c>
      <c r="BE408" s="121">
        <v>0.22559999999999999</v>
      </c>
      <c r="BF408" s="121">
        <v>4.8407999999999998</v>
      </c>
      <c r="BG408" s="121">
        <v>8.4016999999999999</v>
      </c>
      <c r="BH408" s="121">
        <v>2.7690000000000001</v>
      </c>
      <c r="BI408" s="121">
        <v>0.91790000000000005</v>
      </c>
      <c r="BJ408" s="121">
        <v>0.37219999999999998</v>
      </c>
      <c r="BK408" s="121">
        <v>0.12982139919999999</v>
      </c>
      <c r="BL408" s="121">
        <f t="shared" si="93"/>
        <v>97.296321399200025</v>
      </c>
      <c r="BM408" s="121">
        <v>0.36140098179559499</v>
      </c>
      <c r="BN408" s="95">
        <v>150.37763677191001</v>
      </c>
      <c r="BO408" s="122" t="s">
        <v>64</v>
      </c>
      <c r="BP408" s="95">
        <v>150.37763677191001</v>
      </c>
      <c r="BQ408" s="194" t="s">
        <v>469</v>
      </c>
    </row>
    <row r="409" spans="11:69" ht="14.45" customHeight="1">
      <c r="L409" s="207" t="s">
        <v>483</v>
      </c>
      <c r="M409" s="763" t="s">
        <v>459</v>
      </c>
      <c r="N409" s="15" t="s">
        <v>460</v>
      </c>
      <c r="O409" s="14" t="s">
        <v>1394</v>
      </c>
      <c r="P409" s="15" t="s">
        <v>405</v>
      </c>
      <c r="Q409" s="15" t="s">
        <v>482</v>
      </c>
      <c r="R409" s="217" t="s">
        <v>64</v>
      </c>
      <c r="S409" s="193">
        <v>59.847421898931998</v>
      </c>
      <c r="T409" s="14">
        <f t="shared" si="92"/>
        <v>1104.249</v>
      </c>
      <c r="U409" s="218" t="s">
        <v>1472</v>
      </c>
      <c r="V409" s="90" t="s">
        <v>462</v>
      </c>
      <c r="W409" s="109" t="s">
        <v>480</v>
      </c>
      <c r="X409" s="183" t="s">
        <v>64</v>
      </c>
      <c r="Y409" s="104" t="s">
        <v>64</v>
      </c>
      <c r="Z409" s="104" t="s">
        <v>64</v>
      </c>
      <c r="AA409" s="57" t="s">
        <v>64</v>
      </c>
      <c r="AB409" s="47" t="s">
        <v>64</v>
      </c>
      <c r="AC409" s="57">
        <v>580</v>
      </c>
      <c r="AD409" s="27" t="s">
        <v>470</v>
      </c>
      <c r="AE409" s="28">
        <f t="shared" si="88"/>
        <v>2.4374765407999996</v>
      </c>
      <c r="AF409" s="197" t="s">
        <v>470</v>
      </c>
      <c r="AG409" s="84">
        <v>580</v>
      </c>
      <c r="AH409" s="157" t="s">
        <v>469</v>
      </c>
      <c r="AI409" s="8">
        <v>1</v>
      </c>
      <c r="AJ409" s="9">
        <v>51.290300000000002</v>
      </c>
      <c r="AK409" s="9">
        <v>3.8542000000000001</v>
      </c>
      <c r="AL409" s="9">
        <v>12.646100000000001</v>
      </c>
      <c r="AM409" s="189">
        <v>12.252739171558</v>
      </c>
      <c r="AN409" s="9">
        <v>0.16889999999999999</v>
      </c>
      <c r="AO409" s="9">
        <v>4.49</v>
      </c>
      <c r="AP409" s="9">
        <v>8.2912999999999997</v>
      </c>
      <c r="AQ409" s="9">
        <v>2.9971000000000001</v>
      </c>
      <c r="AR409" s="9">
        <v>0.96830000000000005</v>
      </c>
      <c r="AS409" s="9">
        <v>0.46510000000000001</v>
      </c>
      <c r="AT409" s="190">
        <v>1738.6258319999999</v>
      </c>
      <c r="AU409" s="9">
        <v>0.82302446746380498</v>
      </c>
      <c r="AV409" s="6">
        <v>349.47129494684202</v>
      </c>
      <c r="AW409" s="27" t="s">
        <v>64</v>
      </c>
      <c r="AX409" s="6">
        <v>349.47129494684202</v>
      </c>
      <c r="AY409" s="8">
        <f t="shared" si="89"/>
        <v>2.4512471136908229</v>
      </c>
      <c r="AZ409" s="9">
        <f t="shared" si="90"/>
        <v>10.047246120677562</v>
      </c>
      <c r="BA409" s="123">
        <v>51.290300000000002</v>
      </c>
      <c r="BB409" s="121">
        <v>3.8542000000000001</v>
      </c>
      <c r="BC409" s="121">
        <v>12.646100000000001</v>
      </c>
      <c r="BD409" s="121">
        <v>12.254799999999999</v>
      </c>
      <c r="BE409" s="121">
        <v>0.16889999999999999</v>
      </c>
      <c r="BF409" s="121">
        <v>4.49</v>
      </c>
      <c r="BG409" s="121">
        <v>8.2912999999999997</v>
      </c>
      <c r="BH409" s="121">
        <v>2.9971000000000001</v>
      </c>
      <c r="BI409" s="121">
        <v>0.96830000000000005</v>
      </c>
      <c r="BJ409" s="121">
        <v>0.46510000000000001</v>
      </c>
      <c r="BK409" s="121">
        <v>0.1738625832</v>
      </c>
      <c r="BL409" s="121">
        <f t="shared" si="93"/>
        <v>97.599962583200011</v>
      </c>
      <c r="BM409" s="121">
        <v>0.82302446746380498</v>
      </c>
      <c r="BN409" s="95">
        <v>349.47129494684202</v>
      </c>
      <c r="BO409" s="122" t="s">
        <v>64</v>
      </c>
      <c r="BP409" s="95">
        <v>349.47129494684202</v>
      </c>
      <c r="BQ409" s="194" t="s">
        <v>469</v>
      </c>
    </row>
    <row r="410" spans="11:69" ht="14.45" customHeight="1">
      <c r="L410" s="20" t="s">
        <v>64</v>
      </c>
      <c r="M410" s="763" t="s">
        <v>459</v>
      </c>
      <c r="N410" s="15" t="s">
        <v>460</v>
      </c>
      <c r="O410" s="14" t="s">
        <v>1395</v>
      </c>
      <c r="P410" s="15" t="s">
        <v>405</v>
      </c>
      <c r="Q410" s="15" t="s">
        <v>482</v>
      </c>
      <c r="R410" s="217" t="s">
        <v>64</v>
      </c>
      <c r="S410" s="193">
        <v>49.054648593847901</v>
      </c>
      <c r="T410" s="14">
        <f t="shared" si="92"/>
        <v>1136.7667799999999</v>
      </c>
      <c r="U410" s="27" t="s">
        <v>300</v>
      </c>
      <c r="V410" s="90" t="s">
        <v>64</v>
      </c>
      <c r="W410" s="109" t="s">
        <v>64</v>
      </c>
      <c r="X410" s="183" t="s">
        <v>64</v>
      </c>
      <c r="Y410" s="104" t="s">
        <v>64</v>
      </c>
      <c r="Z410" s="104" t="s">
        <v>64</v>
      </c>
      <c r="AA410" s="57" t="s">
        <v>64</v>
      </c>
      <c r="AB410" s="47" t="s">
        <v>64</v>
      </c>
      <c r="AC410" s="57">
        <v>165.7495737951665</v>
      </c>
      <c r="AD410" s="27" t="s">
        <v>470</v>
      </c>
      <c r="AE410" s="28">
        <f t="shared" si="88"/>
        <v>0.72745362386955337</v>
      </c>
      <c r="AF410" s="197" t="s">
        <v>470</v>
      </c>
      <c r="AG410" s="84">
        <v>120</v>
      </c>
      <c r="AH410" s="157" t="s">
        <v>469</v>
      </c>
      <c r="AI410" s="8">
        <v>1</v>
      </c>
      <c r="AJ410" s="9">
        <v>50.498899999999999</v>
      </c>
      <c r="AK410" s="9">
        <v>2.5276999999999998</v>
      </c>
      <c r="AL410" s="9">
        <v>14.193149999999999</v>
      </c>
      <c r="AM410" s="189">
        <v>9.6471774095480001</v>
      </c>
      <c r="AN410" s="9">
        <v>0.123</v>
      </c>
      <c r="AO410" s="9">
        <v>6.1078000000000001</v>
      </c>
      <c r="AP410" s="9">
        <v>11.456300000000001</v>
      </c>
      <c r="AQ410" s="9">
        <v>2.6231</v>
      </c>
      <c r="AR410" s="9">
        <v>0.47670000000000001</v>
      </c>
      <c r="AS410" s="9">
        <v>0.37855</v>
      </c>
      <c r="AT410" s="190">
        <v>1083.0127520000001</v>
      </c>
      <c r="AU410" s="9">
        <v>0.36848799486140599</v>
      </c>
      <c r="AV410" s="6">
        <v>60.206753299399502</v>
      </c>
      <c r="AW410" s="27" t="s">
        <v>64</v>
      </c>
      <c r="AX410" s="6">
        <v>60.206753299399502</v>
      </c>
      <c r="AY410" s="8">
        <f t="shared" si="89"/>
        <v>1.9299860585713362</v>
      </c>
      <c r="AZ410" s="9">
        <f t="shared" si="90"/>
        <v>7.9106854758293608</v>
      </c>
      <c r="BA410" s="123">
        <v>50.498899999999999</v>
      </c>
      <c r="BB410" s="121">
        <v>2.5276999999999998</v>
      </c>
      <c r="BC410" s="121">
        <v>14.193149999999999</v>
      </c>
      <c r="BD410" s="121">
        <v>9.6487999999999996</v>
      </c>
      <c r="BE410" s="121">
        <v>0.123</v>
      </c>
      <c r="BF410" s="121">
        <v>6.1078000000000001</v>
      </c>
      <c r="BG410" s="121">
        <v>11.456300000000001</v>
      </c>
      <c r="BH410" s="121">
        <v>2.6231</v>
      </c>
      <c r="BI410" s="121">
        <v>0.47670000000000001</v>
      </c>
      <c r="BJ410" s="121">
        <v>0.37855</v>
      </c>
      <c r="BK410" s="121">
        <v>0.10830127520000001</v>
      </c>
      <c r="BL410" s="121">
        <f t="shared" si="93"/>
        <v>98.142301275199998</v>
      </c>
      <c r="BM410" s="121">
        <v>0.36848799486140599</v>
      </c>
      <c r="BN410" s="95">
        <v>60.206753299399502</v>
      </c>
      <c r="BO410" s="122" t="s">
        <v>64</v>
      </c>
      <c r="BP410" s="95">
        <v>60.206753299399502</v>
      </c>
      <c r="BQ410" s="194" t="s">
        <v>469</v>
      </c>
    </row>
    <row r="411" spans="11:69" ht="14.45" customHeight="1">
      <c r="L411" s="207" t="s">
        <v>483</v>
      </c>
      <c r="M411" s="763" t="s">
        <v>459</v>
      </c>
      <c r="N411" s="15" t="s">
        <v>460</v>
      </c>
      <c r="O411" s="14" t="s">
        <v>1396</v>
      </c>
      <c r="P411" s="15" t="s">
        <v>405</v>
      </c>
      <c r="Q411" s="15" t="s">
        <v>482</v>
      </c>
      <c r="R411" s="217" t="s">
        <v>64</v>
      </c>
      <c r="S411" s="193">
        <v>59.384500288531804</v>
      </c>
      <c r="T411" s="14">
        <f t="shared" si="92"/>
        <v>1095.5698199999999</v>
      </c>
      <c r="U411" s="27" t="s">
        <v>300</v>
      </c>
      <c r="V411" s="90" t="s">
        <v>64</v>
      </c>
      <c r="W411" s="109" t="s">
        <v>64</v>
      </c>
      <c r="X411" s="183" t="s">
        <v>64</v>
      </c>
      <c r="Y411" s="104" t="s">
        <v>64</v>
      </c>
      <c r="Z411" s="104" t="s">
        <v>64</v>
      </c>
      <c r="AA411" s="57" t="s">
        <v>64</v>
      </c>
      <c r="AB411" s="47" t="s">
        <v>64</v>
      </c>
      <c r="AC411" s="57">
        <v>750</v>
      </c>
      <c r="AD411" s="27" t="s">
        <v>470</v>
      </c>
      <c r="AE411" s="28">
        <f t="shared" si="88"/>
        <v>3.0996562499999998</v>
      </c>
      <c r="AF411" s="197" t="s">
        <v>470</v>
      </c>
      <c r="AG411" s="84">
        <v>750</v>
      </c>
      <c r="AH411" s="157" t="s">
        <v>469</v>
      </c>
      <c r="AI411" s="8">
        <v>1</v>
      </c>
      <c r="AJ411" s="9">
        <v>51.602400000000003</v>
      </c>
      <c r="AK411" s="9">
        <v>3.7138</v>
      </c>
      <c r="AL411" s="9">
        <v>12.9657</v>
      </c>
      <c r="AM411" s="189">
        <v>12.6305756220045</v>
      </c>
      <c r="AN411" s="9">
        <v>0.1716</v>
      </c>
      <c r="AO411" s="9">
        <v>4.0582000000000003</v>
      </c>
      <c r="AP411" s="9">
        <v>7.8933</v>
      </c>
      <c r="AQ411" s="9">
        <v>3.0588000000000002</v>
      </c>
      <c r="AR411" s="9">
        <v>1.2212000000000001</v>
      </c>
      <c r="AS411" s="9">
        <v>0.62009999999999998</v>
      </c>
      <c r="AT411" s="190">
        <v>1863.2423639999997</v>
      </c>
      <c r="AU411" s="9">
        <v>1.18886241231445</v>
      </c>
      <c r="AV411" s="6">
        <v>406.76009143546997</v>
      </c>
      <c r="AW411" s="27" t="s">
        <v>64</v>
      </c>
      <c r="AX411" s="6">
        <v>406.76009143546997</v>
      </c>
      <c r="AY411" s="8">
        <f t="shared" si="89"/>
        <v>2.5268359673860084</v>
      </c>
      <c r="AZ411" s="9">
        <f t="shared" si="90"/>
        <v>10.357072010043691</v>
      </c>
      <c r="BA411" s="123">
        <v>51.602400000000003</v>
      </c>
      <c r="BB411" s="121">
        <v>3.7138</v>
      </c>
      <c r="BC411" s="121">
        <v>12.9657</v>
      </c>
      <c r="BD411" s="121">
        <v>12.6327</v>
      </c>
      <c r="BE411" s="121">
        <v>0.1716</v>
      </c>
      <c r="BF411" s="121">
        <v>4.0582000000000003</v>
      </c>
      <c r="BG411" s="121">
        <v>7.8933</v>
      </c>
      <c r="BH411" s="121">
        <v>3.0588000000000002</v>
      </c>
      <c r="BI411" s="121">
        <v>1.2212000000000001</v>
      </c>
      <c r="BJ411" s="121">
        <v>0.62009999999999998</v>
      </c>
      <c r="BK411" s="121">
        <v>0.18632423639999998</v>
      </c>
      <c r="BL411" s="121">
        <f t="shared" si="93"/>
        <v>98.124124236399993</v>
      </c>
      <c r="BM411" s="121">
        <v>1.18886241231445</v>
      </c>
      <c r="BN411" s="95">
        <v>406.76009143546997</v>
      </c>
      <c r="BO411" s="122" t="s">
        <v>64</v>
      </c>
      <c r="BP411" s="95">
        <v>406.76009143546997</v>
      </c>
      <c r="BQ411" s="194" t="s">
        <v>469</v>
      </c>
    </row>
    <row r="412" spans="11:69" ht="14.45" customHeight="1">
      <c r="L412" s="207" t="s">
        <v>483</v>
      </c>
      <c r="M412" s="763" t="s">
        <v>459</v>
      </c>
      <c r="N412" s="15" t="s">
        <v>460</v>
      </c>
      <c r="O412" s="14" t="s">
        <v>1397</v>
      </c>
      <c r="P412" s="15" t="s">
        <v>405</v>
      </c>
      <c r="Q412" s="15" t="s">
        <v>482</v>
      </c>
      <c r="R412" s="217" t="s">
        <v>64</v>
      </c>
      <c r="S412" s="193">
        <v>65.542848138015501</v>
      </c>
      <c r="T412" s="14">
        <f t="shared" si="92"/>
        <v>1108.10016</v>
      </c>
      <c r="U412" s="27" t="s">
        <v>300</v>
      </c>
      <c r="V412" s="90" t="s">
        <v>64</v>
      </c>
      <c r="W412" s="109" t="s">
        <v>64</v>
      </c>
      <c r="X412" s="183" t="s">
        <v>64</v>
      </c>
      <c r="Y412" s="104" t="s">
        <v>64</v>
      </c>
      <c r="Z412" s="104" t="s">
        <v>64</v>
      </c>
      <c r="AA412" s="57" t="s">
        <v>64</v>
      </c>
      <c r="AB412" s="47" t="s">
        <v>64</v>
      </c>
      <c r="AC412" s="57">
        <v>570</v>
      </c>
      <c r="AD412" s="27" t="s">
        <v>470</v>
      </c>
      <c r="AE412" s="28">
        <f t="shared" si="88"/>
        <v>2.3978572811999999</v>
      </c>
      <c r="AF412" s="197" t="s">
        <v>470</v>
      </c>
      <c r="AG412" s="84">
        <v>570</v>
      </c>
      <c r="AH412" s="157" t="s">
        <v>469</v>
      </c>
      <c r="AI412" s="8">
        <v>1</v>
      </c>
      <c r="AJ412" s="9">
        <v>49.191699999999997</v>
      </c>
      <c r="AK412" s="9">
        <v>4.0101000000000004</v>
      </c>
      <c r="AL412" s="9">
        <v>12.411799999999999</v>
      </c>
      <c r="AM412" s="189">
        <v>13.187681920466499</v>
      </c>
      <c r="AN412" s="9">
        <v>0.18640000000000001</v>
      </c>
      <c r="AO412" s="9">
        <v>4.6816000000000004</v>
      </c>
      <c r="AP412" s="9">
        <v>8.6748999999999992</v>
      </c>
      <c r="AQ412" s="9">
        <v>2.8955000000000002</v>
      </c>
      <c r="AR412" s="9">
        <v>0.78500000000000003</v>
      </c>
      <c r="AS412" s="9">
        <v>0.51580000000000004</v>
      </c>
      <c r="AT412" s="190">
        <v>1667.058908</v>
      </c>
      <c r="AU412" s="9">
        <v>0.80604747192791004</v>
      </c>
      <c r="AV412" s="6">
        <v>346.55618045614602</v>
      </c>
      <c r="AW412" s="27" t="s">
        <v>64</v>
      </c>
      <c r="AX412" s="6">
        <v>346.55618045614602</v>
      </c>
      <c r="AY412" s="8">
        <f t="shared" si="89"/>
        <v>2.6382890218421013</v>
      </c>
      <c r="AZ412" s="9">
        <f t="shared" si="90"/>
        <v>10.813899174782531</v>
      </c>
      <c r="BA412" s="123">
        <v>49.191699999999997</v>
      </c>
      <c r="BB412" s="121">
        <v>4.0101000000000004</v>
      </c>
      <c r="BC412" s="121">
        <v>12.411799999999999</v>
      </c>
      <c r="BD412" s="121">
        <v>13.1899</v>
      </c>
      <c r="BE412" s="121">
        <v>0.18640000000000001</v>
      </c>
      <c r="BF412" s="121">
        <v>4.6816000000000004</v>
      </c>
      <c r="BG412" s="121">
        <v>8.6748999999999992</v>
      </c>
      <c r="BH412" s="121">
        <v>2.8955000000000002</v>
      </c>
      <c r="BI412" s="121">
        <v>0.78500000000000003</v>
      </c>
      <c r="BJ412" s="121">
        <v>0.51580000000000004</v>
      </c>
      <c r="BK412" s="121">
        <v>0.16670589080000001</v>
      </c>
      <c r="BL412" s="121">
        <f t="shared" si="93"/>
        <v>96.709405890799985</v>
      </c>
      <c r="BM412" s="121">
        <v>0.80604747192791004</v>
      </c>
      <c r="BN412" s="95">
        <v>346.55618045614602</v>
      </c>
      <c r="BO412" s="122" t="s">
        <v>64</v>
      </c>
      <c r="BP412" s="95">
        <v>346.55618045614602</v>
      </c>
      <c r="BQ412" s="194" t="s">
        <v>469</v>
      </c>
    </row>
    <row r="413" spans="11:69" ht="14.45" customHeight="1">
      <c r="L413" s="207" t="s">
        <v>483</v>
      </c>
      <c r="M413" s="763" t="s">
        <v>459</v>
      </c>
      <c r="N413" s="15" t="s">
        <v>460</v>
      </c>
      <c r="O413" s="14" t="s">
        <v>1398</v>
      </c>
      <c r="P413" s="15" t="s">
        <v>405</v>
      </c>
      <c r="Q413" s="15" t="s">
        <v>482</v>
      </c>
      <c r="R413" s="217" t="s">
        <v>64</v>
      </c>
      <c r="S413" s="193">
        <v>44.015840049085199</v>
      </c>
      <c r="T413" s="14">
        <f t="shared" si="92"/>
        <v>1040.9038499999999</v>
      </c>
      <c r="U413" s="27" t="s">
        <v>300</v>
      </c>
      <c r="V413" s="90" t="s">
        <v>64</v>
      </c>
      <c r="W413" s="109" t="s">
        <v>64</v>
      </c>
      <c r="X413" s="183" t="s">
        <v>64</v>
      </c>
      <c r="Y413" s="104" t="s">
        <v>64</v>
      </c>
      <c r="Z413" s="104" t="s">
        <v>64</v>
      </c>
      <c r="AA413" s="57" t="s">
        <v>64</v>
      </c>
      <c r="AB413" s="47" t="s">
        <v>64</v>
      </c>
      <c r="AC413" s="57">
        <v>30</v>
      </c>
      <c r="AD413" s="27" t="s">
        <v>470</v>
      </c>
      <c r="AE413" s="28">
        <f t="shared" si="88"/>
        <v>0.13365112679999999</v>
      </c>
      <c r="AF413" s="197" t="s">
        <v>470</v>
      </c>
      <c r="AG413" s="84">
        <v>30</v>
      </c>
      <c r="AH413" s="157" t="s">
        <v>469</v>
      </c>
      <c r="AI413" s="8">
        <v>1</v>
      </c>
      <c r="AJ413" s="9">
        <v>65.546999999999997</v>
      </c>
      <c r="AK413" s="9">
        <v>0.75019999999999998</v>
      </c>
      <c r="AL413" s="9">
        <v>12.472899999999999</v>
      </c>
      <c r="AM413" s="189">
        <v>6.5298017312015002</v>
      </c>
      <c r="AN413" s="9">
        <v>0.1855</v>
      </c>
      <c r="AO413" s="9">
        <v>1.3385</v>
      </c>
      <c r="AP413" s="9">
        <v>3.4140000000000001</v>
      </c>
      <c r="AQ413" s="9">
        <v>4.3959000000000001</v>
      </c>
      <c r="AR413" s="9">
        <v>2.5969000000000002</v>
      </c>
      <c r="AS413" s="9">
        <v>0.25840000000000002</v>
      </c>
      <c r="AT413" s="190">
        <v>194.18158399999999</v>
      </c>
      <c r="AU413" s="9">
        <v>0.42971346708682401</v>
      </c>
      <c r="AV413" s="6">
        <v>9.9927668760904904</v>
      </c>
      <c r="AW413" s="27" t="s">
        <v>64</v>
      </c>
      <c r="AX413" s="6">
        <v>9.9927668760904904</v>
      </c>
      <c r="AY413" s="8">
        <f t="shared" si="89"/>
        <v>1.3063330103146027</v>
      </c>
      <c r="AZ413" s="9">
        <f t="shared" si="90"/>
        <v>5.3544374195852305</v>
      </c>
      <c r="BA413" s="123">
        <v>65.546999999999997</v>
      </c>
      <c r="BB413" s="121">
        <v>0.75019999999999998</v>
      </c>
      <c r="BC413" s="121">
        <v>12.472899999999999</v>
      </c>
      <c r="BD413" s="121">
        <v>6.5308999999999999</v>
      </c>
      <c r="BE413" s="121">
        <v>0.1855</v>
      </c>
      <c r="BF413" s="121">
        <v>1.3385</v>
      </c>
      <c r="BG413" s="121">
        <v>3.4140000000000001</v>
      </c>
      <c r="BH413" s="121">
        <v>4.3959000000000001</v>
      </c>
      <c r="BI413" s="121">
        <v>2.5969000000000002</v>
      </c>
      <c r="BJ413" s="121">
        <v>0.25840000000000002</v>
      </c>
      <c r="BK413" s="121">
        <v>1.94181584E-2</v>
      </c>
      <c r="BL413" s="121">
        <f t="shared" si="93"/>
        <v>97.509618158400002</v>
      </c>
      <c r="BM413" s="121">
        <v>0.42971346708682401</v>
      </c>
      <c r="BN413" s="95">
        <v>9.9927668760904904</v>
      </c>
      <c r="BO413" s="122" t="s">
        <v>64</v>
      </c>
      <c r="BP413" s="95">
        <v>9.9927668760904904</v>
      </c>
      <c r="BQ413" s="194" t="s">
        <v>469</v>
      </c>
    </row>
    <row r="414" spans="11:69" ht="14.45" customHeight="1">
      <c r="L414" s="207" t="s">
        <v>483</v>
      </c>
      <c r="M414" s="763" t="s">
        <v>459</v>
      </c>
      <c r="N414" s="15" t="s">
        <v>460</v>
      </c>
      <c r="O414" s="14" t="s">
        <v>1399</v>
      </c>
      <c r="P414" s="15" t="s">
        <v>405</v>
      </c>
      <c r="Q414" s="15" t="s">
        <v>482</v>
      </c>
      <c r="R414" s="217" t="s">
        <v>64</v>
      </c>
      <c r="S414" s="193">
        <v>43.950191714351398</v>
      </c>
      <c r="T414" s="14">
        <f t="shared" si="92"/>
        <v>1041.1450500000001</v>
      </c>
      <c r="U414" s="27" t="s">
        <v>300</v>
      </c>
      <c r="V414" s="90" t="s">
        <v>64</v>
      </c>
      <c r="W414" s="109" t="s">
        <v>64</v>
      </c>
      <c r="X414" s="183" t="s">
        <v>64</v>
      </c>
      <c r="Y414" s="104" t="s">
        <v>64</v>
      </c>
      <c r="Z414" s="104" t="s">
        <v>64</v>
      </c>
      <c r="AA414" s="57" t="s">
        <v>64</v>
      </c>
      <c r="AB414" s="47" t="s">
        <v>64</v>
      </c>
      <c r="AC414" s="57">
        <v>40</v>
      </c>
      <c r="AD414" s="27" t="s">
        <v>470</v>
      </c>
      <c r="AE414" s="28">
        <f t="shared" si="88"/>
        <v>0.17800309759999999</v>
      </c>
      <c r="AF414" s="197" t="s">
        <v>470</v>
      </c>
      <c r="AG414" s="84">
        <v>40</v>
      </c>
      <c r="AH414" s="157" t="s">
        <v>469</v>
      </c>
      <c r="AI414" s="8">
        <v>1</v>
      </c>
      <c r="AJ414" s="9">
        <v>63.502400000000002</v>
      </c>
      <c r="AK414" s="9">
        <v>1.1065</v>
      </c>
      <c r="AL414" s="9">
        <v>12.264900000000001</v>
      </c>
      <c r="AM414" s="189">
        <v>8.0636437492749984</v>
      </c>
      <c r="AN414" s="9">
        <v>0.16669999999999999</v>
      </c>
      <c r="AO414" s="9">
        <v>1.3505</v>
      </c>
      <c r="AP414" s="9">
        <v>4.0627000000000004</v>
      </c>
      <c r="AQ414" s="9">
        <v>4.1863000000000001</v>
      </c>
      <c r="AR414" s="9">
        <v>2.3397999999999999</v>
      </c>
      <c r="AS414" s="9">
        <v>0.2492</v>
      </c>
      <c r="AT414" s="190">
        <v>372.34819199999998</v>
      </c>
      <c r="AU414" s="9">
        <v>0.50580772381205896</v>
      </c>
      <c r="AV414" s="6">
        <v>8.20648919163785</v>
      </c>
      <c r="AW414" s="27" t="s">
        <v>64</v>
      </c>
      <c r="AX414" s="6">
        <v>8.20648919163785</v>
      </c>
      <c r="AY414" s="8">
        <f t="shared" si="89"/>
        <v>1.6131889522404677</v>
      </c>
      <c r="AZ414" s="9">
        <f t="shared" si="90"/>
        <v>6.6121878744054996</v>
      </c>
      <c r="BA414" s="123">
        <v>63.502400000000002</v>
      </c>
      <c r="BB414" s="121">
        <v>1.1065</v>
      </c>
      <c r="BC414" s="121">
        <v>12.264900000000001</v>
      </c>
      <c r="BD414" s="121">
        <v>8.0649999999999995</v>
      </c>
      <c r="BE414" s="121">
        <v>0.16669999999999999</v>
      </c>
      <c r="BF414" s="121">
        <v>1.3505</v>
      </c>
      <c r="BG414" s="121">
        <v>4.0627000000000004</v>
      </c>
      <c r="BH414" s="121">
        <v>4.1863000000000001</v>
      </c>
      <c r="BI414" s="121">
        <v>2.3397999999999999</v>
      </c>
      <c r="BJ414" s="121">
        <v>0.2492</v>
      </c>
      <c r="BK414" s="121">
        <v>3.7234819199999998E-2</v>
      </c>
      <c r="BL414" s="121">
        <f t="shared" si="93"/>
        <v>97.331234819200006</v>
      </c>
      <c r="BM414" s="121">
        <v>0.50580772381205896</v>
      </c>
      <c r="BN414" s="95">
        <v>8.20648919163785</v>
      </c>
      <c r="BO414" s="122" t="s">
        <v>64</v>
      </c>
      <c r="BP414" s="95">
        <v>8.20648919163785</v>
      </c>
      <c r="BQ414" s="194" t="s">
        <v>469</v>
      </c>
    </row>
    <row r="415" spans="11:69" ht="14.45" customHeight="1">
      <c r="L415" s="207" t="s">
        <v>483</v>
      </c>
      <c r="M415" s="763" t="s">
        <v>459</v>
      </c>
      <c r="N415" s="15" t="s">
        <v>460</v>
      </c>
      <c r="O415" s="14" t="s">
        <v>1400</v>
      </c>
      <c r="P415" s="15" t="s">
        <v>405</v>
      </c>
      <c r="Q415" s="15" t="s">
        <v>482</v>
      </c>
      <c r="R415" s="217" t="s">
        <v>64</v>
      </c>
      <c r="S415" s="193">
        <v>48.008788156256401</v>
      </c>
      <c r="T415" s="14">
        <f t="shared" si="92"/>
        <v>1045.5992100000001</v>
      </c>
      <c r="U415" s="27" t="s">
        <v>300</v>
      </c>
      <c r="V415" s="90" t="s">
        <v>64</v>
      </c>
      <c r="W415" s="109" t="s">
        <v>64</v>
      </c>
      <c r="X415" s="183" t="s">
        <v>64</v>
      </c>
      <c r="Y415" s="104" t="s">
        <v>64</v>
      </c>
      <c r="Z415" s="104" t="s">
        <v>64</v>
      </c>
      <c r="AA415" s="57" t="s">
        <v>64</v>
      </c>
      <c r="AB415" s="47" t="s">
        <v>64</v>
      </c>
      <c r="AC415" s="57">
        <v>550</v>
      </c>
      <c r="AD415" s="27" t="s">
        <v>470</v>
      </c>
      <c r="AE415" s="28">
        <f t="shared" si="88"/>
        <v>2.3183880499999998</v>
      </c>
      <c r="AF415" s="197" t="s">
        <v>470</v>
      </c>
      <c r="AG415" s="84">
        <v>550</v>
      </c>
      <c r="AH415" s="157" t="s">
        <v>469</v>
      </c>
      <c r="AI415" s="8">
        <v>1</v>
      </c>
      <c r="AJ415" s="9">
        <v>58.684199999999997</v>
      </c>
      <c r="AK415" s="9">
        <v>1.5571999999999999</v>
      </c>
      <c r="AL415" s="9">
        <v>14.022</v>
      </c>
      <c r="AM415" s="189">
        <v>8.0853401000945002</v>
      </c>
      <c r="AN415" s="9">
        <v>0.2021</v>
      </c>
      <c r="AO415" s="9">
        <v>1.5721000000000001</v>
      </c>
      <c r="AP415" s="9">
        <v>4.8686999999999996</v>
      </c>
      <c r="AQ415" s="9">
        <v>3.7968000000000002</v>
      </c>
      <c r="AR415" s="9">
        <v>1.8883000000000001</v>
      </c>
      <c r="AS415" s="9">
        <v>0.63829999999999998</v>
      </c>
      <c r="AT415" s="190">
        <v>532.99842000000001</v>
      </c>
      <c r="AU415" s="9">
        <v>1.2639773119681399</v>
      </c>
      <c r="AV415" s="6">
        <v>230.24559451949699</v>
      </c>
      <c r="AW415" s="27" t="s">
        <v>64</v>
      </c>
      <c r="AX415" s="6">
        <v>230.24559451949699</v>
      </c>
      <c r="AY415" s="8">
        <f t="shared" si="89"/>
        <v>1.6175294606426522</v>
      </c>
      <c r="AZ415" s="9">
        <f t="shared" si="90"/>
        <v>6.6299788820774905</v>
      </c>
      <c r="BA415" s="123">
        <v>58.684199999999997</v>
      </c>
      <c r="BB415" s="121">
        <v>1.5571999999999999</v>
      </c>
      <c r="BC415" s="121">
        <v>14.022</v>
      </c>
      <c r="BD415" s="121">
        <v>8.0867000000000004</v>
      </c>
      <c r="BE415" s="121">
        <v>0.2021</v>
      </c>
      <c r="BF415" s="121">
        <v>1.5721000000000001</v>
      </c>
      <c r="BG415" s="121">
        <v>4.8686999999999996</v>
      </c>
      <c r="BH415" s="121">
        <v>3.7968000000000002</v>
      </c>
      <c r="BI415" s="121">
        <v>1.8883000000000001</v>
      </c>
      <c r="BJ415" s="121">
        <v>0.63829999999999998</v>
      </c>
      <c r="BK415" s="121">
        <v>5.3299842E-2</v>
      </c>
      <c r="BL415" s="121">
        <f t="shared" si="93"/>
        <v>95.369699842000017</v>
      </c>
      <c r="BM415" s="121">
        <v>1.2639773119681399</v>
      </c>
      <c r="BN415" s="95">
        <v>230.24559451949699</v>
      </c>
      <c r="BO415" s="122" t="s">
        <v>64</v>
      </c>
      <c r="BP415" s="95">
        <v>230.24559451949699</v>
      </c>
      <c r="BQ415" s="194" t="s">
        <v>469</v>
      </c>
    </row>
    <row r="416" spans="11:69" ht="14.45" customHeight="1">
      <c r="L416" s="207" t="s">
        <v>483</v>
      </c>
      <c r="M416" s="763" t="s">
        <v>459</v>
      </c>
      <c r="N416" s="15" t="s">
        <v>460</v>
      </c>
      <c r="O416" s="14" t="s">
        <v>1401</v>
      </c>
      <c r="P416" s="15" t="s">
        <v>405</v>
      </c>
      <c r="Q416" s="15" t="s">
        <v>482</v>
      </c>
      <c r="R416" s="217" t="s">
        <v>64</v>
      </c>
      <c r="S416" s="193">
        <v>52.854945172489401</v>
      </c>
      <c r="T416" s="14">
        <f t="shared" si="92"/>
        <v>1057.8401100000001</v>
      </c>
      <c r="U416" s="27" t="s">
        <v>300</v>
      </c>
      <c r="V416" s="90" t="s">
        <v>64</v>
      </c>
      <c r="W416" s="109" t="s">
        <v>64</v>
      </c>
      <c r="X416" s="183" t="s">
        <v>64</v>
      </c>
      <c r="Y416" s="104" t="s">
        <v>64</v>
      </c>
      <c r="Z416" s="104" t="s">
        <v>64</v>
      </c>
      <c r="AA416" s="57" t="s">
        <v>64</v>
      </c>
      <c r="AB416" s="47" t="s">
        <v>64</v>
      </c>
      <c r="AC416" s="57">
        <v>630</v>
      </c>
      <c r="AD416" s="27" t="s">
        <v>470</v>
      </c>
      <c r="AE416" s="28">
        <f t="shared" si="88"/>
        <v>2.6344356948000001</v>
      </c>
      <c r="AF416" s="197" t="s">
        <v>470</v>
      </c>
      <c r="AG416" s="84">
        <v>630</v>
      </c>
      <c r="AH416" s="157" t="s">
        <v>469</v>
      </c>
      <c r="AI416" s="8">
        <v>1</v>
      </c>
      <c r="AJ416" s="9">
        <v>58.231299999999997</v>
      </c>
      <c r="AK416" s="9">
        <v>1.7954000000000001</v>
      </c>
      <c r="AL416" s="9">
        <v>13.3369</v>
      </c>
      <c r="AM416" s="189">
        <v>9.3608255720039981</v>
      </c>
      <c r="AN416" s="9">
        <v>0.17169999999999999</v>
      </c>
      <c r="AO416" s="9">
        <v>2.1810999999999998</v>
      </c>
      <c r="AP416" s="9">
        <v>5.4485999999999999</v>
      </c>
      <c r="AQ416" s="9">
        <v>4.1958000000000002</v>
      </c>
      <c r="AR416" s="9">
        <v>1.7447999999999999</v>
      </c>
      <c r="AS416" s="9">
        <v>0.6008</v>
      </c>
      <c r="AT416" s="190">
        <v>660.11729200000013</v>
      </c>
      <c r="AU416" s="9">
        <v>1.50260331931818</v>
      </c>
      <c r="AV416" s="6">
        <v>249.28631105814799</v>
      </c>
      <c r="AW416" s="27" t="s">
        <v>64</v>
      </c>
      <c r="AX416" s="6">
        <v>249.28631105814799</v>
      </c>
      <c r="AY416" s="8">
        <f t="shared" si="89"/>
        <v>1.8726993485996473</v>
      </c>
      <c r="AZ416" s="9">
        <f t="shared" si="90"/>
        <v>7.6758769690432791</v>
      </c>
      <c r="BA416" s="123">
        <v>58.231299999999997</v>
      </c>
      <c r="BB416" s="121">
        <v>1.7954000000000001</v>
      </c>
      <c r="BC416" s="121">
        <v>13.3369</v>
      </c>
      <c r="BD416" s="121">
        <v>9.3623999999999992</v>
      </c>
      <c r="BE416" s="121">
        <v>0.17169999999999999</v>
      </c>
      <c r="BF416" s="121">
        <v>2.1810999999999998</v>
      </c>
      <c r="BG416" s="121">
        <v>5.4485999999999999</v>
      </c>
      <c r="BH416" s="121">
        <v>4.1958000000000002</v>
      </c>
      <c r="BI416" s="121">
        <v>1.7447999999999999</v>
      </c>
      <c r="BJ416" s="121">
        <v>0.6008</v>
      </c>
      <c r="BK416" s="121">
        <v>6.6011729200000008E-2</v>
      </c>
      <c r="BL416" s="121">
        <f t="shared" si="93"/>
        <v>97.134811729199996</v>
      </c>
      <c r="BM416" s="121">
        <v>1.50260331931818</v>
      </c>
      <c r="BN416" s="95">
        <v>249.28631105814799</v>
      </c>
      <c r="BO416" s="122" t="s">
        <v>64</v>
      </c>
      <c r="BP416" s="95">
        <v>249.28631105814799</v>
      </c>
      <c r="BQ416" s="194" t="s">
        <v>469</v>
      </c>
    </row>
    <row r="417" spans="12:69" ht="14.45" customHeight="1">
      <c r="L417" s="207" t="s">
        <v>483</v>
      </c>
      <c r="M417" s="763" t="s">
        <v>459</v>
      </c>
      <c r="N417" s="15" t="s">
        <v>460</v>
      </c>
      <c r="O417" s="14" t="s">
        <v>1402</v>
      </c>
      <c r="P417" s="15" t="s">
        <v>405</v>
      </c>
      <c r="Q417" s="15" t="s">
        <v>482</v>
      </c>
      <c r="R417" s="217" t="s">
        <v>64</v>
      </c>
      <c r="S417" s="193">
        <v>46.789669919706597</v>
      </c>
      <c r="T417" s="14">
        <f t="shared" si="92"/>
        <v>1047.07455</v>
      </c>
      <c r="U417" s="27" t="s">
        <v>300</v>
      </c>
      <c r="V417" s="90" t="s">
        <v>64</v>
      </c>
      <c r="W417" s="109" t="s">
        <v>64</v>
      </c>
      <c r="X417" s="183" t="s">
        <v>64</v>
      </c>
      <c r="Y417" s="104" t="s">
        <v>64</v>
      </c>
      <c r="Z417" s="104" t="s">
        <v>64</v>
      </c>
      <c r="AA417" s="57" t="s">
        <v>64</v>
      </c>
      <c r="AB417" s="47" t="s">
        <v>64</v>
      </c>
      <c r="AC417" s="57">
        <v>750</v>
      </c>
      <c r="AD417" s="27" t="s">
        <v>470</v>
      </c>
      <c r="AE417" s="28">
        <f t="shared" si="88"/>
        <v>3.0996562499999998</v>
      </c>
      <c r="AF417" s="197" t="s">
        <v>470</v>
      </c>
      <c r="AG417" s="84">
        <v>750</v>
      </c>
      <c r="AH417" s="157" t="s">
        <v>469</v>
      </c>
      <c r="AI417" s="8">
        <v>1</v>
      </c>
      <c r="AJ417" s="9">
        <v>60.636800000000001</v>
      </c>
      <c r="AK417" s="9">
        <v>1.5584</v>
      </c>
      <c r="AL417" s="9">
        <v>13.7707</v>
      </c>
      <c r="AM417" s="189">
        <v>8.7816229899884988</v>
      </c>
      <c r="AN417" s="9">
        <v>0.1234</v>
      </c>
      <c r="AO417" s="9">
        <v>1.6455</v>
      </c>
      <c r="AP417" s="9">
        <v>4.8358999999999996</v>
      </c>
      <c r="AQ417" s="9">
        <v>2.9746999999999999</v>
      </c>
      <c r="AR417" s="9">
        <v>1.829</v>
      </c>
      <c r="AS417" s="9">
        <v>0.51370000000000005</v>
      </c>
      <c r="AT417" s="190">
        <v>570.53351999999995</v>
      </c>
      <c r="AU417" s="9">
        <v>1.5199916180639901</v>
      </c>
      <c r="AV417" s="6">
        <v>339.95747738328396</v>
      </c>
      <c r="AW417" s="27" t="s">
        <v>64</v>
      </c>
      <c r="AX417" s="6">
        <v>339.95747738328396</v>
      </c>
      <c r="AY417" s="8">
        <f t="shared" si="89"/>
        <v>1.7568257763699009</v>
      </c>
      <c r="AZ417" s="9">
        <f t="shared" si="90"/>
        <v>7.2009308517905692</v>
      </c>
      <c r="BA417" s="123">
        <v>60.636800000000001</v>
      </c>
      <c r="BB417" s="121">
        <v>1.5584</v>
      </c>
      <c r="BC417" s="121">
        <v>13.7707</v>
      </c>
      <c r="BD417" s="121">
        <v>8.7830999999999992</v>
      </c>
      <c r="BE417" s="121">
        <v>0.1234</v>
      </c>
      <c r="BF417" s="121">
        <v>1.6455</v>
      </c>
      <c r="BG417" s="121">
        <v>4.8358999999999996</v>
      </c>
      <c r="BH417" s="121">
        <v>2.9746999999999999</v>
      </c>
      <c r="BI417" s="121">
        <v>1.829</v>
      </c>
      <c r="BJ417" s="121">
        <v>0.51370000000000005</v>
      </c>
      <c r="BK417" s="121">
        <v>5.7053351999999995E-2</v>
      </c>
      <c r="BL417" s="121">
        <f t="shared" si="93"/>
        <v>96.728253351999996</v>
      </c>
      <c r="BM417" s="121">
        <v>1.5199916180639901</v>
      </c>
      <c r="BN417" s="95">
        <v>339.95747738328402</v>
      </c>
      <c r="BO417" s="122" t="s">
        <v>64</v>
      </c>
      <c r="BP417" s="95">
        <v>339.95747738328402</v>
      </c>
      <c r="BQ417" s="194" t="s">
        <v>469</v>
      </c>
    </row>
    <row r="418" spans="12:69" ht="14.45" customHeight="1">
      <c r="L418" s="207" t="s">
        <v>483</v>
      </c>
      <c r="M418" s="763" t="s">
        <v>459</v>
      </c>
      <c r="N418" s="15" t="s">
        <v>460</v>
      </c>
      <c r="O418" s="14" t="s">
        <v>1403</v>
      </c>
      <c r="P418" s="15" t="s">
        <v>405</v>
      </c>
      <c r="Q418" s="15" t="s">
        <v>482</v>
      </c>
      <c r="R418" s="217" t="s">
        <v>64</v>
      </c>
      <c r="S418" s="193">
        <v>38.039177170525399</v>
      </c>
      <c r="T418" s="14">
        <f t="shared" si="92"/>
        <v>1048.0795499999999</v>
      </c>
      <c r="U418" s="27" t="s">
        <v>300</v>
      </c>
      <c r="V418" s="90" t="s">
        <v>64</v>
      </c>
      <c r="W418" s="109" t="s">
        <v>64</v>
      </c>
      <c r="X418" s="183" t="s">
        <v>64</v>
      </c>
      <c r="Y418" s="104" t="s">
        <v>64</v>
      </c>
      <c r="Z418" s="104" t="s">
        <v>64</v>
      </c>
      <c r="AA418" s="57" t="s">
        <v>64</v>
      </c>
      <c r="AB418" s="47" t="s">
        <v>64</v>
      </c>
      <c r="AC418" s="57">
        <v>50</v>
      </c>
      <c r="AD418" s="27" t="s">
        <v>470</v>
      </c>
      <c r="AE418" s="28">
        <f t="shared" si="88"/>
        <v>0.22225655</v>
      </c>
      <c r="AF418" s="197" t="s">
        <v>470</v>
      </c>
      <c r="AG418" s="84">
        <v>50</v>
      </c>
      <c r="AH418" s="157" t="s">
        <v>469</v>
      </c>
      <c r="AI418" s="8">
        <v>1</v>
      </c>
      <c r="AJ418" s="9">
        <v>61.413600000000002</v>
      </c>
      <c r="AK418" s="9">
        <v>1.6908000000000001</v>
      </c>
      <c r="AL418" s="9">
        <v>12.3261</v>
      </c>
      <c r="AM418" s="189">
        <v>8.8883050467829996</v>
      </c>
      <c r="AN418" s="9">
        <v>0.23330000000000001</v>
      </c>
      <c r="AO418" s="9">
        <v>1.6955</v>
      </c>
      <c r="AP418" s="9">
        <v>4.3579999999999997</v>
      </c>
      <c r="AQ418" s="9">
        <v>4.0308000000000002</v>
      </c>
      <c r="AR418" s="9">
        <v>2.2414999999999998</v>
      </c>
      <c r="AS418" s="9">
        <v>0.52390000000000003</v>
      </c>
      <c r="AT418" s="190">
        <v>561.52509599999996</v>
      </c>
      <c r="AU418" s="9">
        <v>0.489806137624335</v>
      </c>
      <c r="AV418" s="6">
        <v>17.542236361242701</v>
      </c>
      <c r="AW418" s="27" t="s">
        <v>64</v>
      </c>
      <c r="AX418" s="6">
        <v>17.542236361242701</v>
      </c>
      <c r="AY418" s="8">
        <f t="shared" si="89"/>
        <v>1.7781682762092141</v>
      </c>
      <c r="AZ418" s="9">
        <f t="shared" si="90"/>
        <v>7.2884101383620594</v>
      </c>
      <c r="BA418" s="123">
        <v>61.413600000000002</v>
      </c>
      <c r="BB418" s="121">
        <v>1.6908000000000001</v>
      </c>
      <c r="BC418" s="121">
        <v>12.3261</v>
      </c>
      <c r="BD418" s="121">
        <v>8.8897999999999993</v>
      </c>
      <c r="BE418" s="121">
        <v>0.23330000000000001</v>
      </c>
      <c r="BF418" s="121">
        <v>1.6955</v>
      </c>
      <c r="BG418" s="121">
        <v>4.3579999999999997</v>
      </c>
      <c r="BH418" s="121">
        <v>4.0308000000000002</v>
      </c>
      <c r="BI418" s="121">
        <v>2.2414999999999998</v>
      </c>
      <c r="BJ418" s="121">
        <v>0.52390000000000003</v>
      </c>
      <c r="BK418" s="121">
        <v>5.6152509599999997E-2</v>
      </c>
      <c r="BL418" s="121">
        <f t="shared" si="93"/>
        <v>97.459452509599998</v>
      </c>
      <c r="BM418" s="121">
        <v>0.489806137624335</v>
      </c>
      <c r="BN418" s="95">
        <v>17.542236361242701</v>
      </c>
      <c r="BO418" s="122" t="s">
        <v>64</v>
      </c>
      <c r="BP418" s="95">
        <v>17.542236361242701</v>
      </c>
      <c r="BQ418" s="194" t="s">
        <v>469</v>
      </c>
    </row>
    <row r="419" spans="12:69" ht="14.45" customHeight="1">
      <c r="L419" s="207" t="s">
        <v>483</v>
      </c>
      <c r="M419" s="763" t="s">
        <v>459</v>
      </c>
      <c r="N419" s="15" t="s">
        <v>460</v>
      </c>
      <c r="O419" s="14" t="s">
        <v>1404</v>
      </c>
      <c r="P419" s="15" t="s">
        <v>405</v>
      </c>
      <c r="Q419" s="15" t="s">
        <v>482</v>
      </c>
      <c r="R419" s="217" t="s">
        <v>64</v>
      </c>
      <c r="S419" s="193">
        <v>47.503143289468404</v>
      </c>
      <c r="T419" s="14">
        <f t="shared" si="92"/>
        <v>1036.8356100000001</v>
      </c>
      <c r="U419" s="27" t="s">
        <v>300</v>
      </c>
      <c r="V419" s="90" t="s">
        <v>64</v>
      </c>
      <c r="W419" s="109" t="s">
        <v>64</v>
      </c>
      <c r="X419" s="183" t="s">
        <v>64</v>
      </c>
      <c r="Y419" s="104" t="s">
        <v>64</v>
      </c>
      <c r="Z419" s="104" t="s">
        <v>64</v>
      </c>
      <c r="AA419" s="57" t="s">
        <v>64</v>
      </c>
      <c r="AB419" s="47" t="s">
        <v>64</v>
      </c>
      <c r="AC419" s="57">
        <v>600</v>
      </c>
      <c r="AD419" s="27" t="s">
        <v>470</v>
      </c>
      <c r="AE419" s="28">
        <f t="shared" si="88"/>
        <v>2.5164863999999998</v>
      </c>
      <c r="AF419" s="197" t="s">
        <v>470</v>
      </c>
      <c r="AG419" s="84">
        <v>600</v>
      </c>
      <c r="AH419" s="157" t="s">
        <v>469</v>
      </c>
      <c r="AI419" s="8">
        <v>1</v>
      </c>
      <c r="AJ419" s="9">
        <v>61.901699999999998</v>
      </c>
      <c r="AK419" s="9">
        <v>1.1047</v>
      </c>
      <c r="AL419" s="9">
        <v>14.172000000000001</v>
      </c>
      <c r="AM419" s="189">
        <v>7.2569794247970005</v>
      </c>
      <c r="AN419" s="9">
        <v>0.217</v>
      </c>
      <c r="AO419" s="9">
        <v>1.1361000000000001</v>
      </c>
      <c r="AP419" s="9">
        <v>4.4183000000000003</v>
      </c>
      <c r="AQ419" s="9">
        <v>5.1257000000000001</v>
      </c>
      <c r="AR419" s="9">
        <v>2.0255999999999998</v>
      </c>
      <c r="AS419" s="9">
        <v>0.5</v>
      </c>
      <c r="AT419" s="190">
        <v>376.35193600000008</v>
      </c>
      <c r="AU419" s="9">
        <v>1.5089200019881399</v>
      </c>
      <c r="AV419" s="6">
        <v>210.08764440617301</v>
      </c>
      <c r="AW419" s="27" t="s">
        <v>64</v>
      </c>
      <c r="AX419" s="6">
        <v>210.08764440617301</v>
      </c>
      <c r="AY419" s="8">
        <f t="shared" si="89"/>
        <v>1.4518100499878195</v>
      </c>
      <c r="AZ419" s="9">
        <f t="shared" si="90"/>
        <v>5.9507231283335402</v>
      </c>
      <c r="BA419" s="123">
        <v>61.901699999999998</v>
      </c>
      <c r="BB419" s="121">
        <v>1.1047</v>
      </c>
      <c r="BC419" s="121">
        <v>14.172000000000001</v>
      </c>
      <c r="BD419" s="121">
        <v>7.2582000000000004</v>
      </c>
      <c r="BE419" s="121">
        <v>0.217</v>
      </c>
      <c r="BF419" s="121">
        <v>1.1361000000000001</v>
      </c>
      <c r="BG419" s="121">
        <v>4.4183000000000003</v>
      </c>
      <c r="BH419" s="121">
        <v>5.1257000000000001</v>
      </c>
      <c r="BI419" s="121">
        <v>2.0255999999999998</v>
      </c>
      <c r="BJ419" s="121">
        <v>0.5</v>
      </c>
      <c r="BK419" s="121">
        <v>3.7635193600000005E-2</v>
      </c>
      <c r="BL419" s="121">
        <f t="shared" si="93"/>
        <v>97.896935193599987</v>
      </c>
      <c r="BM419" s="121">
        <v>1.5089200019881399</v>
      </c>
      <c r="BN419" s="95">
        <v>210.08764440617301</v>
      </c>
      <c r="BO419" s="122" t="s">
        <v>64</v>
      </c>
      <c r="BP419" s="95">
        <v>210.08764440617301</v>
      </c>
      <c r="BQ419" s="194" t="s">
        <v>469</v>
      </c>
    </row>
    <row r="420" spans="12:69" ht="14.45" customHeight="1">
      <c r="L420" s="207" t="s">
        <v>483</v>
      </c>
      <c r="M420" s="763" t="s">
        <v>459</v>
      </c>
      <c r="N420" s="15" t="s">
        <v>460</v>
      </c>
      <c r="O420" s="14" t="s">
        <v>1405</v>
      </c>
      <c r="P420" s="15" t="s">
        <v>405</v>
      </c>
      <c r="Q420" s="15" t="s">
        <v>482</v>
      </c>
      <c r="R420" s="217" t="s">
        <v>64</v>
      </c>
      <c r="S420" s="193">
        <v>46.280707041895404</v>
      </c>
      <c r="T420" s="14">
        <f t="shared" si="92"/>
        <v>1027.96146</v>
      </c>
      <c r="U420" s="27" t="s">
        <v>300</v>
      </c>
      <c r="V420" s="90" t="s">
        <v>64</v>
      </c>
      <c r="W420" s="109" t="s">
        <v>64</v>
      </c>
      <c r="X420" s="183" t="s">
        <v>64</v>
      </c>
      <c r="Y420" s="104" t="s">
        <v>64</v>
      </c>
      <c r="Z420" s="104" t="s">
        <v>64</v>
      </c>
      <c r="AA420" s="57" t="s">
        <v>64</v>
      </c>
      <c r="AB420" s="47" t="s">
        <v>64</v>
      </c>
      <c r="AC420" s="57">
        <v>660</v>
      </c>
      <c r="AD420" s="27" t="s">
        <v>470</v>
      </c>
      <c r="AE420" s="28">
        <f t="shared" si="88"/>
        <v>2.7517162464</v>
      </c>
      <c r="AF420" s="197" t="s">
        <v>470</v>
      </c>
      <c r="AG420" s="84">
        <v>660</v>
      </c>
      <c r="AH420" s="157" t="s">
        <v>469</v>
      </c>
      <c r="AI420" s="8">
        <v>1</v>
      </c>
      <c r="AJ420" s="9">
        <v>63.998399999999997</v>
      </c>
      <c r="AK420" s="9">
        <v>0.79300000000000004</v>
      </c>
      <c r="AL420" s="9">
        <v>14.110799999999999</v>
      </c>
      <c r="AM420" s="189">
        <v>6.1571644062969995</v>
      </c>
      <c r="AN420" s="9">
        <v>9.9599999999999994E-2</v>
      </c>
      <c r="AO420" s="9">
        <v>0.6946</v>
      </c>
      <c r="AP420" s="9">
        <v>3.7271999999999998</v>
      </c>
      <c r="AQ420" s="9">
        <v>5.0956999999999999</v>
      </c>
      <c r="AR420" s="9">
        <v>2.0611999999999999</v>
      </c>
      <c r="AS420" s="9">
        <v>0.18340000000000001</v>
      </c>
      <c r="AT420" s="190">
        <v>254.23774399999999</v>
      </c>
      <c r="AU420" s="9">
        <v>1.8599836228143201</v>
      </c>
      <c r="AV420" s="6">
        <v>190.223512246512</v>
      </c>
      <c r="AW420" s="27" t="s">
        <v>64</v>
      </c>
      <c r="AX420" s="6">
        <v>190.223512246512</v>
      </c>
      <c r="AY420" s="8">
        <f t="shared" si="89"/>
        <v>1.231784278448512</v>
      </c>
      <c r="AZ420" s="9">
        <f t="shared" si="90"/>
        <v>5.0488748131635397</v>
      </c>
      <c r="BA420" s="123">
        <v>63.998399999999997</v>
      </c>
      <c r="BB420" s="121">
        <v>0.79300000000000004</v>
      </c>
      <c r="BC420" s="121">
        <v>14.110799999999999</v>
      </c>
      <c r="BD420" s="121">
        <v>6.1581999999999999</v>
      </c>
      <c r="BE420" s="121">
        <v>9.9599999999999994E-2</v>
      </c>
      <c r="BF420" s="121">
        <v>0.6946</v>
      </c>
      <c r="BG420" s="121">
        <v>3.7271999999999998</v>
      </c>
      <c r="BH420" s="121">
        <v>5.0956999999999999</v>
      </c>
      <c r="BI420" s="121">
        <v>2.0611999999999999</v>
      </c>
      <c r="BJ420" s="121">
        <v>0.18340000000000001</v>
      </c>
      <c r="BK420" s="121">
        <v>2.5423774399999998E-2</v>
      </c>
      <c r="BL420" s="121">
        <f t="shared" si="93"/>
        <v>96.947523774399968</v>
      </c>
      <c r="BM420" s="121">
        <v>1.8599836228143201</v>
      </c>
      <c r="BN420" s="95">
        <v>190.223512246512</v>
      </c>
      <c r="BO420" s="122" t="s">
        <v>64</v>
      </c>
      <c r="BP420" s="95">
        <v>190.223512246512</v>
      </c>
      <c r="BQ420" s="194" t="s">
        <v>469</v>
      </c>
    </row>
    <row r="421" spans="12:69" ht="14.45" customHeight="1">
      <c r="L421" s="207" t="s">
        <v>483</v>
      </c>
      <c r="M421" s="763" t="s">
        <v>459</v>
      </c>
      <c r="N421" s="15" t="s">
        <v>460</v>
      </c>
      <c r="O421" s="14" t="s">
        <v>1406</v>
      </c>
      <c r="P421" s="15" t="s">
        <v>405</v>
      </c>
      <c r="Q421" s="15" t="s">
        <v>482</v>
      </c>
      <c r="R421" s="217" t="s">
        <v>64</v>
      </c>
      <c r="S421" s="193">
        <v>43.592564047108098</v>
      </c>
      <c r="T421" s="14">
        <f t="shared" si="92"/>
        <v>1042.06161</v>
      </c>
      <c r="U421" s="27" t="s">
        <v>300</v>
      </c>
      <c r="V421" s="90" t="s">
        <v>64</v>
      </c>
      <c r="W421" s="109" t="s">
        <v>64</v>
      </c>
      <c r="X421" s="183" t="s">
        <v>64</v>
      </c>
      <c r="Y421" s="104" t="s">
        <v>64</v>
      </c>
      <c r="Z421" s="104" t="s">
        <v>64</v>
      </c>
      <c r="AA421" s="57" t="s">
        <v>64</v>
      </c>
      <c r="AB421" s="47" t="s">
        <v>64</v>
      </c>
      <c r="AC421" s="57">
        <v>180</v>
      </c>
      <c r="AD421" s="27" t="s">
        <v>470</v>
      </c>
      <c r="AE421" s="28">
        <f t="shared" si="88"/>
        <v>0.78877298879999991</v>
      </c>
      <c r="AF421" s="197" t="s">
        <v>470</v>
      </c>
      <c r="AG421" s="84">
        <v>180</v>
      </c>
      <c r="AH421" s="157" t="s">
        <v>469</v>
      </c>
      <c r="AI421" s="8">
        <v>1</v>
      </c>
      <c r="AJ421" s="9">
        <v>62.320700000000002</v>
      </c>
      <c r="AK421" s="9">
        <v>1.161</v>
      </c>
      <c r="AL421" s="9">
        <v>12.8537</v>
      </c>
      <c r="AM421" s="189">
        <v>8.1905224091365003</v>
      </c>
      <c r="AN421" s="9">
        <v>0.1845</v>
      </c>
      <c r="AO421" s="9">
        <v>1.3960999999999999</v>
      </c>
      <c r="AP421" s="9">
        <v>4.2085999999999997</v>
      </c>
      <c r="AQ421" s="9">
        <v>3.927</v>
      </c>
      <c r="AR421" s="9">
        <v>2.3193000000000001</v>
      </c>
      <c r="AS421" s="9">
        <v>0.32400000000000001</v>
      </c>
      <c r="AT421" s="190">
        <v>299.27986399999998</v>
      </c>
      <c r="AU421" s="9">
        <v>0.84280597631089205</v>
      </c>
      <c r="AV421" s="6">
        <v>68.112115788859896</v>
      </c>
      <c r="AW421" s="27" t="s">
        <v>64</v>
      </c>
      <c r="AX421" s="6">
        <v>68.112115788859896</v>
      </c>
      <c r="AY421" s="8">
        <f t="shared" si="89"/>
        <v>1.6385719253389572</v>
      </c>
      <c r="AZ421" s="9">
        <f t="shared" si="90"/>
        <v>6.716228375491931</v>
      </c>
      <c r="BA421" s="123">
        <v>62.320700000000002</v>
      </c>
      <c r="BB421" s="121">
        <v>1.161</v>
      </c>
      <c r="BC421" s="121">
        <v>12.8537</v>
      </c>
      <c r="BD421" s="121">
        <v>8.1919000000000004</v>
      </c>
      <c r="BE421" s="121">
        <v>0.1845</v>
      </c>
      <c r="BF421" s="121">
        <v>1.3960999999999999</v>
      </c>
      <c r="BG421" s="121">
        <v>4.2085999999999997</v>
      </c>
      <c r="BH421" s="121">
        <v>3.927</v>
      </c>
      <c r="BI421" s="121">
        <v>2.3193000000000001</v>
      </c>
      <c r="BJ421" s="121">
        <v>0.32400000000000001</v>
      </c>
      <c r="BK421" s="121">
        <v>2.9927986399999999E-2</v>
      </c>
      <c r="BL421" s="121">
        <f t="shared" si="93"/>
        <v>96.916727986400019</v>
      </c>
      <c r="BM421" s="121">
        <v>0.84280597631089205</v>
      </c>
      <c r="BN421" s="95">
        <v>68.112115788859896</v>
      </c>
      <c r="BO421" s="122" t="s">
        <v>64</v>
      </c>
      <c r="BP421" s="95">
        <v>68.112115788859896</v>
      </c>
      <c r="BQ421" s="194" t="s">
        <v>469</v>
      </c>
    </row>
    <row r="422" spans="12:69" ht="14.45" customHeight="1">
      <c r="L422" s="207" t="s">
        <v>483</v>
      </c>
      <c r="M422" s="763" t="s">
        <v>459</v>
      </c>
      <c r="N422" s="15" t="s">
        <v>460</v>
      </c>
      <c r="O422" s="14" t="s">
        <v>1407</v>
      </c>
      <c r="P422" s="15" t="s">
        <v>405</v>
      </c>
      <c r="Q422" s="15" t="s">
        <v>482</v>
      </c>
      <c r="R422" s="217" t="s">
        <v>64</v>
      </c>
      <c r="S422" s="193">
        <v>41.486713141529599</v>
      </c>
      <c r="T422" s="14">
        <f t="shared" si="92"/>
        <v>1040.8495800000001</v>
      </c>
      <c r="U422" s="27" t="s">
        <v>300</v>
      </c>
      <c r="V422" s="90" t="s">
        <v>64</v>
      </c>
      <c r="W422" s="109" t="s">
        <v>64</v>
      </c>
      <c r="X422" s="183" t="s">
        <v>64</v>
      </c>
      <c r="Y422" s="104" t="s">
        <v>64</v>
      </c>
      <c r="Z422" s="104" t="s">
        <v>64</v>
      </c>
      <c r="AA422" s="57" t="s">
        <v>64</v>
      </c>
      <c r="AB422" s="47" t="s">
        <v>64</v>
      </c>
      <c r="AC422" s="57">
        <v>350</v>
      </c>
      <c r="AD422" s="27" t="s">
        <v>470</v>
      </c>
      <c r="AE422" s="28">
        <f t="shared" si="88"/>
        <v>1.5060846499999998</v>
      </c>
      <c r="AF422" s="197" t="s">
        <v>470</v>
      </c>
      <c r="AG422" s="84">
        <v>350</v>
      </c>
      <c r="AH422" s="157" t="s">
        <v>469</v>
      </c>
      <c r="AI422" s="8">
        <v>1</v>
      </c>
      <c r="AJ422" s="9">
        <v>62.072000000000003</v>
      </c>
      <c r="AK422" s="9">
        <v>1.1171</v>
      </c>
      <c r="AL422" s="9">
        <v>13.631</v>
      </c>
      <c r="AM422" s="189">
        <v>7.1105040609694994</v>
      </c>
      <c r="AN422" s="9">
        <v>9.9199999999999997E-2</v>
      </c>
      <c r="AO422" s="9">
        <v>1.3358000000000001</v>
      </c>
      <c r="AP422" s="9">
        <v>4.2671000000000001</v>
      </c>
      <c r="AQ422" s="9">
        <v>4.9062000000000001</v>
      </c>
      <c r="AR422" s="9">
        <v>2.2667000000000002</v>
      </c>
      <c r="AS422" s="9">
        <v>0.33489999999999998</v>
      </c>
      <c r="AT422" s="190">
        <v>332.81121999999993</v>
      </c>
      <c r="AU422" s="9">
        <v>1.15559301311203</v>
      </c>
      <c r="AV422" s="6">
        <v>120.213651403992</v>
      </c>
      <c r="AW422" s="27" t="s">
        <v>64</v>
      </c>
      <c r="AX422" s="6">
        <v>120.213651403992</v>
      </c>
      <c r="AY422" s="8">
        <f t="shared" si="89"/>
        <v>1.4225066176873571</v>
      </c>
      <c r="AZ422" s="9">
        <f t="shared" si="90"/>
        <v>5.83061332999499</v>
      </c>
      <c r="BA422" s="123">
        <v>62.072000000000003</v>
      </c>
      <c r="BB422" s="121">
        <v>1.1171</v>
      </c>
      <c r="BC422" s="121">
        <v>13.631</v>
      </c>
      <c r="BD422" s="121">
        <v>7.1116999999999999</v>
      </c>
      <c r="BE422" s="121">
        <v>9.9199999999999997E-2</v>
      </c>
      <c r="BF422" s="121">
        <v>1.3358000000000001</v>
      </c>
      <c r="BG422" s="121">
        <v>4.2671000000000001</v>
      </c>
      <c r="BH422" s="121">
        <v>4.9062000000000001</v>
      </c>
      <c r="BI422" s="121">
        <v>2.2667000000000002</v>
      </c>
      <c r="BJ422" s="121">
        <v>0.33489999999999998</v>
      </c>
      <c r="BK422" s="121">
        <v>3.3281121999999996E-2</v>
      </c>
      <c r="BL422" s="121">
        <f t="shared" si="93"/>
        <v>97.174981122000005</v>
      </c>
      <c r="BM422" s="121">
        <v>1.15559301311203</v>
      </c>
      <c r="BN422" s="95">
        <v>120.213651403992</v>
      </c>
      <c r="BO422" s="122" t="s">
        <v>64</v>
      </c>
      <c r="BP422" s="95">
        <v>120.213651403992</v>
      </c>
      <c r="BQ422" s="194" t="s">
        <v>469</v>
      </c>
    </row>
    <row r="423" spans="12:69" ht="14.45" customHeight="1">
      <c r="L423" s="207" t="s">
        <v>483</v>
      </c>
      <c r="M423" s="763" t="s">
        <v>459</v>
      </c>
      <c r="N423" s="15" t="s">
        <v>460</v>
      </c>
      <c r="O423" s="14" t="s">
        <v>1408</v>
      </c>
      <c r="P423" s="15" t="s">
        <v>405</v>
      </c>
      <c r="Q423" s="15" t="s">
        <v>482</v>
      </c>
      <c r="R423" s="217" t="s">
        <v>64</v>
      </c>
      <c r="S423" s="193">
        <v>73.617094836289894</v>
      </c>
      <c r="T423" s="14">
        <f t="shared" si="92"/>
        <v>1119.95514</v>
      </c>
      <c r="U423" s="27" t="s">
        <v>300</v>
      </c>
      <c r="V423" s="90" t="s">
        <v>64</v>
      </c>
      <c r="W423" s="109" t="s">
        <v>64</v>
      </c>
      <c r="X423" s="183" t="s">
        <v>64</v>
      </c>
      <c r="Y423" s="104" t="s">
        <v>64</v>
      </c>
      <c r="Z423" s="104" t="s">
        <v>64</v>
      </c>
      <c r="AA423" s="57" t="s">
        <v>64</v>
      </c>
      <c r="AB423" s="47" t="s">
        <v>64</v>
      </c>
      <c r="AC423" s="57">
        <v>810</v>
      </c>
      <c r="AD423" s="27" t="s">
        <v>470</v>
      </c>
      <c r="AE423" s="28">
        <f t="shared" si="88"/>
        <v>3.3284756844000003</v>
      </c>
      <c r="AF423" s="197" t="s">
        <v>470</v>
      </c>
      <c r="AG423" s="84">
        <v>810</v>
      </c>
      <c r="AH423" s="157" t="s">
        <v>469</v>
      </c>
      <c r="AI423" s="8">
        <v>1</v>
      </c>
      <c r="AJ423" s="9">
        <v>49.411099999999998</v>
      </c>
      <c r="AK423" s="9">
        <v>3.8955000000000002</v>
      </c>
      <c r="AL423" s="9">
        <v>11.7019</v>
      </c>
      <c r="AM423" s="189">
        <v>12.137758510532999</v>
      </c>
      <c r="AN423" s="9">
        <v>0.20369999999999999</v>
      </c>
      <c r="AO423" s="9">
        <v>5.2713999999999999</v>
      </c>
      <c r="AP423" s="9">
        <v>8.2416</v>
      </c>
      <c r="AQ423" s="9">
        <v>2.3761000000000001</v>
      </c>
      <c r="AR423" s="9">
        <v>0.89370000000000005</v>
      </c>
      <c r="AS423" s="9">
        <v>0.43669999999999998</v>
      </c>
      <c r="AT423" s="190">
        <v>1085.0146239999999</v>
      </c>
      <c r="AU423" s="9">
        <v>1.61332954696806</v>
      </c>
      <c r="AV423" s="6">
        <v>356.758096520435</v>
      </c>
      <c r="AW423" s="27" t="s">
        <v>64</v>
      </c>
      <c r="AX423" s="6">
        <v>356.758096520435</v>
      </c>
      <c r="AY423" s="8">
        <f t="shared" si="89"/>
        <v>2.4282444193935313</v>
      </c>
      <c r="AZ423" s="9">
        <f t="shared" si="90"/>
        <v>9.9529619786370613</v>
      </c>
      <c r="BA423" s="123">
        <v>49.411099999999998</v>
      </c>
      <c r="BB423" s="121">
        <v>3.8955000000000002</v>
      </c>
      <c r="BC423" s="121">
        <v>11.7019</v>
      </c>
      <c r="BD423" s="121">
        <v>12.139799999999999</v>
      </c>
      <c r="BE423" s="121">
        <v>0.20369999999999999</v>
      </c>
      <c r="BF423" s="121">
        <v>5.2713999999999999</v>
      </c>
      <c r="BG423" s="121">
        <v>8.2416</v>
      </c>
      <c r="BH423" s="121">
        <v>2.3761000000000001</v>
      </c>
      <c r="BI423" s="121">
        <v>0.89370000000000005</v>
      </c>
      <c r="BJ423" s="121">
        <v>0.43669999999999998</v>
      </c>
      <c r="BK423" s="121">
        <v>0.10850146239999998</v>
      </c>
      <c r="BL423" s="121">
        <f t="shared" si="93"/>
        <v>94.680001462399986</v>
      </c>
      <c r="BM423" s="121">
        <v>1.61332954696806</v>
      </c>
      <c r="BN423" s="95">
        <v>356.758096520435</v>
      </c>
      <c r="BO423" s="122" t="s">
        <v>64</v>
      </c>
      <c r="BP423" s="95">
        <v>356.758096520435</v>
      </c>
      <c r="BQ423" s="194" t="s">
        <v>469</v>
      </c>
    </row>
    <row r="424" spans="12:69" ht="14.45" customHeight="1">
      <c r="L424" s="207" t="s">
        <v>483</v>
      </c>
      <c r="M424" s="763" t="s">
        <v>459</v>
      </c>
      <c r="N424" s="15" t="s">
        <v>460</v>
      </c>
      <c r="O424" s="14" t="s">
        <v>1409</v>
      </c>
      <c r="P424" s="15" t="s">
        <v>405</v>
      </c>
      <c r="Q424" s="15" t="s">
        <v>482</v>
      </c>
      <c r="R424" s="217" t="s">
        <v>64</v>
      </c>
      <c r="S424" s="193">
        <v>47.586419398427196</v>
      </c>
      <c r="T424" s="14">
        <f t="shared" si="92"/>
        <v>1044.60024</v>
      </c>
      <c r="U424" s="27" t="s">
        <v>300</v>
      </c>
      <c r="V424" s="90" t="s">
        <v>64</v>
      </c>
      <c r="W424" s="109" t="s">
        <v>64</v>
      </c>
      <c r="X424" s="183" t="s">
        <v>64</v>
      </c>
      <c r="Y424" s="104" t="s">
        <v>64</v>
      </c>
      <c r="Z424" s="104" t="s">
        <v>64</v>
      </c>
      <c r="AA424" s="57" t="s">
        <v>64</v>
      </c>
      <c r="AB424" s="47" t="s">
        <v>64</v>
      </c>
      <c r="AC424" s="57">
        <v>90</v>
      </c>
      <c r="AD424" s="27" t="s">
        <v>470</v>
      </c>
      <c r="AE424" s="28">
        <f t="shared" si="88"/>
        <v>0.39829338359999994</v>
      </c>
      <c r="AF424" s="197" t="s">
        <v>470</v>
      </c>
      <c r="AG424" s="84">
        <v>90</v>
      </c>
      <c r="AH424" s="157" t="s">
        <v>469</v>
      </c>
      <c r="AI424" s="8">
        <v>1</v>
      </c>
      <c r="AJ424" s="9">
        <v>61.871000000000002</v>
      </c>
      <c r="AK424" s="9">
        <v>1.2278</v>
      </c>
      <c r="AL424" s="9">
        <v>12.995900000000001</v>
      </c>
      <c r="AM424" s="189">
        <v>8.733131145990999</v>
      </c>
      <c r="AN424" s="9">
        <v>0.19259999999999999</v>
      </c>
      <c r="AO424" s="9">
        <v>1.5224</v>
      </c>
      <c r="AP424" s="9">
        <v>4.1904000000000003</v>
      </c>
      <c r="AQ424" s="9">
        <v>4.2130999999999998</v>
      </c>
      <c r="AR424" s="9">
        <v>2.2538</v>
      </c>
      <c r="AS424" s="9">
        <v>0.41220000000000001</v>
      </c>
      <c r="AT424" s="190">
        <v>390.86550799999992</v>
      </c>
      <c r="AU424" s="9">
        <v>0.55447133549822303</v>
      </c>
      <c r="AV424" s="6">
        <v>33.858507004834202</v>
      </c>
      <c r="AW424" s="27" t="s">
        <v>64</v>
      </c>
      <c r="AX424" s="6">
        <v>33.858507004834202</v>
      </c>
      <c r="AY424" s="8">
        <f t="shared" si="89"/>
        <v>1.7471246400793043</v>
      </c>
      <c r="AZ424" s="9">
        <f t="shared" si="90"/>
        <v>7.1611675397126193</v>
      </c>
      <c r="BA424" s="123">
        <v>61.871000000000002</v>
      </c>
      <c r="BB424" s="121">
        <v>1.2278</v>
      </c>
      <c r="BC424" s="121">
        <v>12.995900000000001</v>
      </c>
      <c r="BD424" s="121">
        <v>8.7346000000000004</v>
      </c>
      <c r="BE424" s="121">
        <v>0.19259999999999999</v>
      </c>
      <c r="BF424" s="121">
        <v>1.5224</v>
      </c>
      <c r="BG424" s="121">
        <v>4.1904000000000003</v>
      </c>
      <c r="BH424" s="121">
        <v>4.2130999999999998</v>
      </c>
      <c r="BI424" s="121">
        <v>2.2538</v>
      </c>
      <c r="BJ424" s="121">
        <v>0.41220000000000001</v>
      </c>
      <c r="BK424" s="121">
        <v>3.9086550799999994E-2</v>
      </c>
      <c r="BL424" s="121">
        <f t="shared" si="93"/>
        <v>97.652886550799991</v>
      </c>
      <c r="BM424" s="121">
        <v>0.55447133549822303</v>
      </c>
      <c r="BN424" s="95">
        <v>33.858507004834202</v>
      </c>
      <c r="BO424" s="122" t="s">
        <v>64</v>
      </c>
      <c r="BP424" s="95">
        <v>33.858507004834202</v>
      </c>
      <c r="BQ424" s="194" t="s">
        <v>469</v>
      </c>
    </row>
    <row r="425" spans="12:69" ht="14.45" customHeight="1">
      <c r="L425" s="207" t="s">
        <v>483</v>
      </c>
      <c r="M425" s="763" t="s">
        <v>459</v>
      </c>
      <c r="N425" s="15" t="s">
        <v>460</v>
      </c>
      <c r="O425" s="14" t="s">
        <v>1410</v>
      </c>
      <c r="P425" s="15" t="s">
        <v>405</v>
      </c>
      <c r="Q425" s="15" t="s">
        <v>482</v>
      </c>
      <c r="R425" s="217" t="s">
        <v>64</v>
      </c>
      <c r="S425" s="193">
        <v>50.8690103847796</v>
      </c>
      <c r="T425" s="14">
        <f t="shared" si="92"/>
        <v>1055.6090099999999</v>
      </c>
      <c r="U425" s="27" t="s">
        <v>300</v>
      </c>
      <c r="V425" s="90" t="s">
        <v>64</v>
      </c>
      <c r="W425" s="109" t="s">
        <v>64</v>
      </c>
      <c r="X425" s="183" t="s">
        <v>64</v>
      </c>
      <c r="Y425" s="104" t="s">
        <v>64</v>
      </c>
      <c r="Z425" s="104" t="s">
        <v>64</v>
      </c>
      <c r="AA425" s="57" t="s">
        <v>64</v>
      </c>
      <c r="AB425" s="47" t="s">
        <v>64</v>
      </c>
      <c r="AC425" s="57">
        <v>520</v>
      </c>
      <c r="AD425" s="27" t="s">
        <v>470</v>
      </c>
      <c r="AE425" s="28">
        <f t="shared" si="88"/>
        <v>2.1986012671999999</v>
      </c>
      <c r="AF425" s="197" t="s">
        <v>470</v>
      </c>
      <c r="AG425" s="84">
        <v>520</v>
      </c>
      <c r="AH425" s="157" t="s">
        <v>469</v>
      </c>
      <c r="AI425" s="8">
        <v>1</v>
      </c>
      <c r="AJ425" s="9">
        <v>58.007599999999996</v>
      </c>
      <c r="AK425" s="9">
        <v>1.8524</v>
      </c>
      <c r="AL425" s="9">
        <v>12.943899999999999</v>
      </c>
      <c r="AM425" s="189">
        <v>9.5932864736415002</v>
      </c>
      <c r="AN425" s="9">
        <v>0.13289999999999999</v>
      </c>
      <c r="AO425" s="9">
        <v>2.0701000000000001</v>
      </c>
      <c r="AP425" s="9">
        <v>5.2233000000000001</v>
      </c>
      <c r="AQ425" s="9">
        <v>4.1772</v>
      </c>
      <c r="AR425" s="9">
        <v>1.8609</v>
      </c>
      <c r="AS425" s="9">
        <v>0.69750000000000001</v>
      </c>
      <c r="AT425" s="190">
        <v>634.59342400000003</v>
      </c>
      <c r="AU425" s="9">
        <v>0.93678099825871497</v>
      </c>
      <c r="AV425" s="6">
        <v>266.52766145169397</v>
      </c>
      <c r="AW425" s="27" t="s">
        <v>64</v>
      </c>
      <c r="AX425" s="6">
        <v>266.52766145169397</v>
      </c>
      <c r="AY425" s="8">
        <f t="shared" si="89"/>
        <v>1.9192047957659102</v>
      </c>
      <c r="AZ425" s="9">
        <f t="shared" si="90"/>
        <v>7.8664949083860307</v>
      </c>
      <c r="BA425" s="123">
        <v>58.007599999999996</v>
      </c>
      <c r="BB425" s="121">
        <v>1.8524</v>
      </c>
      <c r="BC425" s="121">
        <v>12.943899999999999</v>
      </c>
      <c r="BD425" s="121">
        <v>9.5949000000000009</v>
      </c>
      <c r="BE425" s="121">
        <v>0.13289999999999999</v>
      </c>
      <c r="BF425" s="121">
        <v>2.0701000000000001</v>
      </c>
      <c r="BG425" s="121">
        <v>5.2233000000000001</v>
      </c>
      <c r="BH425" s="121">
        <v>4.1772</v>
      </c>
      <c r="BI425" s="121">
        <v>1.8609</v>
      </c>
      <c r="BJ425" s="121">
        <v>0.69750000000000001</v>
      </c>
      <c r="BK425" s="121">
        <v>6.3459342400000007E-2</v>
      </c>
      <c r="BL425" s="121">
        <f t="shared" si="93"/>
        <v>96.624159342399992</v>
      </c>
      <c r="BM425" s="121">
        <v>0.93678099825871497</v>
      </c>
      <c r="BN425" s="95">
        <v>266.52766145169397</v>
      </c>
      <c r="BO425" s="122" t="s">
        <v>64</v>
      </c>
      <c r="BP425" s="95">
        <v>266.52766145169397</v>
      </c>
      <c r="BQ425" s="194" t="s">
        <v>469</v>
      </c>
    </row>
    <row r="426" spans="12:69" ht="14.45" customHeight="1">
      <c r="L426" s="207" t="s">
        <v>483</v>
      </c>
      <c r="M426" s="763" t="s">
        <v>459</v>
      </c>
      <c r="N426" s="15" t="s">
        <v>460</v>
      </c>
      <c r="O426" s="14" t="s">
        <v>1411</v>
      </c>
      <c r="P426" s="15" t="s">
        <v>405</v>
      </c>
      <c r="Q426" s="15" t="s">
        <v>482</v>
      </c>
      <c r="R426" s="217" t="s">
        <v>64</v>
      </c>
      <c r="S426" s="193">
        <v>59.462371988611395</v>
      </c>
      <c r="T426" s="14">
        <f t="shared" si="92"/>
        <v>1115.17335</v>
      </c>
      <c r="U426" s="27" t="s">
        <v>300</v>
      </c>
      <c r="V426" s="90" t="s">
        <v>64</v>
      </c>
      <c r="W426" s="109" t="s">
        <v>64</v>
      </c>
      <c r="X426" s="183" t="s">
        <v>64</v>
      </c>
      <c r="Y426" s="104" t="s">
        <v>64</v>
      </c>
      <c r="Z426" s="104" t="s">
        <v>64</v>
      </c>
      <c r="AA426" s="57" t="s">
        <v>64</v>
      </c>
      <c r="AB426" s="47" t="s">
        <v>64</v>
      </c>
      <c r="AC426" s="57">
        <v>120</v>
      </c>
      <c r="AD426" s="27" t="s">
        <v>470</v>
      </c>
      <c r="AE426" s="28">
        <f t="shared" si="88"/>
        <v>0.52930667519999997</v>
      </c>
      <c r="AF426" s="197" t="s">
        <v>470</v>
      </c>
      <c r="AG426" s="84">
        <v>120</v>
      </c>
      <c r="AH426" s="157" t="s">
        <v>469</v>
      </c>
      <c r="AI426" s="8">
        <v>1</v>
      </c>
      <c r="AJ426" s="9">
        <v>49.740400000000001</v>
      </c>
      <c r="AK426" s="9">
        <v>4.3490000000000002</v>
      </c>
      <c r="AL426" s="9">
        <v>11.186500000000001</v>
      </c>
      <c r="AM426" s="189">
        <v>13.923658134209999</v>
      </c>
      <c r="AN426" s="9">
        <v>0.15909999999999999</v>
      </c>
      <c r="AO426" s="9">
        <v>5.0335000000000001</v>
      </c>
      <c r="AP426" s="9">
        <v>8.3743999999999996</v>
      </c>
      <c r="AQ426" s="9">
        <v>2.6684000000000001</v>
      </c>
      <c r="AR426" s="9">
        <v>0.94269999999999998</v>
      </c>
      <c r="AS426" s="9">
        <v>0.59650000000000003</v>
      </c>
      <c r="AT426" s="190">
        <v>864.80870400000003</v>
      </c>
      <c r="AU426" s="9">
        <v>0.13040248701658499</v>
      </c>
      <c r="AV426" s="6">
        <v>96.267613052148704</v>
      </c>
      <c r="AW426" s="27" t="s">
        <v>64</v>
      </c>
      <c r="AX426" s="6">
        <v>96.267613052148704</v>
      </c>
      <c r="AY426" s="8">
        <f t="shared" si="89"/>
        <v>2.7855262676876325</v>
      </c>
      <c r="AZ426" s="9">
        <f t="shared" si="90"/>
        <v>11.4173996700522</v>
      </c>
      <c r="BA426" s="123">
        <v>49.740400000000001</v>
      </c>
      <c r="BB426" s="121">
        <v>4.3490000000000002</v>
      </c>
      <c r="BC426" s="121">
        <v>11.186500000000001</v>
      </c>
      <c r="BD426" s="121">
        <v>13.926</v>
      </c>
      <c r="BE426" s="121">
        <v>0.15909999999999999</v>
      </c>
      <c r="BF426" s="121">
        <v>5.0335000000000001</v>
      </c>
      <c r="BG426" s="121">
        <v>8.3743999999999996</v>
      </c>
      <c r="BH426" s="121">
        <v>2.6684000000000001</v>
      </c>
      <c r="BI426" s="121">
        <v>0.94269999999999998</v>
      </c>
      <c r="BJ426" s="121">
        <v>0.59650000000000003</v>
      </c>
      <c r="BK426" s="121">
        <v>8.6480870400000007E-2</v>
      </c>
      <c r="BL426" s="121">
        <f t="shared" si="93"/>
        <v>97.062980870399997</v>
      </c>
      <c r="BM426" s="121">
        <v>0.13040248701658499</v>
      </c>
      <c r="BN426" s="95">
        <v>96.267613052148704</v>
      </c>
      <c r="BO426" s="122" t="s">
        <v>64</v>
      </c>
      <c r="BP426" s="95">
        <v>96.267613052148704</v>
      </c>
      <c r="BQ426" s="194" t="s">
        <v>469</v>
      </c>
    </row>
    <row r="427" spans="12:69" ht="14.45" customHeight="1">
      <c r="L427" s="207" t="s">
        <v>483</v>
      </c>
      <c r="M427" s="763" t="s">
        <v>459</v>
      </c>
      <c r="N427" s="15" t="s">
        <v>460</v>
      </c>
      <c r="O427" s="14" t="s">
        <v>1412</v>
      </c>
      <c r="P427" s="15" t="s">
        <v>405</v>
      </c>
      <c r="Q427" s="15" t="s">
        <v>482</v>
      </c>
      <c r="R427" s="217" t="s">
        <v>64</v>
      </c>
      <c r="S427" s="193">
        <v>68.218097818310397</v>
      </c>
      <c r="T427" s="14">
        <f t="shared" si="92"/>
        <v>1120.5842700000001</v>
      </c>
      <c r="U427" s="27" t="s">
        <v>300</v>
      </c>
      <c r="V427" s="90" t="s">
        <v>64</v>
      </c>
      <c r="W427" s="109" t="s">
        <v>64</v>
      </c>
      <c r="X427" s="183" t="s">
        <v>64</v>
      </c>
      <c r="Y427" s="104" t="s">
        <v>64</v>
      </c>
      <c r="Z427" s="104" t="s">
        <v>64</v>
      </c>
      <c r="AA427" s="57" t="s">
        <v>64</v>
      </c>
      <c r="AB427" s="47" t="s">
        <v>64</v>
      </c>
      <c r="AC427" s="57">
        <v>600</v>
      </c>
      <c r="AD427" s="27" t="s">
        <v>470</v>
      </c>
      <c r="AE427" s="28">
        <f t="shared" si="88"/>
        <v>2.5164863999999998</v>
      </c>
      <c r="AF427" s="197" t="s">
        <v>470</v>
      </c>
      <c r="AG427" s="84">
        <v>600</v>
      </c>
      <c r="AH427" s="157" t="s">
        <v>469</v>
      </c>
      <c r="AI427" s="8">
        <v>1</v>
      </c>
      <c r="AJ427" s="9">
        <v>50.998899999999999</v>
      </c>
      <c r="AK427" s="9">
        <v>3.5049000000000001</v>
      </c>
      <c r="AL427" s="9">
        <v>12.4499</v>
      </c>
      <c r="AM427" s="189">
        <v>12.468102948817</v>
      </c>
      <c r="AN427" s="9">
        <v>0.15939999999999999</v>
      </c>
      <c r="AO427" s="9">
        <v>5.3026999999999997</v>
      </c>
      <c r="AP427" s="9">
        <v>8.5789000000000009</v>
      </c>
      <c r="AQ427" s="9">
        <v>2.4885000000000002</v>
      </c>
      <c r="AR427" s="9">
        <v>0.9798</v>
      </c>
      <c r="AS427" s="9">
        <v>0.36599999999999999</v>
      </c>
      <c r="AT427" s="190">
        <v>1685.5762239999999</v>
      </c>
      <c r="AU427" s="9">
        <v>1.02987521977623</v>
      </c>
      <c r="AV427" s="6">
        <v>326.10005880369698</v>
      </c>
      <c r="AW427" s="27" t="s">
        <v>64</v>
      </c>
      <c r="AX427" s="6">
        <v>326.10005880369698</v>
      </c>
      <c r="AY427" s="8">
        <f t="shared" si="89"/>
        <v>2.4943321602267927</v>
      </c>
      <c r="AZ427" s="9">
        <f t="shared" si="90"/>
        <v>10.223844418029939</v>
      </c>
      <c r="BA427" s="123">
        <v>50.998899999999999</v>
      </c>
      <c r="BB427" s="121">
        <v>3.5049000000000001</v>
      </c>
      <c r="BC427" s="121">
        <v>12.4499</v>
      </c>
      <c r="BD427" s="121">
        <v>12.4702</v>
      </c>
      <c r="BE427" s="121">
        <v>0.15939999999999999</v>
      </c>
      <c r="BF427" s="121">
        <v>5.3026999999999997</v>
      </c>
      <c r="BG427" s="121">
        <v>8.5789000000000009</v>
      </c>
      <c r="BH427" s="121">
        <v>2.4885000000000002</v>
      </c>
      <c r="BI427" s="121">
        <v>0.9798</v>
      </c>
      <c r="BJ427" s="121">
        <v>0.36599999999999999</v>
      </c>
      <c r="BK427" s="121">
        <v>0.1685576224</v>
      </c>
      <c r="BL427" s="121">
        <f t="shared" si="93"/>
        <v>97.467757622400015</v>
      </c>
      <c r="BM427" s="121">
        <v>1.02987521977623</v>
      </c>
      <c r="BN427" s="95">
        <v>326.10005880369698</v>
      </c>
      <c r="BO427" s="122" t="s">
        <v>64</v>
      </c>
      <c r="BP427" s="95">
        <v>326.10005880369698</v>
      </c>
      <c r="BQ427" s="194" t="s">
        <v>469</v>
      </c>
    </row>
    <row r="428" spans="12:69" ht="14.45" customHeight="1">
      <c r="L428" s="207" t="s">
        <v>483</v>
      </c>
      <c r="M428" s="763" t="s">
        <v>459</v>
      </c>
      <c r="N428" s="15" t="s">
        <v>460</v>
      </c>
      <c r="O428" s="14" t="s">
        <v>1413</v>
      </c>
      <c r="P428" s="15" t="s">
        <v>405</v>
      </c>
      <c r="Q428" s="15" t="s">
        <v>482</v>
      </c>
      <c r="R428" s="217" t="s">
        <v>64</v>
      </c>
      <c r="S428" s="193">
        <v>64.151737601120089</v>
      </c>
      <c r="T428" s="14">
        <f t="shared" si="92"/>
        <v>1124.64447</v>
      </c>
      <c r="U428" s="218" t="s">
        <v>1472</v>
      </c>
      <c r="V428" s="90" t="s">
        <v>462</v>
      </c>
      <c r="W428" s="109" t="s">
        <v>480</v>
      </c>
      <c r="X428" s="183" t="s">
        <v>64</v>
      </c>
      <c r="Y428" s="104" t="s">
        <v>64</v>
      </c>
      <c r="Z428" s="104" t="s">
        <v>64</v>
      </c>
      <c r="AA428" s="57" t="s">
        <v>64</v>
      </c>
      <c r="AB428" s="47" t="s">
        <v>64</v>
      </c>
      <c r="AC428" s="57">
        <v>540</v>
      </c>
      <c r="AD428" s="27" t="s">
        <v>470</v>
      </c>
      <c r="AE428" s="28">
        <f t="shared" si="88"/>
        <v>2.2785372576</v>
      </c>
      <c r="AF428" s="197" t="s">
        <v>470</v>
      </c>
      <c r="AG428" s="84">
        <v>540</v>
      </c>
      <c r="AH428" s="157" t="s">
        <v>469</v>
      </c>
      <c r="AI428" s="8">
        <v>1</v>
      </c>
      <c r="AJ428" s="9">
        <v>51.642600000000002</v>
      </c>
      <c r="AK428" s="9">
        <v>3.5028000000000001</v>
      </c>
      <c r="AL428" s="9">
        <v>12.1319</v>
      </c>
      <c r="AM428" s="189">
        <v>11.863704604559501</v>
      </c>
      <c r="AN428" s="9">
        <v>0.23180000000000001</v>
      </c>
      <c r="AO428" s="9">
        <v>5.5046999999999997</v>
      </c>
      <c r="AP428" s="9">
        <v>7.9778000000000002</v>
      </c>
      <c r="AQ428" s="9">
        <v>2.2776999999999998</v>
      </c>
      <c r="AR428" s="9">
        <v>1.3263</v>
      </c>
      <c r="AS428" s="9">
        <v>0.38129999999999997</v>
      </c>
      <c r="AT428" s="190">
        <v>1539.439568</v>
      </c>
      <c r="AU428" s="9">
        <v>1.1291059336629199</v>
      </c>
      <c r="AV428" s="6">
        <v>281.19795068030601</v>
      </c>
      <c r="AW428" s="27" t="s">
        <v>64</v>
      </c>
      <c r="AX428" s="6">
        <v>281.19795068030601</v>
      </c>
      <c r="AY428" s="8">
        <f t="shared" si="89"/>
        <v>2.37341799759451</v>
      </c>
      <c r="AZ428" s="9">
        <f t="shared" si="90"/>
        <v>9.7282377757387906</v>
      </c>
      <c r="BA428" s="123">
        <v>51.642600000000002</v>
      </c>
      <c r="BB428" s="121">
        <v>3.5028000000000001</v>
      </c>
      <c r="BC428" s="121">
        <v>12.1319</v>
      </c>
      <c r="BD428" s="121">
        <v>11.8657</v>
      </c>
      <c r="BE428" s="121">
        <v>0.23180000000000001</v>
      </c>
      <c r="BF428" s="121">
        <v>5.5046999999999997</v>
      </c>
      <c r="BG428" s="121">
        <v>7.9778000000000002</v>
      </c>
      <c r="BH428" s="121">
        <v>2.2776999999999998</v>
      </c>
      <c r="BI428" s="121">
        <v>1.3263</v>
      </c>
      <c r="BJ428" s="121">
        <v>0.38129999999999997</v>
      </c>
      <c r="BK428" s="121">
        <v>0.1539439568</v>
      </c>
      <c r="BL428" s="121">
        <f t="shared" si="93"/>
        <v>96.996543956800011</v>
      </c>
      <c r="BM428" s="121">
        <v>1.1291059336629199</v>
      </c>
      <c r="BN428" s="95">
        <v>281.19795068030601</v>
      </c>
      <c r="BO428" s="122" t="s">
        <v>64</v>
      </c>
      <c r="BP428" s="95">
        <v>281.19795068030601</v>
      </c>
      <c r="BQ428" s="194" t="s">
        <v>469</v>
      </c>
    </row>
    <row r="429" spans="12:69" ht="14.45" customHeight="1">
      <c r="L429" s="207" t="s">
        <v>483</v>
      </c>
      <c r="M429" s="763" t="s">
        <v>459</v>
      </c>
      <c r="N429" s="15" t="s">
        <v>460</v>
      </c>
      <c r="O429" s="14" t="s">
        <v>1414</v>
      </c>
      <c r="P429" s="15" t="s">
        <v>405</v>
      </c>
      <c r="Q429" s="15" t="s">
        <v>482</v>
      </c>
      <c r="R429" s="217" t="s">
        <v>64</v>
      </c>
      <c r="S429" s="193">
        <v>66.765085769472392</v>
      </c>
      <c r="T429" s="14">
        <f t="shared" si="92"/>
        <v>1114.46985</v>
      </c>
      <c r="U429" s="27" t="s">
        <v>300</v>
      </c>
      <c r="V429" s="90" t="s">
        <v>64</v>
      </c>
      <c r="W429" s="109" t="s">
        <v>64</v>
      </c>
      <c r="X429" s="183" t="s">
        <v>64</v>
      </c>
      <c r="Y429" s="104" t="s">
        <v>64</v>
      </c>
      <c r="Z429" s="104" t="s">
        <v>64</v>
      </c>
      <c r="AA429" s="57" t="s">
        <v>64</v>
      </c>
      <c r="AB429" s="47" t="s">
        <v>64</v>
      </c>
      <c r="AC429" s="57">
        <v>550</v>
      </c>
      <c r="AD429" s="27" t="s">
        <v>470</v>
      </c>
      <c r="AE429" s="28">
        <f t="shared" si="88"/>
        <v>2.3183880499999998</v>
      </c>
      <c r="AF429" s="197" t="s">
        <v>470</v>
      </c>
      <c r="AG429" s="84">
        <v>550</v>
      </c>
      <c r="AH429" s="157" t="s">
        <v>469</v>
      </c>
      <c r="AI429" s="8">
        <v>1</v>
      </c>
      <c r="AJ429" s="9">
        <v>50.547400000000003</v>
      </c>
      <c r="AK429" s="9">
        <v>3.4550999999999998</v>
      </c>
      <c r="AL429" s="9">
        <v>13.0608</v>
      </c>
      <c r="AM429" s="189">
        <v>11.391883961623</v>
      </c>
      <c r="AN429" s="9">
        <v>0.16689999999999999</v>
      </c>
      <c r="AO429" s="9">
        <v>4.9984999999999999</v>
      </c>
      <c r="AP429" s="9">
        <v>8.3048999999999999</v>
      </c>
      <c r="AQ429" s="9">
        <v>3.1248</v>
      </c>
      <c r="AR429" s="9">
        <v>0.87919999999999998</v>
      </c>
      <c r="AS429" s="9">
        <v>0.31740000000000002</v>
      </c>
      <c r="AT429" s="190">
        <v>1676.0673320000001</v>
      </c>
      <c r="AU429" s="9">
        <v>0.77229143181225801</v>
      </c>
      <c r="AV429" s="6">
        <v>322.62118704357505</v>
      </c>
      <c r="AW429" s="27" t="s">
        <v>64</v>
      </c>
      <c r="AX429" s="6">
        <v>322.62118704357505</v>
      </c>
      <c r="AY429" s="8">
        <f t="shared" si="89"/>
        <v>2.2790269416041466</v>
      </c>
      <c r="AZ429" s="9">
        <f t="shared" si="90"/>
        <v>9.3413448485308592</v>
      </c>
      <c r="BA429" s="123">
        <v>50.547400000000003</v>
      </c>
      <c r="BB429" s="121">
        <v>3.4550999999999998</v>
      </c>
      <c r="BC429" s="121">
        <v>13.0608</v>
      </c>
      <c r="BD429" s="121">
        <v>11.393800000000001</v>
      </c>
      <c r="BE429" s="121">
        <v>0.16689999999999999</v>
      </c>
      <c r="BF429" s="121">
        <v>4.9984999999999999</v>
      </c>
      <c r="BG429" s="121">
        <v>8.3048999999999999</v>
      </c>
      <c r="BH429" s="121">
        <v>3.1248</v>
      </c>
      <c r="BI429" s="121">
        <v>0.87919999999999998</v>
      </c>
      <c r="BJ429" s="121">
        <v>0.31740000000000002</v>
      </c>
      <c r="BK429" s="121">
        <v>0.1676067332</v>
      </c>
      <c r="BL429" s="121">
        <f t="shared" si="93"/>
        <v>96.416406733200006</v>
      </c>
      <c r="BM429" s="121">
        <v>0.77229143181225801</v>
      </c>
      <c r="BN429" s="95">
        <v>322.62118704357499</v>
      </c>
      <c r="BO429" s="122" t="s">
        <v>64</v>
      </c>
      <c r="BP429" s="95">
        <v>322.62118704357499</v>
      </c>
      <c r="BQ429" s="194" t="s">
        <v>469</v>
      </c>
    </row>
    <row r="430" spans="12:69" ht="14.45" customHeight="1">
      <c r="L430" s="207" t="s">
        <v>483</v>
      </c>
      <c r="M430" s="763" t="s">
        <v>459</v>
      </c>
      <c r="N430" s="15" t="s">
        <v>460</v>
      </c>
      <c r="O430" s="14" t="s">
        <v>1415</v>
      </c>
      <c r="P430" s="15" t="s">
        <v>405</v>
      </c>
      <c r="Q430" s="15" t="s">
        <v>482</v>
      </c>
      <c r="R430" s="217" t="s">
        <v>64</v>
      </c>
      <c r="S430" s="193">
        <v>66.765085769472392</v>
      </c>
      <c r="T430" s="14">
        <f t="shared" si="92"/>
        <v>1112.14428</v>
      </c>
      <c r="U430" s="218" t="s">
        <v>1472</v>
      </c>
      <c r="V430" s="90" t="s">
        <v>462</v>
      </c>
      <c r="W430" s="109" t="s">
        <v>480</v>
      </c>
      <c r="X430" s="183" t="s">
        <v>64</v>
      </c>
      <c r="Y430" s="104" t="s">
        <v>64</v>
      </c>
      <c r="Z430" s="104" t="s">
        <v>64</v>
      </c>
      <c r="AA430" s="57" t="s">
        <v>64</v>
      </c>
      <c r="AB430" s="47" t="s">
        <v>64</v>
      </c>
      <c r="AC430" s="57">
        <v>590</v>
      </c>
      <c r="AD430" s="27" t="s">
        <v>470</v>
      </c>
      <c r="AE430" s="28">
        <f t="shared" si="88"/>
        <v>2.4770194435999997</v>
      </c>
      <c r="AF430" s="197" t="s">
        <v>470</v>
      </c>
      <c r="AG430" s="84">
        <v>590</v>
      </c>
      <c r="AH430" s="157" t="s">
        <v>469</v>
      </c>
      <c r="AI430" s="8">
        <v>1</v>
      </c>
      <c r="AJ430" s="9">
        <v>51.537300000000002</v>
      </c>
      <c r="AK430" s="9">
        <v>3.0849000000000002</v>
      </c>
      <c r="AL430" s="9">
        <v>12.6669</v>
      </c>
      <c r="AM430" s="189">
        <v>11.187918267282999</v>
      </c>
      <c r="AN430" s="9">
        <v>0.1467</v>
      </c>
      <c r="AO430" s="9">
        <v>4.8827999999999996</v>
      </c>
      <c r="AP430" s="9">
        <v>8.2157999999999998</v>
      </c>
      <c r="AQ430" s="9">
        <v>3.1206999999999998</v>
      </c>
      <c r="AR430" s="9">
        <v>1.0699000000000001</v>
      </c>
      <c r="AS430" s="9">
        <v>0.32340000000000002</v>
      </c>
      <c r="AT430" s="190">
        <v>1734.6220880000001</v>
      </c>
      <c r="AU430" s="9">
        <v>0.86403995262043598</v>
      </c>
      <c r="AV430" s="6">
        <v>337.37369371646298</v>
      </c>
      <c r="AW430" s="27" t="s">
        <v>64</v>
      </c>
      <c r="AX430" s="6">
        <v>337.37369371646298</v>
      </c>
      <c r="AY430" s="8">
        <f t="shared" si="89"/>
        <v>2.2382221621550387</v>
      </c>
      <c r="AZ430" s="9">
        <f t="shared" si="90"/>
        <v>9.1740929791720607</v>
      </c>
      <c r="BA430" s="123">
        <v>51.537300000000002</v>
      </c>
      <c r="BB430" s="121">
        <v>3.0849000000000002</v>
      </c>
      <c r="BC430" s="121">
        <v>12.6669</v>
      </c>
      <c r="BD430" s="121">
        <v>11.1898</v>
      </c>
      <c r="BE430" s="121">
        <v>0.1467</v>
      </c>
      <c r="BF430" s="121">
        <v>4.8827999999999996</v>
      </c>
      <c r="BG430" s="121">
        <v>8.2157999999999998</v>
      </c>
      <c r="BH430" s="121">
        <v>3.1206999999999998</v>
      </c>
      <c r="BI430" s="121">
        <v>1.0699000000000001</v>
      </c>
      <c r="BJ430" s="121">
        <v>0.32340000000000002</v>
      </c>
      <c r="BK430" s="121">
        <v>0.17346220880000002</v>
      </c>
      <c r="BL430" s="121">
        <f t="shared" si="93"/>
        <v>96.411662208800024</v>
      </c>
      <c r="BM430" s="121">
        <v>0.86403995262043598</v>
      </c>
      <c r="BN430" s="95">
        <v>337.37369371646298</v>
      </c>
      <c r="BO430" s="122" t="s">
        <v>64</v>
      </c>
      <c r="BP430" s="95">
        <v>337.37369371646298</v>
      </c>
      <c r="BQ430" s="194" t="s">
        <v>469</v>
      </c>
    </row>
    <row r="431" spans="12:69" ht="14.45" customHeight="1">
      <c r="L431" s="207" t="s">
        <v>483</v>
      </c>
      <c r="M431" s="763" t="s">
        <v>459</v>
      </c>
      <c r="N431" s="15" t="s">
        <v>460</v>
      </c>
      <c r="O431" s="14" t="s">
        <v>1416</v>
      </c>
      <c r="P431" s="15" t="s">
        <v>405</v>
      </c>
      <c r="Q431" s="15" t="s">
        <v>482</v>
      </c>
      <c r="R431" s="217" t="s">
        <v>64</v>
      </c>
      <c r="S431" s="193">
        <v>61.590372090802404</v>
      </c>
      <c r="T431" s="14">
        <f t="shared" si="92"/>
        <v>1109.8930800000001</v>
      </c>
      <c r="U431" s="218" t="s">
        <v>1472</v>
      </c>
      <c r="V431" s="90" t="s">
        <v>462</v>
      </c>
      <c r="W431" s="109" t="s">
        <v>480</v>
      </c>
      <c r="X431" s="183" t="s">
        <v>64</v>
      </c>
      <c r="Y431" s="104" t="s">
        <v>64</v>
      </c>
      <c r="Z431" s="104" t="s">
        <v>64</v>
      </c>
      <c r="AA431" s="57" t="s">
        <v>64</v>
      </c>
      <c r="AB431" s="47" t="s">
        <v>64</v>
      </c>
      <c r="AC431" s="57">
        <v>180</v>
      </c>
      <c r="AD431" s="27" t="s">
        <v>470</v>
      </c>
      <c r="AE431" s="28">
        <f t="shared" si="88"/>
        <v>0.78877298879999991</v>
      </c>
      <c r="AF431" s="197" t="s">
        <v>470</v>
      </c>
      <c r="AG431" s="84">
        <v>180</v>
      </c>
      <c r="AH431" s="157" t="s">
        <v>469</v>
      </c>
      <c r="AI431" s="8">
        <v>1</v>
      </c>
      <c r="AJ431" s="9">
        <v>49.615099999999998</v>
      </c>
      <c r="AK431" s="9">
        <v>4.0968</v>
      </c>
      <c r="AL431" s="9">
        <v>11.605399999999999</v>
      </c>
      <c r="AM431" s="189">
        <v>13.882465062608</v>
      </c>
      <c r="AN431" s="9">
        <v>0.18920000000000001</v>
      </c>
      <c r="AO431" s="9">
        <v>4.7708000000000004</v>
      </c>
      <c r="AP431" s="9">
        <v>8.4380000000000006</v>
      </c>
      <c r="AQ431" s="9">
        <v>2.8180999999999998</v>
      </c>
      <c r="AR431" s="9">
        <v>0.97240000000000004</v>
      </c>
      <c r="AS431" s="9">
        <v>0.50119999999999998</v>
      </c>
      <c r="AT431" s="190">
        <v>1648.5415920000003</v>
      </c>
      <c r="AU431" s="9">
        <v>0.36704791350000399</v>
      </c>
      <c r="AV431" s="6">
        <v>125.81668610051899</v>
      </c>
      <c r="AW431" s="27" t="s">
        <v>64</v>
      </c>
      <c r="AX431" s="6">
        <v>125.81668610051899</v>
      </c>
      <c r="AY431" s="8">
        <f t="shared" si="89"/>
        <v>2.7772853024263422</v>
      </c>
      <c r="AZ431" s="9">
        <f t="shared" si="90"/>
        <v>11.383621351338562</v>
      </c>
      <c r="BA431" s="123">
        <v>49.615099999999998</v>
      </c>
      <c r="BB431" s="121">
        <v>4.0968</v>
      </c>
      <c r="BC431" s="121">
        <v>11.605399999999999</v>
      </c>
      <c r="BD431" s="121">
        <v>13.8848</v>
      </c>
      <c r="BE431" s="121">
        <v>0.18920000000000001</v>
      </c>
      <c r="BF431" s="121">
        <v>4.7708000000000004</v>
      </c>
      <c r="BG431" s="121">
        <v>8.4380000000000006</v>
      </c>
      <c r="BH431" s="121">
        <v>2.8180999999999998</v>
      </c>
      <c r="BI431" s="121">
        <v>0.97240000000000004</v>
      </c>
      <c r="BJ431" s="121">
        <v>0.50119999999999998</v>
      </c>
      <c r="BK431" s="121">
        <v>0.16485415920000002</v>
      </c>
      <c r="BL431" s="121">
        <f t="shared" si="93"/>
        <v>97.056654159199994</v>
      </c>
      <c r="BM431" s="121">
        <v>0.36704791350000399</v>
      </c>
      <c r="BN431" s="95">
        <v>125.81668610051899</v>
      </c>
      <c r="BO431" s="122" t="s">
        <v>64</v>
      </c>
      <c r="BP431" s="95">
        <v>125.81668610051899</v>
      </c>
      <c r="BQ431" s="194" t="s">
        <v>469</v>
      </c>
    </row>
    <row r="432" spans="12:69" ht="14.45" customHeight="1">
      <c r="L432" s="207" t="s">
        <v>483</v>
      </c>
      <c r="M432" s="763" t="s">
        <v>459</v>
      </c>
      <c r="N432" s="15" t="s">
        <v>460</v>
      </c>
      <c r="O432" s="14" t="s">
        <v>1417</v>
      </c>
      <c r="P432" s="15" t="s">
        <v>405</v>
      </c>
      <c r="Q432" s="15" t="s">
        <v>482</v>
      </c>
      <c r="R432" s="217" t="s">
        <v>64</v>
      </c>
      <c r="S432" s="193">
        <v>60.8349872364617</v>
      </c>
      <c r="T432" s="14">
        <f t="shared" si="92"/>
        <v>1108.38357</v>
      </c>
      <c r="U432" s="218" t="s">
        <v>1472</v>
      </c>
      <c r="V432" s="90" t="s">
        <v>462</v>
      </c>
      <c r="W432" s="109" t="s">
        <v>480</v>
      </c>
      <c r="X432" s="183" t="s">
        <v>64</v>
      </c>
      <c r="Y432" s="104" t="s">
        <v>64</v>
      </c>
      <c r="Z432" s="104" t="s">
        <v>64</v>
      </c>
      <c r="AA432" s="57" t="s">
        <v>64</v>
      </c>
      <c r="AB432" s="47" t="s">
        <v>64</v>
      </c>
      <c r="AC432" s="57">
        <v>540</v>
      </c>
      <c r="AD432" s="27" t="s">
        <v>470</v>
      </c>
      <c r="AE432" s="28">
        <f t="shared" si="88"/>
        <v>2.2785372576</v>
      </c>
      <c r="AF432" s="197" t="s">
        <v>470</v>
      </c>
      <c r="AG432" s="84">
        <v>540</v>
      </c>
      <c r="AH432" s="157" t="s">
        <v>469</v>
      </c>
      <c r="AI432" s="8">
        <v>1</v>
      </c>
      <c r="AJ432" s="9">
        <v>50.893599999999999</v>
      </c>
      <c r="AK432" s="9">
        <v>3.7616999999999998</v>
      </c>
      <c r="AL432" s="9">
        <v>12.3401</v>
      </c>
      <c r="AM432" s="189">
        <v>11.672036841789998</v>
      </c>
      <c r="AN432" s="9">
        <v>0.22320000000000001</v>
      </c>
      <c r="AO432" s="9">
        <v>4.6957000000000004</v>
      </c>
      <c r="AP432" s="9">
        <v>8.2086000000000006</v>
      </c>
      <c r="AQ432" s="9">
        <v>3.0550999999999999</v>
      </c>
      <c r="AR432" s="9">
        <v>0.97060000000000002</v>
      </c>
      <c r="AS432" s="9">
        <v>0.53410000000000002</v>
      </c>
      <c r="AT432" s="190">
        <v>1520.4217839999999</v>
      </c>
      <c r="AU432" s="9">
        <v>0.86137921580492305</v>
      </c>
      <c r="AV432" s="6">
        <v>315.978699200226</v>
      </c>
      <c r="AW432" s="27" t="s">
        <v>64</v>
      </c>
      <c r="AX432" s="6">
        <v>315.978699200226</v>
      </c>
      <c r="AY432" s="8">
        <f t="shared" si="89"/>
        <v>2.3350735063180683</v>
      </c>
      <c r="AZ432" s="9">
        <f t="shared" si="90"/>
        <v>9.5710702102677985</v>
      </c>
      <c r="BA432" s="123">
        <v>50.893599999999999</v>
      </c>
      <c r="BB432" s="121">
        <v>3.7616999999999998</v>
      </c>
      <c r="BC432" s="121">
        <v>12.3401</v>
      </c>
      <c r="BD432" s="121">
        <v>11.673999999999999</v>
      </c>
      <c r="BE432" s="121">
        <v>0.22320000000000001</v>
      </c>
      <c r="BF432" s="121">
        <v>4.6957000000000004</v>
      </c>
      <c r="BG432" s="121">
        <v>8.2086000000000006</v>
      </c>
      <c r="BH432" s="121">
        <v>3.0550999999999999</v>
      </c>
      <c r="BI432" s="121">
        <v>0.97060000000000002</v>
      </c>
      <c r="BJ432" s="121">
        <v>0.53410000000000002</v>
      </c>
      <c r="BK432" s="121">
        <v>0.15204217839999998</v>
      </c>
      <c r="BL432" s="121">
        <f t="shared" si="93"/>
        <v>96.508742178399999</v>
      </c>
      <c r="BM432" s="121">
        <v>0.86137921580492305</v>
      </c>
      <c r="BN432" s="95">
        <v>315.978699200226</v>
      </c>
      <c r="BO432" s="122" t="s">
        <v>64</v>
      </c>
      <c r="BP432" s="95">
        <v>315.978699200226</v>
      </c>
      <c r="BQ432" s="194" t="s">
        <v>469</v>
      </c>
    </row>
    <row r="433" spans="12:69" ht="14.45" customHeight="1">
      <c r="L433" s="207" t="s">
        <v>483</v>
      </c>
      <c r="M433" s="763" t="s">
        <v>459</v>
      </c>
      <c r="N433" s="15" t="s">
        <v>460</v>
      </c>
      <c r="O433" s="14" t="s">
        <v>1418</v>
      </c>
      <c r="P433" s="15" t="s">
        <v>405</v>
      </c>
      <c r="Q433" s="15" t="s">
        <v>482</v>
      </c>
      <c r="R433" s="217" t="s">
        <v>64</v>
      </c>
      <c r="S433" s="193">
        <v>63.862904623589799</v>
      </c>
      <c r="T433" s="14">
        <f t="shared" si="92"/>
        <v>1114.0316700000001</v>
      </c>
      <c r="U433" s="218" t="s">
        <v>1472</v>
      </c>
      <c r="V433" s="90" t="s">
        <v>462</v>
      </c>
      <c r="W433" s="109" t="s">
        <v>480</v>
      </c>
      <c r="X433" s="183" t="s">
        <v>64</v>
      </c>
      <c r="Y433" s="104" t="s">
        <v>64</v>
      </c>
      <c r="Z433" s="104" t="s">
        <v>64</v>
      </c>
      <c r="AA433" s="57" t="s">
        <v>64</v>
      </c>
      <c r="AB433" s="47" t="s">
        <v>64</v>
      </c>
      <c r="AC433" s="57">
        <v>560</v>
      </c>
      <c r="AD433" s="27" t="s">
        <v>470</v>
      </c>
      <c r="AE433" s="28">
        <f t="shared" si="88"/>
        <v>2.3581612544000001</v>
      </c>
      <c r="AF433" s="197" t="s">
        <v>470</v>
      </c>
      <c r="AG433" s="84">
        <v>560</v>
      </c>
      <c r="AH433" s="157" t="s">
        <v>469</v>
      </c>
      <c r="AI433" s="8">
        <v>1</v>
      </c>
      <c r="AJ433" s="9">
        <v>50.067100000000003</v>
      </c>
      <c r="AK433" s="9">
        <v>3.8252999999999999</v>
      </c>
      <c r="AL433" s="9">
        <v>12.4397</v>
      </c>
      <c r="AM433" s="189">
        <v>11.9254942119625</v>
      </c>
      <c r="AN433" s="9">
        <v>0.17</v>
      </c>
      <c r="AO433" s="9">
        <v>4.9767000000000001</v>
      </c>
      <c r="AP433" s="9">
        <v>8.1870999999999992</v>
      </c>
      <c r="AQ433" s="9">
        <v>3.0804</v>
      </c>
      <c r="AR433" s="9">
        <v>0.91449999999999998</v>
      </c>
      <c r="AS433" s="9">
        <v>0.34229999999999999</v>
      </c>
      <c r="AT433" s="190">
        <v>1697.5874560000002</v>
      </c>
      <c r="AU433" s="9">
        <v>0.77446976700671399</v>
      </c>
      <c r="AV433" s="6">
        <v>344.77987042386201</v>
      </c>
      <c r="AW433" s="27" t="s">
        <v>64</v>
      </c>
      <c r="AX433" s="6">
        <v>344.77987042386201</v>
      </c>
      <c r="AY433" s="8">
        <f t="shared" si="89"/>
        <v>2.3857794454864454</v>
      </c>
      <c r="AZ433" s="9">
        <f t="shared" si="90"/>
        <v>9.7789052538092491</v>
      </c>
      <c r="BA433" s="123">
        <v>50.067100000000003</v>
      </c>
      <c r="BB433" s="121">
        <v>3.8252999999999999</v>
      </c>
      <c r="BC433" s="121">
        <v>12.4397</v>
      </c>
      <c r="BD433" s="121">
        <v>11.9275</v>
      </c>
      <c r="BE433" s="121">
        <v>0.17</v>
      </c>
      <c r="BF433" s="121">
        <v>4.9767000000000001</v>
      </c>
      <c r="BG433" s="121">
        <v>8.1870999999999992</v>
      </c>
      <c r="BH433" s="121">
        <v>3.0804</v>
      </c>
      <c r="BI433" s="121">
        <v>0.91449999999999998</v>
      </c>
      <c r="BJ433" s="121">
        <v>0.34229999999999999</v>
      </c>
      <c r="BK433" s="121">
        <v>0.16975874560000001</v>
      </c>
      <c r="BL433" s="121">
        <f t="shared" si="93"/>
        <v>96.100358745599991</v>
      </c>
      <c r="BM433" s="121">
        <v>0.77446976700671399</v>
      </c>
      <c r="BN433" s="95">
        <v>344.77987042386201</v>
      </c>
      <c r="BO433" s="122" t="s">
        <v>64</v>
      </c>
      <c r="BP433" s="95">
        <v>344.77987042386201</v>
      </c>
      <c r="BQ433" s="194" t="s">
        <v>469</v>
      </c>
    </row>
    <row r="434" spans="12:69" ht="14.45" customHeight="1">
      <c r="L434" s="207" t="s">
        <v>483</v>
      </c>
      <c r="M434" s="763" t="s">
        <v>459</v>
      </c>
      <c r="N434" s="15" t="s">
        <v>460</v>
      </c>
      <c r="O434" s="14" t="s">
        <v>1419</v>
      </c>
      <c r="P434" s="15" t="s">
        <v>405</v>
      </c>
      <c r="Q434" s="15" t="s">
        <v>482</v>
      </c>
      <c r="R434" s="217" t="s">
        <v>64</v>
      </c>
      <c r="S434" s="193">
        <v>55.285917351515998</v>
      </c>
      <c r="T434" s="14">
        <f t="shared" si="92"/>
        <v>1065.0942</v>
      </c>
      <c r="U434" s="27" t="s">
        <v>300</v>
      </c>
      <c r="V434" s="90" t="s">
        <v>64</v>
      </c>
      <c r="W434" s="109" t="s">
        <v>64</v>
      </c>
      <c r="X434" s="183" t="s">
        <v>64</v>
      </c>
      <c r="Y434" s="104" t="s">
        <v>64</v>
      </c>
      <c r="Z434" s="104" t="s">
        <v>64</v>
      </c>
      <c r="AA434" s="57" t="s">
        <v>64</v>
      </c>
      <c r="AB434" s="47" t="s">
        <v>64</v>
      </c>
      <c r="AC434" s="57">
        <v>400</v>
      </c>
      <c r="AD434" s="27" t="s">
        <v>470</v>
      </c>
      <c r="AE434" s="28">
        <f t="shared" si="88"/>
        <v>1.7122496</v>
      </c>
      <c r="AF434" s="197" t="s">
        <v>470</v>
      </c>
      <c r="AG434" s="84">
        <v>400</v>
      </c>
      <c r="AH434" s="157" t="s">
        <v>469</v>
      </c>
      <c r="AI434" s="8">
        <v>1</v>
      </c>
      <c r="AJ434" s="9">
        <v>55.778500000000001</v>
      </c>
      <c r="AK434" s="9">
        <v>2.2837999999999998</v>
      </c>
      <c r="AL434" s="9">
        <v>13.2454</v>
      </c>
      <c r="AM434" s="189">
        <v>10.45624133043</v>
      </c>
      <c r="AN434" s="9">
        <v>0.1714</v>
      </c>
      <c r="AO434" s="9">
        <v>2.5419999999999998</v>
      </c>
      <c r="AP434" s="9">
        <v>5.9355000000000002</v>
      </c>
      <c r="AQ434" s="9">
        <v>3.5804</v>
      </c>
      <c r="AR434" s="9">
        <v>1.6637999999999999</v>
      </c>
      <c r="AS434" s="9">
        <v>0.95740000000000003</v>
      </c>
      <c r="AT434" s="190">
        <v>872.31572399999993</v>
      </c>
      <c r="AU434" s="9">
        <v>1.3072822513617901</v>
      </c>
      <c r="AV434" s="6">
        <v>135.13198482021099</v>
      </c>
      <c r="AW434" s="27" t="s">
        <v>64</v>
      </c>
      <c r="AX434" s="6">
        <v>135.13198482021099</v>
      </c>
      <c r="AY434" s="8">
        <f t="shared" si="89"/>
        <v>2.091845017052798</v>
      </c>
      <c r="AZ434" s="9">
        <f t="shared" si="90"/>
        <v>8.5741178909526017</v>
      </c>
      <c r="BA434" s="123">
        <v>55.778500000000001</v>
      </c>
      <c r="BB434" s="121">
        <v>2.2837999999999998</v>
      </c>
      <c r="BC434" s="121">
        <v>13.2454</v>
      </c>
      <c r="BD434" s="121">
        <v>10.458</v>
      </c>
      <c r="BE434" s="121">
        <v>0.1714</v>
      </c>
      <c r="BF434" s="121">
        <v>2.5419999999999998</v>
      </c>
      <c r="BG434" s="121">
        <v>5.9355000000000002</v>
      </c>
      <c r="BH434" s="121">
        <v>3.5804</v>
      </c>
      <c r="BI434" s="121">
        <v>1.6637999999999999</v>
      </c>
      <c r="BJ434" s="121">
        <v>0.95740000000000003</v>
      </c>
      <c r="BK434" s="121">
        <v>8.7231572399999999E-2</v>
      </c>
      <c r="BL434" s="121">
        <f t="shared" si="93"/>
        <v>96.703431572400007</v>
      </c>
      <c r="BM434" s="121">
        <v>1.3072822513617901</v>
      </c>
      <c r="BN434" s="95">
        <v>135.13198482021099</v>
      </c>
      <c r="BO434" s="122" t="s">
        <v>64</v>
      </c>
      <c r="BP434" s="95">
        <v>135.13198482021099</v>
      </c>
      <c r="BQ434" s="194" t="s">
        <v>469</v>
      </c>
    </row>
    <row r="435" spans="12:69" ht="14.45" customHeight="1">
      <c r="L435" s="207" t="s">
        <v>483</v>
      </c>
      <c r="M435" s="763" t="s">
        <v>459</v>
      </c>
      <c r="N435" s="15" t="s">
        <v>460</v>
      </c>
      <c r="O435" s="14" t="s">
        <v>1420</v>
      </c>
      <c r="P435" s="15" t="s">
        <v>405</v>
      </c>
      <c r="Q435" s="15" t="s">
        <v>482</v>
      </c>
      <c r="R435" s="217" t="s">
        <v>64</v>
      </c>
      <c r="S435" s="193">
        <v>51.562282283684304</v>
      </c>
      <c r="T435" s="14">
        <f t="shared" si="92"/>
        <v>1063.07817</v>
      </c>
      <c r="U435" s="27" t="s">
        <v>300</v>
      </c>
      <c r="V435" s="90" t="s">
        <v>64</v>
      </c>
      <c r="W435" s="109" t="s">
        <v>64</v>
      </c>
      <c r="X435" s="183" t="s">
        <v>64</v>
      </c>
      <c r="Y435" s="104" t="s">
        <v>64</v>
      </c>
      <c r="Z435" s="104" t="s">
        <v>64</v>
      </c>
      <c r="AA435" s="57" t="s">
        <v>64</v>
      </c>
      <c r="AB435" s="47" t="s">
        <v>64</v>
      </c>
      <c r="AC435" s="57">
        <v>1390</v>
      </c>
      <c r="AD435" s="27" t="s">
        <v>470</v>
      </c>
      <c r="AE435" s="28">
        <f t="shared" si="88"/>
        <v>5.4294006595999997</v>
      </c>
      <c r="AF435" s="197" t="s">
        <v>470</v>
      </c>
      <c r="AG435" s="84">
        <v>1390</v>
      </c>
      <c r="AH435" s="157" t="s">
        <v>469</v>
      </c>
      <c r="AI435" s="8">
        <v>1</v>
      </c>
      <c r="AJ435" s="9">
        <v>55.797400000000003</v>
      </c>
      <c r="AK435" s="9">
        <v>2.2408999999999999</v>
      </c>
      <c r="AL435" s="9">
        <v>13.162599999999999</v>
      </c>
      <c r="AM435" s="189">
        <v>9.9768219655475008</v>
      </c>
      <c r="AN435" s="9">
        <v>0.1371</v>
      </c>
      <c r="AO435" s="9">
        <v>2.4417</v>
      </c>
      <c r="AP435" s="9">
        <v>5.6746999999999996</v>
      </c>
      <c r="AQ435" s="9">
        <v>4.0648999999999997</v>
      </c>
      <c r="AR435" s="9">
        <v>1.6311</v>
      </c>
      <c r="AS435" s="9">
        <v>0.83689999999999998</v>
      </c>
      <c r="AT435" s="190">
        <v>873.31666000000007</v>
      </c>
      <c r="AU435" s="9">
        <v>1.28546824807291</v>
      </c>
      <c r="AV435" s="6">
        <v>774.41389138384091</v>
      </c>
      <c r="AW435" s="27" t="s">
        <v>64</v>
      </c>
      <c r="AX435" s="6">
        <v>774.41389138384091</v>
      </c>
      <c r="AY435" s="8">
        <f t="shared" si="89"/>
        <v>1.9959337830045272</v>
      </c>
      <c r="AZ435" s="9">
        <f t="shared" si="90"/>
        <v>8.1809940117489504</v>
      </c>
      <c r="BA435" s="123">
        <v>55.797400000000003</v>
      </c>
      <c r="BB435" s="121">
        <v>2.2408999999999999</v>
      </c>
      <c r="BC435" s="121">
        <v>13.162599999999999</v>
      </c>
      <c r="BD435" s="121">
        <v>9.9785000000000004</v>
      </c>
      <c r="BE435" s="121">
        <v>0.1371</v>
      </c>
      <c r="BF435" s="121">
        <v>2.4417</v>
      </c>
      <c r="BG435" s="121">
        <v>5.6746999999999996</v>
      </c>
      <c r="BH435" s="121">
        <v>4.0648999999999997</v>
      </c>
      <c r="BI435" s="121">
        <v>1.6311</v>
      </c>
      <c r="BJ435" s="121">
        <v>0.83689999999999998</v>
      </c>
      <c r="BK435" s="121">
        <v>8.7331666000000002E-2</v>
      </c>
      <c r="BL435" s="121">
        <f t="shared" si="93"/>
        <v>96.053131665999999</v>
      </c>
      <c r="BM435" s="121">
        <v>1.28546824807291</v>
      </c>
      <c r="BN435" s="95">
        <v>774.41389138384102</v>
      </c>
      <c r="BO435" s="122" t="s">
        <v>64</v>
      </c>
      <c r="BP435" s="95">
        <v>774.41389138384102</v>
      </c>
      <c r="BQ435" s="194" t="s">
        <v>469</v>
      </c>
    </row>
    <row r="436" spans="12:69" ht="14.45" customHeight="1">
      <c r="L436" s="207" t="s">
        <v>483</v>
      </c>
      <c r="M436" s="763" t="s">
        <v>459</v>
      </c>
      <c r="N436" s="15" t="s">
        <v>460</v>
      </c>
      <c r="O436" s="14" t="s">
        <v>1421</v>
      </c>
      <c r="P436" s="15" t="s">
        <v>405</v>
      </c>
      <c r="Q436" s="15" t="s">
        <v>482</v>
      </c>
      <c r="R436" s="217" t="s">
        <v>64</v>
      </c>
      <c r="S436" s="193">
        <v>50.183939247195696</v>
      </c>
      <c r="T436" s="14">
        <f t="shared" si="92"/>
        <v>1046.48964</v>
      </c>
      <c r="U436" s="27" t="s">
        <v>300</v>
      </c>
      <c r="V436" s="90" t="s">
        <v>64</v>
      </c>
      <c r="W436" s="109" t="s">
        <v>64</v>
      </c>
      <c r="X436" s="183" t="s">
        <v>64</v>
      </c>
      <c r="Y436" s="104" t="s">
        <v>64</v>
      </c>
      <c r="Z436" s="104" t="s">
        <v>64</v>
      </c>
      <c r="AA436" s="57" t="s">
        <v>64</v>
      </c>
      <c r="AB436" s="47" t="s">
        <v>64</v>
      </c>
      <c r="AC436" s="57">
        <v>550</v>
      </c>
      <c r="AD436" s="27" t="s">
        <v>470</v>
      </c>
      <c r="AE436" s="28">
        <f t="shared" si="88"/>
        <v>2.3183880499999998</v>
      </c>
      <c r="AF436" s="197" t="s">
        <v>470</v>
      </c>
      <c r="AG436" s="84">
        <v>550</v>
      </c>
      <c r="AH436" s="157" t="s">
        <v>469</v>
      </c>
      <c r="AI436" s="8">
        <v>1</v>
      </c>
      <c r="AJ436" s="9">
        <v>59.245800000000003</v>
      </c>
      <c r="AK436" s="9">
        <v>1.5612999999999999</v>
      </c>
      <c r="AL436" s="9">
        <v>13.493600000000001</v>
      </c>
      <c r="AM436" s="189">
        <v>8.3530950655074996</v>
      </c>
      <c r="AN436" s="9">
        <v>0.18340000000000001</v>
      </c>
      <c r="AO436" s="9">
        <v>1.6164000000000001</v>
      </c>
      <c r="AP436" s="9">
        <v>4.8299000000000003</v>
      </c>
      <c r="AQ436" s="9">
        <v>4.6753999999999998</v>
      </c>
      <c r="AR436" s="9">
        <v>1.7767999999999999</v>
      </c>
      <c r="AS436" s="9">
        <v>0.53969999999999996</v>
      </c>
      <c r="AT436" s="190">
        <v>573.03585999999996</v>
      </c>
      <c r="AU436" s="9">
        <v>1.09865459699706</v>
      </c>
      <c r="AV436" s="6">
        <v>248.11862252265999</v>
      </c>
      <c r="AW436" s="27" t="s">
        <v>64</v>
      </c>
      <c r="AX436" s="6">
        <v>248.11862252265999</v>
      </c>
      <c r="AY436" s="8">
        <f t="shared" si="89"/>
        <v>1.6710957348410402</v>
      </c>
      <c r="AZ436" s="9">
        <f t="shared" si="90"/>
        <v>6.8495379537161503</v>
      </c>
      <c r="BA436" s="123">
        <v>59.245800000000003</v>
      </c>
      <c r="BB436" s="121">
        <v>1.5612999999999999</v>
      </c>
      <c r="BC436" s="121">
        <v>13.493600000000001</v>
      </c>
      <c r="BD436" s="121">
        <v>8.3544999999999998</v>
      </c>
      <c r="BE436" s="121">
        <v>0.18340000000000001</v>
      </c>
      <c r="BF436" s="121">
        <v>1.6164000000000001</v>
      </c>
      <c r="BG436" s="121">
        <v>4.8299000000000003</v>
      </c>
      <c r="BH436" s="121">
        <v>4.6753999999999998</v>
      </c>
      <c r="BI436" s="121">
        <v>1.7767999999999999</v>
      </c>
      <c r="BJ436" s="121">
        <v>0.53969999999999996</v>
      </c>
      <c r="BK436" s="121">
        <v>5.7303585999999997E-2</v>
      </c>
      <c r="BL436" s="121">
        <f t="shared" si="93"/>
        <v>96.334103585999998</v>
      </c>
      <c r="BM436" s="121">
        <v>1.09865459699706</v>
      </c>
      <c r="BN436" s="95">
        <v>248.11862252265999</v>
      </c>
      <c r="BO436" s="122" t="s">
        <v>64</v>
      </c>
      <c r="BP436" s="95">
        <v>248.11862252265999</v>
      </c>
      <c r="BQ436" s="194" t="s">
        <v>469</v>
      </c>
    </row>
    <row r="437" spans="12:69" ht="14.45" customHeight="1">
      <c r="L437" s="207" t="s">
        <v>483</v>
      </c>
      <c r="M437" s="763" t="s">
        <v>459</v>
      </c>
      <c r="N437" s="15" t="s">
        <v>460</v>
      </c>
      <c r="O437" s="14" t="s">
        <v>1422</v>
      </c>
      <c r="P437" s="15" t="s">
        <v>405</v>
      </c>
      <c r="Q437" s="15" t="s">
        <v>482</v>
      </c>
      <c r="R437" s="217" t="s">
        <v>64</v>
      </c>
      <c r="S437" s="193">
        <v>48.197947394407301</v>
      </c>
      <c r="T437" s="14">
        <f t="shared" si="92"/>
        <v>1033.31007</v>
      </c>
      <c r="U437" s="27" t="s">
        <v>300</v>
      </c>
      <c r="V437" s="90" t="s">
        <v>64</v>
      </c>
      <c r="W437" s="109" t="s">
        <v>64</v>
      </c>
      <c r="X437" s="183" t="s">
        <v>64</v>
      </c>
      <c r="Y437" s="104" t="s">
        <v>64</v>
      </c>
      <c r="Z437" s="104" t="s">
        <v>64</v>
      </c>
      <c r="AA437" s="57" t="s">
        <v>64</v>
      </c>
      <c r="AB437" s="47" t="s">
        <v>64</v>
      </c>
      <c r="AC437" s="57">
        <v>590</v>
      </c>
      <c r="AD437" s="27" t="s">
        <v>470</v>
      </c>
      <c r="AE437" s="28">
        <f t="shared" si="88"/>
        <v>2.4770194435999997</v>
      </c>
      <c r="AF437" s="197" t="s">
        <v>470</v>
      </c>
      <c r="AG437" s="84">
        <v>590</v>
      </c>
      <c r="AH437" s="157" t="s">
        <v>469</v>
      </c>
      <c r="AI437" s="8">
        <v>1</v>
      </c>
      <c r="AJ437" s="9">
        <v>62.058300000000003</v>
      </c>
      <c r="AK437" s="9">
        <v>0.98650000000000004</v>
      </c>
      <c r="AL437" s="9">
        <v>14.1275</v>
      </c>
      <c r="AM437" s="189">
        <v>6.865945194128499</v>
      </c>
      <c r="AN437" s="9">
        <v>0.1192</v>
      </c>
      <c r="AO437" s="9">
        <v>0.9607</v>
      </c>
      <c r="AP437" s="9">
        <v>4.2119</v>
      </c>
      <c r="AQ437" s="9">
        <v>4.8288000000000002</v>
      </c>
      <c r="AR437" s="9">
        <v>1.9837</v>
      </c>
      <c r="AS437" s="9">
        <v>0.32329999999999998</v>
      </c>
      <c r="AT437" s="190">
        <v>344.822452</v>
      </c>
      <c r="AU437" s="9">
        <v>1.61193878807862</v>
      </c>
      <c r="AV437" s="6">
        <v>190.51297551147599</v>
      </c>
      <c r="AW437" s="27" t="s">
        <v>64</v>
      </c>
      <c r="AX437" s="6">
        <v>190.51297551147599</v>
      </c>
      <c r="AY437" s="8">
        <f t="shared" si="89"/>
        <v>1.3735808870341617</v>
      </c>
      <c r="AZ437" s="9">
        <f t="shared" si="90"/>
        <v>5.6300750591853692</v>
      </c>
      <c r="BA437" s="123">
        <v>62.058300000000003</v>
      </c>
      <c r="BB437" s="121">
        <v>0.98650000000000004</v>
      </c>
      <c r="BC437" s="121">
        <v>14.1275</v>
      </c>
      <c r="BD437" s="121">
        <v>6.8670999999999998</v>
      </c>
      <c r="BE437" s="121">
        <v>0.1192</v>
      </c>
      <c r="BF437" s="121">
        <v>0.9607</v>
      </c>
      <c r="BG437" s="121">
        <v>4.2119</v>
      </c>
      <c r="BH437" s="121">
        <v>4.8288000000000002</v>
      </c>
      <c r="BI437" s="121">
        <v>1.9837</v>
      </c>
      <c r="BJ437" s="121">
        <v>0.32329999999999998</v>
      </c>
      <c r="BK437" s="121">
        <v>3.4482245199999997E-2</v>
      </c>
      <c r="BL437" s="121">
        <f t="shared" si="93"/>
        <v>96.501482245200009</v>
      </c>
      <c r="BM437" s="121">
        <v>1.61193878807862</v>
      </c>
      <c r="BN437" s="95">
        <v>190.51297551147599</v>
      </c>
      <c r="BO437" s="122" t="s">
        <v>64</v>
      </c>
      <c r="BP437" s="95">
        <v>190.51297551147599</v>
      </c>
      <c r="BQ437" s="194" t="s">
        <v>469</v>
      </c>
    </row>
    <row r="438" spans="12:69" ht="14.45" customHeight="1">
      <c r="L438" s="207" t="s">
        <v>483</v>
      </c>
      <c r="M438" s="763" t="s">
        <v>459</v>
      </c>
      <c r="N438" s="15" t="s">
        <v>460</v>
      </c>
      <c r="O438" s="14" t="s">
        <v>1423</v>
      </c>
      <c r="P438" s="15" t="s">
        <v>405</v>
      </c>
      <c r="Q438" s="15" t="s">
        <v>482</v>
      </c>
      <c r="R438" s="217" t="s">
        <v>64</v>
      </c>
      <c r="S438" s="193">
        <v>47.9925157432464</v>
      </c>
      <c r="T438" s="14">
        <f t="shared" si="92"/>
        <v>1033.79448</v>
      </c>
      <c r="U438" s="27" t="s">
        <v>300</v>
      </c>
      <c r="V438" s="90" t="s">
        <v>64</v>
      </c>
      <c r="W438" s="109" t="s">
        <v>64</v>
      </c>
      <c r="X438" s="183" t="s">
        <v>64</v>
      </c>
      <c r="Y438" s="104" t="s">
        <v>64</v>
      </c>
      <c r="Z438" s="104" t="s">
        <v>64</v>
      </c>
      <c r="AA438" s="57" t="s">
        <v>64</v>
      </c>
      <c r="AB438" s="47" t="s">
        <v>64</v>
      </c>
      <c r="AC438" s="57">
        <v>500</v>
      </c>
      <c r="AD438" s="27" t="s">
        <v>470</v>
      </c>
      <c r="AE438" s="28">
        <f t="shared" si="88"/>
        <v>2.11835</v>
      </c>
      <c r="AF438" s="197" t="s">
        <v>470</v>
      </c>
      <c r="AG438" s="84">
        <v>500</v>
      </c>
      <c r="AH438" s="157" t="s">
        <v>469</v>
      </c>
      <c r="AI438" s="8">
        <v>1</v>
      </c>
      <c r="AJ438" s="9">
        <v>62.436900000000001</v>
      </c>
      <c r="AK438" s="9">
        <v>1.0199</v>
      </c>
      <c r="AL438" s="9">
        <v>14.166600000000001</v>
      </c>
      <c r="AM438" s="189">
        <v>6.9178364663649994</v>
      </c>
      <c r="AN438" s="9">
        <v>0.19350000000000001</v>
      </c>
      <c r="AO438" s="9">
        <v>0.98480000000000001</v>
      </c>
      <c r="AP438" s="9">
        <v>4.3220999999999998</v>
      </c>
      <c r="AQ438" s="9">
        <v>4.7805999999999997</v>
      </c>
      <c r="AR438" s="9">
        <v>2.0146999999999999</v>
      </c>
      <c r="AS438" s="9">
        <v>0.32279999999999998</v>
      </c>
      <c r="AT438" s="190">
        <v>333.81215600000002</v>
      </c>
      <c r="AU438" s="9">
        <v>1.6838164288129001</v>
      </c>
      <c r="AV438" s="6">
        <v>133.45865998673801</v>
      </c>
      <c r="AW438" s="27" t="s">
        <v>64</v>
      </c>
      <c r="AX438" s="6">
        <v>133.45865998673801</v>
      </c>
      <c r="AY438" s="8">
        <f t="shared" si="89"/>
        <v>1.3839621029822438</v>
      </c>
      <c r="AZ438" s="9">
        <f t="shared" si="90"/>
        <v>5.6726259024192993</v>
      </c>
      <c r="BA438" s="123">
        <v>62.436900000000001</v>
      </c>
      <c r="BB438" s="121">
        <v>1.0199</v>
      </c>
      <c r="BC438" s="121">
        <v>14.166600000000001</v>
      </c>
      <c r="BD438" s="121">
        <v>6.9189999999999996</v>
      </c>
      <c r="BE438" s="121">
        <v>0.19350000000000001</v>
      </c>
      <c r="BF438" s="121">
        <v>0.98480000000000001</v>
      </c>
      <c r="BG438" s="121">
        <v>4.3220999999999998</v>
      </c>
      <c r="BH438" s="121">
        <v>4.7805999999999997</v>
      </c>
      <c r="BI438" s="121">
        <v>2.0146999999999999</v>
      </c>
      <c r="BJ438" s="121">
        <v>0.32279999999999998</v>
      </c>
      <c r="BK438" s="121">
        <v>3.33812156E-2</v>
      </c>
      <c r="BL438" s="121">
        <f t="shared" si="93"/>
        <v>97.194281215600029</v>
      </c>
      <c r="BM438" s="121">
        <v>1.6838164288129001</v>
      </c>
      <c r="BN438" s="95">
        <v>133.45865998673801</v>
      </c>
      <c r="BO438" s="122" t="s">
        <v>64</v>
      </c>
      <c r="BP438" s="95">
        <v>133.45865998673801</v>
      </c>
      <c r="BQ438" s="194" t="s">
        <v>469</v>
      </c>
    </row>
    <row r="439" spans="12:69" ht="14.45" customHeight="1">
      <c r="L439" s="207" t="s">
        <v>483</v>
      </c>
      <c r="M439" s="763" t="s">
        <v>459</v>
      </c>
      <c r="N439" s="15" t="s">
        <v>460</v>
      </c>
      <c r="O439" s="14" t="s">
        <v>1424</v>
      </c>
      <c r="P439" s="15" t="s">
        <v>405</v>
      </c>
      <c r="Q439" s="15" t="s">
        <v>482</v>
      </c>
      <c r="R439" s="217" t="s">
        <v>64</v>
      </c>
      <c r="S439" s="193">
        <v>51.045479485243398</v>
      </c>
      <c r="T439" s="14">
        <f t="shared" si="92"/>
        <v>1053.76584</v>
      </c>
      <c r="U439" s="27" t="s">
        <v>300</v>
      </c>
      <c r="V439" s="90" t="s">
        <v>64</v>
      </c>
      <c r="W439" s="109" t="s">
        <v>64</v>
      </c>
      <c r="X439" s="183" t="s">
        <v>64</v>
      </c>
      <c r="Y439" s="104" t="s">
        <v>64</v>
      </c>
      <c r="Z439" s="104" t="s">
        <v>64</v>
      </c>
      <c r="AA439" s="57" t="s">
        <v>64</v>
      </c>
      <c r="AB439" s="47" t="s">
        <v>64</v>
      </c>
      <c r="AC439" s="57">
        <v>490</v>
      </c>
      <c r="AD439" s="27" t="s">
        <v>470</v>
      </c>
      <c r="AE439" s="28">
        <f t="shared" si="88"/>
        <v>2.0781051115999998</v>
      </c>
      <c r="AF439" s="197" t="s">
        <v>470</v>
      </c>
      <c r="AG439" s="84">
        <v>490</v>
      </c>
      <c r="AH439" s="157" t="s">
        <v>469</v>
      </c>
      <c r="AI439" s="8">
        <v>1</v>
      </c>
      <c r="AJ439" s="9">
        <v>59.6295</v>
      </c>
      <c r="AK439" s="9">
        <v>1.4688000000000001</v>
      </c>
      <c r="AL439" s="9">
        <v>13.364699999999999</v>
      </c>
      <c r="AM439" s="189">
        <v>8.4408803006204991</v>
      </c>
      <c r="AN439" s="9">
        <v>0.18509999999999999</v>
      </c>
      <c r="AO439" s="9">
        <v>1.9783999999999999</v>
      </c>
      <c r="AP439" s="9">
        <v>4.9389000000000003</v>
      </c>
      <c r="AQ439" s="9">
        <v>4.8131000000000004</v>
      </c>
      <c r="AR439" s="9">
        <v>2.2395</v>
      </c>
      <c r="AS439" s="9">
        <v>0.73050000000000004</v>
      </c>
      <c r="AT439" s="190">
        <v>491.45957600000003</v>
      </c>
      <c r="AU439" s="9">
        <v>0.79575801165820803</v>
      </c>
      <c r="AV439" s="6">
        <v>245.56886793468601</v>
      </c>
      <c r="AW439" s="27" t="s">
        <v>64</v>
      </c>
      <c r="AX439" s="6">
        <v>245.56886793468601</v>
      </c>
      <c r="AY439" s="8">
        <f t="shared" si="89"/>
        <v>1.68865779187845</v>
      </c>
      <c r="AZ439" s="9">
        <f t="shared" si="90"/>
        <v>6.9215218465088091</v>
      </c>
      <c r="BA439" s="123">
        <v>59.6295</v>
      </c>
      <c r="BB439" s="121">
        <v>1.4688000000000001</v>
      </c>
      <c r="BC439" s="121">
        <v>13.364699999999999</v>
      </c>
      <c r="BD439" s="121">
        <v>8.4422999999999995</v>
      </c>
      <c r="BE439" s="121">
        <v>0.18509999999999999</v>
      </c>
      <c r="BF439" s="121">
        <v>1.9783999999999999</v>
      </c>
      <c r="BG439" s="121">
        <v>4.9389000000000003</v>
      </c>
      <c r="BH439" s="121">
        <v>4.8131000000000004</v>
      </c>
      <c r="BI439" s="121">
        <v>2.2395</v>
      </c>
      <c r="BJ439" s="121">
        <v>0.73050000000000004</v>
      </c>
      <c r="BK439" s="121">
        <v>4.9145957600000005E-2</v>
      </c>
      <c r="BL439" s="121">
        <f t="shared" si="93"/>
        <v>97.839945957600023</v>
      </c>
      <c r="BM439" s="121">
        <v>0.79575801165820803</v>
      </c>
      <c r="BN439" s="95">
        <v>245.56886793468601</v>
      </c>
      <c r="BO439" s="122" t="s">
        <v>64</v>
      </c>
      <c r="BP439" s="95">
        <v>245.56886793468601</v>
      </c>
      <c r="BQ439" s="194" t="s">
        <v>469</v>
      </c>
    </row>
    <row r="440" spans="12:69" ht="14.45" customHeight="1">
      <c r="L440" s="207" t="s">
        <v>483</v>
      </c>
      <c r="M440" s="763" t="s">
        <v>459</v>
      </c>
      <c r="N440" s="15" t="s">
        <v>460</v>
      </c>
      <c r="O440" s="14" t="s">
        <v>1425</v>
      </c>
      <c r="P440" s="15" t="s">
        <v>405</v>
      </c>
      <c r="Q440" s="15" t="s">
        <v>482</v>
      </c>
      <c r="R440" s="217" t="s">
        <v>64</v>
      </c>
      <c r="S440" s="193">
        <v>45.020820383527301</v>
      </c>
      <c r="T440" s="14">
        <f t="shared" si="92"/>
        <v>1040.7329999999999</v>
      </c>
      <c r="U440" s="27" t="s">
        <v>300</v>
      </c>
      <c r="V440" s="90" t="s">
        <v>64</v>
      </c>
      <c r="W440" s="109" t="s">
        <v>64</v>
      </c>
      <c r="X440" s="183" t="s">
        <v>64</v>
      </c>
      <c r="Y440" s="104" t="s">
        <v>64</v>
      </c>
      <c r="Z440" s="104" t="s">
        <v>64</v>
      </c>
      <c r="AA440" s="57" t="s">
        <v>64</v>
      </c>
      <c r="AB440" s="47" t="s">
        <v>64</v>
      </c>
      <c r="AC440" s="57">
        <v>250</v>
      </c>
      <c r="AD440" s="27" t="s">
        <v>470</v>
      </c>
      <c r="AE440" s="28">
        <f t="shared" si="88"/>
        <v>1.08726875</v>
      </c>
      <c r="AF440" s="197" t="s">
        <v>470</v>
      </c>
      <c r="AG440" s="84">
        <v>250</v>
      </c>
      <c r="AH440" s="157" t="s">
        <v>469</v>
      </c>
      <c r="AI440" s="8">
        <v>1</v>
      </c>
      <c r="AJ440" s="9">
        <v>60.150300000000001</v>
      </c>
      <c r="AK440" s="9">
        <v>0.82669999999999999</v>
      </c>
      <c r="AL440" s="9">
        <v>13.426600000000001</v>
      </c>
      <c r="AM440" s="189">
        <v>7.7976884811650002</v>
      </c>
      <c r="AN440" s="9">
        <v>0.15010000000000001</v>
      </c>
      <c r="AO440" s="9">
        <v>1.33</v>
      </c>
      <c r="AP440" s="9">
        <v>3.9066000000000001</v>
      </c>
      <c r="AQ440" s="9">
        <v>5.0624000000000002</v>
      </c>
      <c r="AR440" s="9">
        <v>2.3445</v>
      </c>
      <c r="AS440" s="9">
        <v>0.27510000000000001</v>
      </c>
      <c r="AT440" s="190">
        <v>225.71106800000001</v>
      </c>
      <c r="AU440" s="9">
        <v>0.91498182339833001</v>
      </c>
      <c r="AV440" s="6">
        <v>91.696801757536093</v>
      </c>
      <c r="AW440" s="27" t="s">
        <v>64</v>
      </c>
      <c r="AX440" s="6">
        <v>91.696801757536093</v>
      </c>
      <c r="AY440" s="8">
        <f t="shared" si="89"/>
        <v>1.55998272021369</v>
      </c>
      <c r="AZ440" s="9">
        <f t="shared" si="90"/>
        <v>6.3941045545553008</v>
      </c>
      <c r="BA440" s="123">
        <v>60.150300000000001</v>
      </c>
      <c r="BB440" s="121">
        <v>0.82669999999999999</v>
      </c>
      <c r="BC440" s="121">
        <v>13.426600000000001</v>
      </c>
      <c r="BD440" s="121">
        <v>7.7990000000000004</v>
      </c>
      <c r="BE440" s="121">
        <v>0.15010000000000001</v>
      </c>
      <c r="BF440" s="121">
        <v>1.33</v>
      </c>
      <c r="BG440" s="121">
        <v>3.9066000000000001</v>
      </c>
      <c r="BH440" s="121">
        <v>5.0624000000000002</v>
      </c>
      <c r="BI440" s="121">
        <v>2.3445</v>
      </c>
      <c r="BJ440" s="121">
        <v>0.27510000000000001</v>
      </c>
      <c r="BK440" s="121">
        <v>2.2571106800000001E-2</v>
      </c>
      <c r="BL440" s="121">
        <f t="shared" si="93"/>
        <v>95.293871106799998</v>
      </c>
      <c r="BM440" s="121">
        <v>0.91498182339833001</v>
      </c>
      <c r="BN440" s="95">
        <v>91.696801757536093</v>
      </c>
      <c r="BO440" s="122" t="s">
        <v>64</v>
      </c>
      <c r="BP440" s="95">
        <v>91.696801757536093</v>
      </c>
      <c r="BQ440" s="194" t="s">
        <v>469</v>
      </c>
    </row>
    <row r="441" spans="12:69" ht="14.45" customHeight="1">
      <c r="L441" s="207" t="s">
        <v>483</v>
      </c>
      <c r="M441" s="763" t="s">
        <v>459</v>
      </c>
      <c r="N441" s="15" t="s">
        <v>460</v>
      </c>
      <c r="O441" s="14" t="s">
        <v>1426</v>
      </c>
      <c r="P441" s="15" t="s">
        <v>405</v>
      </c>
      <c r="Q441" s="15" t="s">
        <v>482</v>
      </c>
      <c r="R441" s="217" t="s">
        <v>64</v>
      </c>
      <c r="S441" s="193">
        <v>45.187714504041701</v>
      </c>
      <c r="T441" s="14">
        <f t="shared" si="92"/>
        <v>1034.30502</v>
      </c>
      <c r="U441" s="27" t="s">
        <v>300</v>
      </c>
      <c r="V441" s="90" t="s">
        <v>64</v>
      </c>
      <c r="W441" s="109" t="s">
        <v>64</v>
      </c>
      <c r="X441" s="183" t="s">
        <v>64</v>
      </c>
      <c r="Y441" s="104" t="s">
        <v>64</v>
      </c>
      <c r="Z441" s="104" t="s">
        <v>64</v>
      </c>
      <c r="AA441" s="57" t="s">
        <v>64</v>
      </c>
      <c r="AB441" s="47" t="s">
        <v>64</v>
      </c>
      <c r="AC441" s="57">
        <v>170</v>
      </c>
      <c r="AD441" s="27" t="s">
        <v>470</v>
      </c>
      <c r="AE441" s="28">
        <f t="shared" si="88"/>
        <v>0.74576292919999998</v>
      </c>
      <c r="AF441" s="197" t="s">
        <v>470</v>
      </c>
      <c r="AG441" s="84">
        <v>170</v>
      </c>
      <c r="AH441" s="157" t="s">
        <v>469</v>
      </c>
      <c r="AI441" s="8">
        <v>1</v>
      </c>
      <c r="AJ441" s="9">
        <v>62.570700000000002</v>
      </c>
      <c r="AK441" s="9">
        <v>0.91520000000000001</v>
      </c>
      <c r="AL441" s="9">
        <v>13.3368</v>
      </c>
      <c r="AM441" s="189">
        <v>7.7151023715939999</v>
      </c>
      <c r="AN441" s="9">
        <v>0.1641</v>
      </c>
      <c r="AO441" s="9">
        <v>1.0102</v>
      </c>
      <c r="AP441" s="9">
        <v>3.7250000000000001</v>
      </c>
      <c r="AQ441" s="9">
        <v>4.5015999999999998</v>
      </c>
      <c r="AR441" s="9">
        <v>2.5019</v>
      </c>
      <c r="AS441" s="9">
        <v>0.36209999999999998</v>
      </c>
      <c r="AT441" s="190">
        <v>290.27143999999998</v>
      </c>
      <c r="AU441" s="9">
        <v>0.70113211802267705</v>
      </c>
      <c r="AV441" s="6">
        <v>66.010046427071103</v>
      </c>
      <c r="AW441" s="27" t="s">
        <v>64</v>
      </c>
      <c r="AX441" s="6">
        <v>66.010046427071103</v>
      </c>
      <c r="AY441" s="8">
        <f t="shared" si="89"/>
        <v>1.5434607850053745</v>
      </c>
      <c r="AZ441" s="9">
        <f t="shared" si="90"/>
        <v>6.3263839447070795</v>
      </c>
      <c r="BA441" s="123">
        <v>62.570700000000002</v>
      </c>
      <c r="BB441" s="121">
        <v>0.91520000000000001</v>
      </c>
      <c r="BC441" s="121">
        <v>13.3368</v>
      </c>
      <c r="BD441" s="121">
        <v>7.7164000000000001</v>
      </c>
      <c r="BE441" s="121">
        <v>0.1641</v>
      </c>
      <c r="BF441" s="121">
        <v>1.0102</v>
      </c>
      <c r="BG441" s="121">
        <v>3.7250000000000001</v>
      </c>
      <c r="BH441" s="121">
        <v>4.5015999999999998</v>
      </c>
      <c r="BI441" s="121">
        <v>2.5019</v>
      </c>
      <c r="BJ441" s="121">
        <v>0.36209999999999998</v>
      </c>
      <c r="BK441" s="121">
        <v>2.9027143999999998E-2</v>
      </c>
      <c r="BL441" s="121">
        <f t="shared" si="93"/>
        <v>96.833027143999985</v>
      </c>
      <c r="BM441" s="121">
        <v>0.70113211802267705</v>
      </c>
      <c r="BN441" s="95">
        <v>66.010046427071103</v>
      </c>
      <c r="BO441" s="122" t="s">
        <v>64</v>
      </c>
      <c r="BP441" s="95">
        <v>66.010046427071103</v>
      </c>
      <c r="BQ441" s="194" t="s">
        <v>469</v>
      </c>
    </row>
    <row r="442" spans="12:69" ht="14.45" customHeight="1">
      <c r="L442" s="207" t="s">
        <v>483</v>
      </c>
      <c r="M442" s="763" t="s">
        <v>459</v>
      </c>
      <c r="N442" s="15" t="s">
        <v>460</v>
      </c>
      <c r="O442" s="14" t="s">
        <v>1427</v>
      </c>
      <c r="P442" s="15" t="s">
        <v>405</v>
      </c>
      <c r="Q442" s="15" t="s">
        <v>482</v>
      </c>
      <c r="R442" s="217" t="s">
        <v>64</v>
      </c>
      <c r="S442" s="193">
        <v>45.656810550458097</v>
      </c>
      <c r="T442" s="14">
        <f t="shared" si="92"/>
        <v>1028.84988</v>
      </c>
      <c r="U442" s="27" t="s">
        <v>300</v>
      </c>
      <c r="V442" s="90" t="s">
        <v>64</v>
      </c>
      <c r="W442" s="109" t="s">
        <v>64</v>
      </c>
      <c r="X442" s="183" t="s">
        <v>64</v>
      </c>
      <c r="Y442" s="104" t="s">
        <v>64</v>
      </c>
      <c r="Z442" s="104" t="s">
        <v>64</v>
      </c>
      <c r="AA442" s="57" t="s">
        <v>64</v>
      </c>
      <c r="AB442" s="47" t="s">
        <v>64</v>
      </c>
      <c r="AC442" s="57">
        <v>540</v>
      </c>
      <c r="AD442" s="27" t="s">
        <v>470</v>
      </c>
      <c r="AE442" s="28">
        <f t="shared" ref="AE442:AE485" si="94">(0.0684*((AC442/1000))^3-0.5008*((AC442/1000))^2+4.47*((AC442/1000)))</f>
        <v>2.2785372576</v>
      </c>
      <c r="AF442" s="197" t="s">
        <v>470</v>
      </c>
      <c r="AG442" s="84">
        <v>540</v>
      </c>
      <c r="AH442" s="157" t="s">
        <v>469</v>
      </c>
      <c r="AI442" s="8">
        <v>1</v>
      </c>
      <c r="AJ442" s="9">
        <v>63.364400000000003</v>
      </c>
      <c r="AK442" s="9">
        <v>0.79420000000000002</v>
      </c>
      <c r="AL442" s="9">
        <v>14.3308</v>
      </c>
      <c r="AM442" s="189">
        <v>5.8805109375524998</v>
      </c>
      <c r="AN442" s="9">
        <v>0.1208</v>
      </c>
      <c r="AO442" s="9">
        <v>0.73880000000000001</v>
      </c>
      <c r="AP442" s="9">
        <v>3.6429999999999998</v>
      </c>
      <c r="AQ442" s="9">
        <v>5.1999000000000004</v>
      </c>
      <c r="AR442" s="9">
        <v>2.1726999999999999</v>
      </c>
      <c r="AS442" s="9">
        <v>0.21540000000000001</v>
      </c>
      <c r="AT442" s="190">
        <v>214.700772</v>
      </c>
      <c r="AU442" s="9">
        <v>1.31547151209164</v>
      </c>
      <c r="AV442" s="6">
        <v>196.04375883535403</v>
      </c>
      <c r="AW442" s="27" t="s">
        <v>64</v>
      </c>
      <c r="AX442" s="6">
        <v>196.04375883535403</v>
      </c>
      <c r="AY442" s="8">
        <f t="shared" ref="AY442:AY485" si="95">IF(ISNUMBER(AM442),(AM442/71.84)*(0.18/2)*159.69,"-")</f>
        <v>1.1764377957349428</v>
      </c>
      <c r="AZ442" s="9">
        <f t="shared" ref="AZ442:AZ485" si="96">IF(ISNUMBER(AM442),(AM442/71.84)*(1-0.18)*71.84,"-")</f>
        <v>4.822018968793051</v>
      </c>
      <c r="BA442" s="123">
        <v>63.364400000000003</v>
      </c>
      <c r="BB442" s="121">
        <v>0.79420000000000002</v>
      </c>
      <c r="BC442" s="121">
        <v>14.3308</v>
      </c>
      <c r="BD442" s="121">
        <v>5.8815</v>
      </c>
      <c r="BE442" s="121">
        <v>0.1208</v>
      </c>
      <c r="BF442" s="121">
        <v>0.73880000000000001</v>
      </c>
      <c r="BG442" s="121">
        <v>3.6429999999999998</v>
      </c>
      <c r="BH442" s="121">
        <v>5.1999000000000004</v>
      </c>
      <c r="BI442" s="121">
        <v>2.1726999999999999</v>
      </c>
      <c r="BJ442" s="121">
        <v>0.21540000000000001</v>
      </c>
      <c r="BK442" s="121">
        <v>2.14700772E-2</v>
      </c>
      <c r="BL442" s="121">
        <f t="shared" si="93"/>
        <v>96.482970077200008</v>
      </c>
      <c r="BM442" s="121">
        <v>1.31547151209164</v>
      </c>
      <c r="BN442" s="95">
        <v>196.043758835354</v>
      </c>
      <c r="BO442" s="122" t="s">
        <v>64</v>
      </c>
      <c r="BP442" s="95">
        <v>196.043758835354</v>
      </c>
      <c r="BQ442" s="194" t="s">
        <v>469</v>
      </c>
    </row>
    <row r="443" spans="12:69" ht="14.45" customHeight="1">
      <c r="L443" s="207" t="s">
        <v>483</v>
      </c>
      <c r="M443" s="763" t="s">
        <v>459</v>
      </c>
      <c r="N443" s="15" t="s">
        <v>460</v>
      </c>
      <c r="O443" s="14" t="s">
        <v>1428</v>
      </c>
      <c r="P443" s="15" t="s">
        <v>405</v>
      </c>
      <c r="Q443" s="15" t="s">
        <v>482</v>
      </c>
      <c r="R443" s="217" t="s">
        <v>64</v>
      </c>
      <c r="S443" s="193">
        <v>51.5223004174157</v>
      </c>
      <c r="T443" s="14">
        <f t="shared" si="92"/>
        <v>1050.0453299999999</v>
      </c>
      <c r="U443" s="27" t="s">
        <v>300</v>
      </c>
      <c r="V443" s="90" t="s">
        <v>64</v>
      </c>
      <c r="W443" s="109" t="s">
        <v>64</v>
      </c>
      <c r="X443" s="183" t="s">
        <v>64</v>
      </c>
      <c r="Y443" s="104" t="s">
        <v>64</v>
      </c>
      <c r="Z443" s="104" t="s">
        <v>64</v>
      </c>
      <c r="AA443" s="57" t="s">
        <v>64</v>
      </c>
      <c r="AB443" s="47" t="s">
        <v>64</v>
      </c>
      <c r="AC443" s="57">
        <v>10</v>
      </c>
      <c r="AD443" s="27" t="s">
        <v>470</v>
      </c>
      <c r="AE443" s="28">
        <f t="shared" si="94"/>
        <v>4.46499884E-2</v>
      </c>
      <c r="AF443" s="197" t="s">
        <v>470</v>
      </c>
      <c r="AG443" s="84">
        <v>10</v>
      </c>
      <c r="AH443" s="157" t="s">
        <v>469</v>
      </c>
      <c r="AI443" s="8">
        <v>1</v>
      </c>
      <c r="AJ443" s="9">
        <v>60.575000000000003</v>
      </c>
      <c r="AK443" s="9">
        <v>1.8181</v>
      </c>
      <c r="AL443" s="9">
        <v>11.548999999999999</v>
      </c>
      <c r="AM443" s="189">
        <v>10.202983926624499</v>
      </c>
      <c r="AN443" s="9">
        <v>0.2074</v>
      </c>
      <c r="AO443" s="9">
        <v>1.7932999999999999</v>
      </c>
      <c r="AP443" s="9">
        <v>4.8654000000000002</v>
      </c>
      <c r="AQ443" s="9">
        <v>3.5434000000000001</v>
      </c>
      <c r="AR443" s="9">
        <v>2.0802</v>
      </c>
      <c r="AS443" s="9">
        <v>0.65749999999999997</v>
      </c>
      <c r="AT443" s="190">
        <v>602.56347200000005</v>
      </c>
      <c r="AU443" s="9">
        <v>0.20922845463891901</v>
      </c>
      <c r="AV443" s="6">
        <v>3.4189564805205901</v>
      </c>
      <c r="AW443" s="27" t="s">
        <v>64</v>
      </c>
      <c r="AX443" s="6">
        <v>3.4189564805205901</v>
      </c>
      <c r="AY443" s="8">
        <f t="shared" si="95"/>
        <v>2.0411790825701552</v>
      </c>
      <c r="AZ443" s="9">
        <f t="shared" si="96"/>
        <v>8.36644681983209</v>
      </c>
      <c r="BA443" s="123">
        <v>60.575000000000003</v>
      </c>
      <c r="BB443" s="121">
        <v>1.8181</v>
      </c>
      <c r="BC443" s="121">
        <v>11.548999999999999</v>
      </c>
      <c r="BD443" s="121">
        <v>10.204700000000001</v>
      </c>
      <c r="BE443" s="121">
        <v>0.2074</v>
      </c>
      <c r="BF443" s="121">
        <v>1.7932999999999999</v>
      </c>
      <c r="BG443" s="121">
        <v>4.8654000000000002</v>
      </c>
      <c r="BH443" s="121">
        <v>3.5434000000000001</v>
      </c>
      <c r="BI443" s="121">
        <v>2.0802</v>
      </c>
      <c r="BJ443" s="121">
        <v>0.65749999999999997</v>
      </c>
      <c r="BK443" s="121">
        <v>6.0256347200000004E-2</v>
      </c>
      <c r="BL443" s="121">
        <f t="shared" si="93"/>
        <v>97.354256347200021</v>
      </c>
      <c r="BM443" s="121">
        <v>0.20922845463891901</v>
      </c>
      <c r="BN443" s="95">
        <v>3.4189564805205901</v>
      </c>
      <c r="BO443" s="122" t="s">
        <v>64</v>
      </c>
      <c r="BP443" s="95">
        <v>3.4189564805205901</v>
      </c>
      <c r="BQ443" s="194" t="s">
        <v>469</v>
      </c>
    </row>
    <row r="444" spans="12:69" ht="14.45" customHeight="1">
      <c r="L444" s="207" t="s">
        <v>483</v>
      </c>
      <c r="M444" s="763" t="s">
        <v>459</v>
      </c>
      <c r="N444" s="15" t="s">
        <v>460</v>
      </c>
      <c r="O444" s="14" t="s">
        <v>1429</v>
      </c>
      <c r="P444" s="15" t="s">
        <v>405</v>
      </c>
      <c r="Q444" s="15" t="s">
        <v>482</v>
      </c>
      <c r="R444" s="217" t="s">
        <v>64</v>
      </c>
      <c r="S444" s="193">
        <v>60.320516592488005</v>
      </c>
      <c r="T444" s="14">
        <f t="shared" si="92"/>
        <v>1107.34842</v>
      </c>
      <c r="U444" s="27" t="s">
        <v>300</v>
      </c>
      <c r="V444" s="90" t="s">
        <v>64</v>
      </c>
      <c r="W444" s="109" t="s">
        <v>64</v>
      </c>
      <c r="X444" s="183" t="s">
        <v>64</v>
      </c>
      <c r="Y444" s="104" t="s">
        <v>64</v>
      </c>
      <c r="Z444" s="104" t="s">
        <v>64</v>
      </c>
      <c r="AA444" s="57" t="s">
        <v>64</v>
      </c>
      <c r="AB444" s="47" t="s">
        <v>64</v>
      </c>
      <c r="AC444" s="57">
        <v>790</v>
      </c>
      <c r="AD444" s="27" t="s">
        <v>470</v>
      </c>
      <c r="AE444" s="28">
        <f t="shared" si="94"/>
        <v>3.2524745876000001</v>
      </c>
      <c r="AF444" s="197" t="s">
        <v>470</v>
      </c>
      <c r="AG444" s="84">
        <v>790</v>
      </c>
      <c r="AH444" s="157" t="s">
        <v>469</v>
      </c>
      <c r="AI444" s="8">
        <v>1</v>
      </c>
      <c r="AJ444" s="9">
        <v>50.448</v>
      </c>
      <c r="AK444" s="9">
        <v>4.3239999999999998</v>
      </c>
      <c r="AL444" s="9">
        <v>12.0753</v>
      </c>
      <c r="AM444" s="189">
        <v>12.796647689798</v>
      </c>
      <c r="AN444" s="9">
        <v>0.18579999999999999</v>
      </c>
      <c r="AO444" s="9">
        <v>4.6441999999999997</v>
      </c>
      <c r="AP444" s="9">
        <v>7.5503</v>
      </c>
      <c r="AQ444" s="9">
        <v>2.7900999999999998</v>
      </c>
      <c r="AR444" s="9">
        <v>1.208</v>
      </c>
      <c r="AS444" s="9">
        <v>0.55810000000000004</v>
      </c>
      <c r="AT444" s="190">
        <v>1549.949396</v>
      </c>
      <c r="AU444" s="9">
        <v>1.44545319863796</v>
      </c>
      <c r="AV444" s="6">
        <v>389.74913991945698</v>
      </c>
      <c r="AW444" s="27" t="s">
        <v>64</v>
      </c>
      <c r="AX444" s="6">
        <v>389.74913991945698</v>
      </c>
      <c r="AY444" s="8">
        <f t="shared" si="95"/>
        <v>2.5600598588884438</v>
      </c>
      <c r="AZ444" s="9">
        <f t="shared" si="96"/>
        <v>10.493251105634359</v>
      </c>
      <c r="BA444" s="123">
        <v>50.448</v>
      </c>
      <c r="BB444" s="121">
        <v>4.3239999999999998</v>
      </c>
      <c r="BC444" s="121">
        <v>12.0753</v>
      </c>
      <c r="BD444" s="121">
        <v>12.7988</v>
      </c>
      <c r="BE444" s="121">
        <v>0.18579999999999999</v>
      </c>
      <c r="BF444" s="121">
        <v>4.6441999999999997</v>
      </c>
      <c r="BG444" s="121">
        <v>7.5503</v>
      </c>
      <c r="BH444" s="121">
        <v>2.7900999999999998</v>
      </c>
      <c r="BI444" s="121">
        <v>1.208</v>
      </c>
      <c r="BJ444" s="121">
        <v>0.55810000000000004</v>
      </c>
      <c r="BK444" s="121">
        <v>0.15499493959999999</v>
      </c>
      <c r="BL444" s="121">
        <f t="shared" si="93"/>
        <v>96.737594939599987</v>
      </c>
      <c r="BM444" s="121">
        <v>1.44545319863796</v>
      </c>
      <c r="BN444" s="95">
        <v>389.74913991945698</v>
      </c>
      <c r="BO444" s="122" t="s">
        <v>64</v>
      </c>
      <c r="BP444" s="95">
        <v>389.74913991945698</v>
      </c>
      <c r="BQ444" s="194" t="s">
        <v>469</v>
      </c>
    </row>
    <row r="445" spans="12:69" ht="14.45" customHeight="1">
      <c r="L445" s="207" t="s">
        <v>483</v>
      </c>
      <c r="M445" s="763" t="s">
        <v>459</v>
      </c>
      <c r="N445" s="15" t="s">
        <v>460</v>
      </c>
      <c r="O445" s="14" t="s">
        <v>1430</v>
      </c>
      <c r="P445" s="15" t="s">
        <v>405</v>
      </c>
      <c r="Q445" s="15" t="s">
        <v>482</v>
      </c>
      <c r="R445" s="217" t="s">
        <v>64</v>
      </c>
      <c r="S445" s="193">
        <v>74.628205230902594</v>
      </c>
      <c r="T445" s="14">
        <f t="shared" si="92"/>
        <v>1126.9602000587661</v>
      </c>
      <c r="U445" s="27" t="s">
        <v>300</v>
      </c>
      <c r="V445" s="90" t="s">
        <v>64</v>
      </c>
      <c r="W445" s="109" t="s">
        <v>64</v>
      </c>
      <c r="X445" s="183" t="s">
        <v>64</v>
      </c>
      <c r="Y445" s="104" t="s">
        <v>64</v>
      </c>
      <c r="Z445" s="104" t="s">
        <v>64</v>
      </c>
      <c r="AA445" s="57" t="s">
        <v>64</v>
      </c>
      <c r="AB445" s="47" t="s">
        <v>64</v>
      </c>
      <c r="AC445" s="57">
        <v>330</v>
      </c>
      <c r="AD445" s="27" t="s">
        <v>470</v>
      </c>
      <c r="AE445" s="28">
        <f t="shared" si="94"/>
        <v>1.4230209708000001</v>
      </c>
      <c r="AF445" s="197" t="s">
        <v>470</v>
      </c>
      <c r="AG445" s="84">
        <v>330</v>
      </c>
      <c r="AH445" s="157" t="s">
        <v>469</v>
      </c>
      <c r="AI445" s="8">
        <v>0.85175938506743198</v>
      </c>
      <c r="AJ445" s="9">
        <v>50.153244126981079</v>
      </c>
      <c r="AK445" s="9">
        <v>2.7906491240283642</v>
      </c>
      <c r="AL445" s="9">
        <v>13.400000000000006</v>
      </c>
      <c r="AM445" s="189">
        <v>11.802669953406031</v>
      </c>
      <c r="AN445" s="9">
        <v>0.16549897063130445</v>
      </c>
      <c r="AO445" s="9">
        <v>5.619910450684884</v>
      </c>
      <c r="AP445" s="9">
        <v>9.8003679066462475</v>
      </c>
      <c r="AQ445" s="9">
        <v>2.221428998526044</v>
      </c>
      <c r="AR445" s="9">
        <v>0.6622656102514366</v>
      </c>
      <c r="AS445" s="9">
        <v>0.29027959843098083</v>
      </c>
      <c r="AT445" s="190">
        <v>801.82951225666989</v>
      </c>
      <c r="AU445" s="9">
        <v>0.84770854783333749</v>
      </c>
      <c r="AV445" s="6">
        <v>147.57198910203928</v>
      </c>
      <c r="AW445" s="27" t="s">
        <v>64</v>
      </c>
      <c r="AX445" s="6">
        <v>147.57198910203928</v>
      </c>
      <c r="AY445" s="8">
        <f t="shared" si="95"/>
        <v>2.3612075840387918</v>
      </c>
      <c r="AZ445" s="9">
        <f t="shared" si="96"/>
        <v>9.6781893617929455</v>
      </c>
      <c r="BA445" s="123">
        <v>50.444699999999997</v>
      </c>
      <c r="BB445" s="121">
        <v>3.2641</v>
      </c>
      <c r="BC445" s="121">
        <v>10.3124</v>
      </c>
      <c r="BD445" s="121">
        <v>13.741099999999999</v>
      </c>
      <c r="BE445" s="121">
        <v>0.19089999999999999</v>
      </c>
      <c r="BF445" s="121">
        <v>6.5709999999999997</v>
      </c>
      <c r="BG445" s="121">
        <v>8.8720999999999997</v>
      </c>
      <c r="BH445" s="121">
        <v>2.1215000000000002</v>
      </c>
      <c r="BI445" s="121">
        <v>0.76490000000000002</v>
      </c>
      <c r="BJ445" s="121">
        <v>0.34079999999999999</v>
      </c>
      <c r="BK445" s="121">
        <v>9.4138030800000008E-2</v>
      </c>
      <c r="BL445" s="121">
        <f t="shared" si="93"/>
        <v>96.717638030799989</v>
      </c>
      <c r="BM445" s="121">
        <v>0.99524415309638903</v>
      </c>
      <c r="BN445" s="95">
        <v>173.25548938959599</v>
      </c>
      <c r="BO445" s="122" t="s">
        <v>64</v>
      </c>
      <c r="BP445" s="95">
        <v>173.25548938959599</v>
      </c>
      <c r="BQ445" s="194" t="s">
        <v>469</v>
      </c>
    </row>
    <row r="446" spans="12:69" ht="14.45" customHeight="1">
      <c r="L446" s="20" t="s">
        <v>64</v>
      </c>
      <c r="M446" s="763" t="s">
        <v>459</v>
      </c>
      <c r="N446" s="15" t="s">
        <v>460</v>
      </c>
      <c r="O446" s="14" t="s">
        <v>1431</v>
      </c>
      <c r="P446" s="15" t="s">
        <v>405</v>
      </c>
      <c r="Q446" s="15" t="s">
        <v>482</v>
      </c>
      <c r="R446" s="217" t="s">
        <v>64</v>
      </c>
      <c r="S446" s="193">
        <v>71.457640552879695</v>
      </c>
      <c r="T446" s="14">
        <f t="shared" si="92"/>
        <v>1131.8551378086077</v>
      </c>
      <c r="U446" s="27" t="s">
        <v>300</v>
      </c>
      <c r="V446" s="90" t="s">
        <v>64</v>
      </c>
      <c r="W446" s="109" t="s">
        <v>64</v>
      </c>
      <c r="X446" s="183" t="s">
        <v>64</v>
      </c>
      <c r="Y446" s="104" t="s">
        <v>64</v>
      </c>
      <c r="Z446" s="104" t="s">
        <v>64</v>
      </c>
      <c r="AA446" s="57" t="s">
        <v>64</v>
      </c>
      <c r="AB446" s="47" t="s">
        <v>64</v>
      </c>
      <c r="AC446" s="57">
        <v>523.86608553385543</v>
      </c>
      <c r="AD446" s="27" t="s">
        <v>470</v>
      </c>
      <c r="AE446" s="28">
        <f t="shared" si="94"/>
        <v>2.2140777159571567</v>
      </c>
      <c r="AF446" s="197" t="s">
        <v>470</v>
      </c>
      <c r="AG446" s="84">
        <v>360</v>
      </c>
      <c r="AH446" s="157" t="s">
        <v>469</v>
      </c>
      <c r="AI446" s="8">
        <v>0.85248675960309206</v>
      </c>
      <c r="AJ446" s="9">
        <v>49.793316127107815</v>
      </c>
      <c r="AK446" s="9">
        <v>2.7561192293175854</v>
      </c>
      <c r="AL446" s="9">
        <v>13.400000000000011</v>
      </c>
      <c r="AM446" s="189">
        <v>10.927169788854805</v>
      </c>
      <c r="AN446" s="9">
        <v>0.16683816643331092</v>
      </c>
      <c r="AO446" s="9">
        <v>5.8634396919705338</v>
      </c>
      <c r="AP446" s="9">
        <v>9.7331188969379703</v>
      </c>
      <c r="AQ446" s="9">
        <v>2.1486812211602855</v>
      </c>
      <c r="AR446" s="9">
        <v>0.55888384488951082</v>
      </c>
      <c r="AS446" s="9">
        <v>0.27603521275948117</v>
      </c>
      <c r="AT446" s="190">
        <v>818.30001503446726</v>
      </c>
      <c r="AU446" s="9">
        <v>0.82779115954749027</v>
      </c>
      <c r="AV446" s="6">
        <v>168.10073951096496</v>
      </c>
      <c r="AW446" s="27" t="s">
        <v>64</v>
      </c>
      <c r="AX446" s="6">
        <v>168.10073951096496</v>
      </c>
      <c r="AY446" s="8">
        <f t="shared" si="95"/>
        <v>2.1860575852227186</v>
      </c>
      <c r="AZ446" s="9">
        <f t="shared" si="96"/>
        <v>8.9602792268609406</v>
      </c>
      <c r="BA446" s="123">
        <v>49.791899999999998</v>
      </c>
      <c r="BB446" s="121">
        <v>3.2201</v>
      </c>
      <c r="BC446" s="121">
        <v>10.371</v>
      </c>
      <c r="BD446" s="121">
        <v>12.7</v>
      </c>
      <c r="BE446" s="121">
        <v>0.19980000000000001</v>
      </c>
      <c r="BF446" s="121">
        <v>6.8459000000000003</v>
      </c>
      <c r="BG446" s="121">
        <v>8.9139999999999997</v>
      </c>
      <c r="BH446" s="121">
        <v>1.9791000000000001</v>
      </c>
      <c r="BI446" s="121">
        <v>0.63859999999999995</v>
      </c>
      <c r="BJ446" s="121">
        <v>0.32379999999999998</v>
      </c>
      <c r="BK446" s="121">
        <v>9.5989762399999998E-2</v>
      </c>
      <c r="BL446" s="121">
        <f t="shared" si="93"/>
        <v>95.080189762399996</v>
      </c>
      <c r="BM446" s="121">
        <v>0.97103110426360195</v>
      </c>
      <c r="BN446" s="95">
        <v>197.18868078283199</v>
      </c>
      <c r="BO446" s="122" t="s">
        <v>64</v>
      </c>
      <c r="BP446" s="95">
        <v>197.18868078283199</v>
      </c>
      <c r="BQ446" s="194" t="s">
        <v>469</v>
      </c>
    </row>
    <row r="447" spans="12:69" ht="14.45" customHeight="1">
      <c r="L447" s="20" t="s">
        <v>64</v>
      </c>
      <c r="M447" s="763" t="s">
        <v>459</v>
      </c>
      <c r="N447" s="15" t="s">
        <v>460</v>
      </c>
      <c r="O447" s="14" t="s">
        <v>1432</v>
      </c>
      <c r="P447" s="15" t="s">
        <v>405</v>
      </c>
      <c r="Q447" s="15" t="s">
        <v>482</v>
      </c>
      <c r="R447" s="217" t="s">
        <v>64</v>
      </c>
      <c r="S447" s="193">
        <v>72.735182551175399</v>
      </c>
      <c r="T447" s="14">
        <f t="shared" si="92"/>
        <v>1131.4049535135505</v>
      </c>
      <c r="U447" s="27" t="s">
        <v>300</v>
      </c>
      <c r="V447" s="90" t="s">
        <v>64</v>
      </c>
      <c r="W447" s="109" t="s">
        <v>64</v>
      </c>
      <c r="X447" s="183" t="s">
        <v>64</v>
      </c>
      <c r="Y447" s="104" t="s">
        <v>64</v>
      </c>
      <c r="Z447" s="104" t="s">
        <v>64</v>
      </c>
      <c r="AA447" s="57" t="s">
        <v>64</v>
      </c>
      <c r="AB447" s="47" t="s">
        <v>64</v>
      </c>
      <c r="AC447" s="57">
        <v>318.23253860334893</v>
      </c>
      <c r="AD447" s="27" t="s">
        <v>470</v>
      </c>
      <c r="AE447" s="28">
        <f t="shared" si="94"/>
        <v>1.3739868528892598</v>
      </c>
      <c r="AF447" s="197" t="s">
        <v>470</v>
      </c>
      <c r="AG447" s="84">
        <v>230</v>
      </c>
      <c r="AH447" s="157" t="s">
        <v>469</v>
      </c>
      <c r="AI447" s="8">
        <v>0.82980813842417001</v>
      </c>
      <c r="AJ447" s="9">
        <v>50.754256971698368</v>
      </c>
      <c r="AK447" s="9">
        <v>2.6531971125242229</v>
      </c>
      <c r="AL447" s="9">
        <v>13.399999999999993</v>
      </c>
      <c r="AM447" s="189">
        <v>11.327883460009495</v>
      </c>
      <c r="AN447" s="9">
        <v>0.19851288174449397</v>
      </c>
      <c r="AO447" s="9">
        <v>5.8410424633607185</v>
      </c>
      <c r="AP447" s="9">
        <v>10.013674730493161</v>
      </c>
      <c r="AQ447" s="9">
        <v>2.3660780846592613</v>
      </c>
      <c r="AR447" s="9">
        <v>0.60985010507355175</v>
      </c>
      <c r="AS447" s="9">
        <v>0.25466811768237779</v>
      </c>
      <c r="AT447" s="190">
        <v>712.22649930678779</v>
      </c>
      <c r="AU447" s="9">
        <v>0.75117103692951792</v>
      </c>
      <c r="AV447" s="6">
        <v>95.542054414617979</v>
      </c>
      <c r="AW447" s="27" t="s">
        <v>64</v>
      </c>
      <c r="AX447" s="6">
        <v>95.542054414617979</v>
      </c>
      <c r="AY447" s="8">
        <f t="shared" si="95"/>
        <v>2.2662231886915709</v>
      </c>
      <c r="AZ447" s="9">
        <f t="shared" si="96"/>
        <v>9.2888644372077867</v>
      </c>
      <c r="BA447" s="123">
        <v>50.992899999999999</v>
      </c>
      <c r="BB447" s="121">
        <v>3.1840000000000002</v>
      </c>
      <c r="BC447" s="121">
        <v>9.9702000000000002</v>
      </c>
      <c r="BD447" s="121">
        <v>13.5246</v>
      </c>
      <c r="BE447" s="121">
        <v>0.2341</v>
      </c>
      <c r="BF447" s="121">
        <v>7.0008999999999997</v>
      </c>
      <c r="BG447" s="121">
        <v>8.9938000000000002</v>
      </c>
      <c r="BH447" s="121">
        <v>2.2223000000000002</v>
      </c>
      <c r="BI447" s="121">
        <v>0.72330000000000005</v>
      </c>
      <c r="BJ447" s="121">
        <v>0.30690000000000001</v>
      </c>
      <c r="BK447" s="121">
        <v>8.5830262000000004E-2</v>
      </c>
      <c r="BL447" s="121">
        <f t="shared" si="93"/>
        <v>97.238830261999993</v>
      </c>
      <c r="BM447" s="121">
        <v>0.90523459839284504</v>
      </c>
      <c r="BN447" s="95">
        <v>115.13752395349501</v>
      </c>
      <c r="BO447" s="122" t="s">
        <v>64</v>
      </c>
      <c r="BP447" s="95">
        <v>115.13752395349501</v>
      </c>
      <c r="BQ447" s="194" t="s">
        <v>469</v>
      </c>
    </row>
    <row r="448" spans="12:69" ht="14.45" customHeight="1">
      <c r="L448" s="207" t="s">
        <v>483</v>
      </c>
      <c r="M448" s="763" t="s">
        <v>459</v>
      </c>
      <c r="N448" s="15" t="s">
        <v>460</v>
      </c>
      <c r="O448" s="14" t="s">
        <v>1433</v>
      </c>
      <c r="P448" s="15" t="s">
        <v>405</v>
      </c>
      <c r="Q448" s="15" t="s">
        <v>482</v>
      </c>
      <c r="R448" s="217" t="s">
        <v>64</v>
      </c>
      <c r="S448" s="193">
        <v>49.313924184460703</v>
      </c>
      <c r="T448" s="14">
        <f t="shared" si="92"/>
        <v>1042.96812</v>
      </c>
      <c r="U448" s="27" t="s">
        <v>300</v>
      </c>
      <c r="V448" s="90" t="s">
        <v>64</v>
      </c>
      <c r="W448" s="109" t="s">
        <v>64</v>
      </c>
      <c r="X448" s="183" t="s">
        <v>64</v>
      </c>
      <c r="Y448" s="104" t="s">
        <v>64</v>
      </c>
      <c r="Z448" s="104" t="s">
        <v>64</v>
      </c>
      <c r="AA448" s="57" t="s">
        <v>64</v>
      </c>
      <c r="AB448" s="47" t="s">
        <v>64</v>
      </c>
      <c r="AC448" s="57">
        <v>590</v>
      </c>
      <c r="AD448" s="27" t="s">
        <v>470</v>
      </c>
      <c r="AE448" s="28">
        <f t="shared" si="94"/>
        <v>2.4770194435999997</v>
      </c>
      <c r="AF448" s="197" t="s">
        <v>470</v>
      </c>
      <c r="AG448" s="84">
        <v>590</v>
      </c>
      <c r="AH448" s="157" t="s">
        <v>469</v>
      </c>
      <c r="AI448" s="8">
        <v>1</v>
      </c>
      <c r="AJ448" s="9">
        <v>60.522599999999997</v>
      </c>
      <c r="AK448" s="9">
        <v>1.3463000000000001</v>
      </c>
      <c r="AL448" s="9">
        <v>13.587300000000001</v>
      </c>
      <c r="AM448" s="189">
        <v>7.948463121883</v>
      </c>
      <c r="AN448" s="9">
        <v>0.20610000000000001</v>
      </c>
      <c r="AO448" s="9">
        <v>1.4412</v>
      </c>
      <c r="AP448" s="9">
        <v>4.5922999999999998</v>
      </c>
      <c r="AQ448" s="9">
        <v>4.3818999999999999</v>
      </c>
      <c r="AR448" s="9">
        <v>1.8836999999999999</v>
      </c>
      <c r="AS448" s="9">
        <v>0.43190000000000001</v>
      </c>
      <c r="AT448" s="190">
        <v>480.949748</v>
      </c>
      <c r="AU448" s="9">
        <v>1.4453966170900401</v>
      </c>
      <c r="AV448" s="6">
        <v>226.54561571500102</v>
      </c>
      <c r="AW448" s="27" t="s">
        <v>64</v>
      </c>
      <c r="AX448" s="6">
        <v>226.54561571500102</v>
      </c>
      <c r="AY448" s="8">
        <f t="shared" si="95"/>
        <v>1.5901462532574424</v>
      </c>
      <c r="AZ448" s="9">
        <f t="shared" si="96"/>
        <v>6.5177397599440612</v>
      </c>
      <c r="BA448" s="123">
        <v>60.522599999999997</v>
      </c>
      <c r="BB448" s="121">
        <v>1.3463000000000001</v>
      </c>
      <c r="BC448" s="121">
        <v>13.587300000000001</v>
      </c>
      <c r="BD448" s="121">
        <v>7.9497999999999998</v>
      </c>
      <c r="BE448" s="121">
        <v>0.20610000000000001</v>
      </c>
      <c r="BF448" s="121">
        <v>1.4412</v>
      </c>
      <c r="BG448" s="121">
        <v>4.5922999999999998</v>
      </c>
      <c r="BH448" s="121">
        <v>4.3818999999999999</v>
      </c>
      <c r="BI448" s="121">
        <v>1.8836999999999999</v>
      </c>
      <c r="BJ448" s="121">
        <v>0.43190000000000001</v>
      </c>
      <c r="BK448" s="121">
        <v>4.8094974800000002E-2</v>
      </c>
      <c r="BL448" s="121">
        <f t="shared" si="93"/>
        <v>96.391194974799987</v>
      </c>
      <c r="BM448" s="121">
        <v>1.4453966170900401</v>
      </c>
      <c r="BN448" s="95">
        <v>226.54561571500099</v>
      </c>
      <c r="BO448" s="122" t="s">
        <v>64</v>
      </c>
      <c r="BP448" s="95">
        <v>226.54561571500099</v>
      </c>
      <c r="BQ448" s="194" t="s">
        <v>469</v>
      </c>
    </row>
    <row r="449" spans="12:69" ht="14.45" customHeight="1">
      <c r="L449" s="207" t="s">
        <v>483</v>
      </c>
      <c r="M449" s="763" t="s">
        <v>459</v>
      </c>
      <c r="N449" s="15" t="s">
        <v>460</v>
      </c>
      <c r="O449" s="14" t="s">
        <v>1434</v>
      </c>
      <c r="P449" s="15" t="s">
        <v>405</v>
      </c>
      <c r="Q449" s="15" t="s">
        <v>482</v>
      </c>
      <c r="R449" s="217" t="s">
        <v>64</v>
      </c>
      <c r="S449" s="193">
        <v>45.2551196796638</v>
      </c>
      <c r="T449" s="14">
        <f t="shared" si="92"/>
        <v>1028.3112000000001</v>
      </c>
      <c r="U449" s="27" t="s">
        <v>300</v>
      </c>
      <c r="V449" s="90" t="s">
        <v>64</v>
      </c>
      <c r="W449" s="109" t="s">
        <v>64</v>
      </c>
      <c r="X449" s="183" t="s">
        <v>64</v>
      </c>
      <c r="Y449" s="104" t="s">
        <v>64</v>
      </c>
      <c r="Z449" s="104" t="s">
        <v>64</v>
      </c>
      <c r="AA449" s="57" t="s">
        <v>64</v>
      </c>
      <c r="AB449" s="47" t="s">
        <v>64</v>
      </c>
      <c r="AC449" s="57">
        <v>720</v>
      </c>
      <c r="AD449" s="27" t="s">
        <v>470</v>
      </c>
      <c r="AE449" s="28">
        <f t="shared" si="94"/>
        <v>2.9843154431999994</v>
      </c>
      <c r="AF449" s="197" t="s">
        <v>470</v>
      </c>
      <c r="AG449" s="84">
        <v>720</v>
      </c>
      <c r="AH449" s="157" t="s">
        <v>469</v>
      </c>
      <c r="AI449" s="8">
        <v>1</v>
      </c>
      <c r="AJ449" s="9">
        <v>63.687899999999999</v>
      </c>
      <c r="AK449" s="9">
        <v>0.81140000000000001</v>
      </c>
      <c r="AL449" s="9">
        <v>14.4975</v>
      </c>
      <c r="AM449" s="189">
        <v>6.0216871926545004</v>
      </c>
      <c r="AN449" s="9">
        <v>0.1163</v>
      </c>
      <c r="AO449" s="9">
        <v>0.71199999999999997</v>
      </c>
      <c r="AP449" s="9">
        <v>3.7964000000000002</v>
      </c>
      <c r="AQ449" s="9">
        <v>4.8010000000000002</v>
      </c>
      <c r="AR449" s="9">
        <v>2.0558999999999998</v>
      </c>
      <c r="AS449" s="9">
        <v>0.2283</v>
      </c>
      <c r="AT449" s="190">
        <v>268.75131599999997</v>
      </c>
      <c r="AU449" s="9">
        <v>2.06016580503757</v>
      </c>
      <c r="AV449" s="6">
        <v>189.56942078035897</v>
      </c>
      <c r="AW449" s="27" t="s">
        <v>64</v>
      </c>
      <c r="AX449" s="6">
        <v>189.56942078035897</v>
      </c>
      <c r="AY449" s="8">
        <f t="shared" si="95"/>
        <v>1.2046811038634428</v>
      </c>
      <c r="AZ449" s="9">
        <f t="shared" si="96"/>
        <v>4.9377834979766906</v>
      </c>
      <c r="BA449" s="123">
        <v>63.687899999999999</v>
      </c>
      <c r="BB449" s="121">
        <v>0.81140000000000001</v>
      </c>
      <c r="BC449" s="121">
        <v>14.4975</v>
      </c>
      <c r="BD449" s="121">
        <v>6.0227000000000004</v>
      </c>
      <c r="BE449" s="121">
        <v>0.1163</v>
      </c>
      <c r="BF449" s="121">
        <v>0.71199999999999997</v>
      </c>
      <c r="BG449" s="121">
        <v>3.7964000000000002</v>
      </c>
      <c r="BH449" s="121">
        <v>4.8010000000000002</v>
      </c>
      <c r="BI449" s="121">
        <v>2.0558999999999998</v>
      </c>
      <c r="BJ449" s="121">
        <v>0.2283</v>
      </c>
      <c r="BK449" s="121">
        <v>2.6875131599999998E-2</v>
      </c>
      <c r="BL449" s="121">
        <f t="shared" si="93"/>
        <v>96.756275131600006</v>
      </c>
      <c r="BM449" s="121">
        <v>2.06016580503757</v>
      </c>
      <c r="BN449" s="95">
        <v>189.569420780359</v>
      </c>
      <c r="BO449" s="122" t="s">
        <v>64</v>
      </c>
      <c r="BP449" s="95">
        <v>189.569420780359</v>
      </c>
      <c r="BQ449" s="194" t="s">
        <v>469</v>
      </c>
    </row>
    <row r="450" spans="12:69" ht="14.45" customHeight="1">
      <c r="L450" s="207" t="s">
        <v>483</v>
      </c>
      <c r="M450" s="763" t="s">
        <v>459</v>
      </c>
      <c r="N450" s="15" t="s">
        <v>460</v>
      </c>
      <c r="O450" s="14" t="s">
        <v>1435</v>
      </c>
      <c r="P450" s="15" t="s">
        <v>405</v>
      </c>
      <c r="Q450" s="15" t="s">
        <v>482</v>
      </c>
      <c r="R450" s="217" t="s">
        <v>64</v>
      </c>
      <c r="S450" s="193">
        <v>46.4792423494576</v>
      </c>
      <c r="T450" s="14">
        <f t="shared" si="92"/>
        <v>1027.41273</v>
      </c>
      <c r="U450" s="27" t="s">
        <v>300</v>
      </c>
      <c r="V450" s="90" t="s">
        <v>64</v>
      </c>
      <c r="W450" s="109" t="s">
        <v>64</v>
      </c>
      <c r="X450" s="183" t="s">
        <v>64</v>
      </c>
      <c r="Y450" s="104" t="s">
        <v>64</v>
      </c>
      <c r="Z450" s="104" t="s">
        <v>64</v>
      </c>
      <c r="AA450" s="57" t="s">
        <v>64</v>
      </c>
      <c r="AB450" s="47" t="s">
        <v>64</v>
      </c>
      <c r="AC450" s="57">
        <v>700</v>
      </c>
      <c r="AD450" s="27" t="s">
        <v>470</v>
      </c>
      <c r="AE450" s="28">
        <f t="shared" si="94"/>
        <v>2.9070691999999996</v>
      </c>
      <c r="AF450" s="197" t="s">
        <v>470</v>
      </c>
      <c r="AG450" s="84">
        <v>700</v>
      </c>
      <c r="AH450" s="157" t="s">
        <v>469</v>
      </c>
      <c r="AI450" s="8">
        <v>1</v>
      </c>
      <c r="AJ450" s="9">
        <v>63.969000000000001</v>
      </c>
      <c r="AK450" s="9">
        <v>0.78500000000000003</v>
      </c>
      <c r="AL450" s="9">
        <v>14.600899999999999</v>
      </c>
      <c r="AM450" s="189">
        <v>5.8106226922860005</v>
      </c>
      <c r="AN450" s="9">
        <v>7.0599999999999996E-2</v>
      </c>
      <c r="AO450" s="9">
        <v>0.6673</v>
      </c>
      <c r="AP450" s="9">
        <v>3.8515000000000001</v>
      </c>
      <c r="AQ450" s="9">
        <v>4.7005999999999997</v>
      </c>
      <c r="AR450" s="9">
        <v>2.1562000000000001</v>
      </c>
      <c r="AS450" s="9">
        <v>0.2394</v>
      </c>
      <c r="AT450" s="190">
        <v>267.75038000000001</v>
      </c>
      <c r="AU450" s="9">
        <v>2.0572257391238802</v>
      </c>
      <c r="AV450" s="6">
        <v>178.69239971100697</v>
      </c>
      <c r="AW450" s="27" t="s">
        <v>64</v>
      </c>
      <c r="AX450" s="6">
        <v>178.69239971100697</v>
      </c>
      <c r="AY450" s="8">
        <f t="shared" si="95"/>
        <v>1.1624561580707629</v>
      </c>
      <c r="AZ450" s="9">
        <f t="shared" si="96"/>
        <v>4.7647106076745205</v>
      </c>
      <c r="BA450" s="123">
        <v>63.969000000000001</v>
      </c>
      <c r="BB450" s="121">
        <v>0.78500000000000003</v>
      </c>
      <c r="BC450" s="121">
        <v>14.600899999999999</v>
      </c>
      <c r="BD450" s="121">
        <v>5.8116000000000003</v>
      </c>
      <c r="BE450" s="121">
        <v>7.0599999999999996E-2</v>
      </c>
      <c r="BF450" s="121">
        <v>0.6673</v>
      </c>
      <c r="BG450" s="121">
        <v>3.8515000000000001</v>
      </c>
      <c r="BH450" s="121">
        <v>4.7005999999999997</v>
      </c>
      <c r="BI450" s="121">
        <v>2.1562000000000001</v>
      </c>
      <c r="BJ450" s="121">
        <v>0.2394</v>
      </c>
      <c r="BK450" s="121">
        <v>2.6775038000000001E-2</v>
      </c>
      <c r="BL450" s="121">
        <f t="shared" si="93"/>
        <v>96.87887503799999</v>
      </c>
      <c r="BM450" s="121">
        <v>2.0572257391238802</v>
      </c>
      <c r="BN450" s="95">
        <v>178.692399711007</v>
      </c>
      <c r="BO450" s="122" t="s">
        <v>64</v>
      </c>
      <c r="BP450" s="95">
        <v>178.692399711007</v>
      </c>
      <c r="BQ450" s="194" t="s">
        <v>469</v>
      </c>
    </row>
    <row r="451" spans="12:69" ht="14.45" customHeight="1">
      <c r="L451" s="207" t="s">
        <v>483</v>
      </c>
      <c r="M451" s="763" t="s">
        <v>459</v>
      </c>
      <c r="N451" s="15" t="s">
        <v>460</v>
      </c>
      <c r="O451" s="14" t="s">
        <v>1436</v>
      </c>
      <c r="P451" s="15" t="s">
        <v>405</v>
      </c>
      <c r="Q451" s="15" t="s">
        <v>482</v>
      </c>
      <c r="R451" s="217" t="s">
        <v>64</v>
      </c>
      <c r="S451" s="193">
        <v>45.603597276035899</v>
      </c>
      <c r="T451" s="14">
        <f t="shared" si="92"/>
        <v>1028.73732</v>
      </c>
      <c r="U451" s="27" t="s">
        <v>300</v>
      </c>
      <c r="V451" s="90" t="s">
        <v>64</v>
      </c>
      <c r="W451" s="109" t="s">
        <v>64</v>
      </c>
      <c r="X451" s="183" t="s">
        <v>64</v>
      </c>
      <c r="Y451" s="104" t="s">
        <v>64</v>
      </c>
      <c r="Z451" s="104" t="s">
        <v>64</v>
      </c>
      <c r="AA451" s="57" t="s">
        <v>64</v>
      </c>
      <c r="AB451" s="47" t="s">
        <v>64</v>
      </c>
      <c r="AC451" s="57">
        <v>150</v>
      </c>
      <c r="AD451" s="27" t="s">
        <v>470</v>
      </c>
      <c r="AE451" s="28">
        <f t="shared" si="94"/>
        <v>0.65946284999999993</v>
      </c>
      <c r="AF451" s="197" t="s">
        <v>470</v>
      </c>
      <c r="AG451" s="84">
        <v>150</v>
      </c>
      <c r="AH451" s="157" t="s">
        <v>469</v>
      </c>
      <c r="AI451" s="8">
        <v>1</v>
      </c>
      <c r="AJ451" s="9">
        <v>64.445599999999999</v>
      </c>
      <c r="AK451" s="9">
        <v>0.79930000000000001</v>
      </c>
      <c r="AL451" s="9">
        <v>13.907299999999999</v>
      </c>
      <c r="AM451" s="189">
        <v>7.0255183549944995</v>
      </c>
      <c r="AN451" s="9">
        <v>0.1163</v>
      </c>
      <c r="AO451" s="9">
        <v>0.73319999999999996</v>
      </c>
      <c r="AP451" s="9">
        <v>3.5226000000000002</v>
      </c>
      <c r="AQ451" s="9">
        <v>4.6740000000000004</v>
      </c>
      <c r="AR451" s="9">
        <v>2.3961999999999999</v>
      </c>
      <c r="AS451" s="9">
        <v>0.19270000000000001</v>
      </c>
      <c r="AT451" s="190">
        <v>258.241488</v>
      </c>
      <c r="AU451" s="9">
        <v>0.94590614995974998</v>
      </c>
      <c r="AV451" s="6">
        <v>34.401447178464899</v>
      </c>
      <c r="AW451" s="27" t="s">
        <v>64</v>
      </c>
      <c r="AX451" s="6">
        <v>34.401447178464899</v>
      </c>
      <c r="AY451" s="8">
        <f t="shared" si="95"/>
        <v>1.4055046262502289</v>
      </c>
      <c r="AZ451" s="9">
        <f t="shared" si="96"/>
        <v>5.7609250510954899</v>
      </c>
      <c r="BA451" s="123">
        <v>64.445599999999999</v>
      </c>
      <c r="BB451" s="121">
        <v>0.79930000000000001</v>
      </c>
      <c r="BC451" s="121">
        <v>13.907299999999999</v>
      </c>
      <c r="BD451" s="121">
        <v>7.0266999999999999</v>
      </c>
      <c r="BE451" s="121">
        <v>0.1163</v>
      </c>
      <c r="BF451" s="121">
        <v>0.73319999999999996</v>
      </c>
      <c r="BG451" s="121">
        <v>3.5226000000000002</v>
      </c>
      <c r="BH451" s="121">
        <v>4.6740000000000004</v>
      </c>
      <c r="BI451" s="121">
        <v>2.3961999999999999</v>
      </c>
      <c r="BJ451" s="121">
        <v>0.19270000000000001</v>
      </c>
      <c r="BK451" s="121">
        <v>2.5824148800000002E-2</v>
      </c>
      <c r="BL451" s="121">
        <f t="shared" si="93"/>
        <v>97.839724148799988</v>
      </c>
      <c r="BM451" s="121">
        <v>0.94590614995974998</v>
      </c>
      <c r="BN451" s="95">
        <v>34.401447178464899</v>
      </c>
      <c r="BO451" s="122" t="s">
        <v>64</v>
      </c>
      <c r="BP451" s="95">
        <v>34.401447178464899</v>
      </c>
      <c r="BQ451" s="194" t="s">
        <v>469</v>
      </c>
    </row>
    <row r="452" spans="12:69" ht="14.45" customHeight="1">
      <c r="L452" s="207" t="s">
        <v>483</v>
      </c>
      <c r="M452" s="763" t="s">
        <v>459</v>
      </c>
      <c r="N452" s="15" t="s">
        <v>460</v>
      </c>
      <c r="O452" s="14" t="s">
        <v>1437</v>
      </c>
      <c r="P452" s="15" t="s">
        <v>405</v>
      </c>
      <c r="Q452" s="15" t="s">
        <v>482</v>
      </c>
      <c r="R452" s="217" t="s">
        <v>64</v>
      </c>
      <c r="S452" s="193">
        <v>46.843710217911301</v>
      </c>
      <c r="T452" s="14">
        <f t="shared" si="92"/>
        <v>1039.1471100000001</v>
      </c>
      <c r="U452" s="27" t="s">
        <v>300</v>
      </c>
      <c r="V452" s="90" t="s">
        <v>64</v>
      </c>
      <c r="W452" s="109" t="s">
        <v>64</v>
      </c>
      <c r="X452" s="183" t="s">
        <v>64</v>
      </c>
      <c r="Y452" s="104" t="s">
        <v>64</v>
      </c>
      <c r="Z452" s="104" t="s">
        <v>64</v>
      </c>
      <c r="AA452" s="57" t="s">
        <v>64</v>
      </c>
      <c r="AB452" s="47" t="s">
        <v>64</v>
      </c>
      <c r="AC452" s="57">
        <v>40</v>
      </c>
      <c r="AD452" s="27" t="s">
        <v>470</v>
      </c>
      <c r="AE452" s="28">
        <f t="shared" si="94"/>
        <v>0.17800309759999999</v>
      </c>
      <c r="AF452" s="197" t="s">
        <v>470</v>
      </c>
      <c r="AG452" s="84">
        <v>40</v>
      </c>
      <c r="AH452" s="157" t="s">
        <v>469</v>
      </c>
      <c r="AI452" s="8">
        <v>1</v>
      </c>
      <c r="AJ452" s="9">
        <v>64.965699999999998</v>
      </c>
      <c r="AK452" s="9">
        <v>0.80630000000000002</v>
      </c>
      <c r="AL452" s="9">
        <v>12.7502</v>
      </c>
      <c r="AM452" s="189">
        <v>7.6549124951270002</v>
      </c>
      <c r="AN452" s="9">
        <v>0.19209999999999999</v>
      </c>
      <c r="AO452" s="9">
        <v>1.2511000000000001</v>
      </c>
      <c r="AP452" s="9">
        <v>3.4809999999999999</v>
      </c>
      <c r="AQ452" s="9">
        <v>3.9289999999999998</v>
      </c>
      <c r="AR452" s="9">
        <v>2.3254999999999999</v>
      </c>
      <c r="AS452" s="9">
        <v>0.1951</v>
      </c>
      <c r="AT452" s="190">
        <v>254.23774399999999</v>
      </c>
      <c r="AU452" s="9">
        <v>0.58483592281215302</v>
      </c>
      <c r="AV452" s="6">
        <v>3.7800694089638198</v>
      </c>
      <c r="AW452" s="27" t="s">
        <v>64</v>
      </c>
      <c r="AX452" s="6">
        <v>3.7800694089638198</v>
      </c>
      <c r="AY452" s="8">
        <f t="shared" si="95"/>
        <v>1.5314193745993145</v>
      </c>
      <c r="AZ452" s="9">
        <f t="shared" si="96"/>
        <v>6.2770282460041411</v>
      </c>
      <c r="BA452" s="123">
        <v>64.965699999999998</v>
      </c>
      <c r="BB452" s="121">
        <v>0.80630000000000002</v>
      </c>
      <c r="BC452" s="121">
        <v>12.7502</v>
      </c>
      <c r="BD452" s="121">
        <v>7.6562000000000001</v>
      </c>
      <c r="BE452" s="121">
        <v>0.19209999999999999</v>
      </c>
      <c r="BF452" s="121">
        <v>1.2511000000000001</v>
      </c>
      <c r="BG452" s="121">
        <v>3.4809999999999999</v>
      </c>
      <c r="BH452" s="121">
        <v>3.9289999999999998</v>
      </c>
      <c r="BI452" s="121">
        <v>2.3254999999999999</v>
      </c>
      <c r="BJ452" s="121">
        <v>0.1951</v>
      </c>
      <c r="BK452" s="121">
        <v>2.5423774399999998E-2</v>
      </c>
      <c r="BL452" s="121">
        <f t="shared" si="93"/>
        <v>97.577623774399981</v>
      </c>
      <c r="BM452" s="121">
        <v>0.58483592281215302</v>
      </c>
      <c r="BN452" s="95">
        <v>3.7800694089638198</v>
      </c>
      <c r="BO452" s="122" t="s">
        <v>64</v>
      </c>
      <c r="BP452" s="95">
        <v>3.7800694089638198</v>
      </c>
      <c r="BQ452" s="194" t="s">
        <v>469</v>
      </c>
    </row>
    <row r="453" spans="12:69" ht="14.45" customHeight="1">
      <c r="L453" s="207" t="s">
        <v>483</v>
      </c>
      <c r="M453" s="763" t="s">
        <v>459</v>
      </c>
      <c r="N453" s="15" t="s">
        <v>460</v>
      </c>
      <c r="O453" s="14" t="s">
        <v>1438</v>
      </c>
      <c r="P453" s="15" t="s">
        <v>405</v>
      </c>
      <c r="Q453" s="15" t="s">
        <v>482</v>
      </c>
      <c r="R453" s="217" t="s">
        <v>64</v>
      </c>
      <c r="S453" s="193">
        <v>43.675181006526095</v>
      </c>
      <c r="T453" s="14">
        <f t="shared" si="92"/>
        <v>1028.16849</v>
      </c>
      <c r="U453" s="27" t="s">
        <v>300</v>
      </c>
      <c r="V453" s="90" t="s">
        <v>64</v>
      </c>
      <c r="W453" s="109" t="s">
        <v>64</v>
      </c>
      <c r="X453" s="183" t="s">
        <v>64</v>
      </c>
      <c r="Y453" s="104" t="s">
        <v>64</v>
      </c>
      <c r="Z453" s="104" t="s">
        <v>64</v>
      </c>
      <c r="AA453" s="57" t="s">
        <v>64</v>
      </c>
      <c r="AB453" s="47" t="s">
        <v>64</v>
      </c>
      <c r="AC453" s="57">
        <v>650</v>
      </c>
      <c r="AD453" s="27" t="s">
        <v>470</v>
      </c>
      <c r="AE453" s="28">
        <f t="shared" si="94"/>
        <v>2.7126963499999999</v>
      </c>
      <c r="AF453" s="197" t="s">
        <v>470</v>
      </c>
      <c r="AG453" s="84">
        <v>650</v>
      </c>
      <c r="AH453" s="157" t="s">
        <v>469</v>
      </c>
      <c r="AI453" s="8">
        <v>1</v>
      </c>
      <c r="AJ453" s="9">
        <v>63.293399999999998</v>
      </c>
      <c r="AK453" s="9">
        <v>0.7379</v>
      </c>
      <c r="AL453" s="9">
        <v>14.363099999999999</v>
      </c>
      <c r="AM453" s="189">
        <v>5.7049404673264998</v>
      </c>
      <c r="AN453" s="9">
        <v>0.13070000000000001</v>
      </c>
      <c r="AO453" s="9">
        <v>0.70489999999999997</v>
      </c>
      <c r="AP453" s="9">
        <v>3.6924999999999999</v>
      </c>
      <c r="AQ453" s="9">
        <v>4.9714</v>
      </c>
      <c r="AR453" s="9">
        <v>2.1328</v>
      </c>
      <c r="AS453" s="9">
        <v>0.2051</v>
      </c>
      <c r="AT453" s="190">
        <v>275.25740000000002</v>
      </c>
      <c r="AU453" s="9">
        <v>1.96335662324712</v>
      </c>
      <c r="AV453" s="6">
        <v>167.95523010718099</v>
      </c>
      <c r="AW453" s="27" t="s">
        <v>64</v>
      </c>
      <c r="AX453" s="6">
        <v>167.95523010718099</v>
      </c>
      <c r="AY453" s="8">
        <f t="shared" si="95"/>
        <v>1.1413136816601221</v>
      </c>
      <c r="AZ453" s="9">
        <f t="shared" si="96"/>
        <v>4.6780511832077298</v>
      </c>
      <c r="BA453" s="123">
        <v>63.293399999999998</v>
      </c>
      <c r="BB453" s="121">
        <v>0.7379</v>
      </c>
      <c r="BC453" s="121">
        <v>14.363099999999999</v>
      </c>
      <c r="BD453" s="121">
        <v>5.7058999999999997</v>
      </c>
      <c r="BE453" s="121">
        <v>0.13070000000000001</v>
      </c>
      <c r="BF453" s="121">
        <v>0.70489999999999997</v>
      </c>
      <c r="BG453" s="121">
        <v>3.6924999999999999</v>
      </c>
      <c r="BH453" s="121">
        <v>4.9714</v>
      </c>
      <c r="BI453" s="121">
        <v>2.1328</v>
      </c>
      <c r="BJ453" s="121">
        <v>0.2051</v>
      </c>
      <c r="BK453" s="121">
        <v>2.7525740000000003E-2</v>
      </c>
      <c r="BL453" s="121">
        <f t="shared" si="93"/>
        <v>95.965225740000008</v>
      </c>
      <c r="BM453" s="121">
        <v>1.96335662324712</v>
      </c>
      <c r="BN453" s="95">
        <v>167.95523010718099</v>
      </c>
      <c r="BO453" s="122" t="s">
        <v>64</v>
      </c>
      <c r="BP453" s="95">
        <v>167.95523010718099</v>
      </c>
      <c r="BQ453" s="194" t="s">
        <v>469</v>
      </c>
    </row>
    <row r="454" spans="12:69" ht="14.45" customHeight="1">
      <c r="L454" s="207" t="s">
        <v>483</v>
      </c>
      <c r="M454" s="763" t="s">
        <v>459</v>
      </c>
      <c r="N454" s="15" t="s">
        <v>460</v>
      </c>
      <c r="O454" s="14" t="s">
        <v>1439</v>
      </c>
      <c r="P454" s="15" t="s">
        <v>405</v>
      </c>
      <c r="Q454" s="15" t="s">
        <v>482</v>
      </c>
      <c r="R454" s="217" t="s">
        <v>64</v>
      </c>
      <c r="S454" s="193">
        <v>46.264769022311903</v>
      </c>
      <c r="T454" s="14">
        <f t="shared" si="92"/>
        <v>1040.7912899999999</v>
      </c>
      <c r="U454" s="27" t="s">
        <v>300</v>
      </c>
      <c r="V454" s="90" t="s">
        <v>64</v>
      </c>
      <c r="W454" s="109" t="s">
        <v>64</v>
      </c>
      <c r="X454" s="183" t="s">
        <v>64</v>
      </c>
      <c r="Y454" s="104" t="s">
        <v>64</v>
      </c>
      <c r="Z454" s="104" t="s">
        <v>64</v>
      </c>
      <c r="AA454" s="57" t="s">
        <v>64</v>
      </c>
      <c r="AB454" s="47" t="s">
        <v>64</v>
      </c>
      <c r="AC454" s="57">
        <v>30</v>
      </c>
      <c r="AD454" s="27" t="s">
        <v>470</v>
      </c>
      <c r="AE454" s="28">
        <f t="shared" si="94"/>
        <v>0.13365112679999999</v>
      </c>
      <c r="AF454" s="197" t="s">
        <v>470</v>
      </c>
      <c r="AG454" s="84">
        <v>30</v>
      </c>
      <c r="AH454" s="157" t="s">
        <v>469</v>
      </c>
      <c r="AI454" s="8">
        <v>1</v>
      </c>
      <c r="AJ454" s="9">
        <v>63.284999999999997</v>
      </c>
      <c r="AK454" s="9">
        <v>1.2079</v>
      </c>
      <c r="AL454" s="9">
        <v>12.733700000000001</v>
      </c>
      <c r="AM454" s="189">
        <v>8.7124346270065001</v>
      </c>
      <c r="AN454" s="9">
        <v>0.13980000000000001</v>
      </c>
      <c r="AO454" s="9">
        <v>1.3329</v>
      </c>
      <c r="AP454" s="9">
        <v>4.0692000000000004</v>
      </c>
      <c r="AQ454" s="9">
        <v>4.2245999999999997</v>
      </c>
      <c r="AR454" s="9">
        <v>2.3334999999999999</v>
      </c>
      <c r="AS454" s="9">
        <v>0.35399999999999998</v>
      </c>
      <c r="AT454" s="190">
        <v>436.40809599999994</v>
      </c>
      <c r="AU454" s="9">
        <v>0.48518131362578898</v>
      </c>
      <c r="AV454" s="6">
        <v>4.4780275205681601</v>
      </c>
      <c r="AW454" s="27" t="s">
        <v>64</v>
      </c>
      <c r="AX454" s="6">
        <v>4.4780275205681601</v>
      </c>
      <c r="AY454" s="8">
        <f t="shared" si="95"/>
        <v>1.7429841551057921</v>
      </c>
      <c r="AZ454" s="9">
        <f t="shared" si="96"/>
        <v>7.1441963941453306</v>
      </c>
      <c r="BA454" s="123">
        <v>63.284999999999997</v>
      </c>
      <c r="BB454" s="121">
        <v>1.2079</v>
      </c>
      <c r="BC454" s="121">
        <v>12.733700000000001</v>
      </c>
      <c r="BD454" s="121">
        <v>8.7139000000000006</v>
      </c>
      <c r="BE454" s="121">
        <v>0.13980000000000001</v>
      </c>
      <c r="BF454" s="121">
        <v>1.3329</v>
      </c>
      <c r="BG454" s="121">
        <v>4.0692000000000004</v>
      </c>
      <c r="BH454" s="121">
        <v>4.2245999999999997</v>
      </c>
      <c r="BI454" s="121">
        <v>2.3334999999999999</v>
      </c>
      <c r="BJ454" s="121">
        <v>0.35399999999999998</v>
      </c>
      <c r="BK454" s="121">
        <v>4.3640809599999997E-2</v>
      </c>
      <c r="BL454" s="121">
        <f t="shared" si="93"/>
        <v>98.438140809599972</v>
      </c>
      <c r="BM454" s="121">
        <v>0.48518131362578898</v>
      </c>
      <c r="BN454" s="95">
        <v>4.4780275205681601</v>
      </c>
      <c r="BO454" s="122" t="s">
        <v>64</v>
      </c>
      <c r="BP454" s="95">
        <v>4.4780275205681601</v>
      </c>
      <c r="BQ454" s="194" t="s">
        <v>469</v>
      </c>
    </row>
    <row r="455" spans="12:69" ht="14.45" customHeight="1">
      <c r="L455" s="207" t="s">
        <v>483</v>
      </c>
      <c r="M455" s="763" t="s">
        <v>459</v>
      </c>
      <c r="N455" s="15" t="s">
        <v>460</v>
      </c>
      <c r="O455" s="14" t="s">
        <v>1440</v>
      </c>
      <c r="P455" s="15" t="s">
        <v>405</v>
      </c>
      <c r="Q455" s="15" t="s">
        <v>482</v>
      </c>
      <c r="R455" s="217" t="s">
        <v>64</v>
      </c>
      <c r="S455" s="193">
        <v>50.297104500902904</v>
      </c>
      <c r="T455" s="14">
        <f t="shared" si="92"/>
        <v>1064.2077899999999</v>
      </c>
      <c r="U455" s="27" t="s">
        <v>300</v>
      </c>
      <c r="V455" s="90" t="s">
        <v>64</v>
      </c>
      <c r="W455" s="109" t="s">
        <v>64</v>
      </c>
      <c r="X455" s="183" t="s">
        <v>64</v>
      </c>
      <c r="Y455" s="104" t="s">
        <v>64</v>
      </c>
      <c r="Z455" s="104" t="s">
        <v>64</v>
      </c>
      <c r="AA455" s="57" t="s">
        <v>64</v>
      </c>
      <c r="AB455" s="47" t="s">
        <v>64</v>
      </c>
      <c r="AC455" s="57">
        <v>820</v>
      </c>
      <c r="AD455" s="27" t="s">
        <v>470</v>
      </c>
      <c r="AE455" s="28">
        <f t="shared" si="94"/>
        <v>3.3663756511999994</v>
      </c>
      <c r="AF455" s="197" t="s">
        <v>470</v>
      </c>
      <c r="AG455" s="84">
        <v>820</v>
      </c>
      <c r="AH455" s="157" t="s">
        <v>469</v>
      </c>
      <c r="AI455" s="8">
        <v>1</v>
      </c>
      <c r="AJ455" s="9">
        <v>55.219499999999996</v>
      </c>
      <c r="AK455" s="9">
        <v>2.2589999999999999</v>
      </c>
      <c r="AL455" s="9">
        <v>13.472200000000001</v>
      </c>
      <c r="AM455" s="189">
        <v>9.8248475266274991</v>
      </c>
      <c r="AN455" s="9">
        <v>0.14860000000000001</v>
      </c>
      <c r="AO455" s="9">
        <v>2.4979</v>
      </c>
      <c r="AP455" s="9">
        <v>5.6852</v>
      </c>
      <c r="AQ455" s="9">
        <v>4.2054999999999998</v>
      </c>
      <c r="AR455" s="9">
        <v>1.6536999999999999</v>
      </c>
      <c r="AS455" s="9">
        <v>0.93069999999999997</v>
      </c>
      <c r="AT455" s="190">
        <v>892.83491200000014</v>
      </c>
      <c r="AU455" s="9">
        <v>1.6943528168906301</v>
      </c>
      <c r="AV455" s="6">
        <v>330.60904492034399</v>
      </c>
      <c r="AW455" s="27" t="s">
        <v>64</v>
      </c>
      <c r="AX455" s="6">
        <v>330.60904492034399</v>
      </c>
      <c r="AY455" s="8">
        <f t="shared" si="95"/>
        <v>1.9655302218463677</v>
      </c>
      <c r="AZ455" s="9">
        <f t="shared" si="96"/>
        <v>8.0563749718345505</v>
      </c>
      <c r="BA455" s="123">
        <v>55.219499999999996</v>
      </c>
      <c r="BB455" s="121">
        <v>2.2589999999999999</v>
      </c>
      <c r="BC455" s="121">
        <v>13.472200000000001</v>
      </c>
      <c r="BD455" s="121">
        <v>9.8264999999999993</v>
      </c>
      <c r="BE455" s="121">
        <v>0.14860000000000001</v>
      </c>
      <c r="BF455" s="121">
        <v>2.4979</v>
      </c>
      <c r="BG455" s="121">
        <v>5.6852</v>
      </c>
      <c r="BH455" s="121">
        <v>4.2054999999999998</v>
      </c>
      <c r="BI455" s="121">
        <v>1.6536999999999999</v>
      </c>
      <c r="BJ455" s="121">
        <v>0.93069999999999997</v>
      </c>
      <c r="BK455" s="121">
        <v>8.9283491200000009E-2</v>
      </c>
      <c r="BL455" s="121">
        <f t="shared" si="93"/>
        <v>95.988083491200001</v>
      </c>
      <c r="BM455" s="121">
        <v>1.6943528168906301</v>
      </c>
      <c r="BN455" s="95">
        <v>330.60904492034399</v>
      </c>
      <c r="BO455" s="122" t="s">
        <v>64</v>
      </c>
      <c r="BP455" s="95">
        <v>330.60904492034399</v>
      </c>
      <c r="BQ455" s="194" t="s">
        <v>469</v>
      </c>
    </row>
    <row r="456" spans="12:69" ht="14.45" customHeight="1">
      <c r="L456" s="207" t="s">
        <v>483</v>
      </c>
      <c r="M456" s="763" t="s">
        <v>459</v>
      </c>
      <c r="N456" s="15" t="s">
        <v>460</v>
      </c>
      <c r="O456" s="14" t="s">
        <v>1441</v>
      </c>
      <c r="P456" s="15" t="s">
        <v>405</v>
      </c>
      <c r="Q456" s="15" t="s">
        <v>482</v>
      </c>
      <c r="R456" s="217" t="s">
        <v>64</v>
      </c>
      <c r="S456" s="193">
        <v>51.5223004174157</v>
      </c>
      <c r="T456" s="14">
        <f t="shared" si="92"/>
        <v>1047.70569</v>
      </c>
      <c r="U456" s="27" t="s">
        <v>300</v>
      </c>
      <c r="V456" s="90" t="s">
        <v>64</v>
      </c>
      <c r="W456" s="109" t="s">
        <v>64</v>
      </c>
      <c r="X456" s="183" t="s">
        <v>64</v>
      </c>
      <c r="Y456" s="104" t="s">
        <v>64</v>
      </c>
      <c r="Z456" s="104" t="s">
        <v>64</v>
      </c>
      <c r="AA456" s="57" t="s">
        <v>64</v>
      </c>
      <c r="AB456" s="47" t="s">
        <v>64</v>
      </c>
      <c r="AC456" s="57">
        <v>20</v>
      </c>
      <c r="AD456" s="27" t="s">
        <v>470</v>
      </c>
      <c r="AE456" s="28">
        <f t="shared" si="94"/>
        <v>8.9200227199999996E-2</v>
      </c>
      <c r="AF456" s="197" t="s">
        <v>470</v>
      </c>
      <c r="AG456" s="84">
        <v>20</v>
      </c>
      <c r="AH456" s="157" t="s">
        <v>469</v>
      </c>
      <c r="AI456" s="8">
        <v>1</v>
      </c>
      <c r="AJ456" s="9">
        <v>60.5867</v>
      </c>
      <c r="AK456" s="9">
        <v>1.6989000000000001</v>
      </c>
      <c r="AL456" s="9">
        <v>11.4559</v>
      </c>
      <c r="AM456" s="189">
        <v>10.353358634608501</v>
      </c>
      <c r="AN456" s="9">
        <v>0.21929999999999999</v>
      </c>
      <c r="AO456" s="9">
        <v>1.6769000000000001</v>
      </c>
      <c r="AP456" s="9">
        <v>4.6140999999999996</v>
      </c>
      <c r="AQ456" s="9">
        <v>3.4577</v>
      </c>
      <c r="AR456" s="9">
        <v>2.0939000000000001</v>
      </c>
      <c r="AS456" s="9">
        <v>0.69630000000000003</v>
      </c>
      <c r="AT456" s="190">
        <v>673.12945999999999</v>
      </c>
      <c r="AU456" s="9">
        <v>0.39504245834444801</v>
      </c>
      <c r="AV456" s="6">
        <v>1.4411392572881403</v>
      </c>
      <c r="AW456" s="27" t="s">
        <v>64</v>
      </c>
      <c r="AX456" s="6">
        <v>1.4411392572881403</v>
      </c>
      <c r="AY456" s="8">
        <f t="shared" si="95"/>
        <v>2.0712626062424389</v>
      </c>
      <c r="AZ456" s="9">
        <f t="shared" si="96"/>
        <v>8.4897540803789706</v>
      </c>
      <c r="BA456" s="123">
        <v>60.5867</v>
      </c>
      <c r="BB456" s="121">
        <v>1.6989000000000001</v>
      </c>
      <c r="BC456" s="121">
        <v>11.4559</v>
      </c>
      <c r="BD456" s="121">
        <v>10.3551</v>
      </c>
      <c r="BE456" s="121">
        <v>0.21929999999999999</v>
      </c>
      <c r="BF456" s="121">
        <v>1.6769000000000001</v>
      </c>
      <c r="BG456" s="121">
        <v>4.6140999999999996</v>
      </c>
      <c r="BH456" s="121">
        <v>3.4577</v>
      </c>
      <c r="BI456" s="121">
        <v>2.0939000000000001</v>
      </c>
      <c r="BJ456" s="121">
        <v>0.69630000000000003</v>
      </c>
      <c r="BK456" s="121">
        <v>6.7312945999999999E-2</v>
      </c>
      <c r="BL456" s="121">
        <f t="shared" si="93"/>
        <v>96.922112945999999</v>
      </c>
      <c r="BM456" s="121">
        <v>0.39504245834444801</v>
      </c>
      <c r="BN456" s="95">
        <v>1.4411392572881401</v>
      </c>
      <c r="BO456" s="122" t="s">
        <v>64</v>
      </c>
      <c r="BP456" s="95">
        <v>1.4411392572881401</v>
      </c>
      <c r="BQ456" s="194" t="s">
        <v>469</v>
      </c>
    </row>
    <row r="457" spans="12:69" ht="14.45" customHeight="1">
      <c r="L457" s="207" t="s">
        <v>483</v>
      </c>
      <c r="M457" s="763" t="s">
        <v>459</v>
      </c>
      <c r="N457" s="15" t="s">
        <v>460</v>
      </c>
      <c r="O457" s="14" t="s">
        <v>1442</v>
      </c>
      <c r="P457" s="15" t="s">
        <v>405</v>
      </c>
      <c r="Q457" s="15" t="s">
        <v>482</v>
      </c>
      <c r="R457" s="217" t="s">
        <v>64</v>
      </c>
      <c r="S457" s="193">
        <v>47.909152559764699</v>
      </c>
      <c r="T457" s="14">
        <f t="shared" si="92"/>
        <v>1029.5011199999999</v>
      </c>
      <c r="U457" s="27" t="s">
        <v>300</v>
      </c>
      <c r="V457" s="90" t="s">
        <v>64</v>
      </c>
      <c r="W457" s="109" t="s">
        <v>64</v>
      </c>
      <c r="X457" s="183" t="s">
        <v>64</v>
      </c>
      <c r="Y457" s="104" t="s">
        <v>64</v>
      </c>
      <c r="Z457" s="104" t="s">
        <v>64</v>
      </c>
      <c r="AA457" s="57" t="s">
        <v>64</v>
      </c>
      <c r="AB457" s="47" t="s">
        <v>64</v>
      </c>
      <c r="AC457" s="57">
        <v>800</v>
      </c>
      <c r="AD457" s="27" t="s">
        <v>470</v>
      </c>
      <c r="AE457" s="28">
        <f t="shared" si="94"/>
        <v>3.2905088</v>
      </c>
      <c r="AF457" s="197" t="s">
        <v>470</v>
      </c>
      <c r="AG457" s="84">
        <v>800</v>
      </c>
      <c r="AH457" s="157" t="s">
        <v>469</v>
      </c>
      <c r="AI457" s="8">
        <v>1</v>
      </c>
      <c r="AJ457" s="9">
        <v>62.372599999999998</v>
      </c>
      <c r="AK457" s="9">
        <v>0.85160000000000002</v>
      </c>
      <c r="AL457" s="9">
        <v>13.754300000000001</v>
      </c>
      <c r="AM457" s="189">
        <v>6.2545480270259999</v>
      </c>
      <c r="AN457" s="9">
        <v>0.17799999999999999</v>
      </c>
      <c r="AO457" s="9">
        <v>0.7712</v>
      </c>
      <c r="AP457" s="9">
        <v>3.7334000000000001</v>
      </c>
      <c r="AQ457" s="9">
        <v>4.6836000000000002</v>
      </c>
      <c r="AR457" s="9">
        <v>2.2768000000000002</v>
      </c>
      <c r="AS457" s="9">
        <v>0.23369999999999999</v>
      </c>
      <c r="AT457" s="190">
        <v>279.261144</v>
      </c>
      <c r="AU457" s="9">
        <v>1.8532323004487401</v>
      </c>
      <c r="AV457" s="6">
        <v>274.872080506945</v>
      </c>
      <c r="AW457" s="27" t="s">
        <v>64</v>
      </c>
      <c r="AX457" s="6">
        <v>274.872080506945</v>
      </c>
      <c r="AY457" s="8">
        <f t="shared" si="95"/>
        <v>1.2512665604011743</v>
      </c>
      <c r="AZ457" s="9">
        <f t="shared" si="96"/>
        <v>5.1287293821613211</v>
      </c>
      <c r="BA457" s="123">
        <v>62.372599999999998</v>
      </c>
      <c r="BB457" s="121">
        <v>0.85160000000000002</v>
      </c>
      <c r="BC457" s="121">
        <v>13.754300000000001</v>
      </c>
      <c r="BD457" s="121">
        <v>6.2556000000000003</v>
      </c>
      <c r="BE457" s="121">
        <v>0.17799999999999999</v>
      </c>
      <c r="BF457" s="121">
        <v>0.7712</v>
      </c>
      <c r="BG457" s="121">
        <v>3.7334000000000001</v>
      </c>
      <c r="BH457" s="121">
        <v>4.6836000000000002</v>
      </c>
      <c r="BI457" s="121">
        <v>2.2768000000000002</v>
      </c>
      <c r="BJ457" s="121">
        <v>0.23369999999999999</v>
      </c>
      <c r="BK457" s="121">
        <v>2.79261144E-2</v>
      </c>
      <c r="BL457" s="121">
        <f t="shared" si="93"/>
        <v>95.138726114399986</v>
      </c>
      <c r="BM457" s="121">
        <v>1.8532323004487401</v>
      </c>
      <c r="BN457" s="95">
        <v>274.872080506945</v>
      </c>
      <c r="BO457" s="122" t="s">
        <v>64</v>
      </c>
      <c r="BP457" s="95">
        <v>274.872080506945</v>
      </c>
      <c r="BQ457" s="194" t="s">
        <v>469</v>
      </c>
    </row>
    <row r="458" spans="12:69" ht="14.45" customHeight="1">
      <c r="L458" s="207" t="s">
        <v>483</v>
      </c>
      <c r="M458" s="763" t="s">
        <v>459</v>
      </c>
      <c r="N458" s="15" t="s">
        <v>460</v>
      </c>
      <c r="O458" s="14" t="s">
        <v>1443</v>
      </c>
      <c r="P458" s="15" t="s">
        <v>405</v>
      </c>
      <c r="Q458" s="15" t="s">
        <v>482</v>
      </c>
      <c r="R458" s="217" t="s">
        <v>64</v>
      </c>
      <c r="S458" s="193">
        <v>43.6786147363254</v>
      </c>
      <c r="T458" s="14">
        <f t="shared" si="92"/>
        <v>1014</v>
      </c>
      <c r="U458" s="27" t="s">
        <v>300</v>
      </c>
      <c r="V458" s="90" t="s">
        <v>64</v>
      </c>
      <c r="W458" s="109" t="s">
        <v>64</v>
      </c>
      <c r="X458" s="183" t="s">
        <v>64</v>
      </c>
      <c r="Y458" s="104" t="s">
        <v>64</v>
      </c>
      <c r="Z458" s="104" t="s">
        <v>64</v>
      </c>
      <c r="AA458" s="57" t="s">
        <v>64</v>
      </c>
      <c r="AB458" s="47" t="s">
        <v>64</v>
      </c>
      <c r="AC458" s="57">
        <v>180</v>
      </c>
      <c r="AD458" s="27" t="s">
        <v>470</v>
      </c>
      <c r="AE458" s="28">
        <f t="shared" si="94"/>
        <v>0.78877298879999991</v>
      </c>
      <c r="AF458" s="197" t="s">
        <v>470</v>
      </c>
      <c r="AG458" s="84">
        <v>180</v>
      </c>
      <c r="AH458" s="157" t="s">
        <v>469</v>
      </c>
      <c r="AI458" s="8">
        <v>1</v>
      </c>
      <c r="AJ458" s="9">
        <v>63.666129627336403</v>
      </c>
      <c r="AK458" s="9">
        <v>0</v>
      </c>
      <c r="AL458" s="9">
        <v>0</v>
      </c>
      <c r="AM458" s="189">
        <v>0</v>
      </c>
      <c r="AN458" s="9">
        <v>0</v>
      </c>
      <c r="AO458" s="9">
        <v>0</v>
      </c>
      <c r="AP458" s="9">
        <v>0</v>
      </c>
      <c r="AQ458" s="9">
        <v>0</v>
      </c>
      <c r="AR458" s="9">
        <v>0</v>
      </c>
      <c r="AS458" s="9">
        <v>0</v>
      </c>
      <c r="AT458" s="190">
        <v>0</v>
      </c>
      <c r="AU458" s="9">
        <v>0.898444261003573</v>
      </c>
      <c r="AV458" s="6">
        <v>200.339347962061</v>
      </c>
      <c r="AW458" s="27" t="s">
        <v>64</v>
      </c>
      <c r="AX458" s="6">
        <v>200.339347962061</v>
      </c>
      <c r="AY458" s="8">
        <f t="shared" si="95"/>
        <v>0</v>
      </c>
      <c r="AZ458" s="9">
        <f t="shared" si="96"/>
        <v>0</v>
      </c>
      <c r="BA458" s="123">
        <v>63.666129627336403</v>
      </c>
      <c r="BB458" s="121">
        <v>0</v>
      </c>
      <c r="BC458" s="121">
        <v>0</v>
      </c>
      <c r="BD458" s="121">
        <v>0</v>
      </c>
      <c r="BE458" s="121">
        <v>0</v>
      </c>
      <c r="BF458" s="121">
        <v>0</v>
      </c>
      <c r="BG458" s="121">
        <v>0</v>
      </c>
      <c r="BH458" s="121">
        <v>0</v>
      </c>
      <c r="BI458" s="121">
        <v>0</v>
      </c>
      <c r="BJ458" s="121">
        <v>0</v>
      </c>
      <c r="BK458" s="121">
        <v>0</v>
      </c>
      <c r="BL458" s="121">
        <f t="shared" si="93"/>
        <v>63.666129627336403</v>
      </c>
      <c r="BM458" s="121">
        <v>0.898444261003573</v>
      </c>
      <c r="BN458" s="95">
        <v>200.339347962061</v>
      </c>
      <c r="BO458" s="122" t="s">
        <v>64</v>
      </c>
      <c r="BP458" s="95">
        <v>200.339347962061</v>
      </c>
      <c r="BQ458" s="194" t="s">
        <v>469</v>
      </c>
    </row>
    <row r="459" spans="12:69" ht="14.45" customHeight="1">
      <c r="L459" s="207" t="s">
        <v>483</v>
      </c>
      <c r="M459" s="763" t="s">
        <v>459</v>
      </c>
      <c r="N459" s="15" t="s">
        <v>460</v>
      </c>
      <c r="O459" s="14" t="s">
        <v>1444</v>
      </c>
      <c r="P459" s="15" t="s">
        <v>405</v>
      </c>
      <c r="Q459" s="15" t="s">
        <v>482</v>
      </c>
      <c r="R459" s="217" t="s">
        <v>64</v>
      </c>
      <c r="S459" s="193">
        <v>53.321805043626306</v>
      </c>
      <c r="T459" s="14">
        <f t="shared" si="92"/>
        <v>1058.16372</v>
      </c>
      <c r="U459" s="218" t="s">
        <v>1472</v>
      </c>
      <c r="V459" s="90" t="s">
        <v>462</v>
      </c>
      <c r="W459" s="109" t="s">
        <v>480</v>
      </c>
      <c r="X459" s="183" t="s">
        <v>64</v>
      </c>
      <c r="Y459" s="104" t="s">
        <v>64</v>
      </c>
      <c r="Z459" s="104" t="s">
        <v>64</v>
      </c>
      <c r="AA459" s="57" t="s">
        <v>64</v>
      </c>
      <c r="AB459" s="47" t="s">
        <v>64</v>
      </c>
      <c r="AC459" s="57">
        <v>300</v>
      </c>
      <c r="AD459" s="27" t="s">
        <v>470</v>
      </c>
      <c r="AE459" s="28">
        <f t="shared" si="94"/>
        <v>1.2977748</v>
      </c>
      <c r="AF459" s="197" t="s">
        <v>470</v>
      </c>
      <c r="AG459" s="84">
        <v>300</v>
      </c>
      <c r="AH459" s="157" t="s">
        <v>469</v>
      </c>
      <c r="AI459" s="8">
        <v>1</v>
      </c>
      <c r="AJ459" s="9">
        <v>59.311700000000002</v>
      </c>
      <c r="AK459" s="9">
        <v>1.7121999999999999</v>
      </c>
      <c r="AL459" s="9">
        <v>13.4785</v>
      </c>
      <c r="AM459" s="189">
        <v>7.8995713451515002</v>
      </c>
      <c r="AN459" s="9">
        <v>7.1800000000000003E-2</v>
      </c>
      <c r="AO459" s="9">
        <v>2.1972</v>
      </c>
      <c r="AP459" s="9">
        <v>5.6832000000000003</v>
      </c>
      <c r="AQ459" s="9">
        <v>4.7926000000000002</v>
      </c>
      <c r="AR459" s="9">
        <v>1.7294</v>
      </c>
      <c r="AS459" s="9">
        <v>0.60860000000000003</v>
      </c>
      <c r="AT459" s="190">
        <v>562.02556400000003</v>
      </c>
      <c r="AU459" s="9">
        <v>0.66513804181236202</v>
      </c>
      <c r="AV459" s="6">
        <v>146.46712165596799</v>
      </c>
      <c r="AW459" s="27" t="s">
        <v>64</v>
      </c>
      <c r="AX459" s="6">
        <v>146.46712165596799</v>
      </c>
      <c r="AY459" s="8">
        <f t="shared" si="95"/>
        <v>1.5803651075953766</v>
      </c>
      <c r="AZ459" s="9">
        <f t="shared" si="96"/>
        <v>6.4776485030242306</v>
      </c>
      <c r="BA459" s="123">
        <v>59.311700000000002</v>
      </c>
      <c r="BB459" s="121">
        <v>1.7121999999999999</v>
      </c>
      <c r="BC459" s="121">
        <v>13.4785</v>
      </c>
      <c r="BD459" s="121">
        <v>7.9009</v>
      </c>
      <c r="BE459" s="121">
        <v>7.1800000000000003E-2</v>
      </c>
      <c r="BF459" s="121">
        <v>2.1972</v>
      </c>
      <c r="BG459" s="121">
        <v>5.6832000000000003</v>
      </c>
      <c r="BH459" s="121">
        <v>4.7926000000000002</v>
      </c>
      <c r="BI459" s="121">
        <v>1.7294</v>
      </c>
      <c r="BJ459" s="121">
        <v>0.60860000000000003</v>
      </c>
      <c r="BK459" s="121">
        <v>5.6202556400000006E-2</v>
      </c>
      <c r="BL459" s="121">
        <f t="shared" si="93"/>
        <v>97.542302556399989</v>
      </c>
      <c r="BM459" s="121">
        <v>0.66513804181236202</v>
      </c>
      <c r="BN459" s="95">
        <v>146.46712165596799</v>
      </c>
      <c r="BO459" s="122" t="s">
        <v>64</v>
      </c>
      <c r="BP459" s="95">
        <v>146.46712165596799</v>
      </c>
      <c r="BQ459" s="194" t="s">
        <v>469</v>
      </c>
    </row>
    <row r="460" spans="12:69" ht="14.45" customHeight="1">
      <c r="L460" s="207" t="s">
        <v>483</v>
      </c>
      <c r="M460" s="763" t="s">
        <v>459</v>
      </c>
      <c r="N460" s="15" t="s">
        <v>460</v>
      </c>
      <c r="O460" s="14" t="s">
        <v>1445</v>
      </c>
      <c r="P460" s="15" t="s">
        <v>405</v>
      </c>
      <c r="Q460" s="15" t="s">
        <v>482</v>
      </c>
      <c r="R460" s="217" t="s">
        <v>64</v>
      </c>
      <c r="S460" s="193">
        <v>37.923578335469998</v>
      </c>
      <c r="T460" s="14">
        <f t="shared" si="92"/>
        <v>1024.66707</v>
      </c>
      <c r="U460" s="27" t="s">
        <v>300</v>
      </c>
      <c r="V460" s="90" t="s">
        <v>64</v>
      </c>
      <c r="W460" s="109" t="s">
        <v>64</v>
      </c>
      <c r="X460" s="183" t="s">
        <v>64</v>
      </c>
      <c r="Y460" s="104" t="s">
        <v>64</v>
      </c>
      <c r="Z460" s="104" t="s">
        <v>64</v>
      </c>
      <c r="AA460" s="57" t="s">
        <v>64</v>
      </c>
      <c r="AB460" s="47" t="s">
        <v>64</v>
      </c>
      <c r="AC460" s="57">
        <v>400</v>
      </c>
      <c r="AD460" s="27" t="s">
        <v>470</v>
      </c>
      <c r="AE460" s="28">
        <f t="shared" si="94"/>
        <v>1.7122496</v>
      </c>
      <c r="AF460" s="197" t="s">
        <v>470</v>
      </c>
      <c r="AG460" s="84">
        <v>400</v>
      </c>
      <c r="AH460" s="157" t="s">
        <v>469</v>
      </c>
      <c r="AI460" s="8">
        <v>1</v>
      </c>
      <c r="AJ460" s="9">
        <v>65.126900000000006</v>
      </c>
      <c r="AK460" s="9">
        <v>0.49940000000000001</v>
      </c>
      <c r="AL460" s="9">
        <v>14.2257</v>
      </c>
      <c r="AM460" s="189">
        <v>5.4922762360219997</v>
      </c>
      <c r="AN460" s="9">
        <v>0.14630000000000001</v>
      </c>
      <c r="AO460" s="9">
        <v>0.53069999999999995</v>
      </c>
      <c r="AP460" s="9">
        <v>3.0297999999999998</v>
      </c>
      <c r="AQ460" s="9">
        <v>5.5945</v>
      </c>
      <c r="AR460" s="9">
        <v>2.3046000000000002</v>
      </c>
      <c r="AS460" s="9">
        <v>7.1300000000000002E-2</v>
      </c>
      <c r="AT460" s="190">
        <v>165.15443999999999</v>
      </c>
      <c r="AU460" s="9">
        <v>1.52819425751647</v>
      </c>
      <c r="AV460" s="6">
        <v>100.593501399701</v>
      </c>
      <c r="AW460" s="27" t="s">
        <v>64</v>
      </c>
      <c r="AX460" s="6">
        <v>100.593501399701</v>
      </c>
      <c r="AY460" s="8">
        <f t="shared" si="95"/>
        <v>1.098768698381567</v>
      </c>
      <c r="AZ460" s="9">
        <f t="shared" si="96"/>
        <v>4.5036665135380396</v>
      </c>
      <c r="BA460" s="123">
        <v>65.126900000000006</v>
      </c>
      <c r="BB460" s="121">
        <v>0.49940000000000001</v>
      </c>
      <c r="BC460" s="121">
        <v>14.2257</v>
      </c>
      <c r="BD460" s="121">
        <v>5.4931999999999999</v>
      </c>
      <c r="BE460" s="121">
        <v>0.14630000000000001</v>
      </c>
      <c r="BF460" s="121">
        <v>0.53069999999999995</v>
      </c>
      <c r="BG460" s="121">
        <v>3.0297999999999998</v>
      </c>
      <c r="BH460" s="121">
        <v>5.5945</v>
      </c>
      <c r="BI460" s="121">
        <v>2.3046000000000002</v>
      </c>
      <c r="BJ460" s="121">
        <v>7.1300000000000002E-2</v>
      </c>
      <c r="BK460" s="121">
        <v>1.6515444000000001E-2</v>
      </c>
      <c r="BL460" s="121">
        <f t="shared" si="93"/>
        <v>97.038915443999983</v>
      </c>
      <c r="BM460" s="121">
        <v>1.52819425751647</v>
      </c>
      <c r="BN460" s="95">
        <v>100.593501399701</v>
      </c>
      <c r="BO460" s="122" t="s">
        <v>64</v>
      </c>
      <c r="BP460" s="95">
        <v>100.593501399701</v>
      </c>
      <c r="BQ460" s="194" t="s">
        <v>469</v>
      </c>
    </row>
    <row r="461" spans="12:69" ht="14.45" customHeight="1">
      <c r="L461" s="207" t="s">
        <v>483</v>
      </c>
      <c r="M461" s="763" t="s">
        <v>459</v>
      </c>
      <c r="N461" s="15" t="s">
        <v>460</v>
      </c>
      <c r="O461" s="14" t="s">
        <v>1446</v>
      </c>
      <c r="P461" s="15" t="s">
        <v>405</v>
      </c>
      <c r="Q461" s="15" t="s">
        <v>482</v>
      </c>
      <c r="R461" s="217" t="s">
        <v>64</v>
      </c>
      <c r="S461" s="193">
        <v>61.269797851883801</v>
      </c>
      <c r="T461" s="14">
        <f t="shared" si="92"/>
        <v>1105.8288600000001</v>
      </c>
      <c r="U461" s="218" t="s">
        <v>1472</v>
      </c>
      <c r="V461" s="90" t="s">
        <v>462</v>
      </c>
      <c r="W461" s="109" t="s">
        <v>480</v>
      </c>
      <c r="X461" s="183" t="s">
        <v>64</v>
      </c>
      <c r="Y461" s="104" t="s">
        <v>64</v>
      </c>
      <c r="Z461" s="104" t="s">
        <v>64</v>
      </c>
      <c r="AA461" s="57" t="s">
        <v>64</v>
      </c>
      <c r="AB461" s="47" t="s">
        <v>64</v>
      </c>
      <c r="AC461" s="57">
        <v>190</v>
      </c>
      <c r="AD461" s="27" t="s">
        <v>470</v>
      </c>
      <c r="AE461" s="28">
        <f t="shared" si="94"/>
        <v>0.83169027559999997</v>
      </c>
      <c r="AF461" s="197" t="s">
        <v>470</v>
      </c>
      <c r="AG461" s="84">
        <v>190</v>
      </c>
      <c r="AH461" s="157" t="s">
        <v>469</v>
      </c>
      <c r="AI461" s="8">
        <v>1</v>
      </c>
      <c r="AJ461" s="9">
        <v>50.714399999999998</v>
      </c>
      <c r="AK461" s="9">
        <v>3.8633999999999999</v>
      </c>
      <c r="AL461" s="9">
        <v>12.757300000000001</v>
      </c>
      <c r="AM461" s="189">
        <v>12.090866397471499</v>
      </c>
      <c r="AN461" s="9">
        <v>0.25080000000000002</v>
      </c>
      <c r="AO461" s="9">
        <v>4.5686</v>
      </c>
      <c r="AP461" s="9">
        <v>8.1021000000000001</v>
      </c>
      <c r="AQ461" s="9">
        <v>2.9508000000000001</v>
      </c>
      <c r="AR461" s="9">
        <v>0.98929999999999996</v>
      </c>
      <c r="AS461" s="9">
        <v>0.38500000000000001</v>
      </c>
      <c r="AT461" s="190">
        <v>1077.5076039999999</v>
      </c>
      <c r="AU461" s="9">
        <v>0.59166844480013403</v>
      </c>
      <c r="AV461" s="6">
        <v>101.518504765846</v>
      </c>
      <c r="AW461" s="27" t="s">
        <v>64</v>
      </c>
      <c r="AX461" s="6">
        <v>101.518504765846</v>
      </c>
      <c r="AY461" s="8">
        <f t="shared" si="95"/>
        <v>2.4188633205888102</v>
      </c>
      <c r="AZ461" s="9">
        <f t="shared" si="96"/>
        <v>9.9145104459266307</v>
      </c>
      <c r="BA461" s="123">
        <v>50.714399999999998</v>
      </c>
      <c r="BB461" s="121">
        <v>3.8633999999999999</v>
      </c>
      <c r="BC461" s="121">
        <v>12.757300000000001</v>
      </c>
      <c r="BD461" s="121">
        <v>12.0929</v>
      </c>
      <c r="BE461" s="121">
        <v>0.25080000000000002</v>
      </c>
      <c r="BF461" s="121">
        <v>4.5686</v>
      </c>
      <c r="BG461" s="121">
        <v>8.1021000000000001</v>
      </c>
      <c r="BH461" s="121">
        <v>2.9508000000000001</v>
      </c>
      <c r="BI461" s="121">
        <v>0.98929999999999996</v>
      </c>
      <c r="BJ461" s="121">
        <v>0.38500000000000001</v>
      </c>
      <c r="BK461" s="121">
        <v>0.10775076039999999</v>
      </c>
      <c r="BL461" s="121">
        <f t="shared" si="93"/>
        <v>96.782350760400007</v>
      </c>
      <c r="BM461" s="121">
        <v>0.59166844480013403</v>
      </c>
      <c r="BN461" s="95">
        <v>101.518504765846</v>
      </c>
      <c r="BO461" s="122" t="s">
        <v>64</v>
      </c>
      <c r="BP461" s="95">
        <v>101.518504765846</v>
      </c>
      <c r="BQ461" s="194" t="s">
        <v>469</v>
      </c>
    </row>
    <row r="462" spans="12:69" ht="14.45" customHeight="1">
      <c r="L462" s="207" t="s">
        <v>483</v>
      </c>
      <c r="M462" s="763" t="s">
        <v>459</v>
      </c>
      <c r="N462" s="15" t="s">
        <v>460</v>
      </c>
      <c r="O462" s="14" t="s">
        <v>1447</v>
      </c>
      <c r="P462" s="15" t="s">
        <v>405</v>
      </c>
      <c r="Q462" s="15" t="s">
        <v>482</v>
      </c>
      <c r="R462" s="217" t="s">
        <v>64</v>
      </c>
      <c r="S462" s="193">
        <v>61.269797851883801</v>
      </c>
      <c r="T462" s="14">
        <f t="shared" si="92"/>
        <v>1108.0519200000001</v>
      </c>
      <c r="U462" s="27" t="s">
        <v>300</v>
      </c>
      <c r="V462" s="90" t="s">
        <v>64</v>
      </c>
      <c r="W462" s="109" t="s">
        <v>64</v>
      </c>
      <c r="X462" s="183" t="s">
        <v>64</v>
      </c>
      <c r="Y462" s="104" t="s">
        <v>64</v>
      </c>
      <c r="Z462" s="104" t="s">
        <v>64</v>
      </c>
      <c r="AA462" s="57" t="s">
        <v>64</v>
      </c>
      <c r="AB462" s="47" t="s">
        <v>64</v>
      </c>
      <c r="AC462" s="57">
        <v>540</v>
      </c>
      <c r="AD462" s="27" t="s">
        <v>470</v>
      </c>
      <c r="AE462" s="28">
        <f t="shared" si="94"/>
        <v>2.2785372576</v>
      </c>
      <c r="AF462" s="197" t="s">
        <v>470</v>
      </c>
      <c r="AG462" s="84">
        <v>540</v>
      </c>
      <c r="AH462" s="157" t="s">
        <v>469</v>
      </c>
      <c r="AI462" s="8">
        <v>1</v>
      </c>
      <c r="AJ462" s="9">
        <v>50.534100000000002</v>
      </c>
      <c r="AK462" s="9">
        <v>3.7252999999999998</v>
      </c>
      <c r="AL462" s="9">
        <v>12.551</v>
      </c>
      <c r="AM462" s="189">
        <v>11.747724111699499</v>
      </c>
      <c r="AN462" s="9">
        <v>0.13400000000000001</v>
      </c>
      <c r="AO462" s="9">
        <v>4.6791999999999998</v>
      </c>
      <c r="AP462" s="9">
        <v>7.8581000000000003</v>
      </c>
      <c r="AQ462" s="9">
        <v>3.0644</v>
      </c>
      <c r="AR462" s="9">
        <v>1.127</v>
      </c>
      <c r="AS462" s="9">
        <v>0.40039999999999998</v>
      </c>
      <c r="AT462" s="190">
        <v>1473.87826</v>
      </c>
      <c r="AU462" s="9">
        <v>0.94255489388524605</v>
      </c>
      <c r="AV462" s="6">
        <v>299.27821389615099</v>
      </c>
      <c r="AW462" s="27" t="s">
        <v>64</v>
      </c>
      <c r="AX462" s="6">
        <v>299.27821389615099</v>
      </c>
      <c r="AY462" s="8">
        <f t="shared" si="95"/>
        <v>2.3502152798685461</v>
      </c>
      <c r="AZ462" s="9">
        <f t="shared" si="96"/>
        <v>9.6331337715935899</v>
      </c>
      <c r="BA462" s="123">
        <v>50.534100000000002</v>
      </c>
      <c r="BB462" s="121">
        <v>3.7252999999999998</v>
      </c>
      <c r="BC462" s="121">
        <v>12.551</v>
      </c>
      <c r="BD462" s="121">
        <v>11.749700000000001</v>
      </c>
      <c r="BE462" s="121">
        <v>0.13400000000000001</v>
      </c>
      <c r="BF462" s="121">
        <v>4.6791999999999998</v>
      </c>
      <c r="BG462" s="121">
        <v>7.8581000000000003</v>
      </c>
      <c r="BH462" s="121">
        <v>3.0644</v>
      </c>
      <c r="BI462" s="121">
        <v>1.127</v>
      </c>
      <c r="BJ462" s="121">
        <v>0.40039999999999998</v>
      </c>
      <c r="BK462" s="121">
        <v>0.147387826</v>
      </c>
      <c r="BL462" s="121">
        <f t="shared" si="93"/>
        <v>95.970587826000013</v>
      </c>
      <c r="BM462" s="121">
        <v>0.94255489388524605</v>
      </c>
      <c r="BN462" s="95">
        <v>299.27821389615099</v>
      </c>
      <c r="BO462" s="122" t="s">
        <v>64</v>
      </c>
      <c r="BP462" s="95">
        <v>299.27821389615099</v>
      </c>
      <c r="BQ462" s="194" t="s">
        <v>469</v>
      </c>
    </row>
    <row r="463" spans="12:69" ht="14.45" customHeight="1">
      <c r="L463" s="207" t="s">
        <v>483</v>
      </c>
      <c r="M463" s="763" t="s">
        <v>459</v>
      </c>
      <c r="N463" s="15" t="s">
        <v>460</v>
      </c>
      <c r="O463" s="14" t="s">
        <v>1448</v>
      </c>
      <c r="P463" s="15" t="s">
        <v>405</v>
      </c>
      <c r="Q463" s="15" t="s">
        <v>482</v>
      </c>
      <c r="R463" s="217" t="s">
        <v>64</v>
      </c>
      <c r="S463" s="193">
        <v>60.701348216768402</v>
      </c>
      <c r="T463" s="14">
        <f t="shared" ref="T463:T485" si="97" xml:space="preserve"> 20.1*AO463+1014</f>
        <v>1111.38048</v>
      </c>
      <c r="U463" s="27" t="s">
        <v>300</v>
      </c>
      <c r="V463" s="90" t="s">
        <v>64</v>
      </c>
      <c r="W463" s="109" t="s">
        <v>64</v>
      </c>
      <c r="X463" s="183" t="s">
        <v>64</v>
      </c>
      <c r="Y463" s="104" t="s">
        <v>64</v>
      </c>
      <c r="Z463" s="104" t="s">
        <v>64</v>
      </c>
      <c r="AA463" s="57" t="s">
        <v>64</v>
      </c>
      <c r="AB463" s="47" t="s">
        <v>64</v>
      </c>
      <c r="AC463" s="57">
        <v>580</v>
      </c>
      <c r="AD463" s="27" t="s">
        <v>470</v>
      </c>
      <c r="AE463" s="28">
        <f t="shared" si="94"/>
        <v>2.4374765407999996</v>
      </c>
      <c r="AF463" s="197" t="s">
        <v>470</v>
      </c>
      <c r="AG463" s="84">
        <v>580</v>
      </c>
      <c r="AH463" s="157" t="s">
        <v>469</v>
      </c>
      <c r="AI463" s="8">
        <v>1</v>
      </c>
      <c r="AJ463" s="9">
        <v>49.343699999999998</v>
      </c>
      <c r="AK463" s="9">
        <v>3.8578999999999999</v>
      </c>
      <c r="AL463" s="9">
        <v>12.93</v>
      </c>
      <c r="AM463" s="189">
        <v>12.426609927664499</v>
      </c>
      <c r="AN463" s="9">
        <v>0.1452</v>
      </c>
      <c r="AO463" s="9">
        <v>4.8448000000000002</v>
      </c>
      <c r="AP463" s="9">
        <v>8.6259999999999994</v>
      </c>
      <c r="AQ463" s="9">
        <v>2.8435999999999999</v>
      </c>
      <c r="AR463" s="9">
        <v>0.90039999999999998</v>
      </c>
      <c r="AS463" s="9">
        <v>0.4365</v>
      </c>
      <c r="AT463" s="190">
        <v>1590.487304</v>
      </c>
      <c r="AU463" s="9">
        <v>0.81481495155268002</v>
      </c>
      <c r="AV463" s="6">
        <v>341.99508696751798</v>
      </c>
      <c r="AW463" s="27" t="s">
        <v>64</v>
      </c>
      <c r="AX463" s="6">
        <v>341.99508696751798</v>
      </c>
      <c r="AY463" s="8">
        <f t="shared" si="95"/>
        <v>2.4860311879369004</v>
      </c>
      <c r="AZ463" s="9">
        <f t="shared" si="96"/>
        <v>10.189820140684889</v>
      </c>
      <c r="BA463" s="123">
        <v>49.343699999999998</v>
      </c>
      <c r="BB463" s="121">
        <v>3.8578999999999999</v>
      </c>
      <c r="BC463" s="121">
        <v>12.93</v>
      </c>
      <c r="BD463" s="121">
        <v>12.428699999999999</v>
      </c>
      <c r="BE463" s="121">
        <v>0.1452</v>
      </c>
      <c r="BF463" s="121">
        <v>4.8448000000000002</v>
      </c>
      <c r="BG463" s="121">
        <v>8.6259999999999994</v>
      </c>
      <c r="BH463" s="121">
        <v>2.8435999999999999</v>
      </c>
      <c r="BI463" s="121">
        <v>0.90039999999999998</v>
      </c>
      <c r="BJ463" s="121">
        <v>0.4365</v>
      </c>
      <c r="BK463" s="121">
        <v>0.1590487304</v>
      </c>
      <c r="BL463" s="121">
        <f t="shared" ref="BL463:BL485" si="98">SUM(BA463:BK463)</f>
        <v>96.515848730399995</v>
      </c>
      <c r="BM463" s="121">
        <v>0.81481495155268002</v>
      </c>
      <c r="BN463" s="95">
        <v>341.99508696751798</v>
      </c>
      <c r="BO463" s="122" t="s">
        <v>64</v>
      </c>
      <c r="BP463" s="95">
        <v>341.99508696751798</v>
      </c>
      <c r="BQ463" s="194" t="s">
        <v>469</v>
      </c>
    </row>
    <row r="464" spans="12:69" ht="14.45" customHeight="1">
      <c r="L464" s="207" t="s">
        <v>483</v>
      </c>
      <c r="M464" s="763" t="s">
        <v>459</v>
      </c>
      <c r="N464" s="15" t="s">
        <v>460</v>
      </c>
      <c r="O464" s="14" t="s">
        <v>1449</v>
      </c>
      <c r="P464" s="15" t="s">
        <v>405</v>
      </c>
      <c r="Q464" s="15" t="s">
        <v>482</v>
      </c>
      <c r="R464" s="217" t="s">
        <v>64</v>
      </c>
      <c r="S464" s="193">
        <v>62.665110936923199</v>
      </c>
      <c r="T464" s="14">
        <f t="shared" si="97"/>
        <v>1111.5975599999999</v>
      </c>
      <c r="U464" s="218" t="s">
        <v>1472</v>
      </c>
      <c r="V464" s="90" t="s">
        <v>462</v>
      </c>
      <c r="W464" s="109" t="s">
        <v>480</v>
      </c>
      <c r="X464" s="183" t="s">
        <v>64</v>
      </c>
      <c r="Y464" s="104" t="s">
        <v>64</v>
      </c>
      <c r="Z464" s="104" t="s">
        <v>64</v>
      </c>
      <c r="AA464" s="57" t="s">
        <v>64</v>
      </c>
      <c r="AB464" s="47" t="s">
        <v>64</v>
      </c>
      <c r="AC464" s="57">
        <v>540</v>
      </c>
      <c r="AD464" s="27" t="s">
        <v>470</v>
      </c>
      <c r="AE464" s="28">
        <f t="shared" si="94"/>
        <v>2.2785372576</v>
      </c>
      <c r="AF464" s="197" t="s">
        <v>470</v>
      </c>
      <c r="AG464" s="84">
        <v>540</v>
      </c>
      <c r="AH464" s="157" t="s">
        <v>469</v>
      </c>
      <c r="AI464" s="8">
        <v>1</v>
      </c>
      <c r="AJ464" s="9">
        <v>49.8247</v>
      </c>
      <c r="AK464" s="9">
        <v>3.8488000000000002</v>
      </c>
      <c r="AL464" s="9">
        <v>12.9092</v>
      </c>
      <c r="AM464" s="189">
        <v>13.003512896459497</v>
      </c>
      <c r="AN464" s="9">
        <v>0.2054</v>
      </c>
      <c r="AO464" s="9">
        <v>4.8555999999999999</v>
      </c>
      <c r="AP464" s="9">
        <v>8.5785</v>
      </c>
      <c r="AQ464" s="9">
        <v>2.9569999999999999</v>
      </c>
      <c r="AR464" s="9">
        <v>0.95199999999999996</v>
      </c>
      <c r="AS464" s="9">
        <v>0.4148</v>
      </c>
      <c r="AT464" s="190">
        <v>1559.958756</v>
      </c>
      <c r="AU464" s="9">
        <v>0.82796736640877</v>
      </c>
      <c r="AV464" s="6">
        <v>317.15461004714308</v>
      </c>
      <c r="AW464" s="27" t="s">
        <v>64</v>
      </c>
      <c r="AX464" s="6">
        <v>317.15461004714308</v>
      </c>
      <c r="AY464" s="8">
        <f t="shared" si="95"/>
        <v>2.6014447062807009</v>
      </c>
      <c r="AZ464" s="9">
        <f t="shared" si="96"/>
        <v>10.662880575096789</v>
      </c>
      <c r="BA464" s="123">
        <v>49.8247</v>
      </c>
      <c r="BB464" s="121">
        <v>3.8488000000000002</v>
      </c>
      <c r="BC464" s="121">
        <v>12.9092</v>
      </c>
      <c r="BD464" s="121">
        <v>13.005699999999999</v>
      </c>
      <c r="BE464" s="121">
        <v>0.2054</v>
      </c>
      <c r="BF464" s="121">
        <v>4.8555999999999999</v>
      </c>
      <c r="BG464" s="121">
        <v>8.5785</v>
      </c>
      <c r="BH464" s="121">
        <v>2.9569999999999999</v>
      </c>
      <c r="BI464" s="121">
        <v>0.95199999999999996</v>
      </c>
      <c r="BJ464" s="121">
        <v>0.4148</v>
      </c>
      <c r="BK464" s="121">
        <v>0.1559958756</v>
      </c>
      <c r="BL464" s="121">
        <f t="shared" si="98"/>
        <v>97.707695875599995</v>
      </c>
      <c r="BM464" s="121">
        <v>0.82796736640877</v>
      </c>
      <c r="BN464" s="95">
        <v>317.15461004714302</v>
      </c>
      <c r="BO464" s="122" t="s">
        <v>64</v>
      </c>
      <c r="BP464" s="95">
        <v>317.15461004714302</v>
      </c>
      <c r="BQ464" s="194" t="s">
        <v>469</v>
      </c>
    </row>
    <row r="465" spans="12:69" ht="14.45" customHeight="1">
      <c r="L465" s="207" t="s">
        <v>483</v>
      </c>
      <c r="M465" s="763" t="s">
        <v>459</v>
      </c>
      <c r="N465" s="15" t="s">
        <v>460</v>
      </c>
      <c r="O465" s="14" t="s">
        <v>1450</v>
      </c>
      <c r="P465" s="15" t="s">
        <v>405</v>
      </c>
      <c r="Q465" s="15" t="s">
        <v>482</v>
      </c>
      <c r="R465" s="217" t="s">
        <v>64</v>
      </c>
      <c r="S465" s="193">
        <v>59.108116739598607</v>
      </c>
      <c r="T465" s="14">
        <f t="shared" si="97"/>
        <v>1106.55648</v>
      </c>
      <c r="U465" s="27" t="s">
        <v>300</v>
      </c>
      <c r="V465" s="90" t="s">
        <v>64</v>
      </c>
      <c r="W465" s="109" t="s">
        <v>64</v>
      </c>
      <c r="X465" s="183" t="s">
        <v>64</v>
      </c>
      <c r="Y465" s="104" t="s">
        <v>64</v>
      </c>
      <c r="Z465" s="104" t="s">
        <v>64</v>
      </c>
      <c r="AA465" s="57" t="s">
        <v>64</v>
      </c>
      <c r="AB465" s="47" t="s">
        <v>64</v>
      </c>
      <c r="AC465" s="57">
        <v>1140</v>
      </c>
      <c r="AD465" s="27" t="s">
        <v>470</v>
      </c>
      <c r="AE465" s="28">
        <f t="shared" si="94"/>
        <v>4.5462979295999997</v>
      </c>
      <c r="AF465" s="197" t="s">
        <v>470</v>
      </c>
      <c r="AG465" s="84">
        <v>1140</v>
      </c>
      <c r="AH465" s="157" t="s">
        <v>469</v>
      </c>
      <c r="AI465" s="8">
        <v>1</v>
      </c>
      <c r="AJ465" s="9">
        <v>49.8673</v>
      </c>
      <c r="AK465" s="9">
        <v>3.9763000000000002</v>
      </c>
      <c r="AL465" s="9">
        <v>12.5913</v>
      </c>
      <c r="AM465" s="189">
        <v>12.718260873933998</v>
      </c>
      <c r="AN465" s="9">
        <v>0.18429999999999999</v>
      </c>
      <c r="AO465" s="9">
        <v>4.6048</v>
      </c>
      <c r="AP465" s="9">
        <v>8.2819000000000003</v>
      </c>
      <c r="AQ465" s="9">
        <v>3.1051000000000002</v>
      </c>
      <c r="AR465" s="9">
        <v>1.0971</v>
      </c>
      <c r="AS465" s="9">
        <v>0.53680000000000005</v>
      </c>
      <c r="AT465" s="190">
        <v>1656.54908</v>
      </c>
      <c r="AU465" s="9">
        <v>0.67668432063583195</v>
      </c>
      <c r="AV465" s="6">
        <v>788.03874365235504</v>
      </c>
      <c r="AW465" s="27" t="s">
        <v>64</v>
      </c>
      <c r="AX465" s="6">
        <v>788.03874365235504</v>
      </c>
      <c r="AY465" s="8">
        <f t="shared" si="95"/>
        <v>2.5443780220805512</v>
      </c>
      <c r="AZ465" s="9">
        <f t="shared" si="96"/>
        <v>10.428973916625878</v>
      </c>
      <c r="BA465" s="123">
        <v>49.8673</v>
      </c>
      <c r="BB465" s="121">
        <v>3.9763000000000002</v>
      </c>
      <c r="BC465" s="121">
        <v>12.5913</v>
      </c>
      <c r="BD465" s="121">
        <v>12.7204</v>
      </c>
      <c r="BE465" s="121">
        <v>0.18429999999999999</v>
      </c>
      <c r="BF465" s="121">
        <v>4.6048</v>
      </c>
      <c r="BG465" s="121">
        <v>8.2819000000000003</v>
      </c>
      <c r="BH465" s="121">
        <v>3.1051000000000002</v>
      </c>
      <c r="BI465" s="121">
        <v>1.0971</v>
      </c>
      <c r="BJ465" s="121">
        <v>0.53680000000000005</v>
      </c>
      <c r="BK465" s="121">
        <v>0.16565490799999999</v>
      </c>
      <c r="BL465" s="121">
        <f t="shared" si="98"/>
        <v>97.130954907999964</v>
      </c>
      <c r="BM465" s="121">
        <v>0.67668432063583195</v>
      </c>
      <c r="BN465" s="95">
        <v>788.03874365235504</v>
      </c>
      <c r="BO465" s="122" t="s">
        <v>64</v>
      </c>
      <c r="BP465" s="95">
        <v>788.03874365235504</v>
      </c>
      <c r="BQ465" s="194" t="s">
        <v>469</v>
      </c>
    </row>
    <row r="466" spans="12:69" ht="14.45" customHeight="1">
      <c r="L466" s="207" t="s">
        <v>483</v>
      </c>
      <c r="M466" s="763" t="s">
        <v>459</v>
      </c>
      <c r="N466" s="15" t="s">
        <v>460</v>
      </c>
      <c r="O466" s="14" t="s">
        <v>1451</v>
      </c>
      <c r="P466" s="15" t="s">
        <v>405</v>
      </c>
      <c r="Q466" s="15" t="s">
        <v>482</v>
      </c>
      <c r="R466" s="217" t="s">
        <v>64</v>
      </c>
      <c r="S466" s="193">
        <v>63.146130370863794</v>
      </c>
      <c r="T466" s="14">
        <f t="shared" si="97"/>
        <v>1114.9381800000001</v>
      </c>
      <c r="U466" s="218" t="s">
        <v>1472</v>
      </c>
      <c r="V466" s="90" t="s">
        <v>462</v>
      </c>
      <c r="W466" s="109" t="s">
        <v>480</v>
      </c>
      <c r="X466" s="183" t="s">
        <v>64</v>
      </c>
      <c r="Y466" s="104" t="s">
        <v>64</v>
      </c>
      <c r="Z466" s="104" t="s">
        <v>64</v>
      </c>
      <c r="AA466" s="57" t="s">
        <v>64</v>
      </c>
      <c r="AB466" s="47" t="s">
        <v>64</v>
      </c>
      <c r="AC466" s="57">
        <v>560</v>
      </c>
      <c r="AD466" s="27" t="s">
        <v>470</v>
      </c>
      <c r="AE466" s="28">
        <f t="shared" si="94"/>
        <v>2.3581612544000001</v>
      </c>
      <c r="AF466" s="197" t="s">
        <v>470</v>
      </c>
      <c r="AG466" s="84">
        <v>560</v>
      </c>
      <c r="AH466" s="157" t="s">
        <v>469</v>
      </c>
      <c r="AI466" s="8">
        <v>1</v>
      </c>
      <c r="AJ466" s="9">
        <v>49.835000000000001</v>
      </c>
      <c r="AK466" s="9">
        <v>3.8704999999999998</v>
      </c>
      <c r="AL466" s="9">
        <v>12.6706</v>
      </c>
      <c r="AM466" s="189">
        <v>12.5669863172985</v>
      </c>
      <c r="AN466" s="9">
        <v>0.16839999999999999</v>
      </c>
      <c r="AO466" s="9">
        <v>5.0217999999999998</v>
      </c>
      <c r="AP466" s="9">
        <v>8.5911000000000008</v>
      </c>
      <c r="AQ466" s="9">
        <v>2.8228</v>
      </c>
      <c r="AR466" s="9">
        <v>0.88919999999999999</v>
      </c>
      <c r="AS466" s="9">
        <v>0.56969999999999998</v>
      </c>
      <c r="AT466" s="190">
        <v>1604.5004079999999</v>
      </c>
      <c r="AU466" s="9">
        <v>0.80618894812281905</v>
      </c>
      <c r="AV466" s="6">
        <v>341.125432710609</v>
      </c>
      <c r="AW466" s="27" t="s">
        <v>64</v>
      </c>
      <c r="AX466" s="6">
        <v>341.125432710609</v>
      </c>
      <c r="AY466" s="8">
        <f t="shared" si="95"/>
        <v>2.5141144773224635</v>
      </c>
      <c r="AZ466" s="9">
        <f t="shared" si="96"/>
        <v>10.304928780184772</v>
      </c>
      <c r="BA466" s="123">
        <v>49.835000000000001</v>
      </c>
      <c r="BB466" s="121">
        <v>3.8704999999999998</v>
      </c>
      <c r="BC466" s="121">
        <v>12.6706</v>
      </c>
      <c r="BD466" s="121">
        <v>12.569100000000001</v>
      </c>
      <c r="BE466" s="121">
        <v>0.16839999999999999</v>
      </c>
      <c r="BF466" s="121">
        <v>5.0217999999999998</v>
      </c>
      <c r="BG466" s="121">
        <v>8.5911000000000008</v>
      </c>
      <c r="BH466" s="121">
        <v>2.8228</v>
      </c>
      <c r="BI466" s="121">
        <v>0.88919999999999999</v>
      </c>
      <c r="BJ466" s="121">
        <v>0.56969999999999998</v>
      </c>
      <c r="BK466" s="121">
        <v>0.1604500408</v>
      </c>
      <c r="BL466" s="121">
        <f t="shared" si="98"/>
        <v>97.168650040800017</v>
      </c>
      <c r="BM466" s="121">
        <v>0.80618894812281905</v>
      </c>
      <c r="BN466" s="95">
        <v>341.125432710609</v>
      </c>
      <c r="BO466" s="122" t="s">
        <v>64</v>
      </c>
      <c r="BP466" s="95">
        <v>341.125432710609</v>
      </c>
      <c r="BQ466" s="194" t="s">
        <v>469</v>
      </c>
    </row>
    <row r="467" spans="12:69" ht="14.45" customHeight="1">
      <c r="L467" s="20" t="s">
        <v>64</v>
      </c>
      <c r="M467" s="763" t="s">
        <v>459</v>
      </c>
      <c r="N467" s="15" t="s">
        <v>460</v>
      </c>
      <c r="O467" s="14" t="s">
        <v>1452</v>
      </c>
      <c r="P467" s="15" t="s">
        <v>405</v>
      </c>
      <c r="Q467" s="15" t="s">
        <v>482</v>
      </c>
      <c r="R467" s="217" t="s">
        <v>64</v>
      </c>
      <c r="S467" s="193">
        <v>74.900032316355308</v>
      </c>
      <c r="T467" s="14">
        <f t="shared" si="97"/>
        <v>1132.9966548316695</v>
      </c>
      <c r="U467" s="27" t="s">
        <v>300</v>
      </c>
      <c r="V467" s="90" t="s">
        <v>64</v>
      </c>
      <c r="W467" s="109" t="s">
        <v>64</v>
      </c>
      <c r="X467" s="183" t="s">
        <v>64</v>
      </c>
      <c r="Y467" s="104" t="s">
        <v>64</v>
      </c>
      <c r="Z467" s="104" t="s">
        <v>64</v>
      </c>
      <c r="AA467" s="57" t="s">
        <v>64</v>
      </c>
      <c r="AB467" s="47" t="s">
        <v>64</v>
      </c>
      <c r="AC467" s="57">
        <v>1408.362401905709</v>
      </c>
      <c r="AD467" s="27" t="s">
        <v>470</v>
      </c>
      <c r="AE467" s="28">
        <f t="shared" si="94"/>
        <v>5.4931238418129675</v>
      </c>
      <c r="AF467" s="197" t="s">
        <v>470</v>
      </c>
      <c r="AG467" s="84">
        <v>1030</v>
      </c>
      <c r="AH467" s="157" t="s">
        <v>469</v>
      </c>
      <c r="AI467" s="8">
        <v>0.82847559019456096</v>
      </c>
      <c r="AJ467" s="9">
        <v>48.440492801843703</v>
      </c>
      <c r="AK467" s="9">
        <v>3.1986502281047713</v>
      </c>
      <c r="AL467" s="9">
        <v>13.400000000000007</v>
      </c>
      <c r="AM467" s="189">
        <v>12.069634663454767</v>
      </c>
      <c r="AN467" s="9">
        <v>0.13282711568945663</v>
      </c>
      <c r="AO467" s="9">
        <v>5.9202315836651476</v>
      </c>
      <c r="AP467" s="9">
        <v>10.158590233011267</v>
      </c>
      <c r="AQ467" s="9">
        <v>2.3839135987714895</v>
      </c>
      <c r="AR467" s="9">
        <v>0.56901999443301676</v>
      </c>
      <c r="AS467" s="9">
        <v>0.28830950538770722</v>
      </c>
      <c r="AT467" s="190">
        <v>1158.8783330774088</v>
      </c>
      <c r="AU467" s="9">
        <v>0.61328868080012333</v>
      </c>
      <c r="AV467" s="6">
        <v>643.16735443053369</v>
      </c>
      <c r="AW467" s="27" t="s">
        <v>64</v>
      </c>
      <c r="AX467" s="6">
        <v>643.16735443053369</v>
      </c>
      <c r="AY467" s="8">
        <f t="shared" si="95"/>
        <v>2.4146157620634496</v>
      </c>
      <c r="AZ467" s="9">
        <f t="shared" si="96"/>
        <v>9.8971004240329084</v>
      </c>
      <c r="BA467" s="123">
        <v>48.386899999999997</v>
      </c>
      <c r="BB467" s="121">
        <v>3.8451</v>
      </c>
      <c r="BC467" s="121">
        <v>9.7643000000000004</v>
      </c>
      <c r="BD467" s="121">
        <v>14.425700000000001</v>
      </c>
      <c r="BE467" s="121">
        <v>0.161</v>
      </c>
      <c r="BF467" s="121">
        <v>7.1113999999999997</v>
      </c>
      <c r="BG467" s="121">
        <v>9.0510999999999999</v>
      </c>
      <c r="BH467" s="121">
        <v>2.2930999999999999</v>
      </c>
      <c r="BI467" s="121">
        <v>0.67130000000000001</v>
      </c>
      <c r="BJ467" s="121">
        <v>0.34799999999999998</v>
      </c>
      <c r="BK467" s="121">
        <v>0.139880806</v>
      </c>
      <c r="BL467" s="121">
        <f t="shared" si="98"/>
        <v>96.197780805999997</v>
      </c>
      <c r="BM467" s="121">
        <v>0.74026161791453304</v>
      </c>
      <c r="BN467" s="95">
        <v>776.32625757807898</v>
      </c>
      <c r="BO467" s="122" t="s">
        <v>64</v>
      </c>
      <c r="BP467" s="95">
        <v>776.32625757807898</v>
      </c>
      <c r="BQ467" s="194" t="s">
        <v>469</v>
      </c>
    </row>
    <row r="468" spans="12:69" ht="14.45" customHeight="1">
      <c r="L468" s="20" t="s">
        <v>64</v>
      </c>
      <c r="M468" s="763" t="s">
        <v>459</v>
      </c>
      <c r="N468" s="15" t="s">
        <v>460</v>
      </c>
      <c r="O468" s="14" t="s">
        <v>1453</v>
      </c>
      <c r="P468" s="15" t="s">
        <v>405</v>
      </c>
      <c r="Q468" s="15" t="s">
        <v>482</v>
      </c>
      <c r="R468" s="217" t="s">
        <v>64</v>
      </c>
      <c r="S468" s="193">
        <v>76.390287814844299</v>
      </c>
      <c r="T468" s="14">
        <f t="shared" si="97"/>
        <v>1131.4755502615121</v>
      </c>
      <c r="U468" s="27" t="s">
        <v>300</v>
      </c>
      <c r="V468" s="90" t="s">
        <v>64</v>
      </c>
      <c r="W468" s="109" t="s">
        <v>64</v>
      </c>
      <c r="X468" s="183" t="s">
        <v>64</v>
      </c>
      <c r="Y468" s="104" t="s">
        <v>64</v>
      </c>
      <c r="Z468" s="104" t="s">
        <v>64</v>
      </c>
      <c r="AA468" s="57" t="s">
        <v>64</v>
      </c>
      <c r="AB468" s="47" t="s">
        <v>64</v>
      </c>
      <c r="AC468" s="57">
        <v>523.91617131868668</v>
      </c>
      <c r="AD468" s="27" t="s">
        <v>470</v>
      </c>
      <c r="AE468" s="28">
        <f t="shared" si="94"/>
        <v>2.2142781387444326</v>
      </c>
      <c r="AF468" s="197" t="s">
        <v>470</v>
      </c>
      <c r="AG468" s="84">
        <v>370</v>
      </c>
      <c r="AH468" s="157" t="s">
        <v>469</v>
      </c>
      <c r="AI468" s="8">
        <v>0.82900917964537901</v>
      </c>
      <c r="AJ468" s="9">
        <v>49.573574288554049</v>
      </c>
      <c r="AK468" s="9">
        <v>2.9542188093653019</v>
      </c>
      <c r="AL468" s="9">
        <v>13.399999999999995</v>
      </c>
      <c r="AM468" s="189">
        <v>11.867937603180877</v>
      </c>
      <c r="AN468" s="9">
        <v>0.14668303125205118</v>
      </c>
      <c r="AO468" s="9">
        <v>5.8445547393787107</v>
      </c>
      <c r="AP468" s="9">
        <v>10.116945492222149</v>
      </c>
      <c r="AQ468" s="9">
        <v>2.4644794100272858</v>
      </c>
      <c r="AR468" s="9">
        <v>0.58921546662415969</v>
      </c>
      <c r="AS468" s="9">
        <v>0.33334459113540693</v>
      </c>
      <c r="AT468" s="190">
        <v>1037.6463078630279</v>
      </c>
      <c r="AU468" s="9">
        <v>0.66093921872399386</v>
      </c>
      <c r="AV468" s="6">
        <v>200.62384522617276</v>
      </c>
      <c r="AW468" s="27" t="s">
        <v>64</v>
      </c>
      <c r="AX468" s="6">
        <v>200.62384522617276</v>
      </c>
      <c r="AY468" s="8">
        <f t="shared" si="95"/>
        <v>2.3742648389013903</v>
      </c>
      <c r="AZ468" s="9">
        <f t="shared" si="96"/>
        <v>9.7317088346083196</v>
      </c>
      <c r="BA468" s="123">
        <v>49.853700000000003</v>
      </c>
      <c r="BB468" s="121">
        <v>3.5486</v>
      </c>
      <c r="BC468" s="121">
        <v>9.7528000000000006</v>
      </c>
      <c r="BD468" s="121">
        <v>14.1799</v>
      </c>
      <c r="BE468" s="121">
        <v>0.17799999999999999</v>
      </c>
      <c r="BF468" s="121">
        <v>7.0187999999999997</v>
      </c>
      <c r="BG468" s="121">
        <v>8.9852000000000007</v>
      </c>
      <c r="BH468" s="121">
        <v>2.4329999999999998</v>
      </c>
      <c r="BI468" s="121">
        <v>0.69569999999999999</v>
      </c>
      <c r="BJ468" s="121">
        <v>0.40210000000000001</v>
      </c>
      <c r="BK468" s="121">
        <v>0.12516704680000001</v>
      </c>
      <c r="BL468" s="121">
        <f t="shared" si="98"/>
        <v>97.172967046800025</v>
      </c>
      <c r="BM468" s="121">
        <v>0.79726405322401905</v>
      </c>
      <c r="BN468" s="95">
        <v>242.004371184397</v>
      </c>
      <c r="BO468" s="122" t="s">
        <v>64</v>
      </c>
      <c r="BP468" s="95">
        <v>242.004371184397</v>
      </c>
      <c r="BQ468" s="194" t="s">
        <v>469</v>
      </c>
    </row>
    <row r="469" spans="12:69" ht="14.45" customHeight="1">
      <c r="L469" s="207" t="s">
        <v>483</v>
      </c>
      <c r="M469" s="763" t="s">
        <v>459</v>
      </c>
      <c r="N469" s="15" t="s">
        <v>460</v>
      </c>
      <c r="O469" s="14" t="s">
        <v>1454</v>
      </c>
      <c r="P469" s="15" t="s">
        <v>405</v>
      </c>
      <c r="Q469" s="15" t="s">
        <v>482</v>
      </c>
      <c r="R469" s="217" t="s">
        <v>64</v>
      </c>
      <c r="S469" s="193">
        <v>48.3608463016527</v>
      </c>
      <c r="T469" s="14">
        <f t="shared" si="97"/>
        <v>1036.5501899999999</v>
      </c>
      <c r="U469" s="218" t="s">
        <v>1472</v>
      </c>
      <c r="V469" s="90" t="s">
        <v>462</v>
      </c>
      <c r="W469" s="109" t="s">
        <v>480</v>
      </c>
      <c r="X469" s="183" t="s">
        <v>64</v>
      </c>
      <c r="Y469" s="104" t="s">
        <v>64</v>
      </c>
      <c r="Z469" s="104" t="s">
        <v>64</v>
      </c>
      <c r="AA469" s="57" t="s">
        <v>64</v>
      </c>
      <c r="AB469" s="47" t="s">
        <v>64</v>
      </c>
      <c r="AC469" s="57">
        <v>620</v>
      </c>
      <c r="AD469" s="27" t="s">
        <v>470</v>
      </c>
      <c r="AE469" s="28">
        <f t="shared" si="94"/>
        <v>2.5951941152</v>
      </c>
      <c r="AF469" s="197" t="s">
        <v>470</v>
      </c>
      <c r="AG469" s="84">
        <v>620</v>
      </c>
      <c r="AH469" s="157" t="s">
        <v>469</v>
      </c>
      <c r="AI469" s="8">
        <v>1</v>
      </c>
      <c r="AJ469" s="9">
        <v>60.892400000000002</v>
      </c>
      <c r="AK469" s="9">
        <v>1.2363999999999999</v>
      </c>
      <c r="AL469" s="9">
        <v>14.590400000000001</v>
      </c>
      <c r="AM469" s="189">
        <v>7.8393814686845005</v>
      </c>
      <c r="AN469" s="9">
        <v>0.1239</v>
      </c>
      <c r="AO469" s="9">
        <v>1.1218999999999999</v>
      </c>
      <c r="AP469" s="9">
        <v>4.6121999999999996</v>
      </c>
      <c r="AQ469" s="9">
        <v>3.6172</v>
      </c>
      <c r="AR469" s="9">
        <v>1.9442999999999999</v>
      </c>
      <c r="AS469" s="9">
        <v>0.38419999999999999</v>
      </c>
      <c r="AT469" s="190">
        <v>466.936644</v>
      </c>
      <c r="AU469" s="9">
        <v>1.72206634931184</v>
      </c>
      <c r="AV469" s="6">
        <v>196.130215065248</v>
      </c>
      <c r="AW469" s="27" t="s">
        <v>64</v>
      </c>
      <c r="AX469" s="6">
        <v>196.130215065248</v>
      </c>
      <c r="AY469" s="8">
        <f t="shared" si="95"/>
        <v>1.5683236971893166</v>
      </c>
      <c r="AZ469" s="9">
        <f t="shared" si="96"/>
        <v>6.4282928043212912</v>
      </c>
      <c r="BA469" s="123">
        <v>60.892400000000002</v>
      </c>
      <c r="BB469" s="121">
        <v>1.2363999999999999</v>
      </c>
      <c r="BC469" s="121">
        <v>14.590400000000001</v>
      </c>
      <c r="BD469" s="121">
        <v>7.8407</v>
      </c>
      <c r="BE469" s="121">
        <v>0.1239</v>
      </c>
      <c r="BF469" s="121">
        <v>1.1218999999999999</v>
      </c>
      <c r="BG469" s="121">
        <v>4.6121999999999996</v>
      </c>
      <c r="BH469" s="121">
        <v>3.6172</v>
      </c>
      <c r="BI469" s="121">
        <v>1.9442999999999999</v>
      </c>
      <c r="BJ469" s="121">
        <v>0.38419999999999999</v>
      </c>
      <c r="BK469" s="121">
        <v>4.6693664400000001E-2</v>
      </c>
      <c r="BL469" s="121">
        <f t="shared" si="98"/>
        <v>96.410293664400001</v>
      </c>
      <c r="BM469" s="121">
        <v>1.72206634931184</v>
      </c>
      <c r="BN469" s="95">
        <v>196.130215065248</v>
      </c>
      <c r="BO469" s="122" t="s">
        <v>64</v>
      </c>
      <c r="BP469" s="95">
        <v>196.130215065248</v>
      </c>
      <c r="BQ469" s="194" t="s">
        <v>469</v>
      </c>
    </row>
    <row r="470" spans="12:69" ht="14.45" customHeight="1">
      <c r="L470" s="207" t="s">
        <v>483</v>
      </c>
      <c r="M470" s="763" t="s">
        <v>459</v>
      </c>
      <c r="N470" s="15" t="s">
        <v>460</v>
      </c>
      <c r="O470" s="14" t="s">
        <v>1455</v>
      </c>
      <c r="P470" s="15" t="s">
        <v>405</v>
      </c>
      <c r="Q470" s="15" t="s">
        <v>482</v>
      </c>
      <c r="R470" s="217" t="s">
        <v>64</v>
      </c>
      <c r="S470" s="193">
        <v>61.388580080804402</v>
      </c>
      <c r="T470" s="14">
        <f t="shared" si="97"/>
        <v>1106.63085</v>
      </c>
      <c r="U470" s="27" t="s">
        <v>300</v>
      </c>
      <c r="V470" s="90" t="s">
        <v>64</v>
      </c>
      <c r="W470" s="109" t="s">
        <v>64</v>
      </c>
      <c r="X470" s="183" t="s">
        <v>64</v>
      </c>
      <c r="Y470" s="104" t="s">
        <v>64</v>
      </c>
      <c r="Z470" s="104" t="s">
        <v>64</v>
      </c>
      <c r="AA470" s="57" t="s">
        <v>64</v>
      </c>
      <c r="AB470" s="47" t="s">
        <v>64</v>
      </c>
      <c r="AC470" s="57">
        <v>500</v>
      </c>
      <c r="AD470" s="27" t="s">
        <v>470</v>
      </c>
      <c r="AE470" s="28">
        <f t="shared" si="94"/>
        <v>2.11835</v>
      </c>
      <c r="AF470" s="197" t="s">
        <v>470</v>
      </c>
      <c r="AG470" s="84">
        <v>500</v>
      </c>
      <c r="AH470" s="157" t="s">
        <v>469</v>
      </c>
      <c r="AI470" s="8">
        <v>1</v>
      </c>
      <c r="AJ470" s="9">
        <v>49.8523</v>
      </c>
      <c r="AK470" s="9">
        <v>3.8593999999999999</v>
      </c>
      <c r="AL470" s="9">
        <v>13.0039</v>
      </c>
      <c r="AM470" s="189">
        <v>13.069901730303501</v>
      </c>
      <c r="AN470" s="9">
        <v>0.2069</v>
      </c>
      <c r="AO470" s="9">
        <v>4.6085000000000003</v>
      </c>
      <c r="AP470" s="9">
        <v>8.4697999999999993</v>
      </c>
      <c r="AQ470" s="9">
        <v>3.0457000000000001</v>
      </c>
      <c r="AR470" s="9">
        <v>1.0318000000000001</v>
      </c>
      <c r="AS470" s="9">
        <v>0.40579999999999999</v>
      </c>
      <c r="AT470" s="190">
        <v>1599.9961960000001</v>
      </c>
      <c r="AU470" s="9">
        <v>0.74754436710748695</v>
      </c>
      <c r="AV470" s="6">
        <v>297.62578842734598</v>
      </c>
      <c r="AW470" s="27" t="s">
        <v>64</v>
      </c>
      <c r="AX470" s="6">
        <v>297.62578842734598</v>
      </c>
      <c r="AY470" s="8">
        <f t="shared" si="95"/>
        <v>2.6147262619445284</v>
      </c>
      <c r="AZ470" s="9">
        <f t="shared" si="96"/>
        <v>10.717319418848872</v>
      </c>
      <c r="BA470" s="123">
        <v>49.8523</v>
      </c>
      <c r="BB470" s="121">
        <v>3.8593999999999999</v>
      </c>
      <c r="BC470" s="121">
        <v>13.0039</v>
      </c>
      <c r="BD470" s="121">
        <v>13.072100000000001</v>
      </c>
      <c r="BE470" s="121">
        <v>0.2069</v>
      </c>
      <c r="BF470" s="121">
        <v>4.6085000000000003</v>
      </c>
      <c r="BG470" s="121">
        <v>8.4697999999999993</v>
      </c>
      <c r="BH470" s="121">
        <v>3.0457000000000001</v>
      </c>
      <c r="BI470" s="121">
        <v>1.0318000000000001</v>
      </c>
      <c r="BJ470" s="121">
        <v>0.40579999999999999</v>
      </c>
      <c r="BK470" s="121">
        <v>0.1599996196</v>
      </c>
      <c r="BL470" s="121">
        <f t="shared" si="98"/>
        <v>97.716199619600005</v>
      </c>
      <c r="BM470" s="121">
        <v>0.74754436710748695</v>
      </c>
      <c r="BN470" s="95">
        <v>297.62578842734598</v>
      </c>
      <c r="BO470" s="122" t="s">
        <v>64</v>
      </c>
      <c r="BP470" s="95">
        <v>297.62578842734598</v>
      </c>
      <c r="BQ470" s="194" t="s">
        <v>469</v>
      </c>
    </row>
    <row r="471" spans="12:69" ht="14.45" customHeight="1">
      <c r="L471" s="207" t="s">
        <v>483</v>
      </c>
      <c r="M471" s="763" t="s">
        <v>459</v>
      </c>
      <c r="N471" s="15" t="s">
        <v>460</v>
      </c>
      <c r="O471" s="14" t="s">
        <v>1456</v>
      </c>
      <c r="P471" s="15" t="s">
        <v>405</v>
      </c>
      <c r="Q471" s="15" t="s">
        <v>482</v>
      </c>
      <c r="R471" s="217" t="s">
        <v>64</v>
      </c>
      <c r="S471" s="193">
        <v>62.974031105564698</v>
      </c>
      <c r="T471" s="14">
        <f t="shared" si="97"/>
        <v>1105.0328999999999</v>
      </c>
      <c r="U471" s="218" t="s">
        <v>1472</v>
      </c>
      <c r="V471" s="90" t="s">
        <v>462</v>
      </c>
      <c r="W471" s="109" t="s">
        <v>480</v>
      </c>
      <c r="X471" s="183" t="s">
        <v>64</v>
      </c>
      <c r="Y471" s="104" t="s">
        <v>64</v>
      </c>
      <c r="Z471" s="104" t="s">
        <v>64</v>
      </c>
      <c r="AA471" s="57" t="s">
        <v>64</v>
      </c>
      <c r="AB471" s="47" t="s">
        <v>64</v>
      </c>
      <c r="AC471" s="57">
        <v>570</v>
      </c>
      <c r="AD471" s="27" t="s">
        <v>470</v>
      </c>
      <c r="AE471" s="28">
        <f t="shared" si="94"/>
        <v>2.3978572811999999</v>
      </c>
      <c r="AF471" s="197" t="s">
        <v>470</v>
      </c>
      <c r="AG471" s="84">
        <v>570</v>
      </c>
      <c r="AH471" s="157" t="s">
        <v>469</v>
      </c>
      <c r="AI471" s="8">
        <v>1</v>
      </c>
      <c r="AJ471" s="9">
        <v>49.383800000000001</v>
      </c>
      <c r="AK471" s="9">
        <v>3.9098000000000002</v>
      </c>
      <c r="AL471" s="9">
        <v>13.207599999999999</v>
      </c>
      <c r="AM471" s="189">
        <v>12.287533319415999</v>
      </c>
      <c r="AN471" s="9">
        <v>0.1605</v>
      </c>
      <c r="AO471" s="9">
        <v>4.5289999999999999</v>
      </c>
      <c r="AP471" s="9">
        <v>8.2039000000000009</v>
      </c>
      <c r="AQ471" s="9">
        <v>3.2311000000000001</v>
      </c>
      <c r="AR471" s="9">
        <v>0.95220000000000005</v>
      </c>
      <c r="AS471" s="9">
        <v>0.53849999999999998</v>
      </c>
      <c r="AT471" s="190">
        <v>1640.5341040000001</v>
      </c>
      <c r="AU471" s="9">
        <v>0.78123715571169094</v>
      </c>
      <c r="AV471" s="6">
        <v>342.06561462955801</v>
      </c>
      <c r="AW471" s="27" t="s">
        <v>64</v>
      </c>
      <c r="AX471" s="6">
        <v>342.06561462955801</v>
      </c>
      <c r="AY471" s="8">
        <f t="shared" si="95"/>
        <v>2.4582079290086121</v>
      </c>
      <c r="AZ471" s="9">
        <f t="shared" si="96"/>
        <v>10.075777321921121</v>
      </c>
      <c r="BA471" s="123">
        <v>49.383800000000001</v>
      </c>
      <c r="BB471" s="121">
        <v>3.9098000000000002</v>
      </c>
      <c r="BC471" s="121">
        <v>13.207599999999999</v>
      </c>
      <c r="BD471" s="121">
        <v>12.2896</v>
      </c>
      <c r="BE471" s="121">
        <v>0.1605</v>
      </c>
      <c r="BF471" s="121">
        <v>4.5289999999999999</v>
      </c>
      <c r="BG471" s="121">
        <v>8.2039000000000009</v>
      </c>
      <c r="BH471" s="121">
        <v>3.2311000000000001</v>
      </c>
      <c r="BI471" s="121">
        <v>0.95220000000000005</v>
      </c>
      <c r="BJ471" s="121">
        <v>0.53849999999999998</v>
      </c>
      <c r="BK471" s="121">
        <v>0.16405341040000002</v>
      </c>
      <c r="BL471" s="121">
        <f t="shared" si="98"/>
        <v>96.570053410399993</v>
      </c>
      <c r="BM471" s="121">
        <v>0.78123715571169094</v>
      </c>
      <c r="BN471" s="95">
        <v>342.06561462955801</v>
      </c>
      <c r="BO471" s="122" t="s">
        <v>64</v>
      </c>
      <c r="BP471" s="95">
        <v>342.06561462955801</v>
      </c>
      <c r="BQ471" s="194" t="s">
        <v>469</v>
      </c>
    </row>
    <row r="472" spans="12:69" ht="14.45" customHeight="1">
      <c r="L472" s="207" t="s">
        <v>483</v>
      </c>
      <c r="M472" s="763" t="s">
        <v>459</v>
      </c>
      <c r="N472" s="15" t="s">
        <v>460</v>
      </c>
      <c r="O472" s="14" t="s">
        <v>1457</v>
      </c>
      <c r="P472" s="15" t="s">
        <v>405</v>
      </c>
      <c r="Q472" s="15" t="s">
        <v>482</v>
      </c>
      <c r="R472" s="217" t="s">
        <v>64</v>
      </c>
      <c r="S472" s="193">
        <v>62.180941256024802</v>
      </c>
      <c r="T472" s="14">
        <f t="shared" si="97"/>
        <v>1106.39166</v>
      </c>
      <c r="U472" s="27" t="s">
        <v>300</v>
      </c>
      <c r="V472" s="90" t="s">
        <v>64</v>
      </c>
      <c r="W472" s="109" t="s">
        <v>64</v>
      </c>
      <c r="X472" s="183" t="s">
        <v>64</v>
      </c>
      <c r="Y472" s="104" t="s">
        <v>64</v>
      </c>
      <c r="Z472" s="104" t="s">
        <v>64</v>
      </c>
      <c r="AA472" s="57" t="s">
        <v>64</v>
      </c>
      <c r="AB472" s="47" t="s">
        <v>64</v>
      </c>
      <c r="AC472" s="57">
        <v>570</v>
      </c>
      <c r="AD472" s="27" t="s">
        <v>470</v>
      </c>
      <c r="AE472" s="28">
        <f t="shared" si="94"/>
        <v>2.3978572811999999</v>
      </c>
      <c r="AF472" s="197" t="s">
        <v>470</v>
      </c>
      <c r="AG472" s="84">
        <v>570</v>
      </c>
      <c r="AH472" s="157" t="s">
        <v>469</v>
      </c>
      <c r="AI472" s="8">
        <v>1</v>
      </c>
      <c r="AJ472" s="9">
        <v>50.094900000000003</v>
      </c>
      <c r="AK472" s="9">
        <v>4.016</v>
      </c>
      <c r="AL472" s="9">
        <v>12.585800000000001</v>
      </c>
      <c r="AM472" s="189">
        <v>12.152156088956998</v>
      </c>
      <c r="AN472" s="9">
        <v>0.25530000000000003</v>
      </c>
      <c r="AO472" s="9">
        <v>4.5965999999999996</v>
      </c>
      <c r="AP472" s="9">
        <v>8.2728000000000002</v>
      </c>
      <c r="AQ472" s="9">
        <v>2.9889999999999999</v>
      </c>
      <c r="AR472" s="9">
        <v>0.99399999999999999</v>
      </c>
      <c r="AS472" s="9">
        <v>0.52649999999999997</v>
      </c>
      <c r="AT472" s="190">
        <v>1750.1365960000001</v>
      </c>
      <c r="AU472" s="9">
        <v>0.82202950653845797</v>
      </c>
      <c r="AV472" s="6">
        <v>346.56941502005208</v>
      </c>
      <c r="AW472" s="27" t="s">
        <v>64</v>
      </c>
      <c r="AX472" s="6">
        <v>346.56941502005208</v>
      </c>
      <c r="AY472" s="8">
        <f t="shared" si="95"/>
        <v>2.4311247567664096</v>
      </c>
      <c r="AZ472" s="9">
        <f t="shared" si="96"/>
        <v>9.9647679929447399</v>
      </c>
      <c r="BA472" s="123">
        <v>50.094900000000003</v>
      </c>
      <c r="BB472" s="121">
        <v>4.016</v>
      </c>
      <c r="BC472" s="121">
        <v>12.585800000000001</v>
      </c>
      <c r="BD472" s="121">
        <v>12.154199999999999</v>
      </c>
      <c r="BE472" s="121">
        <v>0.25530000000000003</v>
      </c>
      <c r="BF472" s="121">
        <v>4.5965999999999996</v>
      </c>
      <c r="BG472" s="121">
        <v>8.2728000000000002</v>
      </c>
      <c r="BH472" s="121">
        <v>2.9889999999999999</v>
      </c>
      <c r="BI472" s="121">
        <v>0.99399999999999999</v>
      </c>
      <c r="BJ472" s="121">
        <v>0.52649999999999997</v>
      </c>
      <c r="BK472" s="121">
        <v>0.17501365960000001</v>
      </c>
      <c r="BL472" s="121">
        <f t="shared" si="98"/>
        <v>96.660113659600015</v>
      </c>
      <c r="BM472" s="121">
        <v>0.82202950653845797</v>
      </c>
      <c r="BN472" s="95">
        <v>346.56941502005202</v>
      </c>
      <c r="BO472" s="122" t="s">
        <v>64</v>
      </c>
      <c r="BP472" s="95">
        <v>346.56941502005202</v>
      </c>
      <c r="BQ472" s="194" t="s">
        <v>469</v>
      </c>
    </row>
    <row r="473" spans="12:69" ht="14.45" customHeight="1">
      <c r="L473" s="207" t="s">
        <v>483</v>
      </c>
      <c r="M473" s="763" t="s">
        <v>459</v>
      </c>
      <c r="N473" s="15" t="s">
        <v>460</v>
      </c>
      <c r="O473" s="14" t="s">
        <v>1458</v>
      </c>
      <c r="P473" s="15" t="s">
        <v>405</v>
      </c>
      <c r="Q473" s="15" t="s">
        <v>482</v>
      </c>
      <c r="R473" s="217" t="s">
        <v>64</v>
      </c>
      <c r="S473" s="193">
        <v>50.6399789885443</v>
      </c>
      <c r="T473" s="14">
        <f t="shared" si="97"/>
        <v>1029.4388100000001</v>
      </c>
      <c r="U473" s="218" t="s">
        <v>1472</v>
      </c>
      <c r="V473" s="90" t="s">
        <v>462</v>
      </c>
      <c r="W473" s="109" t="s">
        <v>480</v>
      </c>
      <c r="X473" s="183" t="s">
        <v>64</v>
      </c>
      <c r="Y473" s="104" t="s">
        <v>64</v>
      </c>
      <c r="Z473" s="104" t="s">
        <v>64</v>
      </c>
      <c r="AA473" s="57" t="s">
        <v>64</v>
      </c>
      <c r="AB473" s="47" t="s">
        <v>64</v>
      </c>
      <c r="AC473" s="57">
        <v>420</v>
      </c>
      <c r="AD473" s="27" t="s">
        <v>470</v>
      </c>
      <c r="AE473" s="28">
        <f t="shared" si="94"/>
        <v>1.7941264991999997</v>
      </c>
      <c r="AF473" s="197" t="s">
        <v>470</v>
      </c>
      <c r="AG473" s="84">
        <v>420</v>
      </c>
      <c r="AH473" s="157" t="s">
        <v>469</v>
      </c>
      <c r="AI473" s="8">
        <v>1</v>
      </c>
      <c r="AJ473" s="9">
        <v>63.789400000000001</v>
      </c>
      <c r="AK473" s="9">
        <v>0.81430000000000002</v>
      </c>
      <c r="AL473" s="9">
        <v>15.357900000000001</v>
      </c>
      <c r="AM473" s="189">
        <v>5.3941927330085004</v>
      </c>
      <c r="AN473" s="9">
        <v>7.9799999999999996E-2</v>
      </c>
      <c r="AO473" s="9">
        <v>0.7681</v>
      </c>
      <c r="AP473" s="9">
        <v>4.2309999999999999</v>
      </c>
      <c r="AQ473" s="9">
        <v>5.3239999999999998</v>
      </c>
      <c r="AR473" s="9">
        <v>1.9829000000000001</v>
      </c>
      <c r="AS473" s="9">
        <v>0.33510000000000001</v>
      </c>
      <c r="AT473" s="190">
        <v>337.31543199999999</v>
      </c>
      <c r="AU473" s="9">
        <v>1.2339525589234099</v>
      </c>
      <c r="AV473" s="6">
        <v>139.05917888796401</v>
      </c>
      <c r="AW473" s="27" t="s">
        <v>64</v>
      </c>
      <c r="AX473" s="6">
        <v>139.05917888796401</v>
      </c>
      <c r="AY473" s="8">
        <f t="shared" si="95"/>
        <v>1.0791464000288342</v>
      </c>
      <c r="AZ473" s="9">
        <f t="shared" si="96"/>
        <v>4.4232380410669707</v>
      </c>
      <c r="BA473" s="123">
        <v>63.789400000000001</v>
      </c>
      <c r="BB473" s="121">
        <v>0.81430000000000002</v>
      </c>
      <c r="BC473" s="121">
        <v>15.357900000000001</v>
      </c>
      <c r="BD473" s="121">
        <v>5.3951000000000002</v>
      </c>
      <c r="BE473" s="121">
        <v>7.9799999999999996E-2</v>
      </c>
      <c r="BF473" s="121">
        <v>0.7681</v>
      </c>
      <c r="BG473" s="121">
        <v>4.2309999999999999</v>
      </c>
      <c r="BH473" s="121">
        <v>5.3239999999999998</v>
      </c>
      <c r="BI473" s="121">
        <v>1.9829000000000001</v>
      </c>
      <c r="BJ473" s="121">
        <v>0.33510000000000001</v>
      </c>
      <c r="BK473" s="121">
        <v>3.3731543199999998E-2</v>
      </c>
      <c r="BL473" s="121">
        <f t="shared" si="98"/>
        <v>98.111331543200009</v>
      </c>
      <c r="BM473" s="121">
        <v>1.2339525589234099</v>
      </c>
      <c r="BN473" s="95">
        <v>139.05917888796401</v>
      </c>
      <c r="BO473" s="122" t="s">
        <v>64</v>
      </c>
      <c r="BP473" s="95">
        <v>139.05917888796401</v>
      </c>
      <c r="BQ473" s="194" t="s">
        <v>469</v>
      </c>
    </row>
    <row r="474" spans="12:69" ht="14.45" customHeight="1">
      <c r="L474" s="207" t="s">
        <v>483</v>
      </c>
      <c r="M474" s="763" t="s">
        <v>459</v>
      </c>
      <c r="N474" s="15" t="s">
        <v>460</v>
      </c>
      <c r="O474" s="14" t="s">
        <v>1459</v>
      </c>
      <c r="P474" s="15" t="s">
        <v>405</v>
      </c>
      <c r="Q474" s="15" t="s">
        <v>482</v>
      </c>
      <c r="R474" s="217" t="s">
        <v>64</v>
      </c>
      <c r="S474" s="193">
        <v>68.930848751588798</v>
      </c>
      <c r="T474" s="14">
        <f t="shared" si="97"/>
        <v>1104.11634</v>
      </c>
      <c r="U474" s="218" t="s">
        <v>1472</v>
      </c>
      <c r="V474" s="90" t="s">
        <v>462</v>
      </c>
      <c r="W474" s="109" t="s">
        <v>480</v>
      </c>
      <c r="X474" s="183" t="s">
        <v>64</v>
      </c>
      <c r="Y474" s="104" t="s">
        <v>64</v>
      </c>
      <c r="Z474" s="104" t="s">
        <v>64</v>
      </c>
      <c r="AA474" s="57" t="s">
        <v>64</v>
      </c>
      <c r="AB474" s="47" t="s">
        <v>64</v>
      </c>
      <c r="AC474" s="57">
        <v>560</v>
      </c>
      <c r="AD474" s="27" t="s">
        <v>470</v>
      </c>
      <c r="AE474" s="28">
        <f t="shared" si="94"/>
        <v>2.3581612544000001</v>
      </c>
      <c r="AF474" s="197" t="s">
        <v>470</v>
      </c>
      <c r="AG474" s="84">
        <v>560</v>
      </c>
      <c r="AH474" s="157" t="s">
        <v>469</v>
      </c>
      <c r="AI474" s="8">
        <v>1</v>
      </c>
      <c r="AJ474" s="9">
        <v>49.294899999999998</v>
      </c>
      <c r="AK474" s="9">
        <v>4.1387</v>
      </c>
      <c r="AL474" s="9">
        <v>12.5319</v>
      </c>
      <c r="AM474" s="189">
        <v>12.7715519107395</v>
      </c>
      <c r="AN474" s="9">
        <v>0.1862</v>
      </c>
      <c r="AO474" s="9">
        <v>4.4833999999999996</v>
      </c>
      <c r="AP474" s="9">
        <v>8.3050999999999995</v>
      </c>
      <c r="AQ474" s="9">
        <v>2.7953000000000001</v>
      </c>
      <c r="AR474" s="9">
        <v>0.96819999999999995</v>
      </c>
      <c r="AS474" s="9">
        <v>0.43969999999999998</v>
      </c>
      <c r="AT474" s="190">
        <v>1696.0860520000001</v>
      </c>
      <c r="AU474" s="9">
        <v>0.79639443725802495</v>
      </c>
      <c r="AV474" s="6">
        <v>338.06728045435</v>
      </c>
      <c r="AW474" s="27" t="s">
        <v>64</v>
      </c>
      <c r="AX474" s="6">
        <v>338.06728045435</v>
      </c>
      <c r="AY474" s="8">
        <f t="shared" si="95"/>
        <v>2.5550392708287739</v>
      </c>
      <c r="AZ474" s="9">
        <f t="shared" si="96"/>
        <v>10.47267256680639</v>
      </c>
      <c r="BA474" s="123">
        <v>49.294899999999998</v>
      </c>
      <c r="BB474" s="121">
        <v>4.1387</v>
      </c>
      <c r="BC474" s="121">
        <v>12.5319</v>
      </c>
      <c r="BD474" s="121">
        <v>12.7737</v>
      </c>
      <c r="BE474" s="121">
        <v>0.1862</v>
      </c>
      <c r="BF474" s="121">
        <v>4.4833999999999996</v>
      </c>
      <c r="BG474" s="121">
        <v>8.3050999999999995</v>
      </c>
      <c r="BH474" s="121">
        <v>2.7953000000000001</v>
      </c>
      <c r="BI474" s="121">
        <v>0.96819999999999995</v>
      </c>
      <c r="BJ474" s="121">
        <v>0.43969999999999998</v>
      </c>
      <c r="BK474" s="121">
        <v>0.16960860520000001</v>
      </c>
      <c r="BL474" s="121">
        <f t="shared" si="98"/>
        <v>96.086708605199988</v>
      </c>
      <c r="BM474" s="121">
        <v>0.79639443725802495</v>
      </c>
      <c r="BN474" s="95">
        <v>338.06728045435</v>
      </c>
      <c r="BO474" s="122" t="s">
        <v>64</v>
      </c>
      <c r="BP474" s="95">
        <v>338.06728045435</v>
      </c>
      <c r="BQ474" s="194" t="s">
        <v>469</v>
      </c>
    </row>
    <row r="475" spans="12:69" ht="14.45" customHeight="1">
      <c r="L475" s="207" t="s">
        <v>483</v>
      </c>
      <c r="M475" s="763" t="s">
        <v>459</v>
      </c>
      <c r="N475" s="15" t="s">
        <v>460</v>
      </c>
      <c r="O475" s="14" t="s">
        <v>1460</v>
      </c>
      <c r="P475" s="15" t="s">
        <v>405</v>
      </c>
      <c r="Q475" s="15" t="s">
        <v>482</v>
      </c>
      <c r="R475" s="217" t="s">
        <v>64</v>
      </c>
      <c r="S475" s="193">
        <v>62.501354060960502</v>
      </c>
      <c r="T475" s="14">
        <f t="shared" si="97"/>
        <v>1078.48884</v>
      </c>
      <c r="U475" s="218" t="s">
        <v>1472</v>
      </c>
      <c r="V475" s="90" t="s">
        <v>462</v>
      </c>
      <c r="W475" s="109" t="s">
        <v>480</v>
      </c>
      <c r="X475" s="183" t="s">
        <v>64</v>
      </c>
      <c r="Y475" s="104" t="s">
        <v>64</v>
      </c>
      <c r="Z475" s="104" t="s">
        <v>64</v>
      </c>
      <c r="AA475" s="57" t="s">
        <v>64</v>
      </c>
      <c r="AB475" s="47" t="s">
        <v>64</v>
      </c>
      <c r="AC475" s="57">
        <v>770</v>
      </c>
      <c r="AD475" s="27" t="s">
        <v>470</v>
      </c>
      <c r="AE475" s="28">
        <f t="shared" si="94"/>
        <v>3.1762025372</v>
      </c>
      <c r="AF475" s="197" t="s">
        <v>470</v>
      </c>
      <c r="AG475" s="84">
        <v>770</v>
      </c>
      <c r="AH475" s="157" t="s">
        <v>469</v>
      </c>
      <c r="AI475" s="8">
        <v>1</v>
      </c>
      <c r="AJ475" s="9">
        <v>50.233499999999999</v>
      </c>
      <c r="AK475" s="9">
        <v>3.0276000000000001</v>
      </c>
      <c r="AL475" s="9">
        <v>17.330300000000001</v>
      </c>
      <c r="AM475" s="189">
        <v>9.5263977238800006</v>
      </c>
      <c r="AN475" s="9">
        <v>0.15340000000000001</v>
      </c>
      <c r="AO475" s="9">
        <v>3.2084000000000001</v>
      </c>
      <c r="AP475" s="9">
        <v>9.2964000000000002</v>
      </c>
      <c r="AQ475" s="9">
        <v>3.3744999999999998</v>
      </c>
      <c r="AR475" s="9">
        <v>0.78769999999999996</v>
      </c>
      <c r="AS475" s="9">
        <v>0.37390000000000001</v>
      </c>
      <c r="AT475" s="190">
        <v>1205.627412</v>
      </c>
      <c r="AU475" s="9">
        <v>0.83174100567086395</v>
      </c>
      <c r="AV475" s="6">
        <v>365.42168978485103</v>
      </c>
      <c r="AW475" s="27" t="s">
        <v>64</v>
      </c>
      <c r="AX475" s="6">
        <v>365.42168978485103</v>
      </c>
      <c r="AY475" s="8">
        <f t="shared" si="95"/>
        <v>1.905823228387747</v>
      </c>
      <c r="AZ475" s="9">
        <f t="shared" si="96"/>
        <v>7.8116461335816014</v>
      </c>
      <c r="BA475" s="123">
        <v>50.233499999999999</v>
      </c>
      <c r="BB475" s="121">
        <v>3.0276000000000001</v>
      </c>
      <c r="BC475" s="121">
        <v>17.330300000000001</v>
      </c>
      <c r="BD475" s="121">
        <v>9.5280000000000005</v>
      </c>
      <c r="BE475" s="121">
        <v>0.15340000000000001</v>
      </c>
      <c r="BF475" s="121">
        <v>3.2084000000000001</v>
      </c>
      <c r="BG475" s="121">
        <v>9.2964000000000002</v>
      </c>
      <c r="BH475" s="121">
        <v>3.3744999999999998</v>
      </c>
      <c r="BI475" s="121">
        <v>0.78769999999999996</v>
      </c>
      <c r="BJ475" s="121">
        <v>0.37390000000000001</v>
      </c>
      <c r="BK475" s="121">
        <v>0.1205627412</v>
      </c>
      <c r="BL475" s="121">
        <f t="shared" si="98"/>
        <v>97.434262741200016</v>
      </c>
      <c r="BM475" s="121">
        <v>0.83174100567086395</v>
      </c>
      <c r="BN475" s="95">
        <v>365.42168978485103</v>
      </c>
      <c r="BO475" s="122" t="s">
        <v>64</v>
      </c>
      <c r="BP475" s="95">
        <v>365.42168978485103</v>
      </c>
      <c r="BQ475" s="194" t="s">
        <v>469</v>
      </c>
    </row>
    <row r="476" spans="12:69" ht="14.45" customHeight="1">
      <c r="L476" s="207" t="s">
        <v>483</v>
      </c>
      <c r="M476" s="763" t="s">
        <v>459</v>
      </c>
      <c r="N476" s="15" t="s">
        <v>460</v>
      </c>
      <c r="O476" s="14" t="s">
        <v>1461</v>
      </c>
      <c r="P476" s="15" t="s">
        <v>405</v>
      </c>
      <c r="Q476" s="15" t="s">
        <v>482</v>
      </c>
      <c r="R476" s="217" t="s">
        <v>64</v>
      </c>
      <c r="S476" s="193">
        <v>68.734655959955603</v>
      </c>
      <c r="T476" s="14">
        <f t="shared" si="97"/>
        <v>1104.9002399999999</v>
      </c>
      <c r="U476" s="218" t="s">
        <v>1472</v>
      </c>
      <c r="V476" s="90" t="s">
        <v>462</v>
      </c>
      <c r="W476" s="109" t="s">
        <v>480</v>
      </c>
      <c r="X476" s="183" t="s">
        <v>64</v>
      </c>
      <c r="Y476" s="104" t="s">
        <v>64</v>
      </c>
      <c r="Z476" s="104" t="s">
        <v>64</v>
      </c>
      <c r="AA476" s="57" t="s">
        <v>64</v>
      </c>
      <c r="AB476" s="47" t="s">
        <v>64</v>
      </c>
      <c r="AC476" s="57">
        <v>570</v>
      </c>
      <c r="AD476" s="27" t="s">
        <v>470</v>
      </c>
      <c r="AE476" s="28">
        <f t="shared" si="94"/>
        <v>2.3978572811999999</v>
      </c>
      <c r="AF476" s="197" t="s">
        <v>470</v>
      </c>
      <c r="AG476" s="84">
        <v>570</v>
      </c>
      <c r="AH476" s="157" t="s">
        <v>469</v>
      </c>
      <c r="AI476" s="8">
        <v>1</v>
      </c>
      <c r="AJ476" s="9">
        <v>50.273600000000002</v>
      </c>
      <c r="AK476" s="9">
        <v>4.1994999999999996</v>
      </c>
      <c r="AL476" s="9">
        <v>12.6332</v>
      </c>
      <c r="AM476" s="189">
        <v>12.855437801696</v>
      </c>
      <c r="AN476" s="9">
        <v>0.16489999999999999</v>
      </c>
      <c r="AO476" s="9">
        <v>4.5224000000000002</v>
      </c>
      <c r="AP476" s="9">
        <v>8.3491999999999997</v>
      </c>
      <c r="AQ476" s="9">
        <v>2.7732999999999999</v>
      </c>
      <c r="AR476" s="9">
        <v>0.92530000000000001</v>
      </c>
      <c r="AS476" s="9">
        <v>0.52780000000000005</v>
      </c>
      <c r="AT476" s="190">
        <v>1779.6642079999999</v>
      </c>
      <c r="AU476" s="9">
        <v>0.779314170406464</v>
      </c>
      <c r="AV476" s="6">
        <v>347.07138033601706</v>
      </c>
      <c r="AW476" s="27" t="s">
        <v>64</v>
      </c>
      <c r="AX476" s="6">
        <v>347.07138033601706</v>
      </c>
      <c r="AY476" s="8">
        <f t="shared" si="95"/>
        <v>2.5718212364943636</v>
      </c>
      <c r="AZ476" s="9">
        <f t="shared" si="96"/>
        <v>10.54145899739072</v>
      </c>
      <c r="BA476" s="123">
        <v>50.273600000000002</v>
      </c>
      <c r="BB476" s="121">
        <v>4.1994999999999996</v>
      </c>
      <c r="BC476" s="121">
        <v>12.6332</v>
      </c>
      <c r="BD476" s="121">
        <v>12.8576</v>
      </c>
      <c r="BE476" s="121">
        <v>0.16489999999999999</v>
      </c>
      <c r="BF476" s="121">
        <v>4.5224000000000002</v>
      </c>
      <c r="BG476" s="121">
        <v>8.3491999999999997</v>
      </c>
      <c r="BH476" s="121">
        <v>2.7732999999999999</v>
      </c>
      <c r="BI476" s="121">
        <v>0.92530000000000001</v>
      </c>
      <c r="BJ476" s="121">
        <v>0.52780000000000005</v>
      </c>
      <c r="BK476" s="121">
        <v>0.1779664208</v>
      </c>
      <c r="BL476" s="121">
        <f t="shared" si="98"/>
        <v>97.404766420800016</v>
      </c>
      <c r="BM476" s="121">
        <v>0.779314170406464</v>
      </c>
      <c r="BN476" s="95">
        <v>347.071380336017</v>
      </c>
      <c r="BO476" s="122" t="s">
        <v>64</v>
      </c>
      <c r="BP476" s="95">
        <v>347.071380336017</v>
      </c>
      <c r="BQ476" s="194" t="s">
        <v>469</v>
      </c>
    </row>
    <row r="477" spans="12:69" ht="14.45" customHeight="1">
      <c r="L477" s="207" t="s">
        <v>483</v>
      </c>
      <c r="M477" s="763" t="s">
        <v>459</v>
      </c>
      <c r="N477" s="15" t="s">
        <v>460</v>
      </c>
      <c r="O477" s="14" t="s">
        <v>1462</v>
      </c>
      <c r="P477" s="15" t="s">
        <v>405</v>
      </c>
      <c r="Q477" s="15" t="s">
        <v>482</v>
      </c>
      <c r="R477" s="217" t="s">
        <v>64</v>
      </c>
      <c r="S477" s="193">
        <v>51.024206035006003</v>
      </c>
      <c r="T477" s="14">
        <f t="shared" si="97"/>
        <v>1038.12402</v>
      </c>
      <c r="U477" s="218" t="s">
        <v>1472</v>
      </c>
      <c r="V477" s="90" t="s">
        <v>462</v>
      </c>
      <c r="W477" s="109" t="s">
        <v>480</v>
      </c>
      <c r="X477" s="183" t="s">
        <v>64</v>
      </c>
      <c r="Y477" s="104" t="s">
        <v>64</v>
      </c>
      <c r="Z477" s="104" t="s">
        <v>64</v>
      </c>
      <c r="AA477" s="57" t="s">
        <v>64</v>
      </c>
      <c r="AB477" s="47" t="s">
        <v>64</v>
      </c>
      <c r="AC477" s="57">
        <v>280</v>
      </c>
      <c r="AD477" s="27" t="s">
        <v>470</v>
      </c>
      <c r="AE477" s="28">
        <f t="shared" si="94"/>
        <v>1.2138387968</v>
      </c>
      <c r="AF477" s="197" t="s">
        <v>470</v>
      </c>
      <c r="AG477" s="84">
        <v>280</v>
      </c>
      <c r="AH477" s="157" t="s">
        <v>469</v>
      </c>
      <c r="AI477" s="8">
        <v>1</v>
      </c>
      <c r="AJ477" s="9">
        <v>61.819400000000002</v>
      </c>
      <c r="AK477" s="9">
        <v>1.2073</v>
      </c>
      <c r="AL477" s="9">
        <v>15.1065</v>
      </c>
      <c r="AM477" s="189">
        <v>7.1297008322014994</v>
      </c>
      <c r="AN477" s="9">
        <v>0.12690000000000001</v>
      </c>
      <c r="AO477" s="9">
        <v>1.2001999999999999</v>
      </c>
      <c r="AP477" s="9">
        <v>4.6611000000000002</v>
      </c>
      <c r="AQ477" s="9">
        <v>5.1361999999999997</v>
      </c>
      <c r="AR477" s="9">
        <v>1.7810999999999999</v>
      </c>
      <c r="AS477" s="9">
        <v>0.31469999999999998</v>
      </c>
      <c r="AT477" s="190">
        <v>528.49420799999996</v>
      </c>
      <c r="AU477" s="9">
        <v>1.1328115983356699</v>
      </c>
      <c r="AV477" s="6">
        <v>77.374869805669306</v>
      </c>
      <c r="AW477" s="27" t="s">
        <v>64</v>
      </c>
      <c r="AX477" s="6">
        <v>77.374869805669306</v>
      </c>
      <c r="AY477" s="8">
        <f t="shared" si="95"/>
        <v>1.4263470675178613</v>
      </c>
      <c r="AZ477" s="9">
        <f t="shared" si="96"/>
        <v>5.8463546824052308</v>
      </c>
      <c r="BA477" s="123">
        <v>61.819400000000002</v>
      </c>
      <c r="BB477" s="121">
        <v>1.2073</v>
      </c>
      <c r="BC477" s="121">
        <v>15.1065</v>
      </c>
      <c r="BD477" s="121">
        <v>7.1308999999999996</v>
      </c>
      <c r="BE477" s="121">
        <v>0.12690000000000001</v>
      </c>
      <c r="BF477" s="121">
        <v>1.2001999999999999</v>
      </c>
      <c r="BG477" s="121">
        <v>4.6611000000000002</v>
      </c>
      <c r="BH477" s="121">
        <v>5.1361999999999997</v>
      </c>
      <c r="BI477" s="121">
        <v>1.7810999999999999</v>
      </c>
      <c r="BJ477" s="121">
        <v>0.31469999999999998</v>
      </c>
      <c r="BK477" s="121">
        <v>5.2849420799999998E-2</v>
      </c>
      <c r="BL477" s="121">
        <f t="shared" si="98"/>
        <v>98.537149420800006</v>
      </c>
      <c r="BM477" s="121">
        <v>1.1328115983356699</v>
      </c>
      <c r="BN477" s="95">
        <v>77.374869805669306</v>
      </c>
      <c r="BO477" s="122" t="s">
        <v>64</v>
      </c>
      <c r="BP477" s="95">
        <v>77.374869805669306</v>
      </c>
      <c r="BQ477" s="194" t="s">
        <v>469</v>
      </c>
    </row>
    <row r="478" spans="12:69" ht="14.45" customHeight="1">
      <c r="L478" s="207" t="s">
        <v>483</v>
      </c>
      <c r="M478" s="763" t="s">
        <v>459</v>
      </c>
      <c r="N478" s="15" t="s">
        <v>460</v>
      </c>
      <c r="O478" s="14" t="s">
        <v>1463</v>
      </c>
      <c r="P478" s="15" t="s">
        <v>405</v>
      </c>
      <c r="Q478" s="15" t="s">
        <v>482</v>
      </c>
      <c r="R478" s="217" t="s">
        <v>64</v>
      </c>
      <c r="S478" s="193">
        <v>72.7999926059057</v>
      </c>
      <c r="T478" s="14">
        <f t="shared" si="97"/>
        <v>1117.5210299999999</v>
      </c>
      <c r="U478" s="218" t="s">
        <v>1472</v>
      </c>
      <c r="V478" s="90" t="s">
        <v>462</v>
      </c>
      <c r="W478" s="109" t="s">
        <v>480</v>
      </c>
      <c r="X478" s="183" t="s">
        <v>64</v>
      </c>
      <c r="Y478" s="104" t="s">
        <v>64</v>
      </c>
      <c r="Z478" s="104" t="s">
        <v>64</v>
      </c>
      <c r="AA478" s="57" t="s">
        <v>64</v>
      </c>
      <c r="AB478" s="47" t="s">
        <v>64</v>
      </c>
      <c r="AC478" s="57">
        <v>700</v>
      </c>
      <c r="AD478" s="27" t="s">
        <v>470</v>
      </c>
      <c r="AE478" s="28">
        <f t="shared" si="94"/>
        <v>2.9070691999999996</v>
      </c>
      <c r="AF478" s="197" t="s">
        <v>470</v>
      </c>
      <c r="AG478" s="84">
        <v>700</v>
      </c>
      <c r="AH478" s="157" t="s">
        <v>469</v>
      </c>
      <c r="AI478" s="8">
        <v>1</v>
      </c>
      <c r="AJ478" s="9">
        <v>50.687899999999999</v>
      </c>
      <c r="AK478" s="9">
        <v>3.5531999999999999</v>
      </c>
      <c r="AL478" s="9">
        <v>12.476000000000001</v>
      </c>
      <c r="AM478" s="189">
        <v>11.750823590388</v>
      </c>
      <c r="AN478" s="9">
        <v>0.2175</v>
      </c>
      <c r="AO478" s="9">
        <v>5.1502999999999997</v>
      </c>
      <c r="AP478" s="9">
        <v>8.5489999999999995</v>
      </c>
      <c r="AQ478" s="9">
        <v>2.7734000000000001</v>
      </c>
      <c r="AR478" s="9">
        <v>0.86870000000000003</v>
      </c>
      <c r="AS478" s="9">
        <v>0.43430000000000002</v>
      </c>
      <c r="AT478" s="190">
        <v>1639.0327</v>
      </c>
      <c r="AU478" s="9">
        <v>0.77602832488392604</v>
      </c>
      <c r="AV478" s="6">
        <v>440.98527159876699</v>
      </c>
      <c r="AW478" s="27" t="s">
        <v>64</v>
      </c>
      <c r="AX478" s="6">
        <v>440.98527159876699</v>
      </c>
      <c r="AY478" s="8">
        <f t="shared" si="95"/>
        <v>2.3508353524974299</v>
      </c>
      <c r="AZ478" s="9">
        <f t="shared" si="96"/>
        <v>9.6356753441181606</v>
      </c>
      <c r="BA478" s="123">
        <v>50.687899999999999</v>
      </c>
      <c r="BB478" s="121">
        <v>3.5531999999999999</v>
      </c>
      <c r="BC478" s="121">
        <v>12.476000000000001</v>
      </c>
      <c r="BD478" s="121">
        <v>11.752800000000001</v>
      </c>
      <c r="BE478" s="121">
        <v>0.2175</v>
      </c>
      <c r="BF478" s="121">
        <v>5.1502999999999997</v>
      </c>
      <c r="BG478" s="121">
        <v>8.5489999999999995</v>
      </c>
      <c r="BH478" s="121">
        <v>2.7734000000000001</v>
      </c>
      <c r="BI478" s="121">
        <v>0.86870000000000003</v>
      </c>
      <c r="BJ478" s="121">
        <v>0.43430000000000002</v>
      </c>
      <c r="BK478" s="121">
        <v>0.16390326999999999</v>
      </c>
      <c r="BL478" s="121">
        <f t="shared" si="98"/>
        <v>96.627003269999989</v>
      </c>
      <c r="BM478" s="121">
        <v>0.77602832488392604</v>
      </c>
      <c r="BN478" s="95">
        <v>440.98527159876699</v>
      </c>
      <c r="BO478" s="122" t="s">
        <v>64</v>
      </c>
      <c r="BP478" s="95">
        <v>440.98527159876699</v>
      </c>
      <c r="BQ478" s="194" t="s">
        <v>469</v>
      </c>
    </row>
    <row r="479" spans="12:69" ht="14.45" customHeight="1">
      <c r="L479" s="207" t="s">
        <v>483</v>
      </c>
      <c r="M479" s="763" t="s">
        <v>459</v>
      </c>
      <c r="N479" s="15" t="s">
        <v>460</v>
      </c>
      <c r="O479" s="14" t="s">
        <v>1464</v>
      </c>
      <c r="P479" s="15" t="s">
        <v>405</v>
      </c>
      <c r="Q479" s="15" t="s">
        <v>482</v>
      </c>
      <c r="R479" s="217" t="s">
        <v>64</v>
      </c>
      <c r="S479" s="193">
        <v>71.431962497986007</v>
      </c>
      <c r="T479" s="14">
        <f t="shared" si="97"/>
        <v>1119.31998</v>
      </c>
      <c r="U479" s="218" t="s">
        <v>1472</v>
      </c>
      <c r="V479" s="90" t="s">
        <v>462</v>
      </c>
      <c r="W479" s="109" t="s">
        <v>480</v>
      </c>
      <c r="X479" s="183" t="s">
        <v>64</v>
      </c>
      <c r="Y479" s="104" t="s">
        <v>64</v>
      </c>
      <c r="Z479" s="104" t="s">
        <v>64</v>
      </c>
      <c r="AA479" s="57" t="s">
        <v>64</v>
      </c>
      <c r="AB479" s="47" t="s">
        <v>64</v>
      </c>
      <c r="AC479" s="57">
        <v>540</v>
      </c>
      <c r="AD479" s="27" t="s">
        <v>470</v>
      </c>
      <c r="AE479" s="28">
        <f t="shared" si="94"/>
        <v>2.2785372576</v>
      </c>
      <c r="AF479" s="197" t="s">
        <v>470</v>
      </c>
      <c r="AG479" s="84">
        <v>540</v>
      </c>
      <c r="AH479" s="157" t="s">
        <v>469</v>
      </c>
      <c r="AI479" s="8">
        <v>1</v>
      </c>
      <c r="AJ479" s="9">
        <v>50.499400000000001</v>
      </c>
      <c r="AK479" s="9">
        <v>3.5724999999999998</v>
      </c>
      <c r="AL479" s="9">
        <v>12.2257</v>
      </c>
      <c r="AM479" s="189">
        <v>12.532692085358001</v>
      </c>
      <c r="AN479" s="9">
        <v>0.24199999999999999</v>
      </c>
      <c r="AO479" s="9">
        <v>5.2397999999999998</v>
      </c>
      <c r="AP479" s="9">
        <v>8.6113</v>
      </c>
      <c r="AQ479" s="9">
        <v>2.8146</v>
      </c>
      <c r="AR479" s="9">
        <v>0.86519999999999997</v>
      </c>
      <c r="AS479" s="9">
        <v>0.4224</v>
      </c>
      <c r="AT479" s="190">
        <v>1624.01866</v>
      </c>
      <c r="AU479" s="9">
        <v>0.80556578942349899</v>
      </c>
      <c r="AV479" s="6">
        <v>323.01734331751902</v>
      </c>
      <c r="AW479" s="27" t="s">
        <v>64</v>
      </c>
      <c r="AX479" s="6">
        <v>323.01734331751902</v>
      </c>
      <c r="AY479" s="8">
        <f t="shared" si="95"/>
        <v>2.5072536737190103</v>
      </c>
      <c r="AZ479" s="9">
        <f t="shared" si="96"/>
        <v>10.276807509993562</v>
      </c>
      <c r="BA479" s="123">
        <v>50.499400000000001</v>
      </c>
      <c r="BB479" s="121">
        <v>3.5724999999999998</v>
      </c>
      <c r="BC479" s="121">
        <v>12.2257</v>
      </c>
      <c r="BD479" s="121">
        <v>12.534800000000001</v>
      </c>
      <c r="BE479" s="121">
        <v>0.24199999999999999</v>
      </c>
      <c r="BF479" s="121">
        <v>5.2397999999999998</v>
      </c>
      <c r="BG479" s="121">
        <v>8.6113</v>
      </c>
      <c r="BH479" s="121">
        <v>2.8146</v>
      </c>
      <c r="BI479" s="121">
        <v>0.86519999999999997</v>
      </c>
      <c r="BJ479" s="121">
        <v>0.4224</v>
      </c>
      <c r="BK479" s="121">
        <v>0.16240186600000001</v>
      </c>
      <c r="BL479" s="121">
        <f t="shared" si="98"/>
        <v>97.190101866000006</v>
      </c>
      <c r="BM479" s="121">
        <v>0.80556578942349899</v>
      </c>
      <c r="BN479" s="95">
        <v>323.01734331751902</v>
      </c>
      <c r="BO479" s="122" t="s">
        <v>64</v>
      </c>
      <c r="BP479" s="95">
        <v>323.01734331751902</v>
      </c>
      <c r="BQ479" s="194" t="s">
        <v>469</v>
      </c>
    </row>
    <row r="480" spans="12:69" ht="14.45" customHeight="1">
      <c r="L480" s="207" t="s">
        <v>483</v>
      </c>
      <c r="M480" s="763" t="s">
        <v>459</v>
      </c>
      <c r="N480" s="15" t="s">
        <v>460</v>
      </c>
      <c r="O480" s="14" t="s">
        <v>1465</v>
      </c>
      <c r="P480" s="15" t="s">
        <v>405</v>
      </c>
      <c r="Q480" s="15" t="s">
        <v>482</v>
      </c>
      <c r="R480" s="217" t="s">
        <v>64</v>
      </c>
      <c r="S480" s="193">
        <v>68.328049484209899</v>
      </c>
      <c r="T480" s="14">
        <f t="shared" si="97"/>
        <v>1117.20948</v>
      </c>
      <c r="U480" s="218" t="s">
        <v>1472</v>
      </c>
      <c r="V480" s="90" t="s">
        <v>462</v>
      </c>
      <c r="W480" s="109" t="s">
        <v>480</v>
      </c>
      <c r="X480" s="183" t="s">
        <v>64</v>
      </c>
      <c r="Y480" s="104" t="s">
        <v>64</v>
      </c>
      <c r="Z480" s="104" t="s">
        <v>64</v>
      </c>
      <c r="AA480" s="57" t="s">
        <v>64</v>
      </c>
      <c r="AB480" s="47" t="s">
        <v>64</v>
      </c>
      <c r="AC480" s="57">
        <v>580</v>
      </c>
      <c r="AD480" s="27" t="s">
        <v>470</v>
      </c>
      <c r="AE480" s="28">
        <f t="shared" si="94"/>
        <v>2.4374765407999996</v>
      </c>
      <c r="AF480" s="197" t="s">
        <v>470</v>
      </c>
      <c r="AG480" s="84">
        <v>580</v>
      </c>
      <c r="AH480" s="157" t="s">
        <v>469</v>
      </c>
      <c r="AI480" s="8">
        <v>1</v>
      </c>
      <c r="AJ480" s="9">
        <v>49.419400000000003</v>
      </c>
      <c r="AK480" s="9">
        <v>3.7061000000000002</v>
      </c>
      <c r="AL480" s="9">
        <v>12.6592</v>
      </c>
      <c r="AM480" s="189">
        <v>12.059371694669</v>
      </c>
      <c r="AN480" s="9">
        <v>0.1542</v>
      </c>
      <c r="AO480" s="9">
        <v>5.1348000000000003</v>
      </c>
      <c r="AP480" s="9">
        <v>8.6632999999999996</v>
      </c>
      <c r="AQ480" s="9">
        <v>2.8614999999999999</v>
      </c>
      <c r="AR480" s="9">
        <v>0.82789999999999997</v>
      </c>
      <c r="AS480" s="9">
        <v>0.45340000000000003</v>
      </c>
      <c r="AT480" s="190">
        <v>1680.0710759999997</v>
      </c>
      <c r="AU480" s="9">
        <v>0.83667370915525596</v>
      </c>
      <c r="AV480" s="6">
        <v>341.814867975347</v>
      </c>
      <c r="AW480" s="27" t="s">
        <v>64</v>
      </c>
      <c r="AX480" s="6">
        <v>341.814867975347</v>
      </c>
      <c r="AY480" s="8">
        <f t="shared" si="95"/>
        <v>2.4125625825856392</v>
      </c>
      <c r="AZ480" s="9">
        <f t="shared" si="96"/>
        <v>9.888684789628579</v>
      </c>
      <c r="BA480" s="123">
        <v>49.419400000000003</v>
      </c>
      <c r="BB480" s="121">
        <v>3.7061000000000002</v>
      </c>
      <c r="BC480" s="121">
        <v>12.6592</v>
      </c>
      <c r="BD480" s="121">
        <v>12.061400000000001</v>
      </c>
      <c r="BE480" s="121">
        <v>0.1542</v>
      </c>
      <c r="BF480" s="121">
        <v>5.1348000000000003</v>
      </c>
      <c r="BG480" s="121">
        <v>8.6632999999999996</v>
      </c>
      <c r="BH480" s="121">
        <v>2.8614999999999999</v>
      </c>
      <c r="BI480" s="121">
        <v>0.82789999999999997</v>
      </c>
      <c r="BJ480" s="121">
        <v>0.45340000000000003</v>
      </c>
      <c r="BK480" s="121">
        <v>0.16800710759999998</v>
      </c>
      <c r="BL480" s="121">
        <f t="shared" si="98"/>
        <v>96.109207107600028</v>
      </c>
      <c r="BM480" s="121">
        <v>0.83667370915525596</v>
      </c>
      <c r="BN480" s="95">
        <v>341.814867975347</v>
      </c>
      <c r="BO480" s="122" t="s">
        <v>64</v>
      </c>
      <c r="BP480" s="95">
        <v>341.814867975347</v>
      </c>
      <c r="BQ480" s="194" t="s">
        <v>469</v>
      </c>
    </row>
    <row r="481" spans="12:69" ht="14.45" customHeight="1">
      <c r="L481" s="207" t="s">
        <v>483</v>
      </c>
      <c r="M481" s="763" t="s">
        <v>459</v>
      </c>
      <c r="N481" s="15" t="s">
        <v>460</v>
      </c>
      <c r="O481" s="14" t="s">
        <v>1466</v>
      </c>
      <c r="P481" s="15" t="s">
        <v>405</v>
      </c>
      <c r="Q481" s="15" t="s">
        <v>482</v>
      </c>
      <c r="R481" s="217" t="s">
        <v>64</v>
      </c>
      <c r="S481" s="193">
        <v>63.637754370272006</v>
      </c>
      <c r="T481" s="14">
        <f t="shared" si="97"/>
        <v>1100.3295000000001</v>
      </c>
      <c r="U481" s="218" t="s">
        <v>1472</v>
      </c>
      <c r="V481" s="90" t="s">
        <v>462</v>
      </c>
      <c r="W481" s="109" t="s">
        <v>480</v>
      </c>
      <c r="X481" s="183" t="s">
        <v>64</v>
      </c>
      <c r="Y481" s="104" t="s">
        <v>64</v>
      </c>
      <c r="Z481" s="104" t="s">
        <v>64</v>
      </c>
      <c r="AA481" s="57" t="s">
        <v>64</v>
      </c>
      <c r="AB481" s="47" t="s">
        <v>64</v>
      </c>
      <c r="AC481" s="57">
        <v>580</v>
      </c>
      <c r="AD481" s="27" t="s">
        <v>470</v>
      </c>
      <c r="AE481" s="28">
        <f t="shared" si="94"/>
        <v>2.4374765407999996</v>
      </c>
      <c r="AF481" s="197" t="s">
        <v>470</v>
      </c>
      <c r="AG481" s="84">
        <v>580</v>
      </c>
      <c r="AH481" s="157" t="s">
        <v>469</v>
      </c>
      <c r="AI481" s="8">
        <v>1</v>
      </c>
      <c r="AJ481" s="9">
        <v>48.607999999999997</v>
      </c>
      <c r="AK481" s="9">
        <v>4.0819000000000001</v>
      </c>
      <c r="AL481" s="9">
        <v>12.8695</v>
      </c>
      <c r="AM481" s="189">
        <v>13.646604732731499</v>
      </c>
      <c r="AN481" s="9">
        <v>0.15490000000000001</v>
      </c>
      <c r="AO481" s="9">
        <v>4.2949999999999999</v>
      </c>
      <c r="AP481" s="9">
        <v>8.5454000000000008</v>
      </c>
      <c r="AQ481" s="9">
        <v>2.8153000000000001</v>
      </c>
      <c r="AR481" s="9">
        <v>0.96950000000000003</v>
      </c>
      <c r="AS481" s="9">
        <v>0.59250000000000003</v>
      </c>
      <c r="AT481" s="190">
        <v>1935.8102240000001</v>
      </c>
      <c r="AU481" s="9">
        <v>0.78569392000708804</v>
      </c>
      <c r="AV481" s="6">
        <v>356.23030583918199</v>
      </c>
      <c r="AW481" s="27" t="s">
        <v>64</v>
      </c>
      <c r="AX481" s="6">
        <v>356.23030583918199</v>
      </c>
      <c r="AY481" s="8">
        <f t="shared" si="95"/>
        <v>2.7300997756025938</v>
      </c>
      <c r="AZ481" s="9">
        <f t="shared" si="96"/>
        <v>11.19021588083983</v>
      </c>
      <c r="BA481" s="123">
        <v>48.607999999999997</v>
      </c>
      <c r="BB481" s="121">
        <v>4.0819000000000001</v>
      </c>
      <c r="BC481" s="121">
        <v>12.8695</v>
      </c>
      <c r="BD481" s="121">
        <v>13.648899999999999</v>
      </c>
      <c r="BE481" s="121">
        <v>0.15490000000000001</v>
      </c>
      <c r="BF481" s="121">
        <v>4.2949999999999999</v>
      </c>
      <c r="BG481" s="121">
        <v>8.5454000000000008</v>
      </c>
      <c r="BH481" s="121">
        <v>2.8153000000000001</v>
      </c>
      <c r="BI481" s="121">
        <v>0.96950000000000003</v>
      </c>
      <c r="BJ481" s="121">
        <v>0.59250000000000003</v>
      </c>
      <c r="BK481" s="121">
        <v>0.1935810224</v>
      </c>
      <c r="BL481" s="121">
        <f t="shared" si="98"/>
        <v>96.774481022399982</v>
      </c>
      <c r="BM481" s="121">
        <v>0.78569392000708804</v>
      </c>
      <c r="BN481" s="95">
        <v>356.23030583918199</v>
      </c>
      <c r="BO481" s="122" t="s">
        <v>64</v>
      </c>
      <c r="BP481" s="95">
        <v>356.23030583918199</v>
      </c>
      <c r="BQ481" s="194" t="s">
        <v>469</v>
      </c>
    </row>
    <row r="482" spans="12:69" ht="14.45" customHeight="1">
      <c r="L482" s="207" t="s">
        <v>483</v>
      </c>
      <c r="M482" s="763" t="s">
        <v>459</v>
      </c>
      <c r="N482" s="15" t="s">
        <v>460</v>
      </c>
      <c r="O482" s="14" t="s">
        <v>1467</v>
      </c>
      <c r="P482" s="15" t="s">
        <v>405</v>
      </c>
      <c r="Q482" s="15" t="s">
        <v>482</v>
      </c>
      <c r="R482" s="217" t="s">
        <v>64</v>
      </c>
      <c r="S482" s="193">
        <v>65.014231634588697</v>
      </c>
      <c r="T482" s="14">
        <f t="shared" si="97"/>
        <v>1096.96074</v>
      </c>
      <c r="U482" s="218" t="s">
        <v>1472</v>
      </c>
      <c r="V482" s="90" t="s">
        <v>462</v>
      </c>
      <c r="W482" s="109" t="s">
        <v>480</v>
      </c>
      <c r="X482" s="183" t="s">
        <v>64</v>
      </c>
      <c r="Y482" s="104" t="s">
        <v>64</v>
      </c>
      <c r="Z482" s="104" t="s">
        <v>64</v>
      </c>
      <c r="AA482" s="57" t="s">
        <v>64</v>
      </c>
      <c r="AB482" s="47" t="s">
        <v>64</v>
      </c>
      <c r="AC482" s="57">
        <v>580</v>
      </c>
      <c r="AD482" s="27" t="s">
        <v>470</v>
      </c>
      <c r="AE482" s="28">
        <f t="shared" si="94"/>
        <v>2.4374765407999996</v>
      </c>
      <c r="AF482" s="197" t="s">
        <v>470</v>
      </c>
      <c r="AG482" s="84">
        <v>580</v>
      </c>
      <c r="AH482" s="157" t="s">
        <v>469</v>
      </c>
      <c r="AI482" s="8">
        <v>1</v>
      </c>
      <c r="AJ482" s="9">
        <v>48.859400000000001</v>
      </c>
      <c r="AK482" s="9">
        <v>4.1223999999999998</v>
      </c>
      <c r="AL482" s="9">
        <v>12.8263</v>
      </c>
      <c r="AM482" s="189">
        <v>13.4642354060275</v>
      </c>
      <c r="AN482" s="9">
        <v>0.16669999999999999</v>
      </c>
      <c r="AO482" s="9">
        <v>4.1273999999999997</v>
      </c>
      <c r="AP482" s="9">
        <v>8.4550000000000001</v>
      </c>
      <c r="AQ482" s="9">
        <v>3.0411999999999999</v>
      </c>
      <c r="AR482" s="9">
        <v>0.95760000000000001</v>
      </c>
      <c r="AS482" s="9">
        <v>0.55200000000000005</v>
      </c>
      <c r="AT482" s="190">
        <v>1793.1768440000001</v>
      </c>
      <c r="AU482" s="9">
        <v>0.77619557840158704</v>
      </c>
      <c r="AV482" s="6">
        <v>353.79625315804202</v>
      </c>
      <c r="AW482" s="27" t="s">
        <v>64</v>
      </c>
      <c r="AX482" s="6">
        <v>353.79625315804202</v>
      </c>
      <c r="AY482" s="8">
        <f t="shared" si="95"/>
        <v>2.6936155022128037</v>
      </c>
      <c r="AZ482" s="9">
        <f t="shared" si="96"/>
        <v>11.04067303294255</v>
      </c>
      <c r="BA482" s="123">
        <v>48.859400000000001</v>
      </c>
      <c r="BB482" s="121">
        <v>4.1223999999999998</v>
      </c>
      <c r="BC482" s="121">
        <v>12.8263</v>
      </c>
      <c r="BD482" s="121">
        <v>13.4665</v>
      </c>
      <c r="BE482" s="121">
        <v>0.16669999999999999</v>
      </c>
      <c r="BF482" s="121">
        <v>4.1273999999999997</v>
      </c>
      <c r="BG482" s="121">
        <v>8.4550000000000001</v>
      </c>
      <c r="BH482" s="121">
        <v>3.0411999999999999</v>
      </c>
      <c r="BI482" s="121">
        <v>0.95760000000000001</v>
      </c>
      <c r="BJ482" s="121">
        <v>0.55200000000000005</v>
      </c>
      <c r="BK482" s="121">
        <v>0.17931768440000001</v>
      </c>
      <c r="BL482" s="121">
        <f t="shared" si="98"/>
        <v>96.753817684400005</v>
      </c>
      <c r="BM482" s="121">
        <v>0.77619557840158704</v>
      </c>
      <c r="BN482" s="95">
        <v>353.79625315804202</v>
      </c>
      <c r="BO482" s="122" t="s">
        <v>64</v>
      </c>
      <c r="BP482" s="95">
        <v>353.79625315804202</v>
      </c>
      <c r="BQ482" s="194" t="s">
        <v>469</v>
      </c>
    </row>
    <row r="483" spans="12:69" ht="14.45" customHeight="1">
      <c r="L483" s="207" t="s">
        <v>483</v>
      </c>
      <c r="M483" s="763" t="s">
        <v>459</v>
      </c>
      <c r="N483" s="15" t="s">
        <v>460</v>
      </c>
      <c r="O483" s="14" t="s">
        <v>1468</v>
      </c>
      <c r="P483" s="15" t="s">
        <v>405</v>
      </c>
      <c r="Q483" s="15" t="s">
        <v>482</v>
      </c>
      <c r="R483" s="217" t="s">
        <v>64</v>
      </c>
      <c r="S483" s="193">
        <v>49.262605884122003</v>
      </c>
      <c r="T483" s="14">
        <f t="shared" si="97"/>
        <v>1060.7003400000001</v>
      </c>
      <c r="U483" s="27" t="s">
        <v>300</v>
      </c>
      <c r="V483" s="90" t="s">
        <v>64</v>
      </c>
      <c r="W483" s="109" t="s">
        <v>64</v>
      </c>
      <c r="X483" s="183" t="s">
        <v>64</v>
      </c>
      <c r="Y483" s="104" t="s">
        <v>64</v>
      </c>
      <c r="Z483" s="104" t="s">
        <v>64</v>
      </c>
      <c r="AA483" s="57" t="s">
        <v>64</v>
      </c>
      <c r="AB483" s="47" t="s">
        <v>64</v>
      </c>
      <c r="AC483" s="57">
        <v>500</v>
      </c>
      <c r="AD483" s="27" t="s">
        <v>470</v>
      </c>
      <c r="AE483" s="28">
        <f t="shared" si="94"/>
        <v>2.11835</v>
      </c>
      <c r="AF483" s="197" t="s">
        <v>470</v>
      </c>
      <c r="AG483" s="84">
        <v>500</v>
      </c>
      <c r="AH483" s="157" t="s">
        <v>469</v>
      </c>
      <c r="AI483" s="8">
        <v>1</v>
      </c>
      <c r="AJ483" s="9">
        <v>56.415700000000001</v>
      </c>
      <c r="AK483" s="9">
        <v>1.9329000000000001</v>
      </c>
      <c r="AL483" s="9">
        <v>12.961</v>
      </c>
      <c r="AM483" s="189">
        <v>9.7381621065330002</v>
      </c>
      <c r="AN483" s="9">
        <v>0.14749999999999999</v>
      </c>
      <c r="AO483" s="9">
        <v>2.3233999999999999</v>
      </c>
      <c r="AP483" s="9">
        <v>5.6497000000000002</v>
      </c>
      <c r="AQ483" s="9">
        <v>4.2510000000000003</v>
      </c>
      <c r="AR483" s="9">
        <v>1.9084000000000001</v>
      </c>
      <c r="AS483" s="9">
        <v>0.86629999999999996</v>
      </c>
      <c r="AT483" s="190">
        <v>721.17438800000002</v>
      </c>
      <c r="AU483" s="9">
        <v>0.93972374553035098</v>
      </c>
      <c r="AV483" s="6">
        <v>254.02385794026199</v>
      </c>
      <c r="AW483" s="27" t="s">
        <v>64</v>
      </c>
      <c r="AX483" s="6">
        <v>254.02385794026199</v>
      </c>
      <c r="AY483" s="8">
        <f t="shared" si="95"/>
        <v>1.9481881905804972</v>
      </c>
      <c r="AZ483" s="9">
        <f t="shared" si="96"/>
        <v>7.9852929273570616</v>
      </c>
      <c r="BA483" s="123">
        <v>56.415700000000001</v>
      </c>
      <c r="BB483" s="121">
        <v>1.9329000000000001</v>
      </c>
      <c r="BC483" s="121">
        <v>12.961</v>
      </c>
      <c r="BD483" s="121">
        <v>9.7398000000000007</v>
      </c>
      <c r="BE483" s="121">
        <v>0.14749999999999999</v>
      </c>
      <c r="BF483" s="121">
        <v>2.3233999999999999</v>
      </c>
      <c r="BG483" s="121">
        <v>5.6497000000000002</v>
      </c>
      <c r="BH483" s="121">
        <v>4.2510000000000003</v>
      </c>
      <c r="BI483" s="121">
        <v>1.9084000000000001</v>
      </c>
      <c r="BJ483" s="121">
        <v>0.86629999999999996</v>
      </c>
      <c r="BK483" s="121">
        <v>7.2117438800000003E-2</v>
      </c>
      <c r="BL483" s="121">
        <f t="shared" si="98"/>
        <v>96.267817438800009</v>
      </c>
      <c r="BM483" s="121">
        <v>0.93972374553035098</v>
      </c>
      <c r="BN483" s="95">
        <v>254.02385794026199</v>
      </c>
      <c r="BO483" s="122" t="s">
        <v>64</v>
      </c>
      <c r="BP483" s="95">
        <v>254.02385794026199</v>
      </c>
      <c r="BQ483" s="194" t="s">
        <v>469</v>
      </c>
    </row>
    <row r="484" spans="12:69" ht="14.45" customHeight="1">
      <c r="L484" s="207" t="s">
        <v>483</v>
      </c>
      <c r="M484" s="763" t="s">
        <v>459</v>
      </c>
      <c r="N484" s="15" t="s">
        <v>460</v>
      </c>
      <c r="O484" s="14" t="s">
        <v>1469</v>
      </c>
      <c r="P484" s="15" t="s">
        <v>405</v>
      </c>
      <c r="Q484" s="15" t="s">
        <v>482</v>
      </c>
      <c r="R484" s="217" t="s">
        <v>64</v>
      </c>
      <c r="S484" s="193">
        <v>49.515317476964697</v>
      </c>
      <c r="T484" s="14">
        <f t="shared" si="97"/>
        <v>1043.0244</v>
      </c>
      <c r="U484" s="27" t="s">
        <v>300</v>
      </c>
      <c r="V484" s="90" t="s">
        <v>64</v>
      </c>
      <c r="W484" s="109" t="s">
        <v>64</v>
      </c>
      <c r="X484" s="183" t="s">
        <v>64</v>
      </c>
      <c r="Y484" s="104" t="s">
        <v>64</v>
      </c>
      <c r="Z484" s="104" t="s">
        <v>64</v>
      </c>
      <c r="AA484" s="57" t="s">
        <v>64</v>
      </c>
      <c r="AB484" s="47" t="s">
        <v>64</v>
      </c>
      <c r="AC484" s="57">
        <v>550</v>
      </c>
      <c r="AD484" s="27" t="s">
        <v>470</v>
      </c>
      <c r="AE484" s="28">
        <f t="shared" si="94"/>
        <v>2.3183880499999998</v>
      </c>
      <c r="AF484" s="197" t="s">
        <v>470</v>
      </c>
      <c r="AG484" s="84">
        <v>550</v>
      </c>
      <c r="AH484" s="157" t="s">
        <v>469</v>
      </c>
      <c r="AI484" s="8">
        <v>1</v>
      </c>
      <c r="AJ484" s="9">
        <v>59.3949</v>
      </c>
      <c r="AK484" s="9">
        <v>1.4781</v>
      </c>
      <c r="AL484" s="9">
        <v>13.638199999999999</v>
      </c>
      <c r="AM484" s="189">
        <v>8.5347645099269993</v>
      </c>
      <c r="AN484" s="9">
        <v>0.1956</v>
      </c>
      <c r="AO484" s="9">
        <v>1.444</v>
      </c>
      <c r="AP484" s="9">
        <v>4.8162000000000003</v>
      </c>
      <c r="AQ484" s="9">
        <v>4.1992000000000003</v>
      </c>
      <c r="AR484" s="9">
        <v>1.8524</v>
      </c>
      <c r="AS484" s="9">
        <v>0.53159999999999996</v>
      </c>
      <c r="AT484" s="190">
        <v>549.51386400000001</v>
      </c>
      <c r="AU484" s="9">
        <v>0.96141290388006095</v>
      </c>
      <c r="AV484" s="6">
        <v>264.64596896833001</v>
      </c>
      <c r="AW484" s="27" t="s">
        <v>64</v>
      </c>
      <c r="AX484" s="6">
        <v>264.64596896833001</v>
      </c>
      <c r="AY484" s="8">
        <f t="shared" si="95"/>
        <v>1.7074399918307601</v>
      </c>
      <c r="AZ484" s="9">
        <f t="shared" si="96"/>
        <v>6.9985068981401399</v>
      </c>
      <c r="BA484" s="123">
        <v>59.3949</v>
      </c>
      <c r="BB484" s="121">
        <v>1.4781</v>
      </c>
      <c r="BC484" s="121">
        <v>13.638199999999999</v>
      </c>
      <c r="BD484" s="121">
        <v>8.5361999999999991</v>
      </c>
      <c r="BE484" s="121">
        <v>0.1956</v>
      </c>
      <c r="BF484" s="121">
        <v>1.444</v>
      </c>
      <c r="BG484" s="121">
        <v>4.8162000000000003</v>
      </c>
      <c r="BH484" s="121">
        <v>4.1992000000000003</v>
      </c>
      <c r="BI484" s="121">
        <v>1.8524</v>
      </c>
      <c r="BJ484" s="121">
        <v>0.53159999999999996</v>
      </c>
      <c r="BK484" s="121">
        <v>5.4951386400000003E-2</v>
      </c>
      <c r="BL484" s="121">
        <f t="shared" si="98"/>
        <v>96.141351386400004</v>
      </c>
      <c r="BM484" s="121">
        <v>0.96141290388006095</v>
      </c>
      <c r="BN484" s="95">
        <v>264.64596896833001</v>
      </c>
      <c r="BO484" s="122" t="s">
        <v>64</v>
      </c>
      <c r="BP484" s="95">
        <v>264.64596896833001</v>
      </c>
      <c r="BQ484" s="194" t="s">
        <v>469</v>
      </c>
    </row>
    <row r="485" spans="12:69" ht="14.45" customHeight="1" thickBot="1">
      <c r="L485" s="248" t="s">
        <v>483</v>
      </c>
      <c r="M485" s="1024" t="s">
        <v>459</v>
      </c>
      <c r="N485" s="226" t="s">
        <v>460</v>
      </c>
      <c r="O485" s="227" t="s">
        <v>1470</v>
      </c>
      <c r="P485" s="226" t="s">
        <v>405</v>
      </c>
      <c r="Q485" s="226" t="s">
        <v>482</v>
      </c>
      <c r="R485" s="249" t="s">
        <v>64</v>
      </c>
      <c r="S485" s="250">
        <v>47.400112430504699</v>
      </c>
      <c r="T485" s="227">
        <f t="shared" si="97"/>
        <v>1029.1956</v>
      </c>
      <c r="U485" s="241" t="s">
        <v>300</v>
      </c>
      <c r="V485" s="229" t="s">
        <v>64</v>
      </c>
      <c r="W485" s="230" t="s">
        <v>64</v>
      </c>
      <c r="X485" s="251" t="s">
        <v>64</v>
      </c>
      <c r="Y485" s="231" t="s">
        <v>64</v>
      </c>
      <c r="Z485" s="231" t="s">
        <v>64</v>
      </c>
      <c r="AA485" s="232" t="s">
        <v>64</v>
      </c>
      <c r="AB485" s="234" t="s">
        <v>64</v>
      </c>
      <c r="AC485" s="232">
        <v>40</v>
      </c>
      <c r="AD485" s="241" t="s">
        <v>470</v>
      </c>
      <c r="AE485" s="235">
        <f t="shared" si="94"/>
        <v>0.17800309759999999</v>
      </c>
      <c r="AF485" s="252" t="s">
        <v>470</v>
      </c>
      <c r="AG485" s="245">
        <v>40</v>
      </c>
      <c r="AH485" s="253" t="s">
        <v>469</v>
      </c>
      <c r="AI485" s="237">
        <v>1</v>
      </c>
      <c r="AJ485" s="238">
        <v>64.741500000000002</v>
      </c>
      <c r="AK485" s="238">
        <v>0.81259999999999999</v>
      </c>
      <c r="AL485" s="238">
        <v>13.044499999999999</v>
      </c>
      <c r="AM485" s="254">
        <v>6.9074382152809992</v>
      </c>
      <c r="AN485" s="238">
        <v>0.1565</v>
      </c>
      <c r="AO485" s="238">
        <v>0.75600000000000001</v>
      </c>
      <c r="AP485" s="238">
        <v>3.1097000000000001</v>
      </c>
      <c r="AQ485" s="238">
        <v>4.7199</v>
      </c>
      <c r="AR485" s="238">
        <v>2.5914999999999999</v>
      </c>
      <c r="AS485" s="238">
        <v>0.19239999999999999</v>
      </c>
      <c r="AT485" s="255">
        <v>241.22557600000002</v>
      </c>
      <c r="AU485" s="238">
        <v>0.50561590402470902</v>
      </c>
      <c r="AV485" s="240">
        <v>7.6795234359101903</v>
      </c>
      <c r="AW485" s="241" t="s">
        <v>64</v>
      </c>
      <c r="AX485" s="240">
        <v>7.6795234359101903</v>
      </c>
      <c r="AY485" s="237">
        <f t="shared" si="95"/>
        <v>1.3818818593240538</v>
      </c>
      <c r="AZ485" s="238">
        <f t="shared" si="96"/>
        <v>5.6640993365304189</v>
      </c>
      <c r="BA485" s="242">
        <v>64.741500000000002</v>
      </c>
      <c r="BB485" s="243">
        <v>0.81259999999999999</v>
      </c>
      <c r="BC485" s="243">
        <v>13.044499999999999</v>
      </c>
      <c r="BD485" s="243">
        <v>6.9085999999999999</v>
      </c>
      <c r="BE485" s="243">
        <v>0.1565</v>
      </c>
      <c r="BF485" s="243">
        <v>0.75600000000000001</v>
      </c>
      <c r="BG485" s="243">
        <v>3.1097000000000001</v>
      </c>
      <c r="BH485" s="243">
        <v>4.7199</v>
      </c>
      <c r="BI485" s="243">
        <v>2.5914999999999999</v>
      </c>
      <c r="BJ485" s="243">
        <v>0.19239999999999999</v>
      </c>
      <c r="BK485" s="243">
        <v>2.41225576E-2</v>
      </c>
      <c r="BL485" s="243">
        <f t="shared" si="98"/>
        <v>97.057322557600003</v>
      </c>
      <c r="BM485" s="243">
        <v>0.50561590402470902</v>
      </c>
      <c r="BN485" s="246">
        <v>7.6795234359101903</v>
      </c>
      <c r="BO485" s="247" t="s">
        <v>64</v>
      </c>
      <c r="BP485" s="246">
        <v>7.6795234359101903</v>
      </c>
      <c r="BQ485" s="256" t="s">
        <v>469</v>
      </c>
    </row>
    <row r="486" spans="12:69" ht="14.45" customHeight="1" thickTop="1"/>
  </sheetData>
  <mergeCells count="6">
    <mergeCell ref="A1:K2"/>
    <mergeCell ref="A27:H29"/>
    <mergeCell ref="A4:H11"/>
    <mergeCell ref="A14:H15"/>
    <mergeCell ref="A18:H20"/>
    <mergeCell ref="A23:H25"/>
  </mergeCells>
  <conditionalFormatting sqref="P23:Q120 P125:Q181">
    <cfRule type="containsText" dxfId="4" priority="21" operator="containsText" text="dominated">
      <formula>NOT(ISERROR(SEARCH("dominated",P23)))</formula>
    </cfRule>
  </conditionalFormatting>
  <conditionalFormatting sqref="P186:Q485">
    <cfRule type="containsText" dxfId="3" priority="3" operator="containsText" text="dominated">
      <formula>NOT(ISERROR(SEARCH("dominated",P186)))</formula>
    </cfRule>
  </conditionalFormatting>
  <conditionalFormatting sqref="T186:T485">
    <cfRule type="cellIs" dxfId="2" priority="4" operator="lessThan">
      <formula>1130</formula>
    </cfRule>
  </conditionalFormatting>
  <conditionalFormatting sqref="V23:V120">
    <cfRule type="cellIs" dxfId="1" priority="19" operator="between">
      <formula>0.055</formula>
      <formula>0.095</formula>
    </cfRule>
    <cfRule type="cellIs" dxfId="0" priority="20" operator="greaterThan">
      <formula>0.095</formula>
    </cfRule>
  </conditionalFormatting>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D8D2EE63E964798A4AFD2573A52DD" ma:contentTypeVersion="14" ma:contentTypeDescription="Create a new document." ma:contentTypeScope="" ma:versionID="1182d1fcfbf8f41e8107c3c05be4e044">
  <xsd:schema xmlns:xsd="http://www.w3.org/2001/XMLSchema" xmlns:xs="http://www.w3.org/2001/XMLSchema" xmlns:p="http://schemas.microsoft.com/office/2006/metadata/properties" xmlns:ns3="1e94e960-3d32-40f5-b693-2d4f394ef569" xmlns:ns4="4d075044-df10-4b5d-b647-45b2ce5ed0fe" targetNamespace="http://schemas.microsoft.com/office/2006/metadata/properties" ma:root="true" ma:fieldsID="23ea321f8b2da40d877033ad85c7071c" ns3:_="" ns4:_="">
    <xsd:import namespace="1e94e960-3d32-40f5-b693-2d4f394ef569"/>
    <xsd:import namespace="4d075044-df10-4b5d-b647-45b2ce5ed0fe"/>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OCR" minOccurs="0"/>
                <xsd:element ref="ns3:MediaServiceLocation" minOccurs="0"/>
                <xsd:element ref="ns3:MediaServiceEventHashCode" minOccurs="0"/>
                <xsd:element ref="ns3:MediaServiceGenerationTime" minOccurs="0"/>
                <xsd:element ref="ns3:MediaServiceAutoKeyPoints" minOccurs="0"/>
                <xsd:element ref="ns3:MediaServiceKeyPoints" minOccurs="0"/>
                <xsd:element ref="ns4:SharedWithUsers" minOccurs="0"/>
                <xsd:element ref="ns4:SharedWithDetails" minOccurs="0"/>
                <xsd:element ref="ns4:SharingHintHash"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94e960-3d32-40f5-b693-2d4f394ef5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OCR" ma:index="12" nillable="true" ma:displayName="MediaServiceOCR" ma:internalName="MediaServiceOCR" ma:readOnly="true">
      <xsd:simpleType>
        <xsd:restriction base="dms:Note">
          <xsd:maxLength value="255"/>
        </xsd:restriction>
      </xsd:simpleType>
    </xsd:element>
    <xsd:element name="MediaServiceLocation" ma:index="13" nillable="true" ma:displayName="MediaServiceLocation" ma:internalName="MediaServiceLocation"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d075044-df10-4b5d-b647-45b2ce5ed0fe"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9F6B277-C3EF-4E2F-A11A-9CD3A124C6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94e960-3d32-40f5-b693-2d4f394ef569"/>
    <ds:schemaRef ds:uri="4d075044-df10-4b5d-b647-45b2ce5ed0f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4F6B80D-0BFE-4012-B042-8EE11783C1F0}">
  <ds:schemaRefs>
    <ds:schemaRef ds:uri="http://schemas.openxmlformats.org/package/2006/metadata/core-properties"/>
    <ds:schemaRef ds:uri="4d075044-df10-4b5d-b647-45b2ce5ed0fe"/>
    <ds:schemaRef ds:uri="http://schemas.microsoft.com/office/2006/documentManagement/types"/>
    <ds:schemaRef ds:uri="http://schemas.microsoft.com/office/infopath/2007/PartnerControls"/>
    <ds:schemaRef ds:uri="http://purl.org/dc/elements/1.1/"/>
    <ds:schemaRef ds:uri="http://www.w3.org/XML/1998/namespace"/>
    <ds:schemaRef ds:uri="http://purl.org/dc/dcmitype/"/>
    <ds:schemaRef ds:uri="1e94e960-3d32-40f5-b693-2d4f394ef569"/>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A3E56725-C56C-4233-9D28-24A6DA426BD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Contents</vt:lpstr>
      <vt:lpstr>1_Keanakakoi inclusion data</vt:lpstr>
      <vt:lpstr>2_Keanakakoi olivine</vt:lpstr>
      <vt:lpstr>3_EPMA glass &amp; min standards</vt:lpstr>
      <vt:lpstr>4_Raman replicate analyses</vt:lpstr>
      <vt:lpstr>5_Lerner'21_ext. Raman results</vt:lpstr>
      <vt:lpstr>6_Recalc literature pressures</vt:lpstr>
    </vt:vector>
  </TitlesOfParts>
  <Company>ODP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Wallace</dc:creator>
  <cp:lastModifiedBy>Lerner, Allan</cp:lastModifiedBy>
  <cp:lastPrinted>2001-07-19T02:20:59Z</cp:lastPrinted>
  <dcterms:created xsi:type="dcterms:W3CDTF">2000-03-02T20:43:58Z</dcterms:created>
  <dcterms:modified xsi:type="dcterms:W3CDTF">2024-01-24T07:49:33Z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0x010100C73D8D2EE63E964798A4AFD2573A52DD</vt:lpwstr>
  </property>
</Properties>
</file>