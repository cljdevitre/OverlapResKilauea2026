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ljd/Documents/Github_repo/Data_processing_notebooks/Data_processing_Ulu_mounts/Helper files/"/>
    </mc:Choice>
  </mc:AlternateContent>
  <xr:revisionPtr revIDLastSave="0" documentId="13_ncr:1_{FFD256BA-4437-874A-9D27-260C4ED51C47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5" i="2" l="1"/>
  <c r="Q203" i="2"/>
  <c r="Q204" i="2"/>
  <c r="Q202" i="2"/>
  <c r="Q199" i="2"/>
  <c r="Q197" i="2"/>
  <c r="Q196" i="2"/>
  <c r="Q195" i="2"/>
  <c r="Q191" i="2"/>
  <c r="Q190" i="2"/>
  <c r="Q189" i="2"/>
  <c r="Q178" i="2"/>
  <c r="Q177" i="2"/>
  <c r="Q176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60" i="2"/>
  <c r="Q159" i="2"/>
  <c r="Q158" i="2"/>
  <c r="Q149" i="2"/>
  <c r="Q148" i="2"/>
  <c r="Q140" i="2"/>
  <c r="Q141" i="2"/>
  <c r="Q142" i="2"/>
  <c r="Q139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16" i="2"/>
  <c r="Q115" i="2"/>
  <c r="Q91" i="2"/>
  <c r="Q90" i="2"/>
  <c r="Q89" i="2"/>
  <c r="Q88" i="2"/>
  <c r="Q87" i="2"/>
  <c r="Q86" i="2"/>
  <c r="Q85" i="2"/>
  <c r="Q84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9" i="2"/>
  <c r="Q30" i="2"/>
  <c r="Q31" i="2"/>
  <c r="Q32" i="2"/>
  <c r="Q33" i="2"/>
  <c r="Q8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5" i="2"/>
  <c r="Q54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82" i="2"/>
  <c r="Q228" i="2" l="1"/>
  <c r="Q227" i="2"/>
  <c r="Q226" i="2"/>
  <c r="Q225" i="2"/>
  <c r="Q224" i="2"/>
  <c r="Q223" i="2"/>
  <c r="Q222" i="2"/>
  <c r="Q221" i="2"/>
  <c r="Q220" i="2"/>
  <c r="Q219" i="2"/>
  <c r="Q208" i="2"/>
  <c r="Q207" i="2"/>
  <c r="Q206" i="2"/>
  <c r="Q201" i="2"/>
  <c r="Q200" i="2"/>
  <c r="Q198" i="2"/>
  <c r="Q194" i="2"/>
  <c r="Q193" i="2"/>
  <c r="Q192" i="2"/>
  <c r="Q188" i="2"/>
  <c r="Q187" i="2"/>
  <c r="Q175" i="2"/>
  <c r="Q147" i="2"/>
  <c r="Q146" i="2"/>
  <c r="Q145" i="2"/>
  <c r="Q144" i="2"/>
  <c r="Q143" i="2"/>
  <c r="Q138" i="2"/>
  <c r="Q137" i="2"/>
  <c r="Q114" i="2"/>
  <c r="Q113" i="2"/>
  <c r="Q112" i="2"/>
  <c r="Q111" i="2"/>
  <c r="Q110" i="2"/>
  <c r="Q109" i="2"/>
  <c r="Q108" i="2"/>
  <c r="Q107" i="2"/>
  <c r="Q104" i="2"/>
  <c r="Q103" i="2"/>
  <c r="Q95" i="2"/>
  <c r="Q94" i="2"/>
  <c r="Q93" i="2"/>
  <c r="Q92" i="2"/>
  <c r="Q83" i="2"/>
  <c r="J218" i="2"/>
  <c r="K218" i="2" s="1"/>
  <c r="L218" i="2" s="1"/>
  <c r="J219" i="2"/>
  <c r="K219" i="2" s="1"/>
  <c r="L219" i="2" s="1"/>
  <c r="J220" i="2"/>
  <c r="K220" i="2" s="1"/>
  <c r="L220" i="2" s="1"/>
  <c r="J221" i="2"/>
  <c r="K221" i="2" s="1"/>
  <c r="L221" i="2" s="1"/>
  <c r="J222" i="2"/>
  <c r="K222" i="2" s="1"/>
  <c r="L222" i="2" s="1"/>
  <c r="J223" i="2"/>
  <c r="K223" i="2" s="1"/>
  <c r="L223" i="2" s="1"/>
  <c r="J224" i="2"/>
  <c r="K224" i="2" s="1"/>
  <c r="L224" i="2" s="1"/>
  <c r="J225" i="2"/>
  <c r="K225" i="2" s="1"/>
  <c r="L225" i="2" s="1"/>
  <c r="J226" i="2"/>
  <c r="K226" i="2" s="1"/>
  <c r="L226" i="2" s="1"/>
  <c r="J227" i="2"/>
  <c r="K227" i="2" s="1"/>
  <c r="L227" i="2" s="1"/>
  <c r="J228" i="2"/>
  <c r="K228" i="2" s="1"/>
  <c r="L228" i="2" s="1"/>
  <c r="J217" i="2"/>
  <c r="K217" i="2" s="1"/>
  <c r="L217" i="2" s="1"/>
  <c r="J188" i="2"/>
  <c r="K188" i="2" s="1"/>
  <c r="L188" i="2" s="1"/>
  <c r="J189" i="2"/>
  <c r="K189" i="2" s="1"/>
  <c r="L189" i="2" s="1"/>
  <c r="J190" i="2"/>
  <c r="K190" i="2" s="1"/>
  <c r="L190" i="2" s="1"/>
  <c r="J191" i="2"/>
  <c r="K191" i="2" s="1"/>
  <c r="L191" i="2" s="1"/>
  <c r="J192" i="2"/>
  <c r="K192" i="2" s="1"/>
  <c r="L192" i="2" s="1"/>
  <c r="J193" i="2"/>
  <c r="K193" i="2" s="1"/>
  <c r="L193" i="2" s="1"/>
  <c r="J194" i="2"/>
  <c r="K194" i="2" s="1"/>
  <c r="L194" i="2" s="1"/>
  <c r="J195" i="2"/>
  <c r="K195" i="2" s="1"/>
  <c r="L195" i="2" s="1"/>
  <c r="J196" i="2"/>
  <c r="K196" i="2" s="1"/>
  <c r="L196" i="2" s="1"/>
  <c r="J197" i="2"/>
  <c r="K197" i="2" s="1"/>
  <c r="L197" i="2" s="1"/>
  <c r="J198" i="2"/>
  <c r="K198" i="2" s="1"/>
  <c r="L198" i="2" s="1"/>
  <c r="J199" i="2"/>
  <c r="K199" i="2" s="1"/>
  <c r="L199" i="2" s="1"/>
  <c r="J200" i="2"/>
  <c r="K200" i="2" s="1"/>
  <c r="L200" i="2" s="1"/>
  <c r="J201" i="2"/>
  <c r="K201" i="2" s="1"/>
  <c r="L201" i="2" s="1"/>
  <c r="J202" i="2"/>
  <c r="K202" i="2" s="1"/>
  <c r="L202" i="2" s="1"/>
  <c r="J203" i="2"/>
  <c r="K203" i="2" s="1"/>
  <c r="L203" i="2" s="1"/>
  <c r="J204" i="2"/>
  <c r="K204" i="2" s="1"/>
  <c r="L204" i="2" s="1"/>
  <c r="J205" i="2"/>
  <c r="K205" i="2" s="1"/>
  <c r="L205" i="2" s="1"/>
  <c r="J206" i="2"/>
  <c r="K206" i="2" s="1"/>
  <c r="L206" i="2" s="1"/>
  <c r="J207" i="2"/>
  <c r="K207" i="2" s="1"/>
  <c r="L207" i="2" s="1"/>
  <c r="J208" i="2"/>
  <c r="K208" i="2" s="1"/>
  <c r="L208" i="2" s="1"/>
  <c r="J187" i="2"/>
  <c r="K187" i="2" s="1"/>
  <c r="L187" i="2" s="1"/>
  <c r="L216" i="2"/>
  <c r="L215" i="2"/>
  <c r="L214" i="2"/>
  <c r="L213" i="2"/>
  <c r="L212" i="2"/>
  <c r="L211" i="2"/>
  <c r="L210" i="2"/>
  <c r="L209" i="2"/>
  <c r="L186" i="2"/>
  <c r="L185" i="2"/>
  <c r="L184" i="2"/>
  <c r="L183" i="2"/>
  <c r="L182" i="2"/>
  <c r="L181" i="2"/>
  <c r="L180" i="2"/>
  <c r="L179" i="2"/>
  <c r="J159" i="2"/>
  <c r="K159" i="2" s="1"/>
  <c r="L159" i="2" s="1"/>
  <c r="J160" i="2"/>
  <c r="K160" i="2" s="1"/>
  <c r="L160" i="2" s="1"/>
  <c r="J161" i="2"/>
  <c r="K161" i="2" s="1"/>
  <c r="L161" i="2" s="1"/>
  <c r="J162" i="2"/>
  <c r="K162" i="2" s="1"/>
  <c r="L162" i="2" s="1"/>
  <c r="J163" i="2"/>
  <c r="K163" i="2" s="1"/>
  <c r="L163" i="2" s="1"/>
  <c r="J164" i="2"/>
  <c r="K164" i="2" s="1"/>
  <c r="L164" i="2" s="1"/>
  <c r="J165" i="2"/>
  <c r="K165" i="2" s="1"/>
  <c r="L165" i="2" s="1"/>
  <c r="J166" i="2"/>
  <c r="K166" i="2" s="1"/>
  <c r="L166" i="2" s="1"/>
  <c r="J167" i="2"/>
  <c r="K167" i="2" s="1"/>
  <c r="L167" i="2" s="1"/>
  <c r="J168" i="2"/>
  <c r="K168" i="2" s="1"/>
  <c r="L168" i="2" s="1"/>
  <c r="J169" i="2"/>
  <c r="K169" i="2" s="1"/>
  <c r="L169" i="2" s="1"/>
  <c r="J170" i="2"/>
  <c r="K170" i="2" s="1"/>
  <c r="L170" i="2" s="1"/>
  <c r="J171" i="2"/>
  <c r="K171" i="2" s="1"/>
  <c r="L171" i="2" s="1"/>
  <c r="J172" i="2"/>
  <c r="K172" i="2" s="1"/>
  <c r="L172" i="2" s="1"/>
  <c r="J173" i="2"/>
  <c r="K173" i="2" s="1"/>
  <c r="L173" i="2" s="1"/>
  <c r="J174" i="2"/>
  <c r="K174" i="2" s="1"/>
  <c r="L174" i="2" s="1"/>
  <c r="J175" i="2"/>
  <c r="K175" i="2" s="1"/>
  <c r="L175" i="2" s="1"/>
  <c r="J176" i="2"/>
  <c r="K176" i="2" s="1"/>
  <c r="L176" i="2" s="1"/>
  <c r="J177" i="2"/>
  <c r="K177" i="2" s="1"/>
  <c r="L177" i="2" s="1"/>
  <c r="J178" i="2"/>
  <c r="K178" i="2" s="1"/>
  <c r="L178" i="2" s="1"/>
  <c r="J158" i="2"/>
  <c r="K158" i="2" s="1"/>
  <c r="L158" i="2" s="1"/>
  <c r="J138" i="2"/>
  <c r="K138" i="2" s="1"/>
  <c r="L138" i="2" s="1"/>
  <c r="J139" i="2"/>
  <c r="K139" i="2" s="1"/>
  <c r="L139" i="2" s="1"/>
  <c r="J140" i="2"/>
  <c r="K140" i="2" s="1"/>
  <c r="L140" i="2" s="1"/>
  <c r="J141" i="2"/>
  <c r="K141" i="2" s="1"/>
  <c r="L141" i="2" s="1"/>
  <c r="J142" i="2"/>
  <c r="K142" i="2" s="1"/>
  <c r="L142" i="2" s="1"/>
  <c r="J143" i="2"/>
  <c r="K143" i="2" s="1"/>
  <c r="L143" i="2" s="1"/>
  <c r="J144" i="2"/>
  <c r="K144" i="2" s="1"/>
  <c r="L144" i="2" s="1"/>
  <c r="J145" i="2"/>
  <c r="K145" i="2" s="1"/>
  <c r="L145" i="2" s="1"/>
  <c r="J146" i="2"/>
  <c r="K146" i="2" s="1"/>
  <c r="L146" i="2" s="1"/>
  <c r="J147" i="2"/>
  <c r="K147" i="2" s="1"/>
  <c r="L147" i="2" s="1"/>
  <c r="J148" i="2"/>
  <c r="K148" i="2" s="1"/>
  <c r="L148" i="2" s="1"/>
  <c r="J149" i="2"/>
  <c r="K149" i="2" s="1"/>
  <c r="L149" i="2" s="1"/>
  <c r="J137" i="2"/>
  <c r="K137" i="2" s="1"/>
  <c r="L137" i="2" s="1"/>
  <c r="J104" i="2"/>
  <c r="K104" i="2" s="1"/>
  <c r="L104" i="2" s="1"/>
  <c r="J105" i="2"/>
  <c r="K105" i="2" s="1"/>
  <c r="L105" i="2" s="1"/>
  <c r="J106" i="2"/>
  <c r="K106" i="2" s="1"/>
  <c r="L106" i="2" s="1"/>
  <c r="J107" i="2"/>
  <c r="K107" i="2" s="1"/>
  <c r="L107" i="2" s="1"/>
  <c r="J108" i="2"/>
  <c r="K108" i="2" s="1"/>
  <c r="L108" i="2" s="1"/>
  <c r="J109" i="2"/>
  <c r="K109" i="2" s="1"/>
  <c r="L109" i="2" s="1"/>
  <c r="J110" i="2"/>
  <c r="K110" i="2" s="1"/>
  <c r="L110" i="2" s="1"/>
  <c r="J111" i="2"/>
  <c r="K111" i="2" s="1"/>
  <c r="L111" i="2" s="1"/>
  <c r="J112" i="2"/>
  <c r="K112" i="2" s="1"/>
  <c r="L112" i="2" s="1"/>
  <c r="J113" i="2"/>
  <c r="K113" i="2" s="1"/>
  <c r="L113" i="2" s="1"/>
  <c r="J114" i="2"/>
  <c r="K114" i="2" s="1"/>
  <c r="L114" i="2" s="1"/>
  <c r="J115" i="2"/>
  <c r="K115" i="2" s="1"/>
  <c r="L115" i="2" s="1"/>
  <c r="J116" i="2"/>
  <c r="K116" i="2" s="1"/>
  <c r="L116" i="2" s="1"/>
  <c r="J117" i="2"/>
  <c r="K117" i="2" s="1"/>
  <c r="L117" i="2" s="1"/>
  <c r="J118" i="2"/>
  <c r="K118" i="2" s="1"/>
  <c r="L118" i="2" s="1"/>
  <c r="J119" i="2"/>
  <c r="K119" i="2" s="1"/>
  <c r="L119" i="2" s="1"/>
  <c r="J120" i="2"/>
  <c r="K120" i="2" s="1"/>
  <c r="L120" i="2" s="1"/>
  <c r="J121" i="2"/>
  <c r="K121" i="2" s="1"/>
  <c r="L121" i="2" s="1"/>
  <c r="J122" i="2"/>
  <c r="K122" i="2" s="1"/>
  <c r="L122" i="2" s="1"/>
  <c r="J123" i="2"/>
  <c r="K123" i="2" s="1"/>
  <c r="L123" i="2" s="1"/>
  <c r="J124" i="2"/>
  <c r="K124" i="2" s="1"/>
  <c r="L124" i="2" s="1"/>
  <c r="J125" i="2"/>
  <c r="K125" i="2" s="1"/>
  <c r="L125" i="2" s="1"/>
  <c r="J126" i="2"/>
  <c r="K126" i="2" s="1"/>
  <c r="L126" i="2" s="1"/>
  <c r="J127" i="2"/>
  <c r="K127" i="2" s="1"/>
  <c r="L127" i="2" s="1"/>
  <c r="J128" i="2"/>
  <c r="K128" i="2" s="1"/>
  <c r="L128" i="2" s="1"/>
  <c r="J103" i="2"/>
  <c r="K103" i="2" s="1"/>
  <c r="L103" i="2" s="1"/>
  <c r="L136" i="2"/>
  <c r="L135" i="2"/>
  <c r="L157" i="2"/>
  <c r="L156" i="2"/>
  <c r="L155" i="2"/>
  <c r="L154" i="2"/>
  <c r="L153" i="2"/>
  <c r="L152" i="2"/>
  <c r="L151" i="2"/>
  <c r="L150" i="2"/>
  <c r="L130" i="2"/>
  <c r="L129" i="2"/>
  <c r="L132" i="2"/>
  <c r="L131" i="2"/>
  <c r="L134" i="2"/>
  <c r="L133" i="2"/>
  <c r="L102" i="2"/>
  <c r="L101" i="2"/>
  <c r="L100" i="2"/>
  <c r="L98" i="2"/>
  <c r="L96" i="2"/>
  <c r="L99" i="2"/>
  <c r="L97" i="2"/>
  <c r="J83" i="2"/>
  <c r="K83" i="2" s="1"/>
  <c r="L83" i="2" s="1"/>
  <c r="J84" i="2"/>
  <c r="K84" i="2" s="1"/>
  <c r="L84" i="2" s="1"/>
  <c r="J85" i="2"/>
  <c r="K85" i="2" s="1"/>
  <c r="L85" i="2" s="1"/>
  <c r="J86" i="2"/>
  <c r="K86" i="2" s="1"/>
  <c r="L86" i="2" s="1"/>
  <c r="J87" i="2"/>
  <c r="K87" i="2" s="1"/>
  <c r="L87" i="2" s="1"/>
  <c r="J88" i="2"/>
  <c r="K88" i="2" s="1"/>
  <c r="L88" i="2" s="1"/>
  <c r="J89" i="2"/>
  <c r="K89" i="2" s="1"/>
  <c r="L89" i="2" s="1"/>
  <c r="J90" i="2"/>
  <c r="K90" i="2" s="1"/>
  <c r="L90" i="2" s="1"/>
  <c r="J91" i="2"/>
  <c r="K91" i="2" s="1"/>
  <c r="L91" i="2" s="1"/>
  <c r="J92" i="2"/>
  <c r="K92" i="2" s="1"/>
  <c r="L92" i="2" s="1"/>
  <c r="J93" i="2"/>
  <c r="K93" i="2" s="1"/>
  <c r="L93" i="2" s="1"/>
  <c r="J94" i="2"/>
  <c r="K94" i="2" s="1"/>
  <c r="L94" i="2" s="1"/>
  <c r="J95" i="2"/>
  <c r="K95" i="2" s="1"/>
  <c r="L95" i="2" s="1"/>
  <c r="J62" i="2"/>
  <c r="K62" i="2" s="1"/>
  <c r="L62" i="2" s="1"/>
  <c r="J63" i="2"/>
  <c r="K63" i="2" s="1"/>
  <c r="L63" i="2" s="1"/>
  <c r="J64" i="2"/>
  <c r="K64" i="2" s="1"/>
  <c r="L64" i="2" s="1"/>
  <c r="J65" i="2"/>
  <c r="K65" i="2" s="1"/>
  <c r="L65" i="2" s="1"/>
  <c r="J66" i="2"/>
  <c r="K66" i="2" s="1"/>
  <c r="L66" i="2" s="1"/>
  <c r="J67" i="2"/>
  <c r="K67" i="2" s="1"/>
  <c r="L67" i="2" s="1"/>
  <c r="J68" i="2"/>
  <c r="K68" i="2" s="1"/>
  <c r="L68" i="2" s="1"/>
  <c r="J69" i="2"/>
  <c r="K69" i="2" s="1"/>
  <c r="L69" i="2" s="1"/>
  <c r="J70" i="2"/>
  <c r="K70" i="2" s="1"/>
  <c r="L70" i="2" s="1"/>
  <c r="J71" i="2"/>
  <c r="K71" i="2" s="1"/>
  <c r="L71" i="2" s="1"/>
  <c r="J72" i="2"/>
  <c r="K72" i="2" s="1"/>
  <c r="L72" i="2" s="1"/>
  <c r="J73" i="2"/>
  <c r="K73" i="2" s="1"/>
  <c r="L73" i="2" s="1"/>
  <c r="J82" i="2"/>
  <c r="K82" i="2" s="1"/>
  <c r="L82" i="2" s="1"/>
  <c r="J61" i="2"/>
  <c r="K61" i="2" s="1"/>
  <c r="L61" i="2" s="1"/>
  <c r="J38" i="2"/>
  <c r="K38" i="2" s="1"/>
  <c r="L38" i="2" s="1"/>
  <c r="J39" i="2"/>
  <c r="K39" i="2" s="1"/>
  <c r="L39" i="2" s="1"/>
  <c r="J40" i="2"/>
  <c r="K40" i="2" s="1"/>
  <c r="L40" i="2" s="1"/>
  <c r="J41" i="2"/>
  <c r="K41" i="2" s="1"/>
  <c r="L41" i="2" s="1"/>
  <c r="J42" i="2"/>
  <c r="K42" i="2" s="1"/>
  <c r="L42" i="2" s="1"/>
  <c r="J43" i="2"/>
  <c r="K43" i="2" s="1"/>
  <c r="L43" i="2" s="1"/>
  <c r="J44" i="2"/>
  <c r="K44" i="2" s="1"/>
  <c r="L44" i="2" s="1"/>
  <c r="J45" i="2"/>
  <c r="K45" i="2" s="1"/>
  <c r="L45" i="2" s="1"/>
  <c r="J46" i="2"/>
  <c r="K46" i="2" s="1"/>
  <c r="L46" i="2" s="1"/>
  <c r="J47" i="2"/>
  <c r="K47" i="2" s="1"/>
  <c r="L47" i="2" s="1"/>
  <c r="J48" i="2"/>
  <c r="K48" i="2" s="1"/>
  <c r="L48" i="2" s="1"/>
  <c r="J49" i="2"/>
  <c r="K49" i="2" s="1"/>
  <c r="L49" i="2" s="1"/>
  <c r="J50" i="2"/>
  <c r="K50" i="2" s="1"/>
  <c r="L50" i="2" s="1"/>
  <c r="J51" i="2"/>
  <c r="K51" i="2" s="1"/>
  <c r="L51" i="2" s="1"/>
  <c r="J52" i="2"/>
  <c r="K52" i="2" s="1"/>
  <c r="L52" i="2" s="1"/>
  <c r="J53" i="2"/>
  <c r="K53" i="2" s="1"/>
  <c r="L53" i="2" s="1"/>
  <c r="J54" i="2"/>
  <c r="K54" i="2" s="1"/>
  <c r="L54" i="2" s="1"/>
  <c r="J55" i="2"/>
  <c r="K55" i="2" s="1"/>
  <c r="L55" i="2" s="1"/>
  <c r="J37" i="2"/>
  <c r="K37" i="2" s="1"/>
  <c r="L37" i="2" s="1"/>
  <c r="L74" i="2"/>
  <c r="L76" i="2"/>
  <c r="L78" i="2"/>
  <c r="L80" i="2"/>
  <c r="L75" i="2"/>
  <c r="L77" i="2"/>
  <c r="L79" i="2"/>
  <c r="L81" i="2"/>
  <c r="L59" i="2"/>
  <c r="L60" i="2"/>
  <c r="L58" i="2"/>
  <c r="L57" i="2"/>
  <c r="L56" i="2"/>
  <c r="L35" i="2"/>
  <c r="L36" i="2"/>
  <c r="L34" i="2"/>
  <c r="L2" i="2"/>
  <c r="L3" i="2"/>
  <c r="L4" i="2"/>
  <c r="L5" i="2"/>
  <c r="L6" i="2"/>
  <c r="L7" i="2"/>
  <c r="J8" i="2"/>
  <c r="K8" i="2" s="1"/>
  <c r="L8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18" i="2"/>
  <c r="K18" i="2" s="1"/>
  <c r="L18" i="2" s="1"/>
  <c r="J19" i="2"/>
  <c r="K19" i="2" s="1"/>
  <c r="L19" i="2" s="1"/>
  <c r="J20" i="2"/>
  <c r="K20" i="2" s="1"/>
  <c r="L20" i="2" s="1"/>
  <c r="J21" i="2"/>
  <c r="K21" i="2" s="1"/>
  <c r="L21" i="2" s="1"/>
  <c r="J22" i="2"/>
  <c r="K22" i="2" s="1"/>
  <c r="L22" i="2" s="1"/>
  <c r="J23" i="2"/>
  <c r="K23" i="2" s="1"/>
  <c r="L23" i="2" s="1"/>
  <c r="J24" i="2"/>
  <c r="K24" i="2" s="1"/>
  <c r="L24" i="2" s="1"/>
  <c r="J25" i="2"/>
  <c r="K25" i="2" s="1"/>
  <c r="L25" i="2" s="1"/>
  <c r="J26" i="2"/>
  <c r="K26" i="2" s="1"/>
  <c r="L26" i="2" s="1"/>
  <c r="J27" i="2"/>
  <c r="K27" i="2" s="1"/>
  <c r="L27" i="2" s="1"/>
  <c r="J28" i="2"/>
  <c r="K28" i="2" s="1"/>
  <c r="L28" i="2" s="1"/>
  <c r="J29" i="2"/>
  <c r="K29" i="2" s="1"/>
  <c r="L29" i="2" s="1"/>
  <c r="J30" i="2"/>
  <c r="K30" i="2" s="1"/>
  <c r="L30" i="2" s="1"/>
  <c r="J31" i="2"/>
  <c r="K31" i="2" s="1"/>
  <c r="L31" i="2" s="1"/>
  <c r="J32" i="2"/>
  <c r="K32" i="2" s="1"/>
  <c r="L32" i="2" s="1"/>
  <c r="J33" i="2"/>
  <c r="K33" i="2" s="1"/>
  <c r="L33" i="2" s="1"/>
</calcChain>
</file>

<file path=xl/sharedStrings.xml><?xml version="1.0" encoding="utf-8"?>
<sst xmlns="http://schemas.openxmlformats.org/spreadsheetml/2006/main" count="2297" uniqueCount="665">
  <si>
    <t>filename</t>
  </si>
  <si>
    <t>date_object</t>
  </si>
  <si>
    <t>a1</t>
  </si>
  <si>
    <t>FIA</t>
  </si>
  <si>
    <t>c002</t>
  </si>
  <si>
    <t>FIB</t>
  </si>
  <si>
    <t>c003</t>
  </si>
  <si>
    <t>FIC</t>
  </si>
  <si>
    <t>FID</t>
  </si>
  <si>
    <t>FIE</t>
  </si>
  <si>
    <t>c005</t>
  </si>
  <si>
    <t>c009</t>
  </si>
  <si>
    <t>c010</t>
  </si>
  <si>
    <t>c011</t>
  </si>
  <si>
    <t>Type</t>
  </si>
  <si>
    <t>Mount</t>
  </si>
  <si>
    <t>Sample</t>
  </si>
  <si>
    <t>Crystal</t>
  </si>
  <si>
    <t>Region</t>
  </si>
  <si>
    <t>FI#</t>
  </si>
  <si>
    <t>Sample_crystal</t>
  </si>
  <si>
    <t>Sample_crystal_region</t>
  </si>
  <si>
    <t>FI_name</t>
  </si>
  <si>
    <t>FG04</t>
  </si>
  <si>
    <t>A1</t>
  </si>
  <si>
    <t>FG04_A1</t>
  </si>
  <si>
    <t>Std</t>
  </si>
  <si>
    <t>sec since midnight</t>
  </si>
  <si>
    <t>Name_on_SEM</t>
  </si>
  <si>
    <t>Notes regarding SEM matching</t>
  </si>
  <si>
    <t>EBSD_simple_name</t>
  </si>
  <si>
    <t>EBSD_grainID</t>
  </si>
  <si>
    <t>EBSDname+grainID</t>
  </si>
  <si>
    <t>EBSD_comment</t>
  </si>
  <si>
    <t>FG04-A1-4_end-rep4</t>
  </si>
  <si>
    <t>FG04-A1-4_end-rep5</t>
  </si>
  <si>
    <t>FG04-A1-4_end-rep6</t>
  </si>
  <si>
    <t>FG04-A1-4_start-rep1</t>
  </si>
  <si>
    <t>FG04-A1-4_start-rep2</t>
  </si>
  <si>
    <t>FG04-A1-4_start-rep3</t>
  </si>
  <si>
    <t>KL0910_c002_a1_FIA</t>
  </si>
  <si>
    <t>KL0910_c002_a1_FIB</t>
  </si>
  <si>
    <t>KL0910_c002_a1_FIC</t>
  </si>
  <si>
    <t>KL0910_c002_a1_FID</t>
  </si>
  <si>
    <t>KL0910_c002_a1_FIE</t>
  </si>
  <si>
    <t>KL0910_c002_a1_FIG</t>
  </si>
  <si>
    <t>KL0910_c002_a1_FIH</t>
  </si>
  <si>
    <t>KL0910_c002_a1_FIH_20X</t>
  </si>
  <si>
    <t>KL0910_c002_a1_FIH_r2</t>
  </si>
  <si>
    <t>KL0910_c003_a1_FIA</t>
  </si>
  <si>
    <t>KL0910_c003_a1_FIB</t>
  </si>
  <si>
    <t>KL0910_c003_a1_FIC</t>
  </si>
  <si>
    <t>KL0910_c005_a1_FIA</t>
  </si>
  <si>
    <t>KL0910_c005_a1_FIB_r1</t>
  </si>
  <si>
    <t>KL0910_c005_a1_FIB_r2</t>
  </si>
  <si>
    <t>KL0910_c005_a1_FIB_r3</t>
  </si>
  <si>
    <t>KL0910_c005_a1_FIC</t>
  </si>
  <si>
    <t>KL0910_c005_a1_FID</t>
  </si>
  <si>
    <t>KL0910_c005_a1_FIE</t>
  </si>
  <si>
    <t>KL0910_c009_a1_FIA</t>
  </si>
  <si>
    <t>KL0910_c010_a1_FIA</t>
  </si>
  <si>
    <t>KL0910_c011_a1_FIA</t>
  </si>
  <si>
    <t>KL0910_c011_a1_FIB</t>
  </si>
  <si>
    <t>KL0910_c015_a1_FIA</t>
  </si>
  <si>
    <t>KL0910_c016(1)_a1_FIA</t>
  </si>
  <si>
    <t>KL0910_c016(2)_a1_FIA</t>
  </si>
  <si>
    <t>KL0910</t>
  </si>
  <si>
    <t>FIG</t>
  </si>
  <si>
    <t>FIH</t>
  </si>
  <si>
    <t>c015</t>
  </si>
  <si>
    <t>c016(1)</t>
  </si>
  <si>
    <t>c016(2)</t>
  </si>
  <si>
    <t>FG04-A1-4-start_r1</t>
  </si>
  <si>
    <t>FG04-A1-4-start_r2</t>
  </si>
  <si>
    <t>FG04-A1-4-start_r3</t>
  </si>
  <si>
    <t>KL0908_c052_a1_FIA</t>
  </si>
  <si>
    <t>KL0908_c052_a2_FIC</t>
  </si>
  <si>
    <t>KL0908_c054_a1_FIA</t>
  </si>
  <si>
    <t>KL0908_c056(1)_a1_FIA</t>
  </si>
  <si>
    <t>KL0908_c058_a1_FIA</t>
  </si>
  <si>
    <t>KL0908_c060_a1_FIA</t>
  </si>
  <si>
    <t>KL0908_c060_a1_FIB</t>
  </si>
  <si>
    <t>KL0908_c060_a1_FIC</t>
  </si>
  <si>
    <t>KL0908_c067_a1_FIA</t>
  </si>
  <si>
    <t>KL0908_c072_a1_FIA</t>
  </si>
  <si>
    <t>KL0908_c072_a1_FIB</t>
  </si>
  <si>
    <t>KL0910_c018_a1_FIA_r1</t>
  </si>
  <si>
    <t>KL0910_c018_a1_FIA_r2</t>
  </si>
  <si>
    <t>KL0910_c018_a1_FIA_r3</t>
  </si>
  <si>
    <t>KL0910_c029_a1_FIA</t>
  </si>
  <si>
    <t>KL0910_c030_a1_FIA</t>
  </si>
  <si>
    <t>KL0910_c031_a1_FIA</t>
  </si>
  <si>
    <t>KL0910_c032_a1_FIA</t>
  </si>
  <si>
    <t>KL0910_c034_a1_FIA</t>
  </si>
  <si>
    <t>FG04-A1-4-end_r5</t>
  </si>
  <si>
    <t>FG04-A1-4-end_r6</t>
  </si>
  <si>
    <t>KL0910_c000_a1_FIA</t>
  </si>
  <si>
    <t>KL0910_c036_a1_FIA</t>
  </si>
  <si>
    <t>KL0910_c036_a1_FIB</t>
  </si>
  <si>
    <t>KL0910_c047_a1_FIA</t>
  </si>
  <si>
    <t>KL0910_c047_a1_FIB</t>
  </si>
  <si>
    <t>KL0916_c051(1)_a1_FIA</t>
  </si>
  <si>
    <t>KL0916_c053_a1_FIA</t>
  </si>
  <si>
    <t>KL0916_c057_a1_FIB</t>
  </si>
  <si>
    <t>KL0916_c057_a1_FIB_r1</t>
  </si>
  <si>
    <t>KL0916_c057_a1_FIB_r2</t>
  </si>
  <si>
    <t>KL0916_c058_a1_FIA</t>
  </si>
  <si>
    <t>KL0916_c059_a1_FIA</t>
  </si>
  <si>
    <t>KL0916_c064_a1_FIA</t>
  </si>
  <si>
    <t>FG04-A1-1-evening_r2</t>
  </si>
  <si>
    <t>FG04-A1-1-morning_r1</t>
  </si>
  <si>
    <t>FG04-A1-4-evening_r2</t>
  </si>
  <si>
    <t>FG04-A1-4-morning_r1</t>
  </si>
  <si>
    <t>FG19-101-A-100X-evening_r3</t>
  </si>
  <si>
    <t>FG19-101-A-100X-morning_r2</t>
  </si>
  <si>
    <t>FG19-101-A-50X-evening_r4_notgreat</t>
  </si>
  <si>
    <t>FG19-101-A-50X-morning_r1</t>
  </si>
  <si>
    <t>KL0908_c168_a1_FIA</t>
  </si>
  <si>
    <t>KL0909_c153_a1_FIA</t>
  </si>
  <si>
    <t>KL0916_c068_a1_FIA</t>
  </si>
  <si>
    <t>KL0916_c069_a1_FIA</t>
  </si>
  <si>
    <t>KL0916_c069_a1_FIB</t>
  </si>
  <si>
    <t>KL0916_c069_a1_FIC</t>
  </si>
  <si>
    <t>KL0916_c069_a1_FID</t>
  </si>
  <si>
    <t>KL0916_c071_a1_FIA</t>
  </si>
  <si>
    <t>KL0916_c074_a1_FIA</t>
  </si>
  <si>
    <t>KL0916_c079_a1_FIA</t>
  </si>
  <si>
    <t>KL0920_c147b_a1_FIA</t>
  </si>
  <si>
    <t>KL0920_c147b_a1_FIB</t>
  </si>
  <si>
    <t>KL0931_c159_a1_FIA</t>
  </si>
  <si>
    <t>KL0931_c160_a1_FIA</t>
  </si>
  <si>
    <t>KL0908</t>
  </si>
  <si>
    <t>c052</t>
  </si>
  <si>
    <t>a2</t>
  </si>
  <si>
    <t>c054</t>
  </si>
  <si>
    <t>c056(1)</t>
  </si>
  <si>
    <t>c058</t>
  </si>
  <si>
    <t>c060</t>
  </si>
  <si>
    <t>c067</t>
  </si>
  <si>
    <t>c072</t>
  </si>
  <si>
    <t>c018</t>
  </si>
  <si>
    <t>c029</t>
  </si>
  <si>
    <t>c030</t>
  </si>
  <si>
    <t>c031</t>
  </si>
  <si>
    <t>c032</t>
  </si>
  <si>
    <t>c034</t>
  </si>
  <si>
    <t>c000</t>
  </si>
  <si>
    <t>c036</t>
  </si>
  <si>
    <t>c047</t>
  </si>
  <si>
    <t>KL0916</t>
  </si>
  <si>
    <t>c051(1)</t>
  </si>
  <si>
    <t>c053</t>
  </si>
  <si>
    <t>c057</t>
  </si>
  <si>
    <t>c059</t>
  </si>
  <si>
    <t>c064</t>
  </si>
  <si>
    <t>c168</t>
  </si>
  <si>
    <t>KL0909</t>
  </si>
  <si>
    <t>c153</t>
  </si>
  <si>
    <t>c068</t>
  </si>
  <si>
    <t>c069</t>
  </si>
  <si>
    <t>c071</t>
  </si>
  <si>
    <t>c074</t>
  </si>
  <si>
    <t>c079</t>
  </si>
  <si>
    <t>KL0920</t>
  </si>
  <si>
    <t>c147b</t>
  </si>
  <si>
    <t>KL0931</t>
  </si>
  <si>
    <t>c159</t>
  </si>
  <si>
    <t>c160</t>
  </si>
  <si>
    <t>FG19</t>
  </si>
  <si>
    <t>A</t>
  </si>
  <si>
    <t>FG19_101</t>
  </si>
  <si>
    <t>FG04-A1-1-50X-evening-r2</t>
  </si>
  <si>
    <t>FG04-A1-1-50X-morning-r1</t>
  </si>
  <si>
    <t>FG04-A1-4-50X-evening-r2</t>
  </si>
  <si>
    <t>FG04-A1-4-50X-morning-r1</t>
  </si>
  <si>
    <t>FG19-101-A-100X-evening-r3</t>
  </si>
  <si>
    <t>FG19-101-A-100X-morning-r1_offcenter</t>
  </si>
  <si>
    <t>FG19-101-A-100X-morning-r2</t>
  </si>
  <si>
    <t>KL0908_c171_a1_FIA</t>
  </si>
  <si>
    <t>KL0908_c171_a1_FIB</t>
  </si>
  <si>
    <t>KL0908_c172_a1_FIA</t>
  </si>
  <si>
    <t>KL0908_c172_a1_FIB</t>
  </si>
  <si>
    <t>KL0908_c173_a1_FIA</t>
  </si>
  <si>
    <t>KL0910_c176_a1_FIA</t>
  </si>
  <si>
    <t>KL0910_c178_a1_FIA</t>
  </si>
  <si>
    <t>KL0910_c178_a1_FIB</t>
  </si>
  <si>
    <t>KL0910_c179_a1_FIA</t>
  </si>
  <si>
    <t>KL0919_c181_a1_FIA</t>
  </si>
  <si>
    <t>KL0919_c181_a2_FIB</t>
  </si>
  <si>
    <t>KL0919_c181_a2_FIC</t>
  </si>
  <si>
    <t>KL0921_c325_a1_FIA</t>
  </si>
  <si>
    <t>KL0921_c335_a1_FIA</t>
  </si>
  <si>
    <t>KL0921_c335_a2_FIB</t>
  </si>
  <si>
    <t>KL0921_c337_a1_FIA</t>
  </si>
  <si>
    <t>KL0921_c337_a1_FIB</t>
  </si>
  <si>
    <t>KL0921_c337_a1_FIC</t>
  </si>
  <si>
    <t>KL0921_c337_a1_FID</t>
  </si>
  <si>
    <t>KL0924_c363_a1_FIA</t>
  </si>
  <si>
    <t>KL0924_c363_a1_FIB</t>
  </si>
  <si>
    <t>KL0924_c364_a1_FIA</t>
  </si>
  <si>
    <t>KL0924_c364_a1_FIB</t>
  </si>
  <si>
    <t>KL0924_c367_a2_FIC</t>
  </si>
  <si>
    <t>KL0924_c369_a1_FIA</t>
  </si>
  <si>
    <t>KL0924_c369_a1_FIB</t>
  </si>
  <si>
    <t>FG04-A1-1_eve_r2_100X</t>
  </si>
  <si>
    <t>FG04-A1-1_morn_r1_100X</t>
  </si>
  <si>
    <t>FG04-A1-2_eve_r2_100X</t>
  </si>
  <si>
    <t>FG04-A1-2_morn_r1_100X</t>
  </si>
  <si>
    <t>FG04-A1-4_eve_r2_100X</t>
  </si>
  <si>
    <t>FG04-A1-4_morn_r1_100X</t>
  </si>
  <si>
    <t>FG19-101-A_eve_r2_100X</t>
  </si>
  <si>
    <t>FG19-101-A_morn_r1_100X</t>
  </si>
  <si>
    <t>KL0908_c219_a1_FIA</t>
  </si>
  <si>
    <t>KL0908_c223_a1_FIA</t>
  </si>
  <si>
    <t>KL0908_c228_a1_FIA</t>
  </si>
  <si>
    <t>KL0909_c231_a1_FIA</t>
  </si>
  <si>
    <t>KL0909_c231_a1_FIB</t>
  </si>
  <si>
    <t>KL0909_c235_a1_FIA</t>
  </si>
  <si>
    <t>KL0917_c202_a1_FIA</t>
  </si>
  <si>
    <t>KL0917_c202_a1_FIB</t>
  </si>
  <si>
    <t>KL0920_c216_a1_FIA</t>
  </si>
  <si>
    <t>KL0920_c216_a2_FID</t>
  </si>
  <si>
    <t>KL0920_c216_a2_FIH</t>
  </si>
  <si>
    <t>KL0931_c240_a1_FIA</t>
  </si>
  <si>
    <t>KL0931_c240_a1_FIB</t>
  </si>
  <si>
    <t>FG04-A1-1-100X-eve-r2</t>
  </si>
  <si>
    <t>FG04-A1-1-100X-morn-r1</t>
  </si>
  <si>
    <t>FG04-A1-2-100X-eve-r2</t>
  </si>
  <si>
    <t>FG04-A1-2-100X-morn-r1</t>
  </si>
  <si>
    <t>FG04-A1-4-100X-eve-r2</t>
  </si>
  <si>
    <t>FG04-A1-4-100X-morn-r1</t>
  </si>
  <si>
    <t>FG19-101-A-100X-eve-r2</t>
  </si>
  <si>
    <t>FG19-101-A-100X-morn-r1</t>
  </si>
  <si>
    <t>KL0914_c001_a1_FIA</t>
  </si>
  <si>
    <t>KL0914_c001_a1_FIB</t>
  </si>
  <si>
    <t>KL0914_c001_a1_FIC</t>
  </si>
  <si>
    <t>KL0914_c004_a1_FIC</t>
  </si>
  <si>
    <t>KL0914_c004_a1_FID</t>
  </si>
  <si>
    <t>KL0914_c008_a1_FIA</t>
  </si>
  <si>
    <t>KL0914_c008_a2_FIB</t>
  </si>
  <si>
    <t>KL0914_c008_a2_FIC</t>
  </si>
  <si>
    <t>KL0914_c012_a1_FIA</t>
  </si>
  <si>
    <t>KL0914_c012_a1_FIB</t>
  </si>
  <si>
    <t>KL0914_c016_a1_FIA</t>
  </si>
  <si>
    <t>KL0914_c016_a1_FIB</t>
  </si>
  <si>
    <t>KL0914_c016_a2_FIC</t>
  </si>
  <si>
    <t>KL0914_c016_a3_FID</t>
  </si>
  <si>
    <t>KL0914_c017_a1_FIA</t>
  </si>
  <si>
    <t>KL0914_c019_a1_FIA</t>
  </si>
  <si>
    <t>KL0931_c021_a1_FIA</t>
  </si>
  <si>
    <t>KL0931_c027_a1_FIA_15mw</t>
  </si>
  <si>
    <t>KL0931_c028_a1_FIA</t>
  </si>
  <si>
    <t>KL0931_c028_a1_FIB</t>
  </si>
  <si>
    <t>KL0931_c031_a1_FIA</t>
  </si>
  <si>
    <t>c171</t>
  </si>
  <si>
    <t>c172</t>
  </si>
  <si>
    <t>c173</t>
  </si>
  <si>
    <t>c176</t>
  </si>
  <si>
    <t>c178</t>
  </si>
  <si>
    <t>c179</t>
  </si>
  <si>
    <t>KL0919</t>
  </si>
  <si>
    <t>c181</t>
  </si>
  <si>
    <t>KL0921</t>
  </si>
  <si>
    <t>c325</t>
  </si>
  <si>
    <t>c335</t>
  </si>
  <si>
    <t>c337</t>
  </si>
  <si>
    <t>KL0924</t>
  </si>
  <si>
    <t>c363</t>
  </si>
  <si>
    <t>c364</t>
  </si>
  <si>
    <t>c367</t>
  </si>
  <si>
    <t>c369</t>
  </si>
  <si>
    <t>c219</t>
  </si>
  <si>
    <t>c223</t>
  </si>
  <si>
    <t>c228</t>
  </si>
  <si>
    <t>c231</t>
  </si>
  <si>
    <t>c235</t>
  </si>
  <si>
    <t>KL0917</t>
  </si>
  <si>
    <t>c202</t>
  </si>
  <si>
    <t>c216</t>
  </si>
  <si>
    <t>c240</t>
  </si>
  <si>
    <t>KL0914</t>
  </si>
  <si>
    <t>c001</t>
  </si>
  <si>
    <t>c004</t>
  </si>
  <si>
    <t>c008</t>
  </si>
  <si>
    <t>c012</t>
  </si>
  <si>
    <t>c016</t>
  </si>
  <si>
    <t>a3</t>
  </si>
  <si>
    <t>c017</t>
  </si>
  <si>
    <t>c019</t>
  </si>
  <si>
    <t>c021</t>
  </si>
  <si>
    <t>c027</t>
  </si>
  <si>
    <t>c028</t>
  </si>
  <si>
    <t>KL0908_c065_a1_FIA</t>
  </si>
  <si>
    <t>KL0908_c071_a1_FIA</t>
  </si>
  <si>
    <t>KL0908_c071_a1_FIB</t>
  </si>
  <si>
    <t>KL0909_c124_a1_FIB</t>
  </si>
  <si>
    <t>KL0909_c132_a1_FIB</t>
  </si>
  <si>
    <t>KL0910_c035_a1_FIA</t>
  </si>
  <si>
    <t>KL0910_c048_a1_FIA</t>
  </si>
  <si>
    <t>KL0910_c048_a1_FIB</t>
  </si>
  <si>
    <t>KL0910_c048_a1_FIC</t>
  </si>
  <si>
    <t>KL0910_c053_a1_FIA_20mw</t>
  </si>
  <si>
    <t>KL0910_c059_a1_FIA</t>
  </si>
  <si>
    <t>KL0917_c077_a1_FIB</t>
  </si>
  <si>
    <t>KL0917_c077_a1_FIC</t>
  </si>
  <si>
    <t>KL0917_c084_a1_FIA</t>
  </si>
  <si>
    <t>KL0917_c084_a1_FIB_46mw</t>
  </si>
  <si>
    <t>KL0917_c084_a1_FID_46mw</t>
  </si>
  <si>
    <t>KL0917_c089_a1_FIA</t>
  </si>
  <si>
    <t>KL0931_c034_a1_FIA</t>
  </si>
  <si>
    <t>KL0931_c034_a1_FIE</t>
  </si>
  <si>
    <t>KL0931_c034_a1_FIH</t>
  </si>
  <si>
    <t>KL0921_c281_a1_FIA</t>
  </si>
  <si>
    <t>KL0921_c281_a2_FIB</t>
  </si>
  <si>
    <t>KL0921_c285_a1_FIA</t>
  </si>
  <si>
    <t>KL0921_c285_a2_FIB</t>
  </si>
  <si>
    <t>KL0921_c287_a1_FIA</t>
  </si>
  <si>
    <t>KL0921_c288_a1_FIA</t>
  </si>
  <si>
    <t>KL0921_c295_a2_FIB</t>
  </si>
  <si>
    <t>KL0930_c312_a1_FIA</t>
  </si>
  <si>
    <t>KL0930_c312_a2_FIB</t>
  </si>
  <si>
    <t>KL0930_c318_a1_FIA</t>
  </si>
  <si>
    <t>KL0930_c321_a1_FIA</t>
  </si>
  <si>
    <t>KL0930_c321_a2_FIB</t>
  </si>
  <si>
    <t>c065</t>
  </si>
  <si>
    <t>c124</t>
  </si>
  <si>
    <t>c132</t>
  </si>
  <si>
    <t>c035</t>
  </si>
  <si>
    <t>c048</t>
  </si>
  <si>
    <t>c077</t>
  </si>
  <si>
    <t>c084</t>
  </si>
  <si>
    <t>c089</t>
  </si>
  <si>
    <t>c281</t>
  </si>
  <si>
    <t>c285</t>
  </si>
  <si>
    <t>c287</t>
  </si>
  <si>
    <t>c288</t>
  </si>
  <si>
    <t>c295</t>
  </si>
  <si>
    <t>KL0930</t>
  </si>
  <si>
    <t>c312</t>
  </si>
  <si>
    <t>c318</t>
  </si>
  <si>
    <t>c321</t>
  </si>
  <si>
    <t>KL0910_c002_a1</t>
  </si>
  <si>
    <t>KL0910_c003_a1</t>
  </si>
  <si>
    <t>KL0910_c005_a1</t>
  </si>
  <si>
    <t>KL0910_c009_a1</t>
  </si>
  <si>
    <t>KL0910_c010_a1</t>
  </si>
  <si>
    <t>KL0910_c011_a1</t>
  </si>
  <si>
    <t>KL0910_c015_a1</t>
  </si>
  <si>
    <t>KL0910_c016(1)_a1</t>
  </si>
  <si>
    <t>KL0910_c016(2)_a1</t>
  </si>
  <si>
    <t>KL0910_c018_a1</t>
  </si>
  <si>
    <t>KL0910_c029_a1</t>
  </si>
  <si>
    <t>KL0910_c030_a1</t>
  </si>
  <si>
    <t>KL0910_c031_a1</t>
  </si>
  <si>
    <t>KL0910_c032_a1</t>
  </si>
  <si>
    <t>KL0910_c034_a1</t>
  </si>
  <si>
    <t>KL0910_c036_a1</t>
  </si>
  <si>
    <t>KL0910_c036_a2</t>
  </si>
  <si>
    <t>KL0910_c047_a1</t>
  </si>
  <si>
    <t>KL0908_c052_a1</t>
  </si>
  <si>
    <t>KL0908_c054_a1</t>
  </si>
  <si>
    <t>KL0908_c056(1)_a1</t>
  </si>
  <si>
    <t>KL0908_c058_a1</t>
  </si>
  <si>
    <t>KL0908_c067_a1</t>
  </si>
  <si>
    <t>KL0908_c072_a1_redo</t>
  </si>
  <si>
    <t>KL0916_c051(1)_a1</t>
  </si>
  <si>
    <t>KL0916_c057_a1</t>
  </si>
  <si>
    <t>KL0916_c058_a1</t>
  </si>
  <si>
    <t>KL0916_c059_a1</t>
  </si>
  <si>
    <t>KL0916_c064_a1</t>
  </si>
  <si>
    <t>KL0916_c068_a1</t>
  </si>
  <si>
    <t>KL0916_c069_a1</t>
  </si>
  <si>
    <t>KL0916_c071_a1</t>
  </si>
  <si>
    <t>KL0916_c074_a1</t>
  </si>
  <si>
    <t>KL0916_c079_a1</t>
  </si>
  <si>
    <t>KL0909_c0153_a1</t>
  </si>
  <si>
    <t>KL0931_c0159_a1</t>
  </si>
  <si>
    <t>KL0931_c0160_a1</t>
  </si>
  <si>
    <t>KL0908_c0168_a1</t>
  </si>
  <si>
    <t>KL0908_c0171_a1</t>
  </si>
  <si>
    <t>KL0908_c0172_a1</t>
  </si>
  <si>
    <t>KL0908_c0173_a1</t>
  </si>
  <si>
    <t>KL0910_c0176_a1</t>
  </si>
  <si>
    <t>KL0910_c0178_a1</t>
  </si>
  <si>
    <t>KL0910_c0179_a1</t>
  </si>
  <si>
    <t>KL0919_c0181_a1</t>
  </si>
  <si>
    <t>KL0919_c0181_a2</t>
  </si>
  <si>
    <t>KL0916_c053_a3_redo3</t>
  </si>
  <si>
    <t>KL0921_c325_a1</t>
  </si>
  <si>
    <t>KL0921_c0335_a1</t>
  </si>
  <si>
    <t>KL0921_c0335_a2</t>
  </si>
  <si>
    <t>KL0921_c0337_a1</t>
  </si>
  <si>
    <t>KL0924_c0363_a1</t>
  </si>
  <si>
    <t>KL0924_c0364_a1</t>
  </si>
  <si>
    <t>KL0924_c0367_a2</t>
  </si>
  <si>
    <t>KL0924_c0369_a1</t>
  </si>
  <si>
    <t>KL0920_c216_a1</t>
  </si>
  <si>
    <t>KL0920_c216_a2</t>
  </si>
  <si>
    <t>KL0908_c219_a1</t>
  </si>
  <si>
    <t>KL0908_c223_a1</t>
  </si>
  <si>
    <t>KL0908_c228_a1</t>
  </si>
  <si>
    <t>KL0909_c231_a1</t>
  </si>
  <si>
    <t>KL0909_c235_a1</t>
  </si>
  <si>
    <t>KL0931_c240_a1</t>
  </si>
  <si>
    <t>KL0917_c202_a1_redo</t>
  </si>
  <si>
    <t>KL0921_c281_a1</t>
  </si>
  <si>
    <t>KL0921_c285_a1</t>
  </si>
  <si>
    <t>KL0921_c285_a2</t>
  </si>
  <si>
    <t>KL0921_c287_a1</t>
  </si>
  <si>
    <t>KL0921_c288_a1</t>
  </si>
  <si>
    <t>KL0921_c295_a2</t>
  </si>
  <si>
    <t>KL0930_c312_a1</t>
  </si>
  <si>
    <t>KL0930_c312_a2</t>
  </si>
  <si>
    <t>KL0930_c318_a1</t>
  </si>
  <si>
    <t>KL0930_c321_a1</t>
  </si>
  <si>
    <t>KL0914_c016_a1</t>
  </si>
  <si>
    <t>KL0931_c027_a1</t>
  </si>
  <si>
    <t>KL0931_c028_a1</t>
  </si>
  <si>
    <t>KL0931_c034_a1</t>
  </si>
  <si>
    <t>KL0910_c035_a1</t>
  </si>
  <si>
    <t>KL0910_c048_a1</t>
  </si>
  <si>
    <t>KL0910_c053_a1</t>
  </si>
  <si>
    <t>KL0910_c059_a1</t>
  </si>
  <si>
    <t>KL0908_c071_a1</t>
  </si>
  <si>
    <t>KL0917_c077_a1</t>
  </si>
  <si>
    <t>KL0917_c084_a1</t>
  </si>
  <si>
    <t>KL0917_c089_a1</t>
  </si>
  <si>
    <t>KL0909_c124_a1</t>
  </si>
  <si>
    <t>KL0909_c132_a1</t>
  </si>
  <si>
    <t>KL0921_c281_a2_redo</t>
  </si>
  <si>
    <t>KL0931_c021_a1_redo</t>
  </si>
  <si>
    <t>KL0914_c008_a1_redo</t>
  </si>
  <si>
    <t>KL0914_c008_a2_redo</t>
  </si>
  <si>
    <t>KL0914_c012_a1_redo</t>
  </si>
  <si>
    <t>KL0914_c016_a2_redo</t>
  </si>
  <si>
    <t>KL0914_c016_a3_redo</t>
  </si>
  <si>
    <t>KL0914_c017_a1_redo</t>
  </si>
  <si>
    <t>KL0914_c019_a1_redo</t>
  </si>
  <si>
    <t>KL0931_c031_a1_redo</t>
  </si>
  <si>
    <t>KL0908_c065_a1_redo</t>
  </si>
  <si>
    <t>KL0910_c000_a1</t>
  </si>
  <si>
    <t>there is also a2,a3,a4, a4 is the best but far</t>
  </si>
  <si>
    <t>TRASH, bc of holder</t>
  </si>
  <si>
    <t>not good, but better than nothing</t>
  </si>
  <si>
    <t>all others tries were bad</t>
  </si>
  <si>
    <t>KL0908_c060_a1</t>
  </si>
  <si>
    <t>KL0908_c060_a1_S1_redo</t>
  </si>
  <si>
    <t>KL0910_c047_a1_S1</t>
  </si>
  <si>
    <t>had to rename to S1, as the name was duplicated in the mounts (one in the MI mounts, one in S1)</t>
  </si>
  <si>
    <t>\ulubsmallolivines_60</t>
  </si>
  <si>
    <t>\ulubsmallolivines_65</t>
  </si>
  <si>
    <t>\ulubsmallolivines132</t>
  </si>
  <si>
    <t>\ulubsmallolivines_35</t>
  </si>
  <si>
    <t>\ulubsmallolivines_47</t>
  </si>
  <si>
    <t>\ulubsmallolivines_53</t>
  </si>
  <si>
    <t>\ulubsmallolivines_77</t>
  </si>
  <si>
    <t>\ulubsmallolivines_34</t>
  </si>
  <si>
    <t>\Kil_2_L2_285</t>
  </si>
  <si>
    <t>\Kil_2_L2_287</t>
  </si>
  <si>
    <t>\Kil_2_L2_288</t>
  </si>
  <si>
    <t>\Kil_2_L2_295</t>
  </si>
  <si>
    <t>\Kil_2_L2_312</t>
  </si>
  <si>
    <t>\Kil_2_L2_318</t>
  </si>
  <si>
    <t>\Kil_2_L2_321</t>
  </si>
  <si>
    <t>\ulubigolivines_168</t>
  </si>
  <si>
    <t>\ulubigolivines_153</t>
  </si>
  <si>
    <t>\ulubigolivines_147b</t>
  </si>
  <si>
    <t>\ulubigolivines_159</t>
  </si>
  <si>
    <t>\ulubigolivines_160</t>
  </si>
  <si>
    <t>\ulubigolivines_171not170</t>
  </si>
  <si>
    <t>\ulubigolivines_173</t>
  </si>
  <si>
    <t>\ulubigolivines_176</t>
  </si>
  <si>
    <t>\ulubigolivines_178</t>
  </si>
  <si>
    <t>\ulubigolivines_179</t>
  </si>
  <si>
    <t>\ulubigolivines_181</t>
  </si>
  <si>
    <t>\ulubmedolivines_219</t>
  </si>
  <si>
    <t>\ulubmedolivines_223</t>
  </si>
  <si>
    <t>\ulubmedolivines_202</t>
  </si>
  <si>
    <t>\ulubmedolivines_216</t>
  </si>
  <si>
    <t>\ulubsmallolivines_27</t>
  </si>
  <si>
    <t>FI_type</t>
  </si>
  <si>
    <t>FI_axis_a_um</t>
  </si>
  <si>
    <t>FI_axis_b_um</t>
  </si>
  <si>
    <t>sub_type</t>
  </si>
  <si>
    <t>Area</t>
  </si>
  <si>
    <t>Angle</t>
  </si>
  <si>
    <t>pixels wide</t>
  </si>
  <si>
    <t>pixels high</t>
  </si>
  <si>
    <t>mag</t>
  </si>
  <si>
    <t>decrepit</t>
  </si>
  <si>
    <t>melt film</t>
  </si>
  <si>
    <t>spinel</t>
  </si>
  <si>
    <t>sulfide</t>
  </si>
  <si>
    <t>shape</t>
  </si>
  <si>
    <t>Comment</t>
  </si>
  <si>
    <t>P</t>
  </si>
  <si>
    <t>isolated</t>
  </si>
  <si>
    <t>has a couple of tiny inclusions near, maybe re=eq</t>
  </si>
  <si>
    <t>maybe</t>
  </si>
  <si>
    <t>Ellipsoid</t>
  </si>
  <si>
    <t>yes</t>
  </si>
  <si>
    <t>Negative crystal</t>
  </si>
  <si>
    <t>No image</t>
  </si>
  <si>
    <t>Circular</t>
  </si>
  <si>
    <t>cluster</t>
  </si>
  <si>
    <t>Capsule (short)</t>
  </si>
  <si>
    <t>\KL0910_c002</t>
  </si>
  <si>
    <t>\KL0910_c003</t>
  </si>
  <si>
    <t>\KL0910_c005</t>
  </si>
  <si>
    <t>\KL0910_c009</t>
  </si>
  <si>
    <t>\KL0910_c011</t>
  </si>
  <si>
    <t>\KL0910_c015</t>
  </si>
  <si>
    <t>\KL0910_c016(1)</t>
  </si>
  <si>
    <t>\KL0910_c016(2)</t>
  </si>
  <si>
    <t>\KL0908_c052</t>
  </si>
  <si>
    <t>\KL0908_c054</t>
  </si>
  <si>
    <t>\KL0908_c056</t>
  </si>
  <si>
    <t>\KL0908_c058</t>
  </si>
  <si>
    <t>\KL0908_c060</t>
  </si>
  <si>
    <t>\KL0908_c067</t>
  </si>
  <si>
    <t>\KL0908_c072</t>
  </si>
  <si>
    <t>\KL0910_c018</t>
  </si>
  <si>
    <t>\KL0910_c029</t>
  </si>
  <si>
    <t>\KL0910_c030</t>
  </si>
  <si>
    <t>\KL0910_c031</t>
  </si>
  <si>
    <t>\KL0910_c032</t>
  </si>
  <si>
    <t>\KL0910_c034</t>
  </si>
  <si>
    <t>\KL0910_c000</t>
  </si>
  <si>
    <t>\KL0910_c036</t>
  </si>
  <si>
    <t>\KL0910_c047</t>
  </si>
  <si>
    <t>\KL0916_c051</t>
  </si>
  <si>
    <t>\KL0916_c053</t>
  </si>
  <si>
    <t>\KL0916_c057</t>
  </si>
  <si>
    <t>\KL0916_c058</t>
  </si>
  <si>
    <t>\KL0916_c059</t>
  </si>
  <si>
    <t>\KL0916_c064</t>
  </si>
  <si>
    <t>\KL0916_c068</t>
  </si>
  <si>
    <t>\KL0916_c069</t>
  </si>
  <si>
    <t>\KL0916_c071</t>
  </si>
  <si>
    <t>\KL0916_c074</t>
  </si>
  <si>
    <t>\KL0916_c079</t>
  </si>
  <si>
    <t>\KL0921_c325</t>
  </si>
  <si>
    <t>\KL0921_c335</t>
  </si>
  <si>
    <t>\KL0921_c337</t>
  </si>
  <si>
    <t>\KL0924_c363</t>
  </si>
  <si>
    <t>\KL0924_c364</t>
  </si>
  <si>
    <t>\KL0924_c367</t>
  </si>
  <si>
    <t>\KL0924_c369</t>
  </si>
  <si>
    <t>\KL0908_c228</t>
  </si>
  <si>
    <t>\KL0909_c231</t>
  </si>
  <si>
    <t>\KL0909_c235</t>
  </si>
  <si>
    <t>\KL0931_c240</t>
  </si>
  <si>
    <t>\KL0914_c001</t>
  </si>
  <si>
    <t>\KL0914_c004</t>
  </si>
  <si>
    <t>\KL0914_c008</t>
  </si>
  <si>
    <t>\KL0914_c012</t>
  </si>
  <si>
    <t>\KL0914_c016</t>
  </si>
  <si>
    <t>\KL0914_c017</t>
  </si>
  <si>
    <t>\KL0914_c019</t>
  </si>
  <si>
    <t>\KL0931_c021</t>
  </si>
  <si>
    <t>\KL0931_c028</t>
  </si>
  <si>
    <t>\KL0931_c031</t>
  </si>
  <si>
    <t>\KL0908_c071</t>
  </si>
  <si>
    <t>\KL0909_c124</t>
  </si>
  <si>
    <t>\KL0910_c048</t>
  </si>
  <si>
    <t>\KL0910_c059</t>
  </si>
  <si>
    <t>\KL0917_c084</t>
  </si>
  <si>
    <t>\KL0917_c089</t>
  </si>
  <si>
    <t xml:space="preserve">PW no EBSD, UCB EBSD; </t>
  </si>
  <si>
    <t xml:space="preserve">NO EBSD? weird, maybe I didn't export; </t>
  </si>
  <si>
    <t>PW no EBSD, UCB EBSD; super deformed</t>
  </si>
  <si>
    <t>PW no EBSD, UCB EBSD; unclear if synneusis</t>
  </si>
  <si>
    <t>PW no EBSD, UCB EBSD; not actually deformed, has a crystal attached, also v bad ebsd</t>
  </si>
  <si>
    <t>PW no EBSD, UCB EBSD; it might have over separated grains, DEFORMED</t>
  </si>
  <si>
    <t>PW no EBSD, UCB EBSD; might be a big deformed crystal</t>
  </si>
  <si>
    <t>PW no EBSD, UCB EBSD; Not actually deformed, smaller crystal</t>
  </si>
  <si>
    <t>PW no EBSD, UCB EBSD; I think this isn't deformed, misseparated by grain angle</t>
  </si>
  <si>
    <t>PW no EBSD, UCB EBSD; Only a sliver exposed</t>
  </si>
  <si>
    <t>PW no EBSD, UCB EBSD; this is two crystals</t>
  </si>
  <si>
    <t>PW no EBSD, UCB EBSD; might not be deformation</t>
  </si>
  <si>
    <t xml:space="preserve">small crystal wasn't Ided as grain but it is; </t>
  </si>
  <si>
    <t xml:space="preserve">PW no EBSD, UCB EBSD;Not sure if its because it's not a single crystal; </t>
  </si>
  <si>
    <t xml:space="preserve">Not in table, but has poor map, porbably was discarded; </t>
  </si>
  <si>
    <t xml:space="preserve">Right at boundary of 49 and 83; </t>
  </si>
  <si>
    <t>PW no EBSD, UCB EBSD; Not sure if it isn't two crystals</t>
  </si>
  <si>
    <t>PW no EBSD, UCB EBSD; didn't expport the data, even though the EBSD is good</t>
  </si>
  <si>
    <t>PW no EBSD, UCB EBSD; not good, also only a sliver. It's probably deformed</t>
  </si>
  <si>
    <t xml:space="preserve">close to boundary with 53; </t>
  </si>
  <si>
    <t>PW no EBSD, UCB EBSD; might be a single crystal, not sure</t>
  </si>
  <si>
    <t>PW no EBSD, UCB EBSD; might be a single crystal, oversegmented</t>
  </si>
  <si>
    <t>PW no EBSD, UCB EBSD; this is two crystals, not deformed</t>
  </si>
  <si>
    <t xml:space="preserve">the two small crystals are ID as one grain; </t>
  </si>
  <si>
    <t xml:space="preserve">FI are in the smaller crystal, they look like two crystals to me but ID as single grain; </t>
  </si>
  <si>
    <t xml:space="preserve">This is the small ulu ols; </t>
  </si>
  <si>
    <t xml:space="preserve">No EBSD; </t>
  </si>
  <si>
    <t>real image width(um)</t>
  </si>
  <si>
    <t>has what looks like a small spinel on the bottom left, unclear. The natue of the inclusion is also slihtly unclear. It is along a plane of oxides, which could be result of re-heating the crystal by a hot magma</t>
  </si>
  <si>
    <t>PS</t>
  </si>
  <si>
    <t>Looks like a growth cluster (spongy?) it also has melt inclusions</t>
  </si>
  <si>
    <t>next to a big melt inclusion</t>
  </si>
  <si>
    <t>Appears to have small spikes on some edges, maybe re-eq?</t>
  </si>
  <si>
    <t>Appears to have a small crystal at bottom, could be sulfide or spinel unclear</t>
  </si>
  <si>
    <t>In a cluster with spinels and melt inclusions, no other FI</t>
  </si>
  <si>
    <t>There are lots of spinels and melt inclsuions around, just no FI</t>
  </si>
  <si>
    <t>There are lots of spinels and melt inclsuions around the crystal</t>
  </si>
  <si>
    <t>Some small MI and spinels in th crystal</t>
  </si>
  <si>
    <t>Huge cluster, likely in growth zone, but there is a chance it's pseud secondary. Its within the innermost core cluster.</t>
  </si>
  <si>
    <t>cluster with MI and spnels</t>
  </si>
  <si>
    <t>cluster with lost of MI and spinels, possibly growth zone?</t>
  </si>
  <si>
    <t xml:space="preserve">Melt inclusion and spinels not far </t>
  </si>
  <si>
    <t>Capsule</t>
  </si>
  <si>
    <t>Looks tilted</t>
  </si>
  <si>
    <t>May be a sulfide or a spinel</t>
  </si>
  <si>
    <t>Capsule (long)</t>
  </si>
  <si>
    <t>Spinel nearby</t>
  </si>
  <si>
    <t>Spinels and MI in same crystal scattered</t>
  </si>
  <si>
    <t>Cluster with spinels, and MI</t>
  </si>
  <si>
    <t>Cluster with MI</t>
  </si>
  <si>
    <t xml:space="preserve">This could be a PS cluster or maybe a spongy rapid grown core, it's chock full of oxides, it's near core. Odd. </t>
  </si>
  <si>
    <t>Cluster with lots of MI</t>
  </si>
  <si>
    <t>There are clusters of spinels nearby</t>
  </si>
  <si>
    <t>No other FI in cluster, just MI and oxides</t>
  </si>
  <si>
    <t>There are some spinels not far</t>
  </si>
  <si>
    <t>Seems like a core cluster.</t>
  </si>
  <si>
    <t>small oxides on side? r sulfides?</t>
  </si>
  <si>
    <t>Has litle spikes on sides? either spinels or re-eq?</t>
  </si>
  <si>
    <t>Looks like a core cluster, spongy ?</t>
  </si>
  <si>
    <t>Cluster with MI, no other FI</t>
  </si>
  <si>
    <t>Cluster with other MI</t>
  </si>
  <si>
    <t xml:space="preserve">hard to see </t>
  </si>
  <si>
    <t>maybe has a spinel unclear</t>
  </si>
  <si>
    <t>trail</t>
  </si>
  <si>
    <t>Looks like it might be pseudo secondary, has a little bit of melt</t>
  </si>
  <si>
    <t>There are Melt inclusions and spinels around</t>
  </si>
  <si>
    <t>It's on the boundary between two grains in a crystal cluster. There is also a spinel</t>
  </si>
  <si>
    <t>Has oxides on edge. It may be re-eq? it has some tiny inclusions around, but not sure really if it's actually from decrep or not</t>
  </si>
  <si>
    <t>S</t>
  </si>
  <si>
    <t>plane</t>
  </si>
  <si>
    <t>This crystal has the weird SO2 inclusions</t>
  </si>
  <si>
    <t>This crystal has signed of heating (oxide planes)</t>
  </si>
  <si>
    <t>No picture, can't tell</t>
  </si>
  <si>
    <t xml:space="preserve">Looks tilted and maybe an oxide </t>
  </si>
  <si>
    <t>Maybe oxides on edges?</t>
  </si>
  <si>
    <t>no other FI, MI and spinel cluster</t>
  </si>
  <si>
    <t>Also has elongated oxide next to it. Spinel?</t>
  </si>
  <si>
    <t>Has little inclusions around, likely re-eq</t>
  </si>
  <si>
    <t>melt between FI and spin</t>
  </si>
  <si>
    <t>Crystal has MI and spins too</t>
  </si>
  <si>
    <t xml:space="preserve">There is a tubular  inclusion close by, unclear if it is connected to the FI or not. </t>
  </si>
  <si>
    <t xml:space="preserve">This looks like lots of clusters perhaps associated with growth? Hard to ay whether they are PS or if they are skeletal growth clusters. </t>
  </si>
  <si>
    <t>Seems associated to growth clustering</t>
  </si>
  <si>
    <t>No raman pictures, hard to say</t>
  </si>
  <si>
    <t>maybe a sulfide, or could be a spinel</t>
  </si>
  <si>
    <t xml:space="preserve">maybe spinel attached to side, cluster with MI and spins far apart. </t>
  </si>
  <si>
    <t>Looks like it may have spinel and/or sulfide but not clear</t>
  </si>
  <si>
    <t>Looks twisted, stragely shaped</t>
  </si>
  <si>
    <t>dispersed FI</t>
  </si>
  <si>
    <t>clustered with MI</t>
  </si>
  <si>
    <t>has a halo, melt film?</t>
  </si>
  <si>
    <t>Sort of twisted</t>
  </si>
  <si>
    <t>seems to have a spinel</t>
  </si>
  <si>
    <t>elongated and slightly twisted</t>
  </si>
  <si>
    <t>Seems like a core cluster</t>
  </si>
  <si>
    <t>No raman image</t>
  </si>
  <si>
    <t>has melt.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</si>
</sst>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E86E-F97B-4AFF-9664-007014C39847}">
  <dimension ref="A1:AI228"/>
  <sheetViews>
    <sheetView tabSelected="1" zoomScaleNormal="100" workbookViewId="0">
      <pane xSplit="1" ySplit="1" topLeftCell="Q199" activePane="bottomRight" state="frozen"/>
      <selection pane="topRight" activeCell="B1" sqref="B1"/>
      <selection pane="bottomLeft" activeCell="A2" sqref="A2"/>
      <selection pane="bottomRight" activeCell="AH229" sqref="AH229"/>
    </sheetView>
  </sheetViews>
  <sheetFormatPr baseColWidth="10" defaultColWidth="8.83203125" defaultRowHeight="15" x14ac:dyDescent="0.2"/>
  <cols>
    <col min="1" max="1" width="25" customWidth="1"/>
    <col min="4" max="4" width="26.83203125" customWidth="1"/>
    <col min="10" max="10" width="14" customWidth="1"/>
    <col min="11" max="11" width="19.5" customWidth="1"/>
    <col min="12" max="12" width="25.1640625" customWidth="1"/>
    <col min="13" max="13" width="30.5" customWidth="1"/>
    <col min="14" max="14" width="11.83203125" customWidth="1"/>
    <col min="15" max="16" width="18.6640625" customWidth="1"/>
    <col min="17" max="17" width="26.6640625" customWidth="1"/>
    <col min="18" max="18" width="32.33203125" customWidth="1"/>
    <col min="20" max="20" width="12.83203125" customWidth="1"/>
    <col min="21" max="21" width="4.83203125" customWidth="1"/>
    <col min="29" max="29" width="12.1640625" customWidth="1"/>
    <col min="34" max="34" width="16.1640625" customWidth="1"/>
  </cols>
  <sheetData>
    <row r="1" spans="1:35" x14ac:dyDescent="0.2">
      <c r="A1" t="s">
        <v>0</v>
      </c>
      <c r="B1" t="s">
        <v>1</v>
      </c>
      <c r="C1" t="s">
        <v>27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28</v>
      </c>
      <c r="N1" t="s">
        <v>29</v>
      </c>
      <c r="O1" t="s">
        <v>30</v>
      </c>
      <c r="P1" s="2" t="s">
        <v>31</v>
      </c>
      <c r="Q1" s="3" t="s">
        <v>32</v>
      </c>
      <c r="R1" t="s">
        <v>33</v>
      </c>
      <c r="S1" t="s">
        <v>480</v>
      </c>
      <c r="T1" t="s">
        <v>483</v>
      </c>
      <c r="V1" t="s">
        <v>484</v>
      </c>
      <c r="W1" t="s">
        <v>481</v>
      </c>
      <c r="X1" t="s">
        <v>482</v>
      </c>
      <c r="Y1" t="s">
        <v>485</v>
      </c>
      <c r="Z1" t="s">
        <v>486</v>
      </c>
      <c r="AA1" t="s">
        <v>487</v>
      </c>
      <c r="AB1" t="s">
        <v>488</v>
      </c>
      <c r="AC1" t="s">
        <v>595</v>
      </c>
      <c r="AD1" t="s">
        <v>489</v>
      </c>
      <c r="AE1" t="s">
        <v>490</v>
      </c>
      <c r="AF1" t="s">
        <v>491</v>
      </c>
      <c r="AG1" t="s">
        <v>492</v>
      </c>
      <c r="AH1" t="s">
        <v>493</v>
      </c>
      <c r="AI1" t="s">
        <v>494</v>
      </c>
    </row>
    <row r="2" spans="1:35" x14ac:dyDescent="0.2">
      <c r="A2" t="s">
        <v>34</v>
      </c>
      <c r="B2" s="1">
        <v>45723</v>
      </c>
      <c r="C2">
        <v>64007</v>
      </c>
      <c r="D2" t="s">
        <v>26</v>
      </c>
      <c r="F2" t="s">
        <v>23</v>
      </c>
      <c r="G2" t="s">
        <v>24</v>
      </c>
      <c r="I2">
        <v>4</v>
      </c>
      <c r="J2" t="s">
        <v>25</v>
      </c>
      <c r="K2" t="s">
        <v>25</v>
      </c>
      <c r="L2" t="str">
        <f>_xlfn.CONCAT(F2,"-",G2,"-",I2,"-end-",B2)</f>
        <v>FG04-A1-4-end-45723</v>
      </c>
      <c r="M2" s="4"/>
    </row>
    <row r="3" spans="1:35" x14ac:dyDescent="0.2">
      <c r="A3" t="s">
        <v>35</v>
      </c>
      <c r="B3" s="1">
        <v>45723</v>
      </c>
      <c r="C3">
        <v>64409</v>
      </c>
      <c r="D3" t="s">
        <v>26</v>
      </c>
      <c r="F3" t="s">
        <v>23</v>
      </c>
      <c r="G3" t="s">
        <v>24</v>
      </c>
      <c r="I3">
        <v>4</v>
      </c>
      <c r="J3" t="s">
        <v>25</v>
      </c>
      <c r="K3" t="s">
        <v>25</v>
      </c>
      <c r="L3" t="str">
        <f t="shared" ref="L3" si="0">_xlfn.CONCAT(F3,"-",G3,"-",I3,"-end-",B3)</f>
        <v>FG04-A1-4-end-45723</v>
      </c>
      <c r="M3" s="4"/>
    </row>
    <row r="4" spans="1:35" x14ac:dyDescent="0.2">
      <c r="A4" t="s">
        <v>36</v>
      </c>
      <c r="B4" s="1">
        <v>45723</v>
      </c>
      <c r="C4">
        <v>64679</v>
      </c>
      <c r="D4" t="s">
        <v>26</v>
      </c>
      <c r="F4" t="s">
        <v>23</v>
      </c>
      <c r="G4" t="s">
        <v>24</v>
      </c>
      <c r="I4">
        <v>4</v>
      </c>
      <c r="J4" t="s">
        <v>25</v>
      </c>
      <c r="K4" t="s">
        <v>25</v>
      </c>
      <c r="L4" t="str">
        <f>_xlfn.CONCAT(F4,"-",G4,"-",I4,"-end-",B4)</f>
        <v>FG04-A1-4-end-45723</v>
      </c>
      <c r="M4" s="4"/>
    </row>
    <row r="5" spans="1:35" x14ac:dyDescent="0.2">
      <c r="A5" t="s">
        <v>37</v>
      </c>
      <c r="B5" s="1">
        <v>45723</v>
      </c>
      <c r="C5">
        <v>37384</v>
      </c>
      <c r="D5" t="s">
        <v>26</v>
      </c>
      <c r="F5" t="s">
        <v>23</v>
      </c>
      <c r="G5" t="s">
        <v>24</v>
      </c>
      <c r="I5">
        <v>4</v>
      </c>
      <c r="J5" t="s">
        <v>25</v>
      </c>
      <c r="K5" t="s">
        <v>25</v>
      </c>
      <c r="L5" t="str">
        <f t="shared" ref="L5:L7" si="1">_xlfn.CONCAT(F5,"-",G5,"-",I5,"-start-",B5)</f>
        <v>FG04-A1-4-start-45723</v>
      </c>
      <c r="M5" s="4"/>
    </row>
    <row r="6" spans="1:35" x14ac:dyDescent="0.2">
      <c r="A6" t="s">
        <v>38</v>
      </c>
      <c r="B6" s="1">
        <v>45723</v>
      </c>
      <c r="C6">
        <v>37683</v>
      </c>
      <c r="D6" t="s">
        <v>26</v>
      </c>
      <c r="F6" t="s">
        <v>23</v>
      </c>
      <c r="G6" t="s">
        <v>24</v>
      </c>
      <c r="I6">
        <v>4</v>
      </c>
      <c r="J6" t="s">
        <v>25</v>
      </c>
      <c r="K6" t="s">
        <v>25</v>
      </c>
      <c r="L6" t="str">
        <f t="shared" si="1"/>
        <v>FG04-A1-4-start-45723</v>
      </c>
      <c r="M6" s="4"/>
    </row>
    <row r="7" spans="1:35" x14ac:dyDescent="0.2">
      <c r="A7" t="s">
        <v>39</v>
      </c>
      <c r="B7" s="1">
        <v>45723</v>
      </c>
      <c r="C7">
        <v>38139</v>
      </c>
      <c r="D7" t="s">
        <v>26</v>
      </c>
      <c r="F7" t="s">
        <v>23</v>
      </c>
      <c r="G7" t="s">
        <v>24</v>
      </c>
      <c r="I7">
        <v>4</v>
      </c>
      <c r="J7" t="s">
        <v>25</v>
      </c>
      <c r="K7" t="s">
        <v>25</v>
      </c>
      <c r="L7" t="str">
        <f t="shared" si="1"/>
        <v>FG04-A1-4-start-45723</v>
      </c>
      <c r="M7" s="4"/>
    </row>
    <row r="8" spans="1:35" s="5" customFormat="1" x14ac:dyDescent="0.2">
      <c r="A8" s="5" t="s">
        <v>40</v>
      </c>
      <c r="B8" s="7">
        <v>45723</v>
      </c>
      <c r="C8" s="5">
        <v>39065</v>
      </c>
      <c r="D8" s="7" t="s">
        <v>16</v>
      </c>
      <c r="F8" s="5" t="s">
        <v>66</v>
      </c>
      <c r="G8" s="5" t="s">
        <v>4</v>
      </c>
      <c r="H8" s="5" t="s">
        <v>2</v>
      </c>
      <c r="I8" s="5" t="s">
        <v>3</v>
      </c>
      <c r="J8" s="5" t="str">
        <f>_xlfn.CONCAT(F8,"_",G8)</f>
        <v>KL0910_c002</v>
      </c>
      <c r="K8" s="5" t="str">
        <f>_xlfn.CONCAT(J8,"_",H8)</f>
        <v>KL0910_c002_a1</v>
      </c>
      <c r="L8" s="5" t="str">
        <f>_xlfn.CONCAT(K8,"_",I8)</f>
        <v>KL0910_c002_a1_FIA</v>
      </c>
      <c r="M8" s="5" t="s">
        <v>341</v>
      </c>
      <c r="N8" s="5" t="s">
        <v>441</v>
      </c>
      <c r="O8" s="5" t="s">
        <v>506</v>
      </c>
      <c r="P8" s="5">
        <v>266</v>
      </c>
      <c r="Q8" s="5" t="str">
        <f t="shared" ref="Q8:Q33" si="2">_xlfn.CONCAT(O8,"_",P8)</f>
        <v>\KL0910_c002_266</v>
      </c>
      <c r="R8" s="5" t="s">
        <v>568</v>
      </c>
      <c r="S8" s="5" t="s">
        <v>495</v>
      </c>
      <c r="T8" s="5" t="s">
        <v>496</v>
      </c>
      <c r="U8" s="5">
        <v>1</v>
      </c>
      <c r="V8" s="5">
        <v>59429</v>
      </c>
      <c r="W8" s="5">
        <v>318.13799999999998</v>
      </c>
      <c r="X8" s="5">
        <v>237.845</v>
      </c>
      <c r="Y8" s="5">
        <v>22.446000000000002</v>
      </c>
      <c r="Z8" s="5">
        <v>1920</v>
      </c>
      <c r="AA8" s="5">
        <v>1200</v>
      </c>
      <c r="AB8" s="5">
        <v>50</v>
      </c>
      <c r="AC8" s="5">
        <v>223.161</v>
      </c>
      <c r="AD8" s="5" t="s">
        <v>498</v>
      </c>
      <c r="AH8" s="5" t="s">
        <v>499</v>
      </c>
      <c r="AI8" s="5" t="s">
        <v>497</v>
      </c>
    </row>
    <row r="9" spans="1:35" s="5" customFormat="1" x14ac:dyDescent="0.2">
      <c r="A9" s="5" t="s">
        <v>41</v>
      </c>
      <c r="B9" s="7">
        <v>45723</v>
      </c>
      <c r="C9" s="5">
        <v>39367</v>
      </c>
      <c r="D9" s="7" t="s">
        <v>16</v>
      </c>
      <c r="F9" s="5" t="s">
        <v>66</v>
      </c>
      <c r="G9" s="5" t="s">
        <v>4</v>
      </c>
      <c r="H9" s="5" t="s">
        <v>2</v>
      </c>
      <c r="I9" s="5" t="s">
        <v>5</v>
      </c>
      <c r="J9" s="5" t="str">
        <f t="shared" ref="J9:J33" si="3">_xlfn.CONCAT(F9,"_",G9)</f>
        <v>KL0910_c002</v>
      </c>
      <c r="K9" s="5" t="str">
        <f t="shared" ref="K9:L9" si="4">_xlfn.CONCAT(J9,"_",H9)</f>
        <v>KL0910_c002_a1</v>
      </c>
      <c r="L9" s="5" t="str">
        <f t="shared" si="4"/>
        <v>KL0910_c002_a1_FIB</v>
      </c>
      <c r="M9" s="5" t="s">
        <v>341</v>
      </c>
      <c r="O9" s="5" t="s">
        <v>506</v>
      </c>
      <c r="P9" s="5">
        <v>266</v>
      </c>
      <c r="Q9" s="5" t="str">
        <f t="shared" si="2"/>
        <v>\KL0910_c002_266</v>
      </c>
      <c r="R9" s="5" t="s">
        <v>568</v>
      </c>
      <c r="S9" s="5" t="s">
        <v>495</v>
      </c>
      <c r="T9" s="5" t="s">
        <v>496</v>
      </c>
      <c r="U9" s="5">
        <v>2</v>
      </c>
      <c r="V9" s="5">
        <v>57428</v>
      </c>
      <c r="W9" s="5">
        <v>272.96300000000002</v>
      </c>
      <c r="X9" s="5">
        <v>267.87400000000002</v>
      </c>
      <c r="Y9" s="5">
        <v>143.49100000000001</v>
      </c>
      <c r="AD9" s="5" t="s">
        <v>498</v>
      </c>
      <c r="AH9" s="5" t="s">
        <v>499</v>
      </c>
      <c r="AI9" s="5" t="s">
        <v>497</v>
      </c>
    </row>
    <row r="10" spans="1:35" s="5" customFormat="1" x14ac:dyDescent="0.2">
      <c r="A10" s="5" t="s">
        <v>42</v>
      </c>
      <c r="B10" s="7">
        <v>45723</v>
      </c>
      <c r="C10" s="5">
        <v>39640</v>
      </c>
      <c r="D10" s="7" t="s">
        <v>16</v>
      </c>
      <c r="F10" s="5" t="s">
        <v>66</v>
      </c>
      <c r="G10" s="5" t="s">
        <v>4</v>
      </c>
      <c r="H10" s="5" t="s">
        <v>2</v>
      </c>
      <c r="I10" s="5" t="s">
        <v>7</v>
      </c>
      <c r="J10" s="5" t="str">
        <f t="shared" si="3"/>
        <v>KL0910_c002</v>
      </c>
      <c r="K10" s="5" t="str">
        <f t="shared" ref="K10:L10" si="5">_xlfn.CONCAT(J10,"_",H10)</f>
        <v>KL0910_c002_a1</v>
      </c>
      <c r="L10" s="5" t="str">
        <f t="shared" si="5"/>
        <v>KL0910_c002_a1_FIC</v>
      </c>
      <c r="M10" s="5" t="s">
        <v>341</v>
      </c>
      <c r="O10" s="5" t="s">
        <v>506</v>
      </c>
      <c r="P10" s="5">
        <v>266</v>
      </c>
      <c r="Q10" s="5" t="str">
        <f t="shared" si="2"/>
        <v>\KL0910_c002_266</v>
      </c>
      <c r="R10" s="5" t="s">
        <v>568</v>
      </c>
      <c r="S10" s="5" t="s">
        <v>495</v>
      </c>
      <c r="T10" s="5" t="s">
        <v>496</v>
      </c>
      <c r="U10" s="5">
        <v>3</v>
      </c>
      <c r="V10" s="5">
        <v>314974</v>
      </c>
      <c r="W10" s="5">
        <v>703.01499999999999</v>
      </c>
      <c r="X10" s="5">
        <v>570.45299999999997</v>
      </c>
      <c r="Y10" s="5">
        <v>24.172999999999998</v>
      </c>
      <c r="AD10" s="5" t="s">
        <v>498</v>
      </c>
      <c r="AE10" s="5" t="s">
        <v>500</v>
      </c>
      <c r="AF10" s="5" t="s">
        <v>500</v>
      </c>
      <c r="AH10" s="5" t="s">
        <v>499</v>
      </c>
      <c r="AI10" s="5" t="s">
        <v>497</v>
      </c>
    </row>
    <row r="11" spans="1:35" s="5" customFormat="1" x14ac:dyDescent="0.2">
      <c r="A11" s="5" t="s">
        <v>43</v>
      </c>
      <c r="B11" s="7">
        <v>45723</v>
      </c>
      <c r="C11" s="5">
        <v>39910</v>
      </c>
      <c r="D11" s="7" t="s">
        <v>16</v>
      </c>
      <c r="F11" s="5" t="s">
        <v>66</v>
      </c>
      <c r="G11" s="5" t="s">
        <v>4</v>
      </c>
      <c r="H11" s="5" t="s">
        <v>2</v>
      </c>
      <c r="I11" s="5" t="s">
        <v>8</v>
      </c>
      <c r="J11" s="5" t="str">
        <f t="shared" si="3"/>
        <v>KL0910_c002</v>
      </c>
      <c r="K11" s="5" t="str">
        <f t="shared" ref="K11:L11" si="6">_xlfn.CONCAT(J11,"_",H11)</f>
        <v>KL0910_c002_a1</v>
      </c>
      <c r="L11" s="5" t="str">
        <f t="shared" si="6"/>
        <v>KL0910_c002_a1_FID</v>
      </c>
      <c r="M11" s="5" t="s">
        <v>341</v>
      </c>
      <c r="O11" s="5" t="s">
        <v>506</v>
      </c>
      <c r="P11" s="5">
        <v>266</v>
      </c>
      <c r="Q11" s="5" t="str">
        <f t="shared" si="2"/>
        <v>\KL0910_c002_266</v>
      </c>
      <c r="R11" s="5" t="s">
        <v>568</v>
      </c>
      <c r="S11" s="5" t="s">
        <v>495</v>
      </c>
      <c r="T11" s="5" t="s">
        <v>496</v>
      </c>
      <c r="AD11" s="5" t="s">
        <v>498</v>
      </c>
      <c r="AI11" s="5" t="s">
        <v>502</v>
      </c>
    </row>
    <row r="12" spans="1:35" s="5" customFormat="1" x14ac:dyDescent="0.2">
      <c r="A12" s="5" t="s">
        <v>44</v>
      </c>
      <c r="B12" s="7">
        <v>45723</v>
      </c>
      <c r="C12" s="5">
        <v>40316</v>
      </c>
      <c r="D12" s="7" t="s">
        <v>16</v>
      </c>
      <c r="F12" s="5" t="s">
        <v>66</v>
      </c>
      <c r="G12" s="5" t="s">
        <v>4</v>
      </c>
      <c r="H12" s="5" t="s">
        <v>2</v>
      </c>
      <c r="I12" s="5" t="s">
        <v>9</v>
      </c>
      <c r="J12" s="5" t="str">
        <f t="shared" si="3"/>
        <v>KL0910_c002</v>
      </c>
      <c r="K12" s="5" t="str">
        <f t="shared" ref="K12:L12" si="7">_xlfn.CONCAT(J12,"_",H12)</f>
        <v>KL0910_c002_a1</v>
      </c>
      <c r="L12" s="5" t="str">
        <f t="shared" si="7"/>
        <v>KL0910_c002_a1_FIE</v>
      </c>
      <c r="M12" s="5" t="s">
        <v>341</v>
      </c>
      <c r="O12" s="5" t="s">
        <v>506</v>
      </c>
      <c r="P12" s="5">
        <v>266</v>
      </c>
      <c r="Q12" s="5" t="str">
        <f t="shared" si="2"/>
        <v>\KL0910_c002_266</v>
      </c>
      <c r="R12" s="5" t="s">
        <v>568</v>
      </c>
      <c r="S12" s="5" t="s">
        <v>495</v>
      </c>
      <c r="T12" s="5" t="s">
        <v>496</v>
      </c>
      <c r="U12" s="5">
        <v>4</v>
      </c>
      <c r="V12" s="5">
        <v>228932</v>
      </c>
      <c r="W12" s="5">
        <v>599.39499999999998</v>
      </c>
      <c r="X12" s="5">
        <v>486.3</v>
      </c>
      <c r="Y12" s="5">
        <v>19.875</v>
      </c>
      <c r="AD12" s="5" t="s">
        <v>498</v>
      </c>
      <c r="AE12" s="5" t="s">
        <v>500</v>
      </c>
      <c r="AF12" s="5" t="s">
        <v>500</v>
      </c>
      <c r="AH12" s="5" t="s">
        <v>499</v>
      </c>
      <c r="AI12" s="5" t="s">
        <v>497</v>
      </c>
    </row>
    <row r="13" spans="1:35" s="5" customFormat="1" x14ac:dyDescent="0.2">
      <c r="A13" s="5" t="s">
        <v>45</v>
      </c>
      <c r="B13" s="7">
        <v>45723</v>
      </c>
      <c r="C13" s="5">
        <v>42586</v>
      </c>
      <c r="D13" s="7" t="s">
        <v>16</v>
      </c>
      <c r="F13" s="5" t="s">
        <v>66</v>
      </c>
      <c r="G13" s="5" t="s">
        <v>4</v>
      </c>
      <c r="H13" s="5" t="s">
        <v>2</v>
      </c>
      <c r="I13" s="5" t="s">
        <v>67</v>
      </c>
      <c r="J13" s="5" t="str">
        <f t="shared" si="3"/>
        <v>KL0910_c002</v>
      </c>
      <c r="K13" s="5" t="str">
        <f t="shared" ref="K13:L13" si="8">_xlfn.CONCAT(J13,"_",H13)</f>
        <v>KL0910_c002_a1</v>
      </c>
      <c r="L13" s="5" t="str">
        <f t="shared" si="8"/>
        <v>KL0910_c002_a1_FIG</v>
      </c>
      <c r="M13" s="5" t="s">
        <v>341</v>
      </c>
      <c r="O13" s="5" t="s">
        <v>506</v>
      </c>
      <c r="P13" s="5">
        <v>266</v>
      </c>
      <c r="Q13" s="5" t="str">
        <f t="shared" si="2"/>
        <v>\KL0910_c002_266</v>
      </c>
      <c r="R13" s="5" t="s">
        <v>568</v>
      </c>
      <c r="S13" s="5" t="s">
        <v>495</v>
      </c>
      <c r="T13" s="5" t="s">
        <v>496</v>
      </c>
      <c r="U13" s="5">
        <v>2</v>
      </c>
      <c r="V13" s="5">
        <v>841410</v>
      </c>
      <c r="W13" s="5">
        <v>1107.942</v>
      </c>
      <c r="X13" s="5">
        <v>966.94299999999998</v>
      </c>
      <c r="Y13" s="5">
        <v>45.689</v>
      </c>
      <c r="AD13" s="5" t="s">
        <v>498</v>
      </c>
      <c r="AH13" s="5" t="s">
        <v>501</v>
      </c>
      <c r="AI13" s="5" t="s">
        <v>497</v>
      </c>
    </row>
    <row r="14" spans="1:35" s="5" customFormat="1" x14ac:dyDescent="0.2">
      <c r="A14" s="5" t="s">
        <v>46</v>
      </c>
      <c r="B14" s="7">
        <v>45723</v>
      </c>
      <c r="C14" s="5">
        <v>42924</v>
      </c>
      <c r="D14" s="7" t="s">
        <v>16</v>
      </c>
      <c r="F14" s="5" t="s">
        <v>66</v>
      </c>
      <c r="G14" s="5" t="s">
        <v>4</v>
      </c>
      <c r="H14" s="5" t="s">
        <v>2</v>
      </c>
      <c r="I14" s="5" t="s">
        <v>68</v>
      </c>
      <c r="J14" s="5" t="str">
        <f t="shared" si="3"/>
        <v>KL0910_c002</v>
      </c>
      <c r="K14" s="5" t="str">
        <f t="shared" ref="K14:L14" si="9">_xlfn.CONCAT(J14,"_",H14)</f>
        <v>KL0910_c002_a1</v>
      </c>
      <c r="L14" s="5" t="str">
        <f t="shared" si="9"/>
        <v>KL0910_c002_a1_FIH</v>
      </c>
      <c r="M14" s="5" t="s">
        <v>341</v>
      </c>
      <c r="O14" s="5" t="s">
        <v>506</v>
      </c>
      <c r="P14" s="5">
        <v>266</v>
      </c>
      <c r="Q14" s="5" t="str">
        <f t="shared" si="2"/>
        <v>\KL0910_c002_266</v>
      </c>
      <c r="R14" s="5" t="s">
        <v>568</v>
      </c>
      <c r="S14" s="5" t="s">
        <v>495</v>
      </c>
      <c r="T14" s="5" t="s">
        <v>496</v>
      </c>
      <c r="U14" s="5">
        <v>4</v>
      </c>
      <c r="V14" s="5">
        <v>177668</v>
      </c>
      <c r="W14" s="5">
        <v>509.11399999999998</v>
      </c>
      <c r="X14" s="5">
        <v>444.32900000000001</v>
      </c>
      <c r="Y14" s="5">
        <v>31.963000000000001</v>
      </c>
      <c r="AD14" s="5" t="s">
        <v>498</v>
      </c>
      <c r="AE14" s="5" t="s">
        <v>500</v>
      </c>
      <c r="AH14" s="5" t="s">
        <v>499</v>
      </c>
      <c r="AI14" s="5" t="s">
        <v>497</v>
      </c>
    </row>
    <row r="15" spans="1:35" s="5" customFormat="1" x14ac:dyDescent="0.2">
      <c r="A15" s="5" t="s">
        <v>47</v>
      </c>
      <c r="B15" s="7">
        <v>45723</v>
      </c>
      <c r="C15" s="5">
        <v>45479</v>
      </c>
      <c r="D15" s="7" t="s">
        <v>16</v>
      </c>
      <c r="F15" s="5" t="s">
        <v>66</v>
      </c>
      <c r="G15" s="5" t="s">
        <v>4</v>
      </c>
      <c r="H15" s="5" t="s">
        <v>2</v>
      </c>
      <c r="I15" s="5" t="s">
        <v>68</v>
      </c>
      <c r="J15" s="5" t="str">
        <f t="shared" si="3"/>
        <v>KL0910_c002</v>
      </c>
      <c r="K15" s="5" t="str">
        <f t="shared" ref="K15:L15" si="10">_xlfn.CONCAT(J15,"_",H15)</f>
        <v>KL0910_c002_a1</v>
      </c>
      <c r="L15" s="5" t="str">
        <f t="shared" si="10"/>
        <v>KL0910_c002_a1_FIH</v>
      </c>
      <c r="M15" s="5" t="s">
        <v>341</v>
      </c>
      <c r="O15" s="5" t="s">
        <v>506</v>
      </c>
      <c r="P15" s="5">
        <v>266</v>
      </c>
      <c r="Q15" s="5" t="str">
        <f t="shared" si="2"/>
        <v>\KL0910_c002_266</v>
      </c>
      <c r="R15" s="5" t="s">
        <v>568</v>
      </c>
      <c r="S15" s="5" t="s">
        <v>495</v>
      </c>
      <c r="T15" s="5" t="s">
        <v>496</v>
      </c>
      <c r="U15" s="5">
        <v>4</v>
      </c>
      <c r="V15" s="5">
        <v>177668</v>
      </c>
      <c r="W15" s="5">
        <v>509.11399999999998</v>
      </c>
      <c r="X15" s="5">
        <v>444.32900000000001</v>
      </c>
      <c r="Y15" s="5">
        <v>31.963000000000001</v>
      </c>
      <c r="AD15" s="5" t="s">
        <v>498</v>
      </c>
      <c r="AE15" s="5" t="s">
        <v>500</v>
      </c>
      <c r="AH15" s="5" t="s">
        <v>499</v>
      </c>
      <c r="AI15" s="5" t="s">
        <v>497</v>
      </c>
    </row>
    <row r="16" spans="1:35" s="5" customFormat="1" x14ac:dyDescent="0.2">
      <c r="A16" s="5" t="s">
        <v>48</v>
      </c>
      <c r="B16" s="7">
        <v>45723</v>
      </c>
      <c r="C16" s="5">
        <v>45853</v>
      </c>
      <c r="D16" s="7" t="s">
        <v>16</v>
      </c>
      <c r="F16" s="5" t="s">
        <v>66</v>
      </c>
      <c r="G16" s="5" t="s">
        <v>4</v>
      </c>
      <c r="H16" s="5" t="s">
        <v>2</v>
      </c>
      <c r="I16" s="5" t="s">
        <v>68</v>
      </c>
      <c r="J16" s="5" t="str">
        <f t="shared" si="3"/>
        <v>KL0910_c002</v>
      </c>
      <c r="K16" s="5" t="str">
        <f t="shared" ref="K16:L16" si="11">_xlfn.CONCAT(J16,"_",H16)</f>
        <v>KL0910_c002_a1</v>
      </c>
      <c r="L16" s="5" t="str">
        <f t="shared" si="11"/>
        <v>KL0910_c002_a1_FIH</v>
      </c>
      <c r="M16" s="5" t="s">
        <v>341</v>
      </c>
      <c r="O16" s="5" t="s">
        <v>506</v>
      </c>
      <c r="P16" s="5">
        <v>266</v>
      </c>
      <c r="Q16" s="5" t="str">
        <f t="shared" si="2"/>
        <v>\KL0910_c002_266</v>
      </c>
      <c r="R16" s="5" t="s">
        <v>568</v>
      </c>
      <c r="S16" s="5" t="s">
        <v>495</v>
      </c>
      <c r="T16" s="5" t="s">
        <v>496</v>
      </c>
      <c r="U16" s="5">
        <v>4</v>
      </c>
      <c r="V16" s="5">
        <v>177668</v>
      </c>
      <c r="W16" s="5">
        <v>509.11399999999998</v>
      </c>
      <c r="X16" s="5">
        <v>444.32900000000001</v>
      </c>
      <c r="Y16" s="5">
        <v>31.963000000000001</v>
      </c>
      <c r="AD16" s="5" t="s">
        <v>498</v>
      </c>
      <c r="AE16" s="5" t="s">
        <v>500</v>
      </c>
      <c r="AH16" s="5" t="s">
        <v>499</v>
      </c>
      <c r="AI16" s="5" t="s">
        <v>497</v>
      </c>
    </row>
    <row r="17" spans="1:34" s="5" customFormat="1" x14ac:dyDescent="0.2">
      <c r="A17" s="5" t="s">
        <v>49</v>
      </c>
      <c r="B17" s="7">
        <v>45723</v>
      </c>
      <c r="C17" s="5">
        <v>46631</v>
      </c>
      <c r="D17" s="7" t="s">
        <v>16</v>
      </c>
      <c r="F17" s="5" t="s">
        <v>66</v>
      </c>
      <c r="G17" s="5" t="s">
        <v>6</v>
      </c>
      <c r="H17" s="5" t="s">
        <v>2</v>
      </c>
      <c r="I17" s="5" t="s">
        <v>3</v>
      </c>
      <c r="J17" s="5" t="str">
        <f t="shared" si="3"/>
        <v>KL0910_c003</v>
      </c>
      <c r="K17" s="5" t="str">
        <f t="shared" ref="K17:L17" si="12">_xlfn.CONCAT(J17,"_",H17)</f>
        <v>KL0910_c003_a1</v>
      </c>
      <c r="L17" s="5" t="str">
        <f t="shared" si="12"/>
        <v>KL0910_c003_a1_FIA</v>
      </c>
      <c r="M17" s="5" t="s">
        <v>342</v>
      </c>
      <c r="O17" s="5" t="s">
        <v>507</v>
      </c>
      <c r="P17" s="5">
        <v>205</v>
      </c>
      <c r="Q17" s="5" t="str">
        <f t="shared" si="2"/>
        <v>\KL0910_c003_205</v>
      </c>
      <c r="R17" s="5" t="s">
        <v>568</v>
      </c>
      <c r="S17" s="5" t="s">
        <v>495</v>
      </c>
      <c r="T17" s="5" t="s">
        <v>504</v>
      </c>
      <c r="U17" s="5">
        <v>5</v>
      </c>
      <c r="V17" s="5">
        <v>16185</v>
      </c>
      <c r="W17" s="5">
        <v>145.63399999999999</v>
      </c>
      <c r="X17" s="5">
        <v>141.501</v>
      </c>
      <c r="Y17" s="5">
        <v>42.468000000000004</v>
      </c>
      <c r="AF17" s="5" t="s">
        <v>500</v>
      </c>
      <c r="AH17" s="5" t="s">
        <v>503</v>
      </c>
    </row>
    <row r="18" spans="1:34" s="5" customFormat="1" x14ac:dyDescent="0.2">
      <c r="A18" s="5" t="s">
        <v>50</v>
      </c>
      <c r="B18" s="7">
        <v>45723</v>
      </c>
      <c r="C18" s="5">
        <v>47111</v>
      </c>
      <c r="D18" s="7" t="s">
        <v>16</v>
      </c>
      <c r="F18" s="5" t="s">
        <v>66</v>
      </c>
      <c r="G18" s="5" t="s">
        <v>6</v>
      </c>
      <c r="H18" s="5" t="s">
        <v>2</v>
      </c>
      <c r="I18" s="5" t="s">
        <v>5</v>
      </c>
      <c r="J18" s="5" t="str">
        <f t="shared" si="3"/>
        <v>KL0910_c003</v>
      </c>
      <c r="K18" s="5" t="str">
        <f t="shared" ref="K18:L18" si="13">_xlfn.CONCAT(J18,"_",H18)</f>
        <v>KL0910_c003_a1</v>
      </c>
      <c r="L18" s="5" t="str">
        <f t="shared" si="13"/>
        <v>KL0910_c003_a1_FIB</v>
      </c>
      <c r="M18" s="5" t="s">
        <v>342</v>
      </c>
      <c r="O18" s="5" t="s">
        <v>507</v>
      </c>
      <c r="P18" s="5">
        <v>205</v>
      </c>
      <c r="Q18" s="5" t="str">
        <f t="shared" si="2"/>
        <v>\KL0910_c003_205</v>
      </c>
      <c r="R18" s="5" t="s">
        <v>568</v>
      </c>
      <c r="S18" s="5" t="s">
        <v>495</v>
      </c>
      <c r="T18" s="5" t="s">
        <v>504</v>
      </c>
      <c r="U18" s="5">
        <v>6</v>
      </c>
      <c r="V18" s="5">
        <v>16109</v>
      </c>
      <c r="W18" s="5">
        <v>149.62200000000001</v>
      </c>
      <c r="X18" s="5">
        <v>137.083</v>
      </c>
      <c r="Y18" s="5">
        <v>85.495999999999995</v>
      </c>
      <c r="AF18" s="5" t="s">
        <v>500</v>
      </c>
      <c r="AH18" s="5" t="s">
        <v>503</v>
      </c>
    </row>
    <row r="19" spans="1:34" s="5" customFormat="1" x14ac:dyDescent="0.2">
      <c r="A19" s="5" t="s">
        <v>51</v>
      </c>
      <c r="B19" s="7">
        <v>45723</v>
      </c>
      <c r="C19" s="5">
        <v>47542</v>
      </c>
      <c r="D19" s="7" t="s">
        <v>16</v>
      </c>
      <c r="F19" s="5" t="s">
        <v>66</v>
      </c>
      <c r="G19" s="5" t="s">
        <v>6</v>
      </c>
      <c r="H19" s="5" t="s">
        <v>2</v>
      </c>
      <c r="I19" s="5" t="s">
        <v>7</v>
      </c>
      <c r="J19" s="5" t="str">
        <f t="shared" si="3"/>
        <v>KL0910_c003</v>
      </c>
      <c r="K19" s="5" t="str">
        <f t="shared" ref="K19:L19" si="14">_xlfn.CONCAT(J19,"_",H19)</f>
        <v>KL0910_c003_a1</v>
      </c>
      <c r="L19" s="5" t="str">
        <f t="shared" si="14"/>
        <v>KL0910_c003_a1_FIC</v>
      </c>
      <c r="M19" s="5" t="s">
        <v>342</v>
      </c>
      <c r="O19" s="5" t="s">
        <v>507</v>
      </c>
      <c r="P19" s="5">
        <v>205</v>
      </c>
      <c r="Q19" s="5" t="str">
        <f t="shared" si="2"/>
        <v>\KL0910_c003_205</v>
      </c>
      <c r="R19" s="5" t="s">
        <v>568</v>
      </c>
      <c r="S19" s="5" t="s">
        <v>495</v>
      </c>
      <c r="T19" s="5" t="s">
        <v>504</v>
      </c>
      <c r="U19" s="5">
        <v>1</v>
      </c>
      <c r="V19" s="5">
        <v>4609</v>
      </c>
      <c r="W19" s="5">
        <v>79.960999999999999</v>
      </c>
      <c r="X19" s="5">
        <v>73.39</v>
      </c>
      <c r="Y19" s="5">
        <v>88.108000000000004</v>
      </c>
      <c r="AH19" s="5" t="s">
        <v>503</v>
      </c>
    </row>
    <row r="20" spans="1:34" s="5" customFormat="1" x14ac:dyDescent="0.2">
      <c r="A20" s="5" t="s">
        <v>52</v>
      </c>
      <c r="B20" s="7">
        <v>45723</v>
      </c>
      <c r="C20" s="5">
        <v>48608</v>
      </c>
      <c r="D20" s="7" t="s">
        <v>16</v>
      </c>
      <c r="F20" s="5" t="s">
        <v>66</v>
      </c>
      <c r="G20" s="5" t="s">
        <v>10</v>
      </c>
      <c r="H20" s="5" t="s">
        <v>2</v>
      </c>
      <c r="I20" s="5" t="s">
        <v>3</v>
      </c>
      <c r="J20" s="5" t="str">
        <f t="shared" si="3"/>
        <v>KL0910_c005</v>
      </c>
      <c r="K20" s="5" t="str">
        <f t="shared" ref="K20:L20" si="15">_xlfn.CONCAT(J20,"_",H20)</f>
        <v>KL0910_c005_a1</v>
      </c>
      <c r="L20" s="5" t="str">
        <f t="shared" si="15"/>
        <v>KL0910_c005_a1_FIA</v>
      </c>
      <c r="M20" s="5" t="s">
        <v>343</v>
      </c>
      <c r="O20" s="5" t="s">
        <v>508</v>
      </c>
      <c r="P20" s="5">
        <v>53</v>
      </c>
      <c r="Q20" s="5" t="str">
        <f t="shared" si="2"/>
        <v>\KL0910_c005_53</v>
      </c>
      <c r="R20" s="5" t="s">
        <v>568</v>
      </c>
      <c r="S20" s="5" t="s">
        <v>495</v>
      </c>
      <c r="T20" s="5" t="s">
        <v>504</v>
      </c>
      <c r="U20" s="5">
        <v>1</v>
      </c>
      <c r="V20" s="5">
        <v>4609</v>
      </c>
      <c r="W20" s="5">
        <v>79.960999999999999</v>
      </c>
      <c r="X20" s="5">
        <v>73.39</v>
      </c>
      <c r="Y20" s="5">
        <v>88.108000000000004</v>
      </c>
      <c r="AH20" s="5" t="s">
        <v>503</v>
      </c>
    </row>
    <row r="21" spans="1:34" s="5" customFormat="1" x14ac:dyDescent="0.2">
      <c r="A21" s="5" t="s">
        <v>53</v>
      </c>
      <c r="B21" s="7">
        <v>45723</v>
      </c>
      <c r="C21" s="5">
        <v>50900</v>
      </c>
      <c r="D21" s="7" t="s">
        <v>16</v>
      </c>
      <c r="F21" s="5" t="s">
        <v>66</v>
      </c>
      <c r="G21" s="5" t="s">
        <v>10</v>
      </c>
      <c r="H21" s="5" t="s">
        <v>2</v>
      </c>
      <c r="I21" s="5" t="s">
        <v>5</v>
      </c>
      <c r="J21" s="5" t="str">
        <f t="shared" si="3"/>
        <v>KL0910_c005</v>
      </c>
      <c r="K21" s="5" t="str">
        <f t="shared" ref="K21:L21" si="16">_xlfn.CONCAT(J21,"_",H21)</f>
        <v>KL0910_c005_a1</v>
      </c>
      <c r="L21" s="5" t="str">
        <f t="shared" si="16"/>
        <v>KL0910_c005_a1_FIB</v>
      </c>
      <c r="M21" s="5" t="s">
        <v>343</v>
      </c>
      <c r="O21" s="5" t="s">
        <v>508</v>
      </c>
      <c r="P21" s="5">
        <v>53</v>
      </c>
      <c r="Q21" s="5" t="str">
        <f t="shared" si="2"/>
        <v>\KL0910_c005_53</v>
      </c>
      <c r="R21" s="5" t="s">
        <v>568</v>
      </c>
      <c r="S21" s="5" t="s">
        <v>495</v>
      </c>
      <c r="T21" s="5" t="s">
        <v>504</v>
      </c>
      <c r="U21" s="5">
        <v>2</v>
      </c>
      <c r="V21" s="5">
        <v>6838</v>
      </c>
      <c r="W21" s="5">
        <v>96.590999999999994</v>
      </c>
      <c r="X21" s="5">
        <v>90.137</v>
      </c>
      <c r="Y21" s="5">
        <v>54.95</v>
      </c>
      <c r="AH21" s="5" t="s">
        <v>503</v>
      </c>
    </row>
    <row r="22" spans="1:34" s="5" customFormat="1" x14ac:dyDescent="0.2">
      <c r="A22" s="5" t="s">
        <v>54</v>
      </c>
      <c r="B22" s="7">
        <v>45723</v>
      </c>
      <c r="C22" s="5">
        <v>51217</v>
      </c>
      <c r="D22" s="7" t="s">
        <v>16</v>
      </c>
      <c r="F22" s="5" t="s">
        <v>66</v>
      </c>
      <c r="G22" s="5" t="s">
        <v>10</v>
      </c>
      <c r="H22" s="5" t="s">
        <v>2</v>
      </c>
      <c r="I22" s="5" t="s">
        <v>5</v>
      </c>
      <c r="J22" s="5" t="str">
        <f t="shared" si="3"/>
        <v>KL0910_c005</v>
      </c>
      <c r="K22" s="5" t="str">
        <f t="shared" ref="K22:L22" si="17">_xlfn.CONCAT(J22,"_",H22)</f>
        <v>KL0910_c005_a1</v>
      </c>
      <c r="L22" s="5" t="str">
        <f t="shared" si="17"/>
        <v>KL0910_c005_a1_FIB</v>
      </c>
      <c r="M22" s="5" t="s">
        <v>343</v>
      </c>
      <c r="O22" s="5" t="s">
        <v>508</v>
      </c>
      <c r="P22" s="5">
        <v>53</v>
      </c>
      <c r="Q22" s="5" t="str">
        <f t="shared" si="2"/>
        <v>\KL0910_c005_53</v>
      </c>
      <c r="R22" s="5" t="s">
        <v>568</v>
      </c>
      <c r="S22" s="5" t="s">
        <v>495</v>
      </c>
      <c r="T22" s="5" t="s">
        <v>504</v>
      </c>
      <c r="U22" s="5">
        <v>2</v>
      </c>
      <c r="V22" s="5">
        <v>6838</v>
      </c>
      <c r="W22" s="5">
        <v>96.590999999999994</v>
      </c>
      <c r="X22" s="5">
        <v>90.137</v>
      </c>
      <c r="Y22" s="5">
        <v>54.95</v>
      </c>
      <c r="AH22" s="5" t="s">
        <v>499</v>
      </c>
    </row>
    <row r="23" spans="1:34" s="5" customFormat="1" x14ac:dyDescent="0.2">
      <c r="A23" s="5" t="s">
        <v>55</v>
      </c>
      <c r="B23" s="7">
        <v>45723</v>
      </c>
      <c r="C23" s="5">
        <v>51511</v>
      </c>
      <c r="D23" s="7" t="s">
        <v>16</v>
      </c>
      <c r="F23" s="5" t="s">
        <v>66</v>
      </c>
      <c r="G23" s="5" t="s">
        <v>10</v>
      </c>
      <c r="H23" s="5" t="s">
        <v>2</v>
      </c>
      <c r="I23" s="5" t="s">
        <v>5</v>
      </c>
      <c r="J23" s="5" t="str">
        <f t="shared" si="3"/>
        <v>KL0910_c005</v>
      </c>
      <c r="K23" s="5" t="str">
        <f t="shared" ref="K23:L23" si="18">_xlfn.CONCAT(J23,"_",H23)</f>
        <v>KL0910_c005_a1</v>
      </c>
      <c r="L23" s="5" t="str">
        <f t="shared" si="18"/>
        <v>KL0910_c005_a1_FIB</v>
      </c>
      <c r="M23" s="5" t="s">
        <v>343</v>
      </c>
      <c r="O23" s="5" t="s">
        <v>508</v>
      </c>
      <c r="P23" s="5">
        <v>53</v>
      </c>
      <c r="Q23" s="5" t="str">
        <f t="shared" si="2"/>
        <v>\KL0910_c005_53</v>
      </c>
      <c r="R23" s="5" t="s">
        <v>568</v>
      </c>
      <c r="S23" s="5" t="s">
        <v>495</v>
      </c>
      <c r="T23" s="5" t="s">
        <v>504</v>
      </c>
      <c r="U23" s="5">
        <v>2</v>
      </c>
      <c r="V23" s="5">
        <v>6838</v>
      </c>
      <c r="W23" s="5">
        <v>96.590999999999994</v>
      </c>
      <c r="X23" s="5">
        <v>90.137</v>
      </c>
      <c r="Y23" s="5">
        <v>54.95</v>
      </c>
      <c r="AH23" s="5" t="s">
        <v>499</v>
      </c>
    </row>
    <row r="24" spans="1:34" s="5" customFormat="1" x14ac:dyDescent="0.2">
      <c r="A24" s="5" t="s">
        <v>56</v>
      </c>
      <c r="B24" s="7">
        <v>45723</v>
      </c>
      <c r="C24" s="5">
        <v>52515</v>
      </c>
      <c r="D24" s="7" t="s">
        <v>16</v>
      </c>
      <c r="F24" s="5" t="s">
        <v>66</v>
      </c>
      <c r="G24" s="5" t="s">
        <v>10</v>
      </c>
      <c r="H24" s="5" t="s">
        <v>2</v>
      </c>
      <c r="I24" s="5" t="s">
        <v>7</v>
      </c>
      <c r="J24" s="5" t="str">
        <f t="shared" si="3"/>
        <v>KL0910_c005</v>
      </c>
      <c r="K24" s="5" t="str">
        <f t="shared" ref="K24:L24" si="19">_xlfn.CONCAT(J24,"_",H24)</f>
        <v>KL0910_c005_a1</v>
      </c>
      <c r="L24" s="5" t="str">
        <f t="shared" si="19"/>
        <v>KL0910_c005_a1_FIC</v>
      </c>
      <c r="M24" s="5" t="s">
        <v>343</v>
      </c>
      <c r="O24" s="5" t="s">
        <v>508</v>
      </c>
      <c r="P24" s="5">
        <v>53</v>
      </c>
      <c r="Q24" s="5" t="str">
        <f t="shared" si="2"/>
        <v>\KL0910_c005_53</v>
      </c>
      <c r="R24" s="5" t="s">
        <v>568</v>
      </c>
      <c r="S24" s="5" t="s">
        <v>495</v>
      </c>
      <c r="T24" s="5" t="s">
        <v>504</v>
      </c>
      <c r="U24" s="5">
        <v>3</v>
      </c>
      <c r="V24" s="5">
        <v>11990</v>
      </c>
      <c r="W24" s="5">
        <v>127.84099999999999</v>
      </c>
      <c r="X24" s="5">
        <v>119.41500000000001</v>
      </c>
      <c r="Y24" s="5">
        <v>135.584</v>
      </c>
      <c r="AH24" s="5" t="s">
        <v>499</v>
      </c>
    </row>
    <row r="25" spans="1:34" s="5" customFormat="1" x14ac:dyDescent="0.2">
      <c r="A25" s="5" t="s">
        <v>57</v>
      </c>
      <c r="B25" s="7">
        <v>45723</v>
      </c>
      <c r="C25" s="5">
        <v>52819</v>
      </c>
      <c r="D25" s="7" t="s">
        <v>16</v>
      </c>
      <c r="F25" s="5" t="s">
        <v>66</v>
      </c>
      <c r="G25" s="5" t="s">
        <v>10</v>
      </c>
      <c r="H25" s="5" t="s">
        <v>2</v>
      </c>
      <c r="I25" s="5" t="s">
        <v>8</v>
      </c>
      <c r="J25" s="5" t="str">
        <f t="shared" si="3"/>
        <v>KL0910_c005</v>
      </c>
      <c r="K25" s="5" t="str">
        <f t="shared" ref="K25:L25" si="20">_xlfn.CONCAT(J25,"_",H25)</f>
        <v>KL0910_c005_a1</v>
      </c>
      <c r="L25" s="5" t="str">
        <f t="shared" si="20"/>
        <v>KL0910_c005_a1_FID</v>
      </c>
      <c r="M25" s="5" t="s">
        <v>343</v>
      </c>
      <c r="O25" s="5" t="s">
        <v>508</v>
      </c>
      <c r="P25" s="5">
        <v>53</v>
      </c>
      <c r="Q25" s="5" t="str">
        <f t="shared" si="2"/>
        <v>\KL0910_c005_53</v>
      </c>
      <c r="R25" s="5" t="s">
        <v>568</v>
      </c>
      <c r="S25" s="5" t="s">
        <v>495</v>
      </c>
      <c r="T25" s="5" t="s">
        <v>504</v>
      </c>
      <c r="U25" s="5">
        <v>4</v>
      </c>
      <c r="V25" s="5">
        <v>10478</v>
      </c>
      <c r="W25" s="5">
        <v>119.44</v>
      </c>
      <c r="X25" s="5">
        <v>111.697</v>
      </c>
      <c r="Y25" s="5">
        <v>132.547</v>
      </c>
      <c r="AH25" s="5" t="s">
        <v>499</v>
      </c>
    </row>
    <row r="26" spans="1:34" s="5" customFormat="1" x14ac:dyDescent="0.2">
      <c r="A26" s="5" t="s">
        <v>58</v>
      </c>
      <c r="B26" s="7">
        <v>45723</v>
      </c>
      <c r="C26" s="5">
        <v>53232</v>
      </c>
      <c r="D26" s="7" t="s">
        <v>16</v>
      </c>
      <c r="F26" s="5" t="s">
        <v>66</v>
      </c>
      <c r="G26" s="5" t="s">
        <v>10</v>
      </c>
      <c r="H26" s="5" t="s">
        <v>2</v>
      </c>
      <c r="I26" s="5" t="s">
        <v>9</v>
      </c>
      <c r="J26" s="5" t="str">
        <f t="shared" si="3"/>
        <v>KL0910_c005</v>
      </c>
      <c r="K26" s="5" t="str">
        <f t="shared" ref="K26:L26" si="21">_xlfn.CONCAT(J26,"_",H26)</f>
        <v>KL0910_c005_a1</v>
      </c>
      <c r="L26" s="5" t="str">
        <f t="shared" si="21"/>
        <v>KL0910_c005_a1_FIE</v>
      </c>
      <c r="M26" s="5" t="s">
        <v>343</v>
      </c>
      <c r="O26" s="5" t="s">
        <v>508</v>
      </c>
      <c r="P26" s="5">
        <v>53</v>
      </c>
      <c r="Q26" s="5" t="str">
        <f t="shared" si="2"/>
        <v>\KL0910_c005_53</v>
      </c>
      <c r="R26" s="5" t="s">
        <v>568</v>
      </c>
      <c r="S26" s="5" t="s">
        <v>495</v>
      </c>
      <c r="T26" s="5" t="s">
        <v>504</v>
      </c>
      <c r="U26" s="5">
        <v>5</v>
      </c>
      <c r="V26" s="5">
        <v>16346</v>
      </c>
      <c r="W26" s="5">
        <v>149.30799999999999</v>
      </c>
      <c r="X26" s="5">
        <v>139.392</v>
      </c>
      <c r="Y26" s="5">
        <v>39.228000000000002</v>
      </c>
      <c r="AH26" s="5" t="s">
        <v>499</v>
      </c>
    </row>
    <row r="27" spans="1:34" s="5" customFormat="1" x14ac:dyDescent="0.2">
      <c r="A27" s="5" t="s">
        <v>59</v>
      </c>
      <c r="B27" s="7">
        <v>45723</v>
      </c>
      <c r="C27" s="5">
        <v>58020</v>
      </c>
      <c r="D27" s="7" t="s">
        <v>16</v>
      </c>
      <c r="F27" s="5" t="s">
        <v>66</v>
      </c>
      <c r="G27" s="5" t="s">
        <v>11</v>
      </c>
      <c r="H27" s="5" t="s">
        <v>2</v>
      </c>
      <c r="I27" s="5" t="s">
        <v>3</v>
      </c>
      <c r="J27" s="5" t="str">
        <f t="shared" si="3"/>
        <v>KL0910_c009</v>
      </c>
      <c r="K27" s="5" t="str">
        <f t="shared" ref="K27:L27" si="22">_xlfn.CONCAT(J27,"_",H27)</f>
        <v>KL0910_c009_a1</v>
      </c>
      <c r="L27" s="5" t="str">
        <f t="shared" si="22"/>
        <v>KL0910_c009_a1_FIA</v>
      </c>
      <c r="M27" s="5" t="s">
        <v>344</v>
      </c>
      <c r="O27" s="5" t="s">
        <v>509</v>
      </c>
      <c r="P27" s="5">
        <v>288</v>
      </c>
      <c r="Q27" s="5" t="str">
        <f t="shared" si="2"/>
        <v>\KL0910_c009_288</v>
      </c>
      <c r="R27" s="5" t="s">
        <v>568</v>
      </c>
      <c r="S27" s="5" t="s">
        <v>495</v>
      </c>
      <c r="T27" s="5" t="s">
        <v>496</v>
      </c>
      <c r="U27" s="5">
        <v>4</v>
      </c>
      <c r="V27" s="5">
        <v>59254</v>
      </c>
      <c r="W27" s="5">
        <v>276.39999999999998</v>
      </c>
      <c r="X27" s="5">
        <v>272.95499999999998</v>
      </c>
      <c r="Y27" s="5">
        <v>103.914</v>
      </c>
      <c r="AF27" s="5" t="s">
        <v>500</v>
      </c>
      <c r="AH27" s="5" t="s">
        <v>499</v>
      </c>
    </row>
    <row r="28" spans="1:34" s="5" customFormat="1" x14ac:dyDescent="0.2">
      <c r="A28" s="5" t="s">
        <v>60</v>
      </c>
      <c r="B28" s="7">
        <v>45723</v>
      </c>
      <c r="C28" s="5">
        <v>57420</v>
      </c>
      <c r="D28" s="7" t="s">
        <v>16</v>
      </c>
      <c r="F28" s="5" t="s">
        <v>66</v>
      </c>
      <c r="G28" s="5" t="s">
        <v>12</v>
      </c>
      <c r="H28" s="5" t="s">
        <v>2</v>
      </c>
      <c r="I28" s="5" t="s">
        <v>3</v>
      </c>
      <c r="J28" s="5" t="str">
        <f t="shared" si="3"/>
        <v>KL0910_c010</v>
      </c>
      <c r="K28" s="5" t="str">
        <f t="shared" ref="K28:L28" si="23">_xlfn.CONCAT(J28,"_",H28)</f>
        <v>KL0910_c010_a1</v>
      </c>
      <c r="L28" s="5" t="str">
        <f t="shared" si="23"/>
        <v>KL0910_c010_a1_FIA</v>
      </c>
      <c r="M28" s="5" t="s">
        <v>345</v>
      </c>
      <c r="R28" s="5" t="s">
        <v>569</v>
      </c>
      <c r="S28" s="5" t="s">
        <v>495</v>
      </c>
      <c r="T28" s="5" t="s">
        <v>496</v>
      </c>
      <c r="U28" s="5">
        <v>3</v>
      </c>
      <c r="V28" s="5">
        <v>8264</v>
      </c>
      <c r="W28" s="5">
        <v>113.741</v>
      </c>
      <c r="X28" s="5">
        <v>92.509</v>
      </c>
      <c r="Y28" s="5">
        <v>97.588999999999999</v>
      </c>
      <c r="AH28" s="5" t="s">
        <v>499</v>
      </c>
    </row>
    <row r="29" spans="1:34" s="5" customFormat="1" x14ac:dyDescent="0.2">
      <c r="A29" s="5" t="s">
        <v>61</v>
      </c>
      <c r="B29" s="7">
        <v>45723</v>
      </c>
      <c r="C29" s="5">
        <v>56012</v>
      </c>
      <c r="D29" s="7" t="s">
        <v>16</v>
      </c>
      <c r="F29" s="5" t="s">
        <v>66</v>
      </c>
      <c r="G29" s="5" t="s">
        <v>13</v>
      </c>
      <c r="H29" s="5" t="s">
        <v>2</v>
      </c>
      <c r="I29" s="5" t="s">
        <v>3</v>
      </c>
      <c r="J29" s="5" t="str">
        <f t="shared" si="3"/>
        <v>KL0910_c011</v>
      </c>
      <c r="K29" s="5" t="str">
        <f t="shared" ref="K29:L29" si="24">_xlfn.CONCAT(J29,"_",H29)</f>
        <v>KL0910_c011_a1</v>
      </c>
      <c r="L29" s="5" t="str">
        <f t="shared" si="24"/>
        <v>KL0910_c011_a1_FIA</v>
      </c>
      <c r="M29" s="5" t="s">
        <v>346</v>
      </c>
      <c r="O29" s="5" t="s">
        <v>510</v>
      </c>
      <c r="P29" s="5">
        <v>96</v>
      </c>
      <c r="Q29" s="5" t="str">
        <f t="shared" si="2"/>
        <v>\KL0910_c011_96</v>
      </c>
      <c r="R29" s="5" t="s">
        <v>570</v>
      </c>
      <c r="S29" s="5" t="s">
        <v>495</v>
      </c>
      <c r="T29" s="5" t="s">
        <v>504</v>
      </c>
      <c r="U29" s="5">
        <v>2</v>
      </c>
      <c r="V29" s="5">
        <v>3804</v>
      </c>
      <c r="W29" s="5">
        <v>72.938999999999993</v>
      </c>
      <c r="X29" s="5">
        <v>66.403000000000006</v>
      </c>
      <c r="Y29" s="5">
        <v>38.850999999999999</v>
      </c>
      <c r="AH29" s="5" t="s">
        <v>499</v>
      </c>
    </row>
    <row r="30" spans="1:34" s="5" customFormat="1" x14ac:dyDescent="0.2">
      <c r="A30" s="5" t="s">
        <v>62</v>
      </c>
      <c r="B30" s="7">
        <v>45723</v>
      </c>
      <c r="C30" s="5">
        <v>54264</v>
      </c>
      <c r="D30" s="7" t="s">
        <v>16</v>
      </c>
      <c r="F30" s="5" t="s">
        <v>66</v>
      </c>
      <c r="G30" s="5" t="s">
        <v>13</v>
      </c>
      <c r="H30" s="5" t="s">
        <v>2</v>
      </c>
      <c r="I30" s="5" t="s">
        <v>5</v>
      </c>
      <c r="J30" s="5" t="str">
        <f t="shared" si="3"/>
        <v>KL0910_c011</v>
      </c>
      <c r="K30" s="5" t="str">
        <f t="shared" ref="K30:L30" si="25">_xlfn.CONCAT(J30,"_",H30)</f>
        <v>KL0910_c011_a1</v>
      </c>
      <c r="L30" s="5" t="str">
        <f t="shared" si="25"/>
        <v>KL0910_c011_a1_FIB</v>
      </c>
      <c r="M30" s="5" t="s">
        <v>346</v>
      </c>
      <c r="O30" s="5" t="s">
        <v>510</v>
      </c>
      <c r="P30" s="5">
        <v>96</v>
      </c>
      <c r="Q30" s="5" t="str">
        <f t="shared" si="2"/>
        <v>\KL0910_c011_96</v>
      </c>
      <c r="R30" s="5" t="s">
        <v>570</v>
      </c>
      <c r="S30" s="5" t="s">
        <v>495</v>
      </c>
      <c r="T30" s="5" t="s">
        <v>504</v>
      </c>
      <c r="U30" s="5">
        <v>1</v>
      </c>
      <c r="V30" s="5">
        <v>2842</v>
      </c>
      <c r="W30" s="5">
        <v>63.152000000000001</v>
      </c>
      <c r="X30" s="5">
        <v>57.298999999999999</v>
      </c>
      <c r="Y30" s="5">
        <v>23.747</v>
      </c>
      <c r="AH30" s="5" t="s">
        <v>499</v>
      </c>
    </row>
    <row r="31" spans="1:34" s="5" customFormat="1" x14ac:dyDescent="0.2">
      <c r="A31" s="5" t="s">
        <v>63</v>
      </c>
      <c r="B31" s="7">
        <v>45723</v>
      </c>
      <c r="C31" s="5">
        <v>61565</v>
      </c>
      <c r="D31" s="7" t="s">
        <v>16</v>
      </c>
      <c r="F31" s="5" t="s">
        <v>66</v>
      </c>
      <c r="G31" s="5" t="s">
        <v>69</v>
      </c>
      <c r="H31" s="5" t="s">
        <v>2</v>
      </c>
      <c r="I31" s="5" t="s">
        <v>3</v>
      </c>
      <c r="J31" s="5" t="str">
        <f t="shared" si="3"/>
        <v>KL0910_c015</v>
      </c>
      <c r="K31" s="5" t="str">
        <f t="shared" ref="K31:L31" si="26">_xlfn.CONCAT(J31,"_",H31)</f>
        <v>KL0910_c015_a1</v>
      </c>
      <c r="L31" s="5" t="str">
        <f t="shared" si="26"/>
        <v>KL0910_c015_a1_FIA</v>
      </c>
      <c r="M31" s="5" t="s">
        <v>347</v>
      </c>
      <c r="O31" s="5" t="s">
        <v>511</v>
      </c>
      <c r="P31" s="5">
        <v>207</v>
      </c>
      <c r="Q31" s="5" t="str">
        <f t="shared" si="2"/>
        <v>\KL0910_c015_207</v>
      </c>
      <c r="R31" s="5" t="s">
        <v>571</v>
      </c>
      <c r="S31" s="5" t="s">
        <v>495</v>
      </c>
      <c r="T31" s="5" t="s">
        <v>496</v>
      </c>
      <c r="U31" s="5">
        <v>1</v>
      </c>
      <c r="V31" s="5">
        <v>137653</v>
      </c>
      <c r="W31" s="5">
        <v>437.02100000000002</v>
      </c>
      <c r="X31" s="5">
        <v>401.04500000000002</v>
      </c>
      <c r="Y31" s="5">
        <v>138.65600000000001</v>
      </c>
      <c r="AH31" s="5" t="s">
        <v>505</v>
      </c>
    </row>
    <row r="32" spans="1:34" s="5" customFormat="1" x14ac:dyDescent="0.2">
      <c r="A32" s="5" t="s">
        <v>64</v>
      </c>
      <c r="B32" s="7">
        <v>45723</v>
      </c>
      <c r="C32" s="5">
        <v>62606</v>
      </c>
      <c r="D32" s="7" t="s">
        <v>16</v>
      </c>
      <c r="F32" s="5" t="s">
        <v>66</v>
      </c>
      <c r="G32" s="5" t="s">
        <v>70</v>
      </c>
      <c r="H32" s="5" t="s">
        <v>2</v>
      </c>
      <c r="I32" s="5" t="s">
        <v>3</v>
      </c>
      <c r="J32" s="5" t="str">
        <f t="shared" si="3"/>
        <v>KL0910_c016(1)</v>
      </c>
      <c r="K32" s="5" t="str">
        <f t="shared" ref="K32:L32" si="27">_xlfn.CONCAT(J32,"_",H32)</f>
        <v>KL0910_c016(1)_a1</v>
      </c>
      <c r="L32" s="5" t="str">
        <f t="shared" si="27"/>
        <v>KL0910_c016(1)_a1_FIA</v>
      </c>
      <c r="M32" s="5" t="s">
        <v>348</v>
      </c>
      <c r="O32" s="5" t="s">
        <v>512</v>
      </c>
      <c r="P32" s="5">
        <v>249</v>
      </c>
      <c r="Q32" s="5" t="str">
        <f t="shared" si="2"/>
        <v>\KL0910_c016(1)_249</v>
      </c>
      <c r="R32" s="5" t="s">
        <v>568</v>
      </c>
      <c r="S32" s="5" t="s">
        <v>495</v>
      </c>
      <c r="T32" s="5" t="s">
        <v>504</v>
      </c>
      <c r="U32" s="5">
        <v>2</v>
      </c>
      <c r="V32" s="5">
        <v>9238</v>
      </c>
      <c r="W32" s="5">
        <v>118.066</v>
      </c>
      <c r="X32" s="5">
        <v>99.623999999999995</v>
      </c>
      <c r="Y32" s="5">
        <v>141.26</v>
      </c>
      <c r="AF32" s="5" t="s">
        <v>500</v>
      </c>
      <c r="AH32" s="5" t="s">
        <v>499</v>
      </c>
    </row>
    <row r="33" spans="1:35" s="5" customFormat="1" x14ac:dyDescent="0.2">
      <c r="A33" s="5" t="s">
        <v>65</v>
      </c>
      <c r="B33" s="7">
        <v>45723</v>
      </c>
      <c r="C33" s="5">
        <v>63189</v>
      </c>
      <c r="D33" s="7" t="s">
        <v>16</v>
      </c>
      <c r="F33" s="5" t="s">
        <v>66</v>
      </c>
      <c r="G33" s="5" t="s">
        <v>71</v>
      </c>
      <c r="H33" s="5" t="s">
        <v>2</v>
      </c>
      <c r="I33" s="5" t="s">
        <v>3</v>
      </c>
      <c r="J33" s="5" t="str">
        <f t="shared" si="3"/>
        <v>KL0910_c016(2)</v>
      </c>
      <c r="K33" s="5" t="str">
        <f t="shared" ref="K33:L33" si="28">_xlfn.CONCAT(J33,"_",H33)</f>
        <v>KL0910_c016(2)_a1</v>
      </c>
      <c r="L33" s="5" t="str">
        <f t="shared" si="28"/>
        <v>KL0910_c016(2)_a1_FIA</v>
      </c>
      <c r="M33" s="5" t="s">
        <v>349</v>
      </c>
      <c r="O33" s="5" t="s">
        <v>513</v>
      </c>
      <c r="P33" s="5">
        <v>265</v>
      </c>
      <c r="Q33" s="5" t="str">
        <f t="shared" si="2"/>
        <v>\KL0910_c016(2)_265</v>
      </c>
      <c r="R33" s="5" t="s">
        <v>568</v>
      </c>
      <c r="S33" s="5" t="s">
        <v>495</v>
      </c>
      <c r="T33" s="5" t="s">
        <v>504</v>
      </c>
      <c r="U33" s="5">
        <v>3</v>
      </c>
      <c r="V33" s="5">
        <v>26809</v>
      </c>
      <c r="W33" s="5">
        <v>196.477</v>
      </c>
      <c r="X33" s="5">
        <v>173.73099999999999</v>
      </c>
      <c r="Y33" s="5">
        <v>9.0990000000000002</v>
      </c>
      <c r="AH33" s="5" t="s">
        <v>499</v>
      </c>
    </row>
    <row r="34" spans="1:35" x14ac:dyDescent="0.2">
      <c r="A34" t="s">
        <v>72</v>
      </c>
      <c r="B34" s="1">
        <v>45733</v>
      </c>
      <c r="C34">
        <v>40079</v>
      </c>
      <c r="D34" s="1" t="s">
        <v>26</v>
      </c>
      <c r="F34" t="s">
        <v>23</v>
      </c>
      <c r="G34" t="s">
        <v>24</v>
      </c>
      <c r="I34">
        <v>4</v>
      </c>
      <c r="J34" t="s">
        <v>25</v>
      </c>
      <c r="K34" t="s">
        <v>25</v>
      </c>
      <c r="L34" t="str">
        <f>_xlfn.CONCAT(F34,"-",G34,"-",I34,"-end-",B34)</f>
        <v>FG04-A1-4-end-45733</v>
      </c>
    </row>
    <row r="35" spans="1:35" x14ac:dyDescent="0.2">
      <c r="A35" t="s">
        <v>73</v>
      </c>
      <c r="B35" s="1">
        <v>45733</v>
      </c>
      <c r="C35">
        <v>40640</v>
      </c>
      <c r="D35" s="1" t="s">
        <v>26</v>
      </c>
      <c r="F35" t="s">
        <v>23</v>
      </c>
      <c r="G35" t="s">
        <v>24</v>
      </c>
      <c r="I35">
        <v>4</v>
      </c>
      <c r="J35" t="s">
        <v>25</v>
      </c>
      <c r="K35" t="s">
        <v>25</v>
      </c>
      <c r="L35" t="str">
        <f t="shared" ref="L35:L36" si="29">_xlfn.CONCAT(F35,"-",G35,"-",I35,"-end-",B35)</f>
        <v>FG04-A1-4-end-45733</v>
      </c>
    </row>
    <row r="36" spans="1:35" x14ac:dyDescent="0.2">
      <c r="A36" t="s">
        <v>74</v>
      </c>
      <c r="B36" s="1">
        <v>45733</v>
      </c>
      <c r="C36">
        <v>40941</v>
      </c>
      <c r="D36" s="1" t="s">
        <v>26</v>
      </c>
      <c r="F36" t="s">
        <v>23</v>
      </c>
      <c r="G36" t="s">
        <v>24</v>
      </c>
      <c r="I36">
        <v>4</v>
      </c>
      <c r="J36" t="s">
        <v>25</v>
      </c>
      <c r="K36" t="s">
        <v>25</v>
      </c>
      <c r="L36" t="str">
        <f t="shared" si="29"/>
        <v>FG04-A1-4-end-45733</v>
      </c>
    </row>
    <row r="37" spans="1:35" s="5" customFormat="1" x14ac:dyDescent="0.2">
      <c r="A37" s="5" t="s">
        <v>75</v>
      </c>
      <c r="B37" s="7">
        <v>45733</v>
      </c>
      <c r="C37" s="5">
        <v>64305</v>
      </c>
      <c r="F37" s="5" t="s">
        <v>131</v>
      </c>
      <c r="G37" s="5" t="s">
        <v>132</v>
      </c>
      <c r="H37" s="5" t="s">
        <v>2</v>
      </c>
      <c r="I37" s="5" t="s">
        <v>3</v>
      </c>
      <c r="J37" s="5" t="str">
        <f t="shared" ref="J37" si="30">_xlfn.CONCAT(F37,"_",G37)</f>
        <v>KL0908_c052</v>
      </c>
      <c r="K37" s="5" t="str">
        <f t="shared" ref="K37" si="31">_xlfn.CONCAT(J37,"_",H37)</f>
        <v>KL0908_c052_a1</v>
      </c>
      <c r="L37" s="5" t="str">
        <f t="shared" ref="L37" si="32">_xlfn.CONCAT(K37,"_",I37)</f>
        <v>KL0908_c052_a1_FIA</v>
      </c>
      <c r="M37" s="5" t="s">
        <v>359</v>
      </c>
      <c r="O37" s="5" t="s">
        <v>514</v>
      </c>
      <c r="P37" s="5">
        <v>253</v>
      </c>
      <c r="Q37" s="5" t="str">
        <f t="shared" ref="Q37:Q53" si="33">_xlfn.CONCAT(O37,"_",P37)</f>
        <v>\KL0908_c052_253</v>
      </c>
      <c r="R37" s="5" t="s">
        <v>570</v>
      </c>
      <c r="S37" s="5" t="s">
        <v>495</v>
      </c>
      <c r="T37" s="5" t="s">
        <v>504</v>
      </c>
      <c r="U37" s="5">
        <v>1</v>
      </c>
      <c r="V37" s="5">
        <v>118800</v>
      </c>
      <c r="W37" s="5">
        <v>413.327</v>
      </c>
      <c r="X37" s="5">
        <v>365.959</v>
      </c>
      <c r="Y37" s="5">
        <v>37.543999999999997</v>
      </c>
      <c r="AB37" s="5">
        <v>50</v>
      </c>
      <c r="AH37" s="5" t="s">
        <v>499</v>
      </c>
    </row>
    <row r="38" spans="1:35" s="5" customFormat="1" x14ac:dyDescent="0.2">
      <c r="A38" s="5" t="s">
        <v>76</v>
      </c>
      <c r="B38" s="7">
        <v>45733</v>
      </c>
      <c r="C38" s="5">
        <v>63895</v>
      </c>
      <c r="F38" s="5" t="s">
        <v>131</v>
      </c>
      <c r="G38" s="5" t="s">
        <v>132</v>
      </c>
      <c r="H38" s="5" t="s">
        <v>133</v>
      </c>
      <c r="I38" s="5" t="s">
        <v>7</v>
      </c>
      <c r="J38" s="5" t="str">
        <f t="shared" ref="J38:J55" si="34">_xlfn.CONCAT(F38,"_",G38)</f>
        <v>KL0908_c052</v>
      </c>
      <c r="K38" s="5" t="str">
        <f t="shared" ref="K38:K55" si="35">_xlfn.CONCAT(J38,"_",H38)</f>
        <v>KL0908_c052_a2</v>
      </c>
      <c r="L38" s="5" t="str">
        <f t="shared" ref="L38:L55" si="36">_xlfn.CONCAT(K38,"_",I38)</f>
        <v>KL0908_c052_a2_FIC</v>
      </c>
      <c r="O38" s="5" t="s">
        <v>514</v>
      </c>
      <c r="P38" s="5">
        <v>253</v>
      </c>
      <c r="Q38" s="5" t="str">
        <f t="shared" si="33"/>
        <v>\KL0908_c052_253</v>
      </c>
      <c r="R38" s="5" t="s">
        <v>570</v>
      </c>
      <c r="S38" s="5" t="s">
        <v>495</v>
      </c>
      <c r="T38" s="5" t="s">
        <v>496</v>
      </c>
      <c r="U38" s="5">
        <v>3</v>
      </c>
      <c r="V38" s="5">
        <v>313026</v>
      </c>
      <c r="W38" s="5">
        <v>645.88199999999995</v>
      </c>
      <c r="X38" s="5">
        <v>617.07399999999996</v>
      </c>
      <c r="Y38" s="5">
        <v>170.249</v>
      </c>
      <c r="AB38" s="5">
        <v>50</v>
      </c>
      <c r="AD38" s="5" t="s">
        <v>500</v>
      </c>
      <c r="AE38" s="5" t="s">
        <v>500</v>
      </c>
      <c r="AF38" s="5" t="s">
        <v>498</v>
      </c>
      <c r="AH38" s="5" t="s">
        <v>501</v>
      </c>
      <c r="AI38" s="5" t="s">
        <v>596</v>
      </c>
    </row>
    <row r="39" spans="1:35" s="5" customFormat="1" x14ac:dyDescent="0.2">
      <c r="A39" s="5" t="s">
        <v>77</v>
      </c>
      <c r="B39" s="7">
        <v>45733</v>
      </c>
      <c r="C39" s="5">
        <v>63148</v>
      </c>
      <c r="F39" s="5" t="s">
        <v>131</v>
      </c>
      <c r="G39" s="5" t="s">
        <v>134</v>
      </c>
      <c r="H39" s="5" t="s">
        <v>2</v>
      </c>
      <c r="I39" s="5" t="s">
        <v>3</v>
      </c>
      <c r="J39" s="5" t="str">
        <f t="shared" si="34"/>
        <v>KL0908_c054</v>
      </c>
      <c r="K39" s="5" t="str">
        <f t="shared" si="35"/>
        <v>KL0908_c054_a1</v>
      </c>
      <c r="L39" s="5" t="str">
        <f t="shared" si="36"/>
        <v>KL0908_c054_a1_FIA</v>
      </c>
      <c r="M39" s="5" t="s">
        <v>360</v>
      </c>
      <c r="O39" s="5" t="s">
        <v>515</v>
      </c>
      <c r="P39" s="5">
        <v>39</v>
      </c>
      <c r="Q39" s="5" t="str">
        <f t="shared" si="33"/>
        <v>\KL0908_c054_39</v>
      </c>
      <c r="R39" s="5" t="s">
        <v>568</v>
      </c>
      <c r="S39" s="5" t="s">
        <v>495</v>
      </c>
      <c r="T39" s="5" t="s">
        <v>504</v>
      </c>
      <c r="U39" s="5">
        <v>4</v>
      </c>
      <c r="V39" s="5">
        <v>22824</v>
      </c>
      <c r="W39" s="5">
        <v>181.79300000000001</v>
      </c>
      <c r="X39" s="5">
        <v>159.85400000000001</v>
      </c>
      <c r="Y39" s="5">
        <v>67.275000000000006</v>
      </c>
      <c r="AH39" s="5" t="s">
        <v>503</v>
      </c>
      <c r="AI39" s="5" t="s">
        <v>598</v>
      </c>
    </row>
    <row r="40" spans="1:35" s="5" customFormat="1" x14ac:dyDescent="0.2">
      <c r="A40" s="5" t="s">
        <v>78</v>
      </c>
      <c r="B40" s="7">
        <v>45733</v>
      </c>
      <c r="C40" s="5">
        <v>62716</v>
      </c>
      <c r="F40" s="5" t="s">
        <v>131</v>
      </c>
      <c r="G40" s="5" t="s">
        <v>135</v>
      </c>
      <c r="H40" s="5" t="s">
        <v>2</v>
      </c>
      <c r="I40" s="5" t="s">
        <v>3</v>
      </c>
      <c r="J40" s="5" t="str">
        <f t="shared" si="34"/>
        <v>KL0908_c056(1)</v>
      </c>
      <c r="K40" s="5" t="str">
        <f t="shared" si="35"/>
        <v>KL0908_c056(1)_a1</v>
      </c>
      <c r="L40" s="5" t="str">
        <f t="shared" si="36"/>
        <v>KL0908_c056(1)_a1_FIA</v>
      </c>
      <c r="M40" s="5" t="s">
        <v>361</v>
      </c>
      <c r="O40" s="5" t="s">
        <v>516</v>
      </c>
      <c r="P40" s="5">
        <v>60</v>
      </c>
      <c r="Q40" s="5" t="str">
        <f t="shared" si="33"/>
        <v>\KL0908_c056_60</v>
      </c>
      <c r="R40" s="5" t="s">
        <v>568</v>
      </c>
      <c r="S40" s="5" t="s">
        <v>495</v>
      </c>
      <c r="T40" s="5" t="s">
        <v>504</v>
      </c>
      <c r="U40" s="5">
        <v>5</v>
      </c>
      <c r="V40" s="5">
        <v>5568</v>
      </c>
      <c r="W40" s="5">
        <v>87.850999999999999</v>
      </c>
      <c r="X40" s="5">
        <v>80.697999999999993</v>
      </c>
      <c r="Y40" s="5">
        <v>154.49600000000001</v>
      </c>
      <c r="AH40" s="5" t="s">
        <v>503</v>
      </c>
      <c r="AI40" s="5" t="s">
        <v>599</v>
      </c>
    </row>
    <row r="41" spans="1:35" s="5" customFormat="1" x14ac:dyDescent="0.2">
      <c r="A41" s="5" t="s">
        <v>79</v>
      </c>
      <c r="B41" s="7">
        <v>45733</v>
      </c>
      <c r="C41" s="5">
        <v>60309</v>
      </c>
      <c r="F41" s="5" t="s">
        <v>131</v>
      </c>
      <c r="G41" s="5" t="s">
        <v>136</v>
      </c>
      <c r="H41" s="5" t="s">
        <v>2</v>
      </c>
      <c r="I41" s="5" t="s">
        <v>3</v>
      </c>
      <c r="J41" s="5" t="str">
        <f t="shared" si="34"/>
        <v>KL0908_c058</v>
      </c>
      <c r="K41" s="5" t="str">
        <f t="shared" si="35"/>
        <v>KL0908_c058_a1</v>
      </c>
      <c r="L41" s="5" t="str">
        <f t="shared" si="36"/>
        <v>KL0908_c058_a1_FIA</v>
      </c>
      <c r="M41" s="5" t="s">
        <v>362</v>
      </c>
      <c r="O41" s="5" t="s">
        <v>517</v>
      </c>
      <c r="P41" s="5">
        <v>1565</v>
      </c>
      <c r="Q41" s="5" t="str">
        <f t="shared" si="33"/>
        <v>\KL0908_c058_1565</v>
      </c>
      <c r="R41" s="5" t="s">
        <v>572</v>
      </c>
      <c r="S41" s="5" t="s">
        <v>495</v>
      </c>
      <c r="T41" s="5" t="s">
        <v>504</v>
      </c>
      <c r="U41" s="5">
        <v>1</v>
      </c>
      <c r="V41" s="5">
        <v>17794</v>
      </c>
      <c r="W41" s="5">
        <v>155.99100000000001</v>
      </c>
      <c r="X41" s="5">
        <v>145.24</v>
      </c>
      <c r="Y41" s="5">
        <v>25.681000000000001</v>
      </c>
      <c r="AD41" s="5" t="s">
        <v>498</v>
      </c>
      <c r="AE41" s="5" t="s">
        <v>498</v>
      </c>
      <c r="AH41" s="5" t="s">
        <v>499</v>
      </c>
      <c r="AI41" s="5" t="s">
        <v>600</v>
      </c>
    </row>
    <row r="42" spans="1:35" s="5" customFormat="1" x14ac:dyDescent="0.2">
      <c r="A42" s="5" t="s">
        <v>80</v>
      </c>
      <c r="B42" s="7">
        <v>45733</v>
      </c>
      <c r="C42" s="5">
        <v>58947</v>
      </c>
      <c r="F42" s="5" t="s">
        <v>131</v>
      </c>
      <c r="G42" s="5" t="s">
        <v>137</v>
      </c>
      <c r="H42" s="5" t="s">
        <v>2</v>
      </c>
      <c r="I42" s="5" t="s">
        <v>3</v>
      </c>
      <c r="J42" s="5" t="str">
        <f t="shared" si="34"/>
        <v>KL0908_c060</v>
      </c>
      <c r="K42" s="5" t="str">
        <f t="shared" si="35"/>
        <v>KL0908_c060_a1</v>
      </c>
      <c r="L42" s="5" t="str">
        <f>_xlfn.CONCAT(K42,"_",I42)</f>
        <v>KL0908_c060_a1_FIA</v>
      </c>
      <c r="M42" s="5" t="s">
        <v>445</v>
      </c>
      <c r="O42" s="5" t="s">
        <v>518</v>
      </c>
      <c r="P42" s="5">
        <v>431</v>
      </c>
      <c r="Q42" s="5" t="str">
        <f t="shared" si="33"/>
        <v>\KL0908_c060_431</v>
      </c>
      <c r="R42" s="5" t="s">
        <v>568</v>
      </c>
      <c r="S42" s="5" t="s">
        <v>495</v>
      </c>
      <c r="T42" s="5" t="s">
        <v>504</v>
      </c>
      <c r="U42" s="5">
        <v>1</v>
      </c>
      <c r="V42" s="5">
        <v>12005</v>
      </c>
      <c r="W42" s="5">
        <v>124.95399999999999</v>
      </c>
      <c r="X42" s="5">
        <v>122.327</v>
      </c>
      <c r="Y42" s="5">
        <v>143.11000000000001</v>
      </c>
      <c r="AH42" s="5" t="s">
        <v>503</v>
      </c>
    </row>
    <row r="43" spans="1:35" s="5" customFormat="1" x14ac:dyDescent="0.2">
      <c r="A43" s="5" t="s">
        <v>81</v>
      </c>
      <c r="B43" s="7">
        <v>45733</v>
      </c>
      <c r="C43" s="5">
        <v>59459</v>
      </c>
      <c r="F43" s="5" t="s">
        <v>131</v>
      </c>
      <c r="G43" s="5" t="s">
        <v>137</v>
      </c>
      <c r="H43" s="5" t="s">
        <v>2</v>
      </c>
      <c r="I43" s="5" t="s">
        <v>5</v>
      </c>
      <c r="J43" s="5" t="str">
        <f t="shared" si="34"/>
        <v>KL0908_c060</v>
      </c>
      <c r="K43" s="5" t="str">
        <f t="shared" si="35"/>
        <v>KL0908_c060_a1</v>
      </c>
      <c r="L43" s="5" t="str">
        <f t="shared" si="36"/>
        <v>KL0908_c060_a1_FIB</v>
      </c>
      <c r="M43" s="5" t="s">
        <v>445</v>
      </c>
      <c r="O43" s="5" t="s">
        <v>518</v>
      </c>
      <c r="P43" s="5">
        <v>431</v>
      </c>
      <c r="Q43" s="5" t="str">
        <f t="shared" si="33"/>
        <v>\KL0908_c060_431</v>
      </c>
      <c r="R43" s="5" t="s">
        <v>568</v>
      </c>
      <c r="S43" s="5" t="s">
        <v>495</v>
      </c>
      <c r="T43" s="5" t="s">
        <v>504</v>
      </c>
      <c r="U43" s="5">
        <v>2</v>
      </c>
      <c r="V43" s="5">
        <v>6339</v>
      </c>
      <c r="W43" s="5">
        <v>92.600999999999999</v>
      </c>
      <c r="X43" s="5">
        <v>87.159000000000006</v>
      </c>
      <c r="Y43" s="5">
        <v>112.627</v>
      </c>
      <c r="AG43" s="5" t="s">
        <v>498</v>
      </c>
      <c r="AH43" s="5" t="s">
        <v>503</v>
      </c>
      <c r="AI43" s="5" t="s">
        <v>601</v>
      </c>
    </row>
    <row r="44" spans="1:35" s="5" customFormat="1" x14ac:dyDescent="0.2">
      <c r="A44" s="5" t="s">
        <v>82</v>
      </c>
      <c r="B44" s="7">
        <v>45733</v>
      </c>
      <c r="C44" s="5">
        <v>59750</v>
      </c>
      <c r="F44" s="5" t="s">
        <v>131</v>
      </c>
      <c r="G44" s="5" t="s">
        <v>137</v>
      </c>
      <c r="H44" s="5" t="s">
        <v>2</v>
      </c>
      <c r="I44" s="5" t="s">
        <v>7</v>
      </c>
      <c r="J44" s="5" t="str">
        <f t="shared" si="34"/>
        <v>KL0908_c060</v>
      </c>
      <c r="K44" s="5" t="str">
        <f t="shared" si="35"/>
        <v>KL0908_c060_a1</v>
      </c>
      <c r="L44" s="5" t="str">
        <f t="shared" si="36"/>
        <v>KL0908_c060_a1_FIC</v>
      </c>
      <c r="M44" s="5" t="s">
        <v>445</v>
      </c>
      <c r="O44" s="5" t="s">
        <v>518</v>
      </c>
      <c r="P44" s="5">
        <v>431</v>
      </c>
      <c r="Q44" s="5" t="str">
        <f t="shared" si="33"/>
        <v>\KL0908_c060_431</v>
      </c>
      <c r="R44" s="5" t="s">
        <v>568</v>
      </c>
      <c r="S44" s="5" t="s">
        <v>495</v>
      </c>
      <c r="T44" s="5" t="s">
        <v>504</v>
      </c>
      <c r="U44" s="5">
        <v>3</v>
      </c>
      <c r="V44" s="5">
        <v>3243</v>
      </c>
      <c r="W44" s="5">
        <v>66.774000000000001</v>
      </c>
      <c r="X44" s="5">
        <v>61.837000000000003</v>
      </c>
      <c r="Y44" s="5">
        <v>101.143</v>
      </c>
      <c r="AH44" s="5" t="s">
        <v>503</v>
      </c>
    </row>
    <row r="45" spans="1:35" s="5" customFormat="1" x14ac:dyDescent="0.2">
      <c r="A45" s="5" t="s">
        <v>83</v>
      </c>
      <c r="B45" s="7">
        <v>45733</v>
      </c>
      <c r="C45" s="5">
        <v>58055</v>
      </c>
      <c r="F45" s="5" t="s">
        <v>131</v>
      </c>
      <c r="G45" s="5" t="s">
        <v>138</v>
      </c>
      <c r="H45" s="5" t="s">
        <v>2</v>
      </c>
      <c r="I45" s="5" t="s">
        <v>3</v>
      </c>
      <c r="J45" s="5" t="str">
        <f t="shared" si="34"/>
        <v>KL0908_c067</v>
      </c>
      <c r="K45" s="5" t="str">
        <f t="shared" si="35"/>
        <v>KL0908_c067_a1</v>
      </c>
      <c r="L45" s="5" t="str">
        <f t="shared" si="36"/>
        <v>KL0908_c067_a1_FIA</v>
      </c>
      <c r="M45" s="5" t="s">
        <v>363</v>
      </c>
      <c r="O45" s="5" t="s">
        <v>519</v>
      </c>
      <c r="P45" s="5">
        <v>66</v>
      </c>
      <c r="Q45" s="5" t="str">
        <f t="shared" si="33"/>
        <v>\KL0908_c067_66</v>
      </c>
      <c r="R45" s="5" t="s">
        <v>568</v>
      </c>
      <c r="S45" s="5" t="s">
        <v>495</v>
      </c>
      <c r="T45" s="5" t="s">
        <v>496</v>
      </c>
      <c r="U45" s="5">
        <v>1</v>
      </c>
      <c r="V45" s="5">
        <v>6962</v>
      </c>
      <c r="W45" s="5">
        <v>99.319000000000003</v>
      </c>
      <c r="X45" s="5">
        <v>89.251000000000005</v>
      </c>
      <c r="Y45" s="5">
        <v>136.49700000000001</v>
      </c>
      <c r="AH45" s="5" t="s">
        <v>503</v>
      </c>
      <c r="AI45" s="5" t="s">
        <v>602</v>
      </c>
    </row>
    <row r="46" spans="1:35" s="5" customFormat="1" x14ac:dyDescent="0.2">
      <c r="A46" s="5" t="s">
        <v>84</v>
      </c>
      <c r="B46" s="7">
        <v>45733</v>
      </c>
      <c r="C46" s="5">
        <v>55980</v>
      </c>
      <c r="F46" s="5" t="s">
        <v>131</v>
      </c>
      <c r="G46" s="5" t="s">
        <v>139</v>
      </c>
      <c r="H46" s="5" t="s">
        <v>2</v>
      </c>
      <c r="I46" s="5" t="s">
        <v>3</v>
      </c>
      <c r="J46" s="5" t="str">
        <f t="shared" si="34"/>
        <v>KL0908_c072</v>
      </c>
      <c r="K46" s="5" t="str">
        <f t="shared" si="35"/>
        <v>KL0908_c072_a1</v>
      </c>
      <c r="L46" s="5" t="str">
        <f t="shared" si="36"/>
        <v>KL0908_c072_a1_FIA</v>
      </c>
      <c r="M46" s="5" t="s">
        <v>364</v>
      </c>
      <c r="O46" s="5" t="s">
        <v>520</v>
      </c>
      <c r="P46" s="5">
        <v>41</v>
      </c>
      <c r="Q46" s="5" t="str">
        <f t="shared" si="33"/>
        <v>\KL0908_c072_41</v>
      </c>
      <c r="R46" s="5" t="s">
        <v>568</v>
      </c>
      <c r="S46" s="5" t="s">
        <v>495</v>
      </c>
      <c r="T46" s="5" t="s">
        <v>504</v>
      </c>
      <c r="U46" s="5">
        <v>1</v>
      </c>
      <c r="V46" s="5">
        <v>13776</v>
      </c>
      <c r="W46" s="5">
        <v>140.315</v>
      </c>
      <c r="X46" s="5">
        <v>125.006</v>
      </c>
      <c r="Y46" s="5">
        <v>159.99199999999999</v>
      </c>
      <c r="AH46" s="5" t="s">
        <v>505</v>
      </c>
    </row>
    <row r="47" spans="1:35" s="5" customFormat="1" x14ac:dyDescent="0.2">
      <c r="A47" s="5" t="s">
        <v>85</v>
      </c>
      <c r="B47" s="7">
        <v>45733</v>
      </c>
      <c r="C47" s="5">
        <v>56354</v>
      </c>
      <c r="F47" s="5" t="s">
        <v>131</v>
      </c>
      <c r="G47" s="5" t="s">
        <v>139</v>
      </c>
      <c r="H47" s="5" t="s">
        <v>2</v>
      </c>
      <c r="I47" s="5" t="s">
        <v>5</v>
      </c>
      <c r="J47" s="5" t="str">
        <f t="shared" si="34"/>
        <v>KL0908_c072</v>
      </c>
      <c r="K47" s="5" t="str">
        <f t="shared" si="35"/>
        <v>KL0908_c072_a1</v>
      </c>
      <c r="L47" s="5" t="str">
        <f t="shared" si="36"/>
        <v>KL0908_c072_a1_FIB</v>
      </c>
      <c r="M47" s="5" t="s">
        <v>364</v>
      </c>
      <c r="O47" s="5" t="s">
        <v>520</v>
      </c>
      <c r="P47" s="5">
        <v>41</v>
      </c>
      <c r="Q47" s="5" t="str">
        <f t="shared" si="33"/>
        <v>\KL0908_c072_41</v>
      </c>
      <c r="R47" s="5" t="s">
        <v>568</v>
      </c>
      <c r="S47" s="5" t="s">
        <v>495</v>
      </c>
      <c r="T47" s="5" t="s">
        <v>504</v>
      </c>
      <c r="U47" s="5">
        <v>2</v>
      </c>
      <c r="V47" s="5">
        <v>9967</v>
      </c>
      <c r="W47" s="5">
        <v>113.55</v>
      </c>
      <c r="X47" s="5">
        <v>111.76</v>
      </c>
      <c r="Y47" s="5">
        <v>153.94800000000001</v>
      </c>
      <c r="AH47" s="5" t="s">
        <v>505</v>
      </c>
    </row>
    <row r="48" spans="1:35" s="5" customFormat="1" x14ac:dyDescent="0.2">
      <c r="A48" s="5" t="s">
        <v>86</v>
      </c>
      <c r="B48" s="7">
        <v>45733</v>
      </c>
      <c r="C48" s="5">
        <v>44820</v>
      </c>
      <c r="F48" s="5" t="s">
        <v>66</v>
      </c>
      <c r="G48" s="5" t="s">
        <v>140</v>
      </c>
      <c r="H48" s="5" t="s">
        <v>2</v>
      </c>
      <c r="I48" s="5" t="s">
        <v>3</v>
      </c>
      <c r="J48" s="5" t="str">
        <f t="shared" si="34"/>
        <v>KL0910_c018</v>
      </c>
      <c r="K48" s="5" t="str">
        <f t="shared" si="35"/>
        <v>KL0910_c018_a1</v>
      </c>
      <c r="L48" s="5" t="str">
        <f t="shared" si="36"/>
        <v>KL0910_c018_a1_FIA</v>
      </c>
      <c r="M48" s="5" t="s">
        <v>350</v>
      </c>
      <c r="O48" s="5" t="s">
        <v>521</v>
      </c>
      <c r="P48" s="5">
        <v>103</v>
      </c>
      <c r="Q48" s="5" t="str">
        <f t="shared" si="33"/>
        <v>\KL0910_c018_103</v>
      </c>
      <c r="R48" s="5" t="s">
        <v>568</v>
      </c>
      <c r="S48" s="5" t="s">
        <v>495</v>
      </c>
      <c r="T48" s="5" t="s">
        <v>496</v>
      </c>
      <c r="U48" s="5">
        <v>3</v>
      </c>
      <c r="V48" s="5">
        <v>10646</v>
      </c>
      <c r="W48" s="5">
        <v>124.261</v>
      </c>
      <c r="X48" s="5">
        <v>109.084</v>
      </c>
      <c r="Y48" s="5">
        <v>47.427999999999997</v>
      </c>
      <c r="AH48" s="5" t="s">
        <v>499</v>
      </c>
      <c r="AI48" s="5" t="s">
        <v>603</v>
      </c>
    </row>
    <row r="49" spans="1:35" s="5" customFormat="1" x14ac:dyDescent="0.2">
      <c r="A49" s="5" t="s">
        <v>87</v>
      </c>
      <c r="B49" s="7">
        <v>45733</v>
      </c>
      <c r="C49" s="5">
        <v>45352</v>
      </c>
      <c r="F49" s="5" t="s">
        <v>66</v>
      </c>
      <c r="G49" s="5" t="s">
        <v>140</v>
      </c>
      <c r="H49" s="5" t="s">
        <v>2</v>
      </c>
      <c r="I49" s="5" t="s">
        <v>3</v>
      </c>
      <c r="J49" s="5" t="str">
        <f t="shared" si="34"/>
        <v>KL0910_c018</v>
      </c>
      <c r="K49" s="5" t="str">
        <f t="shared" si="35"/>
        <v>KL0910_c018_a1</v>
      </c>
      <c r="L49" s="5" t="str">
        <f t="shared" si="36"/>
        <v>KL0910_c018_a1_FIA</v>
      </c>
      <c r="M49" s="5" t="s">
        <v>350</v>
      </c>
      <c r="O49" s="5" t="s">
        <v>521</v>
      </c>
      <c r="P49" s="5">
        <v>103</v>
      </c>
      <c r="Q49" s="5" t="str">
        <f t="shared" si="33"/>
        <v>\KL0910_c018_103</v>
      </c>
      <c r="R49" s="5" t="s">
        <v>568</v>
      </c>
      <c r="S49" s="5" t="s">
        <v>495</v>
      </c>
      <c r="T49" s="5" t="s">
        <v>496</v>
      </c>
      <c r="U49" s="5">
        <v>3</v>
      </c>
      <c r="V49" s="5">
        <v>10646</v>
      </c>
      <c r="W49" s="5">
        <v>124.261</v>
      </c>
      <c r="X49" s="5">
        <v>109.084</v>
      </c>
      <c r="Y49" s="5">
        <v>47.427999999999997</v>
      </c>
      <c r="AH49" s="5" t="s">
        <v>499</v>
      </c>
      <c r="AI49" s="5" t="s">
        <v>603</v>
      </c>
    </row>
    <row r="50" spans="1:35" s="5" customFormat="1" x14ac:dyDescent="0.2">
      <c r="A50" s="5" t="s">
        <v>88</v>
      </c>
      <c r="B50" s="7">
        <v>45733</v>
      </c>
      <c r="C50" s="5">
        <v>45834</v>
      </c>
      <c r="F50" s="5" t="s">
        <v>66</v>
      </c>
      <c r="G50" s="5" t="s">
        <v>140</v>
      </c>
      <c r="H50" s="5" t="s">
        <v>2</v>
      </c>
      <c r="I50" s="5" t="s">
        <v>3</v>
      </c>
      <c r="J50" s="5" t="str">
        <f t="shared" si="34"/>
        <v>KL0910_c018</v>
      </c>
      <c r="K50" s="5" t="str">
        <f t="shared" si="35"/>
        <v>KL0910_c018_a1</v>
      </c>
      <c r="L50" s="5" t="str">
        <f t="shared" si="36"/>
        <v>KL0910_c018_a1_FIA</v>
      </c>
      <c r="M50" s="5" t="s">
        <v>350</v>
      </c>
      <c r="O50" s="5" t="s">
        <v>521</v>
      </c>
      <c r="P50" s="5">
        <v>103</v>
      </c>
      <c r="Q50" s="5" t="str">
        <f t="shared" si="33"/>
        <v>\KL0910_c018_103</v>
      </c>
      <c r="R50" s="5" t="s">
        <v>568</v>
      </c>
      <c r="S50" s="5" t="s">
        <v>495</v>
      </c>
      <c r="T50" s="5" t="s">
        <v>496</v>
      </c>
      <c r="U50" s="5">
        <v>3</v>
      </c>
      <c r="V50" s="5">
        <v>10646</v>
      </c>
      <c r="W50" s="5">
        <v>124.261</v>
      </c>
      <c r="X50" s="5">
        <v>109.084</v>
      </c>
      <c r="Y50" s="5">
        <v>47.427999999999997</v>
      </c>
      <c r="AH50" s="5" t="s">
        <v>499</v>
      </c>
      <c r="AI50" s="5" t="s">
        <v>603</v>
      </c>
    </row>
    <row r="51" spans="1:35" s="5" customFormat="1" x14ac:dyDescent="0.2">
      <c r="A51" s="5" t="s">
        <v>89</v>
      </c>
      <c r="B51" s="7">
        <v>45733</v>
      </c>
      <c r="C51" s="5">
        <v>46966</v>
      </c>
      <c r="F51" s="5" t="s">
        <v>66</v>
      </c>
      <c r="G51" s="5" t="s">
        <v>141</v>
      </c>
      <c r="H51" s="5" t="s">
        <v>2</v>
      </c>
      <c r="I51" s="5" t="s">
        <v>3</v>
      </c>
      <c r="J51" s="5" t="str">
        <f t="shared" si="34"/>
        <v>KL0910_c029</v>
      </c>
      <c r="K51" s="5" t="str">
        <f t="shared" si="35"/>
        <v>KL0910_c029_a1</v>
      </c>
      <c r="L51" s="5" t="str">
        <f t="shared" si="36"/>
        <v>KL0910_c029_a1_FIA</v>
      </c>
      <c r="M51" s="5" t="s">
        <v>351</v>
      </c>
      <c r="O51" s="5" t="s">
        <v>522</v>
      </c>
      <c r="P51" s="5">
        <v>56</v>
      </c>
      <c r="Q51" s="5" t="str">
        <f t="shared" si="33"/>
        <v>\KL0910_c029_56</v>
      </c>
      <c r="R51" s="5" t="s">
        <v>573</v>
      </c>
      <c r="S51" s="5" t="s">
        <v>495</v>
      </c>
      <c r="T51" s="5" t="s">
        <v>496</v>
      </c>
      <c r="U51" s="5">
        <v>4</v>
      </c>
      <c r="V51" s="5">
        <v>11427</v>
      </c>
      <c r="W51" s="5">
        <v>127.041</v>
      </c>
      <c r="X51" s="5">
        <v>114.524</v>
      </c>
      <c r="Y51" s="5">
        <v>59.109000000000002</v>
      </c>
      <c r="AH51" s="5" t="s">
        <v>499</v>
      </c>
      <c r="AI51" s="5" t="s">
        <v>604</v>
      </c>
    </row>
    <row r="52" spans="1:35" s="5" customFormat="1" x14ac:dyDescent="0.2">
      <c r="A52" s="5" t="s">
        <v>90</v>
      </c>
      <c r="B52" s="7">
        <v>45733</v>
      </c>
      <c r="C52" s="5">
        <v>47592</v>
      </c>
      <c r="F52" s="5" t="s">
        <v>66</v>
      </c>
      <c r="G52" s="5" t="s">
        <v>142</v>
      </c>
      <c r="H52" s="5" t="s">
        <v>2</v>
      </c>
      <c r="I52" s="5" t="s">
        <v>3</v>
      </c>
      <c r="J52" s="5" t="str">
        <f t="shared" si="34"/>
        <v>KL0910_c030</v>
      </c>
      <c r="K52" s="5" t="str">
        <f t="shared" si="35"/>
        <v>KL0910_c030_a1</v>
      </c>
      <c r="L52" s="5" t="str">
        <f t="shared" si="36"/>
        <v>KL0910_c030_a1_FIA</v>
      </c>
      <c r="M52" s="5" t="s">
        <v>352</v>
      </c>
      <c r="O52" s="5" t="s">
        <v>523</v>
      </c>
      <c r="P52" s="5">
        <v>352</v>
      </c>
      <c r="Q52" s="5" t="str">
        <f t="shared" si="33"/>
        <v>\KL0910_c030_352</v>
      </c>
      <c r="R52" s="5" t="s">
        <v>568</v>
      </c>
      <c r="S52" s="5" t="s">
        <v>495</v>
      </c>
      <c r="T52" s="5" t="s">
        <v>496</v>
      </c>
      <c r="U52" s="5">
        <v>5</v>
      </c>
      <c r="V52" s="5">
        <v>17838</v>
      </c>
      <c r="W52" s="5">
        <v>159.262</v>
      </c>
      <c r="X52" s="5">
        <v>142.608</v>
      </c>
      <c r="Y52" s="5">
        <v>142.50800000000001</v>
      </c>
      <c r="AH52" s="5" t="s">
        <v>505</v>
      </c>
      <c r="AI52" s="5" t="s">
        <v>605</v>
      </c>
    </row>
    <row r="53" spans="1:35" s="5" customFormat="1" x14ac:dyDescent="0.2">
      <c r="A53" s="5" t="s">
        <v>91</v>
      </c>
      <c r="B53" s="7">
        <v>45733</v>
      </c>
      <c r="C53" s="5">
        <v>48262</v>
      </c>
      <c r="F53" s="5" t="s">
        <v>66</v>
      </c>
      <c r="G53" s="5" t="s">
        <v>143</v>
      </c>
      <c r="H53" s="5" t="s">
        <v>2</v>
      </c>
      <c r="I53" s="5" t="s">
        <v>3</v>
      </c>
      <c r="J53" s="5" t="str">
        <f t="shared" si="34"/>
        <v>KL0910_c031</v>
      </c>
      <c r="K53" s="5" t="str">
        <f t="shared" si="35"/>
        <v>KL0910_c031_a1</v>
      </c>
      <c r="L53" s="5" t="str">
        <f t="shared" si="36"/>
        <v>KL0910_c031_a1_FIA</v>
      </c>
      <c r="M53" s="5" t="s">
        <v>353</v>
      </c>
      <c r="O53" s="5" t="s">
        <v>524</v>
      </c>
      <c r="P53" s="5">
        <v>73</v>
      </c>
      <c r="Q53" s="5" t="str">
        <f t="shared" si="33"/>
        <v>\KL0910_c031_73</v>
      </c>
      <c r="R53" s="5" t="s">
        <v>574</v>
      </c>
      <c r="S53" s="5" t="s">
        <v>495</v>
      </c>
      <c r="T53" s="5" t="s">
        <v>504</v>
      </c>
      <c r="U53" s="5">
        <v>6</v>
      </c>
      <c r="V53" s="5">
        <v>5432</v>
      </c>
      <c r="W53" s="5">
        <v>95.6</v>
      </c>
      <c r="X53" s="5">
        <v>72.346000000000004</v>
      </c>
      <c r="Y53" s="5">
        <v>57.48</v>
      </c>
      <c r="AH53" s="5" t="s">
        <v>499</v>
      </c>
      <c r="AI53" s="5" t="s">
        <v>606</v>
      </c>
    </row>
    <row r="54" spans="1:35" s="5" customFormat="1" x14ac:dyDescent="0.2">
      <c r="A54" s="5" t="s">
        <v>92</v>
      </c>
      <c r="B54" s="7">
        <v>45733</v>
      </c>
      <c r="C54" s="5">
        <v>51503</v>
      </c>
      <c r="F54" s="5" t="s">
        <v>66</v>
      </c>
      <c r="G54" s="5" t="s">
        <v>144</v>
      </c>
      <c r="H54" s="5" t="s">
        <v>2</v>
      </c>
      <c r="I54" s="5" t="s">
        <v>3</v>
      </c>
      <c r="J54" s="5" t="str">
        <f t="shared" si="34"/>
        <v>KL0910_c032</v>
      </c>
      <c r="K54" s="5" t="str">
        <f t="shared" si="35"/>
        <v>KL0910_c032_a1</v>
      </c>
      <c r="L54" s="5" t="str">
        <f t="shared" si="36"/>
        <v>KL0910_c032_a1_FIA</v>
      </c>
      <c r="M54" s="5" t="s">
        <v>354</v>
      </c>
      <c r="O54" s="5" t="s">
        <v>525</v>
      </c>
      <c r="P54" s="5">
        <v>488</v>
      </c>
      <c r="Q54" s="5" t="str">
        <f t="shared" ref="Q54:Q55" si="37">_xlfn.CONCAT(O54,"_",P54)</f>
        <v>\KL0910_c032_488</v>
      </c>
      <c r="R54" s="5" t="s">
        <v>575</v>
      </c>
      <c r="S54" s="5" t="s">
        <v>495</v>
      </c>
      <c r="T54" s="5" t="s">
        <v>504</v>
      </c>
      <c r="U54" s="5">
        <v>1</v>
      </c>
      <c r="V54" s="5">
        <v>7531</v>
      </c>
      <c r="W54" s="5">
        <v>98.052000000000007</v>
      </c>
      <c r="X54" s="5">
        <v>97.792000000000002</v>
      </c>
      <c r="Y54" s="5">
        <v>84.731999999999999</v>
      </c>
      <c r="AH54" s="5" t="s">
        <v>499</v>
      </c>
      <c r="AI54" s="5" t="s">
        <v>607</v>
      </c>
    </row>
    <row r="55" spans="1:35" s="5" customFormat="1" x14ac:dyDescent="0.2">
      <c r="A55" s="5" t="s">
        <v>93</v>
      </c>
      <c r="B55" s="7">
        <v>45733</v>
      </c>
      <c r="C55" s="5">
        <v>52385</v>
      </c>
      <c r="F55" s="5" t="s">
        <v>66</v>
      </c>
      <c r="G55" s="5" t="s">
        <v>145</v>
      </c>
      <c r="H55" s="5" t="s">
        <v>2</v>
      </c>
      <c r="I55" s="5" t="s">
        <v>3</v>
      </c>
      <c r="J55" s="5" t="str">
        <f t="shared" si="34"/>
        <v>KL0910_c034</v>
      </c>
      <c r="K55" s="5" t="str">
        <f t="shared" si="35"/>
        <v>KL0910_c034_a1</v>
      </c>
      <c r="L55" s="5" t="str">
        <f t="shared" si="36"/>
        <v>KL0910_c034_a1_FIA</v>
      </c>
      <c r="M55" s="5" t="s">
        <v>355</v>
      </c>
      <c r="O55" s="5" t="s">
        <v>526</v>
      </c>
      <c r="P55" s="5">
        <v>100</v>
      </c>
      <c r="Q55" s="5" t="str">
        <f t="shared" si="37"/>
        <v>\KL0910_c034_100</v>
      </c>
      <c r="R55" s="5" t="s">
        <v>576</v>
      </c>
      <c r="S55" s="5" t="s">
        <v>495</v>
      </c>
      <c r="T55" s="5" t="s">
        <v>504</v>
      </c>
      <c r="U55" s="5">
        <v>2</v>
      </c>
      <c r="V55" s="5">
        <v>35503</v>
      </c>
      <c r="W55" s="5">
        <v>227.35400000000001</v>
      </c>
      <c r="X55" s="5">
        <v>198.82599999999999</v>
      </c>
      <c r="Y55" s="5">
        <v>3.7450000000000001</v>
      </c>
      <c r="AH55" s="5" t="s">
        <v>499</v>
      </c>
      <c r="AI55" s="5" t="s">
        <v>608</v>
      </c>
    </row>
    <row r="56" spans="1:35" x14ac:dyDescent="0.2">
      <c r="A56" t="s">
        <v>94</v>
      </c>
      <c r="B56" s="1">
        <v>45734</v>
      </c>
      <c r="C56">
        <v>65078</v>
      </c>
      <c r="D56" s="1" t="s">
        <v>26</v>
      </c>
      <c r="F56" t="s">
        <v>23</v>
      </c>
      <c r="G56" t="s">
        <v>24</v>
      </c>
      <c r="I56">
        <v>4</v>
      </c>
      <c r="J56" t="s">
        <v>25</v>
      </c>
      <c r="K56" t="s">
        <v>25</v>
      </c>
      <c r="L56" t="str">
        <f t="shared" ref="L56:L59" si="38">_xlfn.CONCAT(F56,"-",G56,"-",I56,"-end-",B56)</f>
        <v>FG04-A1-4-end-45734</v>
      </c>
    </row>
    <row r="57" spans="1:35" x14ac:dyDescent="0.2">
      <c r="A57" t="s">
        <v>95</v>
      </c>
      <c r="B57" s="1">
        <v>45734</v>
      </c>
      <c r="C57">
        <v>65324</v>
      </c>
      <c r="D57" s="1" t="s">
        <v>26</v>
      </c>
      <c r="F57" t="s">
        <v>23</v>
      </c>
      <c r="G57" t="s">
        <v>24</v>
      </c>
      <c r="I57">
        <v>4</v>
      </c>
      <c r="J57" t="s">
        <v>25</v>
      </c>
      <c r="K57" t="s">
        <v>25</v>
      </c>
      <c r="L57" t="str">
        <f t="shared" si="38"/>
        <v>FG04-A1-4-end-45734</v>
      </c>
    </row>
    <row r="58" spans="1:35" x14ac:dyDescent="0.2">
      <c r="A58" t="s">
        <v>72</v>
      </c>
      <c r="B58" s="1">
        <v>45734</v>
      </c>
      <c r="C58">
        <v>39010</v>
      </c>
      <c r="D58" s="1" t="s">
        <v>26</v>
      </c>
      <c r="F58" t="s">
        <v>23</v>
      </c>
      <c r="G58" t="s">
        <v>24</v>
      </c>
      <c r="I58">
        <v>4</v>
      </c>
      <c r="J58" t="s">
        <v>25</v>
      </c>
      <c r="K58" t="s">
        <v>25</v>
      </c>
      <c r="L58" t="str">
        <f t="shared" si="38"/>
        <v>FG04-A1-4-end-45734</v>
      </c>
    </row>
    <row r="59" spans="1:35" x14ac:dyDescent="0.2">
      <c r="A59" t="s">
        <v>73</v>
      </c>
      <c r="B59" s="1">
        <v>45734</v>
      </c>
      <c r="C59">
        <v>39302</v>
      </c>
      <c r="D59" s="1" t="s">
        <v>26</v>
      </c>
      <c r="F59" t="s">
        <v>23</v>
      </c>
      <c r="G59" t="s">
        <v>24</v>
      </c>
      <c r="I59">
        <v>4</v>
      </c>
      <c r="J59" t="s">
        <v>25</v>
      </c>
      <c r="K59" t="s">
        <v>25</v>
      </c>
      <c r="L59" t="str">
        <f t="shared" si="38"/>
        <v>FG04-A1-4-end-45734</v>
      </c>
    </row>
    <row r="60" spans="1:35" x14ac:dyDescent="0.2">
      <c r="A60" t="s">
        <v>74</v>
      </c>
      <c r="B60" s="1">
        <v>45734</v>
      </c>
      <c r="C60">
        <v>39615</v>
      </c>
      <c r="D60" s="1" t="s">
        <v>26</v>
      </c>
      <c r="F60" t="s">
        <v>23</v>
      </c>
      <c r="G60" t="s">
        <v>24</v>
      </c>
      <c r="I60">
        <v>4</v>
      </c>
      <c r="J60" t="s">
        <v>25</v>
      </c>
      <c r="K60" t="s">
        <v>25</v>
      </c>
      <c r="L60" t="str">
        <f t="shared" ref="L60" si="39">_xlfn.CONCAT(F60,"-",G60,"-",I60,"-end-",B60)</f>
        <v>FG04-A1-4-end-45734</v>
      </c>
    </row>
    <row r="61" spans="1:35" s="5" customFormat="1" x14ac:dyDescent="0.2">
      <c r="A61" s="5" t="s">
        <v>96</v>
      </c>
      <c r="B61" s="7">
        <v>45734</v>
      </c>
      <c r="C61" s="5">
        <v>44777</v>
      </c>
      <c r="F61" s="5" t="s">
        <v>66</v>
      </c>
      <c r="G61" s="5" t="s">
        <v>146</v>
      </c>
      <c r="H61" s="5" t="s">
        <v>2</v>
      </c>
      <c r="I61" s="5" t="s">
        <v>3</v>
      </c>
      <c r="J61" s="5" t="str">
        <f t="shared" ref="J61" si="40">_xlfn.CONCAT(F61,"_",G61)</f>
        <v>KL0910_c000</v>
      </c>
      <c r="K61" s="5" t="str">
        <f t="shared" ref="K61" si="41">_xlfn.CONCAT(J61,"_",H61)</f>
        <v>KL0910_c000_a1</v>
      </c>
      <c r="L61" s="5" t="str">
        <f t="shared" ref="L61" si="42">_xlfn.CONCAT(K61,"_",I61)</f>
        <v>KL0910_c000_a1_FIA</v>
      </c>
      <c r="M61" s="5" t="s">
        <v>440</v>
      </c>
      <c r="O61" s="5" t="s">
        <v>527</v>
      </c>
      <c r="P61" s="5">
        <v>107</v>
      </c>
      <c r="Q61" s="5" t="str">
        <f t="shared" ref="Q61:Q72" si="43">_xlfn.CONCAT(O61,"_",P61)</f>
        <v>\KL0910_c000_107</v>
      </c>
      <c r="R61" s="5" t="s">
        <v>577</v>
      </c>
      <c r="S61" s="5" t="s">
        <v>495</v>
      </c>
      <c r="T61" s="5" t="s">
        <v>496</v>
      </c>
      <c r="U61" s="5">
        <v>1</v>
      </c>
      <c r="V61" s="5">
        <v>2862</v>
      </c>
      <c r="W61" s="5">
        <v>62.311</v>
      </c>
      <c r="X61" s="5">
        <v>58.481000000000002</v>
      </c>
      <c r="Y61" s="5">
        <v>46.179000000000002</v>
      </c>
      <c r="AH61" s="5" t="s">
        <v>499</v>
      </c>
      <c r="AI61" s="5" t="s">
        <v>609</v>
      </c>
    </row>
    <row r="62" spans="1:35" s="5" customFormat="1" x14ac:dyDescent="0.2">
      <c r="A62" s="5" t="s">
        <v>97</v>
      </c>
      <c r="B62" s="7">
        <v>45734</v>
      </c>
      <c r="C62" s="5">
        <v>46255</v>
      </c>
      <c r="F62" s="5" t="s">
        <v>66</v>
      </c>
      <c r="G62" s="5" t="s">
        <v>147</v>
      </c>
      <c r="H62" s="5" t="s">
        <v>2</v>
      </c>
      <c r="I62" s="5" t="s">
        <v>3</v>
      </c>
      <c r="J62" s="5" t="str">
        <f t="shared" ref="J62:J73" si="44">_xlfn.CONCAT(F62,"_",G62)</f>
        <v>KL0910_c036</v>
      </c>
      <c r="K62" s="5" t="str">
        <f t="shared" ref="K62:K73" si="45">_xlfn.CONCAT(J62,"_",H62)</f>
        <v>KL0910_c036_a1</v>
      </c>
      <c r="L62" s="5" t="str">
        <f t="shared" ref="L62:L73" si="46">_xlfn.CONCAT(K62,"_",I62)</f>
        <v>KL0910_c036_a1_FIA</v>
      </c>
      <c r="M62" s="5" t="s">
        <v>356</v>
      </c>
      <c r="O62" s="5" t="s">
        <v>528</v>
      </c>
      <c r="P62" s="5">
        <v>92</v>
      </c>
      <c r="Q62" s="5" t="str">
        <f t="shared" si="43"/>
        <v>\KL0910_c036_92</v>
      </c>
      <c r="R62" s="5" t="s">
        <v>568</v>
      </c>
      <c r="S62" s="5" t="s">
        <v>495</v>
      </c>
      <c r="T62" s="5" t="s">
        <v>496</v>
      </c>
      <c r="U62" s="5">
        <v>3</v>
      </c>
      <c r="V62" s="5">
        <v>7872</v>
      </c>
      <c r="W62" s="5">
        <v>116.82899999999999</v>
      </c>
      <c r="X62" s="5">
        <v>85.790999999999997</v>
      </c>
      <c r="Y62" s="5">
        <v>125.86799999999999</v>
      </c>
      <c r="AH62" s="5" t="s">
        <v>613</v>
      </c>
      <c r="AI62" s="5" t="s">
        <v>611</v>
      </c>
    </row>
    <row r="63" spans="1:35" s="5" customFormat="1" x14ac:dyDescent="0.2">
      <c r="A63" s="5" t="s">
        <v>98</v>
      </c>
      <c r="B63" s="7">
        <v>45734</v>
      </c>
      <c r="C63" s="5">
        <v>46523</v>
      </c>
      <c r="F63" s="5" t="s">
        <v>66</v>
      </c>
      <c r="G63" s="5" t="s">
        <v>147</v>
      </c>
      <c r="H63" s="5" t="s">
        <v>2</v>
      </c>
      <c r="I63" s="5" t="s">
        <v>5</v>
      </c>
      <c r="J63" s="5" t="str">
        <f t="shared" si="44"/>
        <v>KL0910_c036</v>
      </c>
      <c r="K63" s="5" t="str">
        <f t="shared" si="45"/>
        <v>KL0910_c036_a1</v>
      </c>
      <c r="L63" s="5" t="str">
        <f t="shared" si="46"/>
        <v>KL0910_c036_a1_FIB</v>
      </c>
      <c r="M63" s="5" t="s">
        <v>357</v>
      </c>
      <c r="O63" s="5" t="s">
        <v>528</v>
      </c>
      <c r="P63" s="5">
        <v>92</v>
      </c>
      <c r="Q63" s="5" t="str">
        <f t="shared" si="43"/>
        <v>\KL0910_c036_92</v>
      </c>
      <c r="R63" s="5" t="s">
        <v>568</v>
      </c>
      <c r="S63" s="5" t="s">
        <v>495</v>
      </c>
      <c r="T63" s="5" t="s">
        <v>496</v>
      </c>
      <c r="U63" s="5">
        <v>4</v>
      </c>
      <c r="V63" s="5">
        <v>77444</v>
      </c>
      <c r="W63" s="5">
        <v>367.834</v>
      </c>
      <c r="X63" s="5">
        <v>268.06900000000002</v>
      </c>
      <c r="Y63" s="5">
        <v>47.63</v>
      </c>
      <c r="AG63" s="5" t="s">
        <v>498</v>
      </c>
      <c r="AH63" s="5" t="s">
        <v>501</v>
      </c>
      <c r="AI63" s="5" t="s">
        <v>612</v>
      </c>
    </row>
    <row r="64" spans="1:35" s="5" customFormat="1" x14ac:dyDescent="0.2">
      <c r="A64" s="5" t="s">
        <v>99</v>
      </c>
      <c r="B64" s="7">
        <v>45734</v>
      </c>
      <c r="C64" s="5">
        <v>45424</v>
      </c>
      <c r="F64" s="5" t="s">
        <v>66</v>
      </c>
      <c r="G64" s="5" t="s">
        <v>148</v>
      </c>
      <c r="H64" s="5" t="s">
        <v>2</v>
      </c>
      <c r="I64" s="5" t="s">
        <v>3</v>
      </c>
      <c r="J64" s="5" t="str">
        <f t="shared" si="44"/>
        <v>KL0910_c047</v>
      </c>
      <c r="K64" s="5" t="str">
        <f t="shared" si="45"/>
        <v>KL0910_c047_a1</v>
      </c>
      <c r="L64" s="5" t="str">
        <f t="shared" si="46"/>
        <v>KL0910_c047_a1_FIA</v>
      </c>
      <c r="M64" s="5" t="s">
        <v>358</v>
      </c>
      <c r="O64" s="5" t="s">
        <v>529</v>
      </c>
      <c r="P64" s="5">
        <v>20</v>
      </c>
      <c r="Q64" s="5" t="str">
        <f t="shared" si="43"/>
        <v>\KL0910_c047_20</v>
      </c>
      <c r="R64" s="5" t="s">
        <v>568</v>
      </c>
      <c r="S64" s="5" t="s">
        <v>495</v>
      </c>
      <c r="T64" s="5" t="s">
        <v>496</v>
      </c>
      <c r="U64" s="5">
        <v>5</v>
      </c>
      <c r="V64" s="5">
        <v>4989</v>
      </c>
      <c r="W64" s="5">
        <v>85.856999999999999</v>
      </c>
      <c r="X64" s="5">
        <v>73.986000000000004</v>
      </c>
      <c r="Y64" s="5">
        <v>75.317999999999998</v>
      </c>
      <c r="AH64" s="5" t="s">
        <v>610</v>
      </c>
      <c r="AI64" s="5" t="s">
        <v>614</v>
      </c>
    </row>
    <row r="65" spans="1:35" s="5" customFormat="1" x14ac:dyDescent="0.2">
      <c r="A65" s="5" t="s">
        <v>100</v>
      </c>
      <c r="B65" s="7">
        <v>45734</v>
      </c>
      <c r="C65" s="5">
        <v>45900</v>
      </c>
      <c r="F65" s="5" t="s">
        <v>66</v>
      </c>
      <c r="G65" s="5" t="s">
        <v>148</v>
      </c>
      <c r="H65" s="5" t="s">
        <v>2</v>
      </c>
      <c r="I65" s="5" t="s">
        <v>5</v>
      </c>
      <c r="J65" s="5" t="str">
        <f t="shared" si="44"/>
        <v>KL0910_c047</v>
      </c>
      <c r="K65" s="5" t="str">
        <f t="shared" si="45"/>
        <v>KL0910_c047_a1</v>
      </c>
      <c r="L65" s="5" t="str">
        <f t="shared" si="46"/>
        <v>KL0910_c047_a1_FIB</v>
      </c>
      <c r="M65" s="5" t="s">
        <v>358</v>
      </c>
      <c r="O65" s="5" t="s">
        <v>529</v>
      </c>
      <c r="P65" s="5">
        <v>20</v>
      </c>
      <c r="Q65" s="5" t="str">
        <f t="shared" si="43"/>
        <v>\KL0910_c047_20</v>
      </c>
      <c r="R65" s="5" t="s">
        <v>568</v>
      </c>
      <c r="S65" s="5" t="s">
        <v>495</v>
      </c>
      <c r="T65" s="5" t="s">
        <v>496</v>
      </c>
      <c r="U65" s="5">
        <v>6</v>
      </c>
      <c r="V65" s="5">
        <v>9261</v>
      </c>
      <c r="W65" s="5">
        <v>117.19</v>
      </c>
      <c r="X65" s="5">
        <v>100.61799999999999</v>
      </c>
      <c r="Y65" s="5">
        <v>161.03899999999999</v>
      </c>
      <c r="AH65" s="5" t="s">
        <v>505</v>
      </c>
      <c r="AI65" s="5" t="s">
        <v>615</v>
      </c>
    </row>
    <row r="66" spans="1:35" s="5" customFormat="1" x14ac:dyDescent="0.2">
      <c r="A66" s="5" t="s">
        <v>101</v>
      </c>
      <c r="B66" s="7">
        <v>45734</v>
      </c>
      <c r="C66" s="5">
        <v>58960</v>
      </c>
      <c r="F66" s="5" t="s">
        <v>149</v>
      </c>
      <c r="G66" s="5" t="s">
        <v>150</v>
      </c>
      <c r="H66" s="5" t="s">
        <v>2</v>
      </c>
      <c r="I66" s="5" t="s">
        <v>3</v>
      </c>
      <c r="J66" s="5" t="str">
        <f t="shared" si="44"/>
        <v>KL0916_c051(1)</v>
      </c>
      <c r="K66" s="5" t="str">
        <f t="shared" si="45"/>
        <v>KL0916_c051(1)_a1</v>
      </c>
      <c r="L66" s="5" t="str">
        <f t="shared" si="46"/>
        <v>KL0916_c051(1)_a1_FIA</v>
      </c>
      <c r="M66" s="5" t="s">
        <v>365</v>
      </c>
      <c r="O66" s="5" t="s">
        <v>530</v>
      </c>
      <c r="P66" s="5">
        <v>322</v>
      </c>
      <c r="Q66" s="5" t="str">
        <f t="shared" si="43"/>
        <v>\KL0916_c051_322</v>
      </c>
      <c r="R66" s="5" t="s">
        <v>578</v>
      </c>
      <c r="S66" s="5" t="s">
        <v>495</v>
      </c>
      <c r="T66" s="5" t="s">
        <v>504</v>
      </c>
      <c r="U66" s="5">
        <v>7</v>
      </c>
      <c r="V66" s="5">
        <v>11001</v>
      </c>
      <c r="W66" s="5">
        <v>128.18600000000001</v>
      </c>
      <c r="X66" s="5">
        <v>109.27</v>
      </c>
      <c r="Y66" s="5">
        <v>110.629</v>
      </c>
      <c r="AH66" s="5" t="s">
        <v>499</v>
      </c>
      <c r="AI66" s="5" t="s">
        <v>616</v>
      </c>
    </row>
    <row r="67" spans="1:35" s="5" customFormat="1" x14ac:dyDescent="0.2">
      <c r="A67" s="5" t="s">
        <v>102</v>
      </c>
      <c r="B67" s="7">
        <v>45734</v>
      </c>
      <c r="C67" s="5">
        <v>58623</v>
      </c>
      <c r="F67" s="5" t="s">
        <v>149</v>
      </c>
      <c r="G67" s="5" t="s">
        <v>151</v>
      </c>
      <c r="H67" s="5" t="s">
        <v>2</v>
      </c>
      <c r="I67" s="5" t="s">
        <v>3</v>
      </c>
      <c r="J67" s="5" t="str">
        <f t="shared" si="44"/>
        <v>KL0916_c053</v>
      </c>
      <c r="K67" s="5" t="str">
        <f t="shared" si="45"/>
        <v>KL0916_c053_a1</v>
      </c>
      <c r="L67" s="5" t="str">
        <f t="shared" si="46"/>
        <v>KL0916_c053_a1_FIA</v>
      </c>
      <c r="M67" s="5" t="s">
        <v>387</v>
      </c>
      <c r="N67" s="5" t="s">
        <v>444</v>
      </c>
      <c r="O67" s="5" t="s">
        <v>531</v>
      </c>
      <c r="P67" s="5">
        <v>92</v>
      </c>
      <c r="Q67" s="5" t="str">
        <f t="shared" si="43"/>
        <v>\KL0916_c053_92</v>
      </c>
      <c r="R67" s="5" t="s">
        <v>568</v>
      </c>
      <c r="S67" s="5" t="s">
        <v>495</v>
      </c>
      <c r="T67" s="5" t="s">
        <v>504</v>
      </c>
      <c r="U67" s="5">
        <v>1</v>
      </c>
      <c r="V67" s="5">
        <v>69205</v>
      </c>
      <c r="W67" s="5">
        <v>304.89699999999999</v>
      </c>
      <c r="X67" s="5">
        <v>288.99799999999999</v>
      </c>
      <c r="Y67" s="5">
        <v>179.89699999999999</v>
      </c>
      <c r="AE67" s="5" t="s">
        <v>500</v>
      </c>
      <c r="AH67" s="5" t="s">
        <v>501</v>
      </c>
      <c r="AI67" s="5" t="s">
        <v>617</v>
      </c>
    </row>
    <row r="68" spans="1:35" s="5" customFormat="1" x14ac:dyDescent="0.2">
      <c r="A68" s="5" t="s">
        <v>103</v>
      </c>
      <c r="B68" s="7">
        <v>45734</v>
      </c>
      <c r="C68" s="5">
        <v>57554</v>
      </c>
      <c r="F68" s="5" t="s">
        <v>149</v>
      </c>
      <c r="G68" s="5" t="s">
        <v>152</v>
      </c>
      <c r="H68" s="5" t="s">
        <v>2</v>
      </c>
      <c r="I68" s="5" t="s">
        <v>5</v>
      </c>
      <c r="J68" s="5" t="str">
        <f t="shared" si="44"/>
        <v>KL0916_c057</v>
      </c>
      <c r="K68" s="5" t="str">
        <f t="shared" si="45"/>
        <v>KL0916_c057_a1</v>
      </c>
      <c r="L68" s="5" t="str">
        <f t="shared" si="46"/>
        <v>KL0916_c057_a1_FIB</v>
      </c>
      <c r="M68" s="5" t="s">
        <v>366</v>
      </c>
      <c r="O68" s="5" t="s">
        <v>532</v>
      </c>
      <c r="P68" s="5">
        <v>91</v>
      </c>
      <c r="Q68" s="5" t="str">
        <f t="shared" si="43"/>
        <v>\KL0916_c057_91</v>
      </c>
      <c r="R68" s="5" t="s">
        <v>568</v>
      </c>
      <c r="S68" s="5" t="s">
        <v>495</v>
      </c>
      <c r="T68" s="5" t="s">
        <v>504</v>
      </c>
      <c r="U68" s="5">
        <v>2</v>
      </c>
      <c r="V68" s="5">
        <v>6283</v>
      </c>
      <c r="W68" s="5">
        <v>105.735</v>
      </c>
      <c r="X68" s="5">
        <v>75.658000000000001</v>
      </c>
      <c r="Y68" s="5">
        <v>16.503</v>
      </c>
      <c r="AH68" s="5" t="s">
        <v>499</v>
      </c>
      <c r="AI68" s="5" t="s">
        <v>618</v>
      </c>
    </row>
    <row r="69" spans="1:35" s="5" customFormat="1" x14ac:dyDescent="0.2">
      <c r="A69" s="5" t="s">
        <v>104</v>
      </c>
      <c r="B69" s="7">
        <v>45734</v>
      </c>
      <c r="C69" s="5">
        <v>56764</v>
      </c>
      <c r="F69" s="5" t="s">
        <v>149</v>
      </c>
      <c r="G69" s="5" t="s">
        <v>152</v>
      </c>
      <c r="H69" s="5" t="s">
        <v>2</v>
      </c>
      <c r="I69" s="5" t="s">
        <v>5</v>
      </c>
      <c r="J69" s="5" t="str">
        <f t="shared" si="44"/>
        <v>KL0916_c057</v>
      </c>
      <c r="K69" s="5" t="str">
        <f t="shared" si="45"/>
        <v>KL0916_c057_a1</v>
      </c>
      <c r="L69" s="5" t="str">
        <f t="shared" si="46"/>
        <v>KL0916_c057_a1_FIB</v>
      </c>
      <c r="M69" s="5" t="s">
        <v>366</v>
      </c>
      <c r="O69" s="5" t="s">
        <v>532</v>
      </c>
      <c r="P69" s="5">
        <v>91</v>
      </c>
      <c r="Q69" s="5" t="str">
        <f t="shared" si="43"/>
        <v>\KL0916_c057_91</v>
      </c>
      <c r="R69" s="5" t="s">
        <v>568</v>
      </c>
      <c r="S69" s="5" t="s">
        <v>495</v>
      </c>
      <c r="T69" s="5" t="s">
        <v>504</v>
      </c>
      <c r="U69" s="5">
        <v>2</v>
      </c>
      <c r="V69" s="5">
        <v>6283</v>
      </c>
      <c r="W69" s="5">
        <v>105.735</v>
      </c>
      <c r="X69" s="5">
        <v>75.658000000000001</v>
      </c>
      <c r="Y69" s="5">
        <v>16.503</v>
      </c>
      <c r="AH69" s="5" t="s">
        <v>499</v>
      </c>
      <c r="AI69" s="5" t="s">
        <v>618</v>
      </c>
    </row>
    <row r="70" spans="1:35" s="5" customFormat="1" x14ac:dyDescent="0.2">
      <c r="A70" s="5" t="s">
        <v>105</v>
      </c>
      <c r="B70" s="7">
        <v>45734</v>
      </c>
      <c r="C70" s="5">
        <v>57063</v>
      </c>
      <c r="F70" s="5" t="s">
        <v>149</v>
      </c>
      <c r="G70" s="5" t="s">
        <v>152</v>
      </c>
      <c r="H70" s="5" t="s">
        <v>2</v>
      </c>
      <c r="I70" s="5" t="s">
        <v>5</v>
      </c>
      <c r="J70" s="5" t="str">
        <f t="shared" si="44"/>
        <v>KL0916_c057</v>
      </c>
      <c r="K70" s="5" t="str">
        <f t="shared" si="45"/>
        <v>KL0916_c057_a1</v>
      </c>
      <c r="L70" s="5" t="str">
        <f t="shared" si="46"/>
        <v>KL0916_c057_a1_FIB</v>
      </c>
      <c r="M70" s="5" t="s">
        <v>366</v>
      </c>
      <c r="O70" s="5" t="s">
        <v>532</v>
      </c>
      <c r="P70" s="5">
        <v>91</v>
      </c>
      <c r="Q70" s="5" t="str">
        <f t="shared" si="43"/>
        <v>\KL0916_c057_91</v>
      </c>
      <c r="R70" s="5" t="s">
        <v>568</v>
      </c>
      <c r="S70" s="5" t="s">
        <v>495</v>
      </c>
      <c r="T70" s="5" t="s">
        <v>504</v>
      </c>
      <c r="U70" s="5">
        <v>2</v>
      </c>
      <c r="V70" s="5">
        <v>6283</v>
      </c>
      <c r="W70" s="5">
        <v>105.735</v>
      </c>
      <c r="X70" s="5">
        <v>75.658000000000001</v>
      </c>
      <c r="Y70" s="5">
        <v>16.503</v>
      </c>
      <c r="AH70" s="5" t="s">
        <v>499</v>
      </c>
      <c r="AI70" s="5" t="s">
        <v>618</v>
      </c>
    </row>
    <row r="71" spans="1:35" s="5" customFormat="1" x14ac:dyDescent="0.2">
      <c r="A71" s="5" t="s">
        <v>106</v>
      </c>
      <c r="B71" s="7">
        <v>45734</v>
      </c>
      <c r="C71" s="5">
        <v>60547</v>
      </c>
      <c r="F71" s="5" t="s">
        <v>149</v>
      </c>
      <c r="G71" s="5" t="s">
        <v>136</v>
      </c>
      <c r="H71" s="5" t="s">
        <v>2</v>
      </c>
      <c r="I71" s="5" t="s">
        <v>3</v>
      </c>
      <c r="J71" s="5" t="str">
        <f t="shared" si="44"/>
        <v>KL0916_c058</v>
      </c>
      <c r="K71" s="5" t="str">
        <f t="shared" si="45"/>
        <v>KL0916_c058_a1</v>
      </c>
      <c r="L71" s="5" t="str">
        <f t="shared" si="46"/>
        <v>KL0916_c058_a1_FIA</v>
      </c>
      <c r="M71" s="5" t="s">
        <v>367</v>
      </c>
      <c r="O71" s="5" t="s">
        <v>533</v>
      </c>
      <c r="P71" s="5">
        <v>72</v>
      </c>
      <c r="Q71" s="5" t="str">
        <f t="shared" si="43"/>
        <v>\KL0916_c058_72</v>
      </c>
      <c r="R71" s="5" t="s">
        <v>568</v>
      </c>
      <c r="S71" s="5" t="s">
        <v>495</v>
      </c>
      <c r="T71" s="5" t="s">
        <v>504</v>
      </c>
      <c r="U71" s="5">
        <v>3</v>
      </c>
      <c r="V71" s="5">
        <v>10150</v>
      </c>
      <c r="W71" s="5">
        <v>114.20699999999999</v>
      </c>
      <c r="X71" s="5">
        <v>113.158</v>
      </c>
      <c r="Y71" s="5">
        <v>103.673</v>
      </c>
      <c r="AH71" s="5" t="s">
        <v>610</v>
      </c>
      <c r="AI71" s="5" t="s">
        <v>619</v>
      </c>
    </row>
    <row r="72" spans="1:35" s="5" customFormat="1" x14ac:dyDescent="0.2">
      <c r="A72" s="5" t="s">
        <v>107</v>
      </c>
      <c r="B72" s="7">
        <v>45734</v>
      </c>
      <c r="C72" s="5">
        <v>62355</v>
      </c>
      <c r="F72" s="5" t="s">
        <v>149</v>
      </c>
      <c r="G72" s="5" t="s">
        <v>153</v>
      </c>
      <c r="H72" s="5" t="s">
        <v>2</v>
      </c>
      <c r="I72" s="5" t="s">
        <v>3</v>
      </c>
      <c r="J72" s="5" t="str">
        <f t="shared" si="44"/>
        <v>KL0916_c059</v>
      </c>
      <c r="K72" s="5" t="str">
        <f t="shared" si="45"/>
        <v>KL0916_c059_a1</v>
      </c>
      <c r="L72" s="5" t="str">
        <f t="shared" si="46"/>
        <v>KL0916_c059_a1_FIA</v>
      </c>
      <c r="M72" s="5" t="s">
        <v>368</v>
      </c>
      <c r="O72" s="5" t="s">
        <v>534</v>
      </c>
      <c r="P72" s="5">
        <v>155</v>
      </c>
      <c r="Q72" s="5" t="str">
        <f t="shared" si="43"/>
        <v>\KL0916_c059_155</v>
      </c>
      <c r="R72" s="5" t="s">
        <v>568</v>
      </c>
      <c r="S72" s="5" t="s">
        <v>495</v>
      </c>
      <c r="T72" s="5" t="s">
        <v>496</v>
      </c>
      <c r="U72" s="5">
        <v>4</v>
      </c>
      <c r="V72" s="5">
        <v>3338</v>
      </c>
      <c r="W72" s="5">
        <v>65.263000000000005</v>
      </c>
      <c r="X72" s="5">
        <v>65.122</v>
      </c>
      <c r="Y72" s="5">
        <v>57.79</v>
      </c>
      <c r="AH72" s="5" t="s">
        <v>503</v>
      </c>
      <c r="AI72" s="5" t="s">
        <v>620</v>
      </c>
    </row>
    <row r="73" spans="1:35" s="5" customFormat="1" x14ac:dyDescent="0.2">
      <c r="A73" s="5" t="s">
        <v>108</v>
      </c>
      <c r="B73" s="7">
        <v>45734</v>
      </c>
      <c r="C73" s="5">
        <v>62981</v>
      </c>
      <c r="F73" s="5" t="s">
        <v>149</v>
      </c>
      <c r="G73" s="5" t="s">
        <v>154</v>
      </c>
      <c r="H73" s="5" t="s">
        <v>2</v>
      </c>
      <c r="I73" s="5" t="s">
        <v>3</v>
      </c>
      <c r="J73" s="5" t="str">
        <f t="shared" si="44"/>
        <v>KL0916_c064</v>
      </c>
      <c r="K73" s="5" t="str">
        <f t="shared" si="45"/>
        <v>KL0916_c064_a1</v>
      </c>
      <c r="L73" s="5" t="str">
        <f t="shared" si="46"/>
        <v>KL0916_c064_a1_FIA</v>
      </c>
      <c r="M73" s="5" t="s">
        <v>369</v>
      </c>
      <c r="O73" s="5" t="s">
        <v>535</v>
      </c>
      <c r="P73" s="5">
        <v>67</v>
      </c>
      <c r="Q73" s="5" t="str">
        <f>_xlfn.CONCAT(O73,"_",P73)</f>
        <v>\KL0916_c064_67</v>
      </c>
      <c r="R73" s="5" t="s">
        <v>579</v>
      </c>
      <c r="S73" s="5" t="s">
        <v>495</v>
      </c>
      <c r="T73" s="5" t="s">
        <v>504</v>
      </c>
      <c r="U73" s="5">
        <v>5</v>
      </c>
      <c r="V73" s="5">
        <v>5319</v>
      </c>
      <c r="W73" s="5">
        <v>86.864000000000004</v>
      </c>
      <c r="X73" s="5">
        <v>77.965000000000003</v>
      </c>
      <c r="Y73" s="5">
        <v>115.703</v>
      </c>
      <c r="AH73" s="5" t="s">
        <v>505</v>
      </c>
      <c r="AI73" s="5" t="s">
        <v>621</v>
      </c>
    </row>
    <row r="74" spans="1:35" x14ac:dyDescent="0.2">
      <c r="A74" t="s">
        <v>109</v>
      </c>
      <c r="B74" s="1">
        <v>45736</v>
      </c>
      <c r="C74">
        <v>63034</v>
      </c>
      <c r="D74" s="1" t="s">
        <v>26</v>
      </c>
      <c r="F74" t="s">
        <v>23</v>
      </c>
      <c r="G74" t="s">
        <v>24</v>
      </c>
      <c r="I74">
        <v>1</v>
      </c>
      <c r="J74" t="s">
        <v>25</v>
      </c>
      <c r="K74" t="s">
        <v>25</v>
      </c>
      <c r="L74" t="str">
        <f>_xlfn.CONCAT(F74,"-",G74,"-",I74,"-evening-",B74)</f>
        <v>FG04-A1-1-evening-45736</v>
      </c>
    </row>
    <row r="75" spans="1:35" x14ac:dyDescent="0.2">
      <c r="A75" t="s">
        <v>110</v>
      </c>
      <c r="B75" s="1">
        <v>45736</v>
      </c>
      <c r="C75">
        <v>39423</v>
      </c>
      <c r="D75" s="1" t="s">
        <v>26</v>
      </c>
      <c r="F75" t="s">
        <v>23</v>
      </c>
      <c r="G75" t="s">
        <v>24</v>
      </c>
      <c r="I75">
        <v>1</v>
      </c>
      <c r="J75" t="s">
        <v>25</v>
      </c>
      <c r="K75" t="s">
        <v>25</v>
      </c>
      <c r="L75" t="str">
        <f>_xlfn.CONCAT(F75,"-",G75,"-",I75,"-morning-",B75)</f>
        <v>FG04-A1-1-morning-45736</v>
      </c>
    </row>
    <row r="76" spans="1:35" x14ac:dyDescent="0.2">
      <c r="A76" t="s">
        <v>111</v>
      </c>
      <c r="B76" s="1">
        <v>45736</v>
      </c>
      <c r="C76">
        <v>62754</v>
      </c>
      <c r="D76" s="1" t="s">
        <v>26</v>
      </c>
      <c r="F76" t="s">
        <v>23</v>
      </c>
      <c r="G76" t="s">
        <v>24</v>
      </c>
      <c r="I76">
        <v>4</v>
      </c>
      <c r="J76" t="s">
        <v>25</v>
      </c>
      <c r="K76" t="s">
        <v>25</v>
      </c>
      <c r="L76" t="str">
        <f>_xlfn.CONCAT(F76,"-",G76,"-",I76,"-evening-",B76)</f>
        <v>FG04-A1-4-evening-45736</v>
      </c>
    </row>
    <row r="77" spans="1:35" x14ac:dyDescent="0.2">
      <c r="A77" t="s">
        <v>112</v>
      </c>
      <c r="B77" s="1">
        <v>45736</v>
      </c>
      <c r="C77">
        <v>38786</v>
      </c>
      <c r="D77" s="1" t="s">
        <v>26</v>
      </c>
      <c r="F77" t="s">
        <v>23</v>
      </c>
      <c r="G77" t="s">
        <v>24</v>
      </c>
      <c r="I77">
        <v>4</v>
      </c>
      <c r="J77" t="s">
        <v>25</v>
      </c>
      <c r="K77" t="s">
        <v>25</v>
      </c>
      <c r="L77" t="str">
        <f>_xlfn.CONCAT(F77,"-",G77,"-",I77,"-morning-",B77)</f>
        <v>FG04-A1-4-morning-45736</v>
      </c>
    </row>
    <row r="78" spans="1:35" x14ac:dyDescent="0.2">
      <c r="A78" t="s">
        <v>113</v>
      </c>
      <c r="B78" s="1">
        <v>45736</v>
      </c>
      <c r="C78">
        <v>63620</v>
      </c>
      <c r="D78" s="1" t="s">
        <v>26</v>
      </c>
      <c r="F78" t="s">
        <v>168</v>
      </c>
      <c r="G78">
        <v>101</v>
      </c>
      <c r="I78" t="s">
        <v>169</v>
      </c>
      <c r="J78" t="s">
        <v>170</v>
      </c>
      <c r="K78" t="s">
        <v>170</v>
      </c>
      <c r="L78" t="str">
        <f>_xlfn.CONCAT(F78,"-",G78,"-",I78,"-evening-",B78)</f>
        <v>FG19-101-A-evening-45736</v>
      </c>
    </row>
    <row r="79" spans="1:35" x14ac:dyDescent="0.2">
      <c r="A79" t="s">
        <v>114</v>
      </c>
      <c r="B79" s="1">
        <v>45736</v>
      </c>
      <c r="C79">
        <v>43941</v>
      </c>
      <c r="D79" s="1" t="s">
        <v>26</v>
      </c>
      <c r="F79" t="s">
        <v>168</v>
      </c>
      <c r="G79">
        <v>101</v>
      </c>
      <c r="I79" t="s">
        <v>169</v>
      </c>
      <c r="J79" t="s">
        <v>170</v>
      </c>
      <c r="K79" t="s">
        <v>170</v>
      </c>
      <c r="L79" t="str">
        <f>_xlfn.CONCAT(F79,"-",G79,"-",I79,"-morning-",B79)</f>
        <v>FG19-101-A-morning-45736</v>
      </c>
    </row>
    <row r="80" spans="1:35" x14ac:dyDescent="0.2">
      <c r="A80" t="s">
        <v>115</v>
      </c>
      <c r="B80" s="1">
        <v>45736</v>
      </c>
      <c r="C80">
        <v>64031</v>
      </c>
      <c r="D80" s="1" t="s">
        <v>26</v>
      </c>
      <c r="F80" t="s">
        <v>168</v>
      </c>
      <c r="G80">
        <v>101</v>
      </c>
      <c r="I80" t="s">
        <v>169</v>
      </c>
      <c r="J80" t="s">
        <v>170</v>
      </c>
      <c r="K80" t="s">
        <v>170</v>
      </c>
      <c r="L80" t="str">
        <f>_xlfn.CONCAT(F80,"-",G80,"-",I80,"-evening-",B80)</f>
        <v>FG19-101-A-evening-45736</v>
      </c>
    </row>
    <row r="81" spans="1:35" x14ac:dyDescent="0.2">
      <c r="A81" t="s">
        <v>116</v>
      </c>
      <c r="B81" s="1">
        <v>45736</v>
      </c>
      <c r="C81">
        <v>43256</v>
      </c>
      <c r="D81" s="1" t="s">
        <v>26</v>
      </c>
      <c r="F81" t="s">
        <v>168</v>
      </c>
      <c r="G81">
        <v>101</v>
      </c>
      <c r="I81" t="s">
        <v>169</v>
      </c>
      <c r="J81" t="s">
        <v>170</v>
      </c>
      <c r="K81" t="s">
        <v>170</v>
      </c>
      <c r="L81" t="str">
        <f>_xlfn.CONCAT(F81,"-",G81,"-",I81,"-morning-",B81)</f>
        <v>FG19-101-A-morning-45736</v>
      </c>
    </row>
    <row r="82" spans="1:35" x14ac:dyDescent="0.2">
      <c r="A82" t="s">
        <v>117</v>
      </c>
      <c r="B82" s="1">
        <v>45736</v>
      </c>
      <c r="C82">
        <v>61521</v>
      </c>
      <c r="F82" t="s">
        <v>131</v>
      </c>
      <c r="G82" t="s">
        <v>155</v>
      </c>
      <c r="H82" t="s">
        <v>2</v>
      </c>
      <c r="I82" t="s">
        <v>3</v>
      </c>
      <c r="J82" t="str">
        <f t="shared" ref="J82" si="47">_xlfn.CONCAT(F82,"_",G82)</f>
        <v>KL0908_c168</v>
      </c>
      <c r="K82" t="str">
        <f t="shared" ref="K82" si="48">_xlfn.CONCAT(J82,"_",H82)</f>
        <v>KL0908_c168_a1</v>
      </c>
      <c r="L82" t="str">
        <f t="shared" ref="L82" si="49">_xlfn.CONCAT(K82,"_",I82)</f>
        <v>KL0908_c168_a1_FIA</v>
      </c>
      <c r="M82" t="s">
        <v>378</v>
      </c>
      <c r="O82" t="s">
        <v>464</v>
      </c>
      <c r="P82">
        <v>63</v>
      </c>
      <c r="Q82" t="str">
        <f>_xlfn.CONCAT(O82,"_",P82)</f>
        <v>\ulubigolivines_168_63</v>
      </c>
      <c r="R82" t="s">
        <v>580</v>
      </c>
    </row>
    <row r="83" spans="1:35" x14ac:dyDescent="0.2">
      <c r="A83" t="s">
        <v>118</v>
      </c>
      <c r="B83" s="1">
        <v>45736</v>
      </c>
      <c r="C83">
        <v>54935</v>
      </c>
      <c r="F83" t="s">
        <v>156</v>
      </c>
      <c r="G83" t="s">
        <v>157</v>
      </c>
      <c r="H83" t="s">
        <v>2</v>
      </c>
      <c r="I83" t="s">
        <v>3</v>
      </c>
      <c r="J83" t="str">
        <f t="shared" ref="J83:J95" si="50">_xlfn.CONCAT(F83,"_",G83)</f>
        <v>KL0909_c153</v>
      </c>
      <c r="K83" t="str">
        <f t="shared" ref="K83:K95" si="51">_xlfn.CONCAT(J83,"_",H83)</f>
        <v>KL0909_c153_a1</v>
      </c>
      <c r="L83" t="str">
        <f t="shared" ref="L83:L95" si="52">_xlfn.CONCAT(K83,"_",I83)</f>
        <v>KL0909_c153_a1_FIA</v>
      </c>
      <c r="M83" t="s">
        <v>375</v>
      </c>
      <c r="O83" t="s">
        <v>465</v>
      </c>
      <c r="P83">
        <v>75</v>
      </c>
      <c r="Q83" t="str">
        <f>_xlfn.CONCAT(O83,"_",P83)</f>
        <v>\ulubigolivines_153_75</v>
      </c>
      <c r="R83" t="s">
        <v>580</v>
      </c>
    </row>
    <row r="84" spans="1:35" s="5" customFormat="1" x14ac:dyDescent="0.2">
      <c r="A84" s="5" t="s">
        <v>119</v>
      </c>
      <c r="B84" s="7">
        <v>45736</v>
      </c>
      <c r="C84" s="5">
        <v>46128</v>
      </c>
      <c r="F84" s="5" t="s">
        <v>149</v>
      </c>
      <c r="G84" s="5" t="s">
        <v>158</v>
      </c>
      <c r="H84" s="5" t="s">
        <v>2</v>
      </c>
      <c r="I84" s="5" t="s">
        <v>3</v>
      </c>
      <c r="J84" s="5" t="str">
        <f t="shared" si="50"/>
        <v>KL0916_c068</v>
      </c>
      <c r="K84" s="5" t="str">
        <f t="shared" si="51"/>
        <v>KL0916_c068_a1</v>
      </c>
      <c r="L84" s="5" t="str">
        <f t="shared" si="52"/>
        <v>KL0916_c068_a1_FIA</v>
      </c>
      <c r="M84" s="5" t="s">
        <v>370</v>
      </c>
      <c r="O84" s="5" t="s">
        <v>536</v>
      </c>
      <c r="P84" s="5">
        <v>74</v>
      </c>
      <c r="Q84" s="5" t="str">
        <f t="shared" ref="Q84:Q91" si="53">_xlfn.CONCAT(O84,"_",P84)</f>
        <v>\KL0916_c068_74</v>
      </c>
      <c r="R84" s="5" t="s">
        <v>568</v>
      </c>
      <c r="S84" s="5" t="s">
        <v>495</v>
      </c>
      <c r="T84" s="5" t="s">
        <v>496</v>
      </c>
      <c r="U84" s="5">
        <v>6</v>
      </c>
      <c r="V84" s="5">
        <v>18457</v>
      </c>
      <c r="W84" s="5">
        <v>160.65700000000001</v>
      </c>
      <c r="X84" s="5">
        <v>146.27600000000001</v>
      </c>
      <c r="Y84" s="5">
        <v>64.287999999999997</v>
      </c>
      <c r="AH84" s="5" t="s">
        <v>505</v>
      </c>
      <c r="AI84" s="5" t="s">
        <v>622</v>
      </c>
    </row>
    <row r="85" spans="1:35" s="5" customFormat="1" x14ac:dyDescent="0.2">
      <c r="A85" s="5" t="s">
        <v>120</v>
      </c>
      <c r="B85" s="7">
        <v>45736</v>
      </c>
      <c r="C85" s="5">
        <v>46479</v>
      </c>
      <c r="F85" s="5" t="s">
        <v>149</v>
      </c>
      <c r="G85" s="5" t="s">
        <v>159</v>
      </c>
      <c r="H85" s="5" t="s">
        <v>2</v>
      </c>
      <c r="I85" s="5" t="s">
        <v>3</v>
      </c>
      <c r="J85" s="5" t="str">
        <f t="shared" si="50"/>
        <v>KL0916_c069</v>
      </c>
      <c r="K85" s="5" t="str">
        <f t="shared" si="51"/>
        <v>KL0916_c069_a1</v>
      </c>
      <c r="L85" s="5" t="str">
        <f t="shared" si="52"/>
        <v>KL0916_c069_a1_FIA</v>
      </c>
      <c r="M85" s="5" t="s">
        <v>371</v>
      </c>
      <c r="O85" s="5" t="s">
        <v>537</v>
      </c>
      <c r="P85" s="5">
        <v>254</v>
      </c>
      <c r="Q85" s="5" t="str">
        <f t="shared" si="53"/>
        <v>\KL0916_c069_254</v>
      </c>
      <c r="R85" s="5" t="s">
        <v>568</v>
      </c>
      <c r="S85" s="5" t="s">
        <v>495</v>
      </c>
      <c r="T85" s="5" t="s">
        <v>504</v>
      </c>
      <c r="U85" s="5">
        <v>4</v>
      </c>
      <c r="V85" s="5">
        <v>34152</v>
      </c>
      <c r="W85" s="5">
        <v>218.68199999999999</v>
      </c>
      <c r="X85" s="5">
        <v>198.845</v>
      </c>
      <c r="Y85" s="5">
        <v>67.465999999999994</v>
      </c>
      <c r="AH85" s="5" t="s">
        <v>610</v>
      </c>
      <c r="AI85" s="5" t="s">
        <v>611</v>
      </c>
    </row>
    <row r="86" spans="1:35" s="5" customFormat="1" x14ac:dyDescent="0.2">
      <c r="A86" s="5" t="s">
        <v>121</v>
      </c>
      <c r="B86" s="7">
        <v>45736</v>
      </c>
      <c r="C86" s="5">
        <v>46759</v>
      </c>
      <c r="F86" s="5" t="s">
        <v>149</v>
      </c>
      <c r="G86" s="5" t="s">
        <v>159</v>
      </c>
      <c r="H86" s="5" t="s">
        <v>2</v>
      </c>
      <c r="I86" s="5" t="s">
        <v>5</v>
      </c>
      <c r="J86" s="5" t="str">
        <f t="shared" si="50"/>
        <v>KL0916_c069</v>
      </c>
      <c r="K86" s="5" t="str">
        <f t="shared" si="51"/>
        <v>KL0916_c069_a1</v>
      </c>
      <c r="L86" s="5" t="str">
        <f t="shared" si="52"/>
        <v>KL0916_c069_a1_FIB</v>
      </c>
      <c r="M86" s="5" t="s">
        <v>371</v>
      </c>
      <c r="O86" s="5" t="s">
        <v>537</v>
      </c>
      <c r="P86" s="5">
        <v>254</v>
      </c>
      <c r="Q86" s="5" t="str">
        <f t="shared" si="53"/>
        <v>\KL0916_c069_254</v>
      </c>
      <c r="R86" s="5" t="s">
        <v>568</v>
      </c>
      <c r="S86" s="5" t="s">
        <v>495</v>
      </c>
      <c r="T86" s="5" t="s">
        <v>504</v>
      </c>
      <c r="U86" s="5">
        <v>3</v>
      </c>
      <c r="V86" s="5">
        <v>30932</v>
      </c>
      <c r="W86" s="5">
        <v>198.81399999999999</v>
      </c>
      <c r="X86" s="5">
        <v>198.09399999999999</v>
      </c>
      <c r="Y86" s="5">
        <v>59.017000000000003</v>
      </c>
      <c r="AE86" s="5" t="s">
        <v>500</v>
      </c>
      <c r="AH86" s="5" t="s">
        <v>610</v>
      </c>
    </row>
    <row r="87" spans="1:35" s="5" customFormat="1" x14ac:dyDescent="0.2">
      <c r="A87" s="5" t="s">
        <v>122</v>
      </c>
      <c r="B87" s="7">
        <v>45736</v>
      </c>
      <c r="C87" s="5">
        <v>47166</v>
      </c>
      <c r="F87" s="5" t="s">
        <v>149</v>
      </c>
      <c r="G87" s="5" t="s">
        <v>159</v>
      </c>
      <c r="H87" s="5" t="s">
        <v>2</v>
      </c>
      <c r="I87" s="5" t="s">
        <v>7</v>
      </c>
      <c r="J87" s="5" t="str">
        <f t="shared" si="50"/>
        <v>KL0916_c069</v>
      </c>
      <c r="K87" s="5" t="str">
        <f t="shared" si="51"/>
        <v>KL0916_c069_a1</v>
      </c>
      <c r="L87" s="5" t="str">
        <f t="shared" si="52"/>
        <v>KL0916_c069_a1_FIC</v>
      </c>
      <c r="M87" s="5" t="s">
        <v>371</v>
      </c>
      <c r="O87" s="5" t="s">
        <v>537</v>
      </c>
      <c r="P87" s="5">
        <v>254</v>
      </c>
      <c r="Q87" s="5" t="str">
        <f t="shared" si="53"/>
        <v>\KL0916_c069_254</v>
      </c>
      <c r="R87" s="5" t="s">
        <v>568</v>
      </c>
      <c r="S87" s="5" t="s">
        <v>495</v>
      </c>
      <c r="T87" s="5" t="s">
        <v>504</v>
      </c>
      <c r="U87" s="5">
        <v>2</v>
      </c>
      <c r="V87" s="5">
        <v>11567</v>
      </c>
      <c r="W87" s="5">
        <v>126.542</v>
      </c>
      <c r="X87" s="5">
        <v>116.38500000000001</v>
      </c>
      <c r="Y87" s="5">
        <v>6.407</v>
      </c>
      <c r="AE87" s="5" t="s">
        <v>500</v>
      </c>
      <c r="AH87" s="5" t="s">
        <v>499</v>
      </c>
      <c r="AI87" s="5" t="s">
        <v>624</v>
      </c>
    </row>
    <row r="88" spans="1:35" s="5" customFormat="1" x14ac:dyDescent="0.2">
      <c r="A88" s="5" t="s">
        <v>123</v>
      </c>
      <c r="B88" s="7">
        <v>45736</v>
      </c>
      <c r="C88" s="5">
        <v>47446</v>
      </c>
      <c r="F88" s="5" t="s">
        <v>149</v>
      </c>
      <c r="G88" s="5" t="s">
        <v>159</v>
      </c>
      <c r="H88" s="5" t="s">
        <v>2</v>
      </c>
      <c r="I88" s="5" t="s">
        <v>8</v>
      </c>
      <c r="J88" s="5" t="str">
        <f t="shared" si="50"/>
        <v>KL0916_c069</v>
      </c>
      <c r="K88" s="5" t="str">
        <f t="shared" si="51"/>
        <v>KL0916_c069_a1</v>
      </c>
      <c r="L88" s="5" t="str">
        <f t="shared" si="52"/>
        <v>KL0916_c069_a1_FID</v>
      </c>
      <c r="M88" s="5" t="s">
        <v>371</v>
      </c>
      <c r="O88" s="5" t="s">
        <v>537</v>
      </c>
      <c r="P88" s="5">
        <v>254</v>
      </c>
      <c r="Q88" s="5" t="str">
        <f t="shared" si="53"/>
        <v>\KL0916_c069_254</v>
      </c>
      <c r="R88" s="5" t="s">
        <v>568</v>
      </c>
      <c r="S88" s="5" t="s">
        <v>495</v>
      </c>
      <c r="T88" s="5" t="s">
        <v>504</v>
      </c>
      <c r="U88" s="5">
        <v>1</v>
      </c>
      <c r="V88" s="5">
        <v>2551</v>
      </c>
      <c r="W88" s="5">
        <v>57.05</v>
      </c>
      <c r="X88" s="5">
        <v>56.933</v>
      </c>
      <c r="Y88" s="5">
        <v>49.29</v>
      </c>
      <c r="AH88" s="5" t="s">
        <v>499</v>
      </c>
      <c r="AI88" s="5" t="s">
        <v>623</v>
      </c>
    </row>
    <row r="89" spans="1:35" s="5" customFormat="1" x14ac:dyDescent="0.2">
      <c r="A89" s="5" t="s">
        <v>124</v>
      </c>
      <c r="B89" s="7">
        <v>45736</v>
      </c>
      <c r="C89" s="5">
        <v>48135</v>
      </c>
      <c r="F89" s="5" t="s">
        <v>149</v>
      </c>
      <c r="G89" s="5" t="s">
        <v>160</v>
      </c>
      <c r="H89" s="5" t="s">
        <v>2</v>
      </c>
      <c r="I89" s="5" t="s">
        <v>3</v>
      </c>
      <c r="J89" s="5" t="str">
        <f t="shared" si="50"/>
        <v>KL0916_c071</v>
      </c>
      <c r="K89" s="5" t="str">
        <f t="shared" si="51"/>
        <v>KL0916_c071_a1</v>
      </c>
      <c r="L89" s="5" t="str">
        <f t="shared" si="52"/>
        <v>KL0916_c071_a1_FIA</v>
      </c>
      <c r="M89" s="5" t="s">
        <v>372</v>
      </c>
      <c r="O89" s="5" t="s">
        <v>538</v>
      </c>
      <c r="P89" s="5">
        <v>23</v>
      </c>
      <c r="Q89" s="5" t="str">
        <f t="shared" si="53"/>
        <v>\KL0916_c071_23</v>
      </c>
      <c r="R89" s="5" t="s">
        <v>568</v>
      </c>
      <c r="S89" s="5" t="s">
        <v>495</v>
      </c>
      <c r="T89" s="5" t="s">
        <v>504</v>
      </c>
      <c r="U89" s="5">
        <v>5</v>
      </c>
      <c r="V89" s="5">
        <v>19339</v>
      </c>
      <c r="W89" s="5">
        <v>166.45099999999999</v>
      </c>
      <c r="X89" s="5">
        <v>147.93100000000001</v>
      </c>
      <c r="Y89" s="5">
        <v>52.783999999999999</v>
      </c>
      <c r="AE89" s="5" t="s">
        <v>500</v>
      </c>
      <c r="AH89" s="5" t="s">
        <v>499</v>
      </c>
      <c r="AI89" s="5" t="s">
        <v>625</v>
      </c>
    </row>
    <row r="90" spans="1:35" s="5" customFormat="1" x14ac:dyDescent="0.2">
      <c r="A90" s="5" t="s">
        <v>125</v>
      </c>
      <c r="B90" s="7">
        <v>45736</v>
      </c>
      <c r="C90" s="5">
        <v>48559</v>
      </c>
      <c r="F90" s="5" t="s">
        <v>149</v>
      </c>
      <c r="G90" s="5" t="s">
        <v>161</v>
      </c>
      <c r="H90" s="5" t="s">
        <v>2</v>
      </c>
      <c r="I90" s="5" t="s">
        <v>3</v>
      </c>
      <c r="J90" s="5" t="str">
        <f t="shared" si="50"/>
        <v>KL0916_c074</v>
      </c>
      <c r="K90" s="5" t="str">
        <f t="shared" si="51"/>
        <v>KL0916_c074_a1</v>
      </c>
      <c r="L90" s="5" t="str">
        <f t="shared" si="52"/>
        <v>KL0916_c074_a1_FIA</v>
      </c>
      <c r="M90" s="5" t="s">
        <v>373</v>
      </c>
      <c r="O90" s="5" t="s">
        <v>539</v>
      </c>
      <c r="P90" s="5">
        <v>55</v>
      </c>
      <c r="Q90" s="5" t="str">
        <f t="shared" si="53"/>
        <v>\KL0916_c074_55</v>
      </c>
      <c r="R90" s="5" t="s">
        <v>568</v>
      </c>
      <c r="S90" s="5" t="s">
        <v>495</v>
      </c>
      <c r="T90" s="5" t="s">
        <v>504</v>
      </c>
      <c r="U90" s="5">
        <v>6</v>
      </c>
      <c r="V90" s="5">
        <v>6987</v>
      </c>
      <c r="W90" s="5">
        <v>94.350999999999999</v>
      </c>
      <c r="X90" s="5">
        <v>94.287999999999997</v>
      </c>
      <c r="Y90" s="5">
        <v>116.02800000000001</v>
      </c>
      <c r="AH90" s="5" t="s">
        <v>499</v>
      </c>
      <c r="AI90" s="5" t="s">
        <v>626</v>
      </c>
    </row>
    <row r="91" spans="1:35" s="5" customFormat="1" x14ac:dyDescent="0.2">
      <c r="A91" s="5" t="s">
        <v>126</v>
      </c>
      <c r="B91" s="7">
        <v>45736</v>
      </c>
      <c r="C91" s="5">
        <v>48990</v>
      </c>
      <c r="F91" s="5" t="s">
        <v>149</v>
      </c>
      <c r="G91" s="5" t="s">
        <v>162</v>
      </c>
      <c r="H91" s="5" t="s">
        <v>2</v>
      </c>
      <c r="I91" s="5" t="s">
        <v>3</v>
      </c>
      <c r="J91" s="5" t="str">
        <f t="shared" si="50"/>
        <v>KL0916_c079</v>
      </c>
      <c r="K91" s="5" t="str">
        <f t="shared" si="51"/>
        <v>KL0916_c079_a1</v>
      </c>
      <c r="L91" s="5" t="str">
        <f t="shared" si="52"/>
        <v>KL0916_c079_a1_FIA</v>
      </c>
      <c r="M91" s="5" t="s">
        <v>374</v>
      </c>
      <c r="O91" s="5" t="s">
        <v>540</v>
      </c>
      <c r="P91" s="5">
        <v>143</v>
      </c>
      <c r="Q91" s="5" t="str">
        <f t="shared" si="53"/>
        <v>\KL0916_c079_143</v>
      </c>
      <c r="R91" s="5" t="s">
        <v>581</v>
      </c>
      <c r="S91" s="5" t="s">
        <v>495</v>
      </c>
      <c r="T91" s="5" t="s">
        <v>504</v>
      </c>
      <c r="U91" s="5">
        <v>1</v>
      </c>
      <c r="V91" s="5">
        <v>7982</v>
      </c>
      <c r="W91" s="5">
        <v>112.907</v>
      </c>
      <c r="X91" s="5">
        <v>90.012</v>
      </c>
      <c r="Y91" s="5">
        <v>145.31299999999999</v>
      </c>
      <c r="AH91" s="5" t="s">
        <v>499</v>
      </c>
      <c r="AI91" s="5" t="s">
        <v>627</v>
      </c>
    </row>
    <row r="92" spans="1:35" x14ac:dyDescent="0.2">
      <c r="A92" t="s">
        <v>127</v>
      </c>
      <c r="B92" s="1">
        <v>45736</v>
      </c>
      <c r="C92">
        <v>53818</v>
      </c>
      <c r="F92" t="s">
        <v>163</v>
      </c>
      <c r="G92" t="s">
        <v>164</v>
      </c>
      <c r="H92" t="s">
        <v>2</v>
      </c>
      <c r="I92" t="s">
        <v>3</v>
      </c>
      <c r="J92" t="str">
        <f t="shared" si="50"/>
        <v>KL0920_c147b</v>
      </c>
      <c r="K92" t="str">
        <f t="shared" si="51"/>
        <v>KL0920_c147b_a1</v>
      </c>
      <c r="L92" t="str">
        <f t="shared" si="52"/>
        <v>KL0920_c147b_a1_FIA</v>
      </c>
      <c r="M92" s="6"/>
      <c r="N92" s="6" t="s">
        <v>442</v>
      </c>
      <c r="O92" t="s">
        <v>466</v>
      </c>
      <c r="P92">
        <v>21</v>
      </c>
      <c r="Q92" t="str">
        <f>_xlfn.CONCAT(O92,"_",P92)</f>
        <v>\ulubigolivines_147b_21</v>
      </c>
      <c r="S92" s="5" t="s">
        <v>495</v>
      </c>
      <c r="T92" s="5" t="s">
        <v>504</v>
      </c>
      <c r="U92">
        <v>2</v>
      </c>
      <c r="V92">
        <v>45090</v>
      </c>
      <c r="W92">
        <v>257.93</v>
      </c>
      <c r="X92">
        <v>222.58099999999999</v>
      </c>
      <c r="Y92">
        <v>69.686000000000007</v>
      </c>
      <c r="AE92" t="s">
        <v>500</v>
      </c>
      <c r="AH92" s="5" t="s">
        <v>499</v>
      </c>
      <c r="AI92" s="5" t="s">
        <v>628</v>
      </c>
    </row>
    <row r="93" spans="1:35" x14ac:dyDescent="0.2">
      <c r="A93" t="s">
        <v>128</v>
      </c>
      <c r="B93" s="1">
        <v>45736</v>
      </c>
      <c r="C93">
        <v>54186</v>
      </c>
      <c r="F93" t="s">
        <v>163</v>
      </c>
      <c r="G93" t="s">
        <v>164</v>
      </c>
      <c r="H93" t="s">
        <v>2</v>
      </c>
      <c r="I93" t="s">
        <v>5</v>
      </c>
      <c r="J93" t="str">
        <f t="shared" si="50"/>
        <v>KL0920_c147b</v>
      </c>
      <c r="K93" t="str">
        <f t="shared" si="51"/>
        <v>KL0920_c147b_a1</v>
      </c>
      <c r="L93" t="str">
        <f t="shared" si="52"/>
        <v>KL0920_c147b_a1_FIB</v>
      </c>
      <c r="M93" s="6"/>
      <c r="N93" s="6" t="s">
        <v>442</v>
      </c>
      <c r="O93" t="s">
        <v>466</v>
      </c>
      <c r="P93">
        <v>21</v>
      </c>
      <c r="Q93" t="str">
        <f>_xlfn.CONCAT(O93,"_",P93)</f>
        <v>\ulubigolivines_147b_21</v>
      </c>
      <c r="S93" s="5" t="s">
        <v>495</v>
      </c>
      <c r="T93" s="5" t="s">
        <v>504</v>
      </c>
      <c r="U93">
        <v>3</v>
      </c>
      <c r="V93">
        <v>16902</v>
      </c>
      <c r="W93">
        <v>171.30199999999999</v>
      </c>
      <c r="X93">
        <v>125.628</v>
      </c>
      <c r="Y93">
        <v>163.983</v>
      </c>
      <c r="AH93" s="5" t="s">
        <v>499</v>
      </c>
      <c r="AI93" s="5" t="s">
        <v>629</v>
      </c>
    </row>
    <row r="94" spans="1:35" x14ac:dyDescent="0.2">
      <c r="A94" t="s">
        <v>129</v>
      </c>
      <c r="B94" s="1">
        <v>45736</v>
      </c>
      <c r="C94">
        <v>57350</v>
      </c>
      <c r="F94" t="s">
        <v>165</v>
      </c>
      <c r="G94" t="s">
        <v>166</v>
      </c>
      <c r="H94" t="s">
        <v>2</v>
      </c>
      <c r="I94" t="s">
        <v>3</v>
      </c>
      <c r="J94" t="str">
        <f t="shared" si="50"/>
        <v>KL0931_c159</v>
      </c>
      <c r="K94" t="str">
        <f t="shared" si="51"/>
        <v>KL0931_c159_a1</v>
      </c>
      <c r="L94" t="str">
        <f t="shared" si="52"/>
        <v>KL0931_c159_a1_FIA</v>
      </c>
      <c r="M94" t="s">
        <v>376</v>
      </c>
      <c r="O94" t="s">
        <v>467</v>
      </c>
      <c r="P94">
        <v>44</v>
      </c>
      <c r="Q94" t="str">
        <f>_xlfn.CONCAT(O94,"_",P94)</f>
        <v>\ulubigolivines_159_44</v>
      </c>
      <c r="S94" s="5" t="s">
        <v>495</v>
      </c>
      <c r="T94" s="5" t="s">
        <v>504</v>
      </c>
      <c r="U94">
        <v>4</v>
      </c>
      <c r="V94">
        <v>13148</v>
      </c>
      <c r="W94">
        <v>139.49</v>
      </c>
      <c r="X94">
        <v>120.01300000000001</v>
      </c>
      <c r="Y94">
        <v>170.29300000000001</v>
      </c>
      <c r="AE94" t="s">
        <v>500</v>
      </c>
      <c r="AH94" s="5" t="s">
        <v>610</v>
      </c>
    </row>
    <row r="95" spans="1:35" x14ac:dyDescent="0.2">
      <c r="A95" t="s">
        <v>130</v>
      </c>
      <c r="B95" s="1">
        <v>45736</v>
      </c>
      <c r="C95">
        <v>57971</v>
      </c>
      <c r="F95" t="s">
        <v>165</v>
      </c>
      <c r="G95" t="s">
        <v>167</v>
      </c>
      <c r="H95" t="s">
        <v>2</v>
      </c>
      <c r="I95" t="s">
        <v>3</v>
      </c>
      <c r="J95" t="str">
        <f t="shared" si="50"/>
        <v>KL0931_c160</v>
      </c>
      <c r="K95" t="str">
        <f t="shared" si="51"/>
        <v>KL0931_c160_a1</v>
      </c>
      <c r="L95" t="str">
        <f t="shared" si="52"/>
        <v>KL0931_c160_a1_FIA</v>
      </c>
      <c r="M95" t="s">
        <v>377</v>
      </c>
      <c r="O95" t="s">
        <v>468</v>
      </c>
      <c r="P95">
        <v>61</v>
      </c>
      <c r="Q95" t="str">
        <f>_xlfn.CONCAT(O95,"_",P95)</f>
        <v>\ulubigolivines_160_61</v>
      </c>
      <c r="S95" s="5" t="s">
        <v>495</v>
      </c>
      <c r="T95" s="5" t="s">
        <v>504</v>
      </c>
      <c r="U95">
        <v>1</v>
      </c>
      <c r="V95">
        <v>29322</v>
      </c>
      <c r="W95">
        <v>205.03299999999999</v>
      </c>
      <c r="X95">
        <v>182.08699999999999</v>
      </c>
      <c r="Y95">
        <v>176.99199999999999</v>
      </c>
      <c r="AE95" t="s">
        <v>500</v>
      </c>
      <c r="AH95" s="5" t="s">
        <v>610</v>
      </c>
      <c r="AI95" s="5" t="s">
        <v>630</v>
      </c>
    </row>
    <row r="96" spans="1:35" x14ac:dyDescent="0.2">
      <c r="A96" t="s">
        <v>171</v>
      </c>
      <c r="B96" s="1">
        <v>45737</v>
      </c>
      <c r="C96">
        <v>64526</v>
      </c>
      <c r="F96" t="s">
        <v>23</v>
      </c>
      <c r="G96" t="s">
        <v>24</v>
      </c>
      <c r="I96">
        <v>1</v>
      </c>
      <c r="J96" t="s">
        <v>25</v>
      </c>
      <c r="K96" t="s">
        <v>25</v>
      </c>
      <c r="L96" t="str">
        <f>_xlfn.CONCAT(F96,"-",G96,"-",I96,"-evening-",B97)</f>
        <v>FG04-A1-1-evening-45737</v>
      </c>
    </row>
    <row r="97" spans="1:35" x14ac:dyDescent="0.2">
      <c r="A97" t="s">
        <v>172</v>
      </c>
      <c r="B97" s="1">
        <v>45737</v>
      </c>
      <c r="C97">
        <v>44909</v>
      </c>
      <c r="F97" t="s">
        <v>23</v>
      </c>
      <c r="G97" t="s">
        <v>24</v>
      </c>
      <c r="I97">
        <v>1</v>
      </c>
      <c r="J97" t="s">
        <v>25</v>
      </c>
      <c r="K97" t="s">
        <v>25</v>
      </c>
      <c r="L97" t="str">
        <f>_xlfn.CONCAT(F97,"-",G97,"-",I97,"-morning-",B98)</f>
        <v>FG04-A1-1-morning-45737</v>
      </c>
    </row>
    <row r="98" spans="1:35" x14ac:dyDescent="0.2">
      <c r="A98" t="s">
        <v>173</v>
      </c>
      <c r="B98" s="1">
        <v>45737</v>
      </c>
      <c r="C98">
        <v>64272</v>
      </c>
      <c r="F98" t="s">
        <v>23</v>
      </c>
      <c r="G98" t="s">
        <v>24</v>
      </c>
      <c r="I98">
        <v>4</v>
      </c>
      <c r="J98" t="s">
        <v>25</v>
      </c>
      <c r="K98" t="s">
        <v>25</v>
      </c>
      <c r="L98" t="str">
        <f>_xlfn.CONCAT(F98,"-",G98,"-",I98,"-evening-",B99)</f>
        <v>FG04-A1-4-evening-45737</v>
      </c>
    </row>
    <row r="99" spans="1:35" x14ac:dyDescent="0.2">
      <c r="A99" t="s">
        <v>174</v>
      </c>
      <c r="B99" s="1">
        <v>45737</v>
      </c>
      <c r="C99">
        <v>42150</v>
      </c>
      <c r="F99" t="s">
        <v>23</v>
      </c>
      <c r="G99" t="s">
        <v>24</v>
      </c>
      <c r="I99">
        <v>4</v>
      </c>
      <c r="J99" t="s">
        <v>25</v>
      </c>
      <c r="K99" t="s">
        <v>25</v>
      </c>
      <c r="L99" t="str">
        <f>_xlfn.CONCAT(F99,"-",G99,"-",I99,"-morning-",B100)</f>
        <v>FG04-A1-4-morning-45737</v>
      </c>
    </row>
    <row r="100" spans="1:35" x14ac:dyDescent="0.2">
      <c r="A100" t="s">
        <v>175</v>
      </c>
      <c r="B100" s="1">
        <v>45737</v>
      </c>
      <c r="C100">
        <v>65010</v>
      </c>
      <c r="F100" t="s">
        <v>168</v>
      </c>
      <c r="G100">
        <v>101</v>
      </c>
      <c r="I100" t="s">
        <v>169</v>
      </c>
      <c r="J100" t="s">
        <v>170</v>
      </c>
      <c r="K100" t="s">
        <v>170</v>
      </c>
      <c r="L100" t="str">
        <f>_xlfn.CONCAT(F100,"-",G100,"-",I100,"-evening-",B101)</f>
        <v>FG19-101-A-evening-45737</v>
      </c>
    </row>
    <row r="101" spans="1:35" x14ac:dyDescent="0.2">
      <c r="A101" t="s">
        <v>176</v>
      </c>
      <c r="B101" s="1">
        <v>45737</v>
      </c>
      <c r="C101">
        <v>40184</v>
      </c>
      <c r="F101" t="s">
        <v>168</v>
      </c>
      <c r="G101">
        <v>101</v>
      </c>
      <c r="I101" t="s">
        <v>169</v>
      </c>
      <c r="J101" t="s">
        <v>170</v>
      </c>
      <c r="K101" t="s">
        <v>170</v>
      </c>
      <c r="L101" t="str">
        <f>_xlfn.CONCAT(F101,"-",G101,"-",I101,"-morning-",B102)</f>
        <v>FG19-101-A-morning-45737</v>
      </c>
    </row>
    <row r="102" spans="1:35" x14ac:dyDescent="0.2">
      <c r="A102" t="s">
        <v>177</v>
      </c>
      <c r="B102" s="1">
        <v>45737</v>
      </c>
      <c r="C102">
        <v>44506</v>
      </c>
      <c r="F102" t="s">
        <v>168</v>
      </c>
      <c r="G102">
        <v>101</v>
      </c>
      <c r="I102" t="s">
        <v>169</v>
      </c>
      <c r="J102" t="s">
        <v>170</v>
      </c>
      <c r="K102" t="s">
        <v>170</v>
      </c>
      <c r="L102" t="str">
        <f>_xlfn.CONCAT(F102,"-",G102,"-",I102,"-morning-",B103)</f>
        <v>FG19-101-A-morning-45737</v>
      </c>
    </row>
    <row r="103" spans="1:35" x14ac:dyDescent="0.2">
      <c r="A103" t="s">
        <v>178</v>
      </c>
      <c r="B103" s="1">
        <v>45737</v>
      </c>
      <c r="C103">
        <v>46678</v>
      </c>
      <c r="F103" t="s">
        <v>131</v>
      </c>
      <c r="G103" t="s">
        <v>254</v>
      </c>
      <c r="H103" t="s">
        <v>2</v>
      </c>
      <c r="I103" t="s">
        <v>3</v>
      </c>
      <c r="J103" t="str">
        <f t="shared" ref="J103" si="54">_xlfn.CONCAT(F103,"_",G103)</f>
        <v>KL0908_c171</v>
      </c>
      <c r="K103" t="str">
        <f t="shared" ref="K103" si="55">_xlfn.CONCAT(J103,"_",H103)</f>
        <v>KL0908_c171_a1</v>
      </c>
      <c r="L103" t="str">
        <f t="shared" ref="L103" si="56">_xlfn.CONCAT(K103,"_",I103)</f>
        <v>KL0908_c171_a1_FIA</v>
      </c>
      <c r="M103" t="s">
        <v>379</v>
      </c>
      <c r="O103" t="s">
        <v>469</v>
      </c>
      <c r="P103">
        <v>97</v>
      </c>
      <c r="Q103" t="str">
        <f>_xlfn.CONCAT(O103,"_",P103)</f>
        <v>\ulubigolivines_171not170_97</v>
      </c>
      <c r="S103" t="s">
        <v>495</v>
      </c>
      <c r="T103" t="s">
        <v>504</v>
      </c>
      <c r="U103">
        <v>1</v>
      </c>
      <c r="V103">
        <v>8940</v>
      </c>
      <c r="W103">
        <v>120.91500000000001</v>
      </c>
      <c r="X103">
        <v>94.138000000000005</v>
      </c>
      <c r="Y103">
        <v>134.358</v>
      </c>
      <c r="AH103" t="s">
        <v>610</v>
      </c>
    </row>
    <row r="104" spans="1:35" x14ac:dyDescent="0.2">
      <c r="A104" t="s">
        <v>179</v>
      </c>
      <c r="B104" s="1">
        <v>45737</v>
      </c>
      <c r="C104">
        <v>46981</v>
      </c>
      <c r="F104" t="s">
        <v>131</v>
      </c>
      <c r="G104" t="s">
        <v>254</v>
      </c>
      <c r="H104" t="s">
        <v>2</v>
      </c>
      <c r="I104" t="s">
        <v>5</v>
      </c>
      <c r="J104" t="str">
        <f t="shared" ref="J104:J128" si="57">_xlfn.CONCAT(F104,"_",G104)</f>
        <v>KL0908_c171</v>
      </c>
      <c r="K104" t="str">
        <f t="shared" ref="K104:K128" si="58">_xlfn.CONCAT(J104,"_",H104)</f>
        <v>KL0908_c171_a1</v>
      </c>
      <c r="L104" t="str">
        <f t="shared" ref="L104:L128" si="59">_xlfn.CONCAT(K104,"_",I104)</f>
        <v>KL0908_c171_a1_FIB</v>
      </c>
      <c r="M104" t="s">
        <v>379</v>
      </c>
      <c r="O104" t="s">
        <v>469</v>
      </c>
      <c r="P104">
        <v>97</v>
      </c>
      <c r="Q104" t="str">
        <f>_xlfn.CONCAT(O104,"_",P104)</f>
        <v>\ulubigolivines_171not170_97</v>
      </c>
      <c r="S104" t="s">
        <v>495</v>
      </c>
      <c r="T104" t="s">
        <v>496</v>
      </c>
      <c r="U104">
        <v>2</v>
      </c>
      <c r="V104">
        <v>21201</v>
      </c>
      <c r="W104">
        <v>169.316</v>
      </c>
      <c r="X104">
        <v>159.429</v>
      </c>
      <c r="Y104">
        <v>18.594999999999999</v>
      </c>
      <c r="AH104" t="s">
        <v>503</v>
      </c>
    </row>
    <row r="105" spans="1:35" x14ac:dyDescent="0.2">
      <c r="A105" t="s">
        <v>180</v>
      </c>
      <c r="B105" s="1">
        <v>45737</v>
      </c>
      <c r="C105">
        <v>47577</v>
      </c>
      <c r="F105" t="s">
        <v>131</v>
      </c>
      <c r="G105" t="s">
        <v>255</v>
      </c>
      <c r="H105" t="s">
        <v>2</v>
      </c>
      <c r="I105" t="s">
        <v>3</v>
      </c>
      <c r="J105" t="str">
        <f t="shared" si="57"/>
        <v>KL0908_c172</v>
      </c>
      <c r="K105" t="str">
        <f t="shared" si="58"/>
        <v>KL0908_c172_a1</v>
      </c>
      <c r="L105" t="str">
        <f t="shared" si="59"/>
        <v>KL0908_c172_a1_FIA</v>
      </c>
      <c r="M105" t="s">
        <v>380</v>
      </c>
      <c r="R105" t="s">
        <v>582</v>
      </c>
      <c r="S105" t="s">
        <v>597</v>
      </c>
      <c r="T105" t="s">
        <v>631</v>
      </c>
      <c r="U105">
        <v>3</v>
      </c>
      <c r="V105">
        <v>31855</v>
      </c>
      <c r="W105">
        <v>219.072</v>
      </c>
      <c r="X105">
        <v>185.14099999999999</v>
      </c>
      <c r="Y105">
        <v>45</v>
      </c>
      <c r="AD105" t="s">
        <v>498</v>
      </c>
      <c r="AE105" t="s">
        <v>500</v>
      </c>
      <c r="AH105" t="s">
        <v>499</v>
      </c>
      <c r="AI105" t="s">
        <v>632</v>
      </c>
    </row>
    <row r="106" spans="1:35" x14ac:dyDescent="0.2">
      <c r="A106" t="s">
        <v>181</v>
      </c>
      <c r="B106" s="1">
        <v>45737</v>
      </c>
      <c r="C106">
        <v>47898</v>
      </c>
      <c r="F106" t="s">
        <v>131</v>
      </c>
      <c r="G106" t="s">
        <v>255</v>
      </c>
      <c r="H106" t="s">
        <v>2</v>
      </c>
      <c r="I106" t="s">
        <v>5</v>
      </c>
      <c r="J106" t="str">
        <f t="shared" si="57"/>
        <v>KL0908_c172</v>
      </c>
      <c r="K106" t="str">
        <f t="shared" si="58"/>
        <v>KL0908_c172_a1</v>
      </c>
      <c r="L106" t="str">
        <f t="shared" si="59"/>
        <v>KL0908_c172_a1_FIB</v>
      </c>
      <c r="M106" t="s">
        <v>380</v>
      </c>
      <c r="R106" t="s">
        <v>582</v>
      </c>
      <c r="S106" t="s">
        <v>495</v>
      </c>
      <c r="T106" t="s">
        <v>504</v>
      </c>
      <c r="U106">
        <v>4</v>
      </c>
      <c r="V106">
        <v>8101</v>
      </c>
      <c r="W106">
        <v>124.215</v>
      </c>
      <c r="X106">
        <v>83.037999999999997</v>
      </c>
      <c r="Y106">
        <v>46.448999999999998</v>
      </c>
      <c r="AH106" t="s">
        <v>499</v>
      </c>
    </row>
    <row r="107" spans="1:35" x14ac:dyDescent="0.2">
      <c r="A107" t="s">
        <v>182</v>
      </c>
      <c r="B107" s="1">
        <v>45737</v>
      </c>
      <c r="C107">
        <v>48298</v>
      </c>
      <c r="F107" t="s">
        <v>131</v>
      </c>
      <c r="G107" t="s">
        <v>256</v>
      </c>
      <c r="H107" t="s">
        <v>2</v>
      </c>
      <c r="I107" t="s">
        <v>3</v>
      </c>
      <c r="J107" t="str">
        <f t="shared" si="57"/>
        <v>KL0908_c173</v>
      </c>
      <c r="K107" t="str">
        <f t="shared" si="58"/>
        <v>KL0908_c173_a1</v>
      </c>
      <c r="L107" t="str">
        <f t="shared" si="59"/>
        <v>KL0908_c173_a1_FIA</v>
      </c>
      <c r="M107" t="s">
        <v>381</v>
      </c>
      <c r="O107" t="s">
        <v>470</v>
      </c>
      <c r="P107">
        <v>34</v>
      </c>
      <c r="Q107" t="str">
        <f t="shared" ref="Q107:Q128" si="60">_xlfn.CONCAT(O107,"_",P107)</f>
        <v>\ulubigolivines_173_34</v>
      </c>
      <c r="S107" t="s">
        <v>495</v>
      </c>
      <c r="T107" t="s">
        <v>504</v>
      </c>
      <c r="U107">
        <v>5</v>
      </c>
      <c r="V107">
        <v>9259</v>
      </c>
      <c r="W107">
        <v>116.218</v>
      </c>
      <c r="X107">
        <v>101.438</v>
      </c>
      <c r="Y107">
        <v>138.386</v>
      </c>
      <c r="AH107" t="s">
        <v>499</v>
      </c>
    </row>
    <row r="108" spans="1:35" x14ac:dyDescent="0.2">
      <c r="A108" t="s">
        <v>183</v>
      </c>
      <c r="B108" s="1">
        <v>45737</v>
      </c>
      <c r="C108">
        <v>48707</v>
      </c>
      <c r="F108" t="s">
        <v>66</v>
      </c>
      <c r="G108" t="s">
        <v>257</v>
      </c>
      <c r="H108" t="s">
        <v>2</v>
      </c>
      <c r="I108" t="s">
        <v>3</v>
      </c>
      <c r="J108" t="str">
        <f t="shared" si="57"/>
        <v>KL0910_c176</v>
      </c>
      <c r="K108" t="str">
        <f t="shared" si="58"/>
        <v>KL0910_c176_a1</v>
      </c>
      <c r="L108" t="str">
        <f t="shared" si="59"/>
        <v>KL0910_c176_a1_FIA</v>
      </c>
      <c r="M108" t="s">
        <v>382</v>
      </c>
      <c r="O108" t="s">
        <v>471</v>
      </c>
      <c r="P108">
        <v>2</v>
      </c>
      <c r="Q108" t="str">
        <f t="shared" si="60"/>
        <v>\ulubigolivines_176_2</v>
      </c>
      <c r="S108" t="s">
        <v>495</v>
      </c>
      <c r="T108" t="s">
        <v>504</v>
      </c>
      <c r="U108">
        <v>6</v>
      </c>
      <c r="V108">
        <v>11244</v>
      </c>
      <c r="W108">
        <v>129.459</v>
      </c>
      <c r="X108">
        <v>110.58499999999999</v>
      </c>
      <c r="Y108">
        <v>4.1779999999999999</v>
      </c>
      <c r="AH108" t="s">
        <v>505</v>
      </c>
    </row>
    <row r="109" spans="1:35" x14ac:dyDescent="0.2">
      <c r="A109" t="s">
        <v>184</v>
      </c>
      <c r="B109" s="1">
        <v>45737</v>
      </c>
      <c r="C109">
        <v>49432</v>
      </c>
      <c r="F109" t="s">
        <v>66</v>
      </c>
      <c r="G109" t="s">
        <v>258</v>
      </c>
      <c r="H109" t="s">
        <v>2</v>
      </c>
      <c r="I109" t="s">
        <v>3</v>
      </c>
      <c r="J109" t="str">
        <f t="shared" si="57"/>
        <v>KL0910_c178</v>
      </c>
      <c r="K109" t="str">
        <f t="shared" si="58"/>
        <v>KL0910_c178_a1</v>
      </c>
      <c r="L109" t="str">
        <f t="shared" si="59"/>
        <v>KL0910_c178_a1_FIA</v>
      </c>
      <c r="M109" t="s">
        <v>383</v>
      </c>
      <c r="O109" t="s">
        <v>472</v>
      </c>
      <c r="P109">
        <v>50</v>
      </c>
      <c r="Q109" t="str">
        <f t="shared" si="60"/>
        <v>\ulubigolivines_178_50</v>
      </c>
      <c r="S109" t="s">
        <v>495</v>
      </c>
      <c r="T109" t="s">
        <v>496</v>
      </c>
      <c r="U109">
        <v>1</v>
      </c>
      <c r="V109">
        <v>33694</v>
      </c>
      <c r="W109">
        <v>220.947</v>
      </c>
      <c r="X109">
        <v>194.167</v>
      </c>
      <c r="Y109">
        <v>63.216999999999999</v>
      </c>
      <c r="AH109" t="s">
        <v>499</v>
      </c>
      <c r="AI109" t="s">
        <v>633</v>
      </c>
    </row>
    <row r="110" spans="1:35" x14ac:dyDescent="0.2">
      <c r="A110" t="s">
        <v>185</v>
      </c>
      <c r="B110" s="1">
        <v>45737</v>
      </c>
      <c r="C110">
        <v>49744</v>
      </c>
      <c r="F110" t="s">
        <v>66</v>
      </c>
      <c r="G110" t="s">
        <v>258</v>
      </c>
      <c r="H110" t="s">
        <v>2</v>
      </c>
      <c r="I110" t="s">
        <v>5</v>
      </c>
      <c r="J110" t="str">
        <f t="shared" si="57"/>
        <v>KL0910_c178</v>
      </c>
      <c r="K110" t="str">
        <f t="shared" si="58"/>
        <v>KL0910_c178_a1</v>
      </c>
      <c r="L110" t="str">
        <f t="shared" si="59"/>
        <v>KL0910_c178_a1_FIB</v>
      </c>
      <c r="M110" t="s">
        <v>383</v>
      </c>
      <c r="O110" t="s">
        <v>472</v>
      </c>
      <c r="P110">
        <v>50</v>
      </c>
      <c r="Q110" t="str">
        <f t="shared" si="60"/>
        <v>\ulubigolivines_178_50</v>
      </c>
      <c r="S110" t="s">
        <v>495</v>
      </c>
      <c r="T110" t="s">
        <v>496</v>
      </c>
      <c r="U110">
        <v>2</v>
      </c>
      <c r="V110">
        <v>13651</v>
      </c>
      <c r="W110">
        <v>135.63200000000001</v>
      </c>
      <c r="X110">
        <v>128.148</v>
      </c>
      <c r="Y110">
        <v>65.539000000000001</v>
      </c>
      <c r="AH110" t="s">
        <v>499</v>
      </c>
      <c r="AI110" t="s">
        <v>633</v>
      </c>
    </row>
    <row r="111" spans="1:35" x14ac:dyDescent="0.2">
      <c r="A111" t="s">
        <v>186</v>
      </c>
      <c r="B111" s="1">
        <v>45737</v>
      </c>
      <c r="C111">
        <v>50120</v>
      </c>
      <c r="F111" t="s">
        <v>66</v>
      </c>
      <c r="G111" t="s">
        <v>259</v>
      </c>
      <c r="H111" t="s">
        <v>2</v>
      </c>
      <c r="I111" t="s">
        <v>3</v>
      </c>
      <c r="J111" t="str">
        <f t="shared" si="57"/>
        <v>KL0910_c179</v>
      </c>
      <c r="K111" t="str">
        <f t="shared" si="58"/>
        <v>KL0910_c179_a1</v>
      </c>
      <c r="L111" t="str">
        <f t="shared" si="59"/>
        <v>KL0910_c179_a1_FIA</v>
      </c>
      <c r="M111" t="s">
        <v>384</v>
      </c>
      <c r="O111" t="s">
        <v>473</v>
      </c>
      <c r="P111">
        <v>49</v>
      </c>
      <c r="Q111" t="str">
        <f t="shared" si="60"/>
        <v>\ulubigolivines_179_49</v>
      </c>
      <c r="R111" t="s">
        <v>583</v>
      </c>
      <c r="S111" t="s">
        <v>495</v>
      </c>
      <c r="T111" t="s">
        <v>496</v>
      </c>
      <c r="U111">
        <v>3</v>
      </c>
      <c r="V111">
        <v>7899</v>
      </c>
      <c r="W111">
        <v>109.6</v>
      </c>
      <c r="X111">
        <v>91.763999999999996</v>
      </c>
      <c r="Y111">
        <v>24.638999999999999</v>
      </c>
      <c r="AH111" t="s">
        <v>610</v>
      </c>
      <c r="AI111" t="s">
        <v>634</v>
      </c>
    </row>
    <row r="112" spans="1:35" x14ac:dyDescent="0.2">
      <c r="A112" t="s">
        <v>187</v>
      </c>
      <c r="B112" s="1">
        <v>45737</v>
      </c>
      <c r="C112">
        <v>51022</v>
      </c>
      <c r="F112" t="s">
        <v>260</v>
      </c>
      <c r="G112" t="s">
        <v>261</v>
      </c>
      <c r="H112" t="s">
        <v>2</v>
      </c>
      <c r="I112" t="s">
        <v>3</v>
      </c>
      <c r="J112" t="str">
        <f t="shared" si="57"/>
        <v>KL0919_c181</v>
      </c>
      <c r="K112" t="str">
        <f t="shared" si="58"/>
        <v>KL0919_c181_a1</v>
      </c>
      <c r="L112" t="str">
        <f t="shared" si="59"/>
        <v>KL0919_c181_a1_FIA</v>
      </c>
      <c r="M112" t="s">
        <v>385</v>
      </c>
      <c r="O112" t="s">
        <v>474</v>
      </c>
      <c r="P112">
        <v>67</v>
      </c>
      <c r="Q112" t="str">
        <f t="shared" si="60"/>
        <v>\ulubigolivines_181_67</v>
      </c>
      <c r="S112" t="s">
        <v>495</v>
      </c>
      <c r="T112" t="s">
        <v>496</v>
      </c>
      <c r="U112">
        <v>4</v>
      </c>
      <c r="V112">
        <v>60247</v>
      </c>
      <c r="W112">
        <v>291.79899999999998</v>
      </c>
      <c r="X112">
        <v>262.88299999999998</v>
      </c>
      <c r="Y112">
        <v>160.572</v>
      </c>
      <c r="AD112" t="s">
        <v>498</v>
      </c>
      <c r="AH112" t="s">
        <v>610</v>
      </c>
      <c r="AI112" t="s">
        <v>635</v>
      </c>
    </row>
    <row r="113" spans="1:35" x14ac:dyDescent="0.2">
      <c r="A113" t="s">
        <v>188</v>
      </c>
      <c r="B113" s="1">
        <v>45737</v>
      </c>
      <c r="C113">
        <v>51366</v>
      </c>
      <c r="F113" t="s">
        <v>260</v>
      </c>
      <c r="G113" t="s">
        <v>261</v>
      </c>
      <c r="H113" t="s">
        <v>133</v>
      </c>
      <c r="I113" t="s">
        <v>5</v>
      </c>
      <c r="J113" t="str">
        <f t="shared" si="57"/>
        <v>KL0919_c181</v>
      </c>
      <c r="K113" t="str">
        <f t="shared" si="58"/>
        <v>KL0919_c181_a2</v>
      </c>
      <c r="L113" t="str">
        <f t="shared" si="59"/>
        <v>KL0919_c181_a2_FIB</v>
      </c>
      <c r="M113" t="s">
        <v>386</v>
      </c>
      <c r="O113" t="s">
        <v>474</v>
      </c>
      <c r="P113">
        <v>67</v>
      </c>
      <c r="Q113" t="str">
        <f t="shared" si="60"/>
        <v>\ulubigolivines_181_67</v>
      </c>
      <c r="S113" t="s">
        <v>636</v>
      </c>
      <c r="T113" t="s">
        <v>637</v>
      </c>
      <c r="U113">
        <v>5</v>
      </c>
      <c r="V113">
        <v>4600</v>
      </c>
      <c r="W113">
        <v>85.188000000000002</v>
      </c>
      <c r="X113">
        <v>68.753</v>
      </c>
      <c r="Y113">
        <v>78.578000000000003</v>
      </c>
      <c r="AE113" t="s">
        <v>500</v>
      </c>
      <c r="AH113" t="s">
        <v>613</v>
      </c>
      <c r="AI113" t="s">
        <v>638</v>
      </c>
    </row>
    <row r="114" spans="1:35" x14ac:dyDescent="0.2">
      <c r="A114" t="s">
        <v>189</v>
      </c>
      <c r="B114" s="1">
        <v>45737</v>
      </c>
      <c r="C114">
        <v>51686</v>
      </c>
      <c r="F114" t="s">
        <v>260</v>
      </c>
      <c r="G114" t="s">
        <v>261</v>
      </c>
      <c r="H114" t="s">
        <v>133</v>
      </c>
      <c r="I114" t="s">
        <v>7</v>
      </c>
      <c r="J114" t="str">
        <f t="shared" si="57"/>
        <v>KL0919_c181</v>
      </c>
      <c r="K114" t="str">
        <f t="shared" si="58"/>
        <v>KL0919_c181_a2</v>
      </c>
      <c r="L114" t="str">
        <f t="shared" si="59"/>
        <v>KL0919_c181_a2_FIC</v>
      </c>
      <c r="M114" t="s">
        <v>386</v>
      </c>
      <c r="O114" t="s">
        <v>474</v>
      </c>
      <c r="P114">
        <v>67</v>
      </c>
      <c r="Q114" t="str">
        <f t="shared" si="60"/>
        <v>\ulubigolivines_181_67</v>
      </c>
      <c r="S114" t="s">
        <v>636</v>
      </c>
      <c r="T114" t="s">
        <v>637</v>
      </c>
      <c r="U114">
        <v>6</v>
      </c>
      <c r="V114">
        <v>4989</v>
      </c>
      <c r="W114">
        <v>80.287999999999997</v>
      </c>
      <c r="X114">
        <v>79.117999999999995</v>
      </c>
      <c r="Y114">
        <v>80.75</v>
      </c>
      <c r="AH114" t="s">
        <v>610</v>
      </c>
    </row>
    <row r="115" spans="1:35" s="5" customFormat="1" x14ac:dyDescent="0.2">
      <c r="A115" s="5" t="s">
        <v>190</v>
      </c>
      <c r="B115" s="7">
        <v>45737</v>
      </c>
      <c r="C115" s="5">
        <v>54516</v>
      </c>
      <c r="F115" s="5" t="s">
        <v>262</v>
      </c>
      <c r="G115" s="5" t="s">
        <v>263</v>
      </c>
      <c r="H115" s="5" t="s">
        <v>2</v>
      </c>
      <c r="I115" s="5" t="s">
        <v>3</v>
      </c>
      <c r="J115" s="5" t="str">
        <f t="shared" si="57"/>
        <v>KL0921_c325</v>
      </c>
      <c r="K115" s="5" t="str">
        <f t="shared" si="58"/>
        <v>KL0921_c325_a1</v>
      </c>
      <c r="L115" s="5" t="str">
        <f t="shared" si="59"/>
        <v>KL0921_c325_a1_FIA</v>
      </c>
      <c r="M115" s="5" t="s">
        <v>388</v>
      </c>
      <c r="O115" s="5" t="s">
        <v>541</v>
      </c>
      <c r="P115" s="5">
        <v>79</v>
      </c>
      <c r="Q115" s="5" t="str">
        <f t="shared" si="60"/>
        <v>\KL0921_c325_79</v>
      </c>
      <c r="R115" s="5" t="s">
        <v>568</v>
      </c>
      <c r="S115" s="5" t="s">
        <v>495</v>
      </c>
      <c r="T115" s="5" t="s">
        <v>496</v>
      </c>
      <c r="U115" s="5">
        <v>7</v>
      </c>
      <c r="V115" s="5">
        <v>27936</v>
      </c>
      <c r="W115" s="5">
        <v>194.39599999999999</v>
      </c>
      <c r="X115" s="5">
        <v>182.97300000000001</v>
      </c>
      <c r="Y115" s="5">
        <v>11.404</v>
      </c>
      <c r="AH115" s="5" t="s">
        <v>505</v>
      </c>
      <c r="AI115" s="5" t="s">
        <v>639</v>
      </c>
    </row>
    <row r="116" spans="1:35" s="5" customFormat="1" x14ac:dyDescent="0.2">
      <c r="A116" s="5" t="s">
        <v>191</v>
      </c>
      <c r="B116" s="7">
        <v>45737</v>
      </c>
      <c r="C116" s="5">
        <v>56282</v>
      </c>
      <c r="F116" s="5" t="s">
        <v>262</v>
      </c>
      <c r="G116" s="5" t="s">
        <v>264</v>
      </c>
      <c r="H116" s="5" t="s">
        <v>2</v>
      </c>
      <c r="I116" s="5" t="s">
        <v>3</v>
      </c>
      <c r="J116" s="5" t="str">
        <f t="shared" si="57"/>
        <v>KL0921_c335</v>
      </c>
      <c r="K116" s="5" t="str">
        <f t="shared" si="58"/>
        <v>KL0921_c335_a1</v>
      </c>
      <c r="L116" s="5" t="str">
        <f t="shared" si="59"/>
        <v>KL0921_c335_a1_FIA</v>
      </c>
      <c r="M116" s="5" t="s">
        <v>389</v>
      </c>
      <c r="O116" s="5" t="s">
        <v>542</v>
      </c>
      <c r="P116" s="5">
        <v>194</v>
      </c>
      <c r="Q116" s="5" t="str">
        <f t="shared" si="60"/>
        <v>\KL0921_c335_194</v>
      </c>
      <c r="R116" s="5" t="s">
        <v>584</v>
      </c>
      <c r="S116" s="5" t="s">
        <v>495</v>
      </c>
      <c r="T116" s="5" t="s">
        <v>496</v>
      </c>
      <c r="U116" s="5">
        <v>1</v>
      </c>
      <c r="V116" s="5">
        <v>5183</v>
      </c>
      <c r="W116" s="5">
        <v>85.603999999999999</v>
      </c>
      <c r="X116" s="5">
        <v>77.09</v>
      </c>
      <c r="Y116" s="5">
        <v>93.805000000000007</v>
      </c>
      <c r="AH116" s="5" t="s">
        <v>499</v>
      </c>
    </row>
    <row r="117" spans="1:35" s="5" customFormat="1" x14ac:dyDescent="0.2">
      <c r="A117" s="5" t="s">
        <v>192</v>
      </c>
      <c r="B117" s="7">
        <v>45737</v>
      </c>
      <c r="C117" s="5">
        <v>56580</v>
      </c>
      <c r="F117" s="5" t="s">
        <v>262</v>
      </c>
      <c r="G117" s="5" t="s">
        <v>264</v>
      </c>
      <c r="H117" s="5" t="s">
        <v>133</v>
      </c>
      <c r="I117" s="5" t="s">
        <v>5</v>
      </c>
      <c r="J117" s="5" t="str">
        <f t="shared" si="57"/>
        <v>KL0921_c335</v>
      </c>
      <c r="K117" s="5" t="str">
        <f t="shared" si="58"/>
        <v>KL0921_c335_a2</v>
      </c>
      <c r="L117" s="5" t="str">
        <f t="shared" si="59"/>
        <v>KL0921_c335_a2_FIB</v>
      </c>
      <c r="M117" s="5" t="s">
        <v>390</v>
      </c>
      <c r="O117" s="5" t="s">
        <v>542</v>
      </c>
      <c r="P117" s="5">
        <v>194</v>
      </c>
      <c r="Q117" s="5" t="str">
        <f t="shared" si="60"/>
        <v>\KL0921_c335_194</v>
      </c>
      <c r="R117" s="5" t="s">
        <v>568</v>
      </c>
      <c r="S117" s="5" t="s">
        <v>495</v>
      </c>
      <c r="T117" s="5" t="s">
        <v>496</v>
      </c>
      <c r="U117" s="5">
        <v>2</v>
      </c>
      <c r="V117" s="5">
        <v>6095</v>
      </c>
      <c r="W117" s="5">
        <v>91.887</v>
      </c>
      <c r="X117" s="5">
        <v>84.456000000000003</v>
      </c>
      <c r="Y117" s="5">
        <v>84.945999999999998</v>
      </c>
      <c r="AH117" s="5" t="s">
        <v>505</v>
      </c>
    </row>
    <row r="118" spans="1:35" s="5" customFormat="1" x14ac:dyDescent="0.2">
      <c r="A118" s="5" t="s">
        <v>193</v>
      </c>
      <c r="B118" s="7">
        <v>45737</v>
      </c>
      <c r="C118" s="5">
        <v>57093</v>
      </c>
      <c r="F118" s="5" t="s">
        <v>262</v>
      </c>
      <c r="G118" s="5" t="s">
        <v>265</v>
      </c>
      <c r="H118" s="5" t="s">
        <v>2</v>
      </c>
      <c r="I118" s="5" t="s">
        <v>3</v>
      </c>
      <c r="J118" s="5" t="str">
        <f t="shared" si="57"/>
        <v>KL0921_c337</v>
      </c>
      <c r="K118" s="5" t="str">
        <f t="shared" si="58"/>
        <v>KL0921_c337_a1</v>
      </c>
      <c r="L118" s="5" t="str">
        <f t="shared" si="59"/>
        <v>KL0921_c337_a1_FIA</v>
      </c>
      <c r="M118" s="5" t="s">
        <v>391</v>
      </c>
      <c r="O118" s="5" t="s">
        <v>543</v>
      </c>
      <c r="P118" s="5">
        <v>41</v>
      </c>
      <c r="Q118" s="5" t="str">
        <f t="shared" si="60"/>
        <v>\KL0921_c337_41</v>
      </c>
      <c r="R118" s="5" t="s">
        <v>568</v>
      </c>
      <c r="S118" s="5" t="s">
        <v>495</v>
      </c>
      <c r="T118" s="5" t="s">
        <v>496</v>
      </c>
      <c r="U118" s="5">
        <v>3</v>
      </c>
      <c r="V118" s="5">
        <v>3420</v>
      </c>
      <c r="W118" s="5">
        <v>67.658000000000001</v>
      </c>
      <c r="X118" s="5">
        <v>64.36</v>
      </c>
      <c r="Y118" s="5">
        <v>43.103000000000002</v>
      </c>
      <c r="AH118" s="5" t="s">
        <v>499</v>
      </c>
    </row>
    <row r="119" spans="1:35" s="5" customFormat="1" x14ac:dyDescent="0.2">
      <c r="A119" s="5" t="s">
        <v>194</v>
      </c>
      <c r="B119" s="7">
        <v>45737</v>
      </c>
      <c r="C119" s="5">
        <v>57721</v>
      </c>
      <c r="F119" s="5" t="s">
        <v>262</v>
      </c>
      <c r="G119" s="5" t="s">
        <v>265</v>
      </c>
      <c r="H119" s="5" t="s">
        <v>2</v>
      </c>
      <c r="I119" s="5" t="s">
        <v>5</v>
      </c>
      <c r="J119" s="5" t="str">
        <f t="shared" si="57"/>
        <v>KL0921_c337</v>
      </c>
      <c r="K119" s="5" t="str">
        <f t="shared" si="58"/>
        <v>KL0921_c337_a1</v>
      </c>
      <c r="L119" s="5" t="str">
        <f t="shared" si="59"/>
        <v>KL0921_c337_a1_FIB</v>
      </c>
      <c r="M119" s="5" t="s">
        <v>391</v>
      </c>
      <c r="O119" s="5" t="s">
        <v>543</v>
      </c>
      <c r="P119" s="5">
        <v>41</v>
      </c>
      <c r="Q119" s="5" t="str">
        <f t="shared" si="60"/>
        <v>\KL0921_c337_41</v>
      </c>
      <c r="R119" s="5" t="s">
        <v>568</v>
      </c>
      <c r="S119" s="5" t="s">
        <v>495</v>
      </c>
      <c r="T119" s="5" t="s">
        <v>496</v>
      </c>
      <c r="U119" s="5">
        <v>4</v>
      </c>
      <c r="V119" s="5">
        <v>3066</v>
      </c>
      <c r="W119" s="5">
        <v>68.081999999999994</v>
      </c>
      <c r="X119" s="5">
        <v>57.338999999999999</v>
      </c>
      <c r="Y119" s="5">
        <v>19.001999999999999</v>
      </c>
      <c r="AH119" s="5" t="s">
        <v>499</v>
      </c>
    </row>
    <row r="120" spans="1:35" s="5" customFormat="1" x14ac:dyDescent="0.2">
      <c r="A120" s="5" t="s">
        <v>195</v>
      </c>
      <c r="B120" s="7">
        <v>45737</v>
      </c>
      <c r="C120" s="5">
        <v>58158</v>
      </c>
      <c r="F120" s="5" t="s">
        <v>262</v>
      </c>
      <c r="G120" s="5" t="s">
        <v>265</v>
      </c>
      <c r="H120" s="5" t="s">
        <v>2</v>
      </c>
      <c r="I120" s="5" t="s">
        <v>7</v>
      </c>
      <c r="J120" s="5" t="str">
        <f t="shared" si="57"/>
        <v>KL0921_c337</v>
      </c>
      <c r="K120" s="5" t="str">
        <f t="shared" si="58"/>
        <v>KL0921_c337_a1</v>
      </c>
      <c r="L120" s="5" t="str">
        <f t="shared" si="59"/>
        <v>KL0921_c337_a1_FIC</v>
      </c>
      <c r="M120" s="5" t="s">
        <v>391</v>
      </c>
      <c r="O120" s="5" t="s">
        <v>543</v>
      </c>
      <c r="P120" s="5">
        <v>41</v>
      </c>
      <c r="Q120" s="5" t="str">
        <f t="shared" si="60"/>
        <v>\KL0921_c337_41</v>
      </c>
      <c r="R120" s="5" t="s">
        <v>568</v>
      </c>
      <c r="S120" s="5" t="s">
        <v>495</v>
      </c>
      <c r="T120" s="5" t="s">
        <v>504</v>
      </c>
      <c r="U120" s="5">
        <v>5</v>
      </c>
      <c r="V120" s="5">
        <v>5133</v>
      </c>
      <c r="W120" s="5">
        <v>84.03</v>
      </c>
      <c r="X120" s="5">
        <v>77.777000000000001</v>
      </c>
      <c r="Y120" s="5">
        <v>31.91</v>
      </c>
      <c r="AH120" s="5" t="s">
        <v>499</v>
      </c>
    </row>
    <row r="121" spans="1:35" s="5" customFormat="1" x14ac:dyDescent="0.2">
      <c r="A121" s="5" t="s">
        <v>196</v>
      </c>
      <c r="B121" s="7">
        <v>45737</v>
      </c>
      <c r="C121" s="5">
        <v>58426</v>
      </c>
      <c r="F121" s="5" t="s">
        <v>262</v>
      </c>
      <c r="G121" s="5" t="s">
        <v>265</v>
      </c>
      <c r="H121" s="5" t="s">
        <v>2</v>
      </c>
      <c r="I121" s="5" t="s">
        <v>8</v>
      </c>
      <c r="J121" s="5" t="str">
        <f t="shared" si="57"/>
        <v>KL0921_c337</v>
      </c>
      <c r="K121" s="5" t="str">
        <f t="shared" si="58"/>
        <v>KL0921_c337_a1</v>
      </c>
      <c r="L121" s="5" t="str">
        <f t="shared" si="59"/>
        <v>KL0921_c337_a1_FID</v>
      </c>
      <c r="M121" s="5" t="s">
        <v>391</v>
      </c>
      <c r="O121" s="5" t="s">
        <v>543</v>
      </c>
      <c r="P121" s="5">
        <v>41</v>
      </c>
      <c r="Q121" s="5" t="str">
        <f t="shared" si="60"/>
        <v>\KL0921_c337_41</v>
      </c>
      <c r="R121" s="5" t="s">
        <v>568</v>
      </c>
      <c r="S121" s="5" t="s">
        <v>495</v>
      </c>
      <c r="T121" s="5" t="s">
        <v>504</v>
      </c>
      <c r="U121" s="5">
        <v>6</v>
      </c>
      <c r="V121" s="5">
        <v>3024</v>
      </c>
      <c r="W121" s="5">
        <v>70.611000000000004</v>
      </c>
      <c r="X121" s="5">
        <v>54.527999999999999</v>
      </c>
      <c r="Y121" s="5">
        <v>22.282</v>
      </c>
      <c r="AH121" s="5" t="s">
        <v>499</v>
      </c>
    </row>
    <row r="122" spans="1:35" s="5" customFormat="1" x14ac:dyDescent="0.2">
      <c r="A122" s="5" t="s">
        <v>197</v>
      </c>
      <c r="B122" s="7">
        <v>45737</v>
      </c>
      <c r="C122" s="5">
        <v>59440</v>
      </c>
      <c r="F122" s="5" t="s">
        <v>266</v>
      </c>
      <c r="G122" s="5" t="s">
        <v>267</v>
      </c>
      <c r="H122" s="5" t="s">
        <v>2</v>
      </c>
      <c r="I122" s="5" t="s">
        <v>3</v>
      </c>
      <c r="J122" s="5" t="str">
        <f t="shared" si="57"/>
        <v>KL0924_c363</v>
      </c>
      <c r="K122" s="5" t="str">
        <f t="shared" si="58"/>
        <v>KL0924_c363_a1</v>
      </c>
      <c r="L122" s="5" t="str">
        <f t="shared" si="59"/>
        <v>KL0924_c363_a1_FIA</v>
      </c>
      <c r="M122" s="5" t="s">
        <v>392</v>
      </c>
      <c r="O122" s="5" t="s">
        <v>544</v>
      </c>
      <c r="P122" s="5">
        <v>53</v>
      </c>
      <c r="Q122" s="5" t="str">
        <f t="shared" si="60"/>
        <v>\KL0924_c363_53</v>
      </c>
      <c r="R122" s="5" t="s">
        <v>585</v>
      </c>
      <c r="S122" s="5" t="s">
        <v>495</v>
      </c>
      <c r="T122" s="5" t="s">
        <v>504</v>
      </c>
      <c r="U122" s="5">
        <v>7</v>
      </c>
      <c r="V122" s="5">
        <v>4421</v>
      </c>
      <c r="W122" s="5">
        <v>77.715999999999994</v>
      </c>
      <c r="X122" s="5">
        <v>72.430000000000007</v>
      </c>
      <c r="Y122" s="5">
        <v>88.075000000000003</v>
      </c>
      <c r="AH122" s="5" t="s">
        <v>499</v>
      </c>
    </row>
    <row r="123" spans="1:35" s="5" customFormat="1" x14ac:dyDescent="0.2">
      <c r="A123" s="5" t="s">
        <v>198</v>
      </c>
      <c r="B123" s="7">
        <v>45737</v>
      </c>
      <c r="C123" s="5">
        <v>59897</v>
      </c>
      <c r="F123" s="5" t="s">
        <v>266</v>
      </c>
      <c r="G123" s="5" t="s">
        <v>267</v>
      </c>
      <c r="H123" s="5" t="s">
        <v>2</v>
      </c>
      <c r="I123" s="5" t="s">
        <v>5</v>
      </c>
      <c r="J123" s="5" t="str">
        <f t="shared" si="57"/>
        <v>KL0924_c363</v>
      </c>
      <c r="K123" s="5" t="str">
        <f t="shared" si="58"/>
        <v>KL0924_c363_a1</v>
      </c>
      <c r="L123" s="5" t="str">
        <f t="shared" si="59"/>
        <v>KL0924_c363_a1_FIB</v>
      </c>
      <c r="M123" s="5" t="s">
        <v>392</v>
      </c>
      <c r="O123" s="5" t="s">
        <v>544</v>
      </c>
      <c r="P123" s="5">
        <v>53</v>
      </c>
      <c r="Q123" s="5" t="str">
        <f t="shared" si="60"/>
        <v>\KL0924_c363_53</v>
      </c>
      <c r="R123" s="5" t="s">
        <v>585</v>
      </c>
      <c r="AI123" s="5" t="s">
        <v>640</v>
      </c>
    </row>
    <row r="124" spans="1:35" s="5" customFormat="1" x14ac:dyDescent="0.2">
      <c r="A124" s="5" t="s">
        <v>199</v>
      </c>
      <c r="B124" s="7">
        <v>45737</v>
      </c>
      <c r="C124" s="5">
        <v>60549</v>
      </c>
      <c r="F124" s="5" t="s">
        <v>266</v>
      </c>
      <c r="G124" s="5" t="s">
        <v>268</v>
      </c>
      <c r="H124" s="5" t="s">
        <v>2</v>
      </c>
      <c r="I124" s="5" t="s">
        <v>3</v>
      </c>
      <c r="J124" s="5" t="str">
        <f t="shared" si="57"/>
        <v>KL0924_c364</v>
      </c>
      <c r="K124" s="5" t="str">
        <f t="shared" si="58"/>
        <v>KL0924_c364_a1</v>
      </c>
      <c r="L124" s="5" t="str">
        <f t="shared" si="59"/>
        <v>KL0924_c364_a1_FIA</v>
      </c>
      <c r="M124" s="5" t="s">
        <v>393</v>
      </c>
      <c r="O124" s="5" t="s">
        <v>545</v>
      </c>
      <c r="P124" s="5">
        <v>57</v>
      </c>
      <c r="Q124" s="5" t="str">
        <f t="shared" si="60"/>
        <v>\KL0924_c364_57</v>
      </c>
      <c r="R124" s="5" t="s">
        <v>568</v>
      </c>
      <c r="S124" s="5" t="s">
        <v>495</v>
      </c>
      <c r="T124" s="5" t="s">
        <v>504</v>
      </c>
      <c r="U124" s="5">
        <v>1</v>
      </c>
      <c r="V124" s="5">
        <v>13366</v>
      </c>
      <c r="W124" s="5">
        <v>154.38900000000001</v>
      </c>
      <c r="X124" s="5">
        <v>110.229</v>
      </c>
      <c r="Y124" s="5">
        <v>136.059</v>
      </c>
      <c r="AH124" s="5" t="s">
        <v>610</v>
      </c>
    </row>
    <row r="125" spans="1:35" s="5" customFormat="1" x14ac:dyDescent="0.2">
      <c r="A125" s="5" t="s">
        <v>200</v>
      </c>
      <c r="B125" s="7">
        <v>45737</v>
      </c>
      <c r="C125" s="5">
        <v>60268</v>
      </c>
      <c r="F125" s="5" t="s">
        <v>266</v>
      </c>
      <c r="G125" s="5" t="s">
        <v>268</v>
      </c>
      <c r="H125" s="5" t="s">
        <v>2</v>
      </c>
      <c r="I125" s="5" t="s">
        <v>5</v>
      </c>
      <c r="J125" s="5" t="str">
        <f t="shared" si="57"/>
        <v>KL0924_c364</v>
      </c>
      <c r="K125" s="5" t="str">
        <f t="shared" si="58"/>
        <v>KL0924_c364_a1</v>
      </c>
      <c r="L125" s="5" t="str">
        <f t="shared" si="59"/>
        <v>KL0924_c364_a1_FIB</v>
      </c>
      <c r="M125" s="5" t="s">
        <v>393</v>
      </c>
      <c r="O125" s="5" t="s">
        <v>545</v>
      </c>
      <c r="P125" s="5">
        <v>57</v>
      </c>
      <c r="Q125" s="5" t="str">
        <f t="shared" si="60"/>
        <v>\KL0924_c364_57</v>
      </c>
      <c r="R125" s="5" t="s">
        <v>568</v>
      </c>
      <c r="S125" s="5" t="s">
        <v>495</v>
      </c>
      <c r="T125" s="5" t="s">
        <v>504</v>
      </c>
      <c r="U125" s="5">
        <v>2</v>
      </c>
      <c r="V125" s="5">
        <v>12300</v>
      </c>
      <c r="W125" s="5">
        <v>136.36600000000001</v>
      </c>
      <c r="X125" s="5">
        <v>114.84399999999999</v>
      </c>
      <c r="Y125" s="5">
        <v>66.397999999999996</v>
      </c>
      <c r="AH125" s="5" t="s">
        <v>499</v>
      </c>
    </row>
    <row r="126" spans="1:35" s="5" customFormat="1" x14ac:dyDescent="0.2">
      <c r="A126" s="5" t="s">
        <v>201</v>
      </c>
      <c r="B126" s="7">
        <v>45737</v>
      </c>
      <c r="C126" s="5">
        <v>61452</v>
      </c>
      <c r="F126" s="5" t="s">
        <v>266</v>
      </c>
      <c r="G126" s="5" t="s">
        <v>269</v>
      </c>
      <c r="H126" s="5" t="s">
        <v>133</v>
      </c>
      <c r="I126" s="5" t="s">
        <v>7</v>
      </c>
      <c r="J126" s="5" t="str">
        <f t="shared" si="57"/>
        <v>KL0924_c367</v>
      </c>
      <c r="K126" s="5" t="str">
        <f t="shared" si="58"/>
        <v>KL0924_c367_a2</v>
      </c>
      <c r="L126" s="5" t="str">
        <f t="shared" si="59"/>
        <v>KL0924_c367_a2_FIC</v>
      </c>
      <c r="M126" s="5" t="s">
        <v>394</v>
      </c>
      <c r="O126" s="5" t="s">
        <v>546</v>
      </c>
      <c r="P126" s="5">
        <v>128</v>
      </c>
      <c r="Q126" s="5" t="str">
        <f t="shared" si="60"/>
        <v>\KL0924_c367_128</v>
      </c>
      <c r="R126" s="5" t="s">
        <v>568</v>
      </c>
      <c r="S126" s="5" t="s">
        <v>495</v>
      </c>
      <c r="T126" s="5" t="s">
        <v>504</v>
      </c>
      <c r="U126" s="5">
        <v>1</v>
      </c>
      <c r="V126" s="5">
        <v>18580</v>
      </c>
      <c r="W126" s="5">
        <v>167.97800000000001</v>
      </c>
      <c r="X126" s="5">
        <v>140.83199999999999</v>
      </c>
      <c r="Y126" s="5">
        <v>50.515999999999998</v>
      </c>
      <c r="AF126" s="5" t="s">
        <v>498</v>
      </c>
      <c r="AH126" s="5" t="s">
        <v>610</v>
      </c>
      <c r="AI126" s="5" t="s">
        <v>641</v>
      </c>
    </row>
    <row r="127" spans="1:35" s="5" customFormat="1" x14ac:dyDescent="0.2">
      <c r="A127" s="5" t="s">
        <v>202</v>
      </c>
      <c r="B127" s="7">
        <v>45737</v>
      </c>
      <c r="C127" s="5">
        <v>61840</v>
      </c>
      <c r="F127" s="5" t="s">
        <v>266</v>
      </c>
      <c r="G127" s="5" t="s">
        <v>270</v>
      </c>
      <c r="H127" s="5" t="s">
        <v>2</v>
      </c>
      <c r="I127" s="5" t="s">
        <v>3</v>
      </c>
      <c r="J127" s="5" t="str">
        <f t="shared" si="57"/>
        <v>KL0924_c369</v>
      </c>
      <c r="K127" s="5" t="str">
        <f t="shared" si="58"/>
        <v>KL0924_c369_a1</v>
      </c>
      <c r="L127" s="5" t="str">
        <f t="shared" si="59"/>
        <v>KL0924_c369_a1_FIA</v>
      </c>
      <c r="M127" s="5" t="s">
        <v>395</v>
      </c>
      <c r="O127" s="5" t="s">
        <v>547</v>
      </c>
      <c r="P127" s="5">
        <v>210</v>
      </c>
      <c r="Q127" s="5" t="str">
        <f t="shared" si="60"/>
        <v>\KL0924_c369_210</v>
      </c>
      <c r="R127" s="5" t="s">
        <v>586</v>
      </c>
      <c r="S127" s="5" t="s">
        <v>495</v>
      </c>
      <c r="T127" s="5" t="s">
        <v>504</v>
      </c>
      <c r="U127" s="5">
        <v>2</v>
      </c>
      <c r="V127" s="5">
        <v>8577</v>
      </c>
      <c r="W127" s="5">
        <v>111.161</v>
      </c>
      <c r="X127" s="5">
        <v>98.241</v>
      </c>
      <c r="Y127" s="5">
        <v>120.681</v>
      </c>
      <c r="AH127" s="5" t="s">
        <v>499</v>
      </c>
      <c r="AI127" s="5" t="s">
        <v>642</v>
      </c>
    </row>
    <row r="128" spans="1:35" s="5" customFormat="1" x14ac:dyDescent="0.2">
      <c r="A128" s="5" t="s">
        <v>203</v>
      </c>
      <c r="B128" s="7">
        <v>45737</v>
      </c>
      <c r="C128" s="5">
        <v>62123</v>
      </c>
      <c r="F128" s="5" t="s">
        <v>266</v>
      </c>
      <c r="G128" s="5" t="s">
        <v>270</v>
      </c>
      <c r="H128" s="5" t="s">
        <v>2</v>
      </c>
      <c r="I128" s="5" t="s">
        <v>5</v>
      </c>
      <c r="J128" s="5" t="str">
        <f t="shared" si="57"/>
        <v>KL0924_c369</v>
      </c>
      <c r="K128" s="5" t="str">
        <f t="shared" si="58"/>
        <v>KL0924_c369_a1</v>
      </c>
      <c r="L128" s="5" t="str">
        <f t="shared" si="59"/>
        <v>KL0924_c369_a1_FIB</v>
      </c>
      <c r="M128" s="5" t="s">
        <v>395</v>
      </c>
      <c r="O128" s="5" t="s">
        <v>547</v>
      </c>
      <c r="P128" s="5">
        <v>210</v>
      </c>
      <c r="Q128" s="5" t="str">
        <f t="shared" si="60"/>
        <v>\KL0924_c369_210</v>
      </c>
      <c r="R128" s="5" t="s">
        <v>586</v>
      </c>
      <c r="S128" s="5" t="s">
        <v>495</v>
      </c>
      <c r="T128" s="5" t="s">
        <v>504</v>
      </c>
      <c r="U128" s="5">
        <v>3</v>
      </c>
      <c r="V128" s="5">
        <v>12044</v>
      </c>
      <c r="W128" s="5">
        <v>130.416</v>
      </c>
      <c r="X128" s="5">
        <v>117.584</v>
      </c>
      <c r="Y128" s="5">
        <v>100.452</v>
      </c>
      <c r="AH128" s="5" t="s">
        <v>610</v>
      </c>
    </row>
    <row r="129" spans="1:35" x14ac:dyDescent="0.2">
      <c r="A129" t="s">
        <v>204</v>
      </c>
      <c r="B129" s="1">
        <v>45748</v>
      </c>
      <c r="C129">
        <v>64963</v>
      </c>
      <c r="F129" t="s">
        <v>23</v>
      </c>
      <c r="G129" t="s">
        <v>24</v>
      </c>
      <c r="I129">
        <v>1</v>
      </c>
      <c r="J129" t="s">
        <v>25</v>
      </c>
      <c r="K129" t="s">
        <v>25</v>
      </c>
      <c r="L129" t="str">
        <f>_xlfn.CONCAT(F129,"-",G129,"-",I129,"-evening-",B130)</f>
        <v>FG04-A1-1-evening-45748</v>
      </c>
    </row>
    <row r="130" spans="1:35" x14ac:dyDescent="0.2">
      <c r="A130" t="s">
        <v>205</v>
      </c>
      <c r="B130" s="1">
        <v>45748</v>
      </c>
      <c r="C130">
        <v>39425</v>
      </c>
      <c r="F130" t="s">
        <v>23</v>
      </c>
      <c r="G130" t="s">
        <v>24</v>
      </c>
      <c r="I130">
        <v>1</v>
      </c>
      <c r="J130" t="s">
        <v>25</v>
      </c>
      <c r="K130" t="s">
        <v>25</v>
      </c>
      <c r="L130" t="str">
        <f>_xlfn.CONCAT(F130,"-",G130,"-",I130,"-morning-",B131)</f>
        <v>FG04-A1-1-morning-45748</v>
      </c>
    </row>
    <row r="131" spans="1:35" x14ac:dyDescent="0.2">
      <c r="A131" t="s">
        <v>206</v>
      </c>
      <c r="B131" s="1">
        <v>45748</v>
      </c>
      <c r="C131">
        <v>65219</v>
      </c>
      <c r="F131" t="s">
        <v>23</v>
      </c>
      <c r="G131" t="s">
        <v>24</v>
      </c>
      <c r="I131">
        <v>2</v>
      </c>
      <c r="J131" t="s">
        <v>25</v>
      </c>
      <c r="K131" t="s">
        <v>25</v>
      </c>
      <c r="L131" t="str">
        <f>_xlfn.CONCAT(F131,"-",G131,"-",I131,"-evening-",B132)</f>
        <v>FG04-A1-2-evening-45748</v>
      </c>
    </row>
    <row r="132" spans="1:35" x14ac:dyDescent="0.2">
      <c r="A132" t="s">
        <v>207</v>
      </c>
      <c r="B132" s="1">
        <v>45748</v>
      </c>
      <c r="C132">
        <v>39893</v>
      </c>
      <c r="F132" t="s">
        <v>23</v>
      </c>
      <c r="G132" t="s">
        <v>24</v>
      </c>
      <c r="I132">
        <v>2</v>
      </c>
      <c r="J132" t="s">
        <v>25</v>
      </c>
      <c r="K132" t="s">
        <v>25</v>
      </c>
      <c r="L132" t="str">
        <f>_xlfn.CONCAT(F132,"-",G132,"-",I132,"-morning-",B133)</f>
        <v>FG04-A1-2-morning-45748</v>
      </c>
    </row>
    <row r="133" spans="1:35" x14ac:dyDescent="0.2">
      <c r="A133" t="s">
        <v>208</v>
      </c>
      <c r="B133" s="1">
        <v>45748</v>
      </c>
      <c r="C133">
        <v>64635</v>
      </c>
      <c r="F133" t="s">
        <v>23</v>
      </c>
      <c r="G133" t="s">
        <v>24</v>
      </c>
      <c r="I133">
        <v>4</v>
      </c>
      <c r="J133" t="s">
        <v>25</v>
      </c>
      <c r="K133" t="s">
        <v>25</v>
      </c>
      <c r="L133" t="str">
        <f>_xlfn.CONCAT(F133,"-",G133,"-",I133,"-evening-",B134)</f>
        <v>FG04-A1-4-evening-45748</v>
      </c>
    </row>
    <row r="134" spans="1:35" x14ac:dyDescent="0.2">
      <c r="A134" t="s">
        <v>209</v>
      </c>
      <c r="B134" s="1">
        <v>45748</v>
      </c>
      <c r="C134">
        <v>39105</v>
      </c>
      <c r="F134" t="s">
        <v>23</v>
      </c>
      <c r="G134" t="s">
        <v>24</v>
      </c>
      <c r="I134">
        <v>4</v>
      </c>
      <c r="J134" t="s">
        <v>25</v>
      </c>
      <c r="K134" t="s">
        <v>25</v>
      </c>
      <c r="L134" t="str">
        <f>_xlfn.CONCAT(F134,"-",G134,"-",I134,"-morning-",B135)</f>
        <v>FG04-A1-4-morning-45748</v>
      </c>
    </row>
    <row r="135" spans="1:35" x14ac:dyDescent="0.2">
      <c r="A135" t="s">
        <v>210</v>
      </c>
      <c r="B135" s="1">
        <v>45748</v>
      </c>
      <c r="C135">
        <v>65529</v>
      </c>
      <c r="F135" t="s">
        <v>168</v>
      </c>
      <c r="G135">
        <v>101</v>
      </c>
      <c r="I135" t="s">
        <v>169</v>
      </c>
      <c r="J135" t="s">
        <v>170</v>
      </c>
      <c r="K135" t="s">
        <v>170</v>
      </c>
      <c r="L135" t="str">
        <f>_xlfn.CONCAT(F135,"-",G135,"-",I135,"-evening-",B136)</f>
        <v>FG19-101-A-evening-45748</v>
      </c>
    </row>
    <row r="136" spans="1:35" x14ac:dyDescent="0.2">
      <c r="A136" t="s">
        <v>211</v>
      </c>
      <c r="B136" s="1">
        <v>45748</v>
      </c>
      <c r="C136">
        <v>41110</v>
      </c>
      <c r="F136" t="s">
        <v>168</v>
      </c>
      <c r="G136">
        <v>101</v>
      </c>
      <c r="I136" t="s">
        <v>169</v>
      </c>
      <c r="J136" t="s">
        <v>170</v>
      </c>
      <c r="K136" t="s">
        <v>170</v>
      </c>
      <c r="L136" t="str">
        <f>_xlfn.CONCAT(F136,"-",G136,"-",I136,"-morning-",B137)</f>
        <v>FG19-101-A-morning-45748</v>
      </c>
    </row>
    <row r="137" spans="1:35" x14ac:dyDescent="0.2">
      <c r="A137" t="s">
        <v>212</v>
      </c>
      <c r="B137" s="1">
        <v>45748</v>
      </c>
      <c r="C137">
        <v>57437</v>
      </c>
      <c r="F137" t="s">
        <v>131</v>
      </c>
      <c r="G137" t="s">
        <v>271</v>
      </c>
      <c r="H137" t="s">
        <v>2</v>
      </c>
      <c r="I137" t="s">
        <v>3</v>
      </c>
      <c r="J137" t="str">
        <f t="shared" ref="J137" si="61">_xlfn.CONCAT(F137,"_",G137)</f>
        <v>KL0908_c219</v>
      </c>
      <c r="K137" t="str">
        <f t="shared" ref="K137" si="62">_xlfn.CONCAT(J137,"_",H137)</f>
        <v>KL0908_c219_a1</v>
      </c>
      <c r="L137" t="str">
        <f t="shared" ref="L137" si="63">_xlfn.CONCAT(K137,"_",I137)</f>
        <v>KL0908_c219_a1_FIA</v>
      </c>
      <c r="M137" t="s">
        <v>398</v>
      </c>
      <c r="O137" t="s">
        <v>475</v>
      </c>
      <c r="P137">
        <v>43</v>
      </c>
      <c r="Q137" t="str">
        <f>_xlfn.CONCAT(O137,"_",P137)</f>
        <v>\ulubmedolivines_219_43</v>
      </c>
      <c r="R137" t="s">
        <v>587</v>
      </c>
      <c r="S137" t="s">
        <v>495</v>
      </c>
      <c r="T137" t="s">
        <v>504</v>
      </c>
      <c r="U137">
        <v>1</v>
      </c>
      <c r="V137">
        <v>27191</v>
      </c>
      <c r="W137">
        <v>196.44</v>
      </c>
      <c r="X137">
        <v>176.24</v>
      </c>
      <c r="Y137">
        <v>144.18799999999999</v>
      </c>
      <c r="AH137" t="s">
        <v>499</v>
      </c>
      <c r="AI137" t="s">
        <v>643</v>
      </c>
    </row>
    <row r="138" spans="1:35" x14ac:dyDescent="0.2">
      <c r="A138" t="s">
        <v>213</v>
      </c>
      <c r="B138" s="1">
        <v>45748</v>
      </c>
      <c r="C138">
        <v>58839</v>
      </c>
      <c r="F138" t="s">
        <v>131</v>
      </c>
      <c r="G138" t="s">
        <v>272</v>
      </c>
      <c r="H138" t="s">
        <v>2</v>
      </c>
      <c r="I138" t="s">
        <v>3</v>
      </c>
      <c r="J138" t="str">
        <f t="shared" ref="J138:J149" si="64">_xlfn.CONCAT(F138,"_",G138)</f>
        <v>KL0908_c223</v>
      </c>
      <c r="K138" t="str">
        <f t="shared" ref="K138:K149" si="65">_xlfn.CONCAT(J138,"_",H138)</f>
        <v>KL0908_c223_a1</v>
      </c>
      <c r="L138" t="str">
        <f t="shared" ref="L138:L149" si="66">_xlfn.CONCAT(K138,"_",I138)</f>
        <v>KL0908_c223_a1_FIA</v>
      </c>
      <c r="M138" t="s">
        <v>399</v>
      </c>
      <c r="O138" t="s">
        <v>476</v>
      </c>
      <c r="P138">
        <v>20</v>
      </c>
      <c r="Q138" t="str">
        <f>_xlfn.CONCAT(O138,"_",P138)</f>
        <v>\ulubmedolivines_223_20</v>
      </c>
      <c r="S138" t="s">
        <v>495</v>
      </c>
      <c r="T138" t="s">
        <v>504</v>
      </c>
      <c r="U138">
        <v>2</v>
      </c>
      <c r="V138">
        <v>17115</v>
      </c>
      <c r="W138">
        <v>154.95599999999999</v>
      </c>
      <c r="X138">
        <v>140.63</v>
      </c>
      <c r="Y138">
        <v>148.80000000000001</v>
      </c>
      <c r="AE138" t="s">
        <v>500</v>
      </c>
      <c r="AF138" t="s">
        <v>500</v>
      </c>
      <c r="AH138" t="s">
        <v>499</v>
      </c>
      <c r="AI138" t="s">
        <v>644</v>
      </c>
    </row>
    <row r="139" spans="1:35" s="5" customFormat="1" x14ac:dyDescent="0.2">
      <c r="A139" s="5" t="s">
        <v>214</v>
      </c>
      <c r="B139" s="7">
        <v>45748</v>
      </c>
      <c r="C139" s="5">
        <v>59499</v>
      </c>
      <c r="F139" s="5" t="s">
        <v>131</v>
      </c>
      <c r="G139" s="5" t="s">
        <v>273</v>
      </c>
      <c r="H139" s="5" t="s">
        <v>2</v>
      </c>
      <c r="I139" s="5" t="s">
        <v>3</v>
      </c>
      <c r="J139" s="5" t="str">
        <f t="shared" si="64"/>
        <v>KL0908_c228</v>
      </c>
      <c r="K139" s="5" t="str">
        <f t="shared" si="65"/>
        <v>KL0908_c228_a1</v>
      </c>
      <c r="L139" s="5" t="str">
        <f t="shared" si="66"/>
        <v>KL0908_c228_a1_FIA</v>
      </c>
      <c r="M139" s="5" t="s">
        <v>400</v>
      </c>
      <c r="O139" s="5" t="s">
        <v>548</v>
      </c>
      <c r="P139" s="5">
        <v>78</v>
      </c>
      <c r="Q139" s="5" t="str">
        <f t="shared" ref="Q139:Q142" si="67">_xlfn.CONCAT(O139,"_",P139)</f>
        <v>\KL0908_c228_78</v>
      </c>
      <c r="R139" s="5" t="s">
        <v>568</v>
      </c>
      <c r="S139" s="5" t="s">
        <v>495</v>
      </c>
      <c r="T139" s="5" t="s">
        <v>504</v>
      </c>
      <c r="U139" s="5">
        <v>3</v>
      </c>
      <c r="V139" s="5">
        <v>104997</v>
      </c>
      <c r="W139" s="5">
        <v>439.86</v>
      </c>
      <c r="X139" s="5">
        <v>303.93</v>
      </c>
      <c r="Y139" s="5">
        <v>78.545000000000002</v>
      </c>
      <c r="AD139" s="5" t="s">
        <v>500</v>
      </c>
      <c r="AH139" s="5" t="s">
        <v>501</v>
      </c>
      <c r="AI139" s="5" t="s">
        <v>645</v>
      </c>
    </row>
    <row r="140" spans="1:35" s="5" customFormat="1" x14ac:dyDescent="0.2">
      <c r="A140" s="5" t="s">
        <v>215</v>
      </c>
      <c r="B140" s="7">
        <v>45748</v>
      </c>
      <c r="C140" s="5">
        <v>60826</v>
      </c>
      <c r="F140" s="5" t="s">
        <v>156</v>
      </c>
      <c r="G140" s="5" t="s">
        <v>274</v>
      </c>
      <c r="H140" s="5" t="s">
        <v>2</v>
      </c>
      <c r="I140" s="5" t="s">
        <v>3</v>
      </c>
      <c r="J140" s="5" t="str">
        <f t="shared" si="64"/>
        <v>KL0909_c231</v>
      </c>
      <c r="K140" s="5" t="str">
        <f t="shared" si="65"/>
        <v>KL0909_c231_a1</v>
      </c>
      <c r="L140" s="5" t="str">
        <f t="shared" si="66"/>
        <v>KL0909_c231_a1_FIA</v>
      </c>
      <c r="M140" s="5" t="s">
        <v>401</v>
      </c>
      <c r="O140" s="5" t="s">
        <v>549</v>
      </c>
      <c r="P140" s="5">
        <v>227</v>
      </c>
      <c r="Q140" s="5" t="str">
        <f t="shared" si="67"/>
        <v>\KL0909_c231_227</v>
      </c>
      <c r="R140" s="5" t="s">
        <v>588</v>
      </c>
      <c r="S140" s="5" t="s">
        <v>495</v>
      </c>
      <c r="T140" s="5" t="s">
        <v>504</v>
      </c>
      <c r="U140" s="5">
        <v>4</v>
      </c>
      <c r="V140" s="5">
        <v>10945</v>
      </c>
      <c r="W140" s="5">
        <v>124.852</v>
      </c>
      <c r="X140" s="5">
        <v>111.617</v>
      </c>
      <c r="Y140" s="5">
        <v>89.906999999999996</v>
      </c>
      <c r="AE140" s="5" t="s">
        <v>500</v>
      </c>
      <c r="AH140" s="5" t="s">
        <v>499</v>
      </c>
    </row>
    <row r="141" spans="1:35" s="5" customFormat="1" x14ac:dyDescent="0.2">
      <c r="A141" s="5" t="s">
        <v>216</v>
      </c>
      <c r="B141" s="7">
        <v>45748</v>
      </c>
      <c r="C141" s="5">
        <v>61496</v>
      </c>
      <c r="F141" s="5" t="s">
        <v>156</v>
      </c>
      <c r="G141" s="5" t="s">
        <v>274</v>
      </c>
      <c r="H141" s="5" t="s">
        <v>2</v>
      </c>
      <c r="I141" s="5" t="s">
        <v>5</v>
      </c>
      <c r="J141" s="5" t="str">
        <f t="shared" si="64"/>
        <v>KL0909_c231</v>
      </c>
      <c r="K141" s="5" t="str">
        <f t="shared" si="65"/>
        <v>KL0909_c231_a1</v>
      </c>
      <c r="L141" s="5" t="str">
        <f t="shared" si="66"/>
        <v>KL0909_c231_a1_FIB</v>
      </c>
      <c r="M141" s="5" t="s">
        <v>401</v>
      </c>
      <c r="O141" s="5" t="s">
        <v>549</v>
      </c>
      <c r="P141" s="5">
        <v>227</v>
      </c>
      <c r="Q141" s="5" t="str">
        <f t="shared" si="67"/>
        <v>\KL0909_c231_227</v>
      </c>
      <c r="R141" s="5" t="s">
        <v>588</v>
      </c>
      <c r="S141" s="5" t="s">
        <v>495</v>
      </c>
      <c r="T141" s="5" t="s">
        <v>504</v>
      </c>
      <c r="U141" s="5">
        <v>5</v>
      </c>
      <c r="V141" s="5">
        <v>8236</v>
      </c>
      <c r="W141" s="5">
        <v>107.70099999999999</v>
      </c>
      <c r="X141" s="5">
        <v>97.366</v>
      </c>
      <c r="Y141" s="5">
        <v>31.099</v>
      </c>
      <c r="AE141" s="5" t="s">
        <v>500</v>
      </c>
      <c r="AF141" s="5" t="s">
        <v>500</v>
      </c>
      <c r="AH141" s="5" t="s">
        <v>499</v>
      </c>
      <c r="AI141" s="5" t="s">
        <v>646</v>
      </c>
    </row>
    <row r="142" spans="1:35" s="5" customFormat="1" x14ac:dyDescent="0.2">
      <c r="A142" s="5" t="s">
        <v>217</v>
      </c>
      <c r="B142" s="7">
        <v>45748</v>
      </c>
      <c r="C142" s="5">
        <v>62091</v>
      </c>
      <c r="F142" s="5" t="s">
        <v>156</v>
      </c>
      <c r="G142" s="5" t="s">
        <v>275</v>
      </c>
      <c r="H142" s="5" t="s">
        <v>2</v>
      </c>
      <c r="I142" s="5" t="s">
        <v>3</v>
      </c>
      <c r="J142" s="5" t="str">
        <f t="shared" si="64"/>
        <v>KL0909_c235</v>
      </c>
      <c r="K142" s="5" t="str">
        <f t="shared" si="65"/>
        <v>KL0909_c235_a1</v>
      </c>
      <c r="L142" s="5" t="str">
        <f t="shared" si="66"/>
        <v>KL0909_c235_a1_FIA</v>
      </c>
      <c r="M142" s="5" t="s">
        <v>402</v>
      </c>
      <c r="O142" s="5" t="s">
        <v>550</v>
      </c>
      <c r="P142" s="5">
        <v>492</v>
      </c>
      <c r="Q142" s="5" t="str">
        <f t="shared" si="67"/>
        <v>\KL0909_c235_492</v>
      </c>
      <c r="R142" s="5" t="s">
        <v>589</v>
      </c>
      <c r="S142" s="5" t="s">
        <v>495</v>
      </c>
      <c r="T142" s="5" t="s">
        <v>496</v>
      </c>
      <c r="U142" s="5">
        <v>6</v>
      </c>
      <c r="V142" s="5">
        <v>15498</v>
      </c>
      <c r="W142" s="5">
        <v>143.90600000000001</v>
      </c>
      <c r="X142" s="5">
        <v>137.12200000000001</v>
      </c>
      <c r="Y142" s="5">
        <v>116.96599999999999</v>
      </c>
      <c r="AH142" s="5" t="s">
        <v>503</v>
      </c>
      <c r="AI142" s="5" t="s">
        <v>647</v>
      </c>
    </row>
    <row r="143" spans="1:35" x14ac:dyDescent="0.2">
      <c r="A143" t="s">
        <v>218</v>
      </c>
      <c r="B143" s="1">
        <v>45748</v>
      </c>
      <c r="C143">
        <v>43150</v>
      </c>
      <c r="F143" t="s">
        <v>276</v>
      </c>
      <c r="G143" t="s">
        <v>277</v>
      </c>
      <c r="H143" t="s">
        <v>2</v>
      </c>
      <c r="I143" t="s">
        <v>3</v>
      </c>
      <c r="J143" t="str">
        <f t="shared" si="64"/>
        <v>KL0917_c202</v>
      </c>
      <c r="K143" t="str">
        <f t="shared" si="65"/>
        <v>KL0917_c202_a1</v>
      </c>
      <c r="L143" t="str">
        <f t="shared" si="66"/>
        <v>KL0917_c202_a1_FIA</v>
      </c>
      <c r="M143" t="s">
        <v>404</v>
      </c>
      <c r="O143" t="s">
        <v>477</v>
      </c>
      <c r="P143">
        <v>36</v>
      </c>
      <c r="Q143" t="str">
        <f>_xlfn.CONCAT(O143,"_",P143)</f>
        <v>\ulubmedolivines_202_36</v>
      </c>
      <c r="S143" s="5" t="s">
        <v>495</v>
      </c>
      <c r="T143" s="5" t="s">
        <v>504</v>
      </c>
      <c r="U143">
        <v>7</v>
      </c>
      <c r="V143">
        <v>3247</v>
      </c>
      <c r="W143">
        <v>67.323999999999998</v>
      </c>
      <c r="X143">
        <v>61.408000000000001</v>
      </c>
      <c r="Y143">
        <v>50.581000000000003</v>
      </c>
      <c r="AH143" s="5" t="s">
        <v>499</v>
      </c>
    </row>
    <row r="144" spans="1:35" x14ac:dyDescent="0.2">
      <c r="A144" t="s">
        <v>219</v>
      </c>
      <c r="B144" s="1">
        <v>45748</v>
      </c>
      <c r="C144">
        <v>43625</v>
      </c>
      <c r="F144" t="s">
        <v>276</v>
      </c>
      <c r="G144" t="s">
        <v>277</v>
      </c>
      <c r="H144" t="s">
        <v>2</v>
      </c>
      <c r="I144" t="s">
        <v>5</v>
      </c>
      <c r="J144" t="str">
        <f t="shared" si="64"/>
        <v>KL0917_c202</v>
      </c>
      <c r="K144" t="str">
        <f t="shared" si="65"/>
        <v>KL0917_c202_a1</v>
      </c>
      <c r="L144" t="str">
        <f t="shared" si="66"/>
        <v>KL0917_c202_a1_FIB</v>
      </c>
      <c r="M144" t="s">
        <v>404</v>
      </c>
      <c r="O144" t="s">
        <v>477</v>
      </c>
      <c r="P144">
        <v>36</v>
      </c>
      <c r="Q144" t="str">
        <f>_xlfn.CONCAT(O144,"_",P144)</f>
        <v>\ulubmedolivines_202_36</v>
      </c>
      <c r="S144" s="5" t="s">
        <v>495</v>
      </c>
      <c r="T144" s="5" t="s">
        <v>504</v>
      </c>
      <c r="U144">
        <v>7</v>
      </c>
      <c r="V144">
        <v>3247</v>
      </c>
      <c r="W144">
        <v>67.323999999999998</v>
      </c>
      <c r="X144">
        <v>61.408000000000001</v>
      </c>
      <c r="Y144">
        <v>50.581000000000003</v>
      </c>
      <c r="AH144" s="5" t="s">
        <v>505</v>
      </c>
      <c r="AI144" s="5" t="s">
        <v>648</v>
      </c>
    </row>
    <row r="145" spans="1:35" x14ac:dyDescent="0.2">
      <c r="A145" t="s">
        <v>220</v>
      </c>
      <c r="B145" s="1">
        <v>45748</v>
      </c>
      <c r="C145">
        <v>44639</v>
      </c>
      <c r="F145" t="s">
        <v>163</v>
      </c>
      <c r="G145" t="s">
        <v>278</v>
      </c>
      <c r="H145" t="s">
        <v>2</v>
      </c>
      <c r="I145" t="s">
        <v>3</v>
      </c>
      <c r="J145" t="str">
        <f t="shared" si="64"/>
        <v>KL0920_c216</v>
      </c>
      <c r="K145" t="str">
        <f t="shared" si="65"/>
        <v>KL0920_c216_a1</v>
      </c>
      <c r="L145" t="str">
        <f t="shared" si="66"/>
        <v>KL0920_c216_a1_FIA</v>
      </c>
      <c r="M145" t="s">
        <v>396</v>
      </c>
      <c r="O145" t="s">
        <v>478</v>
      </c>
      <c r="P145">
        <v>49</v>
      </c>
      <c r="Q145" t="str">
        <f>_xlfn.CONCAT(O145,"_",P145)</f>
        <v>\ulubmedolivines_216_49</v>
      </c>
      <c r="S145" s="5" t="s">
        <v>495</v>
      </c>
      <c r="T145" s="5" t="s">
        <v>504</v>
      </c>
      <c r="U145">
        <v>9</v>
      </c>
      <c r="V145">
        <v>8475</v>
      </c>
      <c r="W145">
        <v>107.792</v>
      </c>
      <c r="X145">
        <v>100.10599999999999</v>
      </c>
      <c r="Y145">
        <v>40.338999999999999</v>
      </c>
      <c r="AF145" t="s">
        <v>500</v>
      </c>
      <c r="AH145" s="5" t="s">
        <v>610</v>
      </c>
      <c r="AI145" s="5" t="s">
        <v>649</v>
      </c>
    </row>
    <row r="146" spans="1:35" x14ac:dyDescent="0.2">
      <c r="A146" t="s">
        <v>221</v>
      </c>
      <c r="B146" s="1">
        <v>45748</v>
      </c>
      <c r="C146">
        <v>45772</v>
      </c>
      <c r="F146" t="s">
        <v>163</v>
      </c>
      <c r="G146" t="s">
        <v>278</v>
      </c>
      <c r="H146" t="s">
        <v>133</v>
      </c>
      <c r="I146" t="s">
        <v>8</v>
      </c>
      <c r="J146" t="str">
        <f t="shared" si="64"/>
        <v>KL0920_c216</v>
      </c>
      <c r="K146" t="str">
        <f t="shared" si="65"/>
        <v>KL0920_c216_a2</v>
      </c>
      <c r="L146" t="str">
        <f t="shared" si="66"/>
        <v>KL0920_c216_a2_FID</v>
      </c>
      <c r="M146" t="s">
        <v>397</v>
      </c>
      <c r="O146" t="s">
        <v>478</v>
      </c>
      <c r="P146">
        <v>49</v>
      </c>
      <c r="Q146" t="str">
        <f>_xlfn.CONCAT(O146,"_",P146)</f>
        <v>\ulubmedolivines_216_49</v>
      </c>
      <c r="S146" s="5" t="s">
        <v>495</v>
      </c>
      <c r="T146" s="5" t="s">
        <v>504</v>
      </c>
      <c r="U146">
        <v>1</v>
      </c>
      <c r="V146">
        <v>10443</v>
      </c>
      <c r="W146">
        <v>126.71299999999999</v>
      </c>
      <c r="X146">
        <v>104.934</v>
      </c>
      <c r="Y146">
        <v>53.203000000000003</v>
      </c>
      <c r="AH146" s="5" t="s">
        <v>610</v>
      </c>
      <c r="AI146" s="5" t="s">
        <v>650</v>
      </c>
    </row>
    <row r="147" spans="1:35" x14ac:dyDescent="0.2">
      <c r="A147" t="s">
        <v>222</v>
      </c>
      <c r="B147" s="1">
        <v>45748</v>
      </c>
      <c r="C147">
        <v>50201</v>
      </c>
      <c r="F147" t="s">
        <v>163</v>
      </c>
      <c r="G147" t="s">
        <v>278</v>
      </c>
      <c r="H147" t="s">
        <v>133</v>
      </c>
      <c r="I147" t="s">
        <v>68</v>
      </c>
      <c r="J147" t="str">
        <f t="shared" si="64"/>
        <v>KL0920_c216</v>
      </c>
      <c r="K147" t="str">
        <f t="shared" si="65"/>
        <v>KL0920_c216_a2</v>
      </c>
      <c r="L147" t="str">
        <f t="shared" si="66"/>
        <v>KL0920_c216_a2_FIH</v>
      </c>
      <c r="M147" t="s">
        <v>397</v>
      </c>
      <c r="O147" t="s">
        <v>478</v>
      </c>
      <c r="P147">
        <v>49</v>
      </c>
      <c r="Q147" t="str">
        <f>_xlfn.CONCAT(O147,"_",P147)</f>
        <v>\ulubmedolivines_216_49</v>
      </c>
      <c r="S147" s="5" t="s">
        <v>495</v>
      </c>
      <c r="T147" s="5" t="s">
        <v>504</v>
      </c>
      <c r="AI147" s="5" t="s">
        <v>651</v>
      </c>
    </row>
    <row r="148" spans="1:35" s="5" customFormat="1" x14ac:dyDescent="0.2">
      <c r="A148" s="5" t="s">
        <v>223</v>
      </c>
      <c r="B148" s="7">
        <v>45748</v>
      </c>
      <c r="C148" s="5">
        <v>62656</v>
      </c>
      <c r="F148" s="5" t="s">
        <v>165</v>
      </c>
      <c r="G148" s="5" t="s">
        <v>279</v>
      </c>
      <c r="H148" s="5" t="s">
        <v>2</v>
      </c>
      <c r="I148" s="5" t="s">
        <v>3</v>
      </c>
      <c r="J148" s="5" t="str">
        <f t="shared" si="64"/>
        <v>KL0931_c240</v>
      </c>
      <c r="K148" s="5" t="str">
        <f t="shared" si="65"/>
        <v>KL0931_c240_a1</v>
      </c>
      <c r="L148" s="5" t="str">
        <f t="shared" si="66"/>
        <v>KL0931_c240_a1_FIA</v>
      </c>
      <c r="M148" s="5" t="s">
        <v>403</v>
      </c>
      <c r="O148" s="5" t="s">
        <v>551</v>
      </c>
      <c r="P148" s="5">
        <v>308</v>
      </c>
      <c r="Q148" s="5" t="str">
        <f t="shared" ref="Q148:Q149" si="68">_xlfn.CONCAT(O148,"_",P148)</f>
        <v>\KL0931_c240_308</v>
      </c>
      <c r="R148" s="5" t="s">
        <v>568</v>
      </c>
      <c r="S148" s="5" t="s">
        <v>495</v>
      </c>
      <c r="T148" s="5" t="s">
        <v>496</v>
      </c>
      <c r="U148" s="5">
        <v>2</v>
      </c>
      <c r="V148" s="5">
        <v>24670</v>
      </c>
      <c r="W148" s="5">
        <v>243.89500000000001</v>
      </c>
      <c r="X148" s="5">
        <v>128.78800000000001</v>
      </c>
      <c r="Y148" s="5">
        <v>158.167</v>
      </c>
      <c r="AH148" s="5" t="s">
        <v>613</v>
      </c>
    </row>
    <row r="149" spans="1:35" s="5" customFormat="1" x14ac:dyDescent="0.2">
      <c r="A149" s="5" t="s">
        <v>224</v>
      </c>
      <c r="B149" s="7">
        <v>45748</v>
      </c>
      <c r="C149" s="5">
        <v>62956</v>
      </c>
      <c r="F149" s="5" t="s">
        <v>165</v>
      </c>
      <c r="G149" s="5" t="s">
        <v>279</v>
      </c>
      <c r="H149" s="5" t="s">
        <v>2</v>
      </c>
      <c r="I149" s="5" t="s">
        <v>5</v>
      </c>
      <c r="J149" s="5" t="str">
        <f t="shared" si="64"/>
        <v>KL0931_c240</v>
      </c>
      <c r="K149" s="5" t="str">
        <f t="shared" si="65"/>
        <v>KL0931_c240_a1</v>
      </c>
      <c r="L149" s="5" t="str">
        <f t="shared" si="66"/>
        <v>KL0931_c240_a1_FIB</v>
      </c>
      <c r="M149" s="5" t="s">
        <v>403</v>
      </c>
      <c r="O149" s="5" t="s">
        <v>551</v>
      </c>
      <c r="P149" s="5">
        <v>308</v>
      </c>
      <c r="Q149" s="5" t="str">
        <f t="shared" si="68"/>
        <v>\KL0931_c240_308</v>
      </c>
      <c r="R149" s="5" t="s">
        <v>568</v>
      </c>
      <c r="S149" s="5" t="s">
        <v>495</v>
      </c>
      <c r="T149" s="5" t="s">
        <v>496</v>
      </c>
      <c r="U149" s="5">
        <v>3</v>
      </c>
      <c r="V149" s="5">
        <v>4336</v>
      </c>
      <c r="W149" s="5">
        <v>78.561000000000007</v>
      </c>
      <c r="X149" s="5">
        <v>70.274000000000001</v>
      </c>
      <c r="Y149" s="5">
        <v>31.914999999999999</v>
      </c>
      <c r="AH149" s="5" t="s">
        <v>499</v>
      </c>
    </row>
    <row r="150" spans="1:35" x14ac:dyDescent="0.2">
      <c r="A150" t="s">
        <v>225</v>
      </c>
      <c r="B150" s="1">
        <v>45755</v>
      </c>
      <c r="C150">
        <v>65329</v>
      </c>
      <c r="F150" t="s">
        <v>23</v>
      </c>
      <c r="G150" t="s">
        <v>24</v>
      </c>
      <c r="I150">
        <v>1</v>
      </c>
      <c r="J150" t="s">
        <v>25</v>
      </c>
      <c r="K150" t="s">
        <v>25</v>
      </c>
      <c r="L150" t="str">
        <f>_xlfn.CONCAT(F150,"-",G150,"-",I150,"-evening-",B151)</f>
        <v>FG04-A1-1-evening-45755</v>
      </c>
    </row>
    <row r="151" spans="1:35" x14ac:dyDescent="0.2">
      <c r="A151" t="s">
        <v>226</v>
      </c>
      <c r="B151" s="1">
        <v>45755</v>
      </c>
      <c r="C151">
        <v>40403</v>
      </c>
      <c r="F151" t="s">
        <v>23</v>
      </c>
      <c r="G151" t="s">
        <v>24</v>
      </c>
      <c r="I151">
        <v>1</v>
      </c>
      <c r="J151" t="s">
        <v>25</v>
      </c>
      <c r="K151" t="s">
        <v>25</v>
      </c>
      <c r="L151" t="str">
        <f>_xlfn.CONCAT(F151,"-",G151,"-",I151,"-morning-",B152)</f>
        <v>FG04-A1-1-morning-45755</v>
      </c>
    </row>
    <row r="152" spans="1:35" x14ac:dyDescent="0.2">
      <c r="A152" t="s">
        <v>227</v>
      </c>
      <c r="B152" s="1">
        <v>45755</v>
      </c>
      <c r="C152">
        <v>65571</v>
      </c>
      <c r="F152" t="s">
        <v>23</v>
      </c>
      <c r="G152" t="s">
        <v>24</v>
      </c>
      <c r="I152">
        <v>2</v>
      </c>
      <c r="J152" t="s">
        <v>25</v>
      </c>
      <c r="K152" t="s">
        <v>25</v>
      </c>
      <c r="L152" t="str">
        <f>_xlfn.CONCAT(F152,"-",G152,"-",I152,"-evening-",B153)</f>
        <v>FG04-A1-2-evening-45755</v>
      </c>
    </row>
    <row r="153" spans="1:35" x14ac:dyDescent="0.2">
      <c r="A153" t="s">
        <v>228</v>
      </c>
      <c r="B153" s="1">
        <v>45755</v>
      </c>
      <c r="C153">
        <v>40857</v>
      </c>
      <c r="F153" t="s">
        <v>23</v>
      </c>
      <c r="G153" t="s">
        <v>24</v>
      </c>
      <c r="I153">
        <v>2</v>
      </c>
      <c r="J153" t="s">
        <v>25</v>
      </c>
      <c r="K153" t="s">
        <v>25</v>
      </c>
      <c r="L153" t="str">
        <f>_xlfn.CONCAT(F153,"-",G153,"-",I153,"-morning-",B154)</f>
        <v>FG04-A1-2-morning-45755</v>
      </c>
    </row>
    <row r="154" spans="1:35" x14ac:dyDescent="0.2">
      <c r="A154" t="s">
        <v>229</v>
      </c>
      <c r="B154" s="1">
        <v>45755</v>
      </c>
      <c r="C154">
        <v>65827</v>
      </c>
      <c r="F154" t="s">
        <v>23</v>
      </c>
      <c r="G154" t="s">
        <v>24</v>
      </c>
      <c r="I154">
        <v>4</v>
      </c>
      <c r="J154" t="s">
        <v>25</v>
      </c>
      <c r="K154" t="s">
        <v>25</v>
      </c>
      <c r="L154" t="str">
        <f>_xlfn.CONCAT(F154,"-",G154,"-",I154,"-evening-",B155)</f>
        <v>FG04-A1-4-evening-45755</v>
      </c>
    </row>
    <row r="155" spans="1:35" x14ac:dyDescent="0.2">
      <c r="A155" t="s">
        <v>230</v>
      </c>
      <c r="B155" s="1">
        <v>45755</v>
      </c>
      <c r="C155">
        <v>41191</v>
      </c>
      <c r="F155" t="s">
        <v>23</v>
      </c>
      <c r="G155" t="s">
        <v>24</v>
      </c>
      <c r="I155">
        <v>4</v>
      </c>
      <c r="J155" t="s">
        <v>25</v>
      </c>
      <c r="K155" t="s">
        <v>25</v>
      </c>
      <c r="L155" t="str">
        <f>_xlfn.CONCAT(F155,"-",G155,"-",I155,"-morning-",B156)</f>
        <v>FG04-A1-4-morning-45755</v>
      </c>
    </row>
    <row r="156" spans="1:35" x14ac:dyDescent="0.2">
      <c r="A156" t="s">
        <v>231</v>
      </c>
      <c r="B156" s="1">
        <v>45755</v>
      </c>
      <c r="C156">
        <v>64810</v>
      </c>
      <c r="F156" t="s">
        <v>168</v>
      </c>
      <c r="G156">
        <v>101</v>
      </c>
      <c r="I156" t="s">
        <v>169</v>
      </c>
      <c r="J156" t="s">
        <v>170</v>
      </c>
      <c r="K156" t="s">
        <v>170</v>
      </c>
      <c r="L156" t="str">
        <f>_xlfn.CONCAT(F156,"-",G156,"-",I156,"-evening-",B157)</f>
        <v>FG19-101-A-evening-45755</v>
      </c>
    </row>
    <row r="157" spans="1:35" x14ac:dyDescent="0.2">
      <c r="A157" t="s">
        <v>232</v>
      </c>
      <c r="B157" s="1">
        <v>45755</v>
      </c>
      <c r="C157">
        <v>41606</v>
      </c>
      <c r="F157" t="s">
        <v>168</v>
      </c>
      <c r="G157">
        <v>101</v>
      </c>
      <c r="I157" t="s">
        <v>169</v>
      </c>
      <c r="J157" t="s">
        <v>170</v>
      </c>
      <c r="K157" t="s">
        <v>170</v>
      </c>
      <c r="L157" t="str">
        <f>_xlfn.CONCAT(F157,"-",G157,"-",I157,"-morning-",B158)</f>
        <v>FG19-101-A-morning-45755</v>
      </c>
    </row>
    <row r="158" spans="1:35" s="5" customFormat="1" x14ac:dyDescent="0.2">
      <c r="A158" s="5" t="s">
        <v>233</v>
      </c>
      <c r="B158" s="7">
        <v>45755</v>
      </c>
      <c r="C158" s="5">
        <v>43680</v>
      </c>
      <c r="F158" s="5" t="s">
        <v>280</v>
      </c>
      <c r="G158" s="5" t="s">
        <v>281</v>
      </c>
      <c r="H158" s="5" t="s">
        <v>2</v>
      </c>
      <c r="I158" s="5" t="s">
        <v>3</v>
      </c>
      <c r="J158" s="5" t="str">
        <f t="shared" ref="J158" si="69">_xlfn.CONCAT(F158,"_",G158)</f>
        <v>KL0914_c001</v>
      </c>
      <c r="K158" s="5" t="str">
        <f t="shared" ref="K158" si="70">_xlfn.CONCAT(J158,"_",H158)</f>
        <v>KL0914_c001_a1</v>
      </c>
      <c r="L158" s="5" t="str">
        <f t="shared" ref="L158" si="71">_xlfn.CONCAT(K158,"_",I158)</f>
        <v>KL0914_c001_a1_FIA</v>
      </c>
      <c r="N158" s="5" t="s">
        <v>442</v>
      </c>
      <c r="O158" s="5" t="s">
        <v>552</v>
      </c>
      <c r="P158" s="5">
        <v>47</v>
      </c>
      <c r="Q158" s="5" t="str">
        <f t="shared" ref="Q158:Q178" si="72">_xlfn.CONCAT(O158,"_",P158)</f>
        <v>\KL0914_c001_47</v>
      </c>
      <c r="R158" s="5" t="s">
        <v>568</v>
      </c>
      <c r="S158" s="5" t="s">
        <v>495</v>
      </c>
      <c r="T158" s="5" t="s">
        <v>496</v>
      </c>
      <c r="U158" s="5">
        <v>1</v>
      </c>
      <c r="V158" s="5">
        <v>4085</v>
      </c>
      <c r="W158" s="5">
        <v>75.126000000000005</v>
      </c>
      <c r="X158" s="5">
        <v>69.233000000000004</v>
      </c>
      <c r="Y158" s="5">
        <v>117.699</v>
      </c>
      <c r="AG158" s="5" t="s">
        <v>500</v>
      </c>
      <c r="AH158" s="5" t="s">
        <v>499</v>
      </c>
      <c r="AI158" s="5" t="s">
        <v>652</v>
      </c>
    </row>
    <row r="159" spans="1:35" s="5" customFormat="1" x14ac:dyDescent="0.2">
      <c r="A159" s="5" t="s">
        <v>234</v>
      </c>
      <c r="B159" s="7">
        <v>45755</v>
      </c>
      <c r="C159" s="5">
        <v>44030</v>
      </c>
      <c r="F159" s="5" t="s">
        <v>280</v>
      </c>
      <c r="G159" s="5" t="s">
        <v>281</v>
      </c>
      <c r="H159" s="5" t="s">
        <v>2</v>
      </c>
      <c r="I159" s="5" t="s">
        <v>5</v>
      </c>
      <c r="J159" s="5" t="str">
        <f t="shared" ref="J159:J178" si="73">_xlfn.CONCAT(F159,"_",G159)</f>
        <v>KL0914_c001</v>
      </c>
      <c r="K159" s="5" t="str">
        <f t="shared" ref="K159:K178" si="74">_xlfn.CONCAT(J159,"_",H159)</f>
        <v>KL0914_c001_a1</v>
      </c>
      <c r="L159" s="5" t="str">
        <f t="shared" ref="L159:L178" si="75">_xlfn.CONCAT(K159,"_",I159)</f>
        <v>KL0914_c001_a1_FIB</v>
      </c>
      <c r="N159" s="5" t="s">
        <v>442</v>
      </c>
      <c r="O159" s="5" t="s">
        <v>552</v>
      </c>
      <c r="P159" s="5">
        <v>47</v>
      </c>
      <c r="Q159" s="5" t="str">
        <f t="shared" si="72"/>
        <v>\KL0914_c001_47</v>
      </c>
      <c r="R159" s="5" t="s">
        <v>568</v>
      </c>
      <c r="S159" s="5" t="s">
        <v>495</v>
      </c>
      <c r="T159" s="5" t="s">
        <v>504</v>
      </c>
      <c r="U159" s="5">
        <v>2</v>
      </c>
      <c r="V159" s="5">
        <v>2479</v>
      </c>
      <c r="W159" s="5">
        <v>58.152999999999999</v>
      </c>
      <c r="X159" s="5">
        <v>54.277000000000001</v>
      </c>
      <c r="Y159" s="5">
        <v>175.53299999999999</v>
      </c>
      <c r="AH159" s="5" t="s">
        <v>503</v>
      </c>
    </row>
    <row r="160" spans="1:35" s="5" customFormat="1" x14ac:dyDescent="0.2">
      <c r="A160" s="5" t="s">
        <v>235</v>
      </c>
      <c r="B160" s="7">
        <v>45755</v>
      </c>
      <c r="C160" s="5">
        <v>44309</v>
      </c>
      <c r="F160" s="5" t="s">
        <v>280</v>
      </c>
      <c r="G160" s="5" t="s">
        <v>281</v>
      </c>
      <c r="H160" s="5" t="s">
        <v>2</v>
      </c>
      <c r="I160" s="5" t="s">
        <v>7</v>
      </c>
      <c r="J160" s="5" t="str">
        <f t="shared" si="73"/>
        <v>KL0914_c001</v>
      </c>
      <c r="K160" s="5" t="str">
        <f t="shared" si="74"/>
        <v>KL0914_c001_a1</v>
      </c>
      <c r="L160" s="5" t="str">
        <f t="shared" si="75"/>
        <v>KL0914_c001_a1_FIC</v>
      </c>
      <c r="N160" s="5" t="s">
        <v>442</v>
      </c>
      <c r="O160" s="5" t="s">
        <v>552</v>
      </c>
      <c r="P160" s="5">
        <v>47</v>
      </c>
      <c r="Q160" s="5" t="str">
        <f t="shared" si="72"/>
        <v>\KL0914_c001_47</v>
      </c>
      <c r="R160" s="5" t="s">
        <v>568</v>
      </c>
      <c r="S160" s="5" t="s">
        <v>495</v>
      </c>
      <c r="T160" s="5" t="s">
        <v>504</v>
      </c>
      <c r="U160" s="5">
        <v>3</v>
      </c>
      <c r="V160" s="5">
        <v>26352</v>
      </c>
      <c r="W160" s="5">
        <v>187.15600000000001</v>
      </c>
      <c r="X160" s="5">
        <v>179.27600000000001</v>
      </c>
      <c r="Y160" s="5">
        <v>139.654</v>
      </c>
      <c r="AF160" s="5" t="s">
        <v>500</v>
      </c>
      <c r="AH160" s="5" t="s">
        <v>503</v>
      </c>
      <c r="AI160" s="5" t="s">
        <v>653</v>
      </c>
    </row>
    <row r="161" spans="1:35" s="5" customFormat="1" x14ac:dyDescent="0.2">
      <c r="A161" s="5" t="s">
        <v>236</v>
      </c>
      <c r="B161" s="7">
        <v>45755</v>
      </c>
      <c r="C161" s="5">
        <v>45024</v>
      </c>
      <c r="F161" s="5" t="s">
        <v>280</v>
      </c>
      <c r="G161" s="5" t="s">
        <v>282</v>
      </c>
      <c r="H161" s="5" t="s">
        <v>2</v>
      </c>
      <c r="I161" s="5" t="s">
        <v>7</v>
      </c>
      <c r="J161" s="5" t="str">
        <f t="shared" si="73"/>
        <v>KL0914_c004</v>
      </c>
      <c r="K161" s="5" t="str">
        <f t="shared" si="74"/>
        <v>KL0914_c004_a1</v>
      </c>
      <c r="L161" s="5" t="str">
        <f t="shared" si="75"/>
        <v>KL0914_c004_a1_FIC</v>
      </c>
      <c r="N161" s="5" t="s">
        <v>442</v>
      </c>
      <c r="O161" s="5" t="s">
        <v>553</v>
      </c>
      <c r="P161" s="5">
        <v>99</v>
      </c>
      <c r="Q161" s="5" t="str">
        <f t="shared" si="72"/>
        <v>\KL0914_c004_99</v>
      </c>
      <c r="R161" s="5" t="s">
        <v>568</v>
      </c>
      <c r="S161" s="5" t="s">
        <v>495</v>
      </c>
      <c r="T161" s="5" t="s">
        <v>504</v>
      </c>
      <c r="U161" s="5">
        <v>2</v>
      </c>
      <c r="V161" s="5">
        <v>21694</v>
      </c>
      <c r="W161" s="5">
        <v>195.173</v>
      </c>
      <c r="X161" s="5">
        <v>141.524</v>
      </c>
      <c r="Y161" s="5">
        <v>98.091999999999999</v>
      </c>
      <c r="AF161" s="5" t="s">
        <v>500</v>
      </c>
      <c r="AG161" s="5" t="s">
        <v>498</v>
      </c>
      <c r="AH161" s="5" t="s">
        <v>610</v>
      </c>
      <c r="AI161" s="5" t="s">
        <v>654</v>
      </c>
    </row>
    <row r="162" spans="1:35" s="5" customFormat="1" x14ac:dyDescent="0.2">
      <c r="A162" s="5" t="s">
        <v>237</v>
      </c>
      <c r="B162" s="7">
        <v>45755</v>
      </c>
      <c r="C162" s="5">
        <v>45301</v>
      </c>
      <c r="F162" s="5" t="s">
        <v>280</v>
      </c>
      <c r="G162" s="5" t="s">
        <v>282</v>
      </c>
      <c r="H162" s="5" t="s">
        <v>2</v>
      </c>
      <c r="I162" s="5" t="s">
        <v>8</v>
      </c>
      <c r="J162" s="5" t="str">
        <f t="shared" si="73"/>
        <v>KL0914_c004</v>
      </c>
      <c r="K162" s="5" t="str">
        <f t="shared" si="74"/>
        <v>KL0914_c004_a1</v>
      </c>
      <c r="L162" s="5" t="str">
        <f t="shared" si="75"/>
        <v>KL0914_c004_a1_FID</v>
      </c>
      <c r="N162" s="5" t="s">
        <v>442</v>
      </c>
      <c r="O162" s="5" t="s">
        <v>553</v>
      </c>
      <c r="P162" s="5">
        <v>99</v>
      </c>
      <c r="Q162" s="5" t="str">
        <f t="shared" si="72"/>
        <v>\KL0914_c004_99</v>
      </c>
      <c r="R162" s="5" t="s">
        <v>568</v>
      </c>
      <c r="S162" s="5" t="s">
        <v>495</v>
      </c>
      <c r="T162" s="5" t="s">
        <v>504</v>
      </c>
      <c r="U162" s="5">
        <v>1</v>
      </c>
      <c r="V162" s="5">
        <v>6037</v>
      </c>
      <c r="W162" s="5">
        <v>101.551</v>
      </c>
      <c r="X162" s="5">
        <v>75.691000000000003</v>
      </c>
      <c r="Y162" s="5">
        <v>106.893</v>
      </c>
      <c r="AH162" s="5" t="s">
        <v>610</v>
      </c>
    </row>
    <row r="163" spans="1:35" s="5" customFormat="1" x14ac:dyDescent="0.2">
      <c r="A163" s="5" t="s">
        <v>238</v>
      </c>
      <c r="B163" s="7">
        <v>45755</v>
      </c>
      <c r="C163" s="5">
        <v>46166</v>
      </c>
      <c r="F163" s="5" t="s">
        <v>280</v>
      </c>
      <c r="G163" s="5" t="s">
        <v>283</v>
      </c>
      <c r="H163" s="5" t="s">
        <v>2</v>
      </c>
      <c r="I163" s="5" t="s">
        <v>3</v>
      </c>
      <c r="J163" s="5" t="str">
        <f t="shared" si="73"/>
        <v>KL0914_c008</v>
      </c>
      <c r="K163" s="5" t="str">
        <f t="shared" si="74"/>
        <v>KL0914_c008_a1</v>
      </c>
      <c r="L163" s="5" t="str">
        <f t="shared" si="75"/>
        <v>KL0914_c008_a1_FIA</v>
      </c>
      <c r="M163" s="5" t="s">
        <v>431</v>
      </c>
      <c r="O163" s="5" t="s">
        <v>554</v>
      </c>
      <c r="P163" s="5">
        <v>68</v>
      </c>
      <c r="Q163" s="5" t="str">
        <f t="shared" si="72"/>
        <v>\KL0914_c008_68</v>
      </c>
      <c r="R163" s="5" t="s">
        <v>568</v>
      </c>
      <c r="S163" s="5" t="s">
        <v>495</v>
      </c>
      <c r="T163" s="5" t="s">
        <v>504</v>
      </c>
      <c r="U163" s="5">
        <v>1</v>
      </c>
      <c r="V163" s="5">
        <v>23316</v>
      </c>
      <c r="W163" s="5">
        <v>184.40299999999999</v>
      </c>
      <c r="X163" s="5">
        <v>160.989</v>
      </c>
      <c r="Y163" s="5">
        <v>64.239000000000004</v>
      </c>
      <c r="AF163" s="5" t="s">
        <v>500</v>
      </c>
      <c r="AH163" s="5" t="s">
        <v>610</v>
      </c>
    </row>
    <row r="164" spans="1:35" s="5" customFormat="1" x14ac:dyDescent="0.2">
      <c r="A164" s="5" t="s">
        <v>239</v>
      </c>
      <c r="B164" s="7">
        <v>45755</v>
      </c>
      <c r="C164" s="5">
        <v>46556</v>
      </c>
      <c r="F164" s="5" t="s">
        <v>280</v>
      </c>
      <c r="G164" s="5" t="s">
        <v>283</v>
      </c>
      <c r="H164" s="5" t="s">
        <v>133</v>
      </c>
      <c r="I164" s="5" t="s">
        <v>5</v>
      </c>
      <c r="J164" s="5" t="str">
        <f t="shared" si="73"/>
        <v>KL0914_c008</v>
      </c>
      <c r="K164" s="5" t="str">
        <f t="shared" si="74"/>
        <v>KL0914_c008_a2</v>
      </c>
      <c r="L164" s="5" t="str">
        <f t="shared" si="75"/>
        <v>KL0914_c008_a2_FIB</v>
      </c>
      <c r="M164" s="5" t="s">
        <v>432</v>
      </c>
      <c r="O164" s="5" t="s">
        <v>554</v>
      </c>
      <c r="P164" s="5">
        <v>26</v>
      </c>
      <c r="Q164" s="5" t="str">
        <f t="shared" si="72"/>
        <v>\KL0914_c008_26</v>
      </c>
      <c r="R164" s="5" t="s">
        <v>568</v>
      </c>
      <c r="S164" s="5" t="s">
        <v>495</v>
      </c>
      <c r="T164" s="5" t="s">
        <v>504</v>
      </c>
      <c r="U164" s="5">
        <v>2</v>
      </c>
      <c r="V164" s="5">
        <v>11463</v>
      </c>
      <c r="W164" s="5">
        <v>131.15</v>
      </c>
      <c r="X164" s="5">
        <v>111.286</v>
      </c>
      <c r="Y164" s="5">
        <v>160.65100000000001</v>
      </c>
      <c r="AH164" s="5" t="s">
        <v>505</v>
      </c>
    </row>
    <row r="165" spans="1:35" s="5" customFormat="1" x14ac:dyDescent="0.2">
      <c r="A165" s="5" t="s">
        <v>240</v>
      </c>
      <c r="B165" s="7">
        <v>45755</v>
      </c>
      <c r="C165" s="5">
        <v>46911</v>
      </c>
      <c r="F165" s="5" t="s">
        <v>280</v>
      </c>
      <c r="G165" s="5" t="s">
        <v>283</v>
      </c>
      <c r="H165" s="5" t="s">
        <v>133</v>
      </c>
      <c r="I165" s="5" t="s">
        <v>7</v>
      </c>
      <c r="J165" s="5" t="str">
        <f t="shared" si="73"/>
        <v>KL0914_c008</v>
      </c>
      <c r="K165" s="5" t="str">
        <f t="shared" si="74"/>
        <v>KL0914_c008_a2</v>
      </c>
      <c r="L165" s="5" t="str">
        <f t="shared" si="75"/>
        <v>KL0914_c008_a2_FIC</v>
      </c>
      <c r="M165" s="5" t="s">
        <v>432</v>
      </c>
      <c r="O165" s="5" t="s">
        <v>554</v>
      </c>
      <c r="P165" s="5">
        <v>26</v>
      </c>
      <c r="Q165" s="5" t="str">
        <f t="shared" si="72"/>
        <v>\KL0914_c008_26</v>
      </c>
      <c r="R165" s="5" t="s">
        <v>568</v>
      </c>
      <c r="S165" s="5" t="s">
        <v>495</v>
      </c>
      <c r="T165" s="5" t="s">
        <v>504</v>
      </c>
      <c r="U165" s="5">
        <v>3</v>
      </c>
      <c r="V165" s="5">
        <v>9396</v>
      </c>
      <c r="W165" s="5">
        <v>137.42699999999999</v>
      </c>
      <c r="X165" s="5">
        <v>87.052000000000007</v>
      </c>
      <c r="Y165" s="5">
        <v>68.090999999999994</v>
      </c>
      <c r="AH165" s="5" t="s">
        <v>613</v>
      </c>
      <c r="AI165" s="5" t="s">
        <v>655</v>
      </c>
    </row>
    <row r="166" spans="1:35" s="5" customFormat="1" x14ac:dyDescent="0.2">
      <c r="A166" s="5" t="s">
        <v>241</v>
      </c>
      <c r="B166" s="7">
        <v>45755</v>
      </c>
      <c r="C166" s="5">
        <v>47789</v>
      </c>
      <c r="F166" s="5" t="s">
        <v>280</v>
      </c>
      <c r="G166" s="5" t="s">
        <v>284</v>
      </c>
      <c r="H166" s="5" t="s">
        <v>2</v>
      </c>
      <c r="I166" s="5" t="s">
        <v>3</v>
      </c>
      <c r="J166" s="5" t="str">
        <f t="shared" si="73"/>
        <v>KL0914_c012</v>
      </c>
      <c r="K166" s="5" t="str">
        <f t="shared" si="74"/>
        <v>KL0914_c012_a1</v>
      </c>
      <c r="L166" s="5" t="str">
        <f t="shared" si="75"/>
        <v>KL0914_c012_a1_FIA</v>
      </c>
      <c r="M166" s="5" t="s">
        <v>433</v>
      </c>
      <c r="O166" s="5" t="s">
        <v>555</v>
      </c>
      <c r="P166" s="5">
        <v>130</v>
      </c>
      <c r="Q166" s="5" t="str">
        <f t="shared" si="72"/>
        <v>\KL0914_c012_130</v>
      </c>
      <c r="R166" s="5" t="s">
        <v>568</v>
      </c>
      <c r="S166" s="5" t="s">
        <v>495</v>
      </c>
      <c r="T166" s="5" t="s">
        <v>504</v>
      </c>
      <c r="U166" s="5">
        <v>4</v>
      </c>
      <c r="V166" s="5">
        <v>8214</v>
      </c>
      <c r="W166" s="5">
        <v>118.754</v>
      </c>
      <c r="X166" s="5">
        <v>88.066999999999993</v>
      </c>
      <c r="Y166" s="5">
        <v>19.367999999999999</v>
      </c>
      <c r="AH166" s="5" t="s">
        <v>499</v>
      </c>
    </row>
    <row r="167" spans="1:35" s="5" customFormat="1" x14ac:dyDescent="0.2">
      <c r="A167" s="5" t="s">
        <v>242</v>
      </c>
      <c r="B167" s="7">
        <v>45755</v>
      </c>
      <c r="C167" s="5">
        <v>48097</v>
      </c>
      <c r="F167" s="5" t="s">
        <v>280</v>
      </c>
      <c r="G167" s="5" t="s">
        <v>284</v>
      </c>
      <c r="H167" s="5" t="s">
        <v>2</v>
      </c>
      <c r="I167" s="5" t="s">
        <v>5</v>
      </c>
      <c r="J167" s="5" t="str">
        <f t="shared" si="73"/>
        <v>KL0914_c012</v>
      </c>
      <c r="K167" s="5" t="str">
        <f t="shared" si="74"/>
        <v>KL0914_c012_a1</v>
      </c>
      <c r="L167" s="5" t="str">
        <f t="shared" si="75"/>
        <v>KL0914_c012_a1_FIB</v>
      </c>
      <c r="M167" s="5" t="s">
        <v>433</v>
      </c>
      <c r="O167" s="5" t="s">
        <v>555</v>
      </c>
      <c r="P167" s="5">
        <v>130</v>
      </c>
      <c r="Q167" s="5" t="str">
        <f t="shared" si="72"/>
        <v>\KL0914_c012_130</v>
      </c>
      <c r="R167" s="5" t="s">
        <v>568</v>
      </c>
      <c r="S167" s="5" t="s">
        <v>495</v>
      </c>
      <c r="T167" s="5" t="s">
        <v>504</v>
      </c>
      <c r="U167" s="5">
        <v>5</v>
      </c>
      <c r="V167" s="5">
        <v>7670</v>
      </c>
      <c r="W167" s="5">
        <v>103.581</v>
      </c>
      <c r="X167" s="5">
        <v>94.281000000000006</v>
      </c>
      <c r="Y167" s="5">
        <v>109.059</v>
      </c>
      <c r="AH167" s="5" t="s">
        <v>499</v>
      </c>
      <c r="AI167" s="5" t="s">
        <v>656</v>
      </c>
    </row>
    <row r="168" spans="1:35" s="5" customFormat="1" x14ac:dyDescent="0.2">
      <c r="A168" s="5" t="s">
        <v>243</v>
      </c>
      <c r="B168" s="7">
        <v>45755</v>
      </c>
      <c r="C168" s="5">
        <v>49688</v>
      </c>
      <c r="F168" s="5" t="s">
        <v>280</v>
      </c>
      <c r="G168" s="5" t="s">
        <v>285</v>
      </c>
      <c r="H168" s="5" t="s">
        <v>2</v>
      </c>
      <c r="I168" s="5" t="s">
        <v>3</v>
      </c>
      <c r="J168" s="5" t="str">
        <f t="shared" si="73"/>
        <v>KL0914_c016</v>
      </c>
      <c r="K168" s="5" t="str">
        <f t="shared" si="74"/>
        <v>KL0914_c016_a1</v>
      </c>
      <c r="L168" s="5" t="str">
        <f t="shared" si="75"/>
        <v>KL0914_c016_a1_FIA</v>
      </c>
      <c r="M168" s="5" t="s">
        <v>415</v>
      </c>
      <c r="O168" s="5" t="s">
        <v>556</v>
      </c>
      <c r="P168" s="5">
        <v>28</v>
      </c>
      <c r="Q168" s="5" t="str">
        <f t="shared" si="72"/>
        <v>\KL0914_c016_28</v>
      </c>
      <c r="R168" s="5" t="s">
        <v>568</v>
      </c>
      <c r="S168" s="5" t="s">
        <v>495</v>
      </c>
      <c r="T168" s="5" t="s">
        <v>496</v>
      </c>
      <c r="U168" s="5">
        <v>6</v>
      </c>
      <c r="V168" s="5">
        <v>3574</v>
      </c>
      <c r="W168" s="5">
        <v>69.950999999999993</v>
      </c>
      <c r="X168" s="5">
        <v>65.052999999999997</v>
      </c>
      <c r="Y168" s="5">
        <v>161.608</v>
      </c>
      <c r="AH168" s="5" t="s">
        <v>503</v>
      </c>
    </row>
    <row r="169" spans="1:35" s="5" customFormat="1" x14ac:dyDescent="0.2">
      <c r="A169" s="5" t="s">
        <v>244</v>
      </c>
      <c r="B169" s="7">
        <v>45755</v>
      </c>
      <c r="C169" s="5">
        <v>49983</v>
      </c>
      <c r="F169" s="5" t="s">
        <v>280</v>
      </c>
      <c r="G169" s="5" t="s">
        <v>285</v>
      </c>
      <c r="H169" s="5" t="s">
        <v>2</v>
      </c>
      <c r="I169" s="5" t="s">
        <v>5</v>
      </c>
      <c r="J169" s="5" t="str">
        <f t="shared" si="73"/>
        <v>KL0914_c016</v>
      </c>
      <c r="K169" s="5" t="str">
        <f t="shared" si="74"/>
        <v>KL0914_c016_a1</v>
      </c>
      <c r="L169" s="5" t="str">
        <f t="shared" si="75"/>
        <v>KL0914_c016_a1_FIB</v>
      </c>
      <c r="M169" s="5" t="s">
        <v>415</v>
      </c>
      <c r="O169" s="5" t="s">
        <v>556</v>
      </c>
      <c r="P169" s="5">
        <v>28</v>
      </c>
      <c r="Q169" s="5" t="str">
        <f t="shared" si="72"/>
        <v>\KL0914_c016_28</v>
      </c>
      <c r="R169" s="5" t="s">
        <v>568</v>
      </c>
      <c r="S169" s="5" t="s">
        <v>495</v>
      </c>
      <c r="T169" s="5" t="s">
        <v>496</v>
      </c>
      <c r="U169" s="5">
        <v>7</v>
      </c>
      <c r="V169" s="5">
        <v>10063</v>
      </c>
      <c r="W169" s="5">
        <v>113.931</v>
      </c>
      <c r="X169" s="5">
        <v>112.459</v>
      </c>
      <c r="Y169" s="5">
        <v>81.613</v>
      </c>
      <c r="AH169" s="5" t="s">
        <v>503</v>
      </c>
    </row>
    <row r="170" spans="1:35" s="5" customFormat="1" x14ac:dyDescent="0.2">
      <c r="A170" s="5" t="s">
        <v>245</v>
      </c>
      <c r="B170" s="7">
        <v>45755</v>
      </c>
      <c r="C170" s="5">
        <v>56853</v>
      </c>
      <c r="F170" s="5" t="s">
        <v>280</v>
      </c>
      <c r="G170" s="5" t="s">
        <v>285</v>
      </c>
      <c r="H170" s="5" t="s">
        <v>133</v>
      </c>
      <c r="I170" s="5" t="s">
        <v>7</v>
      </c>
      <c r="J170" s="5" t="str">
        <f t="shared" si="73"/>
        <v>KL0914_c016</v>
      </c>
      <c r="K170" s="5" t="str">
        <f t="shared" si="74"/>
        <v>KL0914_c016_a2</v>
      </c>
      <c r="L170" s="5" t="str">
        <f t="shared" si="75"/>
        <v>KL0914_c016_a2_FIC</v>
      </c>
      <c r="M170" s="5" t="s">
        <v>434</v>
      </c>
      <c r="O170" s="5" t="s">
        <v>556</v>
      </c>
      <c r="P170" s="5">
        <v>62</v>
      </c>
      <c r="Q170" s="5" t="str">
        <f t="shared" si="72"/>
        <v>\KL0914_c016_62</v>
      </c>
      <c r="R170" s="5" t="s">
        <v>590</v>
      </c>
      <c r="S170" s="5" t="s">
        <v>495</v>
      </c>
      <c r="T170" s="5" t="s">
        <v>496</v>
      </c>
      <c r="U170" s="5">
        <v>8</v>
      </c>
      <c r="V170" s="5">
        <v>29033</v>
      </c>
      <c r="W170" s="5">
        <v>201.75200000000001</v>
      </c>
      <c r="X170" s="5">
        <v>183.22399999999999</v>
      </c>
      <c r="Y170" s="5">
        <v>136.09899999999999</v>
      </c>
      <c r="AF170" s="5" t="s">
        <v>500</v>
      </c>
      <c r="AH170" s="5" t="s">
        <v>499</v>
      </c>
    </row>
    <row r="171" spans="1:35" s="5" customFormat="1" x14ac:dyDescent="0.2">
      <c r="A171" s="5" t="s">
        <v>246</v>
      </c>
      <c r="B171" s="7">
        <v>45755</v>
      </c>
      <c r="C171" s="5">
        <v>57241</v>
      </c>
      <c r="F171" s="5" t="s">
        <v>280</v>
      </c>
      <c r="G171" s="5" t="s">
        <v>285</v>
      </c>
      <c r="H171" s="5" t="s">
        <v>286</v>
      </c>
      <c r="I171" s="5" t="s">
        <v>8</v>
      </c>
      <c r="J171" s="5" t="str">
        <f t="shared" si="73"/>
        <v>KL0914_c016</v>
      </c>
      <c r="K171" s="5" t="str">
        <f t="shared" si="74"/>
        <v>KL0914_c016_a3</v>
      </c>
      <c r="L171" s="5" t="str">
        <f t="shared" si="75"/>
        <v>KL0914_c016_a3_FID</v>
      </c>
      <c r="M171" s="5" t="s">
        <v>435</v>
      </c>
      <c r="O171" s="5" t="s">
        <v>556</v>
      </c>
      <c r="P171" s="5">
        <v>62</v>
      </c>
      <c r="Q171" s="5" t="str">
        <f t="shared" si="72"/>
        <v>\KL0914_c016_62</v>
      </c>
      <c r="R171" s="5" t="s">
        <v>590</v>
      </c>
      <c r="S171" s="5" t="s">
        <v>495</v>
      </c>
      <c r="T171" s="5" t="s">
        <v>504</v>
      </c>
      <c r="U171" s="5">
        <v>9</v>
      </c>
      <c r="V171" s="5">
        <v>3814</v>
      </c>
      <c r="W171" s="5">
        <v>79.703999999999994</v>
      </c>
      <c r="X171" s="5">
        <v>60.927</v>
      </c>
      <c r="Y171" s="5">
        <v>140.471</v>
      </c>
      <c r="AF171" s="5" t="s">
        <v>500</v>
      </c>
      <c r="AH171" s="5" t="s">
        <v>499</v>
      </c>
      <c r="AI171" s="5" t="s">
        <v>657</v>
      </c>
    </row>
    <row r="172" spans="1:35" s="5" customFormat="1" x14ac:dyDescent="0.2">
      <c r="A172" s="5" t="s">
        <v>247</v>
      </c>
      <c r="B172" s="7">
        <v>45755</v>
      </c>
      <c r="C172" s="5">
        <v>57590</v>
      </c>
      <c r="F172" s="5" t="s">
        <v>280</v>
      </c>
      <c r="G172" s="5" t="s">
        <v>287</v>
      </c>
      <c r="H172" s="5" t="s">
        <v>2</v>
      </c>
      <c r="I172" s="5" t="s">
        <v>3</v>
      </c>
      <c r="J172" s="5" t="str">
        <f t="shared" si="73"/>
        <v>KL0914_c017</v>
      </c>
      <c r="K172" s="5" t="str">
        <f t="shared" si="74"/>
        <v>KL0914_c017_a1</v>
      </c>
      <c r="L172" s="5" t="str">
        <f t="shared" si="75"/>
        <v>KL0914_c017_a1_FIA</v>
      </c>
      <c r="M172" s="5" t="s">
        <v>436</v>
      </c>
      <c r="O172" s="5" t="s">
        <v>557</v>
      </c>
      <c r="P172" s="5">
        <v>108</v>
      </c>
      <c r="Q172" s="5" t="str">
        <f t="shared" si="72"/>
        <v>\KL0914_c017_108</v>
      </c>
      <c r="R172" s="5" t="s">
        <v>568</v>
      </c>
      <c r="S172" s="5" t="s">
        <v>495</v>
      </c>
      <c r="T172" s="5" t="s">
        <v>496</v>
      </c>
      <c r="U172" s="5">
        <v>10</v>
      </c>
      <c r="V172" s="5">
        <v>18073</v>
      </c>
      <c r="W172" s="5">
        <v>152.49100000000001</v>
      </c>
      <c r="X172" s="5">
        <v>150.90199999999999</v>
      </c>
      <c r="Y172" s="5">
        <v>72.334999999999994</v>
      </c>
      <c r="AH172" s="5" t="s">
        <v>503</v>
      </c>
      <c r="AI172" s="5" t="s">
        <v>658</v>
      </c>
    </row>
    <row r="173" spans="1:35" s="5" customFormat="1" x14ac:dyDescent="0.2">
      <c r="A173" s="5" t="s">
        <v>248</v>
      </c>
      <c r="B173" s="7">
        <v>45755</v>
      </c>
      <c r="C173" s="5">
        <v>58005</v>
      </c>
      <c r="F173" s="5" t="s">
        <v>280</v>
      </c>
      <c r="G173" s="5" t="s">
        <v>288</v>
      </c>
      <c r="H173" s="5" t="s">
        <v>2</v>
      </c>
      <c r="I173" s="5" t="s">
        <v>3</v>
      </c>
      <c r="J173" s="5" t="str">
        <f t="shared" si="73"/>
        <v>KL0914_c019</v>
      </c>
      <c r="K173" s="5" t="str">
        <f t="shared" si="74"/>
        <v>KL0914_c019_a1</v>
      </c>
      <c r="L173" s="5" t="str">
        <f t="shared" si="75"/>
        <v>KL0914_c019_a1_FIA</v>
      </c>
      <c r="M173" s="5" t="s">
        <v>437</v>
      </c>
      <c r="O173" s="5" t="s">
        <v>558</v>
      </c>
      <c r="P173" s="5">
        <v>94</v>
      </c>
      <c r="Q173" s="5" t="str">
        <f t="shared" si="72"/>
        <v>\KL0914_c019_94</v>
      </c>
      <c r="R173" s="5" t="s">
        <v>568</v>
      </c>
      <c r="S173" s="5" t="s">
        <v>495</v>
      </c>
      <c r="T173" s="5" t="s">
        <v>496</v>
      </c>
      <c r="U173" s="5">
        <v>11</v>
      </c>
      <c r="V173" s="5">
        <v>4134</v>
      </c>
      <c r="W173" s="5">
        <v>78.948999999999998</v>
      </c>
      <c r="X173" s="5">
        <v>66.671000000000006</v>
      </c>
      <c r="Y173" s="5">
        <v>130.28800000000001</v>
      </c>
      <c r="AH173" s="5" t="s">
        <v>499</v>
      </c>
    </row>
    <row r="174" spans="1:35" s="5" customFormat="1" x14ac:dyDescent="0.2">
      <c r="A174" s="5" t="s">
        <v>249</v>
      </c>
      <c r="B174" s="7">
        <v>45755</v>
      </c>
      <c r="C174" s="5">
        <v>58408</v>
      </c>
      <c r="F174" s="5" t="s">
        <v>165</v>
      </c>
      <c r="G174" s="5" t="s">
        <v>289</v>
      </c>
      <c r="H174" s="5" t="s">
        <v>2</v>
      </c>
      <c r="I174" s="5" t="s">
        <v>3</v>
      </c>
      <c r="J174" s="5" t="str">
        <f t="shared" si="73"/>
        <v>KL0931_c021</v>
      </c>
      <c r="K174" s="5" t="str">
        <f t="shared" si="74"/>
        <v>KL0931_c021_a1</v>
      </c>
      <c r="L174" s="5" t="str">
        <f t="shared" si="75"/>
        <v>KL0931_c021_a1_FIA</v>
      </c>
      <c r="M174" s="5" t="s">
        <v>430</v>
      </c>
      <c r="N174" s="5" t="s">
        <v>443</v>
      </c>
      <c r="O174" s="5" t="s">
        <v>559</v>
      </c>
      <c r="P174" s="5">
        <v>28</v>
      </c>
      <c r="Q174" s="5" t="str">
        <f t="shared" si="72"/>
        <v>\KL0931_c021_28</v>
      </c>
      <c r="R174" s="5" t="s">
        <v>568</v>
      </c>
      <c r="S174" s="5" t="s">
        <v>495</v>
      </c>
      <c r="T174" s="5" t="s">
        <v>504</v>
      </c>
      <c r="U174" s="5">
        <v>12</v>
      </c>
      <c r="V174" s="5">
        <v>69593</v>
      </c>
      <c r="W174" s="5">
        <v>311.48200000000003</v>
      </c>
      <c r="X174" s="5">
        <v>284.47399999999999</v>
      </c>
      <c r="Y174" s="5">
        <v>171.46</v>
      </c>
      <c r="AH174" s="5" t="s">
        <v>610</v>
      </c>
      <c r="AI174" s="5" t="s">
        <v>659</v>
      </c>
    </row>
    <row r="175" spans="1:35" x14ac:dyDescent="0.2">
      <c r="A175" t="s">
        <v>250</v>
      </c>
      <c r="B175" s="1">
        <v>45755</v>
      </c>
      <c r="C175">
        <v>60862</v>
      </c>
      <c r="F175" t="s">
        <v>165</v>
      </c>
      <c r="G175" t="s">
        <v>290</v>
      </c>
      <c r="H175" t="s">
        <v>2</v>
      </c>
      <c r="I175" t="s">
        <v>3</v>
      </c>
      <c r="J175" t="str">
        <f t="shared" si="73"/>
        <v>KL0931_c027</v>
      </c>
      <c r="K175" t="str">
        <f t="shared" si="74"/>
        <v>KL0931_c027_a1</v>
      </c>
      <c r="L175" t="str">
        <f t="shared" si="75"/>
        <v>KL0931_c027_a1_FIA</v>
      </c>
      <c r="M175" t="s">
        <v>416</v>
      </c>
      <c r="O175" t="s">
        <v>479</v>
      </c>
      <c r="P175">
        <v>39</v>
      </c>
      <c r="Q175" t="str">
        <f>_xlfn.CONCAT(O175,"_",P175)</f>
        <v>\ulubsmallolivines_27_39</v>
      </c>
      <c r="S175" s="5" t="s">
        <v>495</v>
      </c>
      <c r="T175" s="5" t="s">
        <v>504</v>
      </c>
      <c r="U175">
        <v>4</v>
      </c>
      <c r="V175">
        <v>49046</v>
      </c>
      <c r="W175">
        <v>256.392</v>
      </c>
      <c r="X175">
        <v>243.56200000000001</v>
      </c>
      <c r="Y175">
        <v>16.132000000000001</v>
      </c>
      <c r="AF175" t="s">
        <v>500</v>
      </c>
      <c r="AH175" s="5" t="s">
        <v>610</v>
      </c>
      <c r="AI175" s="5" t="s">
        <v>660</v>
      </c>
    </row>
    <row r="176" spans="1:35" s="5" customFormat="1" x14ac:dyDescent="0.2">
      <c r="A176" s="5" t="s">
        <v>251</v>
      </c>
      <c r="B176" s="7">
        <v>45755</v>
      </c>
      <c r="C176" s="5">
        <v>61229</v>
      </c>
      <c r="F176" s="5" t="s">
        <v>165</v>
      </c>
      <c r="G176" s="5" t="s">
        <v>291</v>
      </c>
      <c r="H176" s="5" t="s">
        <v>2</v>
      </c>
      <c r="I176" s="5" t="s">
        <v>3</v>
      </c>
      <c r="J176" s="5" t="str">
        <f t="shared" si="73"/>
        <v>KL0931_c028</v>
      </c>
      <c r="K176" s="5" t="str">
        <f t="shared" si="74"/>
        <v>KL0931_c028_a1</v>
      </c>
      <c r="L176" s="5" t="str">
        <f t="shared" si="75"/>
        <v>KL0931_c028_a1_FIA</v>
      </c>
      <c r="M176" s="5" t="s">
        <v>417</v>
      </c>
      <c r="O176" s="5" t="s">
        <v>560</v>
      </c>
      <c r="P176" s="5">
        <v>56</v>
      </c>
      <c r="Q176" s="5" t="str">
        <f t="shared" si="72"/>
        <v>\KL0931_c028_56</v>
      </c>
      <c r="R176" s="5" t="s">
        <v>568</v>
      </c>
      <c r="S176" s="5" t="s">
        <v>495</v>
      </c>
      <c r="T176" s="5" t="s">
        <v>504</v>
      </c>
      <c r="U176" s="5">
        <v>5</v>
      </c>
      <c r="V176" s="5">
        <v>36442</v>
      </c>
      <c r="W176" s="5">
        <v>265.91000000000003</v>
      </c>
      <c r="X176" s="5">
        <v>174.49299999999999</v>
      </c>
      <c r="Y176" s="5">
        <v>6.6920000000000002</v>
      </c>
      <c r="AE176" s="5" t="s">
        <v>500</v>
      </c>
      <c r="AH176" s="5" t="s">
        <v>613</v>
      </c>
      <c r="AI176" s="5" t="s">
        <v>661</v>
      </c>
    </row>
    <row r="177" spans="1:35" s="5" customFormat="1" x14ac:dyDescent="0.2">
      <c r="A177" s="5" t="s">
        <v>252</v>
      </c>
      <c r="B177" s="7">
        <v>45755</v>
      </c>
      <c r="C177" s="5">
        <v>61517</v>
      </c>
      <c r="F177" s="5" t="s">
        <v>165</v>
      </c>
      <c r="G177" s="5" t="s">
        <v>291</v>
      </c>
      <c r="H177" s="5" t="s">
        <v>2</v>
      </c>
      <c r="I177" s="5" t="s">
        <v>5</v>
      </c>
      <c r="J177" s="5" t="str">
        <f t="shared" si="73"/>
        <v>KL0931_c028</v>
      </c>
      <c r="K177" s="5" t="str">
        <f t="shared" si="74"/>
        <v>KL0931_c028_a1</v>
      </c>
      <c r="L177" s="5" t="str">
        <f t="shared" si="75"/>
        <v>KL0931_c028_a1_FIB</v>
      </c>
      <c r="M177" s="5" t="s">
        <v>417</v>
      </c>
      <c r="O177" s="5" t="s">
        <v>560</v>
      </c>
      <c r="P177" s="5">
        <v>56</v>
      </c>
      <c r="Q177" s="5" t="str">
        <f t="shared" si="72"/>
        <v>\KL0931_c028_56</v>
      </c>
      <c r="R177" s="5" t="s">
        <v>568</v>
      </c>
      <c r="S177" s="5" t="s">
        <v>495</v>
      </c>
      <c r="T177" s="5" t="s">
        <v>504</v>
      </c>
      <c r="U177" s="5">
        <v>6</v>
      </c>
      <c r="V177" s="5">
        <v>27819</v>
      </c>
      <c r="W177" s="5">
        <v>261.27</v>
      </c>
      <c r="X177" s="5">
        <v>135.57</v>
      </c>
      <c r="Y177" s="5">
        <v>57.54</v>
      </c>
      <c r="AH177" s="5" t="s">
        <v>613</v>
      </c>
      <c r="AI177" s="5" t="s">
        <v>662</v>
      </c>
    </row>
    <row r="178" spans="1:35" s="5" customFormat="1" x14ac:dyDescent="0.2">
      <c r="A178" s="5" t="s">
        <v>253</v>
      </c>
      <c r="B178" s="7">
        <v>45755</v>
      </c>
      <c r="C178" s="5">
        <v>62417</v>
      </c>
      <c r="F178" s="5" t="s">
        <v>165</v>
      </c>
      <c r="G178" s="5" t="s">
        <v>143</v>
      </c>
      <c r="H178" s="5" t="s">
        <v>2</v>
      </c>
      <c r="I178" s="5" t="s">
        <v>3</v>
      </c>
      <c r="J178" s="5" t="str">
        <f t="shared" si="73"/>
        <v>KL0931_c031</v>
      </c>
      <c r="K178" s="5" t="str">
        <f t="shared" si="74"/>
        <v>KL0931_c031_a1</v>
      </c>
      <c r="L178" s="5" t="str">
        <f t="shared" si="75"/>
        <v>KL0931_c031_a1_FIA</v>
      </c>
      <c r="M178" s="5" t="s">
        <v>438</v>
      </c>
      <c r="O178" s="5" t="s">
        <v>561</v>
      </c>
      <c r="P178" s="5">
        <v>50</v>
      </c>
      <c r="Q178" s="5" t="str">
        <f t="shared" si="72"/>
        <v>\KL0931_c031_50</v>
      </c>
      <c r="R178" s="5" t="s">
        <v>568</v>
      </c>
      <c r="S178" s="5" t="s">
        <v>495</v>
      </c>
      <c r="T178" s="5" t="s">
        <v>504</v>
      </c>
      <c r="U178" s="5">
        <v>7</v>
      </c>
      <c r="V178" s="5">
        <v>15861</v>
      </c>
      <c r="W178" s="5">
        <v>149.32</v>
      </c>
      <c r="X178" s="5">
        <v>135.245</v>
      </c>
      <c r="Y178" s="5">
        <v>3.254</v>
      </c>
      <c r="AH178" s="5" t="s">
        <v>610</v>
      </c>
    </row>
    <row r="179" spans="1:35" x14ac:dyDescent="0.2">
      <c r="A179" t="s">
        <v>225</v>
      </c>
      <c r="B179" s="1">
        <v>45756</v>
      </c>
      <c r="C179">
        <v>63205</v>
      </c>
      <c r="F179" t="s">
        <v>23</v>
      </c>
      <c r="G179" t="s">
        <v>24</v>
      </c>
      <c r="I179">
        <v>1</v>
      </c>
      <c r="J179" t="s">
        <v>25</v>
      </c>
      <c r="K179" t="s">
        <v>25</v>
      </c>
      <c r="L179" t="str">
        <f>_xlfn.CONCAT(F179,"-",G179,"-",I179,"-evening-",B180)</f>
        <v>FG04-A1-1-evening-45756</v>
      </c>
    </row>
    <row r="180" spans="1:35" x14ac:dyDescent="0.2">
      <c r="A180" t="s">
        <v>226</v>
      </c>
      <c r="B180" s="1">
        <v>45756</v>
      </c>
      <c r="C180">
        <v>41283</v>
      </c>
      <c r="F180" t="s">
        <v>23</v>
      </c>
      <c r="G180" t="s">
        <v>24</v>
      </c>
      <c r="I180">
        <v>1</v>
      </c>
      <c r="J180" t="s">
        <v>25</v>
      </c>
      <c r="K180" t="s">
        <v>25</v>
      </c>
      <c r="L180" t="str">
        <f>_xlfn.CONCAT(F180,"-",G180,"-",I180,"-morning-",B181)</f>
        <v>FG04-A1-1-morning-45756</v>
      </c>
    </row>
    <row r="181" spans="1:35" x14ac:dyDescent="0.2">
      <c r="A181" t="s">
        <v>227</v>
      </c>
      <c r="B181" s="1">
        <v>45756</v>
      </c>
      <c r="C181">
        <v>63451</v>
      </c>
      <c r="F181" t="s">
        <v>23</v>
      </c>
      <c r="G181" t="s">
        <v>24</v>
      </c>
      <c r="I181">
        <v>2</v>
      </c>
      <c r="J181" t="s">
        <v>25</v>
      </c>
      <c r="K181" t="s">
        <v>25</v>
      </c>
      <c r="L181" t="str">
        <f>_xlfn.CONCAT(F181,"-",G181,"-",I181,"-evening-",B182)</f>
        <v>FG04-A1-2-evening-45756</v>
      </c>
    </row>
    <row r="182" spans="1:35" x14ac:dyDescent="0.2">
      <c r="A182" t="s">
        <v>228</v>
      </c>
      <c r="B182" s="1">
        <v>45756</v>
      </c>
      <c r="C182">
        <v>41549</v>
      </c>
      <c r="F182" t="s">
        <v>23</v>
      </c>
      <c r="G182" t="s">
        <v>24</v>
      </c>
      <c r="I182">
        <v>2</v>
      </c>
      <c r="J182" t="s">
        <v>25</v>
      </c>
      <c r="K182" t="s">
        <v>25</v>
      </c>
      <c r="L182" t="str">
        <f>_xlfn.CONCAT(F182,"-",G182,"-",I182,"-morning-",B183)</f>
        <v>FG04-A1-2-morning-45756</v>
      </c>
    </row>
    <row r="183" spans="1:35" x14ac:dyDescent="0.2">
      <c r="A183" t="s">
        <v>229</v>
      </c>
      <c r="B183" s="1">
        <v>45756</v>
      </c>
      <c r="C183">
        <v>63813</v>
      </c>
      <c r="F183" t="s">
        <v>23</v>
      </c>
      <c r="G183" t="s">
        <v>24</v>
      </c>
      <c r="I183">
        <v>4</v>
      </c>
      <c r="J183" t="s">
        <v>25</v>
      </c>
      <c r="K183" t="s">
        <v>25</v>
      </c>
      <c r="L183" t="str">
        <f>_xlfn.CONCAT(F183,"-",G183,"-",I183,"-evening-",B184)</f>
        <v>FG04-A1-4-evening-45756</v>
      </c>
    </row>
    <row r="184" spans="1:35" x14ac:dyDescent="0.2">
      <c r="A184" t="s">
        <v>230</v>
      </c>
      <c r="B184" s="1">
        <v>45756</v>
      </c>
      <c r="C184">
        <v>41902</v>
      </c>
      <c r="F184" t="s">
        <v>23</v>
      </c>
      <c r="G184" t="s">
        <v>24</v>
      </c>
      <c r="I184">
        <v>4</v>
      </c>
      <c r="J184" t="s">
        <v>25</v>
      </c>
      <c r="K184" t="s">
        <v>25</v>
      </c>
      <c r="L184" t="str">
        <f>_xlfn.CONCAT(F184,"-",G184,"-",I184,"-morning-",B185)</f>
        <v>FG04-A1-4-morning-45756</v>
      </c>
    </row>
    <row r="185" spans="1:35" x14ac:dyDescent="0.2">
      <c r="A185" t="s">
        <v>231</v>
      </c>
      <c r="B185" s="1">
        <v>45756</v>
      </c>
      <c r="C185">
        <v>62877</v>
      </c>
      <c r="F185" t="s">
        <v>168</v>
      </c>
      <c r="G185">
        <v>101</v>
      </c>
      <c r="I185" t="s">
        <v>169</v>
      </c>
      <c r="J185" t="s">
        <v>170</v>
      </c>
      <c r="K185" t="s">
        <v>170</v>
      </c>
      <c r="L185" t="str">
        <f>_xlfn.CONCAT(F185,"-",G185,"-",I185,"-evening-",B186)</f>
        <v>FG19-101-A-evening-45756</v>
      </c>
    </row>
    <row r="186" spans="1:35" x14ac:dyDescent="0.2">
      <c r="A186" t="s">
        <v>232</v>
      </c>
      <c r="B186" s="1">
        <v>45756</v>
      </c>
      <c r="C186">
        <v>40952</v>
      </c>
      <c r="F186" t="s">
        <v>168</v>
      </c>
      <c r="G186">
        <v>101</v>
      </c>
      <c r="I186" t="s">
        <v>169</v>
      </c>
      <c r="J186" t="s">
        <v>170</v>
      </c>
      <c r="K186" t="s">
        <v>170</v>
      </c>
      <c r="L186" t="str">
        <f>_xlfn.CONCAT(F186,"-",G186,"-",I186,"-morning-",B187)</f>
        <v>FG19-101-A-morning-45756</v>
      </c>
    </row>
    <row r="187" spans="1:35" x14ac:dyDescent="0.2">
      <c r="A187" t="s">
        <v>80</v>
      </c>
      <c r="B187" s="1">
        <v>45756</v>
      </c>
      <c r="C187">
        <v>52103</v>
      </c>
      <c r="F187" t="s">
        <v>131</v>
      </c>
      <c r="G187" t="s">
        <v>137</v>
      </c>
      <c r="H187" t="s">
        <v>2</v>
      </c>
      <c r="I187" t="s">
        <v>3</v>
      </c>
      <c r="J187" t="str">
        <f t="shared" ref="J187" si="76">_xlfn.CONCAT(F187,"_",G187)</f>
        <v>KL0908_c060</v>
      </c>
      <c r="K187" t="str">
        <f t="shared" ref="K187" si="77">_xlfn.CONCAT(J187,"_",H187)</f>
        <v>KL0908_c060_a1</v>
      </c>
      <c r="L187" t="str">
        <f>_xlfn.CONCAT(K187,"_",I187,"_S1")</f>
        <v>KL0908_c060_a1_FIA_S1</v>
      </c>
      <c r="M187" t="s">
        <v>446</v>
      </c>
      <c r="N187" t="s">
        <v>448</v>
      </c>
      <c r="O187" t="s">
        <v>449</v>
      </c>
      <c r="P187">
        <v>18</v>
      </c>
      <c r="Q187" t="str">
        <f>_xlfn.CONCAT(O187,"_",P187)</f>
        <v>\ulubsmallolivines_60_18</v>
      </c>
      <c r="S187" t="s">
        <v>495</v>
      </c>
      <c r="T187" t="s">
        <v>496</v>
      </c>
      <c r="U187">
        <v>1</v>
      </c>
      <c r="V187">
        <v>15967</v>
      </c>
      <c r="W187">
        <v>147.511</v>
      </c>
      <c r="X187">
        <v>137.81899999999999</v>
      </c>
      <c r="Y187">
        <v>19.585999999999999</v>
      </c>
      <c r="AH187" t="s">
        <v>499</v>
      </c>
    </row>
    <row r="188" spans="1:35" x14ac:dyDescent="0.2">
      <c r="A188" t="s">
        <v>292</v>
      </c>
      <c r="B188" s="1">
        <v>45756</v>
      </c>
      <c r="C188">
        <v>53077</v>
      </c>
      <c r="F188" t="s">
        <v>131</v>
      </c>
      <c r="G188" t="s">
        <v>324</v>
      </c>
      <c r="H188" t="s">
        <v>2</v>
      </c>
      <c r="I188" t="s">
        <v>3</v>
      </c>
      <c r="J188" t="str">
        <f t="shared" ref="J188:J208" si="78">_xlfn.CONCAT(F188,"_",G188)</f>
        <v>KL0908_c065</v>
      </c>
      <c r="K188" t="str">
        <f t="shared" ref="K188:K208" si="79">_xlfn.CONCAT(J188,"_",H188)</f>
        <v>KL0908_c065_a1</v>
      </c>
      <c r="L188" t="str">
        <f t="shared" ref="L188:L208" si="80">_xlfn.CONCAT(K188,"_",I188)</f>
        <v>KL0908_c065_a1_FIA</v>
      </c>
      <c r="M188" t="s">
        <v>439</v>
      </c>
      <c r="O188" t="s">
        <v>450</v>
      </c>
      <c r="P188">
        <v>63</v>
      </c>
      <c r="Q188" t="str">
        <f>_xlfn.CONCAT(O188,"_",P188)</f>
        <v>\ulubsmallolivines_65_63</v>
      </c>
      <c r="R188" t="s">
        <v>591</v>
      </c>
      <c r="S188" t="s">
        <v>495</v>
      </c>
      <c r="T188" t="s">
        <v>504</v>
      </c>
      <c r="U188">
        <v>2</v>
      </c>
      <c r="V188">
        <v>10352</v>
      </c>
      <c r="W188">
        <v>130.80000000000001</v>
      </c>
      <c r="X188">
        <v>100.76900000000001</v>
      </c>
      <c r="Y188">
        <v>132.40100000000001</v>
      </c>
      <c r="AH188" t="s">
        <v>610</v>
      </c>
    </row>
    <row r="189" spans="1:35" s="5" customFormat="1" x14ac:dyDescent="0.2">
      <c r="A189" s="5" t="s">
        <v>293</v>
      </c>
      <c r="B189" s="7">
        <v>45756</v>
      </c>
      <c r="C189" s="5">
        <v>54670</v>
      </c>
      <c r="F189" s="5" t="s">
        <v>131</v>
      </c>
      <c r="G189" s="5" t="s">
        <v>160</v>
      </c>
      <c r="H189" s="5" t="s">
        <v>2</v>
      </c>
      <c r="I189" s="5" t="s">
        <v>3</v>
      </c>
      <c r="J189" s="5" t="str">
        <f t="shared" si="78"/>
        <v>KL0908_c071</v>
      </c>
      <c r="K189" s="5" t="str">
        <f t="shared" si="79"/>
        <v>KL0908_c071_a1</v>
      </c>
      <c r="L189" s="5" t="str">
        <f t="shared" si="80"/>
        <v>KL0908_c071_a1_FIA</v>
      </c>
      <c r="M189" s="5" t="s">
        <v>423</v>
      </c>
      <c r="O189" s="5" t="s">
        <v>562</v>
      </c>
      <c r="P189" s="5">
        <v>26</v>
      </c>
      <c r="Q189" s="5" t="str">
        <f t="shared" ref="Q189:Q191" si="81">_xlfn.CONCAT(O189,"_",P189)</f>
        <v>\KL0908_c071_26</v>
      </c>
      <c r="R189" s="5" t="s">
        <v>568</v>
      </c>
      <c r="S189" s="5" t="s">
        <v>495</v>
      </c>
      <c r="T189" s="5" t="s">
        <v>496</v>
      </c>
      <c r="U189" s="5">
        <v>3</v>
      </c>
      <c r="V189" s="5">
        <v>17499</v>
      </c>
      <c r="W189" s="5">
        <v>151.79400000000001</v>
      </c>
      <c r="X189" s="5">
        <v>146.78</v>
      </c>
      <c r="Y189" s="5">
        <v>134.30600000000001</v>
      </c>
      <c r="AH189" s="5" t="s">
        <v>501</v>
      </c>
    </row>
    <row r="190" spans="1:35" s="5" customFormat="1" x14ac:dyDescent="0.2">
      <c r="A190" s="5" t="s">
        <v>294</v>
      </c>
      <c r="B190" s="7">
        <v>45756</v>
      </c>
      <c r="C190" s="5">
        <v>55374</v>
      </c>
      <c r="F190" s="5" t="s">
        <v>131</v>
      </c>
      <c r="G190" s="5" t="s">
        <v>160</v>
      </c>
      <c r="H190" s="5" t="s">
        <v>2</v>
      </c>
      <c r="I190" s="5" t="s">
        <v>5</v>
      </c>
      <c r="J190" s="5" t="str">
        <f t="shared" si="78"/>
        <v>KL0908_c071</v>
      </c>
      <c r="K190" s="5" t="str">
        <f t="shared" si="79"/>
        <v>KL0908_c071_a1</v>
      </c>
      <c r="L190" s="5" t="str">
        <f t="shared" si="80"/>
        <v>KL0908_c071_a1_FIB</v>
      </c>
      <c r="M190" s="5" t="s">
        <v>423</v>
      </c>
      <c r="O190" s="5" t="s">
        <v>562</v>
      </c>
      <c r="P190" s="5">
        <v>26</v>
      </c>
      <c r="Q190" s="5" t="str">
        <f t="shared" si="81"/>
        <v>\KL0908_c071_26</v>
      </c>
      <c r="R190" s="5" t="s">
        <v>568</v>
      </c>
      <c r="S190" s="5" t="s">
        <v>495</v>
      </c>
      <c r="T190" s="5" t="s">
        <v>496</v>
      </c>
      <c r="U190" s="5">
        <v>4</v>
      </c>
      <c r="V190" s="5">
        <v>12430</v>
      </c>
      <c r="W190" s="5">
        <v>134.845</v>
      </c>
      <c r="X190" s="5">
        <v>117.367</v>
      </c>
      <c r="Y190" s="5">
        <v>159.25899999999999</v>
      </c>
      <c r="AH190" s="5" t="s">
        <v>501</v>
      </c>
    </row>
    <row r="191" spans="1:35" s="5" customFormat="1" x14ac:dyDescent="0.2">
      <c r="A191" s="5" t="s">
        <v>295</v>
      </c>
      <c r="B191" s="7">
        <v>45756</v>
      </c>
      <c r="C191" s="5">
        <v>60398</v>
      </c>
      <c r="F191" s="5" t="s">
        <v>156</v>
      </c>
      <c r="G191" s="5" t="s">
        <v>325</v>
      </c>
      <c r="H191" s="5" t="s">
        <v>2</v>
      </c>
      <c r="I191" s="5" t="s">
        <v>5</v>
      </c>
      <c r="J191" s="5" t="str">
        <f t="shared" si="78"/>
        <v>KL0909_c124</v>
      </c>
      <c r="K191" s="5" t="str">
        <f t="shared" si="79"/>
        <v>KL0909_c124_a1</v>
      </c>
      <c r="L191" s="5" t="str">
        <f t="shared" si="80"/>
        <v>KL0909_c124_a1_FIB</v>
      </c>
      <c r="M191" s="5" t="s">
        <v>427</v>
      </c>
      <c r="O191" s="5" t="s">
        <v>563</v>
      </c>
      <c r="P191" s="5">
        <v>59</v>
      </c>
      <c r="Q191" s="5" t="str">
        <f t="shared" si="81"/>
        <v>\KL0909_c124_59</v>
      </c>
      <c r="R191" s="5" t="s">
        <v>568</v>
      </c>
      <c r="S191" s="5" t="s">
        <v>495</v>
      </c>
      <c r="T191" s="5" t="s">
        <v>504</v>
      </c>
      <c r="U191" s="5">
        <v>5</v>
      </c>
      <c r="V191" s="5">
        <v>8627</v>
      </c>
      <c r="W191" s="5">
        <v>111.965</v>
      </c>
      <c r="X191" s="5">
        <v>98.105000000000004</v>
      </c>
      <c r="Y191" s="5">
        <v>80.564999999999998</v>
      </c>
      <c r="AH191" s="5" t="s">
        <v>505</v>
      </c>
    </row>
    <row r="192" spans="1:35" x14ac:dyDescent="0.2">
      <c r="A192" t="s">
        <v>296</v>
      </c>
      <c r="B192" s="1">
        <v>45756</v>
      </c>
      <c r="C192">
        <v>60994</v>
      </c>
      <c r="F192" t="s">
        <v>156</v>
      </c>
      <c r="G192" t="s">
        <v>326</v>
      </c>
      <c r="H192" t="s">
        <v>2</v>
      </c>
      <c r="I192" t="s">
        <v>5</v>
      </c>
      <c r="J192" t="str">
        <f t="shared" si="78"/>
        <v>KL0909_c132</v>
      </c>
      <c r="K192" t="str">
        <f t="shared" si="79"/>
        <v>KL0909_c132_a1</v>
      </c>
      <c r="L192" t="str">
        <f t="shared" si="80"/>
        <v>KL0909_c132_a1_FIB</v>
      </c>
      <c r="M192" t="s">
        <v>428</v>
      </c>
      <c r="O192" t="s">
        <v>451</v>
      </c>
      <c r="P192">
        <v>28</v>
      </c>
      <c r="Q192" t="str">
        <f>_xlfn.CONCAT(O192,"_",P192)</f>
        <v>\ulubsmallolivines132_28</v>
      </c>
      <c r="S192" s="5" t="s">
        <v>495</v>
      </c>
      <c r="T192" s="5" t="s">
        <v>496</v>
      </c>
      <c r="U192">
        <v>6</v>
      </c>
      <c r="V192">
        <v>5278</v>
      </c>
      <c r="W192">
        <v>87.703999999999994</v>
      </c>
      <c r="X192">
        <v>76.623000000000005</v>
      </c>
      <c r="Y192">
        <v>46.094000000000001</v>
      </c>
      <c r="AH192" s="5" t="s">
        <v>499</v>
      </c>
    </row>
    <row r="193" spans="1:35" x14ac:dyDescent="0.2">
      <c r="A193" t="s">
        <v>297</v>
      </c>
      <c r="B193" s="1">
        <v>45756</v>
      </c>
      <c r="C193">
        <v>47898</v>
      </c>
      <c r="F193" t="s">
        <v>66</v>
      </c>
      <c r="G193" t="s">
        <v>327</v>
      </c>
      <c r="H193" t="s">
        <v>2</v>
      </c>
      <c r="I193" t="s">
        <v>3</v>
      </c>
      <c r="J193" t="str">
        <f t="shared" si="78"/>
        <v>KL0910_c035</v>
      </c>
      <c r="K193" t="str">
        <f t="shared" si="79"/>
        <v>KL0910_c035_a1</v>
      </c>
      <c r="L193" t="str">
        <f t="shared" si="80"/>
        <v>KL0910_c035_a1_FIA</v>
      </c>
      <c r="M193" t="s">
        <v>419</v>
      </c>
      <c r="O193" t="s">
        <v>452</v>
      </c>
      <c r="P193">
        <v>34</v>
      </c>
      <c r="Q193" t="str">
        <f>_xlfn.CONCAT(O193,"_",P193)</f>
        <v>\ulubsmallolivines_35_34</v>
      </c>
      <c r="R193" t="s">
        <v>592</v>
      </c>
      <c r="S193" s="5" t="s">
        <v>495</v>
      </c>
      <c r="T193" s="5" t="s">
        <v>504</v>
      </c>
      <c r="U193">
        <v>7</v>
      </c>
      <c r="V193">
        <v>16899</v>
      </c>
      <c r="W193">
        <v>160.02500000000001</v>
      </c>
      <c r="X193">
        <v>134.45699999999999</v>
      </c>
      <c r="Y193">
        <v>0.124</v>
      </c>
      <c r="AG193" t="s">
        <v>498</v>
      </c>
      <c r="AH193" s="5" t="s">
        <v>499</v>
      </c>
    </row>
    <row r="194" spans="1:35" x14ac:dyDescent="0.2">
      <c r="A194" t="s">
        <v>99</v>
      </c>
      <c r="B194" s="1">
        <v>45756</v>
      </c>
      <c r="C194">
        <v>48230</v>
      </c>
      <c r="F194" t="s">
        <v>66</v>
      </c>
      <c r="G194" t="s">
        <v>148</v>
      </c>
      <c r="H194" t="s">
        <v>2</v>
      </c>
      <c r="I194" t="s">
        <v>3</v>
      </c>
      <c r="J194" t="str">
        <f t="shared" si="78"/>
        <v>KL0910_c047</v>
      </c>
      <c r="K194" t="str">
        <f t="shared" si="79"/>
        <v>KL0910_c047_a1</v>
      </c>
      <c r="L194" t="str">
        <f>_xlfn.CONCAT(K194,"_",I194,"_S1")</f>
        <v>KL0910_c047_a1_FIA_S1</v>
      </c>
      <c r="M194" t="s">
        <v>447</v>
      </c>
      <c r="N194" t="s">
        <v>448</v>
      </c>
      <c r="O194" t="s">
        <v>453</v>
      </c>
      <c r="P194">
        <v>17</v>
      </c>
      <c r="Q194" t="str">
        <f>_xlfn.CONCAT(O194,"_",P194)</f>
        <v>\ulubsmallolivines_47_17</v>
      </c>
      <c r="R194" s="5" t="s">
        <v>593</v>
      </c>
      <c r="S194" s="5" t="s">
        <v>495</v>
      </c>
      <c r="T194" s="5" t="s">
        <v>496</v>
      </c>
      <c r="U194">
        <v>8</v>
      </c>
      <c r="V194">
        <v>18860</v>
      </c>
      <c r="W194">
        <v>163.83600000000001</v>
      </c>
      <c r="X194">
        <v>146.56899999999999</v>
      </c>
      <c r="Y194">
        <v>9.9290000000000003</v>
      </c>
      <c r="AH194" s="5" t="s">
        <v>505</v>
      </c>
    </row>
    <row r="195" spans="1:35" s="5" customFormat="1" x14ac:dyDescent="0.2">
      <c r="A195" s="5" t="s">
        <v>298</v>
      </c>
      <c r="B195" s="7">
        <v>45756</v>
      </c>
      <c r="C195" s="5">
        <v>48543</v>
      </c>
      <c r="F195" s="5" t="s">
        <v>66</v>
      </c>
      <c r="G195" s="5" t="s">
        <v>328</v>
      </c>
      <c r="H195" s="5" t="s">
        <v>2</v>
      </c>
      <c r="I195" s="5" t="s">
        <v>3</v>
      </c>
      <c r="J195" s="5" t="str">
        <f t="shared" si="78"/>
        <v>KL0910_c048</v>
      </c>
      <c r="K195" s="5" t="str">
        <f t="shared" si="79"/>
        <v>KL0910_c048_a1</v>
      </c>
      <c r="L195" s="5" t="str">
        <f t="shared" si="80"/>
        <v>KL0910_c048_a1_FIA</v>
      </c>
      <c r="M195" s="5" t="s">
        <v>420</v>
      </c>
      <c r="O195" s="5" t="s">
        <v>564</v>
      </c>
      <c r="P195" s="5">
        <v>346</v>
      </c>
      <c r="Q195" s="5" t="str">
        <f t="shared" ref="Q195:Q197" si="82">_xlfn.CONCAT(O195,"_",P195)</f>
        <v>\KL0910_c048_346</v>
      </c>
      <c r="R195" s="5" t="s">
        <v>568</v>
      </c>
      <c r="S195" s="5" t="s">
        <v>495</v>
      </c>
      <c r="T195" s="5" t="s">
        <v>504</v>
      </c>
      <c r="U195" s="5">
        <v>1</v>
      </c>
      <c r="V195" s="5">
        <v>17508</v>
      </c>
      <c r="W195" s="5">
        <v>157.001</v>
      </c>
      <c r="X195" s="5">
        <v>141.98599999999999</v>
      </c>
      <c r="Y195" s="5">
        <v>166.24799999999999</v>
      </c>
      <c r="AH195" s="5" t="s">
        <v>505</v>
      </c>
    </row>
    <row r="196" spans="1:35" s="5" customFormat="1" x14ac:dyDescent="0.2">
      <c r="A196" s="5" t="s">
        <v>299</v>
      </c>
      <c r="B196" s="7">
        <v>45756</v>
      </c>
      <c r="C196" s="5">
        <v>48854</v>
      </c>
      <c r="F196" s="5" t="s">
        <v>66</v>
      </c>
      <c r="G196" s="5" t="s">
        <v>328</v>
      </c>
      <c r="H196" s="5" t="s">
        <v>2</v>
      </c>
      <c r="I196" s="5" t="s">
        <v>5</v>
      </c>
      <c r="J196" s="5" t="str">
        <f t="shared" si="78"/>
        <v>KL0910_c048</v>
      </c>
      <c r="K196" s="5" t="str">
        <f t="shared" si="79"/>
        <v>KL0910_c048_a1</v>
      </c>
      <c r="L196" s="5" t="str">
        <f t="shared" si="80"/>
        <v>KL0910_c048_a1_FIB</v>
      </c>
      <c r="M196" s="5" t="s">
        <v>420</v>
      </c>
      <c r="O196" s="5" t="s">
        <v>564</v>
      </c>
      <c r="P196" s="5">
        <v>346</v>
      </c>
      <c r="Q196" s="5" t="str">
        <f t="shared" si="82"/>
        <v>\KL0910_c048_346</v>
      </c>
      <c r="R196" s="5" t="s">
        <v>568</v>
      </c>
      <c r="S196" s="5" t="s">
        <v>495</v>
      </c>
      <c r="T196" s="5" t="s">
        <v>504</v>
      </c>
      <c r="U196" s="5">
        <v>2</v>
      </c>
      <c r="V196" s="5">
        <v>14016</v>
      </c>
      <c r="W196" s="5">
        <v>158.298</v>
      </c>
      <c r="X196" s="5">
        <v>112.735</v>
      </c>
      <c r="Y196" s="5">
        <v>71.656000000000006</v>
      </c>
      <c r="AH196" s="5" t="s">
        <v>613</v>
      </c>
    </row>
    <row r="197" spans="1:35" s="5" customFormat="1" x14ac:dyDescent="0.2">
      <c r="A197" s="5" t="s">
        <v>300</v>
      </c>
      <c r="B197" s="7">
        <v>45756</v>
      </c>
      <c r="C197" s="5">
        <v>49197</v>
      </c>
      <c r="F197" s="5" t="s">
        <v>66</v>
      </c>
      <c r="G197" s="5" t="s">
        <v>328</v>
      </c>
      <c r="H197" s="5" t="s">
        <v>2</v>
      </c>
      <c r="I197" s="5" t="s">
        <v>7</v>
      </c>
      <c r="J197" s="5" t="str">
        <f t="shared" si="78"/>
        <v>KL0910_c048</v>
      </c>
      <c r="K197" s="5" t="str">
        <f t="shared" si="79"/>
        <v>KL0910_c048_a1</v>
      </c>
      <c r="L197" s="5" t="str">
        <f t="shared" si="80"/>
        <v>KL0910_c048_a1_FIC</v>
      </c>
      <c r="M197" s="5" t="s">
        <v>420</v>
      </c>
      <c r="O197" s="5" t="s">
        <v>564</v>
      </c>
      <c r="P197" s="5">
        <v>346</v>
      </c>
      <c r="Q197" s="5" t="str">
        <f t="shared" si="82"/>
        <v>\KL0910_c048_346</v>
      </c>
      <c r="R197" s="5" t="s">
        <v>568</v>
      </c>
      <c r="S197" s="5" t="s">
        <v>495</v>
      </c>
      <c r="T197" s="5" t="s">
        <v>504</v>
      </c>
      <c r="U197" s="5">
        <v>3</v>
      </c>
      <c r="V197" s="5">
        <v>59789</v>
      </c>
      <c r="W197" s="5">
        <v>275.95100000000002</v>
      </c>
      <c r="X197" s="5">
        <v>275.86599999999999</v>
      </c>
      <c r="Y197" s="5">
        <v>123.143</v>
      </c>
      <c r="AH197" s="5" t="s">
        <v>505</v>
      </c>
    </row>
    <row r="198" spans="1:35" x14ac:dyDescent="0.2">
      <c r="A198" t="s">
        <v>301</v>
      </c>
      <c r="B198" s="1">
        <v>45756</v>
      </c>
      <c r="C198">
        <v>50073</v>
      </c>
      <c r="F198" t="s">
        <v>66</v>
      </c>
      <c r="G198" t="s">
        <v>151</v>
      </c>
      <c r="H198" t="s">
        <v>2</v>
      </c>
      <c r="I198" t="s">
        <v>3</v>
      </c>
      <c r="J198" t="str">
        <f t="shared" si="78"/>
        <v>KL0910_c053</v>
      </c>
      <c r="K198" t="str">
        <f t="shared" si="79"/>
        <v>KL0910_c053_a1</v>
      </c>
      <c r="L198" t="str">
        <f t="shared" si="80"/>
        <v>KL0910_c053_a1_FIA</v>
      </c>
      <c r="M198" t="s">
        <v>421</v>
      </c>
      <c r="O198" t="s">
        <v>454</v>
      </c>
      <c r="P198">
        <v>25</v>
      </c>
      <c r="Q198" t="str">
        <f>_xlfn.CONCAT(O198,"_",P198)</f>
        <v>\ulubsmallolivines_53_25</v>
      </c>
      <c r="S198" s="5" t="s">
        <v>495</v>
      </c>
      <c r="T198" s="5" t="s">
        <v>496</v>
      </c>
      <c r="U198">
        <v>4</v>
      </c>
      <c r="V198">
        <v>7860</v>
      </c>
      <c r="W198">
        <v>100.038</v>
      </c>
      <c r="X198">
        <v>100.038</v>
      </c>
      <c r="Y198">
        <v>0</v>
      </c>
      <c r="AH198" s="5" t="s">
        <v>503</v>
      </c>
    </row>
    <row r="199" spans="1:35" s="5" customFormat="1" x14ac:dyDescent="0.2">
      <c r="A199" s="5" t="s">
        <v>302</v>
      </c>
      <c r="B199" s="7">
        <v>45756</v>
      </c>
      <c r="C199" s="5">
        <v>51751</v>
      </c>
      <c r="F199" s="5" t="s">
        <v>66</v>
      </c>
      <c r="G199" s="5" t="s">
        <v>153</v>
      </c>
      <c r="H199" s="5" t="s">
        <v>2</v>
      </c>
      <c r="I199" s="5" t="s">
        <v>3</v>
      </c>
      <c r="J199" s="5" t="str">
        <f t="shared" si="78"/>
        <v>KL0910_c059</v>
      </c>
      <c r="K199" s="5" t="str">
        <f t="shared" si="79"/>
        <v>KL0910_c059_a1</v>
      </c>
      <c r="L199" s="5" t="str">
        <f t="shared" si="80"/>
        <v>KL0910_c059_a1_FIA</v>
      </c>
      <c r="M199" s="5" t="s">
        <v>422</v>
      </c>
      <c r="O199" s="5" t="s">
        <v>565</v>
      </c>
      <c r="P199" s="5">
        <v>20</v>
      </c>
      <c r="Q199" s="5" t="str">
        <f t="shared" ref="Q199" si="83">_xlfn.CONCAT(O199,"_",P199)</f>
        <v>\KL0910_c059_20</v>
      </c>
      <c r="R199" s="5" t="s">
        <v>568</v>
      </c>
      <c r="S199" s="5" t="s">
        <v>495</v>
      </c>
      <c r="T199" s="5" t="s">
        <v>496</v>
      </c>
      <c r="U199" s="5">
        <v>5</v>
      </c>
      <c r="V199" s="5">
        <v>8327</v>
      </c>
      <c r="W199" s="5">
        <v>103.483</v>
      </c>
      <c r="X199" s="5">
        <v>102.45399999999999</v>
      </c>
      <c r="Y199" s="5">
        <v>131.762</v>
      </c>
      <c r="AH199" s="5" t="s">
        <v>505</v>
      </c>
    </row>
    <row r="200" spans="1:35" x14ac:dyDescent="0.2">
      <c r="A200" t="s">
        <v>303</v>
      </c>
      <c r="B200" s="1">
        <v>45756</v>
      </c>
      <c r="C200">
        <v>56826</v>
      </c>
      <c r="F200" t="s">
        <v>276</v>
      </c>
      <c r="G200" t="s">
        <v>329</v>
      </c>
      <c r="H200" t="s">
        <v>2</v>
      </c>
      <c r="I200" t="s">
        <v>5</v>
      </c>
      <c r="J200" t="str">
        <f t="shared" si="78"/>
        <v>KL0917_c077</v>
      </c>
      <c r="K200" t="str">
        <f t="shared" si="79"/>
        <v>KL0917_c077_a1</v>
      </c>
      <c r="L200" t="str">
        <f t="shared" si="80"/>
        <v>KL0917_c077_a1_FIB</v>
      </c>
      <c r="M200" t="s">
        <v>424</v>
      </c>
      <c r="O200" t="s">
        <v>455</v>
      </c>
      <c r="P200">
        <v>68</v>
      </c>
      <c r="Q200" t="str">
        <f>_xlfn.CONCAT(O200,"_",P200)</f>
        <v>\ulubsmallolivines_77_68</v>
      </c>
      <c r="S200" s="5" t="s">
        <v>495</v>
      </c>
      <c r="T200" s="5" t="s">
        <v>496</v>
      </c>
      <c r="U200">
        <v>1</v>
      </c>
      <c r="V200">
        <v>20587</v>
      </c>
      <c r="W200">
        <v>173.64099999999999</v>
      </c>
      <c r="X200">
        <v>150.95599999999999</v>
      </c>
      <c r="Y200">
        <v>158.27799999999999</v>
      </c>
      <c r="AH200" s="5" t="s">
        <v>505</v>
      </c>
    </row>
    <row r="201" spans="1:35" x14ac:dyDescent="0.2">
      <c r="A201" t="s">
        <v>304</v>
      </c>
      <c r="B201" s="1">
        <v>45756</v>
      </c>
      <c r="C201">
        <v>57200</v>
      </c>
      <c r="F201" t="s">
        <v>276</v>
      </c>
      <c r="G201" t="s">
        <v>329</v>
      </c>
      <c r="H201" t="s">
        <v>2</v>
      </c>
      <c r="I201" t="s">
        <v>7</v>
      </c>
      <c r="J201" t="str">
        <f t="shared" si="78"/>
        <v>KL0917_c077</v>
      </c>
      <c r="K201" t="str">
        <f t="shared" si="79"/>
        <v>KL0917_c077_a1</v>
      </c>
      <c r="L201" t="str">
        <f t="shared" si="80"/>
        <v>KL0917_c077_a1_FIC</v>
      </c>
      <c r="M201" t="s">
        <v>424</v>
      </c>
      <c r="O201" t="s">
        <v>455</v>
      </c>
      <c r="P201">
        <v>68</v>
      </c>
      <c r="Q201" t="str">
        <f>_xlfn.CONCAT(O201,"_",P201)</f>
        <v>\ulubsmallolivines_77_68</v>
      </c>
      <c r="S201" s="5" t="s">
        <v>495</v>
      </c>
      <c r="T201" s="5" t="s">
        <v>496</v>
      </c>
      <c r="U201">
        <v>2</v>
      </c>
      <c r="V201">
        <v>35316</v>
      </c>
      <c r="W201">
        <v>212.05099999999999</v>
      </c>
      <c r="X201">
        <v>212.05099999999999</v>
      </c>
      <c r="Y201">
        <v>0</v>
      </c>
      <c r="AE201" t="s">
        <v>500</v>
      </c>
      <c r="AH201" s="5" t="s">
        <v>503</v>
      </c>
    </row>
    <row r="202" spans="1:35" s="5" customFormat="1" x14ac:dyDescent="0.2">
      <c r="A202" s="5" t="s">
        <v>305</v>
      </c>
      <c r="B202" s="7">
        <v>45756</v>
      </c>
      <c r="C202" s="5">
        <v>57709</v>
      </c>
      <c r="F202" s="5" t="s">
        <v>276</v>
      </c>
      <c r="G202" s="5" t="s">
        <v>330</v>
      </c>
      <c r="H202" s="5" t="s">
        <v>2</v>
      </c>
      <c r="I202" s="5" t="s">
        <v>3</v>
      </c>
      <c r="J202" s="5" t="str">
        <f t="shared" si="78"/>
        <v>KL0917_c084</v>
      </c>
      <c r="K202" s="5" t="str">
        <f t="shared" si="79"/>
        <v>KL0917_c084_a1</v>
      </c>
      <c r="L202" s="5" t="str">
        <f t="shared" si="80"/>
        <v>KL0917_c084_a1_FIA</v>
      </c>
      <c r="M202" s="5" t="s">
        <v>425</v>
      </c>
      <c r="O202" s="5" t="s">
        <v>566</v>
      </c>
      <c r="P202" s="5">
        <v>322</v>
      </c>
      <c r="Q202" s="5" t="str">
        <f t="shared" ref="Q202:Q203" si="84">_xlfn.CONCAT(O202,"_",P202)</f>
        <v>\KL0917_c084_322</v>
      </c>
      <c r="R202" s="5" t="s">
        <v>568</v>
      </c>
      <c r="S202" s="5" t="s">
        <v>495</v>
      </c>
      <c r="T202" s="5" t="s">
        <v>504</v>
      </c>
      <c r="U202" s="5">
        <v>3</v>
      </c>
      <c r="V202" s="5">
        <v>12025</v>
      </c>
      <c r="W202" s="5">
        <v>128.137</v>
      </c>
      <c r="X202" s="5">
        <v>119.48699999999999</v>
      </c>
      <c r="Y202" s="5">
        <v>122.97799999999999</v>
      </c>
      <c r="AH202" s="5" t="s">
        <v>503</v>
      </c>
    </row>
    <row r="203" spans="1:35" s="5" customFormat="1" x14ac:dyDescent="0.2">
      <c r="A203" s="5" t="s">
        <v>306</v>
      </c>
      <c r="B203" s="7">
        <v>45756</v>
      </c>
      <c r="C203" s="5">
        <v>58066</v>
      </c>
      <c r="F203" s="5" t="s">
        <v>276</v>
      </c>
      <c r="G203" s="5" t="s">
        <v>330</v>
      </c>
      <c r="H203" s="5" t="s">
        <v>2</v>
      </c>
      <c r="I203" s="5" t="s">
        <v>5</v>
      </c>
      <c r="J203" s="5" t="str">
        <f t="shared" si="78"/>
        <v>KL0917_c084</v>
      </c>
      <c r="K203" s="5" t="str">
        <f t="shared" si="79"/>
        <v>KL0917_c084_a1</v>
      </c>
      <c r="L203" s="5" t="str">
        <f t="shared" si="80"/>
        <v>KL0917_c084_a1_FIB</v>
      </c>
      <c r="M203" s="5" t="s">
        <v>425</v>
      </c>
      <c r="O203" s="5" t="s">
        <v>566</v>
      </c>
      <c r="P203" s="5">
        <v>322</v>
      </c>
      <c r="Q203" s="5" t="str">
        <f t="shared" si="84"/>
        <v>\KL0917_c084_322</v>
      </c>
      <c r="R203" s="5" t="s">
        <v>568</v>
      </c>
      <c r="AI203" s="5" t="s">
        <v>663</v>
      </c>
    </row>
    <row r="204" spans="1:35" s="5" customFormat="1" x14ac:dyDescent="0.2">
      <c r="A204" s="5" t="s">
        <v>307</v>
      </c>
      <c r="B204" s="7">
        <v>45756</v>
      </c>
      <c r="C204" s="5">
        <v>58242</v>
      </c>
      <c r="F204" s="5" t="s">
        <v>276</v>
      </c>
      <c r="G204" s="5" t="s">
        <v>330</v>
      </c>
      <c r="H204" s="5" t="s">
        <v>2</v>
      </c>
      <c r="I204" s="5" t="s">
        <v>8</v>
      </c>
      <c r="J204" s="5" t="str">
        <f t="shared" si="78"/>
        <v>KL0917_c084</v>
      </c>
      <c r="K204" s="5" t="str">
        <f t="shared" si="79"/>
        <v>KL0917_c084_a1</v>
      </c>
      <c r="L204" s="5" t="str">
        <f t="shared" si="80"/>
        <v>KL0917_c084_a1_FID</v>
      </c>
      <c r="M204" s="5" t="s">
        <v>425</v>
      </c>
      <c r="O204" s="5" t="s">
        <v>566</v>
      </c>
      <c r="P204" s="5">
        <v>322</v>
      </c>
      <c r="Q204" s="5" t="str">
        <f t="shared" ref="Q204:Q205" si="85">_xlfn.CONCAT(O204,"_",P204)</f>
        <v>\KL0917_c084_322</v>
      </c>
      <c r="R204" s="5" t="s">
        <v>568</v>
      </c>
      <c r="AI204" s="5" t="s">
        <v>663</v>
      </c>
    </row>
    <row r="205" spans="1:35" s="5" customFormat="1" x14ac:dyDescent="0.2">
      <c r="A205" s="5" t="s">
        <v>308</v>
      </c>
      <c r="B205" s="7">
        <v>45756</v>
      </c>
      <c r="C205" s="5">
        <v>59082</v>
      </c>
      <c r="F205" s="5" t="s">
        <v>276</v>
      </c>
      <c r="G205" s="5" t="s">
        <v>331</v>
      </c>
      <c r="H205" s="5" t="s">
        <v>2</v>
      </c>
      <c r="I205" s="5" t="s">
        <v>3</v>
      </c>
      <c r="J205" s="5" t="str">
        <f t="shared" si="78"/>
        <v>KL0917_c089</v>
      </c>
      <c r="K205" s="5" t="str">
        <f t="shared" si="79"/>
        <v>KL0917_c089_a1</v>
      </c>
      <c r="L205" s="5" t="str">
        <f t="shared" si="80"/>
        <v>KL0917_c089_a1_FIA</v>
      </c>
      <c r="M205" s="5" t="s">
        <v>426</v>
      </c>
      <c r="O205" s="5" t="s">
        <v>567</v>
      </c>
      <c r="P205" s="5">
        <v>31</v>
      </c>
      <c r="Q205" s="5" t="str">
        <f t="shared" si="85"/>
        <v>\KL0917_c089_31</v>
      </c>
      <c r="R205" s="5" t="s">
        <v>568</v>
      </c>
      <c r="S205" s="5" t="s">
        <v>495</v>
      </c>
      <c r="T205" s="5" t="s">
        <v>504</v>
      </c>
      <c r="U205" s="5">
        <v>4</v>
      </c>
      <c r="V205" s="5">
        <v>19038</v>
      </c>
      <c r="W205" s="5">
        <v>166.22399999999999</v>
      </c>
      <c r="X205" s="5">
        <v>145.827</v>
      </c>
      <c r="Y205" s="5">
        <v>141.46</v>
      </c>
      <c r="AH205" s="5" t="s">
        <v>499</v>
      </c>
    </row>
    <row r="206" spans="1:35" x14ac:dyDescent="0.2">
      <c r="A206" t="s">
        <v>309</v>
      </c>
      <c r="B206" s="1">
        <v>45756</v>
      </c>
      <c r="C206">
        <v>43764</v>
      </c>
      <c r="F206" t="s">
        <v>165</v>
      </c>
      <c r="G206" t="s">
        <v>145</v>
      </c>
      <c r="H206" t="s">
        <v>2</v>
      </c>
      <c r="I206" t="s">
        <v>3</v>
      </c>
      <c r="J206" t="str">
        <f t="shared" si="78"/>
        <v>KL0931_c034</v>
      </c>
      <c r="K206" t="str">
        <f t="shared" si="79"/>
        <v>KL0931_c034_a1</v>
      </c>
      <c r="L206" t="str">
        <f t="shared" si="80"/>
        <v>KL0931_c034_a1_FIA</v>
      </c>
      <c r="M206" t="s">
        <v>418</v>
      </c>
      <c r="O206" t="s">
        <v>456</v>
      </c>
      <c r="P206">
        <v>22</v>
      </c>
      <c r="Q206" t="str">
        <f>_xlfn.CONCAT(O206,"_",P206)</f>
        <v>\ulubsmallolivines_34_22</v>
      </c>
      <c r="S206" s="5" t="s">
        <v>495</v>
      </c>
      <c r="T206" s="5" t="s">
        <v>504</v>
      </c>
      <c r="U206">
        <v>5</v>
      </c>
      <c r="V206">
        <v>19178</v>
      </c>
      <c r="W206">
        <v>164.376</v>
      </c>
      <c r="X206">
        <v>148.55099999999999</v>
      </c>
      <c r="Y206">
        <v>63.622</v>
      </c>
      <c r="AH206" s="5" t="s">
        <v>499</v>
      </c>
    </row>
    <row r="207" spans="1:35" x14ac:dyDescent="0.2">
      <c r="A207" t="s">
        <v>310</v>
      </c>
      <c r="B207" s="1">
        <v>45756</v>
      </c>
      <c r="C207">
        <v>44507</v>
      </c>
      <c r="F207" t="s">
        <v>165</v>
      </c>
      <c r="G207" t="s">
        <v>145</v>
      </c>
      <c r="H207" t="s">
        <v>2</v>
      </c>
      <c r="I207" t="s">
        <v>9</v>
      </c>
      <c r="J207" t="str">
        <f t="shared" si="78"/>
        <v>KL0931_c034</v>
      </c>
      <c r="K207" t="str">
        <f t="shared" si="79"/>
        <v>KL0931_c034_a1</v>
      </c>
      <c r="L207" t="str">
        <f t="shared" si="80"/>
        <v>KL0931_c034_a1_FIE</v>
      </c>
      <c r="M207" t="s">
        <v>418</v>
      </c>
      <c r="O207" t="s">
        <v>456</v>
      </c>
      <c r="P207">
        <v>22</v>
      </c>
      <c r="Q207" t="str">
        <f>_xlfn.CONCAT(O207,"_",P207)</f>
        <v>\ulubsmallolivines_34_22</v>
      </c>
      <c r="S207" s="5" t="s">
        <v>495</v>
      </c>
      <c r="T207" s="5" t="s">
        <v>504</v>
      </c>
      <c r="U207">
        <v>2</v>
      </c>
      <c r="V207">
        <v>39699</v>
      </c>
      <c r="W207">
        <v>231.32300000000001</v>
      </c>
      <c r="X207">
        <v>218.51</v>
      </c>
      <c r="Y207">
        <v>17.736999999999998</v>
      </c>
      <c r="AH207" s="5" t="s">
        <v>505</v>
      </c>
    </row>
    <row r="208" spans="1:35" x14ac:dyDescent="0.2">
      <c r="A208" t="s">
        <v>311</v>
      </c>
      <c r="B208" s="1">
        <v>45756</v>
      </c>
      <c r="C208">
        <v>45368</v>
      </c>
      <c r="F208" t="s">
        <v>165</v>
      </c>
      <c r="G208" t="s">
        <v>145</v>
      </c>
      <c r="H208" t="s">
        <v>2</v>
      </c>
      <c r="I208" t="s">
        <v>68</v>
      </c>
      <c r="J208" t="str">
        <f t="shared" si="78"/>
        <v>KL0931_c034</v>
      </c>
      <c r="K208" t="str">
        <f t="shared" si="79"/>
        <v>KL0931_c034_a1</v>
      </c>
      <c r="L208" t="str">
        <f t="shared" si="80"/>
        <v>KL0931_c034_a1_FIH</v>
      </c>
      <c r="M208" t="s">
        <v>418</v>
      </c>
      <c r="O208" t="s">
        <v>456</v>
      </c>
      <c r="P208">
        <v>22</v>
      </c>
      <c r="Q208" t="str">
        <f>_xlfn.CONCAT(O208,"_",P208)</f>
        <v>\ulubsmallolivines_34_22</v>
      </c>
      <c r="S208" s="5" t="s">
        <v>495</v>
      </c>
      <c r="T208" s="5" t="s">
        <v>504</v>
      </c>
      <c r="U208">
        <v>4</v>
      </c>
      <c r="V208">
        <v>5655</v>
      </c>
      <c r="W208">
        <v>90.655000000000001</v>
      </c>
      <c r="X208">
        <v>79.424000000000007</v>
      </c>
      <c r="Y208">
        <v>63.436999999999998</v>
      </c>
      <c r="AH208" s="5" t="s">
        <v>499</v>
      </c>
    </row>
    <row r="209" spans="1:35" x14ac:dyDescent="0.2">
      <c r="A209" t="s">
        <v>225</v>
      </c>
      <c r="B209" s="1">
        <v>45757</v>
      </c>
      <c r="C209">
        <v>62113</v>
      </c>
      <c r="F209" t="s">
        <v>23</v>
      </c>
      <c r="G209" t="s">
        <v>24</v>
      </c>
      <c r="I209">
        <v>1</v>
      </c>
      <c r="J209" t="s">
        <v>25</v>
      </c>
      <c r="K209" t="s">
        <v>25</v>
      </c>
      <c r="L209" t="str">
        <f>_xlfn.CONCAT(F209,"-",G209,"-",I209,"-evening-",B210)</f>
        <v>FG04-A1-1-evening-45757</v>
      </c>
    </row>
    <row r="210" spans="1:35" x14ac:dyDescent="0.2">
      <c r="A210" t="s">
        <v>226</v>
      </c>
      <c r="B210" s="1">
        <v>45757</v>
      </c>
      <c r="C210">
        <v>38787</v>
      </c>
      <c r="F210" t="s">
        <v>23</v>
      </c>
      <c r="G210" t="s">
        <v>24</v>
      </c>
      <c r="I210">
        <v>1</v>
      </c>
      <c r="J210" t="s">
        <v>25</v>
      </c>
      <c r="K210" t="s">
        <v>25</v>
      </c>
      <c r="L210" t="str">
        <f>_xlfn.CONCAT(F210,"-",G210,"-",I210,"-morning-",B211)</f>
        <v>FG04-A1-1-morning-45757</v>
      </c>
    </row>
    <row r="211" spans="1:35" x14ac:dyDescent="0.2">
      <c r="A211" t="s">
        <v>227</v>
      </c>
      <c r="B211" s="1">
        <v>45757</v>
      </c>
      <c r="C211">
        <v>62358</v>
      </c>
      <c r="F211" t="s">
        <v>23</v>
      </c>
      <c r="G211" t="s">
        <v>24</v>
      </c>
      <c r="I211">
        <v>2</v>
      </c>
      <c r="J211" t="s">
        <v>25</v>
      </c>
      <c r="K211" t="s">
        <v>25</v>
      </c>
      <c r="L211" t="str">
        <f>_xlfn.CONCAT(F211,"-",G211,"-",I211,"-evening-",B212)</f>
        <v>FG04-A1-2-evening-45757</v>
      </c>
    </row>
    <row r="212" spans="1:35" x14ac:dyDescent="0.2">
      <c r="A212" t="s">
        <v>228</v>
      </c>
      <c r="B212" s="1">
        <v>45757</v>
      </c>
      <c r="C212">
        <v>39101</v>
      </c>
      <c r="F212" t="s">
        <v>23</v>
      </c>
      <c r="G212" t="s">
        <v>24</v>
      </c>
      <c r="I212">
        <v>2</v>
      </c>
      <c r="J212" t="s">
        <v>25</v>
      </c>
      <c r="K212" t="s">
        <v>25</v>
      </c>
      <c r="L212" t="str">
        <f>_xlfn.CONCAT(F212,"-",G212,"-",I212,"-morning-",B213)</f>
        <v>FG04-A1-2-morning-45757</v>
      </c>
    </row>
    <row r="213" spans="1:35" x14ac:dyDescent="0.2">
      <c r="A213" t="s">
        <v>229</v>
      </c>
      <c r="B213" s="1">
        <v>45757</v>
      </c>
      <c r="C213">
        <v>62609</v>
      </c>
      <c r="F213" t="s">
        <v>23</v>
      </c>
      <c r="G213" t="s">
        <v>24</v>
      </c>
      <c r="I213">
        <v>4</v>
      </c>
      <c r="J213" t="s">
        <v>25</v>
      </c>
      <c r="K213" t="s">
        <v>25</v>
      </c>
      <c r="L213" t="str">
        <f>_xlfn.CONCAT(F213,"-",G213,"-",I213,"-evening-",B214)</f>
        <v>FG04-A1-4-evening-45757</v>
      </c>
    </row>
    <row r="214" spans="1:35" x14ac:dyDescent="0.2">
      <c r="A214" t="s">
        <v>230</v>
      </c>
      <c r="B214" s="1">
        <v>45757</v>
      </c>
      <c r="C214">
        <v>39572</v>
      </c>
      <c r="F214" t="s">
        <v>23</v>
      </c>
      <c r="G214" t="s">
        <v>24</v>
      </c>
      <c r="I214">
        <v>4</v>
      </c>
      <c r="J214" t="s">
        <v>25</v>
      </c>
      <c r="K214" t="s">
        <v>25</v>
      </c>
      <c r="L214" t="str">
        <f>_xlfn.CONCAT(F214,"-",G214,"-",I214,"-morning-",B215)</f>
        <v>FG04-A1-4-morning-45757</v>
      </c>
    </row>
    <row r="215" spans="1:35" x14ac:dyDescent="0.2">
      <c r="A215" t="s">
        <v>231</v>
      </c>
      <c r="B215" s="1">
        <v>45757</v>
      </c>
      <c r="C215">
        <v>61769</v>
      </c>
      <c r="F215" t="s">
        <v>168</v>
      </c>
      <c r="G215">
        <v>101</v>
      </c>
      <c r="I215" t="s">
        <v>169</v>
      </c>
      <c r="J215" t="s">
        <v>170</v>
      </c>
      <c r="K215" t="s">
        <v>170</v>
      </c>
      <c r="L215" t="str">
        <f>_xlfn.CONCAT(F215,"-",G215,"-",I215,"-evening-",B216)</f>
        <v>FG19-101-A-evening-45757</v>
      </c>
    </row>
    <row r="216" spans="1:35" x14ac:dyDescent="0.2">
      <c r="A216" t="s">
        <v>232</v>
      </c>
      <c r="B216" s="1">
        <v>45757</v>
      </c>
      <c r="C216">
        <v>39936</v>
      </c>
      <c r="F216" t="s">
        <v>168</v>
      </c>
      <c r="G216">
        <v>101</v>
      </c>
      <c r="I216" t="s">
        <v>169</v>
      </c>
      <c r="J216" t="s">
        <v>170</v>
      </c>
      <c r="K216" t="s">
        <v>170</v>
      </c>
      <c r="L216" t="str">
        <f>_xlfn.CONCAT(F216,"-",G216,"-",I216,"-morning-",B217)</f>
        <v>FG19-101-A-morning-45757</v>
      </c>
    </row>
    <row r="217" spans="1:35" s="5" customFormat="1" x14ac:dyDescent="0.2">
      <c r="A217" s="5" t="s">
        <v>312</v>
      </c>
      <c r="B217" s="7">
        <v>45757</v>
      </c>
      <c r="C217" s="5">
        <v>45069</v>
      </c>
      <c r="F217" s="5" t="s">
        <v>262</v>
      </c>
      <c r="G217" s="5" t="s">
        <v>332</v>
      </c>
      <c r="H217" s="5" t="s">
        <v>2</v>
      </c>
      <c r="I217" s="5" t="s">
        <v>3</v>
      </c>
      <c r="J217" s="5" t="str">
        <f t="shared" ref="J217" si="86">_xlfn.CONCAT(F217,"_",G217)</f>
        <v>KL0921_c281</v>
      </c>
      <c r="K217" s="5" t="str">
        <f t="shared" ref="K217" si="87">_xlfn.CONCAT(J217,"_",H217)</f>
        <v>KL0921_c281_a1</v>
      </c>
      <c r="L217" s="5" t="str">
        <f t="shared" ref="L217" si="88">_xlfn.CONCAT(K217,"_",I217)</f>
        <v>KL0921_c281_a1_FIA</v>
      </c>
      <c r="M217" s="5" t="s">
        <v>405</v>
      </c>
      <c r="R217" s="5" t="s">
        <v>594</v>
      </c>
      <c r="S217" s="5" t="s">
        <v>495</v>
      </c>
      <c r="T217" s="5" t="s">
        <v>496</v>
      </c>
      <c r="U217" s="5">
        <v>5</v>
      </c>
      <c r="V217" s="5">
        <v>9763</v>
      </c>
      <c r="W217" s="5">
        <v>115.431</v>
      </c>
      <c r="X217" s="5">
        <v>107.68899999999999</v>
      </c>
      <c r="Y217" s="5">
        <v>105.14</v>
      </c>
      <c r="AH217" s="5" t="s">
        <v>505</v>
      </c>
    </row>
    <row r="218" spans="1:35" s="5" customFormat="1" x14ac:dyDescent="0.2">
      <c r="A218" s="5" t="s">
        <v>313</v>
      </c>
      <c r="B218" s="7">
        <v>45757</v>
      </c>
      <c r="C218" s="5">
        <v>49131</v>
      </c>
      <c r="F218" s="5" t="s">
        <v>262</v>
      </c>
      <c r="G218" s="5" t="s">
        <v>332</v>
      </c>
      <c r="H218" s="5" t="s">
        <v>133</v>
      </c>
      <c r="I218" s="5" t="s">
        <v>5</v>
      </c>
      <c r="J218" s="5" t="str">
        <f t="shared" ref="J218:J228" si="89">_xlfn.CONCAT(F218,"_",G218)</f>
        <v>KL0921_c281</v>
      </c>
      <c r="K218" s="5" t="str">
        <f t="shared" ref="K218:K228" si="90">_xlfn.CONCAT(J218,"_",H218)</f>
        <v>KL0921_c281_a2</v>
      </c>
      <c r="L218" s="5" t="str">
        <f t="shared" ref="L218:L228" si="91">_xlfn.CONCAT(K218,"_",I218)</f>
        <v>KL0921_c281_a2_FIB</v>
      </c>
      <c r="M218" s="5" t="s">
        <v>429</v>
      </c>
      <c r="R218" s="5" t="s">
        <v>594</v>
      </c>
      <c r="S218" s="5" t="s">
        <v>495</v>
      </c>
      <c r="T218" s="5" t="s">
        <v>504</v>
      </c>
      <c r="U218" s="5">
        <v>2</v>
      </c>
      <c r="V218" s="5">
        <v>9230</v>
      </c>
      <c r="W218" s="5">
        <v>114.989</v>
      </c>
      <c r="X218" s="5">
        <v>102.20099999999999</v>
      </c>
      <c r="Y218" s="5">
        <v>91.262</v>
      </c>
      <c r="AH218" s="5" t="s">
        <v>499</v>
      </c>
    </row>
    <row r="219" spans="1:35" x14ac:dyDescent="0.2">
      <c r="A219" t="s">
        <v>314</v>
      </c>
      <c r="B219" s="1">
        <v>45757</v>
      </c>
      <c r="C219">
        <v>51935</v>
      </c>
      <c r="F219" t="s">
        <v>262</v>
      </c>
      <c r="G219" t="s">
        <v>333</v>
      </c>
      <c r="H219" t="s">
        <v>2</v>
      </c>
      <c r="I219" t="s">
        <v>3</v>
      </c>
      <c r="J219" t="str">
        <f t="shared" si="89"/>
        <v>KL0921_c285</v>
      </c>
      <c r="K219" t="str">
        <f t="shared" si="90"/>
        <v>KL0921_c285_a1</v>
      </c>
      <c r="L219" t="str">
        <f t="shared" si="91"/>
        <v>KL0921_c285_a1_FIA</v>
      </c>
      <c r="M219" t="s">
        <v>406</v>
      </c>
      <c r="O219" t="s">
        <v>457</v>
      </c>
      <c r="P219">
        <v>92</v>
      </c>
      <c r="Q219" t="str">
        <f t="shared" ref="Q219:Q228" si="92">_xlfn.CONCAT(O219,"_",P219)</f>
        <v>\Kil_2_L2_285_92</v>
      </c>
      <c r="S219" t="s">
        <v>597</v>
      </c>
      <c r="T219" t="s">
        <v>631</v>
      </c>
      <c r="U219">
        <v>3</v>
      </c>
      <c r="V219">
        <v>19567</v>
      </c>
      <c r="W219">
        <v>169.40799999999999</v>
      </c>
      <c r="X219">
        <v>147.06200000000001</v>
      </c>
      <c r="Y219">
        <v>88.453000000000003</v>
      </c>
      <c r="AF219" t="s">
        <v>500</v>
      </c>
      <c r="AH219" t="s">
        <v>505</v>
      </c>
    </row>
    <row r="220" spans="1:35" x14ac:dyDescent="0.2">
      <c r="A220" t="s">
        <v>315</v>
      </c>
      <c r="B220" s="1">
        <v>45757</v>
      </c>
      <c r="C220">
        <v>52698</v>
      </c>
      <c r="F220" t="s">
        <v>262</v>
      </c>
      <c r="G220" t="s">
        <v>333</v>
      </c>
      <c r="H220" t="s">
        <v>133</v>
      </c>
      <c r="I220" t="s">
        <v>5</v>
      </c>
      <c r="J220" t="str">
        <f t="shared" si="89"/>
        <v>KL0921_c285</v>
      </c>
      <c r="K220" t="str">
        <f t="shared" si="90"/>
        <v>KL0921_c285_a2</v>
      </c>
      <c r="L220" t="str">
        <f t="shared" si="91"/>
        <v>KL0921_c285_a2_FIB</v>
      </c>
      <c r="M220" t="s">
        <v>407</v>
      </c>
      <c r="O220" t="s">
        <v>457</v>
      </c>
      <c r="P220">
        <v>92</v>
      </c>
      <c r="Q220" t="str">
        <f t="shared" si="92"/>
        <v>\Kil_2_L2_285_92</v>
      </c>
      <c r="S220" t="s">
        <v>597</v>
      </c>
      <c r="T220" t="s">
        <v>631</v>
      </c>
      <c r="U220">
        <v>4</v>
      </c>
      <c r="V220">
        <v>5335</v>
      </c>
      <c r="W220">
        <v>98.924999999999997</v>
      </c>
      <c r="X220">
        <v>68.665000000000006</v>
      </c>
      <c r="Y220">
        <v>77.097999999999999</v>
      </c>
      <c r="AH220" t="s">
        <v>501</v>
      </c>
    </row>
    <row r="221" spans="1:35" x14ac:dyDescent="0.2">
      <c r="A221" t="s">
        <v>316</v>
      </c>
      <c r="B221" s="1">
        <v>45757</v>
      </c>
      <c r="C221">
        <v>53182</v>
      </c>
      <c r="F221" t="s">
        <v>262</v>
      </c>
      <c r="G221" t="s">
        <v>334</v>
      </c>
      <c r="H221" t="s">
        <v>2</v>
      </c>
      <c r="I221" t="s">
        <v>3</v>
      </c>
      <c r="J221" t="str">
        <f t="shared" si="89"/>
        <v>KL0921_c287</v>
      </c>
      <c r="K221" t="str">
        <f t="shared" si="90"/>
        <v>KL0921_c287_a1</v>
      </c>
      <c r="L221" t="str">
        <f t="shared" si="91"/>
        <v>KL0921_c287_a1_FIA</v>
      </c>
      <c r="M221" t="s">
        <v>408</v>
      </c>
      <c r="O221" t="s">
        <v>458</v>
      </c>
      <c r="P221">
        <v>138</v>
      </c>
      <c r="Q221" t="str">
        <f t="shared" si="92"/>
        <v>\Kil_2_L2_287_138</v>
      </c>
      <c r="S221" t="s">
        <v>495</v>
      </c>
      <c r="T221" t="s">
        <v>504</v>
      </c>
      <c r="U221">
        <v>5</v>
      </c>
      <c r="V221">
        <v>9517</v>
      </c>
      <c r="W221">
        <v>114.91</v>
      </c>
      <c r="X221">
        <v>105.45099999999999</v>
      </c>
      <c r="Y221">
        <v>122.547</v>
      </c>
      <c r="AE221" t="s">
        <v>500</v>
      </c>
      <c r="AH221" t="s">
        <v>499</v>
      </c>
    </row>
    <row r="222" spans="1:35" x14ac:dyDescent="0.2">
      <c r="A222" t="s">
        <v>317</v>
      </c>
      <c r="B222" s="1">
        <v>45757</v>
      </c>
      <c r="C222">
        <v>53958</v>
      </c>
      <c r="F222" t="s">
        <v>262</v>
      </c>
      <c r="G222" t="s">
        <v>335</v>
      </c>
      <c r="H222" t="s">
        <v>2</v>
      </c>
      <c r="I222" t="s">
        <v>3</v>
      </c>
      <c r="J222" t="str">
        <f t="shared" si="89"/>
        <v>KL0921_c288</v>
      </c>
      <c r="K222" t="str">
        <f t="shared" si="90"/>
        <v>KL0921_c288_a1</v>
      </c>
      <c r="L222" t="str">
        <f t="shared" si="91"/>
        <v>KL0921_c288_a1_FIA</v>
      </c>
      <c r="M222" t="s">
        <v>409</v>
      </c>
      <c r="O222" t="s">
        <v>459</v>
      </c>
      <c r="P222">
        <v>68</v>
      </c>
      <c r="Q222" t="str">
        <f t="shared" si="92"/>
        <v>\Kil_2_L2_288_68</v>
      </c>
      <c r="S222" t="s">
        <v>597</v>
      </c>
      <c r="T222" t="s">
        <v>631</v>
      </c>
      <c r="U222">
        <v>6</v>
      </c>
      <c r="V222">
        <v>7178</v>
      </c>
      <c r="W222">
        <v>104.08799999999999</v>
      </c>
      <c r="X222">
        <v>87.804000000000002</v>
      </c>
      <c r="Y222">
        <v>56.347000000000001</v>
      </c>
      <c r="AH222" t="s">
        <v>499</v>
      </c>
    </row>
    <row r="223" spans="1:35" x14ac:dyDescent="0.2">
      <c r="A223" t="s">
        <v>318</v>
      </c>
      <c r="B223" s="1">
        <v>45757</v>
      </c>
      <c r="C223">
        <v>55486</v>
      </c>
      <c r="F223" t="s">
        <v>262</v>
      </c>
      <c r="G223" t="s">
        <v>336</v>
      </c>
      <c r="H223" t="s">
        <v>133</v>
      </c>
      <c r="I223" t="s">
        <v>5</v>
      </c>
      <c r="J223" t="str">
        <f t="shared" si="89"/>
        <v>KL0921_c295</v>
      </c>
      <c r="K223" t="str">
        <f t="shared" si="90"/>
        <v>KL0921_c295_a2</v>
      </c>
      <c r="L223" t="str">
        <f t="shared" si="91"/>
        <v>KL0921_c295_a2_FIB</v>
      </c>
      <c r="M223" t="s">
        <v>410</v>
      </c>
      <c r="O223" t="s">
        <v>460</v>
      </c>
      <c r="P223">
        <v>106</v>
      </c>
      <c r="Q223" t="str">
        <f t="shared" si="92"/>
        <v>\Kil_2_L2_295_106</v>
      </c>
      <c r="S223" t="s">
        <v>597</v>
      </c>
      <c r="T223" t="s">
        <v>631</v>
      </c>
      <c r="U223">
        <v>6</v>
      </c>
      <c r="V223">
        <v>7178</v>
      </c>
      <c r="W223">
        <v>104.08799999999999</v>
      </c>
      <c r="X223">
        <v>87.804000000000002</v>
      </c>
      <c r="Y223">
        <v>56.347000000000001</v>
      </c>
      <c r="AH223" t="s">
        <v>610</v>
      </c>
    </row>
    <row r="224" spans="1:35" x14ac:dyDescent="0.2">
      <c r="A224" t="s">
        <v>319</v>
      </c>
      <c r="B224" s="1">
        <v>45757</v>
      </c>
      <c r="C224">
        <v>43865</v>
      </c>
      <c r="F224" t="s">
        <v>337</v>
      </c>
      <c r="G224" t="s">
        <v>338</v>
      </c>
      <c r="H224" t="s">
        <v>2</v>
      </c>
      <c r="I224" t="s">
        <v>3</v>
      </c>
      <c r="J224" t="str">
        <f t="shared" si="89"/>
        <v>KL0930_c312</v>
      </c>
      <c r="K224" t="str">
        <f t="shared" si="90"/>
        <v>KL0930_c312_a1</v>
      </c>
      <c r="L224" t="str">
        <f t="shared" si="91"/>
        <v>KL0930_c312_a1_FIA</v>
      </c>
      <c r="M224" t="s">
        <v>411</v>
      </c>
      <c r="O224" t="s">
        <v>461</v>
      </c>
      <c r="P224">
        <v>45</v>
      </c>
      <c r="Q224" t="str">
        <f t="shared" si="92"/>
        <v>\Kil_2_L2_312_45</v>
      </c>
      <c r="S224" t="s">
        <v>495</v>
      </c>
      <c r="T224" t="s">
        <v>496</v>
      </c>
      <c r="U224">
        <v>8</v>
      </c>
      <c r="V224">
        <v>438416</v>
      </c>
      <c r="W224">
        <v>788.86400000000003</v>
      </c>
      <c r="X224">
        <v>707.61099999999999</v>
      </c>
      <c r="Y224">
        <v>161.297</v>
      </c>
      <c r="AE224" t="s">
        <v>500</v>
      </c>
      <c r="AH224" t="s">
        <v>499</v>
      </c>
      <c r="AI224" t="s">
        <v>664</v>
      </c>
    </row>
    <row r="225" spans="1:34" x14ac:dyDescent="0.2">
      <c r="A225" t="s">
        <v>320</v>
      </c>
      <c r="B225" s="1">
        <v>45757</v>
      </c>
      <c r="C225">
        <v>44244</v>
      </c>
      <c r="F225" t="s">
        <v>337</v>
      </c>
      <c r="G225" t="s">
        <v>338</v>
      </c>
      <c r="H225" t="s">
        <v>133</v>
      </c>
      <c r="I225" t="s">
        <v>5</v>
      </c>
      <c r="J225" t="str">
        <f t="shared" si="89"/>
        <v>KL0930_c312</v>
      </c>
      <c r="K225" t="str">
        <f t="shared" si="90"/>
        <v>KL0930_c312_a2</v>
      </c>
      <c r="L225" t="str">
        <f t="shared" si="91"/>
        <v>KL0930_c312_a2_FIB</v>
      </c>
      <c r="M225" t="s">
        <v>412</v>
      </c>
      <c r="O225" t="s">
        <v>461</v>
      </c>
      <c r="P225">
        <v>66</v>
      </c>
      <c r="Q225" t="str">
        <f t="shared" si="92"/>
        <v>\Kil_2_L2_312_66</v>
      </c>
      <c r="S225" t="s">
        <v>495</v>
      </c>
      <c r="T225" t="s">
        <v>504</v>
      </c>
      <c r="U225">
        <v>1</v>
      </c>
      <c r="V225">
        <v>10347</v>
      </c>
      <c r="W225">
        <v>126.175</v>
      </c>
      <c r="X225">
        <v>104.41200000000001</v>
      </c>
      <c r="Y225">
        <v>3.4209999999999998</v>
      </c>
      <c r="AH225" t="s">
        <v>499</v>
      </c>
    </row>
    <row r="226" spans="1:34" x14ac:dyDescent="0.2">
      <c r="A226" t="s">
        <v>321</v>
      </c>
      <c r="B226" s="1">
        <v>45757</v>
      </c>
      <c r="C226">
        <v>42323</v>
      </c>
      <c r="F226" t="s">
        <v>337</v>
      </c>
      <c r="G226" t="s">
        <v>339</v>
      </c>
      <c r="H226" t="s">
        <v>2</v>
      </c>
      <c r="I226" t="s">
        <v>3</v>
      </c>
      <c r="J226" t="str">
        <f t="shared" si="89"/>
        <v>KL0930_c318</v>
      </c>
      <c r="K226" t="str">
        <f t="shared" si="90"/>
        <v>KL0930_c318_a1</v>
      </c>
      <c r="L226" t="str">
        <f t="shared" si="91"/>
        <v>KL0930_c318_a1_FIA</v>
      </c>
      <c r="M226" t="s">
        <v>413</v>
      </c>
      <c r="O226" t="s">
        <v>462</v>
      </c>
      <c r="P226">
        <v>89</v>
      </c>
      <c r="Q226" t="str">
        <f t="shared" si="92"/>
        <v>\Kil_2_L2_318_89</v>
      </c>
      <c r="S226" t="s">
        <v>495</v>
      </c>
      <c r="T226" t="s">
        <v>504</v>
      </c>
      <c r="U226">
        <v>2</v>
      </c>
      <c r="V226">
        <v>51349</v>
      </c>
      <c r="W226">
        <v>267.11799999999999</v>
      </c>
      <c r="X226">
        <v>244.75899999999999</v>
      </c>
      <c r="Y226">
        <v>169.11699999999999</v>
      </c>
      <c r="AF226" t="s">
        <v>500</v>
      </c>
      <c r="AH226" t="s">
        <v>505</v>
      </c>
    </row>
    <row r="227" spans="1:34" x14ac:dyDescent="0.2">
      <c r="A227" t="s">
        <v>322</v>
      </c>
      <c r="B227" s="1">
        <v>45757</v>
      </c>
      <c r="C227">
        <v>41011</v>
      </c>
      <c r="F227" t="s">
        <v>337</v>
      </c>
      <c r="G227" t="s">
        <v>340</v>
      </c>
      <c r="H227" t="s">
        <v>2</v>
      </c>
      <c r="I227" t="s">
        <v>3</v>
      </c>
      <c r="J227" t="str">
        <f t="shared" si="89"/>
        <v>KL0930_c321</v>
      </c>
      <c r="K227" t="str">
        <f t="shared" si="90"/>
        <v>KL0930_c321_a1</v>
      </c>
      <c r="L227" t="str">
        <f t="shared" si="91"/>
        <v>KL0930_c321_a1_FIA</v>
      </c>
      <c r="M227" t="s">
        <v>414</v>
      </c>
      <c r="O227" t="s">
        <v>463</v>
      </c>
      <c r="P227">
        <v>42</v>
      </c>
      <c r="Q227" t="str">
        <f t="shared" si="92"/>
        <v>\Kil_2_L2_321_42</v>
      </c>
      <c r="S227" t="s">
        <v>495</v>
      </c>
      <c r="T227" t="s">
        <v>504</v>
      </c>
      <c r="U227">
        <v>2</v>
      </c>
      <c r="V227">
        <v>51349</v>
      </c>
      <c r="W227">
        <v>267.11799999999999</v>
      </c>
      <c r="X227">
        <v>244.75899999999999</v>
      </c>
      <c r="Y227">
        <v>169.11699999999999</v>
      </c>
      <c r="AH227" t="s">
        <v>505</v>
      </c>
    </row>
    <row r="228" spans="1:34" x14ac:dyDescent="0.2">
      <c r="A228" t="s">
        <v>323</v>
      </c>
      <c r="B228" s="1">
        <v>45757</v>
      </c>
      <c r="C228">
        <v>41305</v>
      </c>
      <c r="F228" t="s">
        <v>337</v>
      </c>
      <c r="G228" t="s">
        <v>340</v>
      </c>
      <c r="H228" t="s">
        <v>133</v>
      </c>
      <c r="I228" t="s">
        <v>5</v>
      </c>
      <c r="J228" t="str">
        <f t="shared" si="89"/>
        <v>KL0930_c321</v>
      </c>
      <c r="K228" t="str">
        <f t="shared" si="90"/>
        <v>KL0930_c321_a2</v>
      </c>
      <c r="L228" t="str">
        <f t="shared" si="91"/>
        <v>KL0930_c321_a2_FIB</v>
      </c>
      <c r="M228" t="s">
        <v>414</v>
      </c>
      <c r="O228" t="s">
        <v>463</v>
      </c>
      <c r="P228">
        <v>42</v>
      </c>
      <c r="Q228" t="str">
        <f t="shared" si="92"/>
        <v>\Kil_2_L2_321_42</v>
      </c>
      <c r="S228" t="s">
        <v>495</v>
      </c>
      <c r="T228" t="s">
        <v>496</v>
      </c>
      <c r="U228">
        <v>4</v>
      </c>
      <c r="V228">
        <v>29585</v>
      </c>
      <c r="W228">
        <v>200.06800000000001</v>
      </c>
      <c r="X228">
        <v>188.28</v>
      </c>
      <c r="Y228">
        <v>43.832000000000001</v>
      </c>
      <c r="AH228" t="s">
        <v>499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Devitre</cp:lastModifiedBy>
  <dcterms:created xsi:type="dcterms:W3CDTF">2025-01-14T00:29:07Z</dcterms:created>
  <dcterms:modified xsi:type="dcterms:W3CDTF">2025-12-20T07:05:46Z</dcterms:modified>
</cp:coreProperties>
</file>