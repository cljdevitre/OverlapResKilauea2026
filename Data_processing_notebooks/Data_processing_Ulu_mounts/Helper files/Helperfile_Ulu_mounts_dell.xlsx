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P:\WORK-GENERAL\POSTDOC-UCB\BERKELEY-VIBE\Documents\Projects\PrePostCaldera_Kil2025\Github_repo\Data_processing_notebooks\Data_processing_Ulu_mounts\Helper files\"/>
    </mc:Choice>
  </mc:AlternateContent>
  <xr:revisionPtr revIDLastSave="0" documentId="8_{1DBE13F5-5ADB-496C-8F80-C2FB28F46CE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4" i="2" l="1"/>
  <c r="L42" i="2"/>
  <c r="J218" i="2"/>
  <c r="K218" i="2" s="1"/>
  <c r="L218" i="2" s="1"/>
  <c r="J219" i="2"/>
  <c r="K219" i="2" s="1"/>
  <c r="L219" i="2" s="1"/>
  <c r="J220" i="2"/>
  <c r="K220" i="2" s="1"/>
  <c r="L220" i="2" s="1"/>
  <c r="J221" i="2"/>
  <c r="K221" i="2" s="1"/>
  <c r="L221" i="2" s="1"/>
  <c r="J222" i="2"/>
  <c r="K222" i="2" s="1"/>
  <c r="L222" i="2" s="1"/>
  <c r="J223" i="2"/>
  <c r="K223" i="2" s="1"/>
  <c r="L223" i="2" s="1"/>
  <c r="J224" i="2"/>
  <c r="K224" i="2" s="1"/>
  <c r="L224" i="2" s="1"/>
  <c r="J225" i="2"/>
  <c r="K225" i="2" s="1"/>
  <c r="L225" i="2" s="1"/>
  <c r="J226" i="2"/>
  <c r="K226" i="2" s="1"/>
  <c r="L226" i="2" s="1"/>
  <c r="J227" i="2"/>
  <c r="K227" i="2" s="1"/>
  <c r="L227" i="2" s="1"/>
  <c r="J228" i="2"/>
  <c r="K228" i="2" s="1"/>
  <c r="L228" i="2" s="1"/>
  <c r="J217" i="2"/>
  <c r="K217" i="2" s="1"/>
  <c r="L217" i="2" s="1"/>
  <c r="J188" i="2"/>
  <c r="K188" i="2" s="1"/>
  <c r="L188" i="2" s="1"/>
  <c r="J189" i="2"/>
  <c r="K189" i="2" s="1"/>
  <c r="L189" i="2" s="1"/>
  <c r="J190" i="2"/>
  <c r="K190" i="2" s="1"/>
  <c r="L190" i="2" s="1"/>
  <c r="J191" i="2"/>
  <c r="K191" i="2" s="1"/>
  <c r="L191" i="2" s="1"/>
  <c r="J192" i="2"/>
  <c r="K192" i="2" s="1"/>
  <c r="L192" i="2" s="1"/>
  <c r="J193" i="2"/>
  <c r="K193" i="2" s="1"/>
  <c r="L193" i="2" s="1"/>
  <c r="J194" i="2"/>
  <c r="K194" i="2" s="1"/>
  <c r="J195" i="2"/>
  <c r="K195" i="2" s="1"/>
  <c r="L195" i="2" s="1"/>
  <c r="J196" i="2"/>
  <c r="K196" i="2" s="1"/>
  <c r="L196" i="2" s="1"/>
  <c r="J197" i="2"/>
  <c r="K197" i="2" s="1"/>
  <c r="L197" i="2" s="1"/>
  <c r="J198" i="2"/>
  <c r="K198" i="2" s="1"/>
  <c r="L198" i="2" s="1"/>
  <c r="J199" i="2"/>
  <c r="K199" i="2" s="1"/>
  <c r="L199" i="2" s="1"/>
  <c r="J200" i="2"/>
  <c r="K200" i="2" s="1"/>
  <c r="L200" i="2" s="1"/>
  <c r="J201" i="2"/>
  <c r="K201" i="2" s="1"/>
  <c r="L201" i="2" s="1"/>
  <c r="J202" i="2"/>
  <c r="K202" i="2" s="1"/>
  <c r="L202" i="2" s="1"/>
  <c r="J203" i="2"/>
  <c r="K203" i="2" s="1"/>
  <c r="L203" i="2" s="1"/>
  <c r="J204" i="2"/>
  <c r="K204" i="2" s="1"/>
  <c r="L204" i="2" s="1"/>
  <c r="J205" i="2"/>
  <c r="K205" i="2" s="1"/>
  <c r="L205" i="2" s="1"/>
  <c r="J206" i="2"/>
  <c r="K206" i="2" s="1"/>
  <c r="L206" i="2" s="1"/>
  <c r="J207" i="2"/>
  <c r="K207" i="2" s="1"/>
  <c r="L207" i="2" s="1"/>
  <c r="J208" i="2"/>
  <c r="K208" i="2" s="1"/>
  <c r="L208" i="2" s="1"/>
  <c r="J187" i="2"/>
  <c r="K187" i="2" s="1"/>
  <c r="L187" i="2" s="1"/>
  <c r="L216" i="2"/>
  <c r="L215" i="2"/>
  <c r="L214" i="2"/>
  <c r="L213" i="2"/>
  <c r="L212" i="2"/>
  <c r="L211" i="2"/>
  <c r="L210" i="2"/>
  <c r="L209" i="2"/>
  <c r="L186" i="2"/>
  <c r="L185" i="2"/>
  <c r="L184" i="2"/>
  <c r="L183" i="2"/>
  <c r="L182" i="2"/>
  <c r="L181" i="2"/>
  <c r="L180" i="2"/>
  <c r="L179" i="2"/>
  <c r="J159" i="2"/>
  <c r="K159" i="2" s="1"/>
  <c r="L159" i="2" s="1"/>
  <c r="J160" i="2"/>
  <c r="K160" i="2" s="1"/>
  <c r="L160" i="2" s="1"/>
  <c r="J161" i="2"/>
  <c r="K161" i="2" s="1"/>
  <c r="L161" i="2" s="1"/>
  <c r="J162" i="2"/>
  <c r="K162" i="2" s="1"/>
  <c r="L162" i="2" s="1"/>
  <c r="J163" i="2"/>
  <c r="K163" i="2" s="1"/>
  <c r="L163" i="2" s="1"/>
  <c r="J164" i="2"/>
  <c r="K164" i="2" s="1"/>
  <c r="L164" i="2" s="1"/>
  <c r="J165" i="2"/>
  <c r="K165" i="2" s="1"/>
  <c r="L165" i="2" s="1"/>
  <c r="J166" i="2"/>
  <c r="K166" i="2" s="1"/>
  <c r="L166" i="2" s="1"/>
  <c r="J167" i="2"/>
  <c r="K167" i="2" s="1"/>
  <c r="L167" i="2" s="1"/>
  <c r="J168" i="2"/>
  <c r="K168" i="2" s="1"/>
  <c r="L168" i="2" s="1"/>
  <c r="J169" i="2"/>
  <c r="K169" i="2" s="1"/>
  <c r="L169" i="2" s="1"/>
  <c r="J170" i="2"/>
  <c r="K170" i="2" s="1"/>
  <c r="L170" i="2" s="1"/>
  <c r="J171" i="2"/>
  <c r="K171" i="2" s="1"/>
  <c r="L171" i="2" s="1"/>
  <c r="J172" i="2"/>
  <c r="K172" i="2" s="1"/>
  <c r="L172" i="2" s="1"/>
  <c r="J173" i="2"/>
  <c r="K173" i="2" s="1"/>
  <c r="L173" i="2" s="1"/>
  <c r="J174" i="2"/>
  <c r="K174" i="2" s="1"/>
  <c r="L174" i="2" s="1"/>
  <c r="J175" i="2"/>
  <c r="K175" i="2" s="1"/>
  <c r="L175" i="2" s="1"/>
  <c r="J176" i="2"/>
  <c r="K176" i="2" s="1"/>
  <c r="L176" i="2" s="1"/>
  <c r="J177" i="2"/>
  <c r="K177" i="2" s="1"/>
  <c r="L177" i="2" s="1"/>
  <c r="J178" i="2"/>
  <c r="K178" i="2" s="1"/>
  <c r="L178" i="2" s="1"/>
  <c r="J158" i="2"/>
  <c r="K158" i="2" s="1"/>
  <c r="L158" i="2" s="1"/>
  <c r="J138" i="2"/>
  <c r="K138" i="2" s="1"/>
  <c r="L138" i="2" s="1"/>
  <c r="J139" i="2"/>
  <c r="K139" i="2" s="1"/>
  <c r="L139" i="2" s="1"/>
  <c r="J140" i="2"/>
  <c r="K140" i="2" s="1"/>
  <c r="L140" i="2" s="1"/>
  <c r="J141" i="2"/>
  <c r="K141" i="2" s="1"/>
  <c r="L141" i="2" s="1"/>
  <c r="J142" i="2"/>
  <c r="K142" i="2" s="1"/>
  <c r="L142" i="2" s="1"/>
  <c r="J143" i="2"/>
  <c r="K143" i="2" s="1"/>
  <c r="L143" i="2" s="1"/>
  <c r="J144" i="2"/>
  <c r="K144" i="2" s="1"/>
  <c r="L144" i="2" s="1"/>
  <c r="J145" i="2"/>
  <c r="K145" i="2" s="1"/>
  <c r="L145" i="2" s="1"/>
  <c r="J146" i="2"/>
  <c r="K146" i="2" s="1"/>
  <c r="L146" i="2" s="1"/>
  <c r="J147" i="2"/>
  <c r="K147" i="2" s="1"/>
  <c r="L147" i="2" s="1"/>
  <c r="J148" i="2"/>
  <c r="K148" i="2" s="1"/>
  <c r="L148" i="2" s="1"/>
  <c r="J149" i="2"/>
  <c r="K149" i="2" s="1"/>
  <c r="L149" i="2" s="1"/>
  <c r="J137" i="2"/>
  <c r="K137" i="2" s="1"/>
  <c r="L137" i="2" s="1"/>
  <c r="J104" i="2"/>
  <c r="K104" i="2" s="1"/>
  <c r="L104" i="2" s="1"/>
  <c r="J105" i="2"/>
  <c r="K105" i="2" s="1"/>
  <c r="L105" i="2" s="1"/>
  <c r="J106" i="2"/>
  <c r="K106" i="2" s="1"/>
  <c r="L106" i="2" s="1"/>
  <c r="J107" i="2"/>
  <c r="K107" i="2" s="1"/>
  <c r="L107" i="2" s="1"/>
  <c r="J108" i="2"/>
  <c r="K108" i="2" s="1"/>
  <c r="L108" i="2" s="1"/>
  <c r="J109" i="2"/>
  <c r="K109" i="2" s="1"/>
  <c r="L109" i="2" s="1"/>
  <c r="J110" i="2"/>
  <c r="K110" i="2" s="1"/>
  <c r="L110" i="2" s="1"/>
  <c r="J111" i="2"/>
  <c r="K111" i="2" s="1"/>
  <c r="L111" i="2" s="1"/>
  <c r="J112" i="2"/>
  <c r="K112" i="2" s="1"/>
  <c r="L112" i="2" s="1"/>
  <c r="J113" i="2"/>
  <c r="K113" i="2" s="1"/>
  <c r="L113" i="2" s="1"/>
  <c r="J114" i="2"/>
  <c r="K114" i="2" s="1"/>
  <c r="L114" i="2" s="1"/>
  <c r="J115" i="2"/>
  <c r="K115" i="2" s="1"/>
  <c r="L115" i="2" s="1"/>
  <c r="J116" i="2"/>
  <c r="K116" i="2" s="1"/>
  <c r="L116" i="2" s="1"/>
  <c r="J117" i="2"/>
  <c r="K117" i="2" s="1"/>
  <c r="L117" i="2" s="1"/>
  <c r="J118" i="2"/>
  <c r="K118" i="2" s="1"/>
  <c r="L118" i="2" s="1"/>
  <c r="J119" i="2"/>
  <c r="K119" i="2" s="1"/>
  <c r="L119" i="2" s="1"/>
  <c r="J120" i="2"/>
  <c r="K120" i="2" s="1"/>
  <c r="L120" i="2" s="1"/>
  <c r="J121" i="2"/>
  <c r="K121" i="2" s="1"/>
  <c r="L121" i="2" s="1"/>
  <c r="J122" i="2"/>
  <c r="K122" i="2" s="1"/>
  <c r="L122" i="2" s="1"/>
  <c r="J123" i="2"/>
  <c r="K123" i="2" s="1"/>
  <c r="L123" i="2" s="1"/>
  <c r="J124" i="2"/>
  <c r="K124" i="2" s="1"/>
  <c r="L124" i="2" s="1"/>
  <c r="J125" i="2"/>
  <c r="K125" i="2" s="1"/>
  <c r="L125" i="2" s="1"/>
  <c r="J126" i="2"/>
  <c r="K126" i="2" s="1"/>
  <c r="L126" i="2" s="1"/>
  <c r="J127" i="2"/>
  <c r="K127" i="2" s="1"/>
  <c r="L127" i="2" s="1"/>
  <c r="J128" i="2"/>
  <c r="K128" i="2" s="1"/>
  <c r="L128" i="2" s="1"/>
  <c r="J103" i="2"/>
  <c r="K103" i="2" s="1"/>
  <c r="L103" i="2" s="1"/>
  <c r="L136" i="2"/>
  <c r="L135" i="2"/>
  <c r="L157" i="2"/>
  <c r="L156" i="2"/>
  <c r="L155" i="2"/>
  <c r="L154" i="2"/>
  <c r="L153" i="2"/>
  <c r="L152" i="2"/>
  <c r="L151" i="2"/>
  <c r="L150" i="2"/>
  <c r="L130" i="2"/>
  <c r="L129" i="2"/>
  <c r="L132" i="2"/>
  <c r="L131" i="2"/>
  <c r="L134" i="2"/>
  <c r="L133" i="2"/>
  <c r="L102" i="2"/>
  <c r="L101" i="2"/>
  <c r="L100" i="2"/>
  <c r="L98" i="2"/>
  <c r="L96" i="2"/>
  <c r="L99" i="2"/>
  <c r="L97" i="2"/>
  <c r="J83" i="2"/>
  <c r="K83" i="2" s="1"/>
  <c r="L83" i="2" s="1"/>
  <c r="J84" i="2"/>
  <c r="K84" i="2" s="1"/>
  <c r="L84" i="2" s="1"/>
  <c r="J85" i="2"/>
  <c r="K85" i="2" s="1"/>
  <c r="L85" i="2" s="1"/>
  <c r="J86" i="2"/>
  <c r="K86" i="2" s="1"/>
  <c r="L86" i="2" s="1"/>
  <c r="J87" i="2"/>
  <c r="K87" i="2" s="1"/>
  <c r="L87" i="2" s="1"/>
  <c r="J88" i="2"/>
  <c r="K88" i="2" s="1"/>
  <c r="L88" i="2" s="1"/>
  <c r="J89" i="2"/>
  <c r="K89" i="2" s="1"/>
  <c r="L89" i="2" s="1"/>
  <c r="J90" i="2"/>
  <c r="K90" i="2" s="1"/>
  <c r="L90" i="2" s="1"/>
  <c r="J91" i="2"/>
  <c r="K91" i="2" s="1"/>
  <c r="L91" i="2" s="1"/>
  <c r="J92" i="2"/>
  <c r="K92" i="2" s="1"/>
  <c r="L92" i="2" s="1"/>
  <c r="J93" i="2"/>
  <c r="K93" i="2" s="1"/>
  <c r="L93" i="2" s="1"/>
  <c r="J94" i="2"/>
  <c r="K94" i="2" s="1"/>
  <c r="L94" i="2" s="1"/>
  <c r="J95" i="2"/>
  <c r="K95" i="2" s="1"/>
  <c r="L95" i="2" s="1"/>
  <c r="J62" i="2"/>
  <c r="K62" i="2" s="1"/>
  <c r="L62" i="2" s="1"/>
  <c r="J63" i="2"/>
  <c r="K63" i="2" s="1"/>
  <c r="L63" i="2" s="1"/>
  <c r="J64" i="2"/>
  <c r="K64" i="2" s="1"/>
  <c r="L64" i="2" s="1"/>
  <c r="J65" i="2"/>
  <c r="K65" i="2" s="1"/>
  <c r="L65" i="2" s="1"/>
  <c r="J66" i="2"/>
  <c r="K66" i="2" s="1"/>
  <c r="L66" i="2" s="1"/>
  <c r="J67" i="2"/>
  <c r="K67" i="2" s="1"/>
  <c r="L67" i="2" s="1"/>
  <c r="J68" i="2"/>
  <c r="K68" i="2" s="1"/>
  <c r="L68" i="2" s="1"/>
  <c r="J69" i="2"/>
  <c r="K69" i="2" s="1"/>
  <c r="L69" i="2" s="1"/>
  <c r="J70" i="2"/>
  <c r="K70" i="2" s="1"/>
  <c r="L70" i="2" s="1"/>
  <c r="J71" i="2"/>
  <c r="K71" i="2" s="1"/>
  <c r="L71" i="2" s="1"/>
  <c r="J72" i="2"/>
  <c r="K72" i="2" s="1"/>
  <c r="L72" i="2" s="1"/>
  <c r="J73" i="2"/>
  <c r="K73" i="2" s="1"/>
  <c r="L73" i="2" s="1"/>
  <c r="J82" i="2"/>
  <c r="K82" i="2" s="1"/>
  <c r="L82" i="2" s="1"/>
  <c r="J61" i="2"/>
  <c r="K61" i="2" s="1"/>
  <c r="L61" i="2" s="1"/>
  <c r="J38" i="2"/>
  <c r="K38" i="2" s="1"/>
  <c r="L38" i="2" s="1"/>
  <c r="J39" i="2"/>
  <c r="K39" i="2" s="1"/>
  <c r="L39" i="2" s="1"/>
  <c r="J40" i="2"/>
  <c r="K40" i="2" s="1"/>
  <c r="L40" i="2" s="1"/>
  <c r="J41" i="2"/>
  <c r="K41" i="2" s="1"/>
  <c r="L41" i="2" s="1"/>
  <c r="J42" i="2"/>
  <c r="K42" i="2" s="1"/>
  <c r="J43" i="2"/>
  <c r="K43" i="2" s="1"/>
  <c r="L43" i="2" s="1"/>
  <c r="J44" i="2"/>
  <c r="K44" i="2" s="1"/>
  <c r="L44" i="2" s="1"/>
  <c r="J45" i="2"/>
  <c r="K45" i="2" s="1"/>
  <c r="L45" i="2" s="1"/>
  <c r="J46" i="2"/>
  <c r="K46" i="2" s="1"/>
  <c r="L46" i="2" s="1"/>
  <c r="J47" i="2"/>
  <c r="K47" i="2" s="1"/>
  <c r="L47" i="2" s="1"/>
  <c r="J48" i="2"/>
  <c r="K48" i="2" s="1"/>
  <c r="L48" i="2" s="1"/>
  <c r="J49" i="2"/>
  <c r="K49" i="2" s="1"/>
  <c r="L49" i="2" s="1"/>
  <c r="J50" i="2"/>
  <c r="K50" i="2" s="1"/>
  <c r="L50" i="2" s="1"/>
  <c r="J51" i="2"/>
  <c r="K51" i="2" s="1"/>
  <c r="L51" i="2" s="1"/>
  <c r="J52" i="2"/>
  <c r="K52" i="2" s="1"/>
  <c r="L52" i="2" s="1"/>
  <c r="J53" i="2"/>
  <c r="K53" i="2" s="1"/>
  <c r="L53" i="2" s="1"/>
  <c r="J54" i="2"/>
  <c r="K54" i="2" s="1"/>
  <c r="L54" i="2" s="1"/>
  <c r="J55" i="2"/>
  <c r="K55" i="2" s="1"/>
  <c r="L55" i="2" s="1"/>
  <c r="J37" i="2"/>
  <c r="K37" i="2" s="1"/>
  <c r="L37" i="2" s="1"/>
  <c r="L74" i="2"/>
  <c r="L76" i="2"/>
  <c r="L78" i="2"/>
  <c r="L80" i="2"/>
  <c r="L75" i="2"/>
  <c r="L77" i="2"/>
  <c r="L79" i="2"/>
  <c r="L81" i="2"/>
  <c r="L59" i="2"/>
  <c r="L60" i="2"/>
  <c r="L58" i="2"/>
  <c r="L57" i="2"/>
  <c r="L56" i="2"/>
  <c r="L35" i="2"/>
  <c r="L36" i="2"/>
  <c r="L34" i="2"/>
  <c r="L2" i="2"/>
  <c r="L3" i="2"/>
  <c r="L4" i="2"/>
  <c r="L5" i="2"/>
  <c r="L6" i="2"/>
  <c r="L7" i="2"/>
  <c r="J8" i="2"/>
  <c r="K8" i="2" s="1"/>
  <c r="L8" i="2" s="1"/>
  <c r="J9" i="2"/>
  <c r="K9" i="2" s="1"/>
  <c r="L9" i="2" s="1"/>
  <c r="J10" i="2"/>
  <c r="K10" i="2" s="1"/>
  <c r="L10" i="2" s="1"/>
  <c r="J11" i="2"/>
  <c r="K11" i="2" s="1"/>
  <c r="L11" i="2" s="1"/>
  <c r="J12" i="2"/>
  <c r="K12" i="2" s="1"/>
  <c r="L12" i="2" s="1"/>
  <c r="J13" i="2"/>
  <c r="K13" i="2" s="1"/>
  <c r="L13" i="2" s="1"/>
  <c r="J14" i="2"/>
  <c r="K14" i="2" s="1"/>
  <c r="L14" i="2" s="1"/>
  <c r="J15" i="2"/>
  <c r="K15" i="2" s="1"/>
  <c r="L15" i="2" s="1"/>
  <c r="J16" i="2"/>
  <c r="K16" i="2" s="1"/>
  <c r="L16" i="2" s="1"/>
  <c r="J17" i="2"/>
  <c r="K17" i="2" s="1"/>
  <c r="L17" i="2" s="1"/>
  <c r="J18" i="2"/>
  <c r="K18" i="2" s="1"/>
  <c r="L18" i="2" s="1"/>
  <c r="J19" i="2"/>
  <c r="K19" i="2" s="1"/>
  <c r="L19" i="2" s="1"/>
  <c r="J20" i="2"/>
  <c r="K20" i="2" s="1"/>
  <c r="L20" i="2" s="1"/>
  <c r="J21" i="2"/>
  <c r="K21" i="2" s="1"/>
  <c r="L21" i="2" s="1"/>
  <c r="J22" i="2"/>
  <c r="K22" i="2" s="1"/>
  <c r="L22" i="2" s="1"/>
  <c r="J23" i="2"/>
  <c r="K23" i="2" s="1"/>
  <c r="L23" i="2" s="1"/>
  <c r="J24" i="2"/>
  <c r="K24" i="2" s="1"/>
  <c r="L24" i="2" s="1"/>
  <c r="J25" i="2"/>
  <c r="K25" i="2" s="1"/>
  <c r="L25" i="2" s="1"/>
  <c r="J26" i="2"/>
  <c r="K26" i="2" s="1"/>
  <c r="L26" i="2" s="1"/>
  <c r="J27" i="2"/>
  <c r="K27" i="2" s="1"/>
  <c r="L27" i="2" s="1"/>
  <c r="J28" i="2"/>
  <c r="K28" i="2" s="1"/>
  <c r="L28" i="2" s="1"/>
  <c r="J29" i="2"/>
  <c r="K29" i="2" s="1"/>
  <c r="L29" i="2" s="1"/>
  <c r="J30" i="2"/>
  <c r="K30" i="2" s="1"/>
  <c r="L30" i="2" s="1"/>
  <c r="J31" i="2"/>
  <c r="K31" i="2" s="1"/>
  <c r="L31" i="2" s="1"/>
  <c r="J32" i="2"/>
  <c r="K32" i="2" s="1"/>
  <c r="L32" i="2" s="1"/>
  <c r="J33" i="2"/>
  <c r="K33" i="2" s="1"/>
  <c r="L33" i="2" s="1"/>
</calcChain>
</file>

<file path=xl/sharedStrings.xml><?xml version="1.0" encoding="utf-8"?>
<sst xmlns="http://schemas.openxmlformats.org/spreadsheetml/2006/main" count="1474" uniqueCount="476">
  <si>
    <t>filename</t>
  </si>
  <si>
    <t>date_object</t>
  </si>
  <si>
    <t>a1</t>
  </si>
  <si>
    <t>FIA</t>
  </si>
  <si>
    <t>c002</t>
  </si>
  <si>
    <t>FIB</t>
  </si>
  <si>
    <t>c003</t>
  </si>
  <si>
    <t>FIC</t>
  </si>
  <si>
    <t>FID</t>
  </si>
  <si>
    <t>FIE</t>
  </si>
  <si>
    <t>c005</t>
  </si>
  <si>
    <t>c009</t>
  </si>
  <si>
    <t>c010</t>
  </si>
  <si>
    <t>c011</t>
  </si>
  <si>
    <t>Type</t>
  </si>
  <si>
    <t>Mount</t>
  </si>
  <si>
    <t>Sample</t>
  </si>
  <si>
    <t>Crystal</t>
  </si>
  <si>
    <t>Region</t>
  </si>
  <si>
    <t>FI#</t>
  </si>
  <si>
    <t>Sample_crystal</t>
  </si>
  <si>
    <t>Sample_crystal_region</t>
  </si>
  <si>
    <t>FI_name</t>
  </si>
  <si>
    <t>FG04</t>
  </si>
  <si>
    <t>A1</t>
  </si>
  <si>
    <t>FG04_A1</t>
  </si>
  <si>
    <t>Std</t>
  </si>
  <si>
    <t>sec since midnight</t>
  </si>
  <si>
    <t>Name_on_SEM</t>
  </si>
  <si>
    <t>Notes regarding SEM matching</t>
  </si>
  <si>
    <t>EBSD_simple_name</t>
  </si>
  <si>
    <t>EBSD_grainID</t>
  </si>
  <si>
    <t>EBSDname+grainID</t>
  </si>
  <si>
    <t>EBSD_comment</t>
  </si>
  <si>
    <t>FG04-A1-4_end-rep4</t>
  </si>
  <si>
    <t>FG04-A1-4_end-rep5</t>
  </si>
  <si>
    <t>FG04-A1-4_end-rep6</t>
  </si>
  <si>
    <t>FG04-A1-4_start-rep1</t>
  </si>
  <si>
    <t>FG04-A1-4_start-rep2</t>
  </si>
  <si>
    <t>FG04-A1-4_start-rep3</t>
  </si>
  <si>
    <t>KL0910_c002_a1_FIA</t>
  </si>
  <si>
    <t>KL0910_c002_a1_FIB</t>
  </si>
  <si>
    <t>KL0910_c002_a1_FIC</t>
  </si>
  <si>
    <t>KL0910_c002_a1_FID</t>
  </si>
  <si>
    <t>KL0910_c002_a1_FIE</t>
  </si>
  <si>
    <t>KL0910_c002_a1_FIG</t>
  </si>
  <si>
    <t>KL0910_c002_a1_FIH</t>
  </si>
  <si>
    <t>KL0910_c002_a1_FIH_20X</t>
  </si>
  <si>
    <t>KL0910_c002_a1_FIH_r2</t>
  </si>
  <si>
    <t>KL0910_c003_a1_FIA</t>
  </si>
  <si>
    <t>KL0910_c003_a1_FIB</t>
  </si>
  <si>
    <t>KL0910_c003_a1_FIC</t>
  </si>
  <si>
    <t>KL0910_c005_a1_FIA</t>
  </si>
  <si>
    <t>KL0910_c005_a1_FIB_r1</t>
  </si>
  <si>
    <t>KL0910_c005_a1_FIB_r2</t>
  </si>
  <si>
    <t>KL0910_c005_a1_FIB_r3</t>
  </si>
  <si>
    <t>KL0910_c005_a1_FIC</t>
  </si>
  <si>
    <t>KL0910_c005_a1_FID</t>
  </si>
  <si>
    <t>KL0910_c005_a1_FIE</t>
  </si>
  <si>
    <t>KL0910_c009_a1_FIA</t>
  </si>
  <si>
    <t>KL0910_c010_a1_FIA</t>
  </si>
  <si>
    <t>KL0910_c011_a1_FIA</t>
  </si>
  <si>
    <t>KL0910_c011_a1_FIB</t>
  </si>
  <si>
    <t>KL0910_c015_a1_FIA</t>
  </si>
  <si>
    <t>KL0910_c016(1)_a1_FIA</t>
  </si>
  <si>
    <t>KL0910_c016(2)_a1_FIA</t>
  </si>
  <si>
    <t>KL0910</t>
  </si>
  <si>
    <t>FIG</t>
  </si>
  <si>
    <t>FIH</t>
  </si>
  <si>
    <t>c015</t>
  </si>
  <si>
    <t>c016(1)</t>
  </si>
  <si>
    <t>c016(2)</t>
  </si>
  <si>
    <t>FG04-A1-4-start_r1</t>
  </si>
  <si>
    <t>FG04-A1-4-start_r2</t>
  </si>
  <si>
    <t>FG04-A1-4-start_r3</t>
  </si>
  <si>
    <t>KL0908_c052_a1_FIA</t>
  </si>
  <si>
    <t>KL0908_c052_a2_FIC</t>
  </si>
  <si>
    <t>KL0908_c054_a1_FIA</t>
  </si>
  <si>
    <t>KL0908_c056(1)_a1_FIA</t>
  </si>
  <si>
    <t>KL0908_c058_a1_FIA</t>
  </si>
  <si>
    <t>KL0908_c060_a1_FIA</t>
  </si>
  <si>
    <t>KL0908_c060_a1_FIB</t>
  </si>
  <si>
    <t>KL0908_c060_a1_FIC</t>
  </si>
  <si>
    <t>KL0908_c067_a1_FIA</t>
  </si>
  <si>
    <t>KL0908_c072_a1_FIA</t>
  </si>
  <si>
    <t>KL0908_c072_a1_FIB</t>
  </si>
  <si>
    <t>KL0910_c018_a1_FIA_r1</t>
  </si>
  <si>
    <t>KL0910_c018_a1_FIA_r2</t>
  </si>
  <si>
    <t>KL0910_c018_a1_FIA_r3</t>
  </si>
  <si>
    <t>KL0910_c029_a1_FIA</t>
  </si>
  <si>
    <t>KL0910_c030_a1_FIA</t>
  </si>
  <si>
    <t>KL0910_c031_a1_FIA</t>
  </si>
  <si>
    <t>KL0910_c032_a1_FIA</t>
  </si>
  <si>
    <t>KL0910_c034_a1_FIA</t>
  </si>
  <si>
    <t>FG04-A1-4-end_r5</t>
  </si>
  <si>
    <t>FG04-A1-4-end_r6</t>
  </si>
  <si>
    <t>KL0910_c000_a1_FIA</t>
  </si>
  <si>
    <t>KL0910_c036_a1_FIA</t>
  </si>
  <si>
    <t>KL0910_c036_a1_FIB</t>
  </si>
  <si>
    <t>KL0910_c047_a1_FIA</t>
  </si>
  <si>
    <t>KL0910_c047_a1_FIB</t>
  </si>
  <si>
    <t>KL0916_c051(1)_a1_FIA</t>
  </si>
  <si>
    <t>KL0916_c053_a1_FIA</t>
  </si>
  <si>
    <t>KL0916_c057_a1_FIB</t>
  </si>
  <si>
    <t>KL0916_c057_a1_FIB_r1</t>
  </si>
  <si>
    <t>KL0916_c057_a1_FIB_r2</t>
  </si>
  <si>
    <t>KL0916_c058_a1_FIA</t>
  </si>
  <si>
    <t>KL0916_c059_a1_FIA</t>
  </si>
  <si>
    <t>KL0916_c064_a1_FIA</t>
  </si>
  <si>
    <t>FG04-A1-1-evening_r2</t>
  </si>
  <si>
    <t>FG04-A1-1-morning_r1</t>
  </si>
  <si>
    <t>FG04-A1-4-evening_r2</t>
  </si>
  <si>
    <t>FG04-A1-4-morning_r1</t>
  </si>
  <si>
    <t>FG19-101-A-100X-evening_r3</t>
  </si>
  <si>
    <t>FG19-101-A-100X-morning_r2</t>
  </si>
  <si>
    <t>FG19-101-A-50X-evening_r4_notgreat</t>
  </si>
  <si>
    <t>FG19-101-A-50X-morning_r1</t>
  </si>
  <si>
    <t>KL0908_c168_a1_FIA</t>
  </si>
  <si>
    <t>KL0909_c153_a1_FIA</t>
  </si>
  <si>
    <t>KL0916_c068_a1_FIA</t>
  </si>
  <si>
    <t>KL0916_c069_a1_FIA</t>
  </si>
  <si>
    <t>KL0916_c069_a1_FIB</t>
  </si>
  <si>
    <t>KL0916_c069_a1_FIC</t>
  </si>
  <si>
    <t>KL0916_c069_a1_FID</t>
  </si>
  <si>
    <t>KL0916_c071_a1_FIA</t>
  </si>
  <si>
    <t>KL0916_c074_a1_FIA</t>
  </si>
  <si>
    <t>KL0916_c079_a1_FIA</t>
  </si>
  <si>
    <t>KL0920_c147b_a1_FIA</t>
  </si>
  <si>
    <t>KL0920_c147b_a1_FIB</t>
  </si>
  <si>
    <t>KL0931_c159_a1_FIA</t>
  </si>
  <si>
    <t>KL0931_c160_a1_FIA</t>
  </si>
  <si>
    <t>KL0908</t>
  </si>
  <si>
    <t>c052</t>
  </si>
  <si>
    <t>a2</t>
  </si>
  <si>
    <t>c054</t>
  </si>
  <si>
    <t>c056(1)</t>
  </si>
  <si>
    <t>c058</t>
  </si>
  <si>
    <t>c060</t>
  </si>
  <si>
    <t>c067</t>
  </si>
  <si>
    <t>c072</t>
  </si>
  <si>
    <t>c018</t>
  </si>
  <si>
    <t>c029</t>
  </si>
  <si>
    <t>c030</t>
  </si>
  <si>
    <t>c031</t>
  </si>
  <si>
    <t>c032</t>
  </si>
  <si>
    <t>c034</t>
  </si>
  <si>
    <t>c000</t>
  </si>
  <si>
    <t>c036</t>
  </si>
  <si>
    <t>c047</t>
  </si>
  <si>
    <t>KL0916</t>
  </si>
  <si>
    <t>c051(1)</t>
  </si>
  <si>
    <t>c053</t>
  </si>
  <si>
    <t>c057</t>
  </si>
  <si>
    <t>c059</t>
  </si>
  <si>
    <t>c064</t>
  </si>
  <si>
    <t>c168</t>
  </si>
  <si>
    <t>KL0909</t>
  </si>
  <si>
    <t>c153</t>
  </si>
  <si>
    <t>c068</t>
  </si>
  <si>
    <t>c069</t>
  </si>
  <si>
    <t>c071</t>
  </si>
  <si>
    <t>c074</t>
  </si>
  <si>
    <t>c079</t>
  </si>
  <si>
    <t>KL0920</t>
  </si>
  <si>
    <t>c147b</t>
  </si>
  <si>
    <t>KL0931</t>
  </si>
  <si>
    <t>c159</t>
  </si>
  <si>
    <t>c160</t>
  </si>
  <si>
    <t>FG19</t>
  </si>
  <si>
    <t>A</t>
  </si>
  <si>
    <t>FG19_101</t>
  </si>
  <si>
    <t>FG04-A1-1-50X-evening-r2</t>
  </si>
  <si>
    <t>FG04-A1-1-50X-morning-r1</t>
  </si>
  <si>
    <t>FG04-A1-4-50X-evening-r2</t>
  </si>
  <si>
    <t>FG04-A1-4-50X-morning-r1</t>
  </si>
  <si>
    <t>FG19-101-A-100X-evening-r3</t>
  </si>
  <si>
    <t>FG19-101-A-100X-morning-r1_offcenter</t>
  </si>
  <si>
    <t>FG19-101-A-100X-morning-r2</t>
  </si>
  <si>
    <t>KL0908_c171_a1_FIA</t>
  </si>
  <si>
    <t>KL0908_c171_a1_FIB</t>
  </si>
  <si>
    <t>KL0908_c172_a1_FIA</t>
  </si>
  <si>
    <t>KL0908_c172_a1_FIB</t>
  </si>
  <si>
    <t>KL0908_c173_a1_FIA</t>
  </si>
  <si>
    <t>KL0910_c176_a1_FIA</t>
  </si>
  <si>
    <t>KL0910_c178_a1_FIA</t>
  </si>
  <si>
    <t>KL0910_c178_a1_FIB</t>
  </si>
  <si>
    <t>KL0910_c179_a1_FIA</t>
  </si>
  <si>
    <t>KL0919_c181_a1_FIA</t>
  </si>
  <si>
    <t>KL0919_c181_a2_FIB</t>
  </si>
  <si>
    <t>KL0919_c181_a2_FIC</t>
  </si>
  <si>
    <t>KL0921_c325_a1_FIA</t>
  </si>
  <si>
    <t>KL0921_c335_a1_FIA</t>
  </si>
  <si>
    <t>KL0921_c335_a2_FIB</t>
  </si>
  <si>
    <t>KL0921_c337_a1_FIA</t>
  </si>
  <si>
    <t>KL0921_c337_a1_FIB</t>
  </si>
  <si>
    <t>KL0921_c337_a1_FIC</t>
  </si>
  <si>
    <t>KL0921_c337_a1_FID</t>
  </si>
  <si>
    <t>KL0924_c363_a1_FIA</t>
  </si>
  <si>
    <t>KL0924_c363_a1_FIB</t>
  </si>
  <si>
    <t>KL0924_c364_a1_FIA</t>
  </si>
  <si>
    <t>KL0924_c364_a1_FIB</t>
  </si>
  <si>
    <t>KL0924_c367_a2_FIC</t>
  </si>
  <si>
    <t>KL0924_c369_a1_FIA</t>
  </si>
  <si>
    <t>KL0924_c369_a1_FIB</t>
  </si>
  <si>
    <t>FG04-A1-1_eve_r2_100X</t>
  </si>
  <si>
    <t>FG04-A1-1_morn_r1_100X</t>
  </si>
  <si>
    <t>FG04-A1-2_eve_r2_100X</t>
  </si>
  <si>
    <t>FG04-A1-2_morn_r1_100X</t>
  </si>
  <si>
    <t>FG04-A1-4_eve_r2_100X</t>
  </si>
  <si>
    <t>FG04-A1-4_morn_r1_100X</t>
  </si>
  <si>
    <t>FG19-101-A_eve_r2_100X</t>
  </si>
  <si>
    <t>FG19-101-A_morn_r1_100X</t>
  </si>
  <si>
    <t>KL0908_c219_a1_FIA</t>
  </si>
  <si>
    <t>KL0908_c223_a1_FIA</t>
  </si>
  <si>
    <t>KL0908_c228_a1_FIA</t>
  </si>
  <si>
    <t>KL0909_c231_a1_FIA</t>
  </si>
  <si>
    <t>KL0909_c231_a1_FIB</t>
  </si>
  <si>
    <t>KL0909_c235_a1_FIA</t>
  </si>
  <si>
    <t>KL0917_c202_a1_FIA</t>
  </si>
  <si>
    <t>KL0917_c202_a1_FIB</t>
  </si>
  <si>
    <t>KL0920_c216_a1_FIA</t>
  </si>
  <si>
    <t>KL0920_c216_a2_FID</t>
  </si>
  <si>
    <t>KL0920_c216_a2_FIH</t>
  </si>
  <si>
    <t>KL0931_c240_a1_FIA</t>
  </si>
  <si>
    <t>KL0931_c240_a1_FIB</t>
  </si>
  <si>
    <t>FG04-A1-1-100X-eve-r2</t>
  </si>
  <si>
    <t>FG04-A1-1-100X-morn-r1</t>
  </si>
  <si>
    <t>FG04-A1-2-100X-eve-r2</t>
  </si>
  <si>
    <t>FG04-A1-2-100X-morn-r1</t>
  </si>
  <si>
    <t>FG04-A1-4-100X-eve-r2</t>
  </si>
  <si>
    <t>FG04-A1-4-100X-morn-r1</t>
  </si>
  <si>
    <t>FG19-101-A-100X-eve-r2</t>
  </si>
  <si>
    <t>FG19-101-A-100X-morn-r1</t>
  </si>
  <si>
    <t>KL0914_c001_a1_FIA</t>
  </si>
  <si>
    <t>KL0914_c001_a1_FIB</t>
  </si>
  <si>
    <t>KL0914_c001_a1_FIC</t>
  </si>
  <si>
    <t>KL0914_c004_a1_FIC</t>
  </si>
  <si>
    <t>KL0914_c004_a1_FID</t>
  </si>
  <si>
    <t>KL0914_c008_a1_FIA</t>
  </si>
  <si>
    <t>KL0914_c008_a2_FIB</t>
  </si>
  <si>
    <t>KL0914_c008_a2_FIC</t>
  </si>
  <si>
    <t>KL0914_c012_a1_FIA</t>
  </si>
  <si>
    <t>KL0914_c012_a1_FIB</t>
  </si>
  <si>
    <t>KL0914_c016_a1_FIA</t>
  </si>
  <si>
    <t>KL0914_c016_a1_FIB</t>
  </si>
  <si>
    <t>KL0914_c016_a2_FIC</t>
  </si>
  <si>
    <t>KL0914_c016_a3_FID</t>
  </si>
  <si>
    <t>KL0914_c017_a1_FIA</t>
  </si>
  <si>
    <t>KL0914_c019_a1_FIA</t>
  </si>
  <si>
    <t>KL0931_c021_a1_FIA</t>
  </si>
  <si>
    <t>KL0931_c027_a1_FIA_15mw</t>
  </si>
  <si>
    <t>KL0931_c028_a1_FIA</t>
  </si>
  <si>
    <t>KL0931_c028_a1_FIB</t>
  </si>
  <si>
    <t>KL0931_c031_a1_FIA</t>
  </si>
  <si>
    <t>c171</t>
  </si>
  <si>
    <t>c172</t>
  </si>
  <si>
    <t>c173</t>
  </si>
  <si>
    <t>c176</t>
  </si>
  <si>
    <t>c178</t>
  </si>
  <si>
    <t>c179</t>
  </si>
  <si>
    <t>KL0919</t>
  </si>
  <si>
    <t>c181</t>
  </si>
  <si>
    <t>KL0921</t>
  </si>
  <si>
    <t>c325</t>
  </si>
  <si>
    <t>c335</t>
  </si>
  <si>
    <t>c337</t>
  </si>
  <si>
    <t>KL0924</t>
  </si>
  <si>
    <t>c363</t>
  </si>
  <si>
    <t>c364</t>
  </si>
  <si>
    <t>c367</t>
  </si>
  <si>
    <t>c369</t>
  </si>
  <si>
    <t>c219</t>
  </si>
  <si>
    <t>c223</t>
  </si>
  <si>
    <t>c228</t>
  </si>
  <si>
    <t>c231</t>
  </si>
  <si>
    <t>c235</t>
  </si>
  <si>
    <t>KL0917</t>
  </si>
  <si>
    <t>c202</t>
  </si>
  <si>
    <t>c216</t>
  </si>
  <si>
    <t>c240</t>
  </si>
  <si>
    <t>KL0914</t>
  </si>
  <si>
    <t>c001</t>
  </si>
  <si>
    <t>c004</t>
  </si>
  <si>
    <t>c008</t>
  </si>
  <si>
    <t>c012</t>
  </si>
  <si>
    <t>c016</t>
  </si>
  <si>
    <t>a3</t>
  </si>
  <si>
    <t>c017</t>
  </si>
  <si>
    <t>c019</t>
  </si>
  <si>
    <t>c021</t>
  </si>
  <si>
    <t>c027</t>
  </si>
  <si>
    <t>c028</t>
  </si>
  <si>
    <t>KL0908_c065_a1_FIA</t>
  </si>
  <si>
    <t>KL0908_c071_a1_FIA</t>
  </si>
  <si>
    <t>KL0908_c071_a1_FIB</t>
  </si>
  <si>
    <t>KL0909_c124_a1_FIB</t>
  </si>
  <si>
    <t>KL0909_c132_a1_FIB</t>
  </si>
  <si>
    <t>KL0910_c035_a1_FIA</t>
  </si>
  <si>
    <t>KL0910_c048_a1_FIA</t>
  </si>
  <si>
    <t>KL0910_c048_a1_FIB</t>
  </si>
  <si>
    <t>KL0910_c048_a1_FIC</t>
  </si>
  <si>
    <t>KL0910_c053_a1_FIA_20mw</t>
  </si>
  <si>
    <t>KL0910_c059_a1_FIA</t>
  </si>
  <si>
    <t>KL0917_c077_a1_FIB</t>
  </si>
  <si>
    <t>KL0917_c077_a1_FIC</t>
  </si>
  <si>
    <t>KL0917_c084_a1_FIA</t>
  </si>
  <si>
    <t>KL0917_c084_a1_FIB_46mw</t>
  </si>
  <si>
    <t>KL0917_c084_a1_FID_46mw</t>
  </si>
  <si>
    <t>KL0917_c089_a1_FIA</t>
  </si>
  <si>
    <t>KL0931_c034_a1_FIA</t>
  </si>
  <si>
    <t>KL0931_c034_a1_FIE</t>
  </si>
  <si>
    <t>KL0931_c034_a1_FIH</t>
  </si>
  <si>
    <t>KL0921_c281_a1_FIA</t>
  </si>
  <si>
    <t>KL0921_c281_a2_FIB</t>
  </si>
  <si>
    <t>KL0921_c285_a1_FIA</t>
  </si>
  <si>
    <t>KL0921_c285_a2_FIB</t>
  </si>
  <si>
    <t>KL0921_c287_a1_FIA</t>
  </si>
  <si>
    <t>KL0921_c288_a1_FIA</t>
  </si>
  <si>
    <t>KL0921_c295_a2_FIB</t>
  </si>
  <si>
    <t>KL0930_c312_a1_FIA</t>
  </si>
  <si>
    <t>KL0930_c312_a2_FIB</t>
  </si>
  <si>
    <t>KL0930_c318_a1_FIA</t>
  </si>
  <si>
    <t>KL0930_c321_a1_FIA</t>
  </si>
  <si>
    <t>KL0930_c321_a2_FIB</t>
  </si>
  <si>
    <t>c065</t>
  </si>
  <si>
    <t>c124</t>
  </si>
  <si>
    <t>c132</t>
  </si>
  <si>
    <t>c035</t>
  </si>
  <si>
    <t>c048</t>
  </si>
  <si>
    <t>c077</t>
  </si>
  <si>
    <t>c084</t>
  </si>
  <si>
    <t>c089</t>
  </si>
  <si>
    <t>c281</t>
  </si>
  <si>
    <t>c285</t>
  </si>
  <si>
    <t>c287</t>
  </si>
  <si>
    <t>c288</t>
  </si>
  <si>
    <t>c295</t>
  </si>
  <si>
    <t>KL0930</t>
  </si>
  <si>
    <t>c312</t>
  </si>
  <si>
    <t>c318</t>
  </si>
  <si>
    <t>c321</t>
  </si>
  <si>
    <t>KL0910_c002_a1</t>
  </si>
  <si>
    <t>KL0910_c003_a1</t>
  </si>
  <si>
    <t>KL0910_c005_a1</t>
  </si>
  <si>
    <t>KL0910_c009_a1</t>
  </si>
  <si>
    <t>KL0910_c010_a1</t>
  </si>
  <si>
    <t>KL0910_c011_a1</t>
  </si>
  <si>
    <t>KL0910_c015_a1</t>
  </si>
  <si>
    <t>KL0910_c016(1)_a1</t>
  </si>
  <si>
    <t>KL0910_c016(2)_a1</t>
  </si>
  <si>
    <t>KL0910_c018_a1</t>
  </si>
  <si>
    <t>KL0910_c029_a1</t>
  </si>
  <si>
    <t>KL0910_c030_a1</t>
  </si>
  <si>
    <t>KL0910_c031_a1</t>
  </si>
  <si>
    <t>KL0910_c032_a1</t>
  </si>
  <si>
    <t>KL0910_c034_a1</t>
  </si>
  <si>
    <t>KL0910_c036_a1</t>
  </si>
  <si>
    <t>KL0910_c036_a2</t>
  </si>
  <si>
    <t>KL0910_c047_a1</t>
  </si>
  <si>
    <t>KL0908_c052_a1</t>
  </si>
  <si>
    <t>KL0908_c054_a1</t>
  </si>
  <si>
    <t>KL0908_c056(1)_a1</t>
  </si>
  <si>
    <t>KL0908_c058_a1</t>
  </si>
  <si>
    <t>KL0908_c067_a1</t>
  </si>
  <si>
    <t>KL0908_c072_a1_redo</t>
  </si>
  <si>
    <t>KL0916_c051(1)_a1</t>
  </si>
  <si>
    <t>KL0916_c057_a1</t>
  </si>
  <si>
    <t>KL0916_c058_a1</t>
  </si>
  <si>
    <t>KL0916_c059_a1</t>
  </si>
  <si>
    <t>KL0916_c064_a1</t>
  </si>
  <si>
    <t>KL0916_c068_a1</t>
  </si>
  <si>
    <t>KL0916_c069_a1</t>
  </si>
  <si>
    <t>KL0916_c071_a1</t>
  </si>
  <si>
    <t>KL0916_c074_a1</t>
  </si>
  <si>
    <t>KL0916_c079_a1</t>
  </si>
  <si>
    <t>KL0909_c0153_a1</t>
  </si>
  <si>
    <t>KL0931_c0159_a1</t>
  </si>
  <si>
    <t>KL0931_c0160_a1</t>
  </si>
  <si>
    <t>KL0908_c0168_a1</t>
  </si>
  <si>
    <t>KL0908_c0171_a1</t>
  </si>
  <si>
    <t>KL0908_c0172_a1</t>
  </si>
  <si>
    <t>KL0908_c0173_a1</t>
  </si>
  <si>
    <t>KL0910_c0176_a1</t>
  </si>
  <si>
    <t>KL0910_c0178_a1</t>
  </si>
  <si>
    <t>KL0910_c0179_a1</t>
  </si>
  <si>
    <t>KL0919_c0181_a1</t>
  </si>
  <si>
    <t>KL0919_c0181_a2</t>
  </si>
  <si>
    <t>KL0916_c053_a3_redo3</t>
  </si>
  <si>
    <t>KL0921_c325_a1</t>
  </si>
  <si>
    <t>KL0921_c0335_a1</t>
  </si>
  <si>
    <t>KL0921_c0335_a2</t>
  </si>
  <si>
    <t>KL0921_c0337_a1</t>
  </si>
  <si>
    <t>KL0924_c0363_a1</t>
  </si>
  <si>
    <t>KL0924_c0364_a1</t>
  </si>
  <si>
    <t>KL0924_c0367_a2</t>
  </si>
  <si>
    <t>KL0924_c0369_a1</t>
  </si>
  <si>
    <t>KL0920_c216_a1</t>
  </si>
  <si>
    <t>KL0920_c216_a2</t>
  </si>
  <si>
    <t>KL0908_c219_a1</t>
  </si>
  <si>
    <t>KL0908_c223_a1</t>
  </si>
  <si>
    <t>KL0908_c228_a1</t>
  </si>
  <si>
    <t>KL0909_c231_a1</t>
  </si>
  <si>
    <t>KL0909_c235_a1</t>
  </si>
  <si>
    <t>KL0931_c240_a1</t>
  </si>
  <si>
    <t>KL0917_c202_a1_redo</t>
  </si>
  <si>
    <t>KL0921_c281_a1</t>
  </si>
  <si>
    <t>KL0921_c285_a1</t>
  </si>
  <si>
    <t>KL0921_c285_a2</t>
  </si>
  <si>
    <t>KL0921_c287_a1</t>
  </si>
  <si>
    <t>KL0921_c288_a1</t>
  </si>
  <si>
    <t>KL0921_c295_a2</t>
  </si>
  <si>
    <t>KL0930_c312_a1</t>
  </si>
  <si>
    <t>KL0930_c312_a2</t>
  </si>
  <si>
    <t>KL0930_c318_a1</t>
  </si>
  <si>
    <t>KL0930_c321_a1</t>
  </si>
  <si>
    <t>KL0914_c016_a1</t>
  </si>
  <si>
    <t>KL0931_c027_a1</t>
  </si>
  <si>
    <t>KL0931_c028_a1</t>
  </si>
  <si>
    <t>KL0931_c034_a1</t>
  </si>
  <si>
    <t>KL0910_c035_a1</t>
  </si>
  <si>
    <t>KL0910_c048_a1</t>
  </si>
  <si>
    <t>KL0910_c053_a1</t>
  </si>
  <si>
    <t>KL0910_c059_a1</t>
  </si>
  <si>
    <t>KL0908_c071_a1</t>
  </si>
  <si>
    <t>KL0917_c077_a1</t>
  </si>
  <si>
    <t>KL0917_c084_a1</t>
  </si>
  <si>
    <t>KL0917_c089_a1</t>
  </si>
  <si>
    <t>KL0909_c124_a1</t>
  </si>
  <si>
    <t>KL0909_c132_a1</t>
  </si>
  <si>
    <t>KL0921_c281_a2_redo</t>
  </si>
  <si>
    <t>KL0931_c021_a1_redo</t>
  </si>
  <si>
    <t>KL0914_c008_a1_redo</t>
  </si>
  <si>
    <t>KL0914_c008_a2_redo</t>
  </si>
  <si>
    <t>KL0914_c012_a1_redo</t>
  </si>
  <si>
    <t>KL0914_c016_a2_redo</t>
  </si>
  <si>
    <t>KL0914_c016_a3_redo</t>
  </si>
  <si>
    <t>KL0914_c017_a1_redo</t>
  </si>
  <si>
    <t>KL0914_c019_a1_redo</t>
  </si>
  <si>
    <t>KL0931_c031_a1_redo</t>
  </si>
  <si>
    <t>KL0908_c065_a1_redo</t>
  </si>
  <si>
    <t>KL0910_c000_a1</t>
  </si>
  <si>
    <t>there is also a2,a3,a4, a4 is the best but far</t>
  </si>
  <si>
    <t>TRASH, bc of holder</t>
  </si>
  <si>
    <t>not good, but better than nothing</t>
  </si>
  <si>
    <t>all others tries were bad</t>
  </si>
  <si>
    <t>KL0908_c060_a1</t>
  </si>
  <si>
    <t>KL0908_c060_a1_S1_redo</t>
  </si>
  <si>
    <t>KL0910_c047_a1_S1</t>
  </si>
  <si>
    <t>had to rename to S1, as the name was duplicated in the mounts (one in the MI mounts, one in S1)</t>
  </si>
  <si>
    <t>\ulubsmallolivines_60</t>
  </si>
  <si>
    <t>\ulubsmallolivines_65</t>
  </si>
  <si>
    <t>the two small crystals are ID as one grain</t>
  </si>
  <si>
    <t>No EBSD</t>
  </si>
  <si>
    <t>\ulubsmallolivines132</t>
  </si>
  <si>
    <t>\ulubsmallolivines_35</t>
  </si>
  <si>
    <t>FI are in the smaller crystal, they look like two crystals to me but ID as single grain</t>
  </si>
  <si>
    <t>\ulubsmallolivines_47</t>
  </si>
  <si>
    <t>\ulubsmallolivines_53</t>
  </si>
  <si>
    <t>\ulubsmallolivines_77</t>
  </si>
  <si>
    <t>\ulubsmallolivines_34</t>
  </si>
  <si>
    <t>\Kil_2_L2_285</t>
  </si>
  <si>
    <t>\Kil_2_L2_287</t>
  </si>
  <si>
    <t>\Kil_2_L2_288</t>
  </si>
  <si>
    <t>\Kil_2_L2_295</t>
  </si>
  <si>
    <t>\Kil_2_L2_312</t>
  </si>
  <si>
    <t>\Kil_2_L2_318</t>
  </si>
  <si>
    <t>\Kil_2_L2_321</t>
  </si>
  <si>
    <t>NO EBSD</t>
  </si>
  <si>
    <t>This is the small ulu ols</t>
  </si>
  <si>
    <t>\ulubigolivines_168</t>
  </si>
  <si>
    <t>it's in the tiny crystal up top, not in the big one</t>
  </si>
  <si>
    <t>\ulubigolivines_153</t>
  </si>
  <si>
    <t>it's in the tiny crystal up though, not in the big one</t>
  </si>
  <si>
    <t>\ulubigolivines_147b</t>
  </si>
  <si>
    <t>\ulubigolivines_159</t>
  </si>
  <si>
    <t>\ulubigolivines_160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</si>
</sst>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E86E-F97B-4AFF-9664-007014C39847}">
  <dimension ref="A1:R228"/>
  <sheetViews>
    <sheetView tabSelected="1" topLeftCell="K1" zoomScaleNormal="100" workbookViewId="0">
      <pane xSplit="2" ySplit="1" topLeftCell="M45" activePane="bottomRight" state="frozen"/>
      <selection activeCell="K1" sqref="K1"/>
      <selection pane="topRight" activeCell="M1" sqref="M1"/>
      <selection pane="bottomLeft" activeCell="K2" sqref="K2"/>
      <selection pane="bottomRight" activeCell="P95" sqref="P95"/>
    </sheetView>
  </sheetViews>
  <sheetFormatPr defaultColWidth="8.77734375" defaultRowHeight="14.4" x14ac:dyDescent="0.3"/>
  <cols>
    <col min="1" max="1" width="25" customWidth="1"/>
    <col min="4" max="4" width="26.77734375" customWidth="1"/>
    <col min="10" max="10" width="14" customWidth="1"/>
    <col min="11" max="11" width="19.44140625" customWidth="1"/>
    <col min="12" max="12" width="25.109375" customWidth="1"/>
    <col min="13" max="13" width="30.44140625" customWidth="1"/>
    <col min="14" max="14" width="11.88671875" customWidth="1"/>
    <col min="15" max="17" width="18.6640625" customWidth="1"/>
    <col min="18" max="18" width="31.77734375" customWidth="1"/>
  </cols>
  <sheetData>
    <row r="1" spans="1:18" x14ac:dyDescent="0.3">
      <c r="A1" t="s">
        <v>0</v>
      </c>
      <c r="B1" t="s">
        <v>1</v>
      </c>
      <c r="C1" t="s">
        <v>27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28</v>
      </c>
      <c r="N1" t="s">
        <v>29</v>
      </c>
      <c r="O1" t="s">
        <v>30</v>
      </c>
      <c r="P1" s="2" t="s">
        <v>31</v>
      </c>
      <c r="Q1" s="3" t="s">
        <v>32</v>
      </c>
      <c r="R1" t="s">
        <v>33</v>
      </c>
    </row>
    <row r="2" spans="1:18" x14ac:dyDescent="0.3">
      <c r="A2" t="s">
        <v>34</v>
      </c>
      <c r="B2" s="1">
        <v>45723</v>
      </c>
      <c r="C2">
        <v>64007</v>
      </c>
      <c r="D2" t="s">
        <v>26</v>
      </c>
      <c r="F2" t="s">
        <v>23</v>
      </c>
      <c r="G2" t="s">
        <v>24</v>
      </c>
      <c r="I2">
        <v>4</v>
      </c>
      <c r="J2" t="s">
        <v>25</v>
      </c>
      <c r="K2" t="s">
        <v>25</v>
      </c>
      <c r="L2" t="str">
        <f>_xlfn.CONCAT(F2,"-",G2,"-",I2,"-end-",B2)</f>
        <v>FG04-A1-4-end-45723</v>
      </c>
      <c r="M2" s="4"/>
    </row>
    <row r="3" spans="1:18" x14ac:dyDescent="0.3">
      <c r="A3" t="s">
        <v>35</v>
      </c>
      <c r="B3" s="1">
        <v>45723</v>
      </c>
      <c r="C3">
        <v>64409</v>
      </c>
      <c r="D3" t="s">
        <v>26</v>
      </c>
      <c r="F3" t="s">
        <v>23</v>
      </c>
      <c r="G3" t="s">
        <v>24</v>
      </c>
      <c r="I3">
        <v>4</v>
      </c>
      <c r="J3" t="s">
        <v>25</v>
      </c>
      <c r="K3" t="s">
        <v>25</v>
      </c>
      <c r="L3" t="str">
        <f t="shared" ref="L3" si="0">_xlfn.CONCAT(F3,"-",G3,"-",I3,"-end-",B3)</f>
        <v>FG04-A1-4-end-45723</v>
      </c>
      <c r="M3" s="4"/>
    </row>
    <row r="4" spans="1:18" x14ac:dyDescent="0.3">
      <c r="A4" t="s">
        <v>36</v>
      </c>
      <c r="B4" s="1">
        <v>45723</v>
      </c>
      <c r="C4">
        <v>64679</v>
      </c>
      <c r="D4" t="s">
        <v>26</v>
      </c>
      <c r="F4" t="s">
        <v>23</v>
      </c>
      <c r="G4" t="s">
        <v>24</v>
      </c>
      <c r="I4">
        <v>4</v>
      </c>
      <c r="J4" t="s">
        <v>25</v>
      </c>
      <c r="K4" t="s">
        <v>25</v>
      </c>
      <c r="L4" t="str">
        <f>_xlfn.CONCAT(F4,"-",G4,"-",I4,"-end-",B4)</f>
        <v>FG04-A1-4-end-45723</v>
      </c>
      <c r="M4" s="4"/>
    </row>
    <row r="5" spans="1:18" x14ac:dyDescent="0.3">
      <c r="A5" t="s">
        <v>37</v>
      </c>
      <c r="B5" s="1">
        <v>45723</v>
      </c>
      <c r="C5">
        <v>37384</v>
      </c>
      <c r="D5" t="s">
        <v>26</v>
      </c>
      <c r="F5" t="s">
        <v>23</v>
      </c>
      <c r="G5" t="s">
        <v>24</v>
      </c>
      <c r="I5">
        <v>4</v>
      </c>
      <c r="J5" t="s">
        <v>25</v>
      </c>
      <c r="K5" t="s">
        <v>25</v>
      </c>
      <c r="L5" t="str">
        <f t="shared" ref="L5:L7" si="1">_xlfn.CONCAT(F5,"-",G5,"-",I5,"-start-",B5)</f>
        <v>FG04-A1-4-start-45723</v>
      </c>
      <c r="M5" s="4"/>
    </row>
    <row r="6" spans="1:18" x14ac:dyDescent="0.3">
      <c r="A6" t="s">
        <v>38</v>
      </c>
      <c r="B6" s="1">
        <v>45723</v>
      </c>
      <c r="C6">
        <v>37683</v>
      </c>
      <c r="D6" t="s">
        <v>26</v>
      </c>
      <c r="F6" t="s">
        <v>23</v>
      </c>
      <c r="G6" t="s">
        <v>24</v>
      </c>
      <c r="I6">
        <v>4</v>
      </c>
      <c r="J6" t="s">
        <v>25</v>
      </c>
      <c r="K6" t="s">
        <v>25</v>
      </c>
      <c r="L6" t="str">
        <f t="shared" si="1"/>
        <v>FG04-A1-4-start-45723</v>
      </c>
      <c r="M6" s="4"/>
    </row>
    <row r="7" spans="1:18" x14ac:dyDescent="0.3">
      <c r="A7" t="s">
        <v>39</v>
      </c>
      <c r="B7" s="1">
        <v>45723</v>
      </c>
      <c r="C7">
        <v>38139</v>
      </c>
      <c r="D7" t="s">
        <v>26</v>
      </c>
      <c r="F7" t="s">
        <v>23</v>
      </c>
      <c r="G7" t="s">
        <v>24</v>
      </c>
      <c r="I7">
        <v>4</v>
      </c>
      <c r="J7" t="s">
        <v>25</v>
      </c>
      <c r="K7" t="s">
        <v>25</v>
      </c>
      <c r="L7" t="str">
        <f t="shared" si="1"/>
        <v>FG04-A1-4-start-45723</v>
      </c>
      <c r="M7" s="4"/>
    </row>
    <row r="8" spans="1:18" s="5" customFormat="1" x14ac:dyDescent="0.3">
      <c r="A8" s="5" t="s">
        <v>40</v>
      </c>
      <c r="B8" s="7">
        <v>45723</v>
      </c>
      <c r="C8" s="5">
        <v>39065</v>
      </c>
      <c r="D8" s="7" t="s">
        <v>16</v>
      </c>
      <c r="F8" s="5" t="s">
        <v>66</v>
      </c>
      <c r="G8" s="5" t="s">
        <v>4</v>
      </c>
      <c r="H8" s="5" t="s">
        <v>2</v>
      </c>
      <c r="I8" s="5" t="s">
        <v>3</v>
      </c>
      <c r="J8" s="5" t="str">
        <f>_xlfn.CONCAT(F8,"_",G8)</f>
        <v>KL0910_c002</v>
      </c>
      <c r="K8" s="5" t="str">
        <f>_xlfn.CONCAT(J8,"_",H8)</f>
        <v>KL0910_c002_a1</v>
      </c>
      <c r="L8" s="5" t="str">
        <f>_xlfn.CONCAT(K8,"_",I8)</f>
        <v>KL0910_c002_a1_FIA</v>
      </c>
      <c r="M8" s="5" t="s">
        <v>341</v>
      </c>
      <c r="N8" s="5" t="s">
        <v>441</v>
      </c>
      <c r="R8" s="5" t="s">
        <v>467</v>
      </c>
    </row>
    <row r="9" spans="1:18" s="5" customFormat="1" x14ac:dyDescent="0.3">
      <c r="A9" s="5" t="s">
        <v>41</v>
      </c>
      <c r="B9" s="7">
        <v>45723</v>
      </c>
      <c r="C9" s="5">
        <v>39367</v>
      </c>
      <c r="D9" s="7" t="s">
        <v>16</v>
      </c>
      <c r="F9" s="5" t="s">
        <v>66</v>
      </c>
      <c r="G9" s="5" t="s">
        <v>4</v>
      </c>
      <c r="H9" s="5" t="s">
        <v>2</v>
      </c>
      <c r="I9" s="5" t="s">
        <v>5</v>
      </c>
      <c r="J9" s="5" t="str">
        <f t="shared" ref="J9:J33" si="2">_xlfn.CONCAT(F9,"_",G9)</f>
        <v>KL0910_c002</v>
      </c>
      <c r="K9" s="5" t="str">
        <f t="shared" ref="K9:L9" si="3">_xlfn.CONCAT(J9,"_",H9)</f>
        <v>KL0910_c002_a1</v>
      </c>
      <c r="L9" s="5" t="str">
        <f t="shared" si="3"/>
        <v>KL0910_c002_a1_FIB</v>
      </c>
      <c r="M9" s="5" t="s">
        <v>341</v>
      </c>
      <c r="R9" s="5" t="s">
        <v>467</v>
      </c>
    </row>
    <row r="10" spans="1:18" s="5" customFormat="1" x14ac:dyDescent="0.3">
      <c r="A10" s="5" t="s">
        <v>42</v>
      </c>
      <c r="B10" s="7">
        <v>45723</v>
      </c>
      <c r="C10" s="5">
        <v>39640</v>
      </c>
      <c r="D10" s="7" t="s">
        <v>16</v>
      </c>
      <c r="F10" s="5" t="s">
        <v>66</v>
      </c>
      <c r="G10" s="5" t="s">
        <v>4</v>
      </c>
      <c r="H10" s="5" t="s">
        <v>2</v>
      </c>
      <c r="I10" s="5" t="s">
        <v>7</v>
      </c>
      <c r="J10" s="5" t="str">
        <f t="shared" si="2"/>
        <v>KL0910_c002</v>
      </c>
      <c r="K10" s="5" t="str">
        <f t="shared" ref="K10:L10" si="4">_xlfn.CONCAT(J10,"_",H10)</f>
        <v>KL0910_c002_a1</v>
      </c>
      <c r="L10" s="5" t="str">
        <f t="shared" si="4"/>
        <v>KL0910_c002_a1_FIC</v>
      </c>
      <c r="M10" s="5" t="s">
        <v>341</v>
      </c>
      <c r="R10" s="5" t="s">
        <v>467</v>
      </c>
    </row>
    <row r="11" spans="1:18" s="5" customFormat="1" x14ac:dyDescent="0.3">
      <c r="A11" s="5" t="s">
        <v>43</v>
      </c>
      <c r="B11" s="7">
        <v>45723</v>
      </c>
      <c r="C11" s="5">
        <v>39910</v>
      </c>
      <c r="D11" s="7" t="s">
        <v>16</v>
      </c>
      <c r="F11" s="5" t="s">
        <v>66</v>
      </c>
      <c r="G11" s="5" t="s">
        <v>4</v>
      </c>
      <c r="H11" s="5" t="s">
        <v>2</v>
      </c>
      <c r="I11" s="5" t="s">
        <v>8</v>
      </c>
      <c r="J11" s="5" t="str">
        <f t="shared" si="2"/>
        <v>KL0910_c002</v>
      </c>
      <c r="K11" s="5" t="str">
        <f t="shared" ref="K11:L11" si="5">_xlfn.CONCAT(J11,"_",H11)</f>
        <v>KL0910_c002_a1</v>
      </c>
      <c r="L11" s="5" t="str">
        <f t="shared" si="5"/>
        <v>KL0910_c002_a1_FID</v>
      </c>
      <c r="M11" s="5" t="s">
        <v>341</v>
      </c>
      <c r="R11" s="5" t="s">
        <v>467</v>
      </c>
    </row>
    <row r="12" spans="1:18" s="5" customFormat="1" x14ac:dyDescent="0.3">
      <c r="A12" s="5" t="s">
        <v>44</v>
      </c>
      <c r="B12" s="7">
        <v>45723</v>
      </c>
      <c r="C12" s="5">
        <v>40316</v>
      </c>
      <c r="D12" s="7" t="s">
        <v>16</v>
      </c>
      <c r="F12" s="5" t="s">
        <v>66</v>
      </c>
      <c r="G12" s="5" t="s">
        <v>4</v>
      </c>
      <c r="H12" s="5" t="s">
        <v>2</v>
      </c>
      <c r="I12" s="5" t="s">
        <v>9</v>
      </c>
      <c r="J12" s="5" t="str">
        <f t="shared" si="2"/>
        <v>KL0910_c002</v>
      </c>
      <c r="K12" s="5" t="str">
        <f t="shared" ref="K12:L12" si="6">_xlfn.CONCAT(J12,"_",H12)</f>
        <v>KL0910_c002_a1</v>
      </c>
      <c r="L12" s="5" t="str">
        <f t="shared" si="6"/>
        <v>KL0910_c002_a1_FIE</v>
      </c>
      <c r="M12" s="5" t="s">
        <v>341</v>
      </c>
      <c r="R12" s="5" t="s">
        <v>467</v>
      </c>
    </row>
    <row r="13" spans="1:18" s="5" customFormat="1" x14ac:dyDescent="0.3">
      <c r="A13" s="5" t="s">
        <v>45</v>
      </c>
      <c r="B13" s="7">
        <v>45723</v>
      </c>
      <c r="C13" s="5">
        <v>42586</v>
      </c>
      <c r="D13" s="7" t="s">
        <v>16</v>
      </c>
      <c r="F13" s="5" t="s">
        <v>66</v>
      </c>
      <c r="G13" s="5" t="s">
        <v>4</v>
      </c>
      <c r="H13" s="5" t="s">
        <v>2</v>
      </c>
      <c r="I13" s="5" t="s">
        <v>67</v>
      </c>
      <c r="J13" s="5" t="str">
        <f t="shared" si="2"/>
        <v>KL0910_c002</v>
      </c>
      <c r="K13" s="5" t="str">
        <f t="shared" ref="K13:L13" si="7">_xlfn.CONCAT(J13,"_",H13)</f>
        <v>KL0910_c002_a1</v>
      </c>
      <c r="L13" s="5" t="str">
        <f t="shared" si="7"/>
        <v>KL0910_c002_a1_FIG</v>
      </c>
      <c r="M13" s="5" t="s">
        <v>341</v>
      </c>
      <c r="R13" s="5" t="s">
        <v>467</v>
      </c>
    </row>
    <row r="14" spans="1:18" s="5" customFormat="1" x14ac:dyDescent="0.3">
      <c r="A14" s="5" t="s">
        <v>46</v>
      </c>
      <c r="B14" s="7">
        <v>45723</v>
      </c>
      <c r="C14" s="5">
        <v>42924</v>
      </c>
      <c r="D14" s="7" t="s">
        <v>16</v>
      </c>
      <c r="F14" s="5" t="s">
        <v>66</v>
      </c>
      <c r="G14" s="5" t="s">
        <v>4</v>
      </c>
      <c r="H14" s="5" t="s">
        <v>2</v>
      </c>
      <c r="I14" s="5" t="s">
        <v>68</v>
      </c>
      <c r="J14" s="5" t="str">
        <f t="shared" si="2"/>
        <v>KL0910_c002</v>
      </c>
      <c r="K14" s="5" t="str">
        <f t="shared" ref="K14:L14" si="8">_xlfn.CONCAT(J14,"_",H14)</f>
        <v>KL0910_c002_a1</v>
      </c>
      <c r="L14" s="5" t="str">
        <f t="shared" si="8"/>
        <v>KL0910_c002_a1_FIH</v>
      </c>
      <c r="M14" s="5" t="s">
        <v>341</v>
      </c>
      <c r="R14" s="5" t="s">
        <v>467</v>
      </c>
    </row>
    <row r="15" spans="1:18" s="5" customFormat="1" x14ac:dyDescent="0.3">
      <c r="A15" s="5" t="s">
        <v>47</v>
      </c>
      <c r="B15" s="7">
        <v>45723</v>
      </c>
      <c r="C15" s="5">
        <v>45479</v>
      </c>
      <c r="D15" s="7" t="s">
        <v>16</v>
      </c>
      <c r="F15" s="5" t="s">
        <v>66</v>
      </c>
      <c r="G15" s="5" t="s">
        <v>4</v>
      </c>
      <c r="H15" s="5" t="s">
        <v>2</v>
      </c>
      <c r="I15" s="5" t="s">
        <v>68</v>
      </c>
      <c r="J15" s="5" t="str">
        <f t="shared" si="2"/>
        <v>KL0910_c002</v>
      </c>
      <c r="K15" s="5" t="str">
        <f t="shared" ref="K15:L15" si="9">_xlfn.CONCAT(J15,"_",H15)</f>
        <v>KL0910_c002_a1</v>
      </c>
      <c r="L15" s="5" t="str">
        <f t="shared" si="9"/>
        <v>KL0910_c002_a1_FIH</v>
      </c>
      <c r="M15" s="5" t="s">
        <v>341</v>
      </c>
      <c r="R15" s="5" t="s">
        <v>467</v>
      </c>
    </row>
    <row r="16" spans="1:18" s="5" customFormat="1" x14ac:dyDescent="0.3">
      <c r="A16" s="5" t="s">
        <v>48</v>
      </c>
      <c r="B16" s="7">
        <v>45723</v>
      </c>
      <c r="C16" s="5">
        <v>45853</v>
      </c>
      <c r="D16" s="7" t="s">
        <v>16</v>
      </c>
      <c r="F16" s="5" t="s">
        <v>66</v>
      </c>
      <c r="G16" s="5" t="s">
        <v>4</v>
      </c>
      <c r="H16" s="5" t="s">
        <v>2</v>
      </c>
      <c r="I16" s="5" t="s">
        <v>68</v>
      </c>
      <c r="J16" s="5" t="str">
        <f t="shared" si="2"/>
        <v>KL0910_c002</v>
      </c>
      <c r="K16" s="5" t="str">
        <f t="shared" ref="K16:L16" si="10">_xlfn.CONCAT(J16,"_",H16)</f>
        <v>KL0910_c002_a1</v>
      </c>
      <c r="L16" s="5" t="str">
        <f t="shared" si="10"/>
        <v>KL0910_c002_a1_FIH</v>
      </c>
      <c r="M16" s="5" t="s">
        <v>341</v>
      </c>
      <c r="R16" s="5" t="s">
        <v>467</v>
      </c>
    </row>
    <row r="17" spans="1:18" s="5" customFormat="1" x14ac:dyDescent="0.3">
      <c r="A17" s="5" t="s">
        <v>49</v>
      </c>
      <c r="B17" s="7">
        <v>45723</v>
      </c>
      <c r="C17" s="5">
        <v>46631</v>
      </c>
      <c r="D17" s="7" t="s">
        <v>16</v>
      </c>
      <c r="F17" s="5" t="s">
        <v>66</v>
      </c>
      <c r="G17" s="5" t="s">
        <v>6</v>
      </c>
      <c r="H17" s="5" t="s">
        <v>2</v>
      </c>
      <c r="I17" s="5" t="s">
        <v>3</v>
      </c>
      <c r="J17" s="5" t="str">
        <f t="shared" si="2"/>
        <v>KL0910_c003</v>
      </c>
      <c r="K17" s="5" t="str">
        <f t="shared" ref="K17:L17" si="11">_xlfn.CONCAT(J17,"_",H17)</f>
        <v>KL0910_c003_a1</v>
      </c>
      <c r="L17" s="5" t="str">
        <f t="shared" si="11"/>
        <v>KL0910_c003_a1_FIA</v>
      </c>
      <c r="M17" s="5" t="s">
        <v>342</v>
      </c>
      <c r="R17" s="5" t="s">
        <v>467</v>
      </c>
    </row>
    <row r="18" spans="1:18" s="5" customFormat="1" x14ac:dyDescent="0.3">
      <c r="A18" s="5" t="s">
        <v>50</v>
      </c>
      <c r="B18" s="7">
        <v>45723</v>
      </c>
      <c r="C18" s="5">
        <v>47111</v>
      </c>
      <c r="D18" s="7" t="s">
        <v>16</v>
      </c>
      <c r="F18" s="5" t="s">
        <v>66</v>
      </c>
      <c r="G18" s="5" t="s">
        <v>6</v>
      </c>
      <c r="H18" s="5" t="s">
        <v>2</v>
      </c>
      <c r="I18" s="5" t="s">
        <v>5</v>
      </c>
      <c r="J18" s="5" t="str">
        <f t="shared" si="2"/>
        <v>KL0910_c003</v>
      </c>
      <c r="K18" s="5" t="str">
        <f t="shared" ref="K18:L18" si="12">_xlfn.CONCAT(J18,"_",H18)</f>
        <v>KL0910_c003_a1</v>
      </c>
      <c r="L18" s="5" t="str">
        <f t="shared" si="12"/>
        <v>KL0910_c003_a1_FIB</v>
      </c>
      <c r="M18" s="5" t="s">
        <v>342</v>
      </c>
      <c r="R18" s="5" t="s">
        <v>467</v>
      </c>
    </row>
    <row r="19" spans="1:18" s="5" customFormat="1" x14ac:dyDescent="0.3">
      <c r="A19" s="5" t="s">
        <v>51</v>
      </c>
      <c r="B19" s="7">
        <v>45723</v>
      </c>
      <c r="C19" s="5">
        <v>47542</v>
      </c>
      <c r="D19" s="7" t="s">
        <v>16</v>
      </c>
      <c r="F19" s="5" t="s">
        <v>66</v>
      </c>
      <c r="G19" s="5" t="s">
        <v>6</v>
      </c>
      <c r="H19" s="5" t="s">
        <v>2</v>
      </c>
      <c r="I19" s="5" t="s">
        <v>7</v>
      </c>
      <c r="J19" s="5" t="str">
        <f t="shared" si="2"/>
        <v>KL0910_c003</v>
      </c>
      <c r="K19" s="5" t="str">
        <f t="shared" ref="K19:L19" si="13">_xlfn.CONCAT(J19,"_",H19)</f>
        <v>KL0910_c003_a1</v>
      </c>
      <c r="L19" s="5" t="str">
        <f t="shared" si="13"/>
        <v>KL0910_c003_a1_FIC</v>
      </c>
      <c r="M19" s="5" t="s">
        <v>342</v>
      </c>
      <c r="R19" s="5" t="s">
        <v>467</v>
      </c>
    </row>
    <row r="20" spans="1:18" s="5" customFormat="1" x14ac:dyDescent="0.3">
      <c r="A20" s="5" t="s">
        <v>52</v>
      </c>
      <c r="B20" s="7">
        <v>45723</v>
      </c>
      <c r="C20" s="5">
        <v>48608</v>
      </c>
      <c r="D20" s="7" t="s">
        <v>16</v>
      </c>
      <c r="F20" s="5" t="s">
        <v>66</v>
      </c>
      <c r="G20" s="5" t="s">
        <v>10</v>
      </c>
      <c r="H20" s="5" t="s">
        <v>2</v>
      </c>
      <c r="I20" s="5" t="s">
        <v>3</v>
      </c>
      <c r="J20" s="5" t="str">
        <f t="shared" si="2"/>
        <v>KL0910_c005</v>
      </c>
      <c r="K20" s="5" t="str">
        <f t="shared" ref="K20:L20" si="14">_xlfn.CONCAT(J20,"_",H20)</f>
        <v>KL0910_c005_a1</v>
      </c>
      <c r="L20" s="5" t="str">
        <f t="shared" si="14"/>
        <v>KL0910_c005_a1_FIA</v>
      </c>
      <c r="M20" s="5" t="s">
        <v>343</v>
      </c>
      <c r="R20" s="5" t="s">
        <v>467</v>
      </c>
    </row>
    <row r="21" spans="1:18" s="5" customFormat="1" x14ac:dyDescent="0.3">
      <c r="A21" s="5" t="s">
        <v>53</v>
      </c>
      <c r="B21" s="7">
        <v>45723</v>
      </c>
      <c r="C21" s="5">
        <v>50900</v>
      </c>
      <c r="D21" s="7" t="s">
        <v>16</v>
      </c>
      <c r="F21" s="5" t="s">
        <v>66</v>
      </c>
      <c r="G21" s="5" t="s">
        <v>10</v>
      </c>
      <c r="H21" s="5" t="s">
        <v>2</v>
      </c>
      <c r="I21" s="5" t="s">
        <v>5</v>
      </c>
      <c r="J21" s="5" t="str">
        <f t="shared" si="2"/>
        <v>KL0910_c005</v>
      </c>
      <c r="K21" s="5" t="str">
        <f t="shared" ref="K21:L21" si="15">_xlfn.CONCAT(J21,"_",H21)</f>
        <v>KL0910_c005_a1</v>
      </c>
      <c r="L21" s="5" t="str">
        <f t="shared" si="15"/>
        <v>KL0910_c005_a1_FIB</v>
      </c>
      <c r="M21" s="5" t="s">
        <v>343</v>
      </c>
      <c r="R21" s="5" t="s">
        <v>467</v>
      </c>
    </row>
    <row r="22" spans="1:18" s="5" customFormat="1" x14ac:dyDescent="0.3">
      <c r="A22" s="5" t="s">
        <v>54</v>
      </c>
      <c r="B22" s="7">
        <v>45723</v>
      </c>
      <c r="C22" s="5">
        <v>51217</v>
      </c>
      <c r="D22" s="7" t="s">
        <v>16</v>
      </c>
      <c r="F22" s="5" t="s">
        <v>66</v>
      </c>
      <c r="G22" s="5" t="s">
        <v>10</v>
      </c>
      <c r="H22" s="5" t="s">
        <v>2</v>
      </c>
      <c r="I22" s="5" t="s">
        <v>5</v>
      </c>
      <c r="J22" s="5" t="str">
        <f t="shared" si="2"/>
        <v>KL0910_c005</v>
      </c>
      <c r="K22" s="5" t="str">
        <f t="shared" ref="K22:L22" si="16">_xlfn.CONCAT(J22,"_",H22)</f>
        <v>KL0910_c005_a1</v>
      </c>
      <c r="L22" s="5" t="str">
        <f t="shared" si="16"/>
        <v>KL0910_c005_a1_FIB</v>
      </c>
      <c r="M22" s="5" t="s">
        <v>343</v>
      </c>
      <c r="R22" s="5" t="s">
        <v>467</v>
      </c>
    </row>
    <row r="23" spans="1:18" s="5" customFormat="1" x14ac:dyDescent="0.3">
      <c r="A23" s="5" t="s">
        <v>55</v>
      </c>
      <c r="B23" s="7">
        <v>45723</v>
      </c>
      <c r="C23" s="5">
        <v>51511</v>
      </c>
      <c r="D23" s="7" t="s">
        <v>16</v>
      </c>
      <c r="F23" s="5" t="s">
        <v>66</v>
      </c>
      <c r="G23" s="5" t="s">
        <v>10</v>
      </c>
      <c r="H23" s="5" t="s">
        <v>2</v>
      </c>
      <c r="I23" s="5" t="s">
        <v>5</v>
      </c>
      <c r="J23" s="5" t="str">
        <f t="shared" si="2"/>
        <v>KL0910_c005</v>
      </c>
      <c r="K23" s="5" t="str">
        <f t="shared" ref="K23:L23" si="17">_xlfn.CONCAT(J23,"_",H23)</f>
        <v>KL0910_c005_a1</v>
      </c>
      <c r="L23" s="5" t="str">
        <f t="shared" si="17"/>
        <v>KL0910_c005_a1_FIB</v>
      </c>
      <c r="M23" s="5" t="s">
        <v>343</v>
      </c>
      <c r="R23" s="5" t="s">
        <v>467</v>
      </c>
    </row>
    <row r="24" spans="1:18" s="5" customFormat="1" x14ac:dyDescent="0.3">
      <c r="A24" s="5" t="s">
        <v>56</v>
      </c>
      <c r="B24" s="7">
        <v>45723</v>
      </c>
      <c r="C24" s="5">
        <v>52515</v>
      </c>
      <c r="D24" s="7" t="s">
        <v>16</v>
      </c>
      <c r="F24" s="5" t="s">
        <v>66</v>
      </c>
      <c r="G24" s="5" t="s">
        <v>10</v>
      </c>
      <c r="H24" s="5" t="s">
        <v>2</v>
      </c>
      <c r="I24" s="5" t="s">
        <v>7</v>
      </c>
      <c r="J24" s="5" t="str">
        <f t="shared" si="2"/>
        <v>KL0910_c005</v>
      </c>
      <c r="K24" s="5" t="str">
        <f t="shared" ref="K24:L24" si="18">_xlfn.CONCAT(J24,"_",H24)</f>
        <v>KL0910_c005_a1</v>
      </c>
      <c r="L24" s="5" t="str">
        <f t="shared" si="18"/>
        <v>KL0910_c005_a1_FIC</v>
      </c>
      <c r="M24" s="5" t="s">
        <v>343</v>
      </c>
      <c r="R24" s="5" t="s">
        <v>467</v>
      </c>
    </row>
    <row r="25" spans="1:18" s="5" customFormat="1" x14ac:dyDescent="0.3">
      <c r="A25" s="5" t="s">
        <v>57</v>
      </c>
      <c r="B25" s="7">
        <v>45723</v>
      </c>
      <c r="C25" s="5">
        <v>52819</v>
      </c>
      <c r="D25" s="7" t="s">
        <v>16</v>
      </c>
      <c r="F25" s="5" t="s">
        <v>66</v>
      </c>
      <c r="G25" s="5" t="s">
        <v>10</v>
      </c>
      <c r="H25" s="5" t="s">
        <v>2</v>
      </c>
      <c r="I25" s="5" t="s">
        <v>8</v>
      </c>
      <c r="J25" s="5" t="str">
        <f t="shared" si="2"/>
        <v>KL0910_c005</v>
      </c>
      <c r="K25" s="5" t="str">
        <f t="shared" ref="K25:L25" si="19">_xlfn.CONCAT(J25,"_",H25)</f>
        <v>KL0910_c005_a1</v>
      </c>
      <c r="L25" s="5" t="str">
        <f t="shared" si="19"/>
        <v>KL0910_c005_a1_FID</v>
      </c>
      <c r="M25" s="5" t="s">
        <v>343</v>
      </c>
      <c r="R25" s="5" t="s">
        <v>467</v>
      </c>
    </row>
    <row r="26" spans="1:18" s="5" customFormat="1" x14ac:dyDescent="0.3">
      <c r="A26" s="5" t="s">
        <v>58</v>
      </c>
      <c r="B26" s="7">
        <v>45723</v>
      </c>
      <c r="C26" s="5">
        <v>53232</v>
      </c>
      <c r="D26" s="7" t="s">
        <v>16</v>
      </c>
      <c r="F26" s="5" t="s">
        <v>66</v>
      </c>
      <c r="G26" s="5" t="s">
        <v>10</v>
      </c>
      <c r="H26" s="5" t="s">
        <v>2</v>
      </c>
      <c r="I26" s="5" t="s">
        <v>9</v>
      </c>
      <c r="J26" s="5" t="str">
        <f t="shared" si="2"/>
        <v>KL0910_c005</v>
      </c>
      <c r="K26" s="5" t="str">
        <f t="shared" ref="K26:L26" si="20">_xlfn.CONCAT(J26,"_",H26)</f>
        <v>KL0910_c005_a1</v>
      </c>
      <c r="L26" s="5" t="str">
        <f t="shared" si="20"/>
        <v>KL0910_c005_a1_FIE</v>
      </c>
      <c r="M26" s="5" t="s">
        <v>343</v>
      </c>
      <c r="R26" s="5" t="s">
        <v>467</v>
      </c>
    </row>
    <row r="27" spans="1:18" s="5" customFormat="1" x14ac:dyDescent="0.3">
      <c r="A27" s="5" t="s">
        <v>59</v>
      </c>
      <c r="B27" s="7">
        <v>45723</v>
      </c>
      <c r="C27" s="5">
        <v>58020</v>
      </c>
      <c r="D27" s="7" t="s">
        <v>16</v>
      </c>
      <c r="F27" s="5" t="s">
        <v>66</v>
      </c>
      <c r="G27" s="5" t="s">
        <v>11</v>
      </c>
      <c r="H27" s="5" t="s">
        <v>2</v>
      </c>
      <c r="I27" s="5" t="s">
        <v>3</v>
      </c>
      <c r="J27" s="5" t="str">
        <f t="shared" si="2"/>
        <v>KL0910_c009</v>
      </c>
      <c r="K27" s="5" t="str">
        <f t="shared" ref="K27:L27" si="21">_xlfn.CONCAT(J27,"_",H27)</f>
        <v>KL0910_c009_a1</v>
      </c>
      <c r="L27" s="5" t="str">
        <f t="shared" si="21"/>
        <v>KL0910_c009_a1_FIA</v>
      </c>
      <c r="M27" s="5" t="s">
        <v>344</v>
      </c>
      <c r="R27" s="5" t="s">
        <v>467</v>
      </c>
    </row>
    <row r="28" spans="1:18" s="5" customFormat="1" x14ac:dyDescent="0.3">
      <c r="A28" s="5" t="s">
        <v>60</v>
      </c>
      <c r="B28" s="7">
        <v>45723</v>
      </c>
      <c r="C28" s="5">
        <v>57420</v>
      </c>
      <c r="D28" s="7" t="s">
        <v>16</v>
      </c>
      <c r="F28" s="5" t="s">
        <v>66</v>
      </c>
      <c r="G28" s="5" t="s">
        <v>12</v>
      </c>
      <c r="H28" s="5" t="s">
        <v>2</v>
      </c>
      <c r="I28" s="5" t="s">
        <v>3</v>
      </c>
      <c r="J28" s="5" t="str">
        <f t="shared" si="2"/>
        <v>KL0910_c010</v>
      </c>
      <c r="K28" s="5" t="str">
        <f t="shared" ref="K28:L28" si="22">_xlfn.CONCAT(J28,"_",H28)</f>
        <v>KL0910_c010_a1</v>
      </c>
      <c r="L28" s="5" t="str">
        <f t="shared" si="22"/>
        <v>KL0910_c010_a1_FIA</v>
      </c>
      <c r="M28" s="5" t="s">
        <v>345</v>
      </c>
      <c r="R28" s="5" t="s">
        <v>467</v>
      </c>
    </row>
    <row r="29" spans="1:18" s="5" customFormat="1" x14ac:dyDescent="0.3">
      <c r="A29" s="5" t="s">
        <v>61</v>
      </c>
      <c r="B29" s="7">
        <v>45723</v>
      </c>
      <c r="C29" s="5">
        <v>56012</v>
      </c>
      <c r="D29" s="7" t="s">
        <v>16</v>
      </c>
      <c r="F29" s="5" t="s">
        <v>66</v>
      </c>
      <c r="G29" s="5" t="s">
        <v>13</v>
      </c>
      <c r="H29" s="5" t="s">
        <v>2</v>
      </c>
      <c r="I29" s="5" t="s">
        <v>3</v>
      </c>
      <c r="J29" s="5" t="str">
        <f t="shared" si="2"/>
        <v>KL0910_c011</v>
      </c>
      <c r="K29" s="5" t="str">
        <f t="shared" ref="K29:L29" si="23">_xlfn.CONCAT(J29,"_",H29)</f>
        <v>KL0910_c011_a1</v>
      </c>
      <c r="L29" s="5" t="str">
        <f t="shared" si="23"/>
        <v>KL0910_c011_a1_FIA</v>
      </c>
      <c r="M29" s="5" t="s">
        <v>346</v>
      </c>
      <c r="R29" s="5" t="s">
        <v>467</v>
      </c>
    </row>
    <row r="30" spans="1:18" s="5" customFormat="1" x14ac:dyDescent="0.3">
      <c r="A30" s="5" t="s">
        <v>62</v>
      </c>
      <c r="B30" s="7">
        <v>45723</v>
      </c>
      <c r="C30" s="5">
        <v>54264</v>
      </c>
      <c r="D30" s="7" t="s">
        <v>16</v>
      </c>
      <c r="F30" s="5" t="s">
        <v>66</v>
      </c>
      <c r="G30" s="5" t="s">
        <v>13</v>
      </c>
      <c r="H30" s="5" t="s">
        <v>2</v>
      </c>
      <c r="I30" s="5" t="s">
        <v>5</v>
      </c>
      <c r="J30" s="5" t="str">
        <f t="shared" si="2"/>
        <v>KL0910_c011</v>
      </c>
      <c r="K30" s="5" t="str">
        <f t="shared" ref="K30:L30" si="24">_xlfn.CONCAT(J30,"_",H30)</f>
        <v>KL0910_c011_a1</v>
      </c>
      <c r="L30" s="5" t="str">
        <f t="shared" si="24"/>
        <v>KL0910_c011_a1_FIB</v>
      </c>
      <c r="M30" s="5" t="s">
        <v>346</v>
      </c>
      <c r="R30" s="5" t="s">
        <v>467</v>
      </c>
    </row>
    <row r="31" spans="1:18" s="5" customFormat="1" x14ac:dyDescent="0.3">
      <c r="A31" s="5" t="s">
        <v>63</v>
      </c>
      <c r="B31" s="7">
        <v>45723</v>
      </c>
      <c r="C31" s="5">
        <v>61565</v>
      </c>
      <c r="D31" s="7" t="s">
        <v>16</v>
      </c>
      <c r="F31" s="5" t="s">
        <v>66</v>
      </c>
      <c r="G31" s="5" t="s">
        <v>69</v>
      </c>
      <c r="H31" s="5" t="s">
        <v>2</v>
      </c>
      <c r="I31" s="5" t="s">
        <v>3</v>
      </c>
      <c r="J31" s="5" t="str">
        <f t="shared" si="2"/>
        <v>KL0910_c015</v>
      </c>
      <c r="K31" s="5" t="str">
        <f t="shared" ref="K31:L31" si="25">_xlfn.CONCAT(J31,"_",H31)</f>
        <v>KL0910_c015_a1</v>
      </c>
      <c r="L31" s="5" t="str">
        <f t="shared" si="25"/>
        <v>KL0910_c015_a1_FIA</v>
      </c>
      <c r="M31" s="5" t="s">
        <v>347</v>
      </c>
      <c r="R31" s="5" t="s">
        <v>467</v>
      </c>
    </row>
    <row r="32" spans="1:18" s="5" customFormat="1" x14ac:dyDescent="0.3">
      <c r="A32" s="5" t="s">
        <v>64</v>
      </c>
      <c r="B32" s="7">
        <v>45723</v>
      </c>
      <c r="C32" s="5">
        <v>62606</v>
      </c>
      <c r="D32" s="7" t="s">
        <v>16</v>
      </c>
      <c r="F32" s="5" t="s">
        <v>66</v>
      </c>
      <c r="G32" s="5" t="s">
        <v>70</v>
      </c>
      <c r="H32" s="5" t="s">
        <v>2</v>
      </c>
      <c r="I32" s="5" t="s">
        <v>3</v>
      </c>
      <c r="J32" s="5" t="str">
        <f t="shared" si="2"/>
        <v>KL0910_c016(1)</v>
      </c>
      <c r="K32" s="5" t="str">
        <f t="shared" ref="K32:L32" si="26">_xlfn.CONCAT(J32,"_",H32)</f>
        <v>KL0910_c016(1)_a1</v>
      </c>
      <c r="L32" s="5" t="str">
        <f t="shared" si="26"/>
        <v>KL0910_c016(1)_a1_FIA</v>
      </c>
      <c r="M32" s="5" t="s">
        <v>348</v>
      </c>
      <c r="R32" s="5" t="s">
        <v>467</v>
      </c>
    </row>
    <row r="33" spans="1:18" s="5" customFormat="1" x14ac:dyDescent="0.3">
      <c r="A33" s="5" t="s">
        <v>65</v>
      </c>
      <c r="B33" s="7">
        <v>45723</v>
      </c>
      <c r="C33" s="5">
        <v>63189</v>
      </c>
      <c r="D33" s="7" t="s">
        <v>16</v>
      </c>
      <c r="F33" s="5" t="s">
        <v>66</v>
      </c>
      <c r="G33" s="5" t="s">
        <v>71</v>
      </c>
      <c r="H33" s="5" t="s">
        <v>2</v>
      </c>
      <c r="I33" s="5" t="s">
        <v>3</v>
      </c>
      <c r="J33" s="5" t="str">
        <f t="shared" si="2"/>
        <v>KL0910_c016(2)</v>
      </c>
      <c r="K33" s="5" t="str">
        <f t="shared" ref="K33:L33" si="27">_xlfn.CONCAT(J33,"_",H33)</f>
        <v>KL0910_c016(2)_a1</v>
      </c>
      <c r="L33" s="5" t="str">
        <f t="shared" si="27"/>
        <v>KL0910_c016(2)_a1_FIA</v>
      </c>
      <c r="M33" s="5" t="s">
        <v>349</v>
      </c>
      <c r="R33" s="5" t="s">
        <v>467</v>
      </c>
    </row>
    <row r="34" spans="1:18" x14ac:dyDescent="0.3">
      <c r="A34" t="s">
        <v>72</v>
      </c>
      <c r="B34" s="1">
        <v>45733</v>
      </c>
      <c r="C34">
        <v>40079</v>
      </c>
      <c r="D34" s="1" t="s">
        <v>26</v>
      </c>
      <c r="F34" t="s">
        <v>23</v>
      </c>
      <c r="G34" t="s">
        <v>24</v>
      </c>
      <c r="I34">
        <v>4</v>
      </c>
      <c r="J34" t="s">
        <v>25</v>
      </c>
      <c r="K34" t="s">
        <v>25</v>
      </c>
      <c r="L34" t="str">
        <f>_xlfn.CONCAT(F34,"-",G34,"-",I34,"-end-",B34)</f>
        <v>FG04-A1-4-end-45733</v>
      </c>
    </row>
    <row r="35" spans="1:18" x14ac:dyDescent="0.3">
      <c r="A35" t="s">
        <v>73</v>
      </c>
      <c r="B35" s="1">
        <v>45733</v>
      </c>
      <c r="C35">
        <v>40640</v>
      </c>
      <c r="D35" s="1" t="s">
        <v>26</v>
      </c>
      <c r="F35" t="s">
        <v>23</v>
      </c>
      <c r="G35" t="s">
        <v>24</v>
      </c>
      <c r="I35">
        <v>4</v>
      </c>
      <c r="J35" t="s">
        <v>25</v>
      </c>
      <c r="K35" t="s">
        <v>25</v>
      </c>
      <c r="L35" t="str">
        <f t="shared" ref="L35:L36" si="28">_xlfn.CONCAT(F35,"-",G35,"-",I35,"-end-",B35)</f>
        <v>FG04-A1-4-end-45733</v>
      </c>
    </row>
    <row r="36" spans="1:18" x14ac:dyDescent="0.3">
      <c r="A36" t="s">
        <v>74</v>
      </c>
      <c r="B36" s="1">
        <v>45733</v>
      </c>
      <c r="C36">
        <v>40941</v>
      </c>
      <c r="D36" s="1" t="s">
        <v>26</v>
      </c>
      <c r="F36" t="s">
        <v>23</v>
      </c>
      <c r="G36" t="s">
        <v>24</v>
      </c>
      <c r="I36">
        <v>4</v>
      </c>
      <c r="J36" t="s">
        <v>25</v>
      </c>
      <c r="K36" t="s">
        <v>25</v>
      </c>
      <c r="L36" t="str">
        <f t="shared" si="28"/>
        <v>FG04-A1-4-end-45733</v>
      </c>
    </row>
    <row r="37" spans="1:18" s="5" customFormat="1" x14ac:dyDescent="0.3">
      <c r="A37" s="5" t="s">
        <v>75</v>
      </c>
      <c r="B37" s="7">
        <v>45733</v>
      </c>
      <c r="C37" s="5">
        <v>64305</v>
      </c>
      <c r="F37" s="5" t="s">
        <v>131</v>
      </c>
      <c r="G37" s="5" t="s">
        <v>132</v>
      </c>
      <c r="H37" s="5" t="s">
        <v>2</v>
      </c>
      <c r="I37" s="5" t="s">
        <v>3</v>
      </c>
      <c r="J37" s="5" t="str">
        <f t="shared" ref="J37" si="29">_xlfn.CONCAT(F37,"_",G37)</f>
        <v>KL0908_c052</v>
      </c>
      <c r="K37" s="5" t="str">
        <f t="shared" ref="K37" si="30">_xlfn.CONCAT(J37,"_",H37)</f>
        <v>KL0908_c052_a1</v>
      </c>
      <c r="L37" s="5" t="str">
        <f t="shared" ref="L37" si="31">_xlfn.CONCAT(K37,"_",I37)</f>
        <v>KL0908_c052_a1_FIA</v>
      </c>
      <c r="M37" s="5" t="s">
        <v>359</v>
      </c>
      <c r="R37" s="5" t="s">
        <v>467</v>
      </c>
    </row>
    <row r="38" spans="1:18" s="5" customFormat="1" x14ac:dyDescent="0.3">
      <c r="A38" s="5" t="s">
        <v>76</v>
      </c>
      <c r="B38" s="7">
        <v>45733</v>
      </c>
      <c r="C38" s="5">
        <v>63895</v>
      </c>
      <c r="F38" s="5" t="s">
        <v>131</v>
      </c>
      <c r="G38" s="5" t="s">
        <v>132</v>
      </c>
      <c r="H38" s="5" t="s">
        <v>133</v>
      </c>
      <c r="I38" s="5" t="s">
        <v>7</v>
      </c>
      <c r="J38" s="5" t="str">
        <f t="shared" ref="J38:J55" si="32">_xlfn.CONCAT(F38,"_",G38)</f>
        <v>KL0908_c052</v>
      </c>
      <c r="K38" s="5" t="str">
        <f t="shared" ref="K38:K55" si="33">_xlfn.CONCAT(J38,"_",H38)</f>
        <v>KL0908_c052_a2</v>
      </c>
      <c r="L38" s="5" t="str">
        <f t="shared" ref="L38:L55" si="34">_xlfn.CONCAT(K38,"_",I38)</f>
        <v>KL0908_c052_a2_FIC</v>
      </c>
      <c r="R38" s="5" t="s">
        <v>467</v>
      </c>
    </row>
    <row r="39" spans="1:18" s="5" customFormat="1" x14ac:dyDescent="0.3">
      <c r="A39" s="5" t="s">
        <v>77</v>
      </c>
      <c r="B39" s="7">
        <v>45733</v>
      </c>
      <c r="C39" s="5">
        <v>63148</v>
      </c>
      <c r="F39" s="5" t="s">
        <v>131</v>
      </c>
      <c r="G39" s="5" t="s">
        <v>134</v>
      </c>
      <c r="H39" s="5" t="s">
        <v>2</v>
      </c>
      <c r="I39" s="5" t="s">
        <v>3</v>
      </c>
      <c r="J39" s="5" t="str">
        <f t="shared" si="32"/>
        <v>KL0908_c054</v>
      </c>
      <c r="K39" s="5" t="str">
        <f t="shared" si="33"/>
        <v>KL0908_c054_a1</v>
      </c>
      <c r="L39" s="5" t="str">
        <f t="shared" si="34"/>
        <v>KL0908_c054_a1_FIA</v>
      </c>
      <c r="M39" s="5" t="s">
        <v>360</v>
      </c>
      <c r="R39" s="5" t="s">
        <v>467</v>
      </c>
    </row>
    <row r="40" spans="1:18" s="5" customFormat="1" x14ac:dyDescent="0.3">
      <c r="A40" s="5" t="s">
        <v>78</v>
      </c>
      <c r="B40" s="7">
        <v>45733</v>
      </c>
      <c r="C40" s="5">
        <v>62716</v>
      </c>
      <c r="F40" s="5" t="s">
        <v>131</v>
      </c>
      <c r="G40" s="5" t="s">
        <v>135</v>
      </c>
      <c r="H40" s="5" t="s">
        <v>2</v>
      </c>
      <c r="I40" s="5" t="s">
        <v>3</v>
      </c>
      <c r="J40" s="5" t="str">
        <f t="shared" si="32"/>
        <v>KL0908_c056(1)</v>
      </c>
      <c r="K40" s="5" t="str">
        <f t="shared" si="33"/>
        <v>KL0908_c056(1)_a1</v>
      </c>
      <c r="L40" s="5" t="str">
        <f t="shared" si="34"/>
        <v>KL0908_c056(1)_a1_FIA</v>
      </c>
      <c r="M40" s="5" t="s">
        <v>361</v>
      </c>
      <c r="R40" s="5" t="s">
        <v>467</v>
      </c>
    </row>
    <row r="41" spans="1:18" s="5" customFormat="1" x14ac:dyDescent="0.3">
      <c r="A41" s="5" t="s">
        <v>79</v>
      </c>
      <c r="B41" s="7">
        <v>45733</v>
      </c>
      <c r="C41" s="5">
        <v>60309</v>
      </c>
      <c r="F41" s="5" t="s">
        <v>131</v>
      </c>
      <c r="G41" s="5" t="s">
        <v>136</v>
      </c>
      <c r="H41" s="5" t="s">
        <v>2</v>
      </c>
      <c r="I41" s="5" t="s">
        <v>3</v>
      </c>
      <c r="J41" s="5" t="str">
        <f t="shared" si="32"/>
        <v>KL0908_c058</v>
      </c>
      <c r="K41" s="5" t="str">
        <f t="shared" si="33"/>
        <v>KL0908_c058_a1</v>
      </c>
      <c r="L41" s="5" t="str">
        <f t="shared" si="34"/>
        <v>KL0908_c058_a1_FIA</v>
      </c>
      <c r="M41" s="5" t="s">
        <v>362</v>
      </c>
      <c r="R41" s="5" t="s">
        <v>467</v>
      </c>
    </row>
    <row r="42" spans="1:18" s="5" customFormat="1" x14ac:dyDescent="0.3">
      <c r="A42" s="5" t="s">
        <v>80</v>
      </c>
      <c r="B42" s="7">
        <v>45733</v>
      </c>
      <c r="C42" s="5">
        <v>58947</v>
      </c>
      <c r="F42" s="5" t="s">
        <v>131</v>
      </c>
      <c r="G42" s="5" t="s">
        <v>137</v>
      </c>
      <c r="H42" s="5" t="s">
        <v>2</v>
      </c>
      <c r="I42" s="5" t="s">
        <v>3</v>
      </c>
      <c r="J42" s="5" t="str">
        <f t="shared" si="32"/>
        <v>KL0908_c060</v>
      </c>
      <c r="K42" s="5" t="str">
        <f t="shared" si="33"/>
        <v>KL0908_c060_a1</v>
      </c>
      <c r="L42" s="5" t="str">
        <f>_xlfn.CONCAT(K42,"_",I42)</f>
        <v>KL0908_c060_a1_FIA</v>
      </c>
      <c r="M42" s="5" t="s">
        <v>445</v>
      </c>
      <c r="R42" s="5" t="s">
        <v>467</v>
      </c>
    </row>
    <row r="43" spans="1:18" s="5" customFormat="1" x14ac:dyDescent="0.3">
      <c r="A43" s="5" t="s">
        <v>81</v>
      </c>
      <c r="B43" s="7">
        <v>45733</v>
      </c>
      <c r="C43" s="5">
        <v>59459</v>
      </c>
      <c r="F43" s="5" t="s">
        <v>131</v>
      </c>
      <c r="G43" s="5" t="s">
        <v>137</v>
      </c>
      <c r="H43" s="5" t="s">
        <v>2</v>
      </c>
      <c r="I43" s="5" t="s">
        <v>5</v>
      </c>
      <c r="J43" s="5" t="str">
        <f t="shared" si="32"/>
        <v>KL0908_c060</v>
      </c>
      <c r="K43" s="5" t="str">
        <f t="shared" si="33"/>
        <v>KL0908_c060_a1</v>
      </c>
      <c r="L43" s="5" t="str">
        <f t="shared" si="34"/>
        <v>KL0908_c060_a1_FIB</v>
      </c>
      <c r="M43" s="5" t="s">
        <v>445</v>
      </c>
      <c r="R43" s="5" t="s">
        <v>467</v>
      </c>
    </row>
    <row r="44" spans="1:18" s="5" customFormat="1" x14ac:dyDescent="0.3">
      <c r="A44" s="5" t="s">
        <v>82</v>
      </c>
      <c r="B44" s="7">
        <v>45733</v>
      </c>
      <c r="C44" s="5">
        <v>59750</v>
      </c>
      <c r="F44" s="5" t="s">
        <v>131</v>
      </c>
      <c r="G44" s="5" t="s">
        <v>137</v>
      </c>
      <c r="H44" s="5" t="s">
        <v>2</v>
      </c>
      <c r="I44" s="5" t="s">
        <v>7</v>
      </c>
      <c r="J44" s="5" t="str">
        <f t="shared" si="32"/>
        <v>KL0908_c060</v>
      </c>
      <c r="K44" s="5" t="str">
        <f t="shared" si="33"/>
        <v>KL0908_c060_a1</v>
      </c>
      <c r="L44" s="5" t="str">
        <f t="shared" si="34"/>
        <v>KL0908_c060_a1_FIC</v>
      </c>
      <c r="M44" s="5" t="s">
        <v>445</v>
      </c>
      <c r="R44" s="5" t="s">
        <v>467</v>
      </c>
    </row>
    <row r="45" spans="1:18" s="5" customFormat="1" x14ac:dyDescent="0.3">
      <c r="A45" s="5" t="s">
        <v>83</v>
      </c>
      <c r="B45" s="7">
        <v>45733</v>
      </c>
      <c r="C45" s="5">
        <v>58055</v>
      </c>
      <c r="F45" s="5" t="s">
        <v>131</v>
      </c>
      <c r="G45" s="5" t="s">
        <v>138</v>
      </c>
      <c r="H45" s="5" t="s">
        <v>2</v>
      </c>
      <c r="I45" s="5" t="s">
        <v>3</v>
      </c>
      <c r="J45" s="5" t="str">
        <f t="shared" si="32"/>
        <v>KL0908_c067</v>
      </c>
      <c r="K45" s="5" t="str">
        <f t="shared" si="33"/>
        <v>KL0908_c067_a1</v>
      </c>
      <c r="L45" s="5" t="str">
        <f t="shared" si="34"/>
        <v>KL0908_c067_a1_FIA</v>
      </c>
      <c r="M45" s="5" t="s">
        <v>363</v>
      </c>
      <c r="R45" s="5" t="s">
        <v>467</v>
      </c>
    </row>
    <row r="46" spans="1:18" s="5" customFormat="1" x14ac:dyDescent="0.3">
      <c r="A46" s="5" t="s">
        <v>84</v>
      </c>
      <c r="B46" s="7">
        <v>45733</v>
      </c>
      <c r="C46" s="5">
        <v>55980</v>
      </c>
      <c r="F46" s="5" t="s">
        <v>131</v>
      </c>
      <c r="G46" s="5" t="s">
        <v>139</v>
      </c>
      <c r="H46" s="5" t="s">
        <v>2</v>
      </c>
      <c r="I46" s="5" t="s">
        <v>3</v>
      </c>
      <c r="J46" s="5" t="str">
        <f t="shared" si="32"/>
        <v>KL0908_c072</v>
      </c>
      <c r="K46" s="5" t="str">
        <f t="shared" si="33"/>
        <v>KL0908_c072_a1</v>
      </c>
      <c r="L46" s="5" t="str">
        <f t="shared" si="34"/>
        <v>KL0908_c072_a1_FIA</v>
      </c>
      <c r="M46" s="5" t="s">
        <v>364</v>
      </c>
      <c r="R46" s="5" t="s">
        <v>467</v>
      </c>
    </row>
    <row r="47" spans="1:18" s="5" customFormat="1" x14ac:dyDescent="0.3">
      <c r="A47" s="5" t="s">
        <v>85</v>
      </c>
      <c r="B47" s="7">
        <v>45733</v>
      </c>
      <c r="C47" s="5">
        <v>56354</v>
      </c>
      <c r="F47" s="5" t="s">
        <v>131</v>
      </c>
      <c r="G47" s="5" t="s">
        <v>139</v>
      </c>
      <c r="H47" s="5" t="s">
        <v>2</v>
      </c>
      <c r="I47" s="5" t="s">
        <v>5</v>
      </c>
      <c r="J47" s="5" t="str">
        <f t="shared" si="32"/>
        <v>KL0908_c072</v>
      </c>
      <c r="K47" s="5" t="str">
        <f t="shared" si="33"/>
        <v>KL0908_c072_a1</v>
      </c>
      <c r="L47" s="5" t="str">
        <f t="shared" si="34"/>
        <v>KL0908_c072_a1_FIB</v>
      </c>
      <c r="M47" s="5" t="s">
        <v>364</v>
      </c>
      <c r="R47" s="5" t="s">
        <v>467</v>
      </c>
    </row>
    <row r="48" spans="1:18" s="5" customFormat="1" x14ac:dyDescent="0.3">
      <c r="A48" s="5" t="s">
        <v>86</v>
      </c>
      <c r="B48" s="7">
        <v>45733</v>
      </c>
      <c r="C48" s="5">
        <v>44820</v>
      </c>
      <c r="F48" s="5" t="s">
        <v>66</v>
      </c>
      <c r="G48" s="5" t="s">
        <v>140</v>
      </c>
      <c r="H48" s="5" t="s">
        <v>2</v>
      </c>
      <c r="I48" s="5" t="s">
        <v>3</v>
      </c>
      <c r="J48" s="5" t="str">
        <f t="shared" si="32"/>
        <v>KL0910_c018</v>
      </c>
      <c r="K48" s="5" t="str">
        <f t="shared" si="33"/>
        <v>KL0910_c018_a1</v>
      </c>
      <c r="L48" s="5" t="str">
        <f t="shared" si="34"/>
        <v>KL0910_c018_a1_FIA</v>
      </c>
      <c r="M48" s="5" t="s">
        <v>350</v>
      </c>
      <c r="R48" s="5" t="s">
        <v>467</v>
      </c>
    </row>
    <row r="49" spans="1:18" s="5" customFormat="1" x14ac:dyDescent="0.3">
      <c r="A49" s="5" t="s">
        <v>87</v>
      </c>
      <c r="B49" s="7">
        <v>45733</v>
      </c>
      <c r="C49" s="5">
        <v>45352</v>
      </c>
      <c r="F49" s="5" t="s">
        <v>66</v>
      </c>
      <c r="G49" s="5" t="s">
        <v>140</v>
      </c>
      <c r="H49" s="5" t="s">
        <v>2</v>
      </c>
      <c r="I49" s="5" t="s">
        <v>3</v>
      </c>
      <c r="J49" s="5" t="str">
        <f t="shared" si="32"/>
        <v>KL0910_c018</v>
      </c>
      <c r="K49" s="5" t="str">
        <f t="shared" si="33"/>
        <v>KL0910_c018_a1</v>
      </c>
      <c r="L49" s="5" t="str">
        <f t="shared" si="34"/>
        <v>KL0910_c018_a1_FIA</v>
      </c>
      <c r="M49" s="5" t="s">
        <v>350</v>
      </c>
      <c r="R49" s="5" t="s">
        <v>467</v>
      </c>
    </row>
    <row r="50" spans="1:18" s="5" customFormat="1" x14ac:dyDescent="0.3">
      <c r="A50" s="5" t="s">
        <v>88</v>
      </c>
      <c r="B50" s="7">
        <v>45733</v>
      </c>
      <c r="C50" s="5">
        <v>45834</v>
      </c>
      <c r="F50" s="5" t="s">
        <v>66</v>
      </c>
      <c r="G50" s="5" t="s">
        <v>140</v>
      </c>
      <c r="H50" s="5" t="s">
        <v>2</v>
      </c>
      <c r="I50" s="5" t="s">
        <v>3</v>
      </c>
      <c r="J50" s="5" t="str">
        <f t="shared" si="32"/>
        <v>KL0910_c018</v>
      </c>
      <c r="K50" s="5" t="str">
        <f t="shared" si="33"/>
        <v>KL0910_c018_a1</v>
      </c>
      <c r="L50" s="5" t="str">
        <f t="shared" si="34"/>
        <v>KL0910_c018_a1_FIA</v>
      </c>
      <c r="M50" s="5" t="s">
        <v>350</v>
      </c>
      <c r="R50" s="5" t="s">
        <v>467</v>
      </c>
    </row>
    <row r="51" spans="1:18" s="5" customFormat="1" x14ac:dyDescent="0.3">
      <c r="A51" s="5" t="s">
        <v>89</v>
      </c>
      <c r="B51" s="7">
        <v>45733</v>
      </c>
      <c r="C51" s="5">
        <v>46966</v>
      </c>
      <c r="F51" s="5" t="s">
        <v>66</v>
      </c>
      <c r="G51" s="5" t="s">
        <v>141</v>
      </c>
      <c r="H51" s="5" t="s">
        <v>2</v>
      </c>
      <c r="I51" s="5" t="s">
        <v>3</v>
      </c>
      <c r="J51" s="5" t="str">
        <f t="shared" si="32"/>
        <v>KL0910_c029</v>
      </c>
      <c r="K51" s="5" t="str">
        <f t="shared" si="33"/>
        <v>KL0910_c029_a1</v>
      </c>
      <c r="L51" s="5" t="str">
        <f t="shared" si="34"/>
        <v>KL0910_c029_a1_FIA</v>
      </c>
      <c r="M51" s="5" t="s">
        <v>351</v>
      </c>
      <c r="R51" s="5" t="s">
        <v>467</v>
      </c>
    </row>
    <row r="52" spans="1:18" s="5" customFormat="1" x14ac:dyDescent="0.3">
      <c r="A52" s="5" t="s">
        <v>90</v>
      </c>
      <c r="B52" s="7">
        <v>45733</v>
      </c>
      <c r="C52" s="5">
        <v>47592</v>
      </c>
      <c r="F52" s="5" t="s">
        <v>66</v>
      </c>
      <c r="G52" s="5" t="s">
        <v>142</v>
      </c>
      <c r="H52" s="5" t="s">
        <v>2</v>
      </c>
      <c r="I52" s="5" t="s">
        <v>3</v>
      </c>
      <c r="J52" s="5" t="str">
        <f t="shared" si="32"/>
        <v>KL0910_c030</v>
      </c>
      <c r="K52" s="5" t="str">
        <f t="shared" si="33"/>
        <v>KL0910_c030_a1</v>
      </c>
      <c r="L52" s="5" t="str">
        <f t="shared" si="34"/>
        <v>KL0910_c030_a1_FIA</v>
      </c>
      <c r="M52" s="5" t="s">
        <v>352</v>
      </c>
      <c r="R52" s="5" t="s">
        <v>467</v>
      </c>
    </row>
    <row r="53" spans="1:18" s="5" customFormat="1" x14ac:dyDescent="0.3">
      <c r="A53" s="5" t="s">
        <v>91</v>
      </c>
      <c r="B53" s="7">
        <v>45733</v>
      </c>
      <c r="C53" s="5">
        <v>48262</v>
      </c>
      <c r="F53" s="5" t="s">
        <v>66</v>
      </c>
      <c r="G53" s="5" t="s">
        <v>143</v>
      </c>
      <c r="H53" s="5" t="s">
        <v>2</v>
      </c>
      <c r="I53" s="5" t="s">
        <v>3</v>
      </c>
      <c r="J53" s="5" t="str">
        <f t="shared" si="32"/>
        <v>KL0910_c031</v>
      </c>
      <c r="K53" s="5" t="str">
        <f t="shared" si="33"/>
        <v>KL0910_c031_a1</v>
      </c>
      <c r="L53" s="5" t="str">
        <f t="shared" si="34"/>
        <v>KL0910_c031_a1_FIA</v>
      </c>
      <c r="M53" s="5" t="s">
        <v>353</v>
      </c>
      <c r="R53" s="5" t="s">
        <v>467</v>
      </c>
    </row>
    <row r="54" spans="1:18" s="5" customFormat="1" x14ac:dyDescent="0.3">
      <c r="A54" s="5" t="s">
        <v>92</v>
      </c>
      <c r="B54" s="7">
        <v>45733</v>
      </c>
      <c r="C54" s="5">
        <v>51503</v>
      </c>
      <c r="F54" s="5" t="s">
        <v>66</v>
      </c>
      <c r="G54" s="5" t="s">
        <v>144</v>
      </c>
      <c r="H54" s="5" t="s">
        <v>2</v>
      </c>
      <c r="I54" s="5" t="s">
        <v>3</v>
      </c>
      <c r="J54" s="5" t="str">
        <f t="shared" si="32"/>
        <v>KL0910_c032</v>
      </c>
      <c r="K54" s="5" t="str">
        <f t="shared" si="33"/>
        <v>KL0910_c032_a1</v>
      </c>
      <c r="L54" s="5" t="str">
        <f t="shared" si="34"/>
        <v>KL0910_c032_a1_FIA</v>
      </c>
      <c r="M54" s="5" t="s">
        <v>354</v>
      </c>
      <c r="R54" s="5" t="s">
        <v>467</v>
      </c>
    </row>
    <row r="55" spans="1:18" s="5" customFormat="1" x14ac:dyDescent="0.3">
      <c r="A55" s="5" t="s">
        <v>93</v>
      </c>
      <c r="B55" s="7">
        <v>45733</v>
      </c>
      <c r="C55" s="5">
        <v>52385</v>
      </c>
      <c r="F55" s="5" t="s">
        <v>66</v>
      </c>
      <c r="G55" s="5" t="s">
        <v>145</v>
      </c>
      <c r="H55" s="5" t="s">
        <v>2</v>
      </c>
      <c r="I55" s="5" t="s">
        <v>3</v>
      </c>
      <c r="J55" s="5" t="str">
        <f t="shared" si="32"/>
        <v>KL0910_c034</v>
      </c>
      <c r="K55" s="5" t="str">
        <f t="shared" si="33"/>
        <v>KL0910_c034_a1</v>
      </c>
      <c r="L55" s="5" t="str">
        <f t="shared" si="34"/>
        <v>KL0910_c034_a1_FIA</v>
      </c>
      <c r="M55" s="5" t="s">
        <v>355</v>
      </c>
      <c r="R55" s="5" t="s">
        <v>467</v>
      </c>
    </row>
    <row r="56" spans="1:18" x14ac:dyDescent="0.3">
      <c r="A56" t="s">
        <v>94</v>
      </c>
      <c r="B56" s="1">
        <v>45734</v>
      </c>
      <c r="C56">
        <v>65078</v>
      </c>
      <c r="D56" s="1" t="s">
        <v>26</v>
      </c>
      <c r="F56" t="s">
        <v>23</v>
      </c>
      <c r="G56" t="s">
        <v>24</v>
      </c>
      <c r="I56">
        <v>4</v>
      </c>
      <c r="J56" t="s">
        <v>25</v>
      </c>
      <c r="K56" t="s">
        <v>25</v>
      </c>
      <c r="L56" t="str">
        <f t="shared" ref="L56:L59" si="35">_xlfn.CONCAT(F56,"-",G56,"-",I56,"-end-",B56)</f>
        <v>FG04-A1-4-end-45734</v>
      </c>
    </row>
    <row r="57" spans="1:18" x14ac:dyDescent="0.3">
      <c r="A57" t="s">
        <v>95</v>
      </c>
      <c r="B57" s="1">
        <v>45734</v>
      </c>
      <c r="C57">
        <v>65324</v>
      </c>
      <c r="D57" s="1" t="s">
        <v>26</v>
      </c>
      <c r="F57" t="s">
        <v>23</v>
      </c>
      <c r="G57" t="s">
        <v>24</v>
      </c>
      <c r="I57">
        <v>4</v>
      </c>
      <c r="J57" t="s">
        <v>25</v>
      </c>
      <c r="K57" t="s">
        <v>25</v>
      </c>
      <c r="L57" t="str">
        <f t="shared" si="35"/>
        <v>FG04-A1-4-end-45734</v>
      </c>
    </row>
    <row r="58" spans="1:18" x14ac:dyDescent="0.3">
      <c r="A58" t="s">
        <v>72</v>
      </c>
      <c r="B58" s="1">
        <v>45734</v>
      </c>
      <c r="C58">
        <v>39010</v>
      </c>
      <c r="D58" s="1" t="s">
        <v>26</v>
      </c>
      <c r="F58" t="s">
        <v>23</v>
      </c>
      <c r="G58" t="s">
        <v>24</v>
      </c>
      <c r="I58">
        <v>4</v>
      </c>
      <c r="J58" t="s">
        <v>25</v>
      </c>
      <c r="K58" t="s">
        <v>25</v>
      </c>
      <c r="L58" t="str">
        <f t="shared" si="35"/>
        <v>FG04-A1-4-end-45734</v>
      </c>
    </row>
    <row r="59" spans="1:18" x14ac:dyDescent="0.3">
      <c r="A59" t="s">
        <v>73</v>
      </c>
      <c r="B59" s="1">
        <v>45734</v>
      </c>
      <c r="C59">
        <v>39302</v>
      </c>
      <c r="D59" s="1" t="s">
        <v>26</v>
      </c>
      <c r="F59" t="s">
        <v>23</v>
      </c>
      <c r="G59" t="s">
        <v>24</v>
      </c>
      <c r="I59">
        <v>4</v>
      </c>
      <c r="J59" t="s">
        <v>25</v>
      </c>
      <c r="K59" t="s">
        <v>25</v>
      </c>
      <c r="L59" t="str">
        <f t="shared" si="35"/>
        <v>FG04-A1-4-end-45734</v>
      </c>
    </row>
    <row r="60" spans="1:18" x14ac:dyDescent="0.3">
      <c r="A60" t="s">
        <v>74</v>
      </c>
      <c r="B60" s="1">
        <v>45734</v>
      </c>
      <c r="C60">
        <v>39615</v>
      </c>
      <c r="D60" s="1" t="s">
        <v>26</v>
      </c>
      <c r="F60" t="s">
        <v>23</v>
      </c>
      <c r="G60" t="s">
        <v>24</v>
      </c>
      <c r="I60">
        <v>4</v>
      </c>
      <c r="J60" t="s">
        <v>25</v>
      </c>
      <c r="K60" t="s">
        <v>25</v>
      </c>
      <c r="L60" t="str">
        <f t="shared" ref="L60" si="36">_xlfn.CONCAT(F60,"-",G60,"-",I60,"-end-",B60)</f>
        <v>FG04-A1-4-end-45734</v>
      </c>
    </row>
    <row r="61" spans="1:18" s="5" customFormat="1" x14ac:dyDescent="0.3">
      <c r="A61" s="5" t="s">
        <v>96</v>
      </c>
      <c r="B61" s="7">
        <v>45734</v>
      </c>
      <c r="C61" s="5">
        <v>44777</v>
      </c>
      <c r="F61" s="5" t="s">
        <v>66</v>
      </c>
      <c r="G61" s="5" t="s">
        <v>146</v>
      </c>
      <c r="H61" s="5" t="s">
        <v>2</v>
      </c>
      <c r="I61" s="5" t="s">
        <v>3</v>
      </c>
      <c r="J61" s="5" t="str">
        <f t="shared" ref="J61" si="37">_xlfn.CONCAT(F61,"_",G61)</f>
        <v>KL0910_c000</v>
      </c>
      <c r="K61" s="5" t="str">
        <f t="shared" ref="K61" si="38">_xlfn.CONCAT(J61,"_",H61)</f>
        <v>KL0910_c000_a1</v>
      </c>
      <c r="L61" s="5" t="str">
        <f t="shared" ref="L61" si="39">_xlfn.CONCAT(K61,"_",I61)</f>
        <v>KL0910_c000_a1_FIA</v>
      </c>
      <c r="M61" s="5" t="s">
        <v>440</v>
      </c>
      <c r="R61" s="5" t="s">
        <v>467</v>
      </c>
    </row>
    <row r="62" spans="1:18" s="5" customFormat="1" x14ac:dyDescent="0.3">
      <c r="A62" s="5" t="s">
        <v>97</v>
      </c>
      <c r="B62" s="7">
        <v>45734</v>
      </c>
      <c r="C62" s="5">
        <v>46255</v>
      </c>
      <c r="F62" s="5" t="s">
        <v>66</v>
      </c>
      <c r="G62" s="5" t="s">
        <v>147</v>
      </c>
      <c r="H62" s="5" t="s">
        <v>2</v>
      </c>
      <c r="I62" s="5" t="s">
        <v>3</v>
      </c>
      <c r="J62" s="5" t="str">
        <f t="shared" ref="J62:J73" si="40">_xlfn.CONCAT(F62,"_",G62)</f>
        <v>KL0910_c036</v>
      </c>
      <c r="K62" s="5" t="str">
        <f t="shared" ref="K62:K73" si="41">_xlfn.CONCAT(J62,"_",H62)</f>
        <v>KL0910_c036_a1</v>
      </c>
      <c r="L62" s="5" t="str">
        <f t="shared" ref="L62:L73" si="42">_xlfn.CONCAT(K62,"_",I62)</f>
        <v>KL0910_c036_a1_FIA</v>
      </c>
      <c r="M62" s="5" t="s">
        <v>356</v>
      </c>
      <c r="R62" s="5" t="s">
        <v>467</v>
      </c>
    </row>
    <row r="63" spans="1:18" s="5" customFormat="1" x14ac:dyDescent="0.3">
      <c r="A63" s="5" t="s">
        <v>98</v>
      </c>
      <c r="B63" s="7">
        <v>45734</v>
      </c>
      <c r="C63" s="5">
        <v>46523</v>
      </c>
      <c r="F63" s="5" t="s">
        <v>66</v>
      </c>
      <c r="G63" s="5" t="s">
        <v>147</v>
      </c>
      <c r="H63" s="5" t="s">
        <v>2</v>
      </c>
      <c r="I63" s="5" t="s">
        <v>5</v>
      </c>
      <c r="J63" s="5" t="str">
        <f t="shared" si="40"/>
        <v>KL0910_c036</v>
      </c>
      <c r="K63" s="5" t="str">
        <f t="shared" si="41"/>
        <v>KL0910_c036_a1</v>
      </c>
      <c r="L63" s="5" t="str">
        <f t="shared" si="42"/>
        <v>KL0910_c036_a1_FIB</v>
      </c>
      <c r="M63" s="5" t="s">
        <v>357</v>
      </c>
      <c r="R63" s="5" t="s">
        <v>467</v>
      </c>
    </row>
    <row r="64" spans="1:18" s="5" customFormat="1" x14ac:dyDescent="0.3">
      <c r="A64" s="5" t="s">
        <v>99</v>
      </c>
      <c r="B64" s="7">
        <v>45734</v>
      </c>
      <c r="C64" s="5">
        <v>45424</v>
      </c>
      <c r="F64" s="5" t="s">
        <v>66</v>
      </c>
      <c r="G64" s="5" t="s">
        <v>148</v>
      </c>
      <c r="H64" s="5" t="s">
        <v>2</v>
      </c>
      <c r="I64" s="5" t="s">
        <v>3</v>
      </c>
      <c r="J64" s="5" t="str">
        <f t="shared" si="40"/>
        <v>KL0910_c047</v>
      </c>
      <c r="K64" s="5" t="str">
        <f t="shared" si="41"/>
        <v>KL0910_c047_a1</v>
      </c>
      <c r="L64" s="5" t="str">
        <f t="shared" si="42"/>
        <v>KL0910_c047_a1_FIA</v>
      </c>
      <c r="M64" s="5" t="s">
        <v>358</v>
      </c>
      <c r="R64" s="5" t="s">
        <v>467</v>
      </c>
    </row>
    <row r="65" spans="1:18" s="5" customFormat="1" x14ac:dyDescent="0.3">
      <c r="A65" s="5" t="s">
        <v>100</v>
      </c>
      <c r="B65" s="7">
        <v>45734</v>
      </c>
      <c r="C65" s="5">
        <v>45900</v>
      </c>
      <c r="F65" s="5" t="s">
        <v>66</v>
      </c>
      <c r="G65" s="5" t="s">
        <v>148</v>
      </c>
      <c r="H65" s="5" t="s">
        <v>2</v>
      </c>
      <c r="I65" s="5" t="s">
        <v>5</v>
      </c>
      <c r="J65" s="5" t="str">
        <f t="shared" si="40"/>
        <v>KL0910_c047</v>
      </c>
      <c r="K65" s="5" t="str">
        <f t="shared" si="41"/>
        <v>KL0910_c047_a1</v>
      </c>
      <c r="L65" s="5" t="str">
        <f t="shared" si="42"/>
        <v>KL0910_c047_a1_FIB</v>
      </c>
      <c r="M65" s="5" t="s">
        <v>358</v>
      </c>
      <c r="R65" s="5" t="s">
        <v>467</v>
      </c>
    </row>
    <row r="66" spans="1:18" s="5" customFormat="1" x14ac:dyDescent="0.3">
      <c r="A66" s="5" t="s">
        <v>101</v>
      </c>
      <c r="B66" s="7">
        <v>45734</v>
      </c>
      <c r="C66" s="5">
        <v>58960</v>
      </c>
      <c r="F66" s="5" t="s">
        <v>149</v>
      </c>
      <c r="G66" s="5" t="s">
        <v>150</v>
      </c>
      <c r="H66" s="5" t="s">
        <v>2</v>
      </c>
      <c r="I66" s="5" t="s">
        <v>3</v>
      </c>
      <c r="J66" s="5" t="str">
        <f t="shared" si="40"/>
        <v>KL0916_c051(1)</v>
      </c>
      <c r="K66" s="5" t="str">
        <f t="shared" si="41"/>
        <v>KL0916_c051(1)_a1</v>
      </c>
      <c r="L66" s="5" t="str">
        <f t="shared" si="42"/>
        <v>KL0916_c051(1)_a1_FIA</v>
      </c>
      <c r="M66" s="5" t="s">
        <v>365</v>
      </c>
      <c r="R66" s="5" t="s">
        <v>467</v>
      </c>
    </row>
    <row r="67" spans="1:18" s="5" customFormat="1" x14ac:dyDescent="0.3">
      <c r="A67" s="5" t="s">
        <v>102</v>
      </c>
      <c r="B67" s="7">
        <v>45734</v>
      </c>
      <c r="C67" s="5">
        <v>58623</v>
      </c>
      <c r="F67" s="5" t="s">
        <v>149</v>
      </c>
      <c r="G67" s="5" t="s">
        <v>151</v>
      </c>
      <c r="H67" s="5" t="s">
        <v>2</v>
      </c>
      <c r="I67" s="5" t="s">
        <v>3</v>
      </c>
      <c r="J67" s="5" t="str">
        <f t="shared" si="40"/>
        <v>KL0916_c053</v>
      </c>
      <c r="K67" s="5" t="str">
        <f t="shared" si="41"/>
        <v>KL0916_c053_a1</v>
      </c>
      <c r="L67" s="5" t="str">
        <f t="shared" si="42"/>
        <v>KL0916_c053_a1_FIA</v>
      </c>
      <c r="M67" s="5" t="s">
        <v>387</v>
      </c>
      <c r="N67" s="5" t="s">
        <v>444</v>
      </c>
      <c r="R67" s="5" t="s">
        <v>467</v>
      </c>
    </row>
    <row r="68" spans="1:18" s="5" customFormat="1" x14ac:dyDescent="0.3">
      <c r="A68" s="5" t="s">
        <v>103</v>
      </c>
      <c r="B68" s="7">
        <v>45734</v>
      </c>
      <c r="C68" s="5">
        <v>57554</v>
      </c>
      <c r="F68" s="5" t="s">
        <v>149</v>
      </c>
      <c r="G68" s="5" t="s">
        <v>152</v>
      </c>
      <c r="H68" s="5" t="s">
        <v>2</v>
      </c>
      <c r="I68" s="5" t="s">
        <v>5</v>
      </c>
      <c r="J68" s="5" t="str">
        <f t="shared" si="40"/>
        <v>KL0916_c057</v>
      </c>
      <c r="K68" s="5" t="str">
        <f t="shared" si="41"/>
        <v>KL0916_c057_a1</v>
      </c>
      <c r="L68" s="5" t="str">
        <f t="shared" si="42"/>
        <v>KL0916_c057_a1_FIB</v>
      </c>
      <c r="M68" s="5" t="s">
        <v>366</v>
      </c>
      <c r="R68" s="5" t="s">
        <v>467</v>
      </c>
    </row>
    <row r="69" spans="1:18" s="5" customFormat="1" x14ac:dyDescent="0.3">
      <c r="A69" s="5" t="s">
        <v>104</v>
      </c>
      <c r="B69" s="7">
        <v>45734</v>
      </c>
      <c r="C69" s="5">
        <v>56764</v>
      </c>
      <c r="F69" s="5" t="s">
        <v>149</v>
      </c>
      <c r="G69" s="5" t="s">
        <v>152</v>
      </c>
      <c r="H69" s="5" t="s">
        <v>2</v>
      </c>
      <c r="I69" s="5" t="s">
        <v>5</v>
      </c>
      <c r="J69" s="5" t="str">
        <f t="shared" si="40"/>
        <v>KL0916_c057</v>
      </c>
      <c r="K69" s="5" t="str">
        <f t="shared" si="41"/>
        <v>KL0916_c057_a1</v>
      </c>
      <c r="L69" s="5" t="str">
        <f t="shared" si="42"/>
        <v>KL0916_c057_a1_FIB</v>
      </c>
      <c r="M69" s="5" t="s">
        <v>366</v>
      </c>
      <c r="R69" s="5" t="s">
        <v>467</v>
      </c>
    </row>
    <row r="70" spans="1:18" s="5" customFormat="1" x14ac:dyDescent="0.3">
      <c r="A70" s="5" t="s">
        <v>105</v>
      </c>
      <c r="B70" s="7">
        <v>45734</v>
      </c>
      <c r="C70" s="5">
        <v>57063</v>
      </c>
      <c r="F70" s="5" t="s">
        <v>149</v>
      </c>
      <c r="G70" s="5" t="s">
        <v>152</v>
      </c>
      <c r="H70" s="5" t="s">
        <v>2</v>
      </c>
      <c r="I70" s="5" t="s">
        <v>5</v>
      </c>
      <c r="J70" s="5" t="str">
        <f t="shared" si="40"/>
        <v>KL0916_c057</v>
      </c>
      <c r="K70" s="5" t="str">
        <f t="shared" si="41"/>
        <v>KL0916_c057_a1</v>
      </c>
      <c r="L70" s="5" t="str">
        <f t="shared" si="42"/>
        <v>KL0916_c057_a1_FIB</v>
      </c>
      <c r="M70" s="5" t="s">
        <v>366</v>
      </c>
      <c r="R70" s="5" t="s">
        <v>467</v>
      </c>
    </row>
    <row r="71" spans="1:18" s="5" customFormat="1" x14ac:dyDescent="0.3">
      <c r="A71" s="5" t="s">
        <v>106</v>
      </c>
      <c r="B71" s="7">
        <v>45734</v>
      </c>
      <c r="C71" s="5">
        <v>60547</v>
      </c>
      <c r="F71" s="5" t="s">
        <v>149</v>
      </c>
      <c r="G71" s="5" t="s">
        <v>136</v>
      </c>
      <c r="H71" s="5" t="s">
        <v>2</v>
      </c>
      <c r="I71" s="5" t="s">
        <v>3</v>
      </c>
      <c r="J71" s="5" t="str">
        <f t="shared" si="40"/>
        <v>KL0916_c058</v>
      </c>
      <c r="K71" s="5" t="str">
        <f t="shared" si="41"/>
        <v>KL0916_c058_a1</v>
      </c>
      <c r="L71" s="5" t="str">
        <f t="shared" si="42"/>
        <v>KL0916_c058_a1_FIA</v>
      </c>
      <c r="M71" s="5" t="s">
        <v>367</v>
      </c>
      <c r="R71" s="5" t="s">
        <v>467</v>
      </c>
    </row>
    <row r="72" spans="1:18" s="5" customFormat="1" x14ac:dyDescent="0.3">
      <c r="A72" s="5" t="s">
        <v>107</v>
      </c>
      <c r="B72" s="7">
        <v>45734</v>
      </c>
      <c r="C72" s="5">
        <v>62355</v>
      </c>
      <c r="F72" s="5" t="s">
        <v>149</v>
      </c>
      <c r="G72" s="5" t="s">
        <v>153</v>
      </c>
      <c r="H72" s="5" t="s">
        <v>2</v>
      </c>
      <c r="I72" s="5" t="s">
        <v>3</v>
      </c>
      <c r="J72" s="5" t="str">
        <f t="shared" si="40"/>
        <v>KL0916_c059</v>
      </c>
      <c r="K72" s="5" t="str">
        <f t="shared" si="41"/>
        <v>KL0916_c059_a1</v>
      </c>
      <c r="L72" s="5" t="str">
        <f t="shared" si="42"/>
        <v>KL0916_c059_a1_FIA</v>
      </c>
      <c r="M72" s="5" t="s">
        <v>368</v>
      </c>
      <c r="R72" s="5" t="s">
        <v>467</v>
      </c>
    </row>
    <row r="73" spans="1:18" s="5" customFormat="1" x14ac:dyDescent="0.3">
      <c r="A73" s="5" t="s">
        <v>108</v>
      </c>
      <c r="B73" s="7">
        <v>45734</v>
      </c>
      <c r="C73" s="5">
        <v>62981</v>
      </c>
      <c r="F73" s="5" t="s">
        <v>149</v>
      </c>
      <c r="G73" s="5" t="s">
        <v>154</v>
      </c>
      <c r="H73" s="5" t="s">
        <v>2</v>
      </c>
      <c r="I73" s="5" t="s">
        <v>3</v>
      </c>
      <c r="J73" s="5" t="str">
        <f t="shared" si="40"/>
        <v>KL0916_c064</v>
      </c>
      <c r="K73" s="5" t="str">
        <f t="shared" si="41"/>
        <v>KL0916_c064_a1</v>
      </c>
      <c r="L73" s="5" t="str">
        <f t="shared" si="42"/>
        <v>KL0916_c064_a1_FIA</v>
      </c>
      <c r="M73" s="5" t="s">
        <v>369</v>
      </c>
      <c r="R73" s="5" t="s">
        <v>467</v>
      </c>
    </row>
    <row r="74" spans="1:18" x14ac:dyDescent="0.3">
      <c r="A74" t="s">
        <v>109</v>
      </c>
      <c r="B74" s="1">
        <v>45736</v>
      </c>
      <c r="C74">
        <v>63034</v>
      </c>
      <c r="D74" s="1" t="s">
        <v>26</v>
      </c>
      <c r="F74" t="s">
        <v>23</v>
      </c>
      <c r="G74" t="s">
        <v>24</v>
      </c>
      <c r="I74">
        <v>1</v>
      </c>
      <c r="J74" t="s">
        <v>25</v>
      </c>
      <c r="K74" t="s">
        <v>25</v>
      </c>
      <c r="L74" t="str">
        <f>_xlfn.CONCAT(F74,"-",G74,"-",I74,"-evening-",B74)</f>
        <v>FG04-A1-1-evening-45736</v>
      </c>
    </row>
    <row r="75" spans="1:18" x14ac:dyDescent="0.3">
      <c r="A75" t="s">
        <v>110</v>
      </c>
      <c r="B75" s="1">
        <v>45736</v>
      </c>
      <c r="C75">
        <v>39423</v>
      </c>
      <c r="D75" s="1" t="s">
        <v>26</v>
      </c>
      <c r="F75" t="s">
        <v>23</v>
      </c>
      <c r="G75" t="s">
        <v>24</v>
      </c>
      <c r="I75">
        <v>1</v>
      </c>
      <c r="J75" t="s">
        <v>25</v>
      </c>
      <c r="K75" t="s">
        <v>25</v>
      </c>
      <c r="L75" t="str">
        <f>_xlfn.CONCAT(F75,"-",G75,"-",I75,"-morning-",B75)</f>
        <v>FG04-A1-1-morning-45736</v>
      </c>
    </row>
    <row r="76" spans="1:18" x14ac:dyDescent="0.3">
      <c r="A76" t="s">
        <v>111</v>
      </c>
      <c r="B76" s="1">
        <v>45736</v>
      </c>
      <c r="C76">
        <v>62754</v>
      </c>
      <c r="D76" s="1" t="s">
        <v>26</v>
      </c>
      <c r="F76" t="s">
        <v>23</v>
      </c>
      <c r="G76" t="s">
        <v>24</v>
      </c>
      <c r="I76">
        <v>4</v>
      </c>
      <c r="J76" t="s">
        <v>25</v>
      </c>
      <c r="K76" t="s">
        <v>25</v>
      </c>
      <c r="L76" t="str">
        <f>_xlfn.CONCAT(F76,"-",G76,"-",I76,"-evening-",B76)</f>
        <v>FG04-A1-4-evening-45736</v>
      </c>
    </row>
    <row r="77" spans="1:18" x14ac:dyDescent="0.3">
      <c r="A77" t="s">
        <v>112</v>
      </c>
      <c r="B77" s="1">
        <v>45736</v>
      </c>
      <c r="C77">
        <v>38786</v>
      </c>
      <c r="D77" s="1" t="s">
        <v>26</v>
      </c>
      <c r="F77" t="s">
        <v>23</v>
      </c>
      <c r="G77" t="s">
        <v>24</v>
      </c>
      <c r="I77">
        <v>4</v>
      </c>
      <c r="J77" t="s">
        <v>25</v>
      </c>
      <c r="K77" t="s">
        <v>25</v>
      </c>
      <c r="L77" t="str">
        <f>_xlfn.CONCAT(F77,"-",G77,"-",I77,"-morning-",B77)</f>
        <v>FG04-A1-4-morning-45736</v>
      </c>
    </row>
    <row r="78" spans="1:18" x14ac:dyDescent="0.3">
      <c r="A78" t="s">
        <v>113</v>
      </c>
      <c r="B78" s="1">
        <v>45736</v>
      </c>
      <c r="C78">
        <v>63620</v>
      </c>
      <c r="D78" s="1" t="s">
        <v>26</v>
      </c>
      <c r="F78" t="s">
        <v>168</v>
      </c>
      <c r="G78">
        <v>101</v>
      </c>
      <c r="I78" t="s">
        <v>169</v>
      </c>
      <c r="J78" t="s">
        <v>170</v>
      </c>
      <c r="K78" t="s">
        <v>170</v>
      </c>
      <c r="L78" t="str">
        <f>_xlfn.CONCAT(F78,"-",G78,"-",I78,"-evening-",B78)</f>
        <v>FG19-101-A-evening-45736</v>
      </c>
    </row>
    <row r="79" spans="1:18" x14ac:dyDescent="0.3">
      <c r="A79" t="s">
        <v>114</v>
      </c>
      <c r="B79" s="1">
        <v>45736</v>
      </c>
      <c r="C79">
        <v>43941</v>
      </c>
      <c r="D79" s="1" t="s">
        <v>26</v>
      </c>
      <c r="F79" t="s">
        <v>168</v>
      </c>
      <c r="G79">
        <v>101</v>
      </c>
      <c r="I79" t="s">
        <v>169</v>
      </c>
      <c r="J79" t="s">
        <v>170</v>
      </c>
      <c r="K79" t="s">
        <v>170</v>
      </c>
      <c r="L79" t="str">
        <f>_xlfn.CONCAT(F79,"-",G79,"-",I79,"-morning-",B79)</f>
        <v>FG19-101-A-morning-45736</v>
      </c>
    </row>
    <row r="80" spans="1:18" x14ac:dyDescent="0.3">
      <c r="A80" t="s">
        <v>115</v>
      </c>
      <c r="B80" s="1">
        <v>45736</v>
      </c>
      <c r="C80">
        <v>64031</v>
      </c>
      <c r="D80" s="1" t="s">
        <v>26</v>
      </c>
      <c r="F80" t="s">
        <v>168</v>
      </c>
      <c r="G80">
        <v>101</v>
      </c>
      <c r="I80" t="s">
        <v>169</v>
      </c>
      <c r="J80" t="s">
        <v>170</v>
      </c>
      <c r="K80" t="s">
        <v>170</v>
      </c>
      <c r="L80" t="str">
        <f>_xlfn.CONCAT(F80,"-",G80,"-",I80,"-evening-",B80)</f>
        <v>FG19-101-A-evening-45736</v>
      </c>
    </row>
    <row r="81" spans="1:18" x14ac:dyDescent="0.3">
      <c r="A81" t="s">
        <v>116</v>
      </c>
      <c r="B81" s="1">
        <v>45736</v>
      </c>
      <c r="C81">
        <v>43256</v>
      </c>
      <c r="D81" s="1" t="s">
        <v>26</v>
      </c>
      <c r="F81" t="s">
        <v>168</v>
      </c>
      <c r="G81">
        <v>101</v>
      </c>
      <c r="I81" t="s">
        <v>169</v>
      </c>
      <c r="J81" t="s">
        <v>170</v>
      </c>
      <c r="K81" t="s">
        <v>170</v>
      </c>
      <c r="L81" t="str">
        <f>_xlfn.CONCAT(F81,"-",G81,"-",I81,"-morning-",B81)</f>
        <v>FG19-101-A-morning-45736</v>
      </c>
    </row>
    <row r="82" spans="1:18" x14ac:dyDescent="0.3">
      <c r="A82" t="s">
        <v>117</v>
      </c>
      <c r="B82" s="1">
        <v>45736</v>
      </c>
      <c r="C82">
        <v>61521</v>
      </c>
      <c r="F82" t="s">
        <v>131</v>
      </c>
      <c r="G82" t="s">
        <v>155</v>
      </c>
      <c r="H82" t="s">
        <v>2</v>
      </c>
      <c r="I82" t="s">
        <v>3</v>
      </c>
      <c r="J82" t="str">
        <f t="shared" ref="J82" si="43">_xlfn.CONCAT(F82,"_",G82)</f>
        <v>KL0908_c168</v>
      </c>
      <c r="K82" t="str">
        <f t="shared" ref="K82" si="44">_xlfn.CONCAT(J82,"_",H82)</f>
        <v>KL0908_c168_a1</v>
      </c>
      <c r="L82" t="str">
        <f t="shared" ref="L82" si="45">_xlfn.CONCAT(K82,"_",I82)</f>
        <v>KL0908_c168_a1_FIA</v>
      </c>
      <c r="M82" t="s">
        <v>378</v>
      </c>
      <c r="O82" t="s">
        <v>469</v>
      </c>
      <c r="P82">
        <v>63</v>
      </c>
      <c r="R82" t="s">
        <v>470</v>
      </c>
    </row>
    <row r="83" spans="1:18" x14ac:dyDescent="0.3">
      <c r="A83" t="s">
        <v>118</v>
      </c>
      <c r="B83" s="1">
        <v>45736</v>
      </c>
      <c r="C83">
        <v>54935</v>
      </c>
      <c r="F83" t="s">
        <v>156</v>
      </c>
      <c r="G83" t="s">
        <v>157</v>
      </c>
      <c r="H83" t="s">
        <v>2</v>
      </c>
      <c r="I83" t="s">
        <v>3</v>
      </c>
      <c r="J83" t="str">
        <f t="shared" ref="J83:J95" si="46">_xlfn.CONCAT(F83,"_",G83)</f>
        <v>KL0909_c153</v>
      </c>
      <c r="K83" t="str">
        <f t="shared" ref="K83:K95" si="47">_xlfn.CONCAT(J83,"_",H83)</f>
        <v>KL0909_c153_a1</v>
      </c>
      <c r="L83" t="str">
        <f t="shared" ref="L83:L95" si="48">_xlfn.CONCAT(K83,"_",I83)</f>
        <v>KL0909_c153_a1_FIA</v>
      </c>
      <c r="M83" t="s">
        <v>375</v>
      </c>
      <c r="O83" t="s">
        <v>471</v>
      </c>
      <c r="P83">
        <v>75</v>
      </c>
      <c r="R83" t="s">
        <v>472</v>
      </c>
    </row>
    <row r="84" spans="1:18" s="5" customFormat="1" x14ac:dyDescent="0.3">
      <c r="A84" s="5" t="s">
        <v>119</v>
      </c>
      <c r="B84" s="7">
        <v>45736</v>
      </c>
      <c r="C84" s="5">
        <v>46128</v>
      </c>
      <c r="F84" s="5" t="s">
        <v>149</v>
      </c>
      <c r="G84" s="5" t="s">
        <v>158</v>
      </c>
      <c r="H84" s="5" t="s">
        <v>2</v>
      </c>
      <c r="I84" s="5" t="s">
        <v>3</v>
      </c>
      <c r="J84" s="5" t="str">
        <f t="shared" si="46"/>
        <v>KL0916_c068</v>
      </c>
      <c r="K84" s="5" t="str">
        <f t="shared" si="47"/>
        <v>KL0916_c068_a1</v>
      </c>
      <c r="L84" s="5" t="str">
        <f t="shared" si="48"/>
        <v>KL0916_c068_a1_FIA</v>
      </c>
      <c r="M84" s="5" t="s">
        <v>370</v>
      </c>
    </row>
    <row r="85" spans="1:18" s="5" customFormat="1" x14ac:dyDescent="0.3">
      <c r="A85" s="5" t="s">
        <v>120</v>
      </c>
      <c r="B85" s="7">
        <v>45736</v>
      </c>
      <c r="C85" s="5">
        <v>46479</v>
      </c>
      <c r="F85" s="5" t="s">
        <v>149</v>
      </c>
      <c r="G85" s="5" t="s">
        <v>159</v>
      </c>
      <c r="H85" s="5" t="s">
        <v>2</v>
      </c>
      <c r="I85" s="5" t="s">
        <v>3</v>
      </c>
      <c r="J85" s="5" t="str">
        <f t="shared" si="46"/>
        <v>KL0916_c069</v>
      </c>
      <c r="K85" s="5" t="str">
        <f t="shared" si="47"/>
        <v>KL0916_c069_a1</v>
      </c>
      <c r="L85" s="5" t="str">
        <f t="shared" si="48"/>
        <v>KL0916_c069_a1_FIA</v>
      </c>
      <c r="M85" s="5" t="s">
        <v>371</v>
      </c>
    </row>
    <row r="86" spans="1:18" s="5" customFormat="1" x14ac:dyDescent="0.3">
      <c r="A86" s="5" t="s">
        <v>121</v>
      </c>
      <c r="B86" s="7">
        <v>45736</v>
      </c>
      <c r="C86" s="5">
        <v>46759</v>
      </c>
      <c r="F86" s="5" t="s">
        <v>149</v>
      </c>
      <c r="G86" s="5" t="s">
        <v>159</v>
      </c>
      <c r="H86" s="5" t="s">
        <v>2</v>
      </c>
      <c r="I86" s="5" t="s">
        <v>5</v>
      </c>
      <c r="J86" s="5" t="str">
        <f t="shared" si="46"/>
        <v>KL0916_c069</v>
      </c>
      <c r="K86" s="5" t="str">
        <f t="shared" si="47"/>
        <v>KL0916_c069_a1</v>
      </c>
      <c r="L86" s="5" t="str">
        <f t="shared" si="48"/>
        <v>KL0916_c069_a1_FIB</v>
      </c>
      <c r="M86" s="5" t="s">
        <v>371</v>
      </c>
    </row>
    <row r="87" spans="1:18" s="5" customFormat="1" x14ac:dyDescent="0.3">
      <c r="A87" s="5" t="s">
        <v>122</v>
      </c>
      <c r="B87" s="7">
        <v>45736</v>
      </c>
      <c r="C87" s="5">
        <v>47166</v>
      </c>
      <c r="F87" s="5" t="s">
        <v>149</v>
      </c>
      <c r="G87" s="5" t="s">
        <v>159</v>
      </c>
      <c r="H87" s="5" t="s">
        <v>2</v>
      </c>
      <c r="I87" s="5" t="s">
        <v>7</v>
      </c>
      <c r="J87" s="5" t="str">
        <f t="shared" si="46"/>
        <v>KL0916_c069</v>
      </c>
      <c r="K87" s="5" t="str">
        <f t="shared" si="47"/>
        <v>KL0916_c069_a1</v>
      </c>
      <c r="L87" s="5" t="str">
        <f t="shared" si="48"/>
        <v>KL0916_c069_a1_FIC</v>
      </c>
      <c r="M87" s="5" t="s">
        <v>371</v>
      </c>
    </row>
    <row r="88" spans="1:18" s="5" customFormat="1" x14ac:dyDescent="0.3">
      <c r="A88" s="5" t="s">
        <v>123</v>
      </c>
      <c r="B88" s="7">
        <v>45736</v>
      </c>
      <c r="C88" s="5">
        <v>47446</v>
      </c>
      <c r="F88" s="5" t="s">
        <v>149</v>
      </c>
      <c r="G88" s="5" t="s">
        <v>159</v>
      </c>
      <c r="H88" s="5" t="s">
        <v>2</v>
      </c>
      <c r="I88" s="5" t="s">
        <v>8</v>
      </c>
      <c r="J88" s="5" t="str">
        <f t="shared" si="46"/>
        <v>KL0916_c069</v>
      </c>
      <c r="K88" s="5" t="str">
        <f t="shared" si="47"/>
        <v>KL0916_c069_a1</v>
      </c>
      <c r="L88" s="5" t="str">
        <f t="shared" si="48"/>
        <v>KL0916_c069_a1_FID</v>
      </c>
      <c r="M88" s="5" t="s">
        <v>371</v>
      </c>
    </row>
    <row r="89" spans="1:18" s="5" customFormat="1" x14ac:dyDescent="0.3">
      <c r="A89" s="5" t="s">
        <v>124</v>
      </c>
      <c r="B89" s="7">
        <v>45736</v>
      </c>
      <c r="C89" s="5">
        <v>48135</v>
      </c>
      <c r="F89" s="5" t="s">
        <v>149</v>
      </c>
      <c r="G89" s="5" t="s">
        <v>160</v>
      </c>
      <c r="H89" s="5" t="s">
        <v>2</v>
      </c>
      <c r="I89" s="5" t="s">
        <v>3</v>
      </c>
      <c r="J89" s="5" t="str">
        <f t="shared" si="46"/>
        <v>KL0916_c071</v>
      </c>
      <c r="K89" s="5" t="str">
        <f t="shared" si="47"/>
        <v>KL0916_c071_a1</v>
      </c>
      <c r="L89" s="5" t="str">
        <f t="shared" si="48"/>
        <v>KL0916_c071_a1_FIA</v>
      </c>
      <c r="M89" s="5" t="s">
        <v>372</v>
      </c>
    </row>
    <row r="90" spans="1:18" s="5" customFormat="1" x14ac:dyDescent="0.3">
      <c r="A90" s="5" t="s">
        <v>125</v>
      </c>
      <c r="B90" s="7">
        <v>45736</v>
      </c>
      <c r="C90" s="5">
        <v>48559</v>
      </c>
      <c r="F90" s="5" t="s">
        <v>149</v>
      </c>
      <c r="G90" s="5" t="s">
        <v>161</v>
      </c>
      <c r="H90" s="5" t="s">
        <v>2</v>
      </c>
      <c r="I90" s="5" t="s">
        <v>3</v>
      </c>
      <c r="J90" s="5" t="str">
        <f t="shared" si="46"/>
        <v>KL0916_c074</v>
      </c>
      <c r="K90" s="5" t="str">
        <f t="shared" si="47"/>
        <v>KL0916_c074_a1</v>
      </c>
      <c r="L90" s="5" t="str">
        <f t="shared" si="48"/>
        <v>KL0916_c074_a1_FIA</v>
      </c>
      <c r="M90" s="5" t="s">
        <v>373</v>
      </c>
    </row>
    <row r="91" spans="1:18" s="5" customFormat="1" x14ac:dyDescent="0.3">
      <c r="A91" s="5" t="s">
        <v>126</v>
      </c>
      <c r="B91" s="7">
        <v>45736</v>
      </c>
      <c r="C91" s="5">
        <v>48990</v>
      </c>
      <c r="F91" s="5" t="s">
        <v>149</v>
      </c>
      <c r="G91" s="5" t="s">
        <v>162</v>
      </c>
      <c r="H91" s="5" t="s">
        <v>2</v>
      </c>
      <c r="I91" s="5" t="s">
        <v>3</v>
      </c>
      <c r="J91" s="5" t="str">
        <f t="shared" si="46"/>
        <v>KL0916_c079</v>
      </c>
      <c r="K91" s="5" t="str">
        <f t="shared" si="47"/>
        <v>KL0916_c079_a1</v>
      </c>
      <c r="L91" s="5" t="str">
        <f t="shared" si="48"/>
        <v>KL0916_c079_a1_FIA</v>
      </c>
      <c r="M91" s="5" t="s">
        <v>374</v>
      </c>
    </row>
    <row r="92" spans="1:18" x14ac:dyDescent="0.3">
      <c r="A92" t="s">
        <v>127</v>
      </c>
      <c r="B92" s="1">
        <v>45736</v>
      </c>
      <c r="C92">
        <v>53818</v>
      </c>
      <c r="F92" t="s">
        <v>163</v>
      </c>
      <c r="G92" t="s">
        <v>164</v>
      </c>
      <c r="H92" t="s">
        <v>2</v>
      </c>
      <c r="I92" t="s">
        <v>3</v>
      </c>
      <c r="J92" t="str">
        <f t="shared" si="46"/>
        <v>KL0920_c147b</v>
      </c>
      <c r="K92" t="str">
        <f t="shared" si="47"/>
        <v>KL0920_c147b_a1</v>
      </c>
      <c r="L92" t="str">
        <f t="shared" si="48"/>
        <v>KL0920_c147b_a1_FIA</v>
      </c>
      <c r="M92" s="6"/>
      <c r="N92" s="6" t="s">
        <v>442</v>
      </c>
      <c r="O92" t="s">
        <v>473</v>
      </c>
      <c r="P92">
        <v>21</v>
      </c>
    </row>
    <row r="93" spans="1:18" x14ac:dyDescent="0.3">
      <c r="A93" t="s">
        <v>128</v>
      </c>
      <c r="B93" s="1">
        <v>45736</v>
      </c>
      <c r="C93">
        <v>54186</v>
      </c>
      <c r="F93" t="s">
        <v>163</v>
      </c>
      <c r="G93" t="s">
        <v>164</v>
      </c>
      <c r="H93" t="s">
        <v>2</v>
      </c>
      <c r="I93" t="s">
        <v>5</v>
      </c>
      <c r="J93" t="str">
        <f t="shared" si="46"/>
        <v>KL0920_c147b</v>
      </c>
      <c r="K93" t="str">
        <f t="shared" si="47"/>
        <v>KL0920_c147b_a1</v>
      </c>
      <c r="L93" t="str">
        <f t="shared" si="48"/>
        <v>KL0920_c147b_a1_FIB</v>
      </c>
      <c r="M93" s="6"/>
      <c r="N93" s="6" t="s">
        <v>442</v>
      </c>
      <c r="O93" t="s">
        <v>473</v>
      </c>
      <c r="P93">
        <v>21</v>
      </c>
    </row>
    <row r="94" spans="1:18" x14ac:dyDescent="0.3">
      <c r="A94" t="s">
        <v>129</v>
      </c>
      <c r="B94" s="1">
        <v>45736</v>
      </c>
      <c r="C94">
        <v>57350</v>
      </c>
      <c r="F94" t="s">
        <v>165</v>
      </c>
      <c r="G94" t="s">
        <v>166</v>
      </c>
      <c r="H94" t="s">
        <v>2</v>
      </c>
      <c r="I94" t="s">
        <v>3</v>
      </c>
      <c r="J94" t="str">
        <f t="shared" si="46"/>
        <v>KL0931_c159</v>
      </c>
      <c r="K94" t="str">
        <f t="shared" si="47"/>
        <v>KL0931_c159_a1</v>
      </c>
      <c r="L94" t="str">
        <f t="shared" si="48"/>
        <v>KL0931_c159_a1_FIA</v>
      </c>
      <c r="M94" t="s">
        <v>376</v>
      </c>
      <c r="O94" t="s">
        <v>474</v>
      </c>
      <c r="P94">
        <v>44</v>
      </c>
    </row>
    <row r="95" spans="1:18" x14ac:dyDescent="0.3">
      <c r="A95" t="s">
        <v>130</v>
      </c>
      <c r="B95" s="1">
        <v>45736</v>
      </c>
      <c r="C95">
        <v>57971</v>
      </c>
      <c r="F95" t="s">
        <v>165</v>
      </c>
      <c r="G95" t="s">
        <v>167</v>
      </c>
      <c r="H95" t="s">
        <v>2</v>
      </c>
      <c r="I95" t="s">
        <v>3</v>
      </c>
      <c r="J95" t="str">
        <f t="shared" si="46"/>
        <v>KL0931_c160</v>
      </c>
      <c r="K95" t="str">
        <f t="shared" si="47"/>
        <v>KL0931_c160_a1</v>
      </c>
      <c r="L95" t="str">
        <f t="shared" si="48"/>
        <v>KL0931_c160_a1_FIA</v>
      </c>
      <c r="M95" t="s">
        <v>377</v>
      </c>
      <c r="O95" t="s">
        <v>475</v>
      </c>
    </row>
    <row r="96" spans="1:18" x14ac:dyDescent="0.3">
      <c r="A96" t="s">
        <v>171</v>
      </c>
      <c r="B96" s="1">
        <v>45737</v>
      </c>
      <c r="C96">
        <v>64526</v>
      </c>
      <c r="F96" t="s">
        <v>23</v>
      </c>
      <c r="G96" t="s">
        <v>24</v>
      </c>
      <c r="I96">
        <v>1</v>
      </c>
      <c r="J96" t="s">
        <v>25</v>
      </c>
      <c r="K96" t="s">
        <v>25</v>
      </c>
      <c r="L96" t="str">
        <f>_xlfn.CONCAT(F96,"-",G96,"-",I96,"-evening-",B97)</f>
        <v>FG04-A1-1-evening-45737</v>
      </c>
    </row>
    <row r="97" spans="1:13" x14ac:dyDescent="0.3">
      <c r="A97" t="s">
        <v>172</v>
      </c>
      <c r="B97" s="1">
        <v>45737</v>
      </c>
      <c r="C97">
        <v>44909</v>
      </c>
      <c r="F97" t="s">
        <v>23</v>
      </c>
      <c r="G97" t="s">
        <v>24</v>
      </c>
      <c r="I97">
        <v>1</v>
      </c>
      <c r="J97" t="s">
        <v>25</v>
      </c>
      <c r="K97" t="s">
        <v>25</v>
      </c>
      <c r="L97" t="str">
        <f>_xlfn.CONCAT(F97,"-",G97,"-",I97,"-morning-",B98)</f>
        <v>FG04-A1-1-morning-45737</v>
      </c>
    </row>
    <row r="98" spans="1:13" x14ac:dyDescent="0.3">
      <c r="A98" t="s">
        <v>173</v>
      </c>
      <c r="B98" s="1">
        <v>45737</v>
      </c>
      <c r="C98">
        <v>64272</v>
      </c>
      <c r="F98" t="s">
        <v>23</v>
      </c>
      <c r="G98" t="s">
        <v>24</v>
      </c>
      <c r="I98">
        <v>4</v>
      </c>
      <c r="J98" t="s">
        <v>25</v>
      </c>
      <c r="K98" t="s">
        <v>25</v>
      </c>
      <c r="L98" t="str">
        <f>_xlfn.CONCAT(F98,"-",G98,"-",I98,"-evening-",B99)</f>
        <v>FG04-A1-4-evening-45737</v>
      </c>
    </row>
    <row r="99" spans="1:13" x14ac:dyDescent="0.3">
      <c r="A99" t="s">
        <v>174</v>
      </c>
      <c r="B99" s="1">
        <v>45737</v>
      </c>
      <c r="C99">
        <v>42150</v>
      </c>
      <c r="F99" t="s">
        <v>23</v>
      </c>
      <c r="G99" t="s">
        <v>24</v>
      </c>
      <c r="I99">
        <v>4</v>
      </c>
      <c r="J99" t="s">
        <v>25</v>
      </c>
      <c r="K99" t="s">
        <v>25</v>
      </c>
      <c r="L99" t="str">
        <f>_xlfn.CONCAT(F99,"-",G99,"-",I99,"-morning-",B100)</f>
        <v>FG04-A1-4-morning-45737</v>
      </c>
    </row>
    <row r="100" spans="1:13" x14ac:dyDescent="0.3">
      <c r="A100" t="s">
        <v>175</v>
      </c>
      <c r="B100" s="1">
        <v>45737</v>
      </c>
      <c r="C100">
        <v>65010</v>
      </c>
      <c r="F100" t="s">
        <v>168</v>
      </c>
      <c r="G100">
        <v>101</v>
      </c>
      <c r="I100" t="s">
        <v>169</v>
      </c>
      <c r="J100" t="s">
        <v>170</v>
      </c>
      <c r="K100" t="s">
        <v>170</v>
      </c>
      <c r="L100" t="str">
        <f>_xlfn.CONCAT(F100,"-",G100,"-",I100,"-evening-",B101)</f>
        <v>FG19-101-A-evening-45737</v>
      </c>
    </row>
    <row r="101" spans="1:13" x14ac:dyDescent="0.3">
      <c r="A101" t="s">
        <v>176</v>
      </c>
      <c r="B101" s="1">
        <v>45737</v>
      </c>
      <c r="C101">
        <v>40184</v>
      </c>
      <c r="F101" t="s">
        <v>168</v>
      </c>
      <c r="G101">
        <v>101</v>
      </c>
      <c r="I101" t="s">
        <v>169</v>
      </c>
      <c r="J101" t="s">
        <v>170</v>
      </c>
      <c r="K101" t="s">
        <v>170</v>
      </c>
      <c r="L101" t="str">
        <f>_xlfn.CONCAT(F101,"-",G101,"-",I101,"-morning-",B102)</f>
        <v>FG19-101-A-morning-45737</v>
      </c>
    </row>
    <row r="102" spans="1:13" x14ac:dyDescent="0.3">
      <c r="A102" t="s">
        <v>177</v>
      </c>
      <c r="B102" s="1">
        <v>45737</v>
      </c>
      <c r="C102">
        <v>44506</v>
      </c>
      <c r="F102" t="s">
        <v>168</v>
      </c>
      <c r="G102">
        <v>101</v>
      </c>
      <c r="I102" t="s">
        <v>169</v>
      </c>
      <c r="J102" t="s">
        <v>170</v>
      </c>
      <c r="K102" t="s">
        <v>170</v>
      </c>
      <c r="L102" t="str">
        <f>_xlfn.CONCAT(F102,"-",G102,"-",I102,"-morning-",B103)</f>
        <v>FG19-101-A-morning-45737</v>
      </c>
    </row>
    <row r="103" spans="1:13" x14ac:dyDescent="0.3">
      <c r="A103" t="s">
        <v>178</v>
      </c>
      <c r="B103" s="1">
        <v>45737</v>
      </c>
      <c r="C103">
        <v>46678</v>
      </c>
      <c r="F103" t="s">
        <v>131</v>
      </c>
      <c r="G103" t="s">
        <v>254</v>
      </c>
      <c r="H103" t="s">
        <v>2</v>
      </c>
      <c r="I103" t="s">
        <v>3</v>
      </c>
      <c r="J103" t="str">
        <f t="shared" ref="J103" si="49">_xlfn.CONCAT(F103,"_",G103)</f>
        <v>KL0908_c171</v>
      </c>
      <c r="K103" t="str">
        <f t="shared" ref="K103" si="50">_xlfn.CONCAT(J103,"_",H103)</f>
        <v>KL0908_c171_a1</v>
      </c>
      <c r="L103" t="str">
        <f t="shared" ref="L103" si="51">_xlfn.CONCAT(K103,"_",I103)</f>
        <v>KL0908_c171_a1_FIA</v>
      </c>
      <c r="M103" t="s">
        <v>379</v>
      </c>
    </row>
    <row r="104" spans="1:13" x14ac:dyDescent="0.3">
      <c r="A104" t="s">
        <v>179</v>
      </c>
      <c r="B104" s="1">
        <v>45737</v>
      </c>
      <c r="C104">
        <v>46981</v>
      </c>
      <c r="F104" t="s">
        <v>131</v>
      </c>
      <c r="G104" t="s">
        <v>254</v>
      </c>
      <c r="H104" t="s">
        <v>2</v>
      </c>
      <c r="I104" t="s">
        <v>5</v>
      </c>
      <c r="J104" t="str">
        <f t="shared" ref="J104:J128" si="52">_xlfn.CONCAT(F104,"_",G104)</f>
        <v>KL0908_c171</v>
      </c>
      <c r="K104" t="str">
        <f t="shared" ref="K104:K128" si="53">_xlfn.CONCAT(J104,"_",H104)</f>
        <v>KL0908_c171_a1</v>
      </c>
      <c r="L104" t="str">
        <f t="shared" ref="L104:L128" si="54">_xlfn.CONCAT(K104,"_",I104)</f>
        <v>KL0908_c171_a1_FIB</v>
      </c>
      <c r="M104" t="s">
        <v>379</v>
      </c>
    </row>
    <row r="105" spans="1:13" x14ac:dyDescent="0.3">
      <c r="A105" t="s">
        <v>180</v>
      </c>
      <c r="B105" s="1">
        <v>45737</v>
      </c>
      <c r="C105">
        <v>47577</v>
      </c>
      <c r="F105" t="s">
        <v>131</v>
      </c>
      <c r="G105" t="s">
        <v>255</v>
      </c>
      <c r="H105" t="s">
        <v>2</v>
      </c>
      <c r="I105" t="s">
        <v>3</v>
      </c>
      <c r="J105" t="str">
        <f t="shared" si="52"/>
        <v>KL0908_c172</v>
      </c>
      <c r="K105" t="str">
        <f t="shared" si="53"/>
        <v>KL0908_c172_a1</v>
      </c>
      <c r="L105" t="str">
        <f t="shared" si="54"/>
        <v>KL0908_c172_a1_FIA</v>
      </c>
      <c r="M105" t="s">
        <v>380</v>
      </c>
    </row>
    <row r="106" spans="1:13" x14ac:dyDescent="0.3">
      <c r="A106" t="s">
        <v>181</v>
      </c>
      <c r="B106" s="1">
        <v>45737</v>
      </c>
      <c r="C106">
        <v>47898</v>
      </c>
      <c r="F106" t="s">
        <v>131</v>
      </c>
      <c r="G106" t="s">
        <v>255</v>
      </c>
      <c r="H106" t="s">
        <v>2</v>
      </c>
      <c r="I106" t="s">
        <v>5</v>
      </c>
      <c r="J106" t="str">
        <f t="shared" si="52"/>
        <v>KL0908_c172</v>
      </c>
      <c r="K106" t="str">
        <f t="shared" si="53"/>
        <v>KL0908_c172_a1</v>
      </c>
      <c r="L106" t="str">
        <f t="shared" si="54"/>
        <v>KL0908_c172_a1_FIB</v>
      </c>
      <c r="M106" t="s">
        <v>380</v>
      </c>
    </row>
    <row r="107" spans="1:13" x14ac:dyDescent="0.3">
      <c r="A107" t="s">
        <v>182</v>
      </c>
      <c r="B107" s="1">
        <v>45737</v>
      </c>
      <c r="C107">
        <v>48298</v>
      </c>
      <c r="F107" t="s">
        <v>131</v>
      </c>
      <c r="G107" t="s">
        <v>256</v>
      </c>
      <c r="H107" t="s">
        <v>2</v>
      </c>
      <c r="I107" t="s">
        <v>3</v>
      </c>
      <c r="J107" t="str">
        <f t="shared" si="52"/>
        <v>KL0908_c173</v>
      </c>
      <c r="K107" t="str">
        <f t="shared" si="53"/>
        <v>KL0908_c173_a1</v>
      </c>
      <c r="L107" t="str">
        <f t="shared" si="54"/>
        <v>KL0908_c173_a1_FIA</v>
      </c>
      <c r="M107" t="s">
        <v>381</v>
      </c>
    </row>
    <row r="108" spans="1:13" x14ac:dyDescent="0.3">
      <c r="A108" t="s">
        <v>183</v>
      </c>
      <c r="B108" s="1">
        <v>45737</v>
      </c>
      <c r="C108">
        <v>48707</v>
      </c>
      <c r="F108" t="s">
        <v>66</v>
      </c>
      <c r="G108" t="s">
        <v>257</v>
      </c>
      <c r="H108" t="s">
        <v>2</v>
      </c>
      <c r="I108" t="s">
        <v>3</v>
      </c>
      <c r="J108" t="str">
        <f t="shared" si="52"/>
        <v>KL0910_c176</v>
      </c>
      <c r="K108" t="str">
        <f t="shared" si="53"/>
        <v>KL0910_c176_a1</v>
      </c>
      <c r="L108" t="str">
        <f t="shared" si="54"/>
        <v>KL0910_c176_a1_FIA</v>
      </c>
      <c r="M108" t="s">
        <v>382</v>
      </c>
    </row>
    <row r="109" spans="1:13" x14ac:dyDescent="0.3">
      <c r="A109" t="s">
        <v>184</v>
      </c>
      <c r="B109" s="1">
        <v>45737</v>
      </c>
      <c r="C109">
        <v>49432</v>
      </c>
      <c r="F109" t="s">
        <v>66</v>
      </c>
      <c r="G109" t="s">
        <v>258</v>
      </c>
      <c r="H109" t="s">
        <v>2</v>
      </c>
      <c r="I109" t="s">
        <v>3</v>
      </c>
      <c r="J109" t="str">
        <f t="shared" si="52"/>
        <v>KL0910_c178</v>
      </c>
      <c r="K109" t="str">
        <f t="shared" si="53"/>
        <v>KL0910_c178_a1</v>
      </c>
      <c r="L109" t="str">
        <f t="shared" si="54"/>
        <v>KL0910_c178_a1_FIA</v>
      </c>
      <c r="M109" t="s">
        <v>383</v>
      </c>
    </row>
    <row r="110" spans="1:13" x14ac:dyDescent="0.3">
      <c r="A110" t="s">
        <v>185</v>
      </c>
      <c r="B110" s="1">
        <v>45737</v>
      </c>
      <c r="C110">
        <v>49744</v>
      </c>
      <c r="F110" t="s">
        <v>66</v>
      </c>
      <c r="G110" t="s">
        <v>258</v>
      </c>
      <c r="H110" t="s">
        <v>2</v>
      </c>
      <c r="I110" t="s">
        <v>5</v>
      </c>
      <c r="J110" t="str">
        <f t="shared" si="52"/>
        <v>KL0910_c178</v>
      </c>
      <c r="K110" t="str">
        <f t="shared" si="53"/>
        <v>KL0910_c178_a1</v>
      </c>
      <c r="L110" t="str">
        <f t="shared" si="54"/>
        <v>KL0910_c178_a1_FIB</v>
      </c>
      <c r="M110" t="s">
        <v>383</v>
      </c>
    </row>
    <row r="111" spans="1:13" x14ac:dyDescent="0.3">
      <c r="A111" t="s">
        <v>186</v>
      </c>
      <c r="B111" s="1">
        <v>45737</v>
      </c>
      <c r="C111">
        <v>50120</v>
      </c>
      <c r="F111" t="s">
        <v>66</v>
      </c>
      <c r="G111" t="s">
        <v>259</v>
      </c>
      <c r="H111" t="s">
        <v>2</v>
      </c>
      <c r="I111" t="s">
        <v>3</v>
      </c>
      <c r="J111" t="str">
        <f t="shared" si="52"/>
        <v>KL0910_c179</v>
      </c>
      <c r="K111" t="str">
        <f t="shared" si="53"/>
        <v>KL0910_c179_a1</v>
      </c>
      <c r="L111" t="str">
        <f t="shared" si="54"/>
        <v>KL0910_c179_a1_FIA</v>
      </c>
      <c r="M111" t="s">
        <v>384</v>
      </c>
    </row>
    <row r="112" spans="1:13" x14ac:dyDescent="0.3">
      <c r="A112" t="s">
        <v>187</v>
      </c>
      <c r="B112" s="1">
        <v>45737</v>
      </c>
      <c r="C112">
        <v>51022</v>
      </c>
      <c r="F112" t="s">
        <v>260</v>
      </c>
      <c r="G112" t="s">
        <v>261</v>
      </c>
      <c r="H112" t="s">
        <v>2</v>
      </c>
      <c r="I112" t="s">
        <v>3</v>
      </c>
      <c r="J112" t="str">
        <f t="shared" si="52"/>
        <v>KL0919_c181</v>
      </c>
      <c r="K112" t="str">
        <f t="shared" si="53"/>
        <v>KL0919_c181_a1</v>
      </c>
      <c r="L112" t="str">
        <f t="shared" si="54"/>
        <v>KL0919_c181_a1_FIA</v>
      </c>
      <c r="M112" t="s">
        <v>385</v>
      </c>
    </row>
    <row r="113" spans="1:13" x14ac:dyDescent="0.3">
      <c r="A113" t="s">
        <v>188</v>
      </c>
      <c r="B113" s="1">
        <v>45737</v>
      </c>
      <c r="C113">
        <v>51366</v>
      </c>
      <c r="F113" t="s">
        <v>260</v>
      </c>
      <c r="G113" t="s">
        <v>261</v>
      </c>
      <c r="H113" t="s">
        <v>133</v>
      </c>
      <c r="I113" t="s">
        <v>5</v>
      </c>
      <c r="J113" t="str">
        <f t="shared" si="52"/>
        <v>KL0919_c181</v>
      </c>
      <c r="K113" t="str">
        <f t="shared" si="53"/>
        <v>KL0919_c181_a2</v>
      </c>
      <c r="L113" t="str">
        <f t="shared" si="54"/>
        <v>KL0919_c181_a2_FIB</v>
      </c>
      <c r="M113" t="s">
        <v>386</v>
      </c>
    </row>
    <row r="114" spans="1:13" x14ac:dyDescent="0.3">
      <c r="A114" t="s">
        <v>189</v>
      </c>
      <c r="B114" s="1">
        <v>45737</v>
      </c>
      <c r="C114">
        <v>51686</v>
      </c>
      <c r="F114" t="s">
        <v>260</v>
      </c>
      <c r="G114" t="s">
        <v>261</v>
      </c>
      <c r="H114" t="s">
        <v>133</v>
      </c>
      <c r="I114" t="s">
        <v>7</v>
      </c>
      <c r="J114" t="str">
        <f t="shared" si="52"/>
        <v>KL0919_c181</v>
      </c>
      <c r="K114" t="str">
        <f t="shared" si="53"/>
        <v>KL0919_c181_a2</v>
      </c>
      <c r="L114" t="str">
        <f t="shared" si="54"/>
        <v>KL0919_c181_a2_FIC</v>
      </c>
      <c r="M114" t="s">
        <v>386</v>
      </c>
    </row>
    <row r="115" spans="1:13" x14ac:dyDescent="0.3">
      <c r="A115" t="s">
        <v>190</v>
      </c>
      <c r="B115" s="1">
        <v>45737</v>
      </c>
      <c r="C115">
        <v>54516</v>
      </c>
      <c r="F115" t="s">
        <v>262</v>
      </c>
      <c r="G115" t="s">
        <v>263</v>
      </c>
      <c r="H115" t="s">
        <v>2</v>
      </c>
      <c r="I115" t="s">
        <v>3</v>
      </c>
      <c r="J115" t="str">
        <f t="shared" si="52"/>
        <v>KL0921_c325</v>
      </c>
      <c r="K115" t="str">
        <f t="shared" si="53"/>
        <v>KL0921_c325_a1</v>
      </c>
      <c r="L115" t="str">
        <f t="shared" si="54"/>
        <v>KL0921_c325_a1_FIA</v>
      </c>
      <c r="M115" t="s">
        <v>388</v>
      </c>
    </row>
    <row r="116" spans="1:13" x14ac:dyDescent="0.3">
      <c r="A116" t="s">
        <v>191</v>
      </c>
      <c r="B116" s="1">
        <v>45737</v>
      </c>
      <c r="C116">
        <v>56282</v>
      </c>
      <c r="F116" t="s">
        <v>262</v>
      </c>
      <c r="G116" t="s">
        <v>264</v>
      </c>
      <c r="H116" t="s">
        <v>2</v>
      </c>
      <c r="I116" t="s">
        <v>3</v>
      </c>
      <c r="J116" t="str">
        <f t="shared" si="52"/>
        <v>KL0921_c335</v>
      </c>
      <c r="K116" t="str">
        <f t="shared" si="53"/>
        <v>KL0921_c335_a1</v>
      </c>
      <c r="L116" t="str">
        <f t="shared" si="54"/>
        <v>KL0921_c335_a1_FIA</v>
      </c>
      <c r="M116" t="s">
        <v>389</v>
      </c>
    </row>
    <row r="117" spans="1:13" x14ac:dyDescent="0.3">
      <c r="A117" t="s">
        <v>192</v>
      </c>
      <c r="B117" s="1">
        <v>45737</v>
      </c>
      <c r="C117">
        <v>56580</v>
      </c>
      <c r="F117" t="s">
        <v>262</v>
      </c>
      <c r="G117" t="s">
        <v>264</v>
      </c>
      <c r="H117" t="s">
        <v>133</v>
      </c>
      <c r="I117" t="s">
        <v>5</v>
      </c>
      <c r="J117" t="str">
        <f t="shared" si="52"/>
        <v>KL0921_c335</v>
      </c>
      <c r="K117" t="str">
        <f t="shared" si="53"/>
        <v>KL0921_c335_a2</v>
      </c>
      <c r="L117" t="str">
        <f t="shared" si="54"/>
        <v>KL0921_c335_a2_FIB</v>
      </c>
      <c r="M117" t="s">
        <v>390</v>
      </c>
    </row>
    <row r="118" spans="1:13" x14ac:dyDescent="0.3">
      <c r="A118" t="s">
        <v>193</v>
      </c>
      <c r="B118" s="1">
        <v>45737</v>
      </c>
      <c r="C118">
        <v>57093</v>
      </c>
      <c r="F118" t="s">
        <v>262</v>
      </c>
      <c r="G118" t="s">
        <v>265</v>
      </c>
      <c r="H118" t="s">
        <v>2</v>
      </c>
      <c r="I118" t="s">
        <v>3</v>
      </c>
      <c r="J118" t="str">
        <f t="shared" si="52"/>
        <v>KL0921_c337</v>
      </c>
      <c r="K118" t="str">
        <f t="shared" si="53"/>
        <v>KL0921_c337_a1</v>
      </c>
      <c r="L118" t="str">
        <f t="shared" si="54"/>
        <v>KL0921_c337_a1_FIA</v>
      </c>
      <c r="M118" t="s">
        <v>391</v>
      </c>
    </row>
    <row r="119" spans="1:13" x14ac:dyDescent="0.3">
      <c r="A119" t="s">
        <v>194</v>
      </c>
      <c r="B119" s="1">
        <v>45737</v>
      </c>
      <c r="C119">
        <v>57721</v>
      </c>
      <c r="F119" t="s">
        <v>262</v>
      </c>
      <c r="G119" t="s">
        <v>265</v>
      </c>
      <c r="H119" t="s">
        <v>2</v>
      </c>
      <c r="I119" t="s">
        <v>5</v>
      </c>
      <c r="J119" t="str">
        <f t="shared" si="52"/>
        <v>KL0921_c337</v>
      </c>
      <c r="K119" t="str">
        <f t="shared" si="53"/>
        <v>KL0921_c337_a1</v>
      </c>
      <c r="L119" t="str">
        <f t="shared" si="54"/>
        <v>KL0921_c337_a1_FIB</v>
      </c>
      <c r="M119" t="s">
        <v>391</v>
      </c>
    </row>
    <row r="120" spans="1:13" x14ac:dyDescent="0.3">
      <c r="A120" t="s">
        <v>195</v>
      </c>
      <c r="B120" s="1">
        <v>45737</v>
      </c>
      <c r="C120">
        <v>58158</v>
      </c>
      <c r="F120" t="s">
        <v>262</v>
      </c>
      <c r="G120" t="s">
        <v>265</v>
      </c>
      <c r="H120" t="s">
        <v>2</v>
      </c>
      <c r="I120" t="s">
        <v>7</v>
      </c>
      <c r="J120" t="str">
        <f t="shared" si="52"/>
        <v>KL0921_c337</v>
      </c>
      <c r="K120" t="str">
        <f t="shared" si="53"/>
        <v>KL0921_c337_a1</v>
      </c>
      <c r="L120" t="str">
        <f t="shared" si="54"/>
        <v>KL0921_c337_a1_FIC</v>
      </c>
      <c r="M120" t="s">
        <v>391</v>
      </c>
    </row>
    <row r="121" spans="1:13" x14ac:dyDescent="0.3">
      <c r="A121" t="s">
        <v>196</v>
      </c>
      <c r="B121" s="1">
        <v>45737</v>
      </c>
      <c r="C121">
        <v>58426</v>
      </c>
      <c r="F121" t="s">
        <v>262</v>
      </c>
      <c r="G121" t="s">
        <v>265</v>
      </c>
      <c r="H121" t="s">
        <v>2</v>
      </c>
      <c r="I121" t="s">
        <v>8</v>
      </c>
      <c r="J121" t="str">
        <f t="shared" si="52"/>
        <v>KL0921_c337</v>
      </c>
      <c r="K121" t="str">
        <f t="shared" si="53"/>
        <v>KL0921_c337_a1</v>
      </c>
      <c r="L121" t="str">
        <f t="shared" si="54"/>
        <v>KL0921_c337_a1_FID</v>
      </c>
      <c r="M121" t="s">
        <v>391</v>
      </c>
    </row>
    <row r="122" spans="1:13" x14ac:dyDescent="0.3">
      <c r="A122" t="s">
        <v>197</v>
      </c>
      <c r="B122" s="1">
        <v>45737</v>
      </c>
      <c r="C122">
        <v>59440</v>
      </c>
      <c r="F122" t="s">
        <v>266</v>
      </c>
      <c r="G122" t="s">
        <v>267</v>
      </c>
      <c r="H122" t="s">
        <v>2</v>
      </c>
      <c r="I122" t="s">
        <v>3</v>
      </c>
      <c r="J122" t="str">
        <f t="shared" si="52"/>
        <v>KL0924_c363</v>
      </c>
      <c r="K122" t="str">
        <f t="shared" si="53"/>
        <v>KL0924_c363_a1</v>
      </c>
      <c r="L122" t="str">
        <f t="shared" si="54"/>
        <v>KL0924_c363_a1_FIA</v>
      </c>
      <c r="M122" t="s">
        <v>392</v>
      </c>
    </row>
    <row r="123" spans="1:13" x14ac:dyDescent="0.3">
      <c r="A123" t="s">
        <v>198</v>
      </c>
      <c r="B123" s="1">
        <v>45737</v>
      </c>
      <c r="C123">
        <v>59897</v>
      </c>
      <c r="F123" t="s">
        <v>266</v>
      </c>
      <c r="G123" t="s">
        <v>267</v>
      </c>
      <c r="H123" t="s">
        <v>2</v>
      </c>
      <c r="I123" t="s">
        <v>5</v>
      </c>
      <c r="J123" t="str">
        <f t="shared" si="52"/>
        <v>KL0924_c363</v>
      </c>
      <c r="K123" t="str">
        <f t="shared" si="53"/>
        <v>KL0924_c363_a1</v>
      </c>
      <c r="L123" t="str">
        <f t="shared" si="54"/>
        <v>KL0924_c363_a1_FIB</v>
      </c>
      <c r="M123" t="s">
        <v>392</v>
      </c>
    </row>
    <row r="124" spans="1:13" x14ac:dyDescent="0.3">
      <c r="A124" t="s">
        <v>199</v>
      </c>
      <c r="B124" s="1">
        <v>45737</v>
      </c>
      <c r="C124">
        <v>60549</v>
      </c>
      <c r="F124" t="s">
        <v>266</v>
      </c>
      <c r="G124" t="s">
        <v>268</v>
      </c>
      <c r="H124" t="s">
        <v>2</v>
      </c>
      <c r="I124" t="s">
        <v>3</v>
      </c>
      <c r="J124" t="str">
        <f t="shared" si="52"/>
        <v>KL0924_c364</v>
      </c>
      <c r="K124" t="str">
        <f t="shared" si="53"/>
        <v>KL0924_c364_a1</v>
      </c>
      <c r="L124" t="str">
        <f t="shared" si="54"/>
        <v>KL0924_c364_a1_FIA</v>
      </c>
      <c r="M124" t="s">
        <v>393</v>
      </c>
    </row>
    <row r="125" spans="1:13" x14ac:dyDescent="0.3">
      <c r="A125" t="s">
        <v>200</v>
      </c>
      <c r="B125" s="1">
        <v>45737</v>
      </c>
      <c r="C125">
        <v>60268</v>
      </c>
      <c r="F125" t="s">
        <v>266</v>
      </c>
      <c r="G125" t="s">
        <v>268</v>
      </c>
      <c r="H125" t="s">
        <v>2</v>
      </c>
      <c r="I125" t="s">
        <v>5</v>
      </c>
      <c r="J125" t="str">
        <f t="shared" si="52"/>
        <v>KL0924_c364</v>
      </c>
      <c r="K125" t="str">
        <f t="shared" si="53"/>
        <v>KL0924_c364_a1</v>
      </c>
      <c r="L125" t="str">
        <f t="shared" si="54"/>
        <v>KL0924_c364_a1_FIB</v>
      </c>
      <c r="M125" t="s">
        <v>393</v>
      </c>
    </row>
    <row r="126" spans="1:13" x14ac:dyDescent="0.3">
      <c r="A126" t="s">
        <v>201</v>
      </c>
      <c r="B126" s="1">
        <v>45737</v>
      </c>
      <c r="C126">
        <v>61452</v>
      </c>
      <c r="F126" t="s">
        <v>266</v>
      </c>
      <c r="G126" t="s">
        <v>269</v>
      </c>
      <c r="H126" t="s">
        <v>133</v>
      </c>
      <c r="I126" t="s">
        <v>7</v>
      </c>
      <c r="J126" t="str">
        <f t="shared" si="52"/>
        <v>KL0924_c367</v>
      </c>
      <c r="K126" t="str">
        <f t="shared" si="53"/>
        <v>KL0924_c367_a2</v>
      </c>
      <c r="L126" t="str">
        <f t="shared" si="54"/>
        <v>KL0924_c367_a2_FIC</v>
      </c>
      <c r="M126" t="s">
        <v>394</v>
      </c>
    </row>
    <row r="127" spans="1:13" x14ac:dyDescent="0.3">
      <c r="A127" t="s">
        <v>202</v>
      </c>
      <c r="B127" s="1">
        <v>45737</v>
      </c>
      <c r="C127">
        <v>61840</v>
      </c>
      <c r="F127" t="s">
        <v>266</v>
      </c>
      <c r="G127" t="s">
        <v>270</v>
      </c>
      <c r="H127" t="s">
        <v>2</v>
      </c>
      <c r="I127" t="s">
        <v>3</v>
      </c>
      <c r="J127" t="str">
        <f t="shared" si="52"/>
        <v>KL0924_c369</v>
      </c>
      <c r="K127" t="str">
        <f t="shared" si="53"/>
        <v>KL0924_c369_a1</v>
      </c>
      <c r="L127" t="str">
        <f t="shared" si="54"/>
        <v>KL0924_c369_a1_FIA</v>
      </c>
      <c r="M127" t="s">
        <v>395</v>
      </c>
    </row>
    <row r="128" spans="1:13" x14ac:dyDescent="0.3">
      <c r="A128" t="s">
        <v>203</v>
      </c>
      <c r="B128" s="1">
        <v>45737</v>
      </c>
      <c r="C128">
        <v>62123</v>
      </c>
      <c r="F128" t="s">
        <v>266</v>
      </c>
      <c r="G128" t="s">
        <v>270</v>
      </c>
      <c r="H128" t="s">
        <v>2</v>
      </c>
      <c r="I128" t="s">
        <v>5</v>
      </c>
      <c r="J128" t="str">
        <f t="shared" si="52"/>
        <v>KL0924_c369</v>
      </c>
      <c r="K128" t="str">
        <f t="shared" si="53"/>
        <v>KL0924_c369_a1</v>
      </c>
      <c r="L128" t="str">
        <f t="shared" si="54"/>
        <v>KL0924_c369_a1_FIB</v>
      </c>
      <c r="M128" t="s">
        <v>395</v>
      </c>
    </row>
    <row r="129" spans="1:13" x14ac:dyDescent="0.3">
      <c r="A129" t="s">
        <v>204</v>
      </c>
      <c r="B129" s="1">
        <v>45748</v>
      </c>
      <c r="C129">
        <v>64963</v>
      </c>
      <c r="F129" t="s">
        <v>23</v>
      </c>
      <c r="G129" t="s">
        <v>24</v>
      </c>
      <c r="I129">
        <v>1</v>
      </c>
      <c r="J129" t="s">
        <v>25</v>
      </c>
      <c r="K129" t="s">
        <v>25</v>
      </c>
      <c r="L129" t="str">
        <f>_xlfn.CONCAT(F129,"-",G129,"-",I129,"-evening-",B130)</f>
        <v>FG04-A1-1-evening-45748</v>
      </c>
    </row>
    <row r="130" spans="1:13" x14ac:dyDescent="0.3">
      <c r="A130" t="s">
        <v>205</v>
      </c>
      <c r="B130" s="1">
        <v>45748</v>
      </c>
      <c r="C130">
        <v>39425</v>
      </c>
      <c r="F130" t="s">
        <v>23</v>
      </c>
      <c r="G130" t="s">
        <v>24</v>
      </c>
      <c r="I130">
        <v>1</v>
      </c>
      <c r="J130" t="s">
        <v>25</v>
      </c>
      <c r="K130" t="s">
        <v>25</v>
      </c>
      <c r="L130" t="str">
        <f>_xlfn.CONCAT(F130,"-",G130,"-",I130,"-morning-",B131)</f>
        <v>FG04-A1-1-morning-45748</v>
      </c>
    </row>
    <row r="131" spans="1:13" x14ac:dyDescent="0.3">
      <c r="A131" t="s">
        <v>206</v>
      </c>
      <c r="B131" s="1">
        <v>45748</v>
      </c>
      <c r="C131">
        <v>65219</v>
      </c>
      <c r="F131" t="s">
        <v>23</v>
      </c>
      <c r="G131" t="s">
        <v>24</v>
      </c>
      <c r="I131">
        <v>2</v>
      </c>
      <c r="J131" t="s">
        <v>25</v>
      </c>
      <c r="K131" t="s">
        <v>25</v>
      </c>
      <c r="L131" t="str">
        <f>_xlfn.CONCAT(F131,"-",G131,"-",I131,"-evening-",B132)</f>
        <v>FG04-A1-2-evening-45748</v>
      </c>
    </row>
    <row r="132" spans="1:13" x14ac:dyDescent="0.3">
      <c r="A132" t="s">
        <v>207</v>
      </c>
      <c r="B132" s="1">
        <v>45748</v>
      </c>
      <c r="C132">
        <v>39893</v>
      </c>
      <c r="F132" t="s">
        <v>23</v>
      </c>
      <c r="G132" t="s">
        <v>24</v>
      </c>
      <c r="I132">
        <v>2</v>
      </c>
      <c r="J132" t="s">
        <v>25</v>
      </c>
      <c r="K132" t="s">
        <v>25</v>
      </c>
      <c r="L132" t="str">
        <f>_xlfn.CONCAT(F132,"-",G132,"-",I132,"-morning-",B133)</f>
        <v>FG04-A1-2-morning-45748</v>
      </c>
    </row>
    <row r="133" spans="1:13" x14ac:dyDescent="0.3">
      <c r="A133" t="s">
        <v>208</v>
      </c>
      <c r="B133" s="1">
        <v>45748</v>
      </c>
      <c r="C133">
        <v>64635</v>
      </c>
      <c r="F133" t="s">
        <v>23</v>
      </c>
      <c r="G133" t="s">
        <v>24</v>
      </c>
      <c r="I133">
        <v>4</v>
      </c>
      <c r="J133" t="s">
        <v>25</v>
      </c>
      <c r="K133" t="s">
        <v>25</v>
      </c>
      <c r="L133" t="str">
        <f>_xlfn.CONCAT(F133,"-",G133,"-",I133,"-evening-",B134)</f>
        <v>FG04-A1-4-evening-45748</v>
      </c>
    </row>
    <row r="134" spans="1:13" x14ac:dyDescent="0.3">
      <c r="A134" t="s">
        <v>209</v>
      </c>
      <c r="B134" s="1">
        <v>45748</v>
      </c>
      <c r="C134">
        <v>39105</v>
      </c>
      <c r="F134" t="s">
        <v>23</v>
      </c>
      <c r="G134" t="s">
        <v>24</v>
      </c>
      <c r="I134">
        <v>4</v>
      </c>
      <c r="J134" t="s">
        <v>25</v>
      </c>
      <c r="K134" t="s">
        <v>25</v>
      </c>
      <c r="L134" t="str">
        <f>_xlfn.CONCAT(F134,"-",G134,"-",I134,"-morning-",B135)</f>
        <v>FG04-A1-4-morning-45748</v>
      </c>
    </row>
    <row r="135" spans="1:13" x14ac:dyDescent="0.3">
      <c r="A135" t="s">
        <v>210</v>
      </c>
      <c r="B135" s="1">
        <v>45748</v>
      </c>
      <c r="C135">
        <v>65529</v>
      </c>
      <c r="F135" t="s">
        <v>168</v>
      </c>
      <c r="G135">
        <v>101</v>
      </c>
      <c r="I135" t="s">
        <v>169</v>
      </c>
      <c r="J135" t="s">
        <v>170</v>
      </c>
      <c r="K135" t="s">
        <v>170</v>
      </c>
      <c r="L135" t="str">
        <f>_xlfn.CONCAT(F135,"-",G135,"-",I135,"-evening-",B136)</f>
        <v>FG19-101-A-evening-45748</v>
      </c>
    </row>
    <row r="136" spans="1:13" x14ac:dyDescent="0.3">
      <c r="A136" t="s">
        <v>211</v>
      </c>
      <c r="B136" s="1">
        <v>45748</v>
      </c>
      <c r="C136">
        <v>41110</v>
      </c>
      <c r="F136" t="s">
        <v>168</v>
      </c>
      <c r="G136">
        <v>101</v>
      </c>
      <c r="I136" t="s">
        <v>169</v>
      </c>
      <c r="J136" t="s">
        <v>170</v>
      </c>
      <c r="K136" t="s">
        <v>170</v>
      </c>
      <c r="L136" t="str">
        <f>_xlfn.CONCAT(F136,"-",G136,"-",I136,"-morning-",B137)</f>
        <v>FG19-101-A-morning-45748</v>
      </c>
    </row>
    <row r="137" spans="1:13" x14ac:dyDescent="0.3">
      <c r="A137" t="s">
        <v>212</v>
      </c>
      <c r="B137" s="1">
        <v>45748</v>
      </c>
      <c r="C137">
        <v>57437</v>
      </c>
      <c r="F137" t="s">
        <v>131</v>
      </c>
      <c r="G137" t="s">
        <v>271</v>
      </c>
      <c r="H137" t="s">
        <v>2</v>
      </c>
      <c r="I137" t="s">
        <v>3</v>
      </c>
      <c r="J137" t="str">
        <f t="shared" ref="J137" si="55">_xlfn.CONCAT(F137,"_",G137)</f>
        <v>KL0908_c219</v>
      </c>
      <c r="K137" t="str">
        <f t="shared" ref="K137" si="56">_xlfn.CONCAT(J137,"_",H137)</f>
        <v>KL0908_c219_a1</v>
      </c>
      <c r="L137" t="str">
        <f t="shared" ref="L137" si="57">_xlfn.CONCAT(K137,"_",I137)</f>
        <v>KL0908_c219_a1_FIA</v>
      </c>
      <c r="M137" t="s">
        <v>398</v>
      </c>
    </row>
    <row r="138" spans="1:13" x14ac:dyDescent="0.3">
      <c r="A138" t="s">
        <v>213</v>
      </c>
      <c r="B138" s="1">
        <v>45748</v>
      </c>
      <c r="C138">
        <v>58839</v>
      </c>
      <c r="F138" t="s">
        <v>131</v>
      </c>
      <c r="G138" t="s">
        <v>272</v>
      </c>
      <c r="H138" t="s">
        <v>2</v>
      </c>
      <c r="I138" t="s">
        <v>3</v>
      </c>
      <c r="J138" t="str">
        <f t="shared" ref="J138:J149" si="58">_xlfn.CONCAT(F138,"_",G138)</f>
        <v>KL0908_c223</v>
      </c>
      <c r="K138" t="str">
        <f t="shared" ref="K138:K149" si="59">_xlfn.CONCAT(J138,"_",H138)</f>
        <v>KL0908_c223_a1</v>
      </c>
      <c r="L138" t="str">
        <f t="shared" ref="L138:L149" si="60">_xlfn.CONCAT(K138,"_",I138)</f>
        <v>KL0908_c223_a1_FIA</v>
      </c>
      <c r="M138" t="s">
        <v>399</v>
      </c>
    </row>
    <row r="139" spans="1:13" x14ac:dyDescent="0.3">
      <c r="A139" t="s">
        <v>214</v>
      </c>
      <c r="B139" s="1">
        <v>45748</v>
      </c>
      <c r="C139">
        <v>59499</v>
      </c>
      <c r="F139" t="s">
        <v>131</v>
      </c>
      <c r="G139" t="s">
        <v>273</v>
      </c>
      <c r="H139" t="s">
        <v>2</v>
      </c>
      <c r="I139" t="s">
        <v>3</v>
      </c>
      <c r="J139" t="str">
        <f t="shared" si="58"/>
        <v>KL0908_c228</v>
      </c>
      <c r="K139" t="str">
        <f t="shared" si="59"/>
        <v>KL0908_c228_a1</v>
      </c>
      <c r="L139" t="str">
        <f t="shared" si="60"/>
        <v>KL0908_c228_a1_FIA</v>
      </c>
      <c r="M139" t="s">
        <v>400</v>
      </c>
    </row>
    <row r="140" spans="1:13" x14ac:dyDescent="0.3">
      <c r="A140" t="s">
        <v>215</v>
      </c>
      <c r="B140" s="1">
        <v>45748</v>
      </c>
      <c r="C140">
        <v>60826</v>
      </c>
      <c r="F140" t="s">
        <v>156</v>
      </c>
      <c r="G140" t="s">
        <v>274</v>
      </c>
      <c r="H140" t="s">
        <v>2</v>
      </c>
      <c r="I140" t="s">
        <v>3</v>
      </c>
      <c r="J140" t="str">
        <f t="shared" si="58"/>
        <v>KL0909_c231</v>
      </c>
      <c r="K140" t="str">
        <f t="shared" si="59"/>
        <v>KL0909_c231_a1</v>
      </c>
      <c r="L140" t="str">
        <f t="shared" si="60"/>
        <v>KL0909_c231_a1_FIA</v>
      </c>
      <c r="M140" t="s">
        <v>401</v>
      </c>
    </row>
    <row r="141" spans="1:13" x14ac:dyDescent="0.3">
      <c r="A141" t="s">
        <v>216</v>
      </c>
      <c r="B141" s="1">
        <v>45748</v>
      </c>
      <c r="C141">
        <v>61496</v>
      </c>
      <c r="F141" t="s">
        <v>156</v>
      </c>
      <c r="G141" t="s">
        <v>274</v>
      </c>
      <c r="H141" t="s">
        <v>2</v>
      </c>
      <c r="I141" t="s">
        <v>5</v>
      </c>
      <c r="J141" t="str">
        <f t="shared" si="58"/>
        <v>KL0909_c231</v>
      </c>
      <c r="K141" t="str">
        <f t="shared" si="59"/>
        <v>KL0909_c231_a1</v>
      </c>
      <c r="L141" t="str">
        <f t="shared" si="60"/>
        <v>KL0909_c231_a1_FIB</v>
      </c>
      <c r="M141" t="s">
        <v>401</v>
      </c>
    </row>
    <row r="142" spans="1:13" x14ac:dyDescent="0.3">
      <c r="A142" t="s">
        <v>217</v>
      </c>
      <c r="B142" s="1">
        <v>45748</v>
      </c>
      <c r="C142">
        <v>62091</v>
      </c>
      <c r="F142" t="s">
        <v>156</v>
      </c>
      <c r="G142" t="s">
        <v>275</v>
      </c>
      <c r="H142" t="s">
        <v>2</v>
      </c>
      <c r="I142" t="s">
        <v>3</v>
      </c>
      <c r="J142" t="str">
        <f t="shared" si="58"/>
        <v>KL0909_c235</v>
      </c>
      <c r="K142" t="str">
        <f t="shared" si="59"/>
        <v>KL0909_c235_a1</v>
      </c>
      <c r="L142" t="str">
        <f t="shared" si="60"/>
        <v>KL0909_c235_a1_FIA</v>
      </c>
      <c r="M142" t="s">
        <v>402</v>
      </c>
    </row>
    <row r="143" spans="1:13" x14ac:dyDescent="0.3">
      <c r="A143" t="s">
        <v>218</v>
      </c>
      <c r="B143" s="1">
        <v>45748</v>
      </c>
      <c r="C143">
        <v>43150</v>
      </c>
      <c r="F143" t="s">
        <v>276</v>
      </c>
      <c r="G143" t="s">
        <v>277</v>
      </c>
      <c r="H143" t="s">
        <v>2</v>
      </c>
      <c r="I143" t="s">
        <v>3</v>
      </c>
      <c r="J143" t="str">
        <f t="shared" si="58"/>
        <v>KL0917_c202</v>
      </c>
      <c r="K143" t="str">
        <f t="shared" si="59"/>
        <v>KL0917_c202_a1</v>
      </c>
      <c r="L143" t="str">
        <f t="shared" si="60"/>
        <v>KL0917_c202_a1_FIA</v>
      </c>
      <c r="M143" t="s">
        <v>404</v>
      </c>
    </row>
    <row r="144" spans="1:13" x14ac:dyDescent="0.3">
      <c r="A144" t="s">
        <v>219</v>
      </c>
      <c r="B144" s="1">
        <v>45748</v>
      </c>
      <c r="C144">
        <v>43625</v>
      </c>
      <c r="F144" t="s">
        <v>276</v>
      </c>
      <c r="G144" t="s">
        <v>277</v>
      </c>
      <c r="H144" t="s">
        <v>2</v>
      </c>
      <c r="I144" t="s">
        <v>5</v>
      </c>
      <c r="J144" t="str">
        <f t="shared" si="58"/>
        <v>KL0917_c202</v>
      </c>
      <c r="K144" t="str">
        <f t="shared" si="59"/>
        <v>KL0917_c202_a1</v>
      </c>
      <c r="L144" t="str">
        <f t="shared" si="60"/>
        <v>KL0917_c202_a1_FIB</v>
      </c>
      <c r="M144" t="s">
        <v>404</v>
      </c>
    </row>
    <row r="145" spans="1:14" x14ac:dyDescent="0.3">
      <c r="A145" t="s">
        <v>220</v>
      </c>
      <c r="B145" s="1">
        <v>45748</v>
      </c>
      <c r="C145">
        <v>44639</v>
      </c>
      <c r="F145" t="s">
        <v>163</v>
      </c>
      <c r="G145" t="s">
        <v>278</v>
      </c>
      <c r="H145" t="s">
        <v>2</v>
      </c>
      <c r="I145" t="s">
        <v>3</v>
      </c>
      <c r="J145" t="str">
        <f t="shared" si="58"/>
        <v>KL0920_c216</v>
      </c>
      <c r="K145" t="str">
        <f t="shared" si="59"/>
        <v>KL0920_c216_a1</v>
      </c>
      <c r="L145" t="str">
        <f t="shared" si="60"/>
        <v>KL0920_c216_a1_FIA</v>
      </c>
      <c r="M145" t="s">
        <v>396</v>
      </c>
    </row>
    <row r="146" spans="1:14" x14ac:dyDescent="0.3">
      <c r="A146" t="s">
        <v>221</v>
      </c>
      <c r="B146" s="1">
        <v>45748</v>
      </c>
      <c r="C146">
        <v>45772</v>
      </c>
      <c r="F146" t="s">
        <v>163</v>
      </c>
      <c r="G146" t="s">
        <v>278</v>
      </c>
      <c r="H146" t="s">
        <v>133</v>
      </c>
      <c r="I146" t="s">
        <v>8</v>
      </c>
      <c r="J146" t="str">
        <f t="shared" si="58"/>
        <v>KL0920_c216</v>
      </c>
      <c r="K146" t="str">
        <f t="shared" si="59"/>
        <v>KL0920_c216_a2</v>
      </c>
      <c r="L146" t="str">
        <f t="shared" si="60"/>
        <v>KL0920_c216_a2_FID</v>
      </c>
      <c r="M146" t="s">
        <v>397</v>
      </c>
    </row>
    <row r="147" spans="1:14" x14ac:dyDescent="0.3">
      <c r="A147" t="s">
        <v>222</v>
      </c>
      <c r="B147" s="1">
        <v>45748</v>
      </c>
      <c r="C147">
        <v>50201</v>
      </c>
      <c r="F147" t="s">
        <v>163</v>
      </c>
      <c r="G147" t="s">
        <v>278</v>
      </c>
      <c r="H147" t="s">
        <v>133</v>
      </c>
      <c r="I147" t="s">
        <v>68</v>
      </c>
      <c r="J147" t="str">
        <f t="shared" si="58"/>
        <v>KL0920_c216</v>
      </c>
      <c r="K147" t="str">
        <f t="shared" si="59"/>
        <v>KL0920_c216_a2</v>
      </c>
      <c r="L147" t="str">
        <f t="shared" si="60"/>
        <v>KL0920_c216_a2_FIH</v>
      </c>
      <c r="M147" t="s">
        <v>397</v>
      </c>
    </row>
    <row r="148" spans="1:14" x14ac:dyDescent="0.3">
      <c r="A148" t="s">
        <v>223</v>
      </c>
      <c r="B148" s="1">
        <v>45748</v>
      </c>
      <c r="C148">
        <v>62656</v>
      </c>
      <c r="F148" t="s">
        <v>165</v>
      </c>
      <c r="G148" t="s">
        <v>279</v>
      </c>
      <c r="H148" t="s">
        <v>2</v>
      </c>
      <c r="I148" t="s">
        <v>3</v>
      </c>
      <c r="J148" t="str">
        <f t="shared" si="58"/>
        <v>KL0931_c240</v>
      </c>
      <c r="K148" t="str">
        <f t="shared" si="59"/>
        <v>KL0931_c240_a1</v>
      </c>
      <c r="L148" t="str">
        <f t="shared" si="60"/>
        <v>KL0931_c240_a1_FIA</v>
      </c>
      <c r="M148" t="s">
        <v>403</v>
      </c>
    </row>
    <row r="149" spans="1:14" x14ac:dyDescent="0.3">
      <c r="A149" t="s">
        <v>224</v>
      </c>
      <c r="B149" s="1">
        <v>45748</v>
      </c>
      <c r="C149">
        <v>62956</v>
      </c>
      <c r="F149" t="s">
        <v>165</v>
      </c>
      <c r="G149" t="s">
        <v>279</v>
      </c>
      <c r="H149" t="s">
        <v>2</v>
      </c>
      <c r="I149" t="s">
        <v>5</v>
      </c>
      <c r="J149" t="str">
        <f t="shared" si="58"/>
        <v>KL0931_c240</v>
      </c>
      <c r="K149" t="str">
        <f t="shared" si="59"/>
        <v>KL0931_c240_a1</v>
      </c>
      <c r="L149" t="str">
        <f t="shared" si="60"/>
        <v>KL0931_c240_a1_FIB</v>
      </c>
      <c r="M149" t="s">
        <v>403</v>
      </c>
    </row>
    <row r="150" spans="1:14" x14ac:dyDescent="0.3">
      <c r="A150" t="s">
        <v>225</v>
      </c>
      <c r="B150" s="1">
        <v>45755</v>
      </c>
      <c r="C150">
        <v>65329</v>
      </c>
      <c r="F150" t="s">
        <v>23</v>
      </c>
      <c r="G150" t="s">
        <v>24</v>
      </c>
      <c r="I150">
        <v>1</v>
      </c>
      <c r="J150" t="s">
        <v>25</v>
      </c>
      <c r="K150" t="s">
        <v>25</v>
      </c>
      <c r="L150" t="str">
        <f>_xlfn.CONCAT(F150,"-",G150,"-",I150,"-evening-",B151)</f>
        <v>FG04-A1-1-evening-45755</v>
      </c>
    </row>
    <row r="151" spans="1:14" x14ac:dyDescent="0.3">
      <c r="A151" t="s">
        <v>226</v>
      </c>
      <c r="B151" s="1">
        <v>45755</v>
      </c>
      <c r="C151">
        <v>40403</v>
      </c>
      <c r="F151" t="s">
        <v>23</v>
      </c>
      <c r="G151" t="s">
        <v>24</v>
      </c>
      <c r="I151">
        <v>1</v>
      </c>
      <c r="J151" t="s">
        <v>25</v>
      </c>
      <c r="K151" t="s">
        <v>25</v>
      </c>
      <c r="L151" t="str">
        <f>_xlfn.CONCAT(F151,"-",G151,"-",I151,"-morning-",B152)</f>
        <v>FG04-A1-1-morning-45755</v>
      </c>
    </row>
    <row r="152" spans="1:14" x14ac:dyDescent="0.3">
      <c r="A152" t="s">
        <v>227</v>
      </c>
      <c r="B152" s="1">
        <v>45755</v>
      </c>
      <c r="C152">
        <v>65571</v>
      </c>
      <c r="F152" t="s">
        <v>23</v>
      </c>
      <c r="G152" t="s">
        <v>24</v>
      </c>
      <c r="I152">
        <v>2</v>
      </c>
      <c r="J152" t="s">
        <v>25</v>
      </c>
      <c r="K152" t="s">
        <v>25</v>
      </c>
      <c r="L152" t="str">
        <f>_xlfn.CONCAT(F152,"-",G152,"-",I152,"-evening-",B153)</f>
        <v>FG04-A1-2-evening-45755</v>
      </c>
    </row>
    <row r="153" spans="1:14" x14ac:dyDescent="0.3">
      <c r="A153" t="s">
        <v>228</v>
      </c>
      <c r="B153" s="1">
        <v>45755</v>
      </c>
      <c r="C153">
        <v>40857</v>
      </c>
      <c r="F153" t="s">
        <v>23</v>
      </c>
      <c r="G153" t="s">
        <v>24</v>
      </c>
      <c r="I153">
        <v>2</v>
      </c>
      <c r="J153" t="s">
        <v>25</v>
      </c>
      <c r="K153" t="s">
        <v>25</v>
      </c>
      <c r="L153" t="str">
        <f>_xlfn.CONCAT(F153,"-",G153,"-",I153,"-morning-",B154)</f>
        <v>FG04-A1-2-morning-45755</v>
      </c>
    </row>
    <row r="154" spans="1:14" x14ac:dyDescent="0.3">
      <c r="A154" t="s">
        <v>229</v>
      </c>
      <c r="B154" s="1">
        <v>45755</v>
      </c>
      <c r="C154">
        <v>65827</v>
      </c>
      <c r="F154" t="s">
        <v>23</v>
      </c>
      <c r="G154" t="s">
        <v>24</v>
      </c>
      <c r="I154">
        <v>4</v>
      </c>
      <c r="J154" t="s">
        <v>25</v>
      </c>
      <c r="K154" t="s">
        <v>25</v>
      </c>
      <c r="L154" t="str">
        <f>_xlfn.CONCAT(F154,"-",G154,"-",I154,"-evening-",B155)</f>
        <v>FG04-A1-4-evening-45755</v>
      </c>
    </row>
    <row r="155" spans="1:14" x14ac:dyDescent="0.3">
      <c r="A155" t="s">
        <v>230</v>
      </c>
      <c r="B155" s="1">
        <v>45755</v>
      </c>
      <c r="C155">
        <v>41191</v>
      </c>
      <c r="F155" t="s">
        <v>23</v>
      </c>
      <c r="G155" t="s">
        <v>24</v>
      </c>
      <c r="I155">
        <v>4</v>
      </c>
      <c r="J155" t="s">
        <v>25</v>
      </c>
      <c r="K155" t="s">
        <v>25</v>
      </c>
      <c r="L155" t="str">
        <f>_xlfn.CONCAT(F155,"-",G155,"-",I155,"-morning-",B156)</f>
        <v>FG04-A1-4-morning-45755</v>
      </c>
    </row>
    <row r="156" spans="1:14" x14ac:dyDescent="0.3">
      <c r="A156" t="s">
        <v>231</v>
      </c>
      <c r="B156" s="1">
        <v>45755</v>
      </c>
      <c r="C156">
        <v>64810</v>
      </c>
      <c r="F156" t="s">
        <v>168</v>
      </c>
      <c r="G156">
        <v>101</v>
      </c>
      <c r="I156" t="s">
        <v>169</v>
      </c>
      <c r="J156" t="s">
        <v>170</v>
      </c>
      <c r="K156" t="s">
        <v>170</v>
      </c>
      <c r="L156" t="str">
        <f>_xlfn.CONCAT(F156,"-",G156,"-",I156,"-evening-",B157)</f>
        <v>FG19-101-A-evening-45755</v>
      </c>
    </row>
    <row r="157" spans="1:14" x14ac:dyDescent="0.3">
      <c r="A157" t="s">
        <v>232</v>
      </c>
      <c r="B157" s="1">
        <v>45755</v>
      </c>
      <c r="C157">
        <v>41606</v>
      </c>
      <c r="F157" t="s">
        <v>168</v>
      </c>
      <c r="G157">
        <v>101</v>
      </c>
      <c r="I157" t="s">
        <v>169</v>
      </c>
      <c r="J157" t="s">
        <v>170</v>
      </c>
      <c r="K157" t="s">
        <v>170</v>
      </c>
      <c r="L157" t="str">
        <f>_xlfn.CONCAT(F157,"-",G157,"-",I157,"-morning-",B158)</f>
        <v>FG19-101-A-morning-45755</v>
      </c>
    </row>
    <row r="158" spans="1:14" x14ac:dyDescent="0.3">
      <c r="A158" t="s">
        <v>233</v>
      </c>
      <c r="B158" s="1">
        <v>45755</v>
      </c>
      <c r="C158">
        <v>43680</v>
      </c>
      <c r="F158" t="s">
        <v>280</v>
      </c>
      <c r="G158" t="s">
        <v>281</v>
      </c>
      <c r="H158" t="s">
        <v>2</v>
      </c>
      <c r="I158" t="s">
        <v>3</v>
      </c>
      <c r="J158" t="str">
        <f t="shared" ref="J158" si="61">_xlfn.CONCAT(F158,"_",G158)</f>
        <v>KL0914_c001</v>
      </c>
      <c r="K158" t="str">
        <f t="shared" ref="K158" si="62">_xlfn.CONCAT(J158,"_",H158)</f>
        <v>KL0914_c001_a1</v>
      </c>
      <c r="L158" t="str">
        <f t="shared" ref="L158" si="63">_xlfn.CONCAT(K158,"_",I158)</f>
        <v>KL0914_c001_a1_FIA</v>
      </c>
      <c r="M158" s="6"/>
      <c r="N158" s="6" t="s">
        <v>442</v>
      </c>
    </row>
    <row r="159" spans="1:14" x14ac:dyDescent="0.3">
      <c r="A159" t="s">
        <v>234</v>
      </c>
      <c r="B159" s="1">
        <v>45755</v>
      </c>
      <c r="C159">
        <v>44030</v>
      </c>
      <c r="F159" t="s">
        <v>280</v>
      </c>
      <c r="G159" t="s">
        <v>281</v>
      </c>
      <c r="H159" t="s">
        <v>2</v>
      </c>
      <c r="I159" t="s">
        <v>5</v>
      </c>
      <c r="J159" t="str">
        <f t="shared" ref="J159:J178" si="64">_xlfn.CONCAT(F159,"_",G159)</f>
        <v>KL0914_c001</v>
      </c>
      <c r="K159" t="str">
        <f t="shared" ref="K159:K178" si="65">_xlfn.CONCAT(J159,"_",H159)</f>
        <v>KL0914_c001_a1</v>
      </c>
      <c r="L159" t="str">
        <f t="shared" ref="L159:L178" si="66">_xlfn.CONCAT(K159,"_",I159)</f>
        <v>KL0914_c001_a1_FIB</v>
      </c>
      <c r="M159" s="6"/>
      <c r="N159" s="6" t="s">
        <v>442</v>
      </c>
    </row>
    <row r="160" spans="1:14" x14ac:dyDescent="0.3">
      <c r="A160" t="s">
        <v>235</v>
      </c>
      <c r="B160" s="1">
        <v>45755</v>
      </c>
      <c r="C160">
        <v>44309</v>
      </c>
      <c r="F160" t="s">
        <v>280</v>
      </c>
      <c r="G160" t="s">
        <v>281</v>
      </c>
      <c r="H160" t="s">
        <v>2</v>
      </c>
      <c r="I160" t="s">
        <v>7</v>
      </c>
      <c r="J160" t="str">
        <f t="shared" si="64"/>
        <v>KL0914_c001</v>
      </c>
      <c r="K160" t="str">
        <f t="shared" si="65"/>
        <v>KL0914_c001_a1</v>
      </c>
      <c r="L160" t="str">
        <f t="shared" si="66"/>
        <v>KL0914_c001_a1_FIC</v>
      </c>
      <c r="M160" s="6"/>
      <c r="N160" s="6" t="s">
        <v>442</v>
      </c>
    </row>
    <row r="161" spans="1:14" x14ac:dyDescent="0.3">
      <c r="A161" t="s">
        <v>236</v>
      </c>
      <c r="B161" s="1">
        <v>45755</v>
      </c>
      <c r="C161">
        <v>45024</v>
      </c>
      <c r="F161" t="s">
        <v>280</v>
      </c>
      <c r="G161" t="s">
        <v>282</v>
      </c>
      <c r="H161" t="s">
        <v>2</v>
      </c>
      <c r="I161" t="s">
        <v>7</v>
      </c>
      <c r="J161" t="str">
        <f t="shared" si="64"/>
        <v>KL0914_c004</v>
      </c>
      <c r="K161" t="str">
        <f t="shared" si="65"/>
        <v>KL0914_c004_a1</v>
      </c>
      <c r="L161" t="str">
        <f t="shared" si="66"/>
        <v>KL0914_c004_a1_FIC</v>
      </c>
      <c r="M161" s="6"/>
      <c r="N161" s="6" t="s">
        <v>442</v>
      </c>
    </row>
    <row r="162" spans="1:14" x14ac:dyDescent="0.3">
      <c r="A162" t="s">
        <v>237</v>
      </c>
      <c r="B162" s="1">
        <v>45755</v>
      </c>
      <c r="C162">
        <v>45301</v>
      </c>
      <c r="F162" t="s">
        <v>280</v>
      </c>
      <c r="G162" t="s">
        <v>282</v>
      </c>
      <c r="H162" t="s">
        <v>2</v>
      </c>
      <c r="I162" t="s">
        <v>8</v>
      </c>
      <c r="J162" t="str">
        <f t="shared" si="64"/>
        <v>KL0914_c004</v>
      </c>
      <c r="K162" t="str">
        <f t="shared" si="65"/>
        <v>KL0914_c004_a1</v>
      </c>
      <c r="L162" t="str">
        <f t="shared" si="66"/>
        <v>KL0914_c004_a1_FID</v>
      </c>
      <c r="M162" s="6"/>
      <c r="N162" s="6" t="s">
        <v>442</v>
      </c>
    </row>
    <row r="163" spans="1:14" x14ac:dyDescent="0.3">
      <c r="A163" t="s">
        <v>238</v>
      </c>
      <c r="B163" s="1">
        <v>45755</v>
      </c>
      <c r="C163">
        <v>46166</v>
      </c>
      <c r="F163" t="s">
        <v>280</v>
      </c>
      <c r="G163" t="s">
        <v>283</v>
      </c>
      <c r="H163" t="s">
        <v>2</v>
      </c>
      <c r="I163" t="s">
        <v>3</v>
      </c>
      <c r="J163" t="str">
        <f t="shared" si="64"/>
        <v>KL0914_c008</v>
      </c>
      <c r="K163" t="str">
        <f t="shared" si="65"/>
        <v>KL0914_c008_a1</v>
      </c>
      <c r="L163" t="str">
        <f t="shared" si="66"/>
        <v>KL0914_c008_a1_FIA</v>
      </c>
      <c r="M163" t="s">
        <v>431</v>
      </c>
    </row>
    <row r="164" spans="1:14" x14ac:dyDescent="0.3">
      <c r="A164" t="s">
        <v>239</v>
      </c>
      <c r="B164" s="1">
        <v>45755</v>
      </c>
      <c r="C164">
        <v>46556</v>
      </c>
      <c r="F164" t="s">
        <v>280</v>
      </c>
      <c r="G164" t="s">
        <v>283</v>
      </c>
      <c r="H164" t="s">
        <v>133</v>
      </c>
      <c r="I164" t="s">
        <v>5</v>
      </c>
      <c r="J164" t="str">
        <f t="shared" si="64"/>
        <v>KL0914_c008</v>
      </c>
      <c r="K164" t="str">
        <f t="shared" si="65"/>
        <v>KL0914_c008_a2</v>
      </c>
      <c r="L164" t="str">
        <f t="shared" si="66"/>
        <v>KL0914_c008_a2_FIB</v>
      </c>
      <c r="M164" s="5" t="s">
        <v>432</v>
      </c>
    </row>
    <row r="165" spans="1:14" x14ac:dyDescent="0.3">
      <c r="A165" t="s">
        <v>240</v>
      </c>
      <c r="B165" s="1">
        <v>45755</v>
      </c>
      <c r="C165">
        <v>46911</v>
      </c>
      <c r="F165" t="s">
        <v>280</v>
      </c>
      <c r="G165" t="s">
        <v>283</v>
      </c>
      <c r="H165" t="s">
        <v>133</v>
      </c>
      <c r="I165" t="s">
        <v>7</v>
      </c>
      <c r="J165" t="str">
        <f t="shared" si="64"/>
        <v>KL0914_c008</v>
      </c>
      <c r="K165" t="str">
        <f t="shared" si="65"/>
        <v>KL0914_c008_a2</v>
      </c>
      <c r="L165" t="str">
        <f t="shared" si="66"/>
        <v>KL0914_c008_a2_FIC</v>
      </c>
      <c r="M165" s="5" t="s">
        <v>432</v>
      </c>
    </row>
    <row r="166" spans="1:14" x14ac:dyDescent="0.3">
      <c r="A166" t="s">
        <v>241</v>
      </c>
      <c r="B166" s="1">
        <v>45755</v>
      </c>
      <c r="C166">
        <v>47789</v>
      </c>
      <c r="F166" t="s">
        <v>280</v>
      </c>
      <c r="G166" t="s">
        <v>284</v>
      </c>
      <c r="H166" t="s">
        <v>2</v>
      </c>
      <c r="I166" t="s">
        <v>3</v>
      </c>
      <c r="J166" t="str">
        <f t="shared" si="64"/>
        <v>KL0914_c012</v>
      </c>
      <c r="K166" t="str">
        <f t="shared" si="65"/>
        <v>KL0914_c012_a1</v>
      </c>
      <c r="L166" t="str">
        <f t="shared" si="66"/>
        <v>KL0914_c012_a1_FIA</v>
      </c>
      <c r="M166" t="s">
        <v>433</v>
      </c>
    </row>
    <row r="167" spans="1:14" x14ac:dyDescent="0.3">
      <c r="A167" t="s">
        <v>242</v>
      </c>
      <c r="B167" s="1">
        <v>45755</v>
      </c>
      <c r="C167">
        <v>48097</v>
      </c>
      <c r="F167" t="s">
        <v>280</v>
      </c>
      <c r="G167" t="s">
        <v>284</v>
      </c>
      <c r="H167" t="s">
        <v>2</v>
      </c>
      <c r="I167" t="s">
        <v>5</v>
      </c>
      <c r="J167" t="str">
        <f t="shared" si="64"/>
        <v>KL0914_c012</v>
      </c>
      <c r="K167" t="str">
        <f t="shared" si="65"/>
        <v>KL0914_c012_a1</v>
      </c>
      <c r="L167" t="str">
        <f t="shared" si="66"/>
        <v>KL0914_c012_a1_FIB</v>
      </c>
      <c r="M167" t="s">
        <v>433</v>
      </c>
    </row>
    <row r="168" spans="1:14" x14ac:dyDescent="0.3">
      <c r="A168" t="s">
        <v>243</v>
      </c>
      <c r="B168" s="1">
        <v>45755</v>
      </c>
      <c r="C168">
        <v>49688</v>
      </c>
      <c r="F168" t="s">
        <v>280</v>
      </c>
      <c r="G168" t="s">
        <v>285</v>
      </c>
      <c r="H168" t="s">
        <v>2</v>
      </c>
      <c r="I168" t="s">
        <v>3</v>
      </c>
      <c r="J168" t="str">
        <f t="shared" si="64"/>
        <v>KL0914_c016</v>
      </c>
      <c r="K168" t="str">
        <f t="shared" si="65"/>
        <v>KL0914_c016_a1</v>
      </c>
      <c r="L168" t="str">
        <f t="shared" si="66"/>
        <v>KL0914_c016_a1_FIA</v>
      </c>
      <c r="M168" t="s">
        <v>415</v>
      </c>
    </row>
    <row r="169" spans="1:14" x14ac:dyDescent="0.3">
      <c r="A169" t="s">
        <v>244</v>
      </c>
      <c r="B169" s="1">
        <v>45755</v>
      </c>
      <c r="C169">
        <v>49983</v>
      </c>
      <c r="F169" t="s">
        <v>280</v>
      </c>
      <c r="G169" t="s">
        <v>285</v>
      </c>
      <c r="H169" t="s">
        <v>2</v>
      </c>
      <c r="I169" t="s">
        <v>5</v>
      </c>
      <c r="J169" t="str">
        <f t="shared" si="64"/>
        <v>KL0914_c016</v>
      </c>
      <c r="K169" t="str">
        <f t="shared" si="65"/>
        <v>KL0914_c016_a1</v>
      </c>
      <c r="L169" t="str">
        <f t="shared" si="66"/>
        <v>KL0914_c016_a1_FIB</v>
      </c>
      <c r="M169" t="s">
        <v>415</v>
      </c>
    </row>
    <row r="170" spans="1:14" x14ac:dyDescent="0.3">
      <c r="A170" t="s">
        <v>245</v>
      </c>
      <c r="B170" s="1">
        <v>45755</v>
      </c>
      <c r="C170">
        <v>56853</v>
      </c>
      <c r="F170" t="s">
        <v>280</v>
      </c>
      <c r="G170" t="s">
        <v>285</v>
      </c>
      <c r="H170" t="s">
        <v>133</v>
      </c>
      <c r="I170" t="s">
        <v>7</v>
      </c>
      <c r="J170" t="str">
        <f t="shared" si="64"/>
        <v>KL0914_c016</v>
      </c>
      <c r="K170" t="str">
        <f t="shared" si="65"/>
        <v>KL0914_c016_a2</v>
      </c>
      <c r="L170" t="str">
        <f t="shared" si="66"/>
        <v>KL0914_c016_a2_FIC</v>
      </c>
      <c r="M170" t="s">
        <v>434</v>
      </c>
    </row>
    <row r="171" spans="1:14" x14ac:dyDescent="0.3">
      <c r="A171" t="s">
        <v>246</v>
      </c>
      <c r="B171" s="1">
        <v>45755</v>
      </c>
      <c r="C171">
        <v>57241</v>
      </c>
      <c r="F171" t="s">
        <v>280</v>
      </c>
      <c r="G171" t="s">
        <v>285</v>
      </c>
      <c r="H171" t="s">
        <v>286</v>
      </c>
      <c r="I171" t="s">
        <v>8</v>
      </c>
      <c r="J171" t="str">
        <f t="shared" si="64"/>
        <v>KL0914_c016</v>
      </c>
      <c r="K171" t="str">
        <f t="shared" si="65"/>
        <v>KL0914_c016_a3</v>
      </c>
      <c r="L171" t="str">
        <f t="shared" si="66"/>
        <v>KL0914_c016_a3_FID</v>
      </c>
      <c r="M171" t="s">
        <v>435</v>
      </c>
    </row>
    <row r="172" spans="1:14" x14ac:dyDescent="0.3">
      <c r="A172" t="s">
        <v>247</v>
      </c>
      <c r="B172" s="1">
        <v>45755</v>
      </c>
      <c r="C172">
        <v>57590</v>
      </c>
      <c r="F172" t="s">
        <v>280</v>
      </c>
      <c r="G172" t="s">
        <v>287</v>
      </c>
      <c r="H172" t="s">
        <v>2</v>
      </c>
      <c r="I172" t="s">
        <v>3</v>
      </c>
      <c r="J172" t="str">
        <f t="shared" si="64"/>
        <v>KL0914_c017</v>
      </c>
      <c r="K172" t="str">
        <f t="shared" si="65"/>
        <v>KL0914_c017_a1</v>
      </c>
      <c r="L172" t="str">
        <f t="shared" si="66"/>
        <v>KL0914_c017_a1_FIA</v>
      </c>
      <c r="M172" s="5" t="s">
        <v>436</v>
      </c>
    </row>
    <row r="173" spans="1:14" x14ac:dyDescent="0.3">
      <c r="A173" t="s">
        <v>248</v>
      </c>
      <c r="B173" s="1">
        <v>45755</v>
      </c>
      <c r="C173">
        <v>58005</v>
      </c>
      <c r="F173" t="s">
        <v>280</v>
      </c>
      <c r="G173" t="s">
        <v>288</v>
      </c>
      <c r="H173" t="s">
        <v>2</v>
      </c>
      <c r="I173" t="s">
        <v>3</v>
      </c>
      <c r="J173" t="str">
        <f t="shared" si="64"/>
        <v>KL0914_c019</v>
      </c>
      <c r="K173" t="str">
        <f t="shared" si="65"/>
        <v>KL0914_c019_a1</v>
      </c>
      <c r="L173" t="str">
        <f t="shared" si="66"/>
        <v>KL0914_c019_a1_FIA</v>
      </c>
      <c r="M173" s="5" t="s">
        <v>437</v>
      </c>
    </row>
    <row r="174" spans="1:14" x14ac:dyDescent="0.3">
      <c r="A174" t="s">
        <v>249</v>
      </c>
      <c r="B174" s="1">
        <v>45755</v>
      </c>
      <c r="C174">
        <v>58408</v>
      </c>
      <c r="F174" t="s">
        <v>165</v>
      </c>
      <c r="G174" t="s">
        <v>289</v>
      </c>
      <c r="H174" t="s">
        <v>2</v>
      </c>
      <c r="I174" t="s">
        <v>3</v>
      </c>
      <c r="J174" t="str">
        <f t="shared" si="64"/>
        <v>KL0931_c021</v>
      </c>
      <c r="K174" t="str">
        <f t="shared" si="65"/>
        <v>KL0931_c021_a1</v>
      </c>
      <c r="L174" t="str">
        <f t="shared" si="66"/>
        <v>KL0931_c021_a1_FIA</v>
      </c>
      <c r="M174" s="6" t="s">
        <v>430</v>
      </c>
      <c r="N174" s="6" t="s">
        <v>443</v>
      </c>
    </row>
    <row r="175" spans="1:14" x14ac:dyDescent="0.3">
      <c r="A175" t="s">
        <v>250</v>
      </c>
      <c r="B175" s="1">
        <v>45755</v>
      </c>
      <c r="C175">
        <v>60862</v>
      </c>
      <c r="F175" t="s">
        <v>165</v>
      </c>
      <c r="G175" t="s">
        <v>290</v>
      </c>
      <c r="H175" t="s">
        <v>2</v>
      </c>
      <c r="I175" t="s">
        <v>3</v>
      </c>
      <c r="J175" t="str">
        <f t="shared" si="64"/>
        <v>KL0931_c027</v>
      </c>
      <c r="K175" t="str">
        <f t="shared" si="65"/>
        <v>KL0931_c027_a1</v>
      </c>
      <c r="L175" t="str">
        <f t="shared" si="66"/>
        <v>KL0931_c027_a1_FIA</v>
      </c>
      <c r="M175" t="s">
        <v>416</v>
      </c>
    </row>
    <row r="176" spans="1:14" x14ac:dyDescent="0.3">
      <c r="A176" t="s">
        <v>251</v>
      </c>
      <c r="B176" s="1">
        <v>45755</v>
      </c>
      <c r="C176">
        <v>61229</v>
      </c>
      <c r="F176" t="s">
        <v>165</v>
      </c>
      <c r="G176" t="s">
        <v>291</v>
      </c>
      <c r="H176" t="s">
        <v>2</v>
      </c>
      <c r="I176" t="s">
        <v>3</v>
      </c>
      <c r="J176" t="str">
        <f t="shared" si="64"/>
        <v>KL0931_c028</v>
      </c>
      <c r="K176" t="str">
        <f t="shared" si="65"/>
        <v>KL0931_c028_a1</v>
      </c>
      <c r="L176" t="str">
        <f t="shared" si="66"/>
        <v>KL0931_c028_a1_FIA</v>
      </c>
      <c r="M176" t="s">
        <v>417</v>
      </c>
    </row>
    <row r="177" spans="1:18" x14ac:dyDescent="0.3">
      <c r="A177" t="s">
        <v>252</v>
      </c>
      <c r="B177" s="1">
        <v>45755</v>
      </c>
      <c r="C177">
        <v>61517</v>
      </c>
      <c r="F177" t="s">
        <v>165</v>
      </c>
      <c r="G177" t="s">
        <v>291</v>
      </c>
      <c r="H177" t="s">
        <v>2</v>
      </c>
      <c r="I177" t="s">
        <v>5</v>
      </c>
      <c r="J177" t="str">
        <f t="shared" si="64"/>
        <v>KL0931_c028</v>
      </c>
      <c r="K177" t="str">
        <f t="shared" si="65"/>
        <v>KL0931_c028_a1</v>
      </c>
      <c r="L177" t="str">
        <f t="shared" si="66"/>
        <v>KL0931_c028_a1_FIB</v>
      </c>
      <c r="M177" t="s">
        <v>417</v>
      </c>
    </row>
    <row r="178" spans="1:18" x14ac:dyDescent="0.3">
      <c r="A178" t="s">
        <v>253</v>
      </c>
      <c r="B178" s="1">
        <v>45755</v>
      </c>
      <c r="C178">
        <v>62417</v>
      </c>
      <c r="F178" t="s">
        <v>165</v>
      </c>
      <c r="G178" t="s">
        <v>143</v>
      </c>
      <c r="H178" t="s">
        <v>2</v>
      </c>
      <c r="I178" t="s">
        <v>3</v>
      </c>
      <c r="J178" t="str">
        <f t="shared" si="64"/>
        <v>KL0931_c031</v>
      </c>
      <c r="K178" t="str">
        <f t="shared" si="65"/>
        <v>KL0931_c031_a1</v>
      </c>
      <c r="L178" t="str">
        <f t="shared" si="66"/>
        <v>KL0931_c031_a1_FIA</v>
      </c>
      <c r="M178" t="s">
        <v>438</v>
      </c>
    </row>
    <row r="179" spans="1:18" x14ac:dyDescent="0.3">
      <c r="A179" t="s">
        <v>225</v>
      </c>
      <c r="B179" s="1">
        <v>45756</v>
      </c>
      <c r="C179">
        <v>63205</v>
      </c>
      <c r="F179" t="s">
        <v>23</v>
      </c>
      <c r="G179" t="s">
        <v>24</v>
      </c>
      <c r="I179">
        <v>1</v>
      </c>
      <c r="J179" t="s">
        <v>25</v>
      </c>
      <c r="K179" t="s">
        <v>25</v>
      </c>
      <c r="L179" t="str">
        <f>_xlfn.CONCAT(F179,"-",G179,"-",I179,"-evening-",B180)</f>
        <v>FG04-A1-1-evening-45756</v>
      </c>
    </row>
    <row r="180" spans="1:18" x14ac:dyDescent="0.3">
      <c r="A180" t="s">
        <v>226</v>
      </c>
      <c r="B180" s="1">
        <v>45756</v>
      </c>
      <c r="C180">
        <v>41283</v>
      </c>
      <c r="F180" t="s">
        <v>23</v>
      </c>
      <c r="G180" t="s">
        <v>24</v>
      </c>
      <c r="I180">
        <v>1</v>
      </c>
      <c r="J180" t="s">
        <v>25</v>
      </c>
      <c r="K180" t="s">
        <v>25</v>
      </c>
      <c r="L180" t="str">
        <f>_xlfn.CONCAT(F180,"-",G180,"-",I180,"-morning-",B181)</f>
        <v>FG04-A1-1-morning-45756</v>
      </c>
    </row>
    <row r="181" spans="1:18" x14ac:dyDescent="0.3">
      <c r="A181" t="s">
        <v>227</v>
      </c>
      <c r="B181" s="1">
        <v>45756</v>
      </c>
      <c r="C181">
        <v>63451</v>
      </c>
      <c r="F181" t="s">
        <v>23</v>
      </c>
      <c r="G181" t="s">
        <v>24</v>
      </c>
      <c r="I181">
        <v>2</v>
      </c>
      <c r="J181" t="s">
        <v>25</v>
      </c>
      <c r="K181" t="s">
        <v>25</v>
      </c>
      <c r="L181" t="str">
        <f>_xlfn.CONCAT(F181,"-",G181,"-",I181,"-evening-",B182)</f>
        <v>FG04-A1-2-evening-45756</v>
      </c>
    </row>
    <row r="182" spans="1:18" x14ac:dyDescent="0.3">
      <c r="A182" t="s">
        <v>228</v>
      </c>
      <c r="B182" s="1">
        <v>45756</v>
      </c>
      <c r="C182">
        <v>41549</v>
      </c>
      <c r="F182" t="s">
        <v>23</v>
      </c>
      <c r="G182" t="s">
        <v>24</v>
      </c>
      <c r="I182">
        <v>2</v>
      </c>
      <c r="J182" t="s">
        <v>25</v>
      </c>
      <c r="K182" t="s">
        <v>25</v>
      </c>
      <c r="L182" t="str">
        <f>_xlfn.CONCAT(F182,"-",G182,"-",I182,"-morning-",B183)</f>
        <v>FG04-A1-2-morning-45756</v>
      </c>
    </row>
    <row r="183" spans="1:18" x14ac:dyDescent="0.3">
      <c r="A183" t="s">
        <v>229</v>
      </c>
      <c r="B183" s="1">
        <v>45756</v>
      </c>
      <c r="C183">
        <v>63813</v>
      </c>
      <c r="F183" t="s">
        <v>23</v>
      </c>
      <c r="G183" t="s">
        <v>24</v>
      </c>
      <c r="I183">
        <v>4</v>
      </c>
      <c r="J183" t="s">
        <v>25</v>
      </c>
      <c r="K183" t="s">
        <v>25</v>
      </c>
      <c r="L183" t="str">
        <f>_xlfn.CONCAT(F183,"-",G183,"-",I183,"-evening-",B184)</f>
        <v>FG04-A1-4-evening-45756</v>
      </c>
    </row>
    <row r="184" spans="1:18" x14ac:dyDescent="0.3">
      <c r="A184" t="s">
        <v>230</v>
      </c>
      <c r="B184" s="1">
        <v>45756</v>
      </c>
      <c r="C184">
        <v>41902</v>
      </c>
      <c r="F184" t="s">
        <v>23</v>
      </c>
      <c r="G184" t="s">
        <v>24</v>
      </c>
      <c r="I184">
        <v>4</v>
      </c>
      <c r="J184" t="s">
        <v>25</v>
      </c>
      <c r="K184" t="s">
        <v>25</v>
      </c>
      <c r="L184" t="str">
        <f>_xlfn.CONCAT(F184,"-",G184,"-",I184,"-morning-",B185)</f>
        <v>FG04-A1-4-morning-45756</v>
      </c>
    </row>
    <row r="185" spans="1:18" x14ac:dyDescent="0.3">
      <c r="A185" t="s">
        <v>231</v>
      </c>
      <c r="B185" s="1">
        <v>45756</v>
      </c>
      <c r="C185">
        <v>62877</v>
      </c>
      <c r="F185" t="s">
        <v>168</v>
      </c>
      <c r="G185">
        <v>101</v>
      </c>
      <c r="I185" t="s">
        <v>169</v>
      </c>
      <c r="J185" t="s">
        <v>170</v>
      </c>
      <c r="K185" t="s">
        <v>170</v>
      </c>
      <c r="L185" t="str">
        <f>_xlfn.CONCAT(F185,"-",G185,"-",I185,"-evening-",B186)</f>
        <v>FG19-101-A-evening-45756</v>
      </c>
    </row>
    <row r="186" spans="1:18" x14ac:dyDescent="0.3">
      <c r="A186" t="s">
        <v>232</v>
      </c>
      <c r="B186" s="1">
        <v>45756</v>
      </c>
      <c r="C186">
        <v>40952</v>
      </c>
      <c r="F186" t="s">
        <v>168</v>
      </c>
      <c r="G186">
        <v>101</v>
      </c>
      <c r="I186" t="s">
        <v>169</v>
      </c>
      <c r="J186" t="s">
        <v>170</v>
      </c>
      <c r="K186" t="s">
        <v>170</v>
      </c>
      <c r="L186" t="str">
        <f>_xlfn.CONCAT(F186,"-",G186,"-",I186,"-morning-",B187)</f>
        <v>FG19-101-A-morning-45756</v>
      </c>
    </row>
    <row r="187" spans="1:18" x14ac:dyDescent="0.3">
      <c r="A187" t="s">
        <v>80</v>
      </c>
      <c r="B187" s="1">
        <v>45756</v>
      </c>
      <c r="C187">
        <v>52103</v>
      </c>
      <c r="F187" t="s">
        <v>131</v>
      </c>
      <c r="G187" t="s">
        <v>137</v>
      </c>
      <c r="H187" t="s">
        <v>2</v>
      </c>
      <c r="I187" t="s">
        <v>3</v>
      </c>
      <c r="J187" t="str">
        <f t="shared" ref="J187" si="67">_xlfn.CONCAT(F187,"_",G187)</f>
        <v>KL0908_c060</v>
      </c>
      <c r="K187" t="str">
        <f t="shared" ref="K187" si="68">_xlfn.CONCAT(J187,"_",H187)</f>
        <v>KL0908_c060_a1</v>
      </c>
      <c r="L187" t="str">
        <f>_xlfn.CONCAT(K187,"_",I187,"_S1")</f>
        <v>KL0908_c060_a1_FIA_S1</v>
      </c>
      <c r="M187" t="s">
        <v>446</v>
      </c>
      <c r="N187" t="s">
        <v>448</v>
      </c>
      <c r="O187" t="s">
        <v>449</v>
      </c>
      <c r="P187">
        <v>18</v>
      </c>
    </row>
    <row r="188" spans="1:18" x14ac:dyDescent="0.3">
      <c r="A188" t="s">
        <v>292</v>
      </c>
      <c r="B188" s="1">
        <v>45756</v>
      </c>
      <c r="C188">
        <v>53077</v>
      </c>
      <c r="F188" t="s">
        <v>131</v>
      </c>
      <c r="G188" t="s">
        <v>324</v>
      </c>
      <c r="H188" t="s">
        <v>2</v>
      </c>
      <c r="I188" t="s">
        <v>3</v>
      </c>
      <c r="J188" t="str">
        <f t="shared" ref="J188:J208" si="69">_xlfn.CONCAT(F188,"_",G188)</f>
        <v>KL0908_c065</v>
      </c>
      <c r="K188" t="str">
        <f t="shared" ref="K188:K208" si="70">_xlfn.CONCAT(J188,"_",H188)</f>
        <v>KL0908_c065_a1</v>
      </c>
      <c r="L188" t="str">
        <f t="shared" ref="L188:L208" si="71">_xlfn.CONCAT(K188,"_",I188)</f>
        <v>KL0908_c065_a1_FIA</v>
      </c>
      <c r="M188" t="s">
        <v>439</v>
      </c>
      <c r="O188" t="s">
        <v>450</v>
      </c>
      <c r="P188">
        <v>63</v>
      </c>
      <c r="R188" t="s">
        <v>451</v>
      </c>
    </row>
    <row r="189" spans="1:18" s="5" customFormat="1" x14ac:dyDescent="0.3">
      <c r="A189" s="5" t="s">
        <v>293</v>
      </c>
      <c r="B189" s="7">
        <v>45756</v>
      </c>
      <c r="C189" s="5">
        <v>54670</v>
      </c>
      <c r="F189" s="5" t="s">
        <v>131</v>
      </c>
      <c r="G189" s="5" t="s">
        <v>160</v>
      </c>
      <c r="H189" s="5" t="s">
        <v>2</v>
      </c>
      <c r="I189" s="5" t="s">
        <v>3</v>
      </c>
      <c r="J189" s="5" t="str">
        <f t="shared" si="69"/>
        <v>KL0908_c071</v>
      </c>
      <c r="K189" s="5" t="str">
        <f t="shared" si="70"/>
        <v>KL0908_c071_a1</v>
      </c>
      <c r="L189" s="5" t="str">
        <f t="shared" si="71"/>
        <v>KL0908_c071_a1_FIA</v>
      </c>
      <c r="M189" s="5" t="s">
        <v>423</v>
      </c>
      <c r="R189" s="5" t="s">
        <v>452</v>
      </c>
    </row>
    <row r="190" spans="1:18" s="5" customFormat="1" x14ac:dyDescent="0.3">
      <c r="A190" s="5" t="s">
        <v>294</v>
      </c>
      <c r="B190" s="7">
        <v>45756</v>
      </c>
      <c r="C190" s="5">
        <v>55374</v>
      </c>
      <c r="F190" s="5" t="s">
        <v>131</v>
      </c>
      <c r="G190" s="5" t="s">
        <v>160</v>
      </c>
      <c r="H190" s="5" t="s">
        <v>2</v>
      </c>
      <c r="I190" s="5" t="s">
        <v>5</v>
      </c>
      <c r="J190" s="5" t="str">
        <f t="shared" si="69"/>
        <v>KL0908_c071</v>
      </c>
      <c r="K190" s="5" t="str">
        <f t="shared" si="70"/>
        <v>KL0908_c071_a1</v>
      </c>
      <c r="L190" s="5" t="str">
        <f t="shared" si="71"/>
        <v>KL0908_c071_a1_FIB</v>
      </c>
      <c r="M190" s="5" t="s">
        <v>423</v>
      </c>
      <c r="R190" s="5" t="s">
        <v>452</v>
      </c>
    </row>
    <row r="191" spans="1:18" s="5" customFormat="1" x14ac:dyDescent="0.3">
      <c r="A191" s="5" t="s">
        <v>295</v>
      </c>
      <c r="B191" s="7">
        <v>45756</v>
      </c>
      <c r="C191" s="5">
        <v>60398</v>
      </c>
      <c r="F191" s="5" t="s">
        <v>156</v>
      </c>
      <c r="G191" s="5" t="s">
        <v>325</v>
      </c>
      <c r="H191" s="5" t="s">
        <v>2</v>
      </c>
      <c r="I191" s="5" t="s">
        <v>5</v>
      </c>
      <c r="J191" s="5" t="str">
        <f t="shared" si="69"/>
        <v>KL0909_c124</v>
      </c>
      <c r="K191" s="5" t="str">
        <f t="shared" si="70"/>
        <v>KL0909_c124_a1</v>
      </c>
      <c r="L191" s="5" t="str">
        <f t="shared" si="71"/>
        <v>KL0909_c124_a1_FIB</v>
      </c>
      <c r="M191" s="5" t="s">
        <v>427</v>
      </c>
      <c r="R191" s="5" t="s">
        <v>452</v>
      </c>
    </row>
    <row r="192" spans="1:18" x14ac:dyDescent="0.3">
      <c r="A192" t="s">
        <v>296</v>
      </c>
      <c r="B192" s="1">
        <v>45756</v>
      </c>
      <c r="C192">
        <v>60994</v>
      </c>
      <c r="F192" t="s">
        <v>156</v>
      </c>
      <c r="G192" t="s">
        <v>326</v>
      </c>
      <c r="H192" t="s">
        <v>2</v>
      </c>
      <c r="I192" t="s">
        <v>5</v>
      </c>
      <c r="J192" t="str">
        <f t="shared" si="69"/>
        <v>KL0909_c132</v>
      </c>
      <c r="K192" t="str">
        <f t="shared" si="70"/>
        <v>KL0909_c132_a1</v>
      </c>
      <c r="L192" t="str">
        <f t="shared" si="71"/>
        <v>KL0909_c132_a1_FIB</v>
      </c>
      <c r="M192" t="s">
        <v>428</v>
      </c>
      <c r="O192" t="s">
        <v>453</v>
      </c>
      <c r="P192">
        <v>28</v>
      </c>
    </row>
    <row r="193" spans="1:18" x14ac:dyDescent="0.3">
      <c r="A193" t="s">
        <v>297</v>
      </c>
      <c r="B193" s="1">
        <v>45756</v>
      </c>
      <c r="C193">
        <v>47898</v>
      </c>
      <c r="F193" t="s">
        <v>66</v>
      </c>
      <c r="G193" t="s">
        <v>327</v>
      </c>
      <c r="H193" t="s">
        <v>2</v>
      </c>
      <c r="I193" t="s">
        <v>3</v>
      </c>
      <c r="J193" t="str">
        <f t="shared" si="69"/>
        <v>KL0910_c035</v>
      </c>
      <c r="K193" t="str">
        <f t="shared" si="70"/>
        <v>KL0910_c035_a1</v>
      </c>
      <c r="L193" t="str">
        <f t="shared" si="71"/>
        <v>KL0910_c035_a1_FIA</v>
      </c>
      <c r="M193" t="s">
        <v>419</v>
      </c>
      <c r="O193" t="s">
        <v>454</v>
      </c>
      <c r="P193">
        <v>34</v>
      </c>
      <c r="R193" t="s">
        <v>455</v>
      </c>
    </row>
    <row r="194" spans="1:18" x14ac:dyDescent="0.3">
      <c r="A194" t="s">
        <v>99</v>
      </c>
      <c r="B194" s="1">
        <v>45756</v>
      </c>
      <c r="C194">
        <v>48230</v>
      </c>
      <c r="F194" t="s">
        <v>66</v>
      </c>
      <c r="G194" t="s">
        <v>148</v>
      </c>
      <c r="H194" t="s">
        <v>2</v>
      </c>
      <c r="I194" t="s">
        <v>3</v>
      </c>
      <c r="J194" t="str">
        <f t="shared" si="69"/>
        <v>KL0910_c047</v>
      </c>
      <c r="K194" t="str">
        <f t="shared" si="70"/>
        <v>KL0910_c047_a1</v>
      </c>
      <c r="L194" t="str">
        <f>_xlfn.CONCAT(K194,"_",I194,"_S1")</f>
        <v>KL0910_c047_a1_FIA_S1</v>
      </c>
      <c r="M194" t="s">
        <v>447</v>
      </c>
      <c r="N194" t="s">
        <v>448</v>
      </c>
      <c r="O194" t="s">
        <v>456</v>
      </c>
      <c r="P194">
        <v>17</v>
      </c>
      <c r="R194" s="5" t="s">
        <v>468</v>
      </c>
    </row>
    <row r="195" spans="1:18" s="5" customFormat="1" x14ac:dyDescent="0.3">
      <c r="A195" s="5" t="s">
        <v>298</v>
      </c>
      <c r="B195" s="7">
        <v>45756</v>
      </c>
      <c r="C195" s="5">
        <v>48543</v>
      </c>
      <c r="F195" s="5" t="s">
        <v>66</v>
      </c>
      <c r="G195" s="5" t="s">
        <v>328</v>
      </c>
      <c r="H195" s="5" t="s">
        <v>2</v>
      </c>
      <c r="I195" s="5" t="s">
        <v>3</v>
      </c>
      <c r="J195" s="5" t="str">
        <f t="shared" si="69"/>
        <v>KL0910_c048</v>
      </c>
      <c r="K195" s="5" t="str">
        <f t="shared" si="70"/>
        <v>KL0910_c048_a1</v>
      </c>
      <c r="L195" s="5" t="str">
        <f t="shared" si="71"/>
        <v>KL0910_c048_a1_FIA</v>
      </c>
      <c r="M195" s="5" t="s">
        <v>420</v>
      </c>
      <c r="R195" s="5" t="s">
        <v>452</v>
      </c>
    </row>
    <row r="196" spans="1:18" s="5" customFormat="1" x14ac:dyDescent="0.3">
      <c r="A196" s="5" t="s">
        <v>299</v>
      </c>
      <c r="B196" s="7">
        <v>45756</v>
      </c>
      <c r="C196" s="5">
        <v>48854</v>
      </c>
      <c r="F196" s="5" t="s">
        <v>66</v>
      </c>
      <c r="G196" s="5" t="s">
        <v>328</v>
      </c>
      <c r="H196" s="5" t="s">
        <v>2</v>
      </c>
      <c r="I196" s="5" t="s">
        <v>5</v>
      </c>
      <c r="J196" s="5" t="str">
        <f t="shared" si="69"/>
        <v>KL0910_c048</v>
      </c>
      <c r="K196" s="5" t="str">
        <f t="shared" si="70"/>
        <v>KL0910_c048_a1</v>
      </c>
      <c r="L196" s="5" t="str">
        <f t="shared" si="71"/>
        <v>KL0910_c048_a1_FIB</v>
      </c>
      <c r="M196" s="5" t="s">
        <v>420</v>
      </c>
      <c r="R196" s="5" t="s">
        <v>452</v>
      </c>
    </row>
    <row r="197" spans="1:18" s="5" customFormat="1" x14ac:dyDescent="0.3">
      <c r="A197" s="5" t="s">
        <v>300</v>
      </c>
      <c r="B197" s="7">
        <v>45756</v>
      </c>
      <c r="C197" s="5">
        <v>49197</v>
      </c>
      <c r="F197" s="5" t="s">
        <v>66</v>
      </c>
      <c r="G197" s="5" t="s">
        <v>328</v>
      </c>
      <c r="H197" s="5" t="s">
        <v>2</v>
      </c>
      <c r="I197" s="5" t="s">
        <v>7</v>
      </c>
      <c r="J197" s="5" t="str">
        <f t="shared" si="69"/>
        <v>KL0910_c048</v>
      </c>
      <c r="K197" s="5" t="str">
        <f t="shared" si="70"/>
        <v>KL0910_c048_a1</v>
      </c>
      <c r="L197" s="5" t="str">
        <f t="shared" si="71"/>
        <v>KL0910_c048_a1_FIC</v>
      </c>
      <c r="M197" s="5" t="s">
        <v>420</v>
      </c>
      <c r="R197" s="5" t="s">
        <v>452</v>
      </c>
    </row>
    <row r="198" spans="1:18" x14ac:dyDescent="0.3">
      <c r="A198" t="s">
        <v>301</v>
      </c>
      <c r="B198" s="1">
        <v>45756</v>
      </c>
      <c r="C198">
        <v>50073</v>
      </c>
      <c r="F198" t="s">
        <v>66</v>
      </c>
      <c r="G198" t="s">
        <v>151</v>
      </c>
      <c r="H198" t="s">
        <v>2</v>
      </c>
      <c r="I198" t="s">
        <v>3</v>
      </c>
      <c r="J198" t="str">
        <f t="shared" si="69"/>
        <v>KL0910_c053</v>
      </c>
      <c r="K198" t="str">
        <f t="shared" si="70"/>
        <v>KL0910_c053_a1</v>
      </c>
      <c r="L198" t="str">
        <f t="shared" si="71"/>
        <v>KL0910_c053_a1_FIA</v>
      </c>
      <c r="M198" t="s">
        <v>421</v>
      </c>
      <c r="O198" t="s">
        <v>457</v>
      </c>
      <c r="P198">
        <v>25</v>
      </c>
    </row>
    <row r="199" spans="1:18" s="5" customFormat="1" x14ac:dyDescent="0.3">
      <c r="A199" s="5" t="s">
        <v>302</v>
      </c>
      <c r="B199" s="7">
        <v>45756</v>
      </c>
      <c r="C199" s="5">
        <v>51751</v>
      </c>
      <c r="F199" s="5" t="s">
        <v>66</v>
      </c>
      <c r="G199" s="5" t="s">
        <v>153</v>
      </c>
      <c r="H199" s="5" t="s">
        <v>2</v>
      </c>
      <c r="I199" s="5" t="s">
        <v>3</v>
      </c>
      <c r="J199" s="5" t="str">
        <f t="shared" si="69"/>
        <v>KL0910_c059</v>
      </c>
      <c r="K199" s="5" t="str">
        <f t="shared" si="70"/>
        <v>KL0910_c059_a1</v>
      </c>
      <c r="L199" s="5" t="str">
        <f t="shared" si="71"/>
        <v>KL0910_c059_a1_FIA</v>
      </c>
      <c r="M199" s="5" t="s">
        <v>422</v>
      </c>
      <c r="R199" s="5" t="s">
        <v>452</v>
      </c>
    </row>
    <row r="200" spans="1:18" x14ac:dyDescent="0.3">
      <c r="A200" t="s">
        <v>303</v>
      </c>
      <c r="B200" s="1">
        <v>45756</v>
      </c>
      <c r="C200">
        <v>56826</v>
      </c>
      <c r="F200" t="s">
        <v>276</v>
      </c>
      <c r="G200" t="s">
        <v>329</v>
      </c>
      <c r="H200" t="s">
        <v>2</v>
      </c>
      <c r="I200" t="s">
        <v>5</v>
      </c>
      <c r="J200" t="str">
        <f t="shared" si="69"/>
        <v>KL0917_c077</v>
      </c>
      <c r="K200" t="str">
        <f t="shared" si="70"/>
        <v>KL0917_c077_a1</v>
      </c>
      <c r="L200" t="str">
        <f t="shared" si="71"/>
        <v>KL0917_c077_a1_FIB</v>
      </c>
      <c r="M200" t="s">
        <v>424</v>
      </c>
      <c r="O200" t="s">
        <v>458</v>
      </c>
      <c r="P200">
        <v>68</v>
      </c>
    </row>
    <row r="201" spans="1:18" x14ac:dyDescent="0.3">
      <c r="A201" t="s">
        <v>304</v>
      </c>
      <c r="B201" s="1">
        <v>45756</v>
      </c>
      <c r="C201">
        <v>57200</v>
      </c>
      <c r="F201" t="s">
        <v>276</v>
      </c>
      <c r="G201" t="s">
        <v>329</v>
      </c>
      <c r="H201" t="s">
        <v>2</v>
      </c>
      <c r="I201" t="s">
        <v>7</v>
      </c>
      <c r="J201" t="str">
        <f t="shared" si="69"/>
        <v>KL0917_c077</v>
      </c>
      <c r="K201" t="str">
        <f t="shared" si="70"/>
        <v>KL0917_c077_a1</v>
      </c>
      <c r="L201" t="str">
        <f t="shared" si="71"/>
        <v>KL0917_c077_a1_FIC</v>
      </c>
      <c r="M201" t="s">
        <v>424</v>
      </c>
      <c r="O201" t="s">
        <v>458</v>
      </c>
      <c r="P201">
        <v>68</v>
      </c>
    </row>
    <row r="202" spans="1:18" s="5" customFormat="1" x14ac:dyDescent="0.3">
      <c r="A202" s="5" t="s">
        <v>305</v>
      </c>
      <c r="B202" s="7">
        <v>45756</v>
      </c>
      <c r="C202" s="5">
        <v>57709</v>
      </c>
      <c r="F202" s="5" t="s">
        <v>276</v>
      </c>
      <c r="G202" s="5" t="s">
        <v>330</v>
      </c>
      <c r="H202" s="5" t="s">
        <v>2</v>
      </c>
      <c r="I202" s="5" t="s">
        <v>3</v>
      </c>
      <c r="J202" s="5" t="str">
        <f t="shared" si="69"/>
        <v>KL0917_c084</v>
      </c>
      <c r="K202" s="5" t="str">
        <f t="shared" si="70"/>
        <v>KL0917_c084_a1</v>
      </c>
      <c r="L202" s="5" t="str">
        <f t="shared" si="71"/>
        <v>KL0917_c084_a1_FIA</v>
      </c>
      <c r="M202" s="5" t="s">
        <v>425</v>
      </c>
      <c r="R202" s="5" t="s">
        <v>452</v>
      </c>
    </row>
    <row r="203" spans="1:18" s="5" customFormat="1" x14ac:dyDescent="0.3">
      <c r="A203" s="5" t="s">
        <v>306</v>
      </c>
      <c r="B203" s="7">
        <v>45756</v>
      </c>
      <c r="C203" s="5">
        <v>58066</v>
      </c>
      <c r="F203" s="5" t="s">
        <v>276</v>
      </c>
      <c r="G203" s="5" t="s">
        <v>330</v>
      </c>
      <c r="H203" s="5" t="s">
        <v>2</v>
      </c>
      <c r="I203" s="5" t="s">
        <v>5</v>
      </c>
      <c r="J203" s="5" t="str">
        <f t="shared" si="69"/>
        <v>KL0917_c084</v>
      </c>
      <c r="K203" s="5" t="str">
        <f t="shared" si="70"/>
        <v>KL0917_c084_a1</v>
      </c>
      <c r="L203" s="5" t="str">
        <f t="shared" si="71"/>
        <v>KL0917_c084_a1_FIB</v>
      </c>
      <c r="M203" s="5" t="s">
        <v>425</v>
      </c>
      <c r="R203" s="5" t="s">
        <v>452</v>
      </c>
    </row>
    <row r="204" spans="1:18" s="5" customFormat="1" x14ac:dyDescent="0.3">
      <c r="A204" s="5" t="s">
        <v>307</v>
      </c>
      <c r="B204" s="7">
        <v>45756</v>
      </c>
      <c r="C204" s="5">
        <v>58242</v>
      </c>
      <c r="F204" s="5" t="s">
        <v>276</v>
      </c>
      <c r="G204" s="5" t="s">
        <v>330</v>
      </c>
      <c r="H204" s="5" t="s">
        <v>2</v>
      </c>
      <c r="I204" s="5" t="s">
        <v>8</v>
      </c>
      <c r="J204" s="5" t="str">
        <f t="shared" si="69"/>
        <v>KL0917_c084</v>
      </c>
      <c r="K204" s="5" t="str">
        <f t="shared" si="70"/>
        <v>KL0917_c084_a1</v>
      </c>
      <c r="L204" s="5" t="str">
        <f t="shared" si="71"/>
        <v>KL0917_c084_a1_FID</v>
      </c>
      <c r="M204" s="5" t="s">
        <v>425</v>
      </c>
      <c r="R204" s="5" t="s">
        <v>452</v>
      </c>
    </row>
    <row r="205" spans="1:18" s="5" customFormat="1" x14ac:dyDescent="0.3">
      <c r="A205" s="5" t="s">
        <v>308</v>
      </c>
      <c r="B205" s="7">
        <v>45756</v>
      </c>
      <c r="C205" s="5">
        <v>59082</v>
      </c>
      <c r="F205" s="5" t="s">
        <v>276</v>
      </c>
      <c r="G205" s="5" t="s">
        <v>331</v>
      </c>
      <c r="H205" s="5" t="s">
        <v>2</v>
      </c>
      <c r="I205" s="5" t="s">
        <v>3</v>
      </c>
      <c r="J205" s="5" t="str">
        <f t="shared" si="69"/>
        <v>KL0917_c089</v>
      </c>
      <c r="K205" s="5" t="str">
        <f t="shared" si="70"/>
        <v>KL0917_c089_a1</v>
      </c>
      <c r="L205" s="5" t="str">
        <f t="shared" si="71"/>
        <v>KL0917_c089_a1_FIA</v>
      </c>
      <c r="M205" s="5" t="s">
        <v>426</v>
      </c>
      <c r="R205" s="5" t="s">
        <v>452</v>
      </c>
    </row>
    <row r="206" spans="1:18" x14ac:dyDescent="0.3">
      <c r="A206" t="s">
        <v>309</v>
      </c>
      <c r="B206" s="1">
        <v>45756</v>
      </c>
      <c r="C206">
        <v>43764</v>
      </c>
      <c r="F206" t="s">
        <v>165</v>
      </c>
      <c r="G206" t="s">
        <v>145</v>
      </c>
      <c r="H206" t="s">
        <v>2</v>
      </c>
      <c r="I206" t="s">
        <v>3</v>
      </c>
      <c r="J206" t="str">
        <f t="shared" si="69"/>
        <v>KL0931_c034</v>
      </c>
      <c r="K206" t="str">
        <f t="shared" si="70"/>
        <v>KL0931_c034_a1</v>
      </c>
      <c r="L206" t="str">
        <f t="shared" si="71"/>
        <v>KL0931_c034_a1_FIA</v>
      </c>
      <c r="M206" t="s">
        <v>418</v>
      </c>
      <c r="O206" t="s">
        <v>459</v>
      </c>
      <c r="P206">
        <v>22</v>
      </c>
    </row>
    <row r="207" spans="1:18" x14ac:dyDescent="0.3">
      <c r="A207" t="s">
        <v>310</v>
      </c>
      <c r="B207" s="1">
        <v>45756</v>
      </c>
      <c r="C207">
        <v>44507</v>
      </c>
      <c r="F207" t="s">
        <v>165</v>
      </c>
      <c r="G207" t="s">
        <v>145</v>
      </c>
      <c r="H207" t="s">
        <v>2</v>
      </c>
      <c r="I207" t="s">
        <v>9</v>
      </c>
      <c r="J207" t="str">
        <f t="shared" si="69"/>
        <v>KL0931_c034</v>
      </c>
      <c r="K207" t="str">
        <f t="shared" si="70"/>
        <v>KL0931_c034_a1</v>
      </c>
      <c r="L207" t="str">
        <f t="shared" si="71"/>
        <v>KL0931_c034_a1_FIE</v>
      </c>
      <c r="M207" t="s">
        <v>418</v>
      </c>
      <c r="O207" t="s">
        <v>459</v>
      </c>
      <c r="P207">
        <v>22</v>
      </c>
    </row>
    <row r="208" spans="1:18" x14ac:dyDescent="0.3">
      <c r="A208" t="s">
        <v>311</v>
      </c>
      <c r="B208" s="1">
        <v>45756</v>
      </c>
      <c r="C208">
        <v>45368</v>
      </c>
      <c r="F208" t="s">
        <v>165</v>
      </c>
      <c r="G208" t="s">
        <v>145</v>
      </c>
      <c r="H208" t="s">
        <v>2</v>
      </c>
      <c r="I208" t="s">
        <v>68</v>
      </c>
      <c r="J208" t="str">
        <f t="shared" si="69"/>
        <v>KL0931_c034</v>
      </c>
      <c r="K208" t="str">
        <f t="shared" si="70"/>
        <v>KL0931_c034_a1</v>
      </c>
      <c r="L208" t="str">
        <f t="shared" si="71"/>
        <v>KL0931_c034_a1_FIH</v>
      </c>
      <c r="M208" t="s">
        <v>418</v>
      </c>
      <c r="O208" t="s">
        <v>459</v>
      </c>
      <c r="P208">
        <v>22</v>
      </c>
    </row>
    <row r="209" spans="1:18" x14ac:dyDescent="0.3">
      <c r="A209" t="s">
        <v>225</v>
      </c>
      <c r="B209" s="1">
        <v>45757</v>
      </c>
      <c r="C209">
        <v>62113</v>
      </c>
      <c r="F209" t="s">
        <v>23</v>
      </c>
      <c r="G209" t="s">
        <v>24</v>
      </c>
      <c r="I209">
        <v>1</v>
      </c>
      <c r="J209" t="s">
        <v>25</v>
      </c>
      <c r="K209" t="s">
        <v>25</v>
      </c>
      <c r="L209" t="str">
        <f>_xlfn.CONCAT(F209,"-",G209,"-",I209,"-evening-",B210)</f>
        <v>FG04-A1-1-evening-45757</v>
      </c>
    </row>
    <row r="210" spans="1:18" x14ac:dyDescent="0.3">
      <c r="A210" t="s">
        <v>226</v>
      </c>
      <c r="B210" s="1">
        <v>45757</v>
      </c>
      <c r="C210">
        <v>38787</v>
      </c>
      <c r="F210" t="s">
        <v>23</v>
      </c>
      <c r="G210" t="s">
        <v>24</v>
      </c>
      <c r="I210">
        <v>1</v>
      </c>
      <c r="J210" t="s">
        <v>25</v>
      </c>
      <c r="K210" t="s">
        <v>25</v>
      </c>
      <c r="L210" t="str">
        <f>_xlfn.CONCAT(F210,"-",G210,"-",I210,"-morning-",B211)</f>
        <v>FG04-A1-1-morning-45757</v>
      </c>
    </row>
    <row r="211" spans="1:18" x14ac:dyDescent="0.3">
      <c r="A211" t="s">
        <v>227</v>
      </c>
      <c r="B211" s="1">
        <v>45757</v>
      </c>
      <c r="C211">
        <v>62358</v>
      </c>
      <c r="F211" t="s">
        <v>23</v>
      </c>
      <c r="G211" t="s">
        <v>24</v>
      </c>
      <c r="I211">
        <v>2</v>
      </c>
      <c r="J211" t="s">
        <v>25</v>
      </c>
      <c r="K211" t="s">
        <v>25</v>
      </c>
      <c r="L211" t="str">
        <f>_xlfn.CONCAT(F211,"-",G211,"-",I211,"-evening-",B212)</f>
        <v>FG04-A1-2-evening-45757</v>
      </c>
    </row>
    <row r="212" spans="1:18" x14ac:dyDescent="0.3">
      <c r="A212" t="s">
        <v>228</v>
      </c>
      <c r="B212" s="1">
        <v>45757</v>
      </c>
      <c r="C212">
        <v>39101</v>
      </c>
      <c r="F212" t="s">
        <v>23</v>
      </c>
      <c r="G212" t="s">
        <v>24</v>
      </c>
      <c r="I212">
        <v>2</v>
      </c>
      <c r="J212" t="s">
        <v>25</v>
      </c>
      <c r="K212" t="s">
        <v>25</v>
      </c>
      <c r="L212" t="str">
        <f>_xlfn.CONCAT(F212,"-",G212,"-",I212,"-morning-",B213)</f>
        <v>FG04-A1-2-morning-45757</v>
      </c>
    </row>
    <row r="213" spans="1:18" x14ac:dyDescent="0.3">
      <c r="A213" t="s">
        <v>229</v>
      </c>
      <c r="B213" s="1">
        <v>45757</v>
      </c>
      <c r="C213">
        <v>62609</v>
      </c>
      <c r="F213" t="s">
        <v>23</v>
      </c>
      <c r="G213" t="s">
        <v>24</v>
      </c>
      <c r="I213">
        <v>4</v>
      </c>
      <c r="J213" t="s">
        <v>25</v>
      </c>
      <c r="K213" t="s">
        <v>25</v>
      </c>
      <c r="L213" t="str">
        <f>_xlfn.CONCAT(F213,"-",G213,"-",I213,"-evening-",B214)</f>
        <v>FG04-A1-4-evening-45757</v>
      </c>
    </row>
    <row r="214" spans="1:18" x14ac:dyDescent="0.3">
      <c r="A214" t="s">
        <v>230</v>
      </c>
      <c r="B214" s="1">
        <v>45757</v>
      </c>
      <c r="C214">
        <v>39572</v>
      </c>
      <c r="F214" t="s">
        <v>23</v>
      </c>
      <c r="G214" t="s">
        <v>24</v>
      </c>
      <c r="I214">
        <v>4</v>
      </c>
      <c r="J214" t="s">
        <v>25</v>
      </c>
      <c r="K214" t="s">
        <v>25</v>
      </c>
      <c r="L214" t="str">
        <f>_xlfn.CONCAT(F214,"-",G214,"-",I214,"-morning-",B215)</f>
        <v>FG04-A1-4-morning-45757</v>
      </c>
    </row>
    <row r="215" spans="1:18" x14ac:dyDescent="0.3">
      <c r="A215" t="s">
        <v>231</v>
      </c>
      <c r="B215" s="1">
        <v>45757</v>
      </c>
      <c r="C215">
        <v>61769</v>
      </c>
      <c r="F215" t="s">
        <v>168</v>
      </c>
      <c r="G215">
        <v>101</v>
      </c>
      <c r="I215" t="s">
        <v>169</v>
      </c>
      <c r="J215" t="s">
        <v>170</v>
      </c>
      <c r="K215" t="s">
        <v>170</v>
      </c>
      <c r="L215" t="str">
        <f>_xlfn.CONCAT(F215,"-",G215,"-",I215,"-evening-",B216)</f>
        <v>FG19-101-A-evening-45757</v>
      </c>
    </row>
    <row r="216" spans="1:18" x14ac:dyDescent="0.3">
      <c r="A216" t="s">
        <v>232</v>
      </c>
      <c r="B216" s="1">
        <v>45757</v>
      </c>
      <c r="C216">
        <v>39936</v>
      </c>
      <c r="F216" t="s">
        <v>168</v>
      </c>
      <c r="G216">
        <v>101</v>
      </c>
      <c r="I216" t="s">
        <v>169</v>
      </c>
      <c r="J216" t="s">
        <v>170</v>
      </c>
      <c r="K216" t="s">
        <v>170</v>
      </c>
      <c r="L216" t="str">
        <f>_xlfn.CONCAT(F216,"-",G216,"-",I216,"-morning-",B217)</f>
        <v>FG19-101-A-morning-45757</v>
      </c>
    </row>
    <row r="217" spans="1:18" s="5" customFormat="1" x14ac:dyDescent="0.3">
      <c r="A217" s="5" t="s">
        <v>312</v>
      </c>
      <c r="B217" s="7">
        <v>45757</v>
      </c>
      <c r="C217" s="5">
        <v>45069</v>
      </c>
      <c r="F217" s="5" t="s">
        <v>262</v>
      </c>
      <c r="G217" s="5" t="s">
        <v>332</v>
      </c>
      <c r="H217" s="5" t="s">
        <v>2</v>
      </c>
      <c r="I217" s="5" t="s">
        <v>3</v>
      </c>
      <c r="J217" s="5" t="str">
        <f t="shared" ref="J217" si="72">_xlfn.CONCAT(F217,"_",G217)</f>
        <v>KL0921_c281</v>
      </c>
      <c r="K217" s="5" t="str">
        <f t="shared" ref="K217" si="73">_xlfn.CONCAT(J217,"_",H217)</f>
        <v>KL0921_c281_a1</v>
      </c>
      <c r="L217" s="5" t="str">
        <f t="shared" ref="L217" si="74">_xlfn.CONCAT(K217,"_",I217)</f>
        <v>KL0921_c281_a1_FIA</v>
      </c>
      <c r="M217" s="5" t="s">
        <v>405</v>
      </c>
      <c r="R217" s="5" t="s">
        <v>452</v>
      </c>
    </row>
    <row r="218" spans="1:18" s="5" customFormat="1" x14ac:dyDescent="0.3">
      <c r="A218" s="5" t="s">
        <v>313</v>
      </c>
      <c r="B218" s="7">
        <v>45757</v>
      </c>
      <c r="C218" s="5">
        <v>49131</v>
      </c>
      <c r="F218" s="5" t="s">
        <v>262</v>
      </c>
      <c r="G218" s="5" t="s">
        <v>332</v>
      </c>
      <c r="H218" s="5" t="s">
        <v>133</v>
      </c>
      <c r="I218" s="5" t="s">
        <v>5</v>
      </c>
      <c r="J218" s="5" t="str">
        <f t="shared" ref="J218:J228" si="75">_xlfn.CONCAT(F218,"_",G218)</f>
        <v>KL0921_c281</v>
      </c>
      <c r="K218" s="5" t="str">
        <f t="shared" ref="K218:K228" si="76">_xlfn.CONCAT(J218,"_",H218)</f>
        <v>KL0921_c281_a2</v>
      </c>
      <c r="L218" s="5" t="str">
        <f t="shared" ref="L218:L228" si="77">_xlfn.CONCAT(K218,"_",I218)</f>
        <v>KL0921_c281_a2_FIB</v>
      </c>
      <c r="M218" s="5" t="s">
        <v>429</v>
      </c>
      <c r="R218" s="5" t="s">
        <v>452</v>
      </c>
    </row>
    <row r="219" spans="1:18" x14ac:dyDescent="0.3">
      <c r="A219" t="s">
        <v>314</v>
      </c>
      <c r="B219" s="1">
        <v>45757</v>
      </c>
      <c r="C219">
        <v>51935</v>
      </c>
      <c r="F219" t="s">
        <v>262</v>
      </c>
      <c r="G219" t="s">
        <v>333</v>
      </c>
      <c r="H219" t="s">
        <v>2</v>
      </c>
      <c r="I219" t="s">
        <v>3</v>
      </c>
      <c r="J219" t="str">
        <f t="shared" si="75"/>
        <v>KL0921_c285</v>
      </c>
      <c r="K219" t="str">
        <f t="shared" si="76"/>
        <v>KL0921_c285_a1</v>
      </c>
      <c r="L219" t="str">
        <f t="shared" si="77"/>
        <v>KL0921_c285_a1_FIA</v>
      </c>
      <c r="M219" t="s">
        <v>406</v>
      </c>
      <c r="O219" t="s">
        <v>460</v>
      </c>
      <c r="P219">
        <v>92</v>
      </c>
    </row>
    <row r="220" spans="1:18" x14ac:dyDescent="0.3">
      <c r="A220" t="s">
        <v>315</v>
      </c>
      <c r="B220" s="1">
        <v>45757</v>
      </c>
      <c r="C220">
        <v>52698</v>
      </c>
      <c r="F220" t="s">
        <v>262</v>
      </c>
      <c r="G220" t="s">
        <v>333</v>
      </c>
      <c r="H220" t="s">
        <v>133</v>
      </c>
      <c r="I220" t="s">
        <v>5</v>
      </c>
      <c r="J220" t="str">
        <f t="shared" si="75"/>
        <v>KL0921_c285</v>
      </c>
      <c r="K220" t="str">
        <f t="shared" si="76"/>
        <v>KL0921_c285_a2</v>
      </c>
      <c r="L220" t="str">
        <f t="shared" si="77"/>
        <v>KL0921_c285_a2_FIB</v>
      </c>
      <c r="M220" t="s">
        <v>407</v>
      </c>
      <c r="O220" t="s">
        <v>460</v>
      </c>
      <c r="P220">
        <v>92</v>
      </c>
    </row>
    <row r="221" spans="1:18" x14ac:dyDescent="0.3">
      <c r="A221" t="s">
        <v>316</v>
      </c>
      <c r="B221" s="1">
        <v>45757</v>
      </c>
      <c r="C221">
        <v>53182</v>
      </c>
      <c r="F221" t="s">
        <v>262</v>
      </c>
      <c r="G221" t="s">
        <v>334</v>
      </c>
      <c r="H221" t="s">
        <v>2</v>
      </c>
      <c r="I221" t="s">
        <v>3</v>
      </c>
      <c r="J221" t="str">
        <f t="shared" si="75"/>
        <v>KL0921_c287</v>
      </c>
      <c r="K221" t="str">
        <f t="shared" si="76"/>
        <v>KL0921_c287_a1</v>
      </c>
      <c r="L221" t="str">
        <f t="shared" si="77"/>
        <v>KL0921_c287_a1_FIA</v>
      </c>
      <c r="M221" t="s">
        <v>408</v>
      </c>
      <c r="O221" t="s">
        <v>461</v>
      </c>
      <c r="P221">
        <v>138</v>
      </c>
    </row>
    <row r="222" spans="1:18" x14ac:dyDescent="0.3">
      <c r="A222" t="s">
        <v>317</v>
      </c>
      <c r="B222" s="1">
        <v>45757</v>
      </c>
      <c r="C222">
        <v>53958</v>
      </c>
      <c r="F222" t="s">
        <v>262</v>
      </c>
      <c r="G222" t="s">
        <v>335</v>
      </c>
      <c r="H222" t="s">
        <v>2</v>
      </c>
      <c r="I222" t="s">
        <v>3</v>
      </c>
      <c r="J222" t="str">
        <f t="shared" si="75"/>
        <v>KL0921_c288</v>
      </c>
      <c r="K222" t="str">
        <f t="shared" si="76"/>
        <v>KL0921_c288_a1</v>
      </c>
      <c r="L222" t="str">
        <f t="shared" si="77"/>
        <v>KL0921_c288_a1_FIA</v>
      </c>
      <c r="M222" t="s">
        <v>409</v>
      </c>
      <c r="O222" t="s">
        <v>462</v>
      </c>
      <c r="P222">
        <v>68</v>
      </c>
    </row>
    <row r="223" spans="1:18" x14ac:dyDescent="0.3">
      <c r="A223" t="s">
        <v>318</v>
      </c>
      <c r="B223" s="1">
        <v>45757</v>
      </c>
      <c r="C223">
        <v>55486</v>
      </c>
      <c r="F223" t="s">
        <v>262</v>
      </c>
      <c r="G223" t="s">
        <v>336</v>
      </c>
      <c r="H223" t="s">
        <v>133</v>
      </c>
      <c r="I223" t="s">
        <v>5</v>
      </c>
      <c r="J223" t="str">
        <f t="shared" si="75"/>
        <v>KL0921_c295</v>
      </c>
      <c r="K223" t="str">
        <f t="shared" si="76"/>
        <v>KL0921_c295_a2</v>
      </c>
      <c r="L223" t="str">
        <f t="shared" si="77"/>
        <v>KL0921_c295_a2_FIB</v>
      </c>
      <c r="M223" t="s">
        <v>410</v>
      </c>
      <c r="O223" t="s">
        <v>463</v>
      </c>
      <c r="P223">
        <v>106</v>
      </c>
    </row>
    <row r="224" spans="1:18" x14ac:dyDescent="0.3">
      <c r="A224" t="s">
        <v>319</v>
      </c>
      <c r="B224" s="1">
        <v>45757</v>
      </c>
      <c r="C224">
        <v>43865</v>
      </c>
      <c r="F224" t="s">
        <v>337</v>
      </c>
      <c r="G224" t="s">
        <v>338</v>
      </c>
      <c r="H224" t="s">
        <v>2</v>
      </c>
      <c r="I224" t="s">
        <v>3</v>
      </c>
      <c r="J224" t="str">
        <f t="shared" si="75"/>
        <v>KL0930_c312</v>
      </c>
      <c r="K224" t="str">
        <f t="shared" si="76"/>
        <v>KL0930_c312_a1</v>
      </c>
      <c r="L224" t="str">
        <f t="shared" si="77"/>
        <v>KL0930_c312_a1_FIA</v>
      </c>
      <c r="M224" t="s">
        <v>411</v>
      </c>
      <c r="O224" t="s">
        <v>464</v>
      </c>
      <c r="P224">
        <v>45</v>
      </c>
    </row>
    <row r="225" spans="1:16" x14ac:dyDescent="0.3">
      <c r="A225" t="s">
        <v>320</v>
      </c>
      <c r="B225" s="1">
        <v>45757</v>
      </c>
      <c r="C225">
        <v>44244</v>
      </c>
      <c r="F225" t="s">
        <v>337</v>
      </c>
      <c r="G225" t="s">
        <v>338</v>
      </c>
      <c r="H225" t="s">
        <v>133</v>
      </c>
      <c r="I225" t="s">
        <v>5</v>
      </c>
      <c r="J225" t="str">
        <f t="shared" si="75"/>
        <v>KL0930_c312</v>
      </c>
      <c r="K225" t="str">
        <f t="shared" si="76"/>
        <v>KL0930_c312_a2</v>
      </c>
      <c r="L225" t="str">
        <f t="shared" si="77"/>
        <v>KL0930_c312_a2_FIB</v>
      </c>
      <c r="M225" t="s">
        <v>412</v>
      </c>
      <c r="O225" t="s">
        <v>464</v>
      </c>
      <c r="P225">
        <v>66</v>
      </c>
    </row>
    <row r="226" spans="1:16" x14ac:dyDescent="0.3">
      <c r="A226" t="s">
        <v>321</v>
      </c>
      <c r="B226" s="1">
        <v>45757</v>
      </c>
      <c r="C226">
        <v>42323</v>
      </c>
      <c r="F226" t="s">
        <v>337</v>
      </c>
      <c r="G226" t="s">
        <v>339</v>
      </c>
      <c r="H226" t="s">
        <v>2</v>
      </c>
      <c r="I226" t="s">
        <v>3</v>
      </c>
      <c r="J226" t="str">
        <f t="shared" si="75"/>
        <v>KL0930_c318</v>
      </c>
      <c r="K226" t="str">
        <f t="shared" si="76"/>
        <v>KL0930_c318_a1</v>
      </c>
      <c r="L226" t="str">
        <f t="shared" si="77"/>
        <v>KL0930_c318_a1_FIA</v>
      </c>
      <c r="M226" t="s">
        <v>413</v>
      </c>
      <c r="O226" t="s">
        <v>465</v>
      </c>
      <c r="P226">
        <v>89</v>
      </c>
    </row>
    <row r="227" spans="1:16" x14ac:dyDescent="0.3">
      <c r="A227" t="s">
        <v>322</v>
      </c>
      <c r="B227" s="1">
        <v>45757</v>
      </c>
      <c r="C227">
        <v>41011</v>
      </c>
      <c r="F227" t="s">
        <v>337</v>
      </c>
      <c r="G227" t="s">
        <v>340</v>
      </c>
      <c r="H227" t="s">
        <v>2</v>
      </c>
      <c r="I227" t="s">
        <v>3</v>
      </c>
      <c r="J227" t="str">
        <f t="shared" si="75"/>
        <v>KL0930_c321</v>
      </c>
      <c r="K227" t="str">
        <f t="shared" si="76"/>
        <v>KL0930_c321_a1</v>
      </c>
      <c r="L227" t="str">
        <f t="shared" si="77"/>
        <v>KL0930_c321_a1_FIA</v>
      </c>
      <c r="M227" t="s">
        <v>414</v>
      </c>
      <c r="O227" t="s">
        <v>466</v>
      </c>
      <c r="P227">
        <v>42</v>
      </c>
    </row>
    <row r="228" spans="1:16" x14ac:dyDescent="0.3">
      <c r="A228" t="s">
        <v>323</v>
      </c>
      <c r="B228" s="1">
        <v>45757</v>
      </c>
      <c r="C228">
        <v>41305</v>
      </c>
      <c r="F228" t="s">
        <v>337</v>
      </c>
      <c r="G228" t="s">
        <v>340</v>
      </c>
      <c r="H228" t="s">
        <v>133</v>
      </c>
      <c r="I228" t="s">
        <v>5</v>
      </c>
      <c r="J228" t="str">
        <f t="shared" si="75"/>
        <v>KL0930_c321</v>
      </c>
      <c r="K228" t="str">
        <f t="shared" si="76"/>
        <v>KL0930_c321_a2</v>
      </c>
      <c r="L228" t="str">
        <f t="shared" si="77"/>
        <v>KL0930_c321_a2_FIB</v>
      </c>
      <c r="M228" t="s">
        <v>414</v>
      </c>
      <c r="O228" t="s">
        <v>466</v>
      </c>
      <c r="P228">
        <v>42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Devitre</cp:lastModifiedBy>
  <dcterms:created xsi:type="dcterms:W3CDTF">2025-01-14T00:29:07Z</dcterms:created>
  <dcterms:modified xsi:type="dcterms:W3CDTF">2025-05-12T16:51:50Z</dcterms:modified>
</cp:coreProperties>
</file>