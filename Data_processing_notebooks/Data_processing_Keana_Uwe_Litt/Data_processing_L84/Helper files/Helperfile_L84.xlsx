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ljd/pCloud Drive/PUG/POSTDOC-UCB/BERKELEY-VIBE/Projects/PrePostCaldera_Kil2025/Github_repo/Data_processing_notebooks/Data_processing_Keana_Uwe_Litt/Data_processing_L84/Helper files/"/>
    </mc:Choice>
  </mc:AlternateContent>
  <xr:revisionPtr revIDLastSave="0" documentId="13_ncr:1_{829C0A43-96C2-EA43-BD63-9F039D5E4B17}" xr6:coauthVersionLast="47" xr6:coauthVersionMax="47" xr10:uidLastSave="{00000000-0000-0000-0000-000000000000}"/>
  <bookViews>
    <workbookView xWindow="0" yWindow="27360" windowWidth="28800" windowHeight="23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3" i="2"/>
  <c r="P2" i="2"/>
  <c r="J18" i="2"/>
  <c r="K18" i="2" s="1"/>
  <c r="L18" i="2" s="1"/>
  <c r="J19" i="2"/>
  <c r="K19" i="2" s="1"/>
  <c r="L19" i="2" s="1"/>
  <c r="J8" i="2"/>
  <c r="K8" i="2" s="1"/>
  <c r="L8" i="2" s="1"/>
  <c r="J3" i="2"/>
  <c r="K3" i="2" s="1"/>
  <c r="L3" i="2" s="1"/>
  <c r="J4" i="2"/>
  <c r="K4" i="2" s="1"/>
  <c r="L4" i="2" s="1"/>
  <c r="J5" i="2"/>
  <c r="K5" i="2" s="1"/>
  <c r="L5" i="2" s="1"/>
  <c r="J6" i="2"/>
  <c r="K6" i="2" s="1"/>
  <c r="L6" i="2" s="1"/>
  <c r="J7" i="2"/>
  <c r="K7" i="2" s="1"/>
  <c r="L7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20" i="2"/>
  <c r="K20" i="2" s="1"/>
  <c r="L20" i="2" s="1"/>
  <c r="J2" i="2"/>
  <c r="K2" i="2" s="1"/>
  <c r="L2" i="2" s="1"/>
</calcChain>
</file>

<file path=xl/sharedStrings.xml><?xml version="1.0" encoding="utf-8"?>
<sst xmlns="http://schemas.openxmlformats.org/spreadsheetml/2006/main" count="289" uniqueCount="110">
  <si>
    <t>filename</t>
  </si>
  <si>
    <t>date_object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</si>
  <si>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</si>
  <si>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</si>
  <si>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</si>
  <si>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</si>
  <si>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</si>
  <si>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</si>
  <si>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</si>
  <si>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</si>
  <si>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</si>
  <si>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sec since midnight</t>
  </si>
  <si>
    <t>EBSD_simple_name</t>
  </si>
  <si>
    <t>EBSD_grainID</t>
  </si>
  <si>
    <t>EBSDname+grainID</t>
  </si>
  <si>
    <t>EBSD_comment</t>
  </si>
  <si>
    <t>FI#2</t>
  </si>
  <si>
    <t>FI#1</t>
  </si>
  <si>
    <t>2 (CLJD)</t>
  </si>
  <si>
    <t>L84-FI39-FI#1</t>
  </si>
  <si>
    <t>L84-FI39-FI#2</t>
  </si>
  <si>
    <t>L84-FI40-FI#1</t>
  </si>
  <si>
    <t>L84-FI41-FI#1</t>
  </si>
  <si>
    <t>L84-FI41-FI#2</t>
  </si>
  <si>
    <t>L84-FI42-FI#1</t>
  </si>
  <si>
    <t>L84-FI43-FI#1</t>
  </si>
  <si>
    <t>L84-FI44-FI#1-12mw</t>
  </si>
  <si>
    <t>L84-FI44-FI#1-6mw</t>
  </si>
  <si>
    <t>L84-FI44-FI#2-6mw</t>
  </si>
  <si>
    <t>L84-FI45-FI#1</t>
  </si>
  <si>
    <t>L84-FI46-FI#1</t>
  </si>
  <si>
    <t>L84-FI46-FI#2</t>
  </si>
  <si>
    <t>L84-FI47-FI#1</t>
  </si>
  <si>
    <t>L84-FI47-FI#2</t>
  </si>
  <si>
    <t>L84-FI48-FI#1</t>
  </si>
  <si>
    <t>L84-FI48-FI#2</t>
  </si>
  <si>
    <t>L84-FI49-FI#1</t>
  </si>
  <si>
    <t>L84-FI50-FI#1</t>
  </si>
  <si>
    <t>L84</t>
  </si>
  <si>
    <t>FI39</t>
  </si>
  <si>
    <t>FI40</t>
  </si>
  <si>
    <t>FI41</t>
  </si>
  <si>
    <t>FI42</t>
  </si>
  <si>
    <t>FI43</t>
  </si>
  <si>
    <t>FI44</t>
  </si>
  <si>
    <t>FI45</t>
  </si>
  <si>
    <t>FI46</t>
  </si>
  <si>
    <t>FI47</t>
  </si>
  <si>
    <t>FI48</t>
  </si>
  <si>
    <t>FI49</t>
  </si>
  <si>
    <t>FI50</t>
  </si>
  <si>
    <t xml:space="preserve">L84-39_1 </t>
  </si>
  <si>
    <t xml:space="preserve">L84-39_2 </t>
  </si>
  <si>
    <t xml:space="preserve">L84-40_1 </t>
  </si>
  <si>
    <t xml:space="preserve">L84-41_1 </t>
  </si>
  <si>
    <t xml:space="preserve">L84-41_2 </t>
  </si>
  <si>
    <t xml:space="preserve">L84-42_1 </t>
  </si>
  <si>
    <t xml:space="preserve">L84-43_1 </t>
  </si>
  <si>
    <t xml:space="preserve">L84-44_1 </t>
  </si>
  <si>
    <t xml:space="preserve">L84-44_2 </t>
  </si>
  <si>
    <t xml:space="preserve">L84-45_1 </t>
  </si>
  <si>
    <t xml:space="preserve">L84-46_1 </t>
  </si>
  <si>
    <t xml:space="preserve">L84-46_2 </t>
  </si>
  <si>
    <t xml:space="preserve">L84-47_1 </t>
  </si>
  <si>
    <t xml:space="preserve">L84-47_2 </t>
  </si>
  <si>
    <t xml:space="preserve">L84-48_1 </t>
  </si>
  <si>
    <t xml:space="preserve">L84-48_2 </t>
  </si>
  <si>
    <t xml:space="preserve">L84-49_1 </t>
  </si>
  <si>
    <t>L84-50_avg</t>
  </si>
  <si>
    <t>Name_on_EPMA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</si>
  <si>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</si>
  <si>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</si>
  <si>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</si>
  <si>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</si>
  <si>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</si>
  <si>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</si>
  <si>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</si>
  <si>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</si>
  <si>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</si>
  <si>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melt film</t>
  </si>
  <si>
    <t>spinel</t>
  </si>
  <si>
    <t>sulfide</t>
  </si>
  <si>
    <t>Comment</t>
  </si>
  <si>
    <t>P</t>
  </si>
  <si>
    <t>cluster</t>
  </si>
  <si>
    <t>yes</t>
  </si>
  <si>
    <t>Near a crack but might be a polishing crack.</t>
  </si>
  <si>
    <t>has melt film</t>
  </si>
  <si>
    <t>isolated</t>
  </si>
  <si>
    <t>there are MI and spinels in the crystal, but no clear zones</t>
  </si>
  <si>
    <t>PS</t>
  </si>
  <si>
    <t>Also a chance it could be pseudo secondary. Unclear</t>
  </si>
  <si>
    <t>decrepit</t>
  </si>
  <si>
    <t>decrepit, tiny inclusions around the main</t>
  </si>
  <si>
    <t>decrepit, tiny inclusions around the main; good example</t>
  </si>
  <si>
    <t>These look like core clusters, or spongy core clusters</t>
  </si>
  <si>
    <t>Seems growth related</t>
  </si>
  <si>
    <t xml:space="preserve">unsure how this formed, may be decrepit, or PS. </t>
  </si>
  <si>
    <t>Looks like a core cluster</t>
  </si>
  <si>
    <t>maybe</t>
  </si>
  <si>
    <t>shape</t>
  </si>
  <si>
    <t>Ellipsoidal</t>
  </si>
  <si>
    <t>Capsule (short)</t>
  </si>
  <si>
    <t>Capsule (long)</t>
  </si>
  <si>
    <t>Negative crystal</t>
  </si>
  <si>
    <t>Def</t>
  </si>
  <si>
    <t>Light def</t>
  </si>
  <si>
    <t>Undef</t>
  </si>
  <si>
    <t>Def? maybe synneusis</t>
  </si>
  <si>
    <t>Mount2_Kil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</si>
</sst>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G20"/>
  <sheetViews>
    <sheetView tabSelected="1" topLeftCell="L1" workbookViewId="0">
      <pane xSplit="1" ySplit="1" topLeftCell="M2" activePane="bottomRight" state="frozen"/>
      <selection activeCell="L1" sqref="L1"/>
      <selection pane="topRight" activeCell="M1" sqref="M1"/>
      <selection pane="bottomLeft" activeCell="L2" sqref="L2"/>
      <selection pane="bottomRight" activeCell="N4" sqref="N4"/>
    </sheetView>
  </sheetViews>
  <sheetFormatPr baseColWidth="10" defaultColWidth="8.83203125" defaultRowHeight="15" x14ac:dyDescent="0.2"/>
  <cols>
    <col min="1" max="1" width="18.83203125" customWidth="1"/>
    <col min="2" max="3" width="10.83203125"/>
    <col min="4" max="4" width="26.83203125" customWidth="1"/>
    <col min="10" max="10" width="14" customWidth="1"/>
    <col min="11" max="11" width="19.5" customWidth="1"/>
    <col min="12" max="12" width="25.1640625" customWidth="1"/>
    <col min="13" max="13" width="13.83203125" customWidth="1"/>
    <col min="14" max="17" width="18.6640625" customWidth="1"/>
    <col min="32" max="32" width="16.83203125" customWidth="1"/>
    <col min="33" max="33" width="51.83203125" customWidth="1"/>
  </cols>
  <sheetData>
    <row r="1" spans="1:33" x14ac:dyDescent="0.2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69</v>
      </c>
      <c r="N1" t="s">
        <v>12</v>
      </c>
      <c r="O1" s="2" t="s">
        <v>13</v>
      </c>
      <c r="P1" s="3" t="s">
        <v>14</v>
      </c>
      <c r="Q1" t="s">
        <v>15</v>
      </c>
      <c r="R1" t="s">
        <v>70</v>
      </c>
      <c r="S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92</v>
      </c>
      <c r="AC1" t="s">
        <v>79</v>
      </c>
      <c r="AD1" t="s">
        <v>80</v>
      </c>
      <c r="AE1" t="s">
        <v>81</v>
      </c>
      <c r="AF1" t="s">
        <v>100</v>
      </c>
      <c r="AG1" t="s">
        <v>82</v>
      </c>
    </row>
    <row r="2" spans="1:33" x14ac:dyDescent="0.2">
      <c r="A2" t="s">
        <v>19</v>
      </c>
      <c r="B2">
        <v>39933</v>
      </c>
      <c r="C2" s="1">
        <v>44860</v>
      </c>
      <c r="D2" s="1" t="s">
        <v>4</v>
      </c>
      <c r="E2" t="s">
        <v>18</v>
      </c>
      <c r="F2" t="s">
        <v>38</v>
      </c>
      <c r="G2" t="s">
        <v>39</v>
      </c>
      <c r="I2" t="s">
        <v>17</v>
      </c>
      <c r="J2" t="str">
        <f>_xlfn.CONCAT(F2,"_",G2)</f>
        <v>L84_FI39</v>
      </c>
      <c r="K2" t="str">
        <f>IF(H2&lt;&gt;0,_xlfn.CONCAT(J2,"_",H2),J2)</f>
        <v>L84_FI39</v>
      </c>
      <c r="L2" t="str">
        <f t="shared" ref="L2:L4" si="0">_xlfn.CONCAT(K2,"_",I2)</f>
        <v>L84_FI39_FI#1</v>
      </c>
      <c r="M2" s="4" t="s">
        <v>51</v>
      </c>
      <c r="N2" t="s">
        <v>109</v>
      </c>
      <c r="O2">
        <v>292</v>
      </c>
      <c r="P2" t="str">
        <f>_xlfn.CONCAT(N2,"_",O2)</f>
        <v>Mount2_Kil_292</v>
      </c>
      <c r="Q2" t="s">
        <v>105</v>
      </c>
      <c r="R2" t="s">
        <v>83</v>
      </c>
      <c r="S2" t="s">
        <v>84</v>
      </c>
      <c r="T2">
        <v>1</v>
      </c>
      <c r="U2">
        <v>120130</v>
      </c>
      <c r="V2">
        <v>417.95499999999998</v>
      </c>
      <c r="W2">
        <v>365.959</v>
      </c>
      <c r="X2">
        <v>135.13</v>
      </c>
      <c r="Y2">
        <v>1900</v>
      </c>
      <c r="Z2">
        <v>1200</v>
      </c>
      <c r="AA2">
        <v>50</v>
      </c>
      <c r="AC2" t="s">
        <v>85</v>
      </c>
      <c r="AF2" t="s">
        <v>102</v>
      </c>
      <c r="AG2" t="s">
        <v>86</v>
      </c>
    </row>
    <row r="3" spans="1:33" x14ac:dyDescent="0.2">
      <c r="A3" t="s">
        <v>20</v>
      </c>
      <c r="B3">
        <v>41989</v>
      </c>
      <c r="C3" s="1">
        <v>44860</v>
      </c>
      <c r="D3" s="1" t="s">
        <v>4</v>
      </c>
      <c r="E3" t="s">
        <v>18</v>
      </c>
      <c r="F3" t="s">
        <v>38</v>
      </c>
      <c r="G3" t="s">
        <v>39</v>
      </c>
      <c r="I3" t="s">
        <v>16</v>
      </c>
      <c r="J3" t="str">
        <f t="shared" ref="J3:J20" si="1">_xlfn.CONCAT(F3,"_",G3)</f>
        <v>L84_FI39</v>
      </c>
      <c r="K3" t="str">
        <f t="shared" ref="K3:K20" si="2">IF(H3&lt;&gt;0,_xlfn.CONCAT(J3,"_",H3),J3)</f>
        <v>L84_FI39</v>
      </c>
      <c r="L3" t="str">
        <f t="shared" si="0"/>
        <v>L84_FI39_FI#2</v>
      </c>
      <c r="M3" s="4" t="s">
        <v>52</v>
      </c>
      <c r="N3" t="s">
        <v>109</v>
      </c>
      <c r="O3">
        <v>292</v>
      </c>
      <c r="P3" t="str">
        <f>_xlfn.CONCAT(N3,"_",O3)</f>
        <v>Mount2_Kil_292</v>
      </c>
      <c r="Q3" t="s">
        <v>105</v>
      </c>
      <c r="R3" t="s">
        <v>83</v>
      </c>
      <c r="S3" t="s">
        <v>84</v>
      </c>
      <c r="T3">
        <v>2</v>
      </c>
      <c r="U3">
        <v>44326</v>
      </c>
      <c r="V3">
        <v>275.86399999999998</v>
      </c>
      <c r="W3">
        <v>204.58500000000001</v>
      </c>
      <c r="X3">
        <v>127.566</v>
      </c>
      <c r="Y3">
        <v>1900</v>
      </c>
      <c r="Z3">
        <v>1200</v>
      </c>
      <c r="AA3">
        <v>50</v>
      </c>
      <c r="AF3" t="s">
        <v>103</v>
      </c>
    </row>
    <row r="4" spans="1:33" x14ac:dyDescent="0.2">
      <c r="A4" t="s">
        <v>21</v>
      </c>
      <c r="B4">
        <v>57132</v>
      </c>
      <c r="C4" s="1">
        <v>44876</v>
      </c>
      <c r="D4" s="1" t="s">
        <v>4</v>
      </c>
      <c r="E4" t="s">
        <v>18</v>
      </c>
      <c r="F4" t="s">
        <v>38</v>
      </c>
      <c r="G4" t="s">
        <v>40</v>
      </c>
      <c r="I4" t="s">
        <v>17</v>
      </c>
      <c r="J4" t="str">
        <f t="shared" si="1"/>
        <v>L84_FI40</v>
      </c>
      <c r="K4" t="str">
        <f t="shared" si="2"/>
        <v>L84_FI40</v>
      </c>
      <c r="L4" t="str">
        <f t="shared" si="0"/>
        <v>L84_FI40_FI#1</v>
      </c>
      <c r="M4" s="4" t="s">
        <v>53</v>
      </c>
      <c r="N4" t="s">
        <v>109</v>
      </c>
      <c r="O4">
        <v>264</v>
      </c>
      <c r="P4" t="str">
        <f t="shared" ref="P4:P20" si="3">_xlfn.CONCAT(N4,"_",O4)</f>
        <v>Mount2_Kil_264</v>
      </c>
      <c r="Q4" t="s">
        <v>105</v>
      </c>
      <c r="R4" t="s">
        <v>83</v>
      </c>
      <c r="S4" t="s">
        <v>84</v>
      </c>
      <c r="T4">
        <v>3</v>
      </c>
      <c r="U4">
        <v>54345</v>
      </c>
      <c r="V4">
        <v>279.11700000000002</v>
      </c>
      <c r="W4">
        <v>247.904</v>
      </c>
      <c r="X4">
        <v>13.837</v>
      </c>
      <c r="Y4">
        <v>1900</v>
      </c>
      <c r="Z4">
        <v>1200</v>
      </c>
      <c r="AA4">
        <v>50</v>
      </c>
      <c r="AC4" t="s">
        <v>85</v>
      </c>
      <c r="AE4" t="s">
        <v>99</v>
      </c>
      <c r="AF4" t="s">
        <v>101</v>
      </c>
      <c r="AG4" t="s">
        <v>87</v>
      </c>
    </row>
    <row r="5" spans="1:33" x14ac:dyDescent="0.2">
      <c r="A5" t="s">
        <v>22</v>
      </c>
      <c r="B5">
        <v>57593</v>
      </c>
      <c r="C5" s="1">
        <v>44876</v>
      </c>
      <c r="D5" s="1" t="s">
        <v>4</v>
      </c>
      <c r="E5" t="s">
        <v>18</v>
      </c>
      <c r="F5" t="s">
        <v>38</v>
      </c>
      <c r="G5" t="s">
        <v>41</v>
      </c>
      <c r="I5" t="s">
        <v>17</v>
      </c>
      <c r="J5" t="str">
        <f t="shared" si="1"/>
        <v>L84_FI41</v>
      </c>
      <c r="K5" t="str">
        <f t="shared" si="2"/>
        <v>L84_FI41</v>
      </c>
      <c r="L5" t="str">
        <f t="shared" ref="L5:L8" si="4">_xlfn.CONCAT(K5,"_",I5)</f>
        <v>L84_FI41_FI#1</v>
      </c>
      <c r="M5" s="4" t="s">
        <v>54</v>
      </c>
      <c r="N5" t="s">
        <v>109</v>
      </c>
      <c r="O5">
        <v>225</v>
      </c>
      <c r="P5" t="str">
        <f t="shared" si="3"/>
        <v>Mount2_Kil_225</v>
      </c>
      <c r="Q5" t="s">
        <v>106</v>
      </c>
      <c r="R5" t="s">
        <v>83</v>
      </c>
      <c r="S5" t="s">
        <v>88</v>
      </c>
      <c r="T5">
        <v>1</v>
      </c>
      <c r="U5">
        <v>19322</v>
      </c>
      <c r="V5">
        <v>161.768</v>
      </c>
      <c r="W5">
        <v>152.07900000000001</v>
      </c>
      <c r="X5">
        <v>77.587000000000003</v>
      </c>
      <c r="Y5">
        <v>1900</v>
      </c>
      <c r="Z5">
        <v>1200</v>
      </c>
      <c r="AA5">
        <v>50</v>
      </c>
      <c r="AF5" t="s">
        <v>102</v>
      </c>
      <c r="AG5" t="s">
        <v>89</v>
      </c>
    </row>
    <row r="6" spans="1:33" x14ac:dyDescent="0.2">
      <c r="A6" t="s">
        <v>23</v>
      </c>
      <c r="B6">
        <v>57852</v>
      </c>
      <c r="C6" s="1">
        <v>44876</v>
      </c>
      <c r="D6" s="1" t="s">
        <v>4</v>
      </c>
      <c r="E6" t="s">
        <v>18</v>
      </c>
      <c r="F6" t="s">
        <v>38</v>
      </c>
      <c r="G6" t="s">
        <v>41</v>
      </c>
      <c r="I6" t="s">
        <v>16</v>
      </c>
      <c r="J6" t="str">
        <f t="shared" si="1"/>
        <v>L84_FI41</v>
      </c>
      <c r="K6" t="str">
        <f t="shared" si="2"/>
        <v>L84_FI41</v>
      </c>
      <c r="L6" t="str">
        <f t="shared" si="4"/>
        <v>L84_FI41_FI#2</v>
      </c>
      <c r="M6" s="4" t="s">
        <v>55</v>
      </c>
      <c r="N6" t="s">
        <v>109</v>
      </c>
      <c r="O6">
        <v>225</v>
      </c>
      <c r="P6" t="str">
        <f t="shared" si="3"/>
        <v>Mount2_Kil_225</v>
      </c>
      <c r="Q6" t="s">
        <v>106</v>
      </c>
      <c r="R6" t="s">
        <v>83</v>
      </c>
      <c r="S6" t="s">
        <v>88</v>
      </c>
      <c r="T6">
        <v>2</v>
      </c>
      <c r="U6">
        <v>10010</v>
      </c>
      <c r="V6">
        <v>120.28100000000001</v>
      </c>
      <c r="W6">
        <v>105.961</v>
      </c>
      <c r="X6">
        <v>60.259</v>
      </c>
      <c r="Y6">
        <v>1900</v>
      </c>
      <c r="Z6">
        <v>1200</v>
      </c>
      <c r="AA6">
        <v>50</v>
      </c>
      <c r="AE6" t="s">
        <v>99</v>
      </c>
      <c r="AF6" t="s">
        <v>102</v>
      </c>
    </row>
    <row r="7" spans="1:33" x14ac:dyDescent="0.2">
      <c r="A7" t="s">
        <v>24</v>
      </c>
      <c r="B7">
        <v>58296</v>
      </c>
      <c r="C7" s="1">
        <v>44876</v>
      </c>
      <c r="D7" s="1" t="s">
        <v>4</v>
      </c>
      <c r="E7" t="s">
        <v>18</v>
      </c>
      <c r="F7" t="s">
        <v>38</v>
      </c>
      <c r="G7" t="s">
        <v>42</v>
      </c>
      <c r="I7" t="s">
        <v>17</v>
      </c>
      <c r="J7" t="str">
        <f t="shared" si="1"/>
        <v>L84_FI42</v>
      </c>
      <c r="K7" t="str">
        <f t="shared" si="2"/>
        <v>L84_FI42</v>
      </c>
      <c r="L7" t="str">
        <f t="shared" si="4"/>
        <v>L84_FI42_FI#1</v>
      </c>
      <c r="M7" s="4" t="s">
        <v>56</v>
      </c>
      <c r="N7" t="s">
        <v>109</v>
      </c>
      <c r="O7">
        <v>199</v>
      </c>
      <c r="P7" t="str">
        <f t="shared" si="3"/>
        <v>Mount2_Kil_199</v>
      </c>
      <c r="Q7" t="s">
        <v>106</v>
      </c>
      <c r="R7" t="s">
        <v>83</v>
      </c>
      <c r="S7" t="s">
        <v>84</v>
      </c>
      <c r="T7">
        <v>3</v>
      </c>
      <c r="U7">
        <v>20912</v>
      </c>
      <c r="V7">
        <v>171.464</v>
      </c>
      <c r="W7">
        <v>155.286</v>
      </c>
      <c r="X7">
        <v>128.47999999999999</v>
      </c>
      <c r="Y7">
        <v>1900</v>
      </c>
      <c r="Z7">
        <v>1200</v>
      </c>
      <c r="AA7">
        <v>50</v>
      </c>
      <c r="AF7" t="s">
        <v>102</v>
      </c>
      <c r="AG7" t="s">
        <v>91</v>
      </c>
    </row>
    <row r="8" spans="1:33" x14ac:dyDescent="0.2">
      <c r="A8" t="s">
        <v>25</v>
      </c>
      <c r="B8">
        <v>58757</v>
      </c>
      <c r="C8" s="1">
        <v>44876</v>
      </c>
      <c r="D8" s="1" t="s">
        <v>4</v>
      </c>
      <c r="E8" t="s">
        <v>18</v>
      </c>
      <c r="F8" t="s">
        <v>38</v>
      </c>
      <c r="G8" t="s">
        <v>43</v>
      </c>
      <c r="I8" t="s">
        <v>17</v>
      </c>
      <c r="J8" t="str">
        <f t="shared" si="1"/>
        <v>L84_FI43</v>
      </c>
      <c r="K8" t="str">
        <f t="shared" si="2"/>
        <v>L84_FI43</v>
      </c>
      <c r="L8" t="str">
        <f t="shared" si="4"/>
        <v>L84_FI43_FI#1</v>
      </c>
      <c r="M8" s="4" t="s">
        <v>57</v>
      </c>
      <c r="N8" t="s">
        <v>109</v>
      </c>
      <c r="O8">
        <v>156</v>
      </c>
      <c r="P8" t="str">
        <f t="shared" si="3"/>
        <v>Mount2_Kil_156</v>
      </c>
      <c r="Q8" t="s">
        <v>107</v>
      </c>
      <c r="R8" t="s">
        <v>83</v>
      </c>
      <c r="S8" t="s">
        <v>88</v>
      </c>
      <c r="T8">
        <v>1</v>
      </c>
      <c r="U8">
        <v>31252</v>
      </c>
      <c r="V8">
        <v>216.98699999999999</v>
      </c>
      <c r="W8">
        <v>183.381</v>
      </c>
      <c r="X8">
        <v>11.412000000000001</v>
      </c>
      <c r="Y8">
        <v>1900</v>
      </c>
      <c r="Z8">
        <v>1200</v>
      </c>
      <c r="AA8">
        <v>50</v>
      </c>
      <c r="AF8" t="s">
        <v>101</v>
      </c>
    </row>
    <row r="9" spans="1:33" x14ac:dyDescent="0.2">
      <c r="A9" t="s">
        <v>26</v>
      </c>
      <c r="B9">
        <v>59305</v>
      </c>
      <c r="C9" s="1">
        <v>44876</v>
      </c>
      <c r="D9" s="1" t="s">
        <v>4</v>
      </c>
      <c r="E9" t="s">
        <v>18</v>
      </c>
      <c r="F9" t="s">
        <v>38</v>
      </c>
      <c r="G9" t="s">
        <v>44</v>
      </c>
      <c r="I9" t="s">
        <v>17</v>
      </c>
      <c r="J9" t="str">
        <f t="shared" si="1"/>
        <v>L84_FI44</v>
      </c>
      <c r="K9" t="str">
        <f t="shared" si="2"/>
        <v>L84_FI44</v>
      </c>
      <c r="L9" t="str">
        <f t="shared" ref="L9:L19" si="5">_xlfn.CONCAT(K9,"_",I9)</f>
        <v>L84_FI44_FI#1</v>
      </c>
      <c r="M9" s="4" t="s">
        <v>58</v>
      </c>
      <c r="N9" t="s">
        <v>109</v>
      </c>
      <c r="O9">
        <v>130</v>
      </c>
      <c r="P9" t="str">
        <f t="shared" si="3"/>
        <v>Mount2_Kil_130</v>
      </c>
      <c r="Q9" t="s">
        <v>105</v>
      </c>
      <c r="R9" t="s">
        <v>83</v>
      </c>
      <c r="S9" t="s">
        <v>88</v>
      </c>
      <c r="T9">
        <v>2</v>
      </c>
      <c r="U9">
        <v>137560</v>
      </c>
      <c r="V9">
        <v>422.72800000000001</v>
      </c>
      <c r="W9">
        <v>414.32499999999999</v>
      </c>
      <c r="X9">
        <v>131.20099999999999</v>
      </c>
      <c r="Y9">
        <v>1900</v>
      </c>
      <c r="Z9">
        <v>1200</v>
      </c>
      <c r="AA9">
        <v>50</v>
      </c>
      <c r="AB9" t="s">
        <v>85</v>
      </c>
      <c r="AF9" t="s">
        <v>102</v>
      </c>
      <c r="AG9" t="s">
        <v>94</v>
      </c>
    </row>
    <row r="10" spans="1:33" x14ac:dyDescent="0.2">
      <c r="A10" t="s">
        <v>27</v>
      </c>
      <c r="B10">
        <v>59414</v>
      </c>
      <c r="C10" s="1">
        <v>44876</v>
      </c>
      <c r="D10" s="1" t="s">
        <v>4</v>
      </c>
      <c r="E10" t="s">
        <v>18</v>
      </c>
      <c r="F10" t="s">
        <v>38</v>
      </c>
      <c r="G10" t="s">
        <v>44</v>
      </c>
      <c r="I10" t="s">
        <v>17</v>
      </c>
      <c r="J10" t="str">
        <f t="shared" si="1"/>
        <v>L84_FI44</v>
      </c>
      <c r="K10" t="str">
        <f t="shared" si="2"/>
        <v>L84_FI44</v>
      </c>
      <c r="L10" t="str">
        <f t="shared" si="5"/>
        <v>L84_FI44_FI#1</v>
      </c>
      <c r="M10" s="4" t="s">
        <v>58</v>
      </c>
      <c r="N10" t="s">
        <v>109</v>
      </c>
      <c r="O10">
        <v>130</v>
      </c>
      <c r="P10" t="str">
        <f t="shared" si="3"/>
        <v>Mount2_Kil_130</v>
      </c>
      <c r="Q10" t="s">
        <v>105</v>
      </c>
      <c r="R10" t="s">
        <v>83</v>
      </c>
      <c r="S10" t="s">
        <v>88</v>
      </c>
      <c r="T10">
        <v>2</v>
      </c>
      <c r="U10">
        <v>137560</v>
      </c>
      <c r="V10">
        <v>422.72800000000001</v>
      </c>
      <c r="W10">
        <v>414.32499999999999</v>
      </c>
      <c r="X10">
        <v>131.20099999999999</v>
      </c>
      <c r="Y10">
        <v>1900</v>
      </c>
      <c r="Z10">
        <v>1200</v>
      </c>
      <c r="AA10">
        <v>50</v>
      </c>
      <c r="AB10" t="s">
        <v>85</v>
      </c>
      <c r="AF10" t="s">
        <v>102</v>
      </c>
      <c r="AG10" t="s">
        <v>93</v>
      </c>
    </row>
    <row r="11" spans="1:33" x14ac:dyDescent="0.2">
      <c r="A11" t="s">
        <v>28</v>
      </c>
      <c r="B11">
        <v>59668</v>
      </c>
      <c r="C11" s="1">
        <v>44876</v>
      </c>
      <c r="D11" s="1" t="s">
        <v>4</v>
      </c>
      <c r="E11" t="s">
        <v>18</v>
      </c>
      <c r="F11" t="s">
        <v>38</v>
      </c>
      <c r="G11" t="s">
        <v>44</v>
      </c>
      <c r="I11" t="s">
        <v>16</v>
      </c>
      <c r="J11" t="str">
        <f t="shared" si="1"/>
        <v>L84_FI44</v>
      </c>
      <c r="K11" t="str">
        <f t="shared" si="2"/>
        <v>L84_FI44</v>
      </c>
      <c r="L11" t="str">
        <f t="shared" si="5"/>
        <v>L84_FI44_FI#2</v>
      </c>
      <c r="M11" s="4" t="s">
        <v>59</v>
      </c>
      <c r="N11" t="s">
        <v>109</v>
      </c>
      <c r="O11">
        <v>130</v>
      </c>
      <c r="P11" t="str">
        <f t="shared" si="3"/>
        <v>Mount2_Kil_130</v>
      </c>
      <c r="Q11" t="s">
        <v>105</v>
      </c>
      <c r="R11" t="s">
        <v>83</v>
      </c>
      <c r="S11" t="s">
        <v>88</v>
      </c>
      <c r="T11">
        <v>3</v>
      </c>
      <c r="U11">
        <v>366669</v>
      </c>
      <c r="V11">
        <v>737.33100000000002</v>
      </c>
      <c r="W11">
        <v>633.17200000000003</v>
      </c>
      <c r="X11">
        <v>177.36199999999999</v>
      </c>
      <c r="Y11">
        <v>1900</v>
      </c>
      <c r="Z11">
        <v>1200</v>
      </c>
      <c r="AA11">
        <v>50</v>
      </c>
      <c r="AB11" t="s">
        <v>85</v>
      </c>
      <c r="AF11" t="s">
        <v>104</v>
      </c>
      <c r="AG11" t="s">
        <v>93</v>
      </c>
    </row>
    <row r="12" spans="1:33" x14ac:dyDescent="0.2">
      <c r="A12" t="s">
        <v>29</v>
      </c>
      <c r="B12">
        <v>60033</v>
      </c>
      <c r="C12" s="1">
        <v>44876</v>
      </c>
      <c r="D12" s="1" t="s">
        <v>4</v>
      </c>
      <c r="E12" t="s">
        <v>18</v>
      </c>
      <c r="F12" t="s">
        <v>38</v>
      </c>
      <c r="G12" t="s">
        <v>45</v>
      </c>
      <c r="I12" t="s">
        <v>17</v>
      </c>
      <c r="J12" t="str">
        <f t="shared" si="1"/>
        <v>L84_FI45</v>
      </c>
      <c r="K12" t="str">
        <f t="shared" si="2"/>
        <v>L84_FI45</v>
      </c>
      <c r="L12" t="str">
        <f t="shared" si="5"/>
        <v>L84_FI45_FI#1</v>
      </c>
      <c r="M12" s="4" t="s">
        <v>60</v>
      </c>
      <c r="N12" t="s">
        <v>109</v>
      </c>
      <c r="O12">
        <v>363</v>
      </c>
      <c r="P12" t="str">
        <f t="shared" si="3"/>
        <v>Mount2_Kil_363</v>
      </c>
      <c r="Q12" t="s">
        <v>108</v>
      </c>
      <c r="R12" t="s">
        <v>83</v>
      </c>
      <c r="S12" t="s">
        <v>88</v>
      </c>
      <c r="T12">
        <v>4</v>
      </c>
      <c r="U12">
        <v>62447</v>
      </c>
      <c r="V12">
        <v>329.50599999999997</v>
      </c>
      <c r="W12">
        <v>241.30099999999999</v>
      </c>
      <c r="X12">
        <v>47.674999999999997</v>
      </c>
      <c r="Y12">
        <v>1900</v>
      </c>
      <c r="Z12">
        <v>1200</v>
      </c>
      <c r="AA12">
        <v>50</v>
      </c>
      <c r="AF12" t="s">
        <v>103</v>
      </c>
    </row>
    <row r="13" spans="1:33" x14ac:dyDescent="0.2">
      <c r="A13" t="s">
        <v>30</v>
      </c>
      <c r="B13">
        <v>60343</v>
      </c>
      <c r="C13" s="1">
        <v>44876</v>
      </c>
      <c r="D13" s="1" t="s">
        <v>4</v>
      </c>
      <c r="E13" t="s">
        <v>18</v>
      </c>
      <c r="F13" t="s">
        <v>38</v>
      </c>
      <c r="G13" t="s">
        <v>46</v>
      </c>
      <c r="I13" t="s">
        <v>17</v>
      </c>
      <c r="J13" t="str">
        <f t="shared" si="1"/>
        <v>L84_FI46</v>
      </c>
      <c r="K13" t="str">
        <f t="shared" si="2"/>
        <v>L84_FI46</v>
      </c>
      <c r="L13" t="str">
        <f t="shared" si="5"/>
        <v>L84_FI46_FI#1</v>
      </c>
      <c r="M13" s="4" t="s">
        <v>61</v>
      </c>
      <c r="N13" t="s">
        <v>109</v>
      </c>
      <c r="O13">
        <v>309</v>
      </c>
      <c r="P13" t="str">
        <f t="shared" si="3"/>
        <v>Mount2_Kil_309</v>
      </c>
      <c r="Q13" t="s">
        <v>107</v>
      </c>
      <c r="R13" t="s">
        <v>83</v>
      </c>
      <c r="S13" t="s">
        <v>84</v>
      </c>
      <c r="T13">
        <v>5</v>
      </c>
      <c r="U13">
        <v>32771</v>
      </c>
      <c r="V13">
        <v>225.441</v>
      </c>
      <c r="W13">
        <v>185.083</v>
      </c>
      <c r="X13">
        <v>126.69199999999999</v>
      </c>
      <c r="Y13">
        <v>1900</v>
      </c>
      <c r="Z13">
        <v>1200</v>
      </c>
      <c r="AA13">
        <v>50</v>
      </c>
      <c r="AF13" t="s">
        <v>101</v>
      </c>
      <c r="AG13" t="s">
        <v>95</v>
      </c>
    </row>
    <row r="14" spans="1:33" x14ac:dyDescent="0.2">
      <c r="A14" t="s">
        <v>31</v>
      </c>
      <c r="B14">
        <v>60512</v>
      </c>
      <c r="C14" s="1">
        <v>44876</v>
      </c>
      <c r="D14" s="1" t="s">
        <v>4</v>
      </c>
      <c r="E14" t="s">
        <v>18</v>
      </c>
      <c r="F14" t="s">
        <v>38</v>
      </c>
      <c r="G14" t="s">
        <v>46</v>
      </c>
      <c r="I14" t="s">
        <v>16</v>
      </c>
      <c r="J14" t="str">
        <f t="shared" si="1"/>
        <v>L84_FI46</v>
      </c>
      <c r="K14" t="str">
        <f t="shared" si="2"/>
        <v>L84_FI46</v>
      </c>
      <c r="L14" t="str">
        <f t="shared" si="5"/>
        <v>L84_FI46_FI#2</v>
      </c>
      <c r="M14" s="4" t="s">
        <v>62</v>
      </c>
      <c r="N14" t="s">
        <v>109</v>
      </c>
      <c r="O14">
        <v>309</v>
      </c>
      <c r="P14" t="str">
        <f t="shared" si="3"/>
        <v>Mount2_Kil_309</v>
      </c>
      <c r="Q14" t="s">
        <v>107</v>
      </c>
      <c r="R14" t="s">
        <v>83</v>
      </c>
      <c r="S14" t="s">
        <v>84</v>
      </c>
      <c r="T14">
        <v>6</v>
      </c>
      <c r="U14">
        <v>13670</v>
      </c>
      <c r="V14">
        <v>139.184</v>
      </c>
      <c r="W14">
        <v>125.05200000000001</v>
      </c>
      <c r="X14">
        <v>52.808</v>
      </c>
      <c r="Y14">
        <v>1900</v>
      </c>
      <c r="Z14">
        <v>1200</v>
      </c>
      <c r="AA14">
        <v>50</v>
      </c>
      <c r="AC14" t="s">
        <v>85</v>
      </c>
      <c r="AE14" t="s">
        <v>99</v>
      </c>
      <c r="AF14" t="s">
        <v>102</v>
      </c>
      <c r="AG14" t="s">
        <v>95</v>
      </c>
    </row>
    <row r="15" spans="1:33" x14ac:dyDescent="0.2">
      <c r="A15" t="s">
        <v>32</v>
      </c>
      <c r="B15">
        <v>60866</v>
      </c>
      <c r="C15" s="1">
        <v>44876</v>
      </c>
      <c r="D15" s="1" t="s">
        <v>4</v>
      </c>
      <c r="E15" t="s">
        <v>18</v>
      </c>
      <c r="F15" t="s">
        <v>38</v>
      </c>
      <c r="G15" t="s">
        <v>47</v>
      </c>
      <c r="I15" t="s">
        <v>17</v>
      </c>
      <c r="J15" t="str">
        <f t="shared" si="1"/>
        <v>L84_FI47</v>
      </c>
      <c r="K15" t="str">
        <f t="shared" si="2"/>
        <v>L84_FI47</v>
      </c>
      <c r="L15" t="str">
        <f t="shared" si="5"/>
        <v>L84_FI47_FI#1</v>
      </c>
      <c r="M15" s="4" t="s">
        <v>63</v>
      </c>
      <c r="N15" t="s">
        <v>109</v>
      </c>
      <c r="O15">
        <v>267</v>
      </c>
      <c r="P15" t="str">
        <f t="shared" si="3"/>
        <v>Mount2_Kil_267</v>
      </c>
      <c r="Q15" t="s">
        <v>108</v>
      </c>
      <c r="R15" t="s">
        <v>83</v>
      </c>
      <c r="S15" t="s">
        <v>84</v>
      </c>
      <c r="T15">
        <v>7</v>
      </c>
      <c r="U15">
        <v>10513</v>
      </c>
      <c r="V15">
        <v>132.65799999999999</v>
      </c>
      <c r="W15">
        <v>100.90300000000001</v>
      </c>
      <c r="X15">
        <v>35.914999999999999</v>
      </c>
      <c r="Y15">
        <v>1900</v>
      </c>
      <c r="Z15">
        <v>1200</v>
      </c>
      <c r="AA15">
        <v>50</v>
      </c>
      <c r="AC15" t="s">
        <v>85</v>
      </c>
      <c r="AD15" t="s">
        <v>85</v>
      </c>
      <c r="AF15" t="s">
        <v>101</v>
      </c>
      <c r="AG15" t="s">
        <v>96</v>
      </c>
    </row>
    <row r="16" spans="1:33" x14ac:dyDescent="0.2">
      <c r="A16" t="s">
        <v>33</v>
      </c>
      <c r="B16">
        <v>61035</v>
      </c>
      <c r="C16" s="1">
        <v>44876</v>
      </c>
      <c r="D16" s="1" t="s">
        <v>4</v>
      </c>
      <c r="E16" t="s">
        <v>18</v>
      </c>
      <c r="F16" t="s">
        <v>38</v>
      </c>
      <c r="G16" t="s">
        <v>47</v>
      </c>
      <c r="I16" t="s">
        <v>16</v>
      </c>
      <c r="J16" t="str">
        <f t="shared" si="1"/>
        <v>L84_FI47</v>
      </c>
      <c r="K16" t="str">
        <f t="shared" si="2"/>
        <v>L84_FI47</v>
      </c>
      <c r="L16" t="str">
        <f t="shared" si="5"/>
        <v>L84_FI47_FI#2</v>
      </c>
      <c r="M16" s="4" t="s">
        <v>64</v>
      </c>
      <c r="N16" t="s">
        <v>109</v>
      </c>
      <c r="O16">
        <v>267</v>
      </c>
      <c r="P16" t="str">
        <f t="shared" si="3"/>
        <v>Mount2_Kil_267</v>
      </c>
      <c r="Q16" t="s">
        <v>108</v>
      </c>
      <c r="R16" t="s">
        <v>83</v>
      </c>
      <c r="S16" t="s">
        <v>84</v>
      </c>
      <c r="T16">
        <v>8</v>
      </c>
      <c r="U16">
        <v>8672</v>
      </c>
      <c r="V16">
        <v>113.619</v>
      </c>
      <c r="W16">
        <v>97.18</v>
      </c>
      <c r="X16">
        <v>145.90100000000001</v>
      </c>
      <c r="Y16">
        <v>1900</v>
      </c>
      <c r="Z16">
        <v>1200</v>
      </c>
      <c r="AA16">
        <v>50</v>
      </c>
      <c r="AF16" t="s">
        <v>102</v>
      </c>
      <c r="AG16" t="s">
        <v>96</v>
      </c>
    </row>
    <row r="17" spans="1:33" x14ac:dyDescent="0.2">
      <c r="A17" t="s">
        <v>34</v>
      </c>
      <c r="B17">
        <v>61237</v>
      </c>
      <c r="C17" s="1">
        <v>44876</v>
      </c>
      <c r="D17" s="1" t="s">
        <v>4</v>
      </c>
      <c r="E17" t="s">
        <v>18</v>
      </c>
      <c r="F17" t="s">
        <v>38</v>
      </c>
      <c r="G17" t="s">
        <v>48</v>
      </c>
      <c r="I17" t="s">
        <v>17</v>
      </c>
      <c r="J17" t="str">
        <f t="shared" si="1"/>
        <v>L84_FI48</v>
      </c>
      <c r="K17" t="str">
        <f t="shared" si="2"/>
        <v>L84_FI48</v>
      </c>
      <c r="L17" t="str">
        <f t="shared" si="5"/>
        <v>L84_FI48_FI#1</v>
      </c>
      <c r="M17" s="4" t="s">
        <v>65</v>
      </c>
      <c r="N17" t="s">
        <v>109</v>
      </c>
      <c r="O17">
        <v>236</v>
      </c>
      <c r="P17" t="str">
        <f t="shared" si="3"/>
        <v>Mount2_Kil_236</v>
      </c>
      <c r="Q17" t="s">
        <v>105</v>
      </c>
      <c r="R17" t="s">
        <v>90</v>
      </c>
      <c r="S17" t="s">
        <v>84</v>
      </c>
      <c r="T17">
        <v>9</v>
      </c>
      <c r="U17">
        <v>21216</v>
      </c>
      <c r="V17">
        <v>189.541</v>
      </c>
      <c r="W17">
        <v>142.518</v>
      </c>
      <c r="X17">
        <v>87.772999999999996</v>
      </c>
      <c r="Y17">
        <v>1900</v>
      </c>
      <c r="Z17">
        <v>1200</v>
      </c>
      <c r="AA17">
        <v>50</v>
      </c>
      <c r="AB17" t="s">
        <v>99</v>
      </c>
      <c r="AD17" t="s">
        <v>99</v>
      </c>
      <c r="AF17" t="s">
        <v>103</v>
      </c>
      <c r="AG17" t="s">
        <v>97</v>
      </c>
    </row>
    <row r="18" spans="1:33" x14ac:dyDescent="0.2">
      <c r="A18" t="s">
        <v>35</v>
      </c>
      <c r="B18">
        <v>61451</v>
      </c>
      <c r="C18" s="1">
        <v>44876</v>
      </c>
      <c r="D18" s="1" t="s">
        <v>4</v>
      </c>
      <c r="E18" t="s">
        <v>18</v>
      </c>
      <c r="F18" t="s">
        <v>38</v>
      </c>
      <c r="G18" t="s">
        <v>48</v>
      </c>
      <c r="I18" t="s">
        <v>16</v>
      </c>
      <c r="J18" t="str">
        <f t="shared" ref="J18:J19" si="6">_xlfn.CONCAT(F18,"_",G18)</f>
        <v>L84_FI48</v>
      </c>
      <c r="K18" t="str">
        <f t="shared" ref="K18:K19" si="7">IF(H18&lt;&gt;0,_xlfn.CONCAT(J18,"_",H18),J18)</f>
        <v>L84_FI48</v>
      </c>
      <c r="L18" t="str">
        <f t="shared" si="5"/>
        <v>L84_FI48_FI#2</v>
      </c>
      <c r="M18" s="4" t="s">
        <v>66</v>
      </c>
      <c r="N18" t="s">
        <v>109</v>
      </c>
      <c r="O18">
        <v>236</v>
      </c>
      <c r="P18" t="str">
        <f t="shared" si="3"/>
        <v>Mount2_Kil_236</v>
      </c>
      <c r="Q18" t="s">
        <v>105</v>
      </c>
      <c r="R18" t="s">
        <v>90</v>
      </c>
      <c r="S18" t="s">
        <v>84</v>
      </c>
      <c r="T18">
        <v>10</v>
      </c>
      <c r="U18">
        <v>17436</v>
      </c>
      <c r="V18">
        <v>175.85599999999999</v>
      </c>
      <c r="W18">
        <v>126.241</v>
      </c>
      <c r="X18">
        <v>87.471000000000004</v>
      </c>
      <c r="Y18">
        <v>1900</v>
      </c>
      <c r="Z18">
        <v>1200</v>
      </c>
      <c r="AA18">
        <v>50</v>
      </c>
      <c r="AB18" t="s">
        <v>99</v>
      </c>
      <c r="AD18" t="s">
        <v>99</v>
      </c>
      <c r="AF18" t="s">
        <v>103</v>
      </c>
      <c r="AG18" t="s">
        <v>97</v>
      </c>
    </row>
    <row r="19" spans="1:33" x14ac:dyDescent="0.2">
      <c r="A19" t="s">
        <v>36</v>
      </c>
      <c r="B19">
        <v>61822</v>
      </c>
      <c r="C19" s="1">
        <v>44876</v>
      </c>
      <c r="D19" s="1" t="s">
        <v>4</v>
      </c>
      <c r="E19" t="s">
        <v>18</v>
      </c>
      <c r="F19" t="s">
        <v>38</v>
      </c>
      <c r="G19" t="s">
        <v>49</v>
      </c>
      <c r="I19" t="s">
        <v>17</v>
      </c>
      <c r="J19" t="str">
        <f t="shared" si="6"/>
        <v>L84_FI49</v>
      </c>
      <c r="K19" t="str">
        <f t="shared" si="7"/>
        <v>L84_FI49</v>
      </c>
      <c r="L19" t="str">
        <f t="shared" si="5"/>
        <v>L84_FI49_FI#1</v>
      </c>
      <c r="M19" s="4" t="s">
        <v>67</v>
      </c>
      <c r="N19" t="s">
        <v>109</v>
      </c>
      <c r="O19">
        <v>183</v>
      </c>
      <c r="P19" t="str">
        <f t="shared" si="3"/>
        <v>Mount2_Kil_183</v>
      </c>
      <c r="Q19" t="s">
        <v>106</v>
      </c>
      <c r="R19" t="s">
        <v>83</v>
      </c>
      <c r="S19" t="s">
        <v>84</v>
      </c>
      <c r="T19">
        <v>11</v>
      </c>
      <c r="U19">
        <v>1935</v>
      </c>
      <c r="V19">
        <v>53.790999999999997</v>
      </c>
      <c r="W19">
        <v>45.802</v>
      </c>
      <c r="X19">
        <v>164.00700000000001</v>
      </c>
      <c r="Y19">
        <v>1900</v>
      </c>
      <c r="Z19">
        <v>1200</v>
      </c>
      <c r="AA19">
        <v>50</v>
      </c>
      <c r="AF19" t="s">
        <v>101</v>
      </c>
      <c r="AG19" t="s">
        <v>98</v>
      </c>
    </row>
    <row r="20" spans="1:33" x14ac:dyDescent="0.2">
      <c r="A20" t="s">
        <v>37</v>
      </c>
      <c r="B20">
        <v>62065</v>
      </c>
      <c r="C20" s="1">
        <v>44876</v>
      </c>
      <c r="D20" s="1" t="s">
        <v>4</v>
      </c>
      <c r="E20" t="s">
        <v>18</v>
      </c>
      <c r="F20" t="s">
        <v>38</v>
      </c>
      <c r="G20" t="s">
        <v>50</v>
      </c>
      <c r="I20" t="s">
        <v>17</v>
      </c>
      <c r="J20" t="str">
        <f t="shared" si="1"/>
        <v>L84_FI50</v>
      </c>
      <c r="K20" t="str">
        <f t="shared" si="2"/>
        <v>L84_FI50</v>
      </c>
      <c r="L20" t="str">
        <f t="shared" ref="L20" si="8">_xlfn.CONCAT(K20,"_",I20)</f>
        <v>L84_FI50_FI#1</v>
      </c>
      <c r="M20" s="5" t="s">
        <v>68</v>
      </c>
      <c r="N20" t="s">
        <v>109</v>
      </c>
      <c r="O20">
        <v>138</v>
      </c>
      <c r="P20" t="str">
        <f t="shared" si="3"/>
        <v>Mount2_Kil_138</v>
      </c>
      <c r="Q20" t="s">
        <v>105</v>
      </c>
      <c r="R20" t="s">
        <v>83</v>
      </c>
      <c r="S20" t="s">
        <v>88</v>
      </c>
      <c r="T20">
        <v>12</v>
      </c>
      <c r="U20">
        <v>638665</v>
      </c>
      <c r="V20">
        <v>964.81799999999998</v>
      </c>
      <c r="W20">
        <v>842.82600000000002</v>
      </c>
      <c r="X20">
        <v>35.518999999999998</v>
      </c>
      <c r="Y20">
        <v>1900</v>
      </c>
      <c r="Z20">
        <v>1200</v>
      </c>
      <c r="AA20">
        <v>50</v>
      </c>
      <c r="AF20" t="s">
        <v>102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2026-04-22T16:27:25Z</dcterms:modified>
</cp:coreProperties>
</file>