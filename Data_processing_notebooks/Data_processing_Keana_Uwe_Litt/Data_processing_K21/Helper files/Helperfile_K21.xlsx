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cljd/pCloud Drive/PUG/POSTDOC-UCB/BERKELEY-VIBE/Projects/PrePostCaldera_Kil2025/Github_repo/Data_processing_notebooks/Data_processing_Keana_Uwe_Litt/Data_processing_K21/Helper files/"/>
    </mc:Choice>
  </mc:AlternateContent>
  <xr:revisionPtr revIDLastSave="0" documentId="13_ncr:1_{034A39B1-CAAA-3D4A-9F51-2372CB9406B8}" xr6:coauthVersionLast="47" xr6:coauthVersionMax="47" xr10:uidLastSave="{00000000-0000-0000-0000-000000000000}"/>
  <bookViews>
    <workbookView xWindow="500" yWindow="28200" windowWidth="27120" windowHeight="142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2" l="1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20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2" i="2"/>
  <c r="J8" i="2"/>
  <c r="K8" i="2" s="1"/>
  <c r="L8" i="2" s="1"/>
  <c r="J79" i="2"/>
  <c r="K79" i="2" s="1"/>
  <c r="L79" i="2" s="1"/>
  <c r="J74" i="2"/>
  <c r="K74" i="2" s="1"/>
  <c r="L74" i="2" s="1"/>
  <c r="L19" i="2"/>
  <c r="L18" i="2"/>
  <c r="J19" i="2"/>
  <c r="K19" i="2" s="1"/>
  <c r="J18" i="2"/>
  <c r="K18" i="2" s="1"/>
  <c r="J52" i="2"/>
  <c r="K52" i="2" s="1"/>
  <c r="L52" i="2" s="1"/>
  <c r="J53" i="2"/>
  <c r="K53" i="2" s="1"/>
  <c r="L53" i="2" s="1"/>
  <c r="J54" i="2"/>
  <c r="K54" i="2" s="1"/>
  <c r="L54" i="2" s="1"/>
  <c r="J55" i="2"/>
  <c r="K55" i="2" s="1"/>
  <c r="L55" i="2" s="1"/>
  <c r="J56" i="2"/>
  <c r="K56" i="2" s="1"/>
  <c r="L56" i="2" s="1"/>
  <c r="J57" i="2"/>
  <c r="K57" i="2" s="1"/>
  <c r="L57" i="2" s="1"/>
  <c r="J58" i="2"/>
  <c r="K58" i="2" s="1"/>
  <c r="L58" i="2" s="1"/>
  <c r="J59" i="2"/>
  <c r="K59" i="2" s="1"/>
  <c r="L59" i="2" s="1"/>
  <c r="J60" i="2"/>
  <c r="K60" i="2" s="1"/>
  <c r="L60" i="2" s="1"/>
  <c r="J61" i="2"/>
  <c r="K61" i="2" s="1"/>
  <c r="L61" i="2" s="1"/>
  <c r="J62" i="2"/>
  <c r="K62" i="2" s="1"/>
  <c r="L62" i="2" s="1"/>
  <c r="J63" i="2"/>
  <c r="K63" i="2" s="1"/>
  <c r="L63" i="2" s="1"/>
  <c r="J64" i="2"/>
  <c r="K64" i="2" s="1"/>
  <c r="L64" i="2" s="1"/>
  <c r="J65" i="2"/>
  <c r="K65" i="2" s="1"/>
  <c r="L65" i="2" s="1"/>
  <c r="J66" i="2"/>
  <c r="K66" i="2" s="1"/>
  <c r="L66" i="2" s="1"/>
  <c r="J67" i="2"/>
  <c r="K67" i="2" s="1"/>
  <c r="L67" i="2" s="1"/>
  <c r="J68" i="2"/>
  <c r="K68" i="2" s="1"/>
  <c r="L68" i="2" s="1"/>
  <c r="J69" i="2"/>
  <c r="K69" i="2" s="1"/>
  <c r="L69" i="2" s="1"/>
  <c r="J70" i="2"/>
  <c r="K70" i="2" s="1"/>
  <c r="L70" i="2" s="1"/>
  <c r="J71" i="2"/>
  <c r="K71" i="2" s="1"/>
  <c r="L71" i="2" s="1"/>
  <c r="J72" i="2"/>
  <c r="K72" i="2" s="1"/>
  <c r="L72" i="2" s="1"/>
  <c r="J73" i="2"/>
  <c r="K73" i="2" s="1"/>
  <c r="L73" i="2" s="1"/>
  <c r="J75" i="2"/>
  <c r="K75" i="2" s="1"/>
  <c r="L75" i="2" s="1"/>
  <c r="J76" i="2"/>
  <c r="K76" i="2" s="1"/>
  <c r="L76" i="2" s="1"/>
  <c r="J77" i="2"/>
  <c r="K77" i="2" s="1"/>
  <c r="L77" i="2" s="1"/>
  <c r="J78" i="2"/>
  <c r="K78" i="2" s="1"/>
  <c r="L78" i="2" s="1"/>
  <c r="J80" i="2"/>
  <c r="K80" i="2" s="1"/>
  <c r="L80" i="2" s="1"/>
  <c r="J81" i="2"/>
  <c r="K81" i="2" s="1"/>
  <c r="L81" i="2" s="1"/>
  <c r="J3" i="2"/>
  <c r="K3" i="2" s="1"/>
  <c r="L3" i="2" s="1"/>
  <c r="J4" i="2"/>
  <c r="K4" i="2" s="1"/>
  <c r="L4" i="2" s="1"/>
  <c r="J5" i="2"/>
  <c r="K5" i="2" s="1"/>
  <c r="L5" i="2" s="1"/>
  <c r="J6" i="2"/>
  <c r="K6" i="2" s="1"/>
  <c r="L6" i="2" s="1"/>
  <c r="J7" i="2"/>
  <c r="K7" i="2" s="1"/>
  <c r="L7" i="2" s="1"/>
  <c r="J9" i="2"/>
  <c r="K9" i="2" s="1"/>
  <c r="L9" i="2" s="1"/>
  <c r="J10" i="2"/>
  <c r="K10" i="2" s="1"/>
  <c r="L10" i="2" s="1"/>
  <c r="J11" i="2"/>
  <c r="K11" i="2" s="1"/>
  <c r="L11" i="2" s="1"/>
  <c r="J12" i="2"/>
  <c r="K12" i="2" s="1"/>
  <c r="L12" i="2" s="1"/>
  <c r="J13" i="2"/>
  <c r="K13" i="2" s="1"/>
  <c r="L13" i="2" s="1"/>
  <c r="J14" i="2"/>
  <c r="K14" i="2" s="1"/>
  <c r="L14" i="2" s="1"/>
  <c r="J15" i="2"/>
  <c r="K15" i="2" s="1"/>
  <c r="L15" i="2" s="1"/>
  <c r="J16" i="2"/>
  <c r="K16" i="2" s="1"/>
  <c r="L16" i="2" s="1"/>
  <c r="J17" i="2"/>
  <c r="K17" i="2" s="1"/>
  <c r="L17" i="2" s="1"/>
  <c r="J20" i="2"/>
  <c r="K20" i="2" s="1"/>
  <c r="L20" i="2" s="1"/>
  <c r="J21" i="2"/>
  <c r="K21" i="2" s="1"/>
  <c r="L21" i="2" s="1"/>
  <c r="J22" i="2"/>
  <c r="K22" i="2" s="1"/>
  <c r="L22" i="2" s="1"/>
  <c r="J23" i="2"/>
  <c r="K23" i="2" s="1"/>
  <c r="L23" i="2" s="1"/>
  <c r="J24" i="2"/>
  <c r="K24" i="2" s="1"/>
  <c r="L24" i="2" s="1"/>
  <c r="J25" i="2"/>
  <c r="K25" i="2" s="1"/>
  <c r="L25" i="2" s="1"/>
  <c r="J26" i="2"/>
  <c r="K26" i="2" s="1"/>
  <c r="L26" i="2" s="1"/>
  <c r="J27" i="2"/>
  <c r="K27" i="2" s="1"/>
  <c r="L27" i="2" s="1"/>
  <c r="J28" i="2"/>
  <c r="K28" i="2" s="1"/>
  <c r="L28" i="2" s="1"/>
  <c r="J29" i="2"/>
  <c r="K29" i="2" s="1"/>
  <c r="L29" i="2" s="1"/>
  <c r="J30" i="2"/>
  <c r="K30" i="2" s="1"/>
  <c r="L30" i="2" s="1"/>
  <c r="J31" i="2"/>
  <c r="K31" i="2" s="1"/>
  <c r="L31" i="2" s="1"/>
  <c r="J32" i="2"/>
  <c r="K32" i="2" s="1"/>
  <c r="L32" i="2" s="1"/>
  <c r="J33" i="2"/>
  <c r="K33" i="2" s="1"/>
  <c r="L33" i="2" s="1"/>
  <c r="J34" i="2"/>
  <c r="K34" i="2" s="1"/>
  <c r="L34" i="2" s="1"/>
  <c r="J35" i="2"/>
  <c r="K35" i="2" s="1"/>
  <c r="L35" i="2" s="1"/>
  <c r="J36" i="2"/>
  <c r="K36" i="2" s="1"/>
  <c r="L36" i="2" s="1"/>
  <c r="J37" i="2"/>
  <c r="K37" i="2" s="1"/>
  <c r="L37" i="2" s="1"/>
  <c r="J38" i="2"/>
  <c r="K38" i="2" s="1"/>
  <c r="L38" i="2" s="1"/>
  <c r="J39" i="2"/>
  <c r="K39" i="2" s="1"/>
  <c r="L39" i="2" s="1"/>
  <c r="J40" i="2"/>
  <c r="K40" i="2" s="1"/>
  <c r="L40" i="2" s="1"/>
  <c r="J41" i="2"/>
  <c r="K41" i="2" s="1"/>
  <c r="L41" i="2" s="1"/>
  <c r="J42" i="2"/>
  <c r="K42" i="2" s="1"/>
  <c r="L42" i="2" s="1"/>
  <c r="J43" i="2"/>
  <c r="K43" i="2" s="1"/>
  <c r="L43" i="2" s="1"/>
  <c r="J44" i="2"/>
  <c r="K44" i="2" s="1"/>
  <c r="L44" i="2" s="1"/>
  <c r="J45" i="2"/>
  <c r="K45" i="2" s="1"/>
  <c r="L45" i="2" s="1"/>
  <c r="J46" i="2"/>
  <c r="K46" i="2" s="1"/>
  <c r="L46" i="2" s="1"/>
  <c r="J47" i="2"/>
  <c r="K47" i="2" s="1"/>
  <c r="L47" i="2" s="1"/>
  <c r="J48" i="2"/>
  <c r="K48" i="2" s="1"/>
  <c r="L48" i="2" s="1"/>
  <c r="J49" i="2"/>
  <c r="K49" i="2" s="1"/>
  <c r="L49" i="2" s="1"/>
  <c r="J50" i="2"/>
  <c r="K50" i="2" s="1"/>
  <c r="L50" i="2" s="1"/>
  <c r="J51" i="2"/>
  <c r="K51" i="2" s="1"/>
  <c r="L51" i="2" s="1"/>
  <c r="J2" i="2"/>
  <c r="K2" i="2" s="1"/>
  <c r="L2" i="2" s="1"/>
</calcChain>
</file>

<file path=xl/sharedStrings.xml><?xml version="1.0" encoding="utf-8"?>
<sst xmlns="http://schemas.openxmlformats.org/spreadsheetml/2006/main" count="934" uniqueCount="223">
  <si>
    <t>filename</t>
  </si>
  <si>
    <t>date_object</t>
  </si>
  <si>
    <t>Type</t>
  </si>
  <si>
    <t>Mount</t>
  </si>
  <si>
    <t>Sample</t>
  </si>
  <si>
    <t>Crystal</t>
  </si>
  <si>
    <t>Region</t>
  </si>
  <si>
    <t>FI#</t>
  </si>
  <si>
    <t>Sample_crystal</t>
  </si>
  <si>
    <t>Sample_crystal_region</t>
  </si>
  <si>
    <t>FI_name</t>
  </si>
  <si>
    <t>Std</t>
  </si>
  <si>
    <t>sec since midnight</t>
  </si>
  <si>
    <t>EBSD_simple_name</t>
  </si>
  <si>
    <t>EBSD_grainID</t>
  </si>
  <si>
    <t>EBSDname+grainID</t>
  </si>
  <si>
    <t>EBSD_comment</t>
  </si>
  <si>
    <t>K21-51rep1</t>
  </si>
  <si>
    <t>K21-51rep2</t>
  </si>
  <si>
    <t>K21-51rep3</t>
  </si>
  <si>
    <t>K21-53-FI#4</t>
  </si>
  <si>
    <t>K21-54-FI#2</t>
  </si>
  <si>
    <t>K21-54-FI#4</t>
  </si>
  <si>
    <t>K21-56-FI#1</t>
  </si>
  <si>
    <t>K21-57-FI#1</t>
  </si>
  <si>
    <t>K21-57-FI#2</t>
  </si>
  <si>
    <t>K21-57-FI#3</t>
  </si>
  <si>
    <t>K21-57-FI#4</t>
  </si>
  <si>
    <t>K21-58-FI#1-12mw</t>
  </si>
  <si>
    <t>K21-58-FI#1-20mw</t>
  </si>
  <si>
    <t>K21-58-FI#2</t>
  </si>
  <si>
    <t>K21-58-FI#3</t>
  </si>
  <si>
    <t>FO1_MI1-Oct2822postpin</t>
  </si>
  <si>
    <t>FO1_MI1-Oct2822prepin</t>
  </si>
  <si>
    <t>K21-59-FI#1</t>
  </si>
  <si>
    <t>K21-59-FI#2</t>
  </si>
  <si>
    <t>K21-59-FI#3</t>
  </si>
  <si>
    <t>K21-61-FI#1-rep1</t>
  </si>
  <si>
    <t>K21-61-FI#1-rep2</t>
  </si>
  <si>
    <t>K21-61-FI#2</t>
  </si>
  <si>
    <t>K21-61-FI#3</t>
  </si>
  <si>
    <t>K21-63-FI#1</t>
  </si>
  <si>
    <t>K21-64-FI#1</t>
  </si>
  <si>
    <t>K21-64-FI#2</t>
  </si>
  <si>
    <t>K21-64-FI#3</t>
  </si>
  <si>
    <t>K21-64-FI#4</t>
  </si>
  <si>
    <t>K21-64-FI#5</t>
  </si>
  <si>
    <t>K21-64-FI#6</t>
  </si>
  <si>
    <t>K21-64-FI#7</t>
  </si>
  <si>
    <t>K21-64-FI#8</t>
  </si>
  <si>
    <t>K21-65-FI#1-10mW</t>
  </si>
  <si>
    <t>K21-65-FI#1-10mWup</t>
  </si>
  <si>
    <t>K21-65-FI#1-12mW</t>
  </si>
  <si>
    <t>K21-65-FI#1-12mWup</t>
  </si>
  <si>
    <t>K21-65-FI#1-2mW</t>
  </si>
  <si>
    <t>K21-65-FI#1-2mWup</t>
  </si>
  <si>
    <t>K21-65-FI#1-4mW</t>
  </si>
  <si>
    <t>K21-65-FI#1-4mWup</t>
  </si>
  <si>
    <t>K21-65-FI#1-6mW</t>
  </si>
  <si>
    <t>K21-65-FI#1-6mWup</t>
  </si>
  <si>
    <t>K21-65-FI#1-8mW</t>
  </si>
  <si>
    <t>K21-65-FI#1-8mWup</t>
  </si>
  <si>
    <t>K21-66-FI#3-bump</t>
  </si>
  <si>
    <t>K21-66-FI#4</t>
  </si>
  <si>
    <t>K21-68-FI#1</t>
  </si>
  <si>
    <t>K21-68-FI#2</t>
  </si>
  <si>
    <t>K21-69-FI#1</t>
  </si>
  <si>
    <t>K21-69-FI#2</t>
  </si>
  <si>
    <t>K21-69-FI#3</t>
  </si>
  <si>
    <t>K21-69-FI#5</t>
  </si>
  <si>
    <t>K21-69-FI#6</t>
  </si>
  <si>
    <t>K21-70-FI#1</t>
  </si>
  <si>
    <t>K21-71-FI#1-12mwx1</t>
  </si>
  <si>
    <t>K21-71-FI#1-12mwx2</t>
  </si>
  <si>
    <t>K21-71-FI#1-12mwx3</t>
  </si>
  <si>
    <t>K21-71-FI#1-6mwx1</t>
  </si>
  <si>
    <t>K21-71-FI#1-6mwx2</t>
  </si>
  <si>
    <t>K21-71-FI#1-6mwx3</t>
  </si>
  <si>
    <t>K21-72-FI#1</t>
  </si>
  <si>
    <t>K21-72-FI#2</t>
  </si>
  <si>
    <t>K21-74-FI#1</t>
  </si>
  <si>
    <t>K21-74-FI#2</t>
  </si>
  <si>
    <t>K21-74-FI#3</t>
  </si>
  <si>
    <t>K21-74-FI#4</t>
  </si>
  <si>
    <t>K21-74-FI#5</t>
  </si>
  <si>
    <t>K21-74-FI#5rep2</t>
  </si>
  <si>
    <t>K21-74-FI#6</t>
  </si>
  <si>
    <t>K21-75-FI#1_r1</t>
  </si>
  <si>
    <t>K21-75-FI#1_r2</t>
  </si>
  <si>
    <t>K21-75-FI#2_r1</t>
  </si>
  <si>
    <t>K21-75-FI#2_r2</t>
  </si>
  <si>
    <t>K21-75-FI#3</t>
  </si>
  <si>
    <t>K21-77-FI#1</t>
  </si>
  <si>
    <t>K21-78b-FI#3</t>
  </si>
  <si>
    <t>K21-78b-FI#5</t>
  </si>
  <si>
    <t>K21</t>
  </si>
  <si>
    <t>FO1</t>
  </si>
  <si>
    <t>FI#4</t>
  </si>
  <si>
    <t>FI#2</t>
  </si>
  <si>
    <t>FI#1</t>
  </si>
  <si>
    <t>FI#3</t>
  </si>
  <si>
    <t>FI#5</t>
  </si>
  <si>
    <t>FI#6</t>
  </si>
  <si>
    <t>FI#7</t>
  </si>
  <si>
    <t>FI#8</t>
  </si>
  <si>
    <t>78b</t>
  </si>
  <si>
    <t>MI1</t>
  </si>
  <si>
    <t>2 (CLJD)</t>
  </si>
  <si>
    <t xml:space="preserve">K21-51_1 </t>
  </si>
  <si>
    <t xml:space="preserve">K21-53_4 </t>
  </si>
  <si>
    <t xml:space="preserve">K21-54_2 </t>
  </si>
  <si>
    <t xml:space="preserve">K21-54_4 </t>
  </si>
  <si>
    <t xml:space="preserve">K21-55_1 </t>
  </si>
  <si>
    <t>K21-55-FI#1</t>
  </si>
  <si>
    <t xml:space="preserve">K21-56_1 </t>
  </si>
  <si>
    <t xml:space="preserve">K21-57_1 </t>
  </si>
  <si>
    <t xml:space="preserve">K21-57_2 </t>
  </si>
  <si>
    <t xml:space="preserve">K21-57_3 </t>
  </si>
  <si>
    <t xml:space="preserve">K21-57_4 </t>
  </si>
  <si>
    <t xml:space="preserve">K21-58_1 </t>
  </si>
  <si>
    <t xml:space="preserve">K21-58_2 </t>
  </si>
  <si>
    <t xml:space="preserve">K21-59_1 </t>
  </si>
  <si>
    <t xml:space="preserve">K21-59_2 </t>
  </si>
  <si>
    <t xml:space="preserve">K21-59_3 </t>
  </si>
  <si>
    <t xml:space="preserve">K21-61_1 </t>
  </si>
  <si>
    <t xml:space="preserve">K21-61_2 </t>
  </si>
  <si>
    <t xml:space="preserve">K21-61_3 </t>
  </si>
  <si>
    <t xml:space="preserve">K21-63_1 </t>
  </si>
  <si>
    <t xml:space="preserve">K21-64_1 </t>
  </si>
  <si>
    <t xml:space="preserve">K21-64_2 </t>
  </si>
  <si>
    <t xml:space="preserve">K21-64_3 </t>
  </si>
  <si>
    <t xml:space="preserve">K21-64_4 </t>
  </si>
  <si>
    <t xml:space="preserve">K21-64_5 </t>
  </si>
  <si>
    <t xml:space="preserve">K21-64_6 </t>
  </si>
  <si>
    <t xml:space="preserve">K21-64_7 </t>
  </si>
  <si>
    <t xml:space="preserve">K21-64_8 </t>
  </si>
  <si>
    <t xml:space="preserve">K21-65_1 </t>
  </si>
  <si>
    <t xml:space="preserve">K21-66_3 </t>
  </si>
  <si>
    <t xml:space="preserve">K21-66_4 </t>
  </si>
  <si>
    <t xml:space="preserve">K21-68_1 </t>
  </si>
  <si>
    <t xml:space="preserve">K21-69_1 </t>
  </si>
  <si>
    <t xml:space="preserve">K21-69_2 </t>
  </si>
  <si>
    <t xml:space="preserve">K21-69_3 </t>
  </si>
  <si>
    <t xml:space="preserve">K21-69_5 </t>
  </si>
  <si>
    <t xml:space="preserve">K21-69_6 </t>
  </si>
  <si>
    <t xml:space="preserve">K21-70_1 </t>
  </si>
  <si>
    <t xml:space="preserve">K21-71_1 </t>
  </si>
  <si>
    <t xml:space="preserve">K21-72_1 </t>
  </si>
  <si>
    <t xml:space="preserve">K21-72_2 </t>
  </si>
  <si>
    <t xml:space="preserve">K21-74_1 </t>
  </si>
  <si>
    <t xml:space="preserve">K21-74_2 </t>
  </si>
  <si>
    <t xml:space="preserve">K21-74_3 </t>
  </si>
  <si>
    <t xml:space="preserve">K21-74_4 </t>
  </si>
  <si>
    <t xml:space="preserve">K21-75_1 </t>
  </si>
  <si>
    <t xml:space="preserve">K21-75_2 </t>
  </si>
  <si>
    <t xml:space="preserve">K21-76_1 </t>
  </si>
  <si>
    <t xml:space="preserve">K21-76_2 </t>
  </si>
  <si>
    <t xml:space="preserve">K21-76_3 </t>
  </si>
  <si>
    <t xml:space="preserve">K21-77_1 </t>
  </si>
  <si>
    <t xml:space="preserve">K21-78b_2 </t>
  </si>
  <si>
    <t>K21-78b-FI#2</t>
  </si>
  <si>
    <t xml:space="preserve">K21-78b_3 </t>
  </si>
  <si>
    <t xml:space="preserve">K21-78b_4 </t>
  </si>
  <si>
    <t>K21-65_1</t>
  </si>
  <si>
    <t>Name_on_EPMA</t>
  </si>
  <si>
    <t>FI_type</t>
  </si>
  <si>
    <t>FI_axis_a_um</t>
  </si>
  <si>
    <t>FI_axis_b_um</t>
  </si>
  <si>
    <t>pixels wide</t>
  </si>
  <si>
    <t>pixels high</t>
  </si>
  <si>
    <t>mag</t>
  </si>
  <si>
    <t>P</t>
  </si>
  <si>
    <t>sub_type</t>
  </si>
  <si>
    <t>isolated</t>
  </si>
  <si>
    <t>Area</t>
  </si>
  <si>
    <t>S</t>
  </si>
  <si>
    <t>cluster</t>
  </si>
  <si>
    <t>Comment</t>
  </si>
  <si>
    <t>type uncertain</t>
  </si>
  <si>
    <t>crystal may be overheated, oxide planes</t>
  </si>
  <si>
    <t>plane</t>
  </si>
  <si>
    <t>Angle</t>
  </si>
  <si>
    <t>very weird shape, area with spline</t>
  </si>
  <si>
    <t>melt film</t>
  </si>
  <si>
    <t>spinel</t>
  </si>
  <si>
    <t>yes</t>
  </si>
  <si>
    <t>very little melt film &lt;10%</t>
  </si>
  <si>
    <t>core cluster, accompanied by MI</t>
  </si>
  <si>
    <t>melt film, looks like a MI a bit</t>
  </si>
  <si>
    <t>melt film, weird shape</t>
  </si>
  <si>
    <t>melt film, not really cluster, but also no clear plane</t>
  </si>
  <si>
    <t>spinel attached</t>
  </si>
  <si>
    <t>melt film and spinel attached</t>
  </si>
  <si>
    <t>melt film, weird shape, sulfide or spinel attached</t>
  </si>
  <si>
    <t>sulfide</t>
  </si>
  <si>
    <t>maybe</t>
  </si>
  <si>
    <t>same grain as 2, different than 3 and 4</t>
  </si>
  <si>
    <t>sulfide? Round. Same grain as 1, diff than 3 and 4</t>
  </si>
  <si>
    <t>same grain as 4, different than 1 and 2</t>
  </si>
  <si>
    <t>same grain as 3, different than 1 and 2</t>
  </si>
  <si>
    <t>melt film, tiny spins</t>
  </si>
  <si>
    <t>spin?</t>
  </si>
  <si>
    <t>spin and sulf maybe</t>
  </si>
  <si>
    <t>crystal looks overheated, with the oxide planes</t>
  </si>
  <si>
    <t>Seem at the edge of grain boundary between two grains attached, all of them are sort of oblong, rectangularish</t>
  </si>
  <si>
    <t>unclear if spin or sulf</t>
  </si>
  <si>
    <t>can't tell what kind of cluster.</t>
  </si>
  <si>
    <t>plane 1</t>
  </si>
  <si>
    <t>plane 2</t>
  </si>
  <si>
    <t>melt film, looks like a big MI with v little melt, cluster with other MI and spinels</t>
  </si>
  <si>
    <t>tiny melt film maybe</t>
  </si>
  <si>
    <t>decrepit</t>
  </si>
  <si>
    <t>shape</t>
  </si>
  <si>
    <t>Unclear, may be cluster</t>
  </si>
  <si>
    <t>Def</t>
  </si>
  <si>
    <t>Undef</t>
  </si>
  <si>
    <t>Light def</t>
  </si>
  <si>
    <t>Light def? unclear, could be synneusis</t>
  </si>
  <si>
    <t>Unclear, may be synneusis</t>
  </si>
  <si>
    <t>Def, unclear which grain is which</t>
  </si>
  <si>
    <t>Undef, synneusis on side</t>
  </si>
  <si>
    <t>Undef? Most of the crystal in epoxy</t>
  </si>
  <si>
    <t xml:space="preserve">Mount2_Kil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</si>
</sst>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E86E-F97B-4AFF-9664-007014C39847}">
  <dimension ref="A1:AG81"/>
  <sheetViews>
    <sheetView tabSelected="1" topLeftCell="L1" workbookViewId="0">
      <pane xSplit="1" ySplit="1" topLeftCell="M2" activePane="bottomRight" state="frozen"/>
      <selection activeCell="L1" sqref="L1"/>
      <selection pane="topRight" activeCell="M1" sqref="M1"/>
      <selection pane="bottomLeft" activeCell="L2" sqref="L2"/>
      <selection pane="bottomRight" activeCell="N20" sqref="N20:N81"/>
    </sheetView>
  </sheetViews>
  <sheetFormatPr baseColWidth="10" defaultColWidth="8.83203125" defaultRowHeight="15" x14ac:dyDescent="0.2"/>
  <cols>
    <col min="1" max="2" width="23.6640625" customWidth="1"/>
    <col min="4" max="4" width="26.83203125" customWidth="1"/>
    <col min="10" max="10" width="14" customWidth="1"/>
    <col min="11" max="11" width="19.5" customWidth="1"/>
    <col min="12" max="12" width="25.1640625" customWidth="1"/>
    <col min="13" max="13" width="13.83203125" customWidth="1"/>
    <col min="14" max="15" width="18.6640625" customWidth="1"/>
    <col min="16" max="16" width="25.83203125" customWidth="1"/>
    <col min="17" max="17" width="28" customWidth="1"/>
    <col min="18" max="18" width="14.1640625" customWidth="1"/>
    <col min="19" max="19" width="19.1640625" customWidth="1"/>
    <col min="20" max="20" width="5.6640625" customWidth="1"/>
    <col min="21" max="21" width="6.5" customWidth="1"/>
    <col min="22" max="22" width="12.5" customWidth="1"/>
    <col min="23" max="23" width="13.1640625" customWidth="1"/>
    <col min="33" max="33" width="41.1640625" customWidth="1"/>
  </cols>
  <sheetData>
    <row r="1" spans="1:33" x14ac:dyDescent="0.2">
      <c r="A1" t="s">
        <v>0</v>
      </c>
      <c r="B1" t="s">
        <v>1</v>
      </c>
      <c r="C1" t="s">
        <v>12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164</v>
      </c>
      <c r="N1" t="s">
        <v>13</v>
      </c>
      <c r="O1" s="2" t="s">
        <v>14</v>
      </c>
      <c r="P1" s="3" t="s">
        <v>15</v>
      </c>
      <c r="Q1" t="s">
        <v>16</v>
      </c>
      <c r="R1" t="s">
        <v>165</v>
      </c>
      <c r="S1" t="s">
        <v>172</v>
      </c>
      <c r="U1" t="s">
        <v>174</v>
      </c>
      <c r="V1" t="s">
        <v>166</v>
      </c>
      <c r="W1" t="s">
        <v>167</v>
      </c>
      <c r="X1" t="s">
        <v>181</v>
      </c>
      <c r="Y1" t="s">
        <v>168</v>
      </c>
      <c r="Z1" t="s">
        <v>169</v>
      </c>
      <c r="AA1" t="s">
        <v>170</v>
      </c>
      <c r="AB1" t="s">
        <v>211</v>
      </c>
      <c r="AC1" t="s">
        <v>183</v>
      </c>
      <c r="AD1" t="s">
        <v>184</v>
      </c>
      <c r="AE1" t="s">
        <v>194</v>
      </c>
      <c r="AF1" t="s">
        <v>212</v>
      </c>
      <c r="AG1" t="s">
        <v>177</v>
      </c>
    </row>
    <row r="2" spans="1:33" x14ac:dyDescent="0.2">
      <c r="A2" t="s">
        <v>17</v>
      </c>
      <c r="B2" s="1">
        <v>44860</v>
      </c>
      <c r="C2">
        <v>42833</v>
      </c>
      <c r="D2" s="1" t="s">
        <v>4</v>
      </c>
      <c r="E2" t="s">
        <v>107</v>
      </c>
      <c r="F2" t="s">
        <v>95</v>
      </c>
      <c r="G2">
        <v>51</v>
      </c>
      <c r="J2" t="str">
        <f>_xlfn.CONCAT(F2,"_",G2)</f>
        <v>K21_51</v>
      </c>
      <c r="K2" t="str">
        <f>IF(H2&lt;&gt;0,_xlfn.CONCAT(J2,"_",H2),J2)</f>
        <v>K21_51</v>
      </c>
      <c r="L2" t="str">
        <f>_xlfn.CONCAT(K2)</f>
        <v>K21_51</v>
      </c>
      <c r="M2" s="4" t="s">
        <v>108</v>
      </c>
      <c r="N2" t="s">
        <v>222</v>
      </c>
      <c r="O2">
        <v>110</v>
      </c>
      <c r="P2" t="str">
        <f>_xlfn.CONCAT(N2,"_",O2)</f>
        <v>Mount2_Kil _110</v>
      </c>
      <c r="Q2" t="s">
        <v>216</v>
      </c>
      <c r="R2" t="s">
        <v>171</v>
      </c>
      <c r="S2" t="s">
        <v>173</v>
      </c>
      <c r="T2">
        <v>1</v>
      </c>
      <c r="U2">
        <v>9609</v>
      </c>
      <c r="V2">
        <v>121.42100000000001</v>
      </c>
      <c r="W2">
        <v>100.762</v>
      </c>
      <c r="X2">
        <v>153.56399999999999</v>
      </c>
      <c r="Y2">
        <v>1920</v>
      </c>
      <c r="Z2">
        <v>1200</v>
      </c>
      <c r="AA2">
        <v>50</v>
      </c>
    </row>
    <row r="3" spans="1:33" x14ac:dyDescent="0.2">
      <c r="A3" t="s">
        <v>18</v>
      </c>
      <c r="B3" s="1">
        <v>44860</v>
      </c>
      <c r="C3">
        <v>43222</v>
      </c>
      <c r="D3" s="1" t="s">
        <v>4</v>
      </c>
      <c r="E3" t="s">
        <v>107</v>
      </c>
      <c r="F3" t="s">
        <v>95</v>
      </c>
      <c r="G3">
        <v>51</v>
      </c>
      <c r="J3" t="str">
        <f t="shared" ref="J3:J67" si="0">_xlfn.CONCAT(F3,"_",G3)</f>
        <v>K21_51</v>
      </c>
      <c r="K3" t="str">
        <f t="shared" ref="K3:K51" si="1">IF(H3&lt;&gt;0,_xlfn.CONCAT(J3,"_",H3),J3)</f>
        <v>K21_51</v>
      </c>
      <c r="L3" t="str">
        <f t="shared" ref="L3:L4" si="2">_xlfn.CONCAT(K3)</f>
        <v>K21_51</v>
      </c>
      <c r="M3" s="4" t="s">
        <v>108</v>
      </c>
      <c r="N3" t="s">
        <v>222</v>
      </c>
      <c r="O3">
        <v>110</v>
      </c>
      <c r="P3" t="str">
        <f t="shared" ref="P3:P17" si="3">_xlfn.CONCAT(N3,"_",O3)</f>
        <v>Mount2_Kil _110</v>
      </c>
      <c r="Q3" t="s">
        <v>216</v>
      </c>
      <c r="R3" t="s">
        <v>171</v>
      </c>
      <c r="S3" t="s">
        <v>173</v>
      </c>
      <c r="T3">
        <v>1</v>
      </c>
      <c r="U3">
        <v>9609</v>
      </c>
      <c r="V3">
        <v>121.42100000000001</v>
      </c>
      <c r="W3">
        <v>100.762</v>
      </c>
      <c r="X3">
        <v>153.56399999999999</v>
      </c>
      <c r="Y3">
        <v>1920</v>
      </c>
      <c r="Z3">
        <v>1200</v>
      </c>
      <c r="AA3">
        <v>50</v>
      </c>
    </row>
    <row r="4" spans="1:33" x14ac:dyDescent="0.2">
      <c r="A4" t="s">
        <v>19</v>
      </c>
      <c r="B4" s="1">
        <v>44860</v>
      </c>
      <c r="C4">
        <v>43515</v>
      </c>
      <c r="D4" s="1" t="s">
        <v>4</v>
      </c>
      <c r="E4" t="s">
        <v>107</v>
      </c>
      <c r="F4" t="s">
        <v>95</v>
      </c>
      <c r="G4">
        <v>51</v>
      </c>
      <c r="J4" t="str">
        <f t="shared" si="0"/>
        <v>K21_51</v>
      </c>
      <c r="K4" t="str">
        <f t="shared" si="1"/>
        <v>K21_51</v>
      </c>
      <c r="L4" t="str">
        <f t="shared" si="2"/>
        <v>K21_51</v>
      </c>
      <c r="M4" s="4" t="s">
        <v>108</v>
      </c>
      <c r="N4" t="s">
        <v>222</v>
      </c>
      <c r="O4">
        <v>110</v>
      </c>
      <c r="P4" t="str">
        <f t="shared" si="3"/>
        <v>Mount2_Kil _110</v>
      </c>
      <c r="Q4" t="s">
        <v>216</v>
      </c>
      <c r="R4" t="s">
        <v>171</v>
      </c>
      <c r="S4" t="s">
        <v>173</v>
      </c>
      <c r="T4">
        <v>1</v>
      </c>
      <c r="U4">
        <v>9609</v>
      </c>
      <c r="V4">
        <v>121.42100000000001</v>
      </c>
      <c r="W4">
        <v>100.762</v>
      </c>
      <c r="X4">
        <v>153.56399999999999</v>
      </c>
      <c r="Y4">
        <v>1920</v>
      </c>
      <c r="Z4">
        <v>1200</v>
      </c>
      <c r="AA4">
        <v>50</v>
      </c>
    </row>
    <row r="5" spans="1:33" x14ac:dyDescent="0.2">
      <c r="A5" t="s">
        <v>20</v>
      </c>
      <c r="B5" s="1">
        <v>44860</v>
      </c>
      <c r="C5">
        <v>48313</v>
      </c>
      <c r="D5" s="1" t="s">
        <v>4</v>
      </c>
      <c r="E5" t="s">
        <v>107</v>
      </c>
      <c r="F5" t="s">
        <v>95</v>
      </c>
      <c r="G5">
        <v>53</v>
      </c>
      <c r="I5" t="s">
        <v>97</v>
      </c>
      <c r="J5" t="str">
        <f t="shared" si="0"/>
        <v>K21_53</v>
      </c>
      <c r="K5" t="str">
        <f t="shared" si="1"/>
        <v>K21_53</v>
      </c>
      <c r="L5" t="str">
        <f t="shared" ref="L5:L8" si="4">_xlfn.CONCAT(K5,"_",I5)</f>
        <v>K21_53_FI#4</v>
      </c>
      <c r="M5" s="4" t="s">
        <v>109</v>
      </c>
      <c r="N5" t="s">
        <v>222</v>
      </c>
      <c r="O5">
        <v>379</v>
      </c>
      <c r="P5" t="str">
        <f t="shared" si="3"/>
        <v>Mount2_Kil _379</v>
      </c>
      <c r="Q5" t="s">
        <v>216</v>
      </c>
      <c r="R5" t="s">
        <v>171</v>
      </c>
      <c r="S5" t="s">
        <v>176</v>
      </c>
      <c r="T5">
        <v>2</v>
      </c>
      <c r="U5">
        <v>19607</v>
      </c>
      <c r="V5">
        <v>173.18799999999999</v>
      </c>
      <c r="W5">
        <v>144.14599999999999</v>
      </c>
      <c r="X5">
        <v>77.296999999999997</v>
      </c>
      <c r="Y5">
        <v>1920</v>
      </c>
      <c r="Z5">
        <v>1200</v>
      </c>
      <c r="AA5">
        <v>50</v>
      </c>
      <c r="AG5" t="s">
        <v>178</v>
      </c>
    </row>
    <row r="6" spans="1:33" x14ac:dyDescent="0.2">
      <c r="A6" t="s">
        <v>21</v>
      </c>
      <c r="B6" s="1">
        <v>44860</v>
      </c>
      <c r="C6">
        <v>51970</v>
      </c>
      <c r="D6" s="1" t="s">
        <v>4</v>
      </c>
      <c r="E6" t="s">
        <v>107</v>
      </c>
      <c r="F6" t="s">
        <v>95</v>
      </c>
      <c r="G6">
        <v>54</v>
      </c>
      <c r="I6" t="s">
        <v>98</v>
      </c>
      <c r="J6" t="str">
        <f t="shared" si="0"/>
        <v>K21_54</v>
      </c>
      <c r="K6" t="str">
        <f t="shared" si="1"/>
        <v>K21_54</v>
      </c>
      <c r="L6" t="str">
        <f t="shared" si="4"/>
        <v>K21_54_FI#2</v>
      </c>
      <c r="M6" s="4" t="s">
        <v>110</v>
      </c>
      <c r="N6" t="s">
        <v>222</v>
      </c>
      <c r="O6">
        <v>341</v>
      </c>
      <c r="P6" t="str">
        <f t="shared" si="3"/>
        <v>Mount2_Kil _341</v>
      </c>
      <c r="Q6" t="s">
        <v>213</v>
      </c>
      <c r="R6" t="s">
        <v>175</v>
      </c>
      <c r="S6" t="s">
        <v>180</v>
      </c>
      <c r="T6">
        <v>4</v>
      </c>
      <c r="U6">
        <v>5368</v>
      </c>
      <c r="V6">
        <v>88.953999999999994</v>
      </c>
      <c r="W6">
        <v>76.834999999999994</v>
      </c>
      <c r="X6">
        <v>140.37700000000001</v>
      </c>
      <c r="Y6">
        <v>1920</v>
      </c>
      <c r="Z6">
        <v>1200</v>
      </c>
      <c r="AA6">
        <v>50</v>
      </c>
      <c r="AG6" t="s">
        <v>179</v>
      </c>
    </row>
    <row r="7" spans="1:33" x14ac:dyDescent="0.2">
      <c r="A7" t="s">
        <v>22</v>
      </c>
      <c r="B7" s="1">
        <v>44860</v>
      </c>
      <c r="C7">
        <v>53438</v>
      </c>
      <c r="D7" s="1" t="s">
        <v>4</v>
      </c>
      <c r="E7" t="s">
        <v>107</v>
      </c>
      <c r="F7" t="s">
        <v>95</v>
      </c>
      <c r="G7">
        <v>54</v>
      </c>
      <c r="I7" t="s">
        <v>97</v>
      </c>
      <c r="J7" t="str">
        <f t="shared" si="0"/>
        <v>K21_54</v>
      </c>
      <c r="K7" t="str">
        <f t="shared" si="1"/>
        <v>K21_54</v>
      </c>
      <c r="L7" t="str">
        <f t="shared" si="4"/>
        <v>K21_54_FI#4</v>
      </c>
      <c r="M7" s="4" t="s">
        <v>111</v>
      </c>
      <c r="N7" t="s">
        <v>222</v>
      </c>
      <c r="O7">
        <v>341</v>
      </c>
      <c r="P7" t="str">
        <f t="shared" si="3"/>
        <v>Mount2_Kil _341</v>
      </c>
      <c r="Q7" t="s">
        <v>213</v>
      </c>
      <c r="R7" t="s">
        <v>175</v>
      </c>
      <c r="S7" t="s">
        <v>180</v>
      </c>
      <c r="T7">
        <v>5</v>
      </c>
      <c r="U7">
        <v>4550</v>
      </c>
      <c r="V7">
        <v>80.105999999999995</v>
      </c>
      <c r="W7">
        <v>72.319999999999993</v>
      </c>
      <c r="X7">
        <v>68.661000000000001</v>
      </c>
      <c r="Y7">
        <v>1920</v>
      </c>
      <c r="Z7">
        <v>1200</v>
      </c>
      <c r="AA7">
        <v>50</v>
      </c>
    </row>
    <row r="8" spans="1:33" x14ac:dyDescent="0.2">
      <c r="A8" t="s">
        <v>113</v>
      </c>
      <c r="B8" s="1">
        <v>44860</v>
      </c>
      <c r="C8">
        <v>53923</v>
      </c>
      <c r="D8" t="s">
        <v>4</v>
      </c>
      <c r="E8" t="s">
        <v>107</v>
      </c>
      <c r="F8" t="s">
        <v>95</v>
      </c>
      <c r="G8">
        <v>55</v>
      </c>
      <c r="I8" t="s">
        <v>99</v>
      </c>
      <c r="J8" t="str">
        <f t="shared" si="0"/>
        <v>K21_55</v>
      </c>
      <c r="K8" t="str">
        <f t="shared" si="1"/>
        <v>K21_55</v>
      </c>
      <c r="L8" t="str">
        <f t="shared" si="4"/>
        <v>K21_55_FI#1</v>
      </c>
      <c r="M8" s="4" t="s">
        <v>112</v>
      </c>
      <c r="N8" t="s">
        <v>222</v>
      </c>
      <c r="O8">
        <v>291</v>
      </c>
      <c r="P8" t="str">
        <f t="shared" si="3"/>
        <v>Mount2_Kil _291</v>
      </c>
      <c r="Q8" t="s">
        <v>214</v>
      </c>
      <c r="R8" t="s">
        <v>175</v>
      </c>
      <c r="S8" t="s">
        <v>180</v>
      </c>
      <c r="T8">
        <v>6</v>
      </c>
      <c r="U8">
        <v>30272</v>
      </c>
      <c r="V8">
        <v>282.11399999999998</v>
      </c>
      <c r="W8">
        <v>136.624</v>
      </c>
      <c r="X8">
        <v>96.74</v>
      </c>
      <c r="Y8">
        <v>1920</v>
      </c>
      <c r="Z8">
        <v>1200</v>
      </c>
      <c r="AA8">
        <v>50</v>
      </c>
      <c r="AG8" t="s">
        <v>182</v>
      </c>
    </row>
    <row r="9" spans="1:33" x14ac:dyDescent="0.2">
      <c r="A9" t="s">
        <v>23</v>
      </c>
      <c r="B9" s="1">
        <v>44860</v>
      </c>
      <c r="C9">
        <v>55011</v>
      </c>
      <c r="D9" s="1" t="s">
        <v>4</v>
      </c>
      <c r="E9" t="s">
        <v>107</v>
      </c>
      <c r="F9" t="s">
        <v>95</v>
      </c>
      <c r="G9">
        <v>56</v>
      </c>
      <c r="I9" t="s">
        <v>99</v>
      </c>
      <c r="J9" t="str">
        <f t="shared" si="0"/>
        <v>K21_56</v>
      </c>
      <c r="K9" t="str">
        <f t="shared" si="1"/>
        <v>K21_56</v>
      </c>
      <c r="L9" t="str">
        <f t="shared" ref="L9:L17" si="5">_xlfn.CONCAT(K9,"_",I9)</f>
        <v>K21_56_FI#1</v>
      </c>
      <c r="M9" s="4" t="s">
        <v>114</v>
      </c>
      <c r="N9" t="s">
        <v>222</v>
      </c>
      <c r="O9">
        <v>260</v>
      </c>
      <c r="P9" t="str">
        <f t="shared" si="3"/>
        <v>Mount2_Kil _260</v>
      </c>
      <c r="Q9" t="s">
        <v>214</v>
      </c>
      <c r="R9" t="s">
        <v>171</v>
      </c>
      <c r="S9" t="s">
        <v>176</v>
      </c>
      <c r="T9">
        <v>8</v>
      </c>
      <c r="U9">
        <v>148732</v>
      </c>
      <c r="V9">
        <v>441.83600000000001</v>
      </c>
      <c r="W9">
        <v>428.601</v>
      </c>
      <c r="X9">
        <v>55.981999999999999</v>
      </c>
      <c r="Y9">
        <v>1920</v>
      </c>
      <c r="Z9">
        <v>1200</v>
      </c>
      <c r="AA9">
        <v>50</v>
      </c>
      <c r="AC9" t="s">
        <v>185</v>
      </c>
      <c r="AD9" t="s">
        <v>185</v>
      </c>
      <c r="AG9" t="s">
        <v>186</v>
      </c>
    </row>
    <row r="10" spans="1:33" x14ac:dyDescent="0.2">
      <c r="A10" t="s">
        <v>24</v>
      </c>
      <c r="B10" s="1">
        <v>44860</v>
      </c>
      <c r="C10">
        <v>56040</v>
      </c>
      <c r="D10" s="1" t="s">
        <v>4</v>
      </c>
      <c r="E10" t="s">
        <v>107</v>
      </c>
      <c r="F10" t="s">
        <v>95</v>
      </c>
      <c r="G10">
        <v>57</v>
      </c>
      <c r="I10" t="s">
        <v>99</v>
      </c>
      <c r="J10" t="str">
        <f t="shared" si="0"/>
        <v>K21_57</v>
      </c>
      <c r="K10" t="str">
        <f t="shared" si="1"/>
        <v>K21_57</v>
      </c>
      <c r="L10" t="str">
        <f t="shared" si="5"/>
        <v>K21_57_FI#1</v>
      </c>
      <c r="M10" s="4" t="s">
        <v>115</v>
      </c>
      <c r="N10" t="s">
        <v>222</v>
      </c>
      <c r="O10">
        <v>239</v>
      </c>
      <c r="P10" t="str">
        <f t="shared" si="3"/>
        <v>Mount2_Kil _239</v>
      </c>
      <c r="Q10" t="s">
        <v>215</v>
      </c>
      <c r="R10" t="s">
        <v>171</v>
      </c>
      <c r="S10" t="s">
        <v>176</v>
      </c>
      <c r="T10">
        <v>9</v>
      </c>
      <c r="U10">
        <v>44082</v>
      </c>
      <c r="V10">
        <v>245.95699999999999</v>
      </c>
      <c r="W10">
        <v>228.19900000000001</v>
      </c>
      <c r="X10">
        <v>18.312000000000001</v>
      </c>
      <c r="Y10">
        <v>1920</v>
      </c>
      <c r="Z10">
        <v>1200</v>
      </c>
      <c r="AA10">
        <v>50</v>
      </c>
      <c r="AG10" t="s">
        <v>187</v>
      </c>
    </row>
    <row r="11" spans="1:33" x14ac:dyDescent="0.2">
      <c r="A11" t="s">
        <v>25</v>
      </c>
      <c r="B11" s="1">
        <v>44860</v>
      </c>
      <c r="C11">
        <v>56356</v>
      </c>
      <c r="D11" s="1" t="s">
        <v>4</v>
      </c>
      <c r="E11" t="s">
        <v>107</v>
      </c>
      <c r="F11" t="s">
        <v>95</v>
      </c>
      <c r="G11">
        <v>57</v>
      </c>
      <c r="I11" t="s">
        <v>98</v>
      </c>
      <c r="J11" t="str">
        <f t="shared" si="0"/>
        <v>K21_57</v>
      </c>
      <c r="K11" t="str">
        <f t="shared" si="1"/>
        <v>K21_57</v>
      </c>
      <c r="L11" t="str">
        <f t="shared" si="5"/>
        <v>K21_57_FI#2</v>
      </c>
      <c r="M11" s="4" t="s">
        <v>116</v>
      </c>
      <c r="N11" t="s">
        <v>222</v>
      </c>
      <c r="O11">
        <v>239</v>
      </c>
      <c r="P11" t="str">
        <f t="shared" si="3"/>
        <v>Mount2_Kil _239</v>
      </c>
      <c r="Q11" t="s">
        <v>215</v>
      </c>
      <c r="R11" t="s">
        <v>171</v>
      </c>
      <c r="S11" t="s">
        <v>176</v>
      </c>
      <c r="T11">
        <v>1</v>
      </c>
      <c r="U11">
        <v>28452</v>
      </c>
      <c r="V11">
        <v>190.36500000000001</v>
      </c>
      <c r="W11">
        <v>190.29900000000001</v>
      </c>
      <c r="X11">
        <v>73.921999999999997</v>
      </c>
      <c r="Y11">
        <v>1920</v>
      </c>
      <c r="Z11">
        <v>1200</v>
      </c>
      <c r="AA11">
        <v>50</v>
      </c>
      <c r="AD11" t="s">
        <v>185</v>
      </c>
      <c r="AG11" t="s">
        <v>187</v>
      </c>
    </row>
    <row r="12" spans="1:33" x14ac:dyDescent="0.2">
      <c r="A12" t="s">
        <v>26</v>
      </c>
      <c r="B12" s="1">
        <v>44860</v>
      </c>
      <c r="C12">
        <v>56654</v>
      </c>
      <c r="D12" s="1" t="s">
        <v>4</v>
      </c>
      <c r="E12" t="s">
        <v>107</v>
      </c>
      <c r="F12" t="s">
        <v>95</v>
      </c>
      <c r="G12">
        <v>57</v>
      </c>
      <c r="I12" t="s">
        <v>100</v>
      </c>
      <c r="J12" t="str">
        <f t="shared" si="0"/>
        <v>K21_57</v>
      </c>
      <c r="K12" t="str">
        <f t="shared" si="1"/>
        <v>K21_57</v>
      </c>
      <c r="L12" t="str">
        <f t="shared" si="5"/>
        <v>K21_57_FI#3</v>
      </c>
      <c r="M12" s="4" t="s">
        <v>117</v>
      </c>
      <c r="N12" t="s">
        <v>222</v>
      </c>
      <c r="O12">
        <v>239</v>
      </c>
      <c r="P12" t="str">
        <f t="shared" si="3"/>
        <v>Mount2_Kil _239</v>
      </c>
      <c r="Q12" t="s">
        <v>215</v>
      </c>
      <c r="R12" t="s">
        <v>171</v>
      </c>
      <c r="S12" t="s">
        <v>176</v>
      </c>
      <c r="T12">
        <v>2</v>
      </c>
      <c r="U12">
        <v>25720</v>
      </c>
      <c r="V12">
        <v>183.90899999999999</v>
      </c>
      <c r="W12">
        <v>178.065</v>
      </c>
      <c r="X12">
        <v>94.162000000000006</v>
      </c>
      <c r="Y12">
        <v>1920</v>
      </c>
      <c r="Z12">
        <v>1200</v>
      </c>
      <c r="AA12">
        <v>50</v>
      </c>
      <c r="AG12" t="s">
        <v>187</v>
      </c>
    </row>
    <row r="13" spans="1:33" x14ac:dyDescent="0.2">
      <c r="A13" t="s">
        <v>27</v>
      </c>
      <c r="B13" s="1">
        <v>44860</v>
      </c>
      <c r="C13">
        <v>56977</v>
      </c>
      <c r="D13" s="1" t="s">
        <v>4</v>
      </c>
      <c r="E13" t="s">
        <v>107</v>
      </c>
      <c r="F13" t="s">
        <v>95</v>
      </c>
      <c r="G13">
        <v>57</v>
      </c>
      <c r="I13" t="s">
        <v>97</v>
      </c>
      <c r="J13" t="str">
        <f t="shared" si="0"/>
        <v>K21_57</v>
      </c>
      <c r="K13" t="str">
        <f t="shared" si="1"/>
        <v>K21_57</v>
      </c>
      <c r="L13" t="str">
        <f t="shared" si="5"/>
        <v>K21_57_FI#4</v>
      </c>
      <c r="M13" s="4" t="s">
        <v>118</v>
      </c>
      <c r="N13" t="s">
        <v>222</v>
      </c>
      <c r="O13">
        <v>239</v>
      </c>
      <c r="P13" t="str">
        <f t="shared" si="3"/>
        <v>Mount2_Kil _239</v>
      </c>
      <c r="Q13" t="s">
        <v>215</v>
      </c>
      <c r="R13" t="s">
        <v>171</v>
      </c>
      <c r="S13" t="s">
        <v>176</v>
      </c>
      <c r="T13">
        <v>3</v>
      </c>
      <c r="U13">
        <v>18600</v>
      </c>
      <c r="V13">
        <v>159.541</v>
      </c>
      <c r="W13">
        <v>148.44</v>
      </c>
      <c r="X13">
        <v>72.010999999999996</v>
      </c>
      <c r="Y13">
        <v>1920</v>
      </c>
      <c r="Z13">
        <v>1200</v>
      </c>
      <c r="AA13">
        <v>50</v>
      </c>
      <c r="AG13" t="s">
        <v>187</v>
      </c>
    </row>
    <row r="14" spans="1:33" x14ac:dyDescent="0.2">
      <c r="A14" t="s">
        <v>28</v>
      </c>
      <c r="B14" s="1">
        <v>44860</v>
      </c>
      <c r="C14">
        <v>58337</v>
      </c>
      <c r="D14" s="1" t="s">
        <v>4</v>
      </c>
      <c r="E14" t="s">
        <v>107</v>
      </c>
      <c r="F14" t="s">
        <v>95</v>
      </c>
      <c r="G14">
        <v>58</v>
      </c>
      <c r="I14" t="s">
        <v>99</v>
      </c>
      <c r="J14" t="str">
        <f t="shared" si="0"/>
        <v>K21_58</v>
      </c>
      <c r="K14" t="str">
        <f t="shared" si="1"/>
        <v>K21_58</v>
      </c>
      <c r="L14" t="str">
        <f t="shared" si="5"/>
        <v>K21_58_FI#1</v>
      </c>
      <c r="M14" s="4" t="s">
        <v>119</v>
      </c>
      <c r="N14" t="s">
        <v>222</v>
      </c>
      <c r="O14">
        <v>187</v>
      </c>
      <c r="P14" t="str">
        <f t="shared" si="3"/>
        <v>Mount2_Kil _187</v>
      </c>
      <c r="Q14" t="s">
        <v>214</v>
      </c>
      <c r="R14" t="s">
        <v>171</v>
      </c>
      <c r="S14" t="s">
        <v>173</v>
      </c>
      <c r="T14">
        <v>5</v>
      </c>
      <c r="U14">
        <v>153429</v>
      </c>
      <c r="V14">
        <v>508.9</v>
      </c>
      <c r="W14">
        <v>383.87099999999998</v>
      </c>
      <c r="X14">
        <v>20.321000000000002</v>
      </c>
      <c r="Y14">
        <v>1920</v>
      </c>
      <c r="Z14">
        <v>1200</v>
      </c>
      <c r="AA14">
        <v>50</v>
      </c>
      <c r="AC14" t="s">
        <v>185</v>
      </c>
      <c r="AG14" t="s">
        <v>188</v>
      </c>
    </row>
    <row r="15" spans="1:33" x14ac:dyDescent="0.2">
      <c r="A15" t="s">
        <v>29</v>
      </c>
      <c r="B15" s="1">
        <v>44860</v>
      </c>
      <c r="C15">
        <v>57780</v>
      </c>
      <c r="D15" s="1" t="s">
        <v>4</v>
      </c>
      <c r="E15" t="s">
        <v>107</v>
      </c>
      <c r="F15" t="s">
        <v>95</v>
      </c>
      <c r="G15">
        <v>58</v>
      </c>
      <c r="I15" t="s">
        <v>99</v>
      </c>
      <c r="J15" t="str">
        <f t="shared" si="0"/>
        <v>K21_58</v>
      </c>
      <c r="K15" t="str">
        <f t="shared" si="1"/>
        <v>K21_58</v>
      </c>
      <c r="L15" t="str">
        <f t="shared" si="5"/>
        <v>K21_58_FI#1</v>
      </c>
      <c r="M15" s="4" t="s">
        <v>119</v>
      </c>
      <c r="N15" t="s">
        <v>222</v>
      </c>
      <c r="O15">
        <v>187</v>
      </c>
      <c r="P15" t="str">
        <f t="shared" si="3"/>
        <v>Mount2_Kil _187</v>
      </c>
      <c r="Q15" t="s">
        <v>214</v>
      </c>
      <c r="R15" t="s">
        <v>171</v>
      </c>
      <c r="S15" t="s">
        <v>173</v>
      </c>
      <c r="T15">
        <v>5</v>
      </c>
      <c r="U15">
        <v>153429</v>
      </c>
      <c r="V15">
        <v>508.9</v>
      </c>
      <c r="W15">
        <v>383.87099999999998</v>
      </c>
      <c r="X15">
        <v>20.321000000000002</v>
      </c>
      <c r="Y15">
        <v>1920</v>
      </c>
      <c r="Z15">
        <v>1200</v>
      </c>
      <c r="AA15">
        <v>50</v>
      </c>
      <c r="AC15" t="s">
        <v>185</v>
      </c>
      <c r="AG15" t="s">
        <v>190</v>
      </c>
    </row>
    <row r="16" spans="1:33" x14ac:dyDescent="0.2">
      <c r="A16" t="s">
        <v>30</v>
      </c>
      <c r="B16" s="1">
        <v>44860</v>
      </c>
      <c r="C16">
        <v>58082</v>
      </c>
      <c r="D16" s="1" t="s">
        <v>4</v>
      </c>
      <c r="E16" t="s">
        <v>107</v>
      </c>
      <c r="F16" t="s">
        <v>95</v>
      </c>
      <c r="G16">
        <v>58</v>
      </c>
      <c r="I16" t="s">
        <v>98</v>
      </c>
      <c r="J16" t="str">
        <f t="shared" si="0"/>
        <v>K21_58</v>
      </c>
      <c r="K16" t="str">
        <f t="shared" si="1"/>
        <v>K21_58</v>
      </c>
      <c r="L16" t="str">
        <f t="shared" si="5"/>
        <v>K21_58_FI#2</v>
      </c>
      <c r="M16" s="4" t="s">
        <v>119</v>
      </c>
      <c r="N16" t="s">
        <v>222</v>
      </c>
      <c r="O16">
        <v>187</v>
      </c>
      <c r="P16" t="str">
        <f t="shared" si="3"/>
        <v>Mount2_Kil _187</v>
      </c>
      <c r="Q16" t="s">
        <v>214</v>
      </c>
      <c r="R16" t="s">
        <v>171</v>
      </c>
      <c r="S16" t="s">
        <v>173</v>
      </c>
      <c r="T16">
        <v>4</v>
      </c>
      <c r="U16">
        <v>44484</v>
      </c>
      <c r="V16">
        <v>250.62200000000001</v>
      </c>
      <c r="W16">
        <v>225.99299999999999</v>
      </c>
      <c r="X16">
        <v>41.823999999999998</v>
      </c>
      <c r="Y16">
        <v>1920</v>
      </c>
      <c r="Z16">
        <v>1200</v>
      </c>
      <c r="AA16">
        <v>50</v>
      </c>
      <c r="AC16" t="s">
        <v>185</v>
      </c>
      <c r="AG16" t="s">
        <v>183</v>
      </c>
    </row>
    <row r="17" spans="1:33" x14ac:dyDescent="0.2">
      <c r="A17" t="s">
        <v>31</v>
      </c>
      <c r="B17" s="1">
        <v>44860</v>
      </c>
      <c r="C17">
        <v>58657</v>
      </c>
      <c r="D17" s="1" t="s">
        <v>4</v>
      </c>
      <c r="E17" t="s">
        <v>107</v>
      </c>
      <c r="F17" t="s">
        <v>95</v>
      </c>
      <c r="G17">
        <v>58</v>
      </c>
      <c r="I17" t="s">
        <v>100</v>
      </c>
      <c r="J17" t="str">
        <f t="shared" si="0"/>
        <v>K21_58</v>
      </c>
      <c r="K17" t="str">
        <f t="shared" si="1"/>
        <v>K21_58</v>
      </c>
      <c r="L17" t="str">
        <f t="shared" si="5"/>
        <v>K21_58_FI#3</v>
      </c>
      <c r="M17" s="4" t="s">
        <v>120</v>
      </c>
      <c r="N17" t="s">
        <v>222</v>
      </c>
      <c r="O17">
        <v>187</v>
      </c>
      <c r="P17" t="str">
        <f t="shared" si="3"/>
        <v>Mount2_Kil _187</v>
      </c>
      <c r="Q17" t="s">
        <v>214</v>
      </c>
      <c r="R17" t="s">
        <v>171</v>
      </c>
      <c r="S17" t="s">
        <v>173</v>
      </c>
      <c r="T17">
        <v>6</v>
      </c>
      <c r="U17">
        <v>64630</v>
      </c>
      <c r="V17">
        <v>356.65600000000001</v>
      </c>
      <c r="W17">
        <v>230.72499999999999</v>
      </c>
      <c r="X17">
        <v>162.05600000000001</v>
      </c>
      <c r="Y17">
        <v>1920</v>
      </c>
      <c r="Z17">
        <v>1200</v>
      </c>
      <c r="AA17">
        <v>50</v>
      </c>
      <c r="AC17" t="s">
        <v>185</v>
      </c>
      <c r="AG17" t="s">
        <v>189</v>
      </c>
    </row>
    <row r="18" spans="1:33" x14ac:dyDescent="0.2">
      <c r="A18" t="s">
        <v>32</v>
      </c>
      <c r="B18" s="1">
        <v>44862</v>
      </c>
      <c r="C18">
        <v>42514</v>
      </c>
      <c r="D18" s="1" t="s">
        <v>11</v>
      </c>
      <c r="E18" t="s">
        <v>107</v>
      </c>
      <c r="F18" t="s">
        <v>96</v>
      </c>
      <c r="I18" t="s">
        <v>106</v>
      </c>
      <c r="J18" t="str">
        <f>_xlfn.CONCAT(F18)</f>
        <v>FO1</v>
      </c>
      <c r="K18" t="str">
        <f t="shared" si="1"/>
        <v>FO1</v>
      </c>
      <c r="L18" t="str">
        <f>_xlfn.CONCAT(F18,"-",I18,"-",B18)</f>
        <v>FO1-MI1-44862</v>
      </c>
    </row>
    <row r="19" spans="1:33" x14ac:dyDescent="0.2">
      <c r="A19" t="s">
        <v>33</v>
      </c>
      <c r="B19" s="1">
        <v>44862</v>
      </c>
      <c r="C19">
        <v>40001</v>
      </c>
      <c r="D19" s="1" t="s">
        <v>11</v>
      </c>
      <c r="E19" t="s">
        <v>107</v>
      </c>
      <c r="F19" t="s">
        <v>96</v>
      </c>
      <c r="I19" t="s">
        <v>106</v>
      </c>
      <c r="J19" t="str">
        <f>_xlfn.CONCAT(F19)</f>
        <v>FO1</v>
      </c>
      <c r="K19" t="str">
        <f t="shared" si="1"/>
        <v>FO1</v>
      </c>
      <c r="L19" t="str">
        <f>_xlfn.CONCAT(F19,"-",I19,"-",B19)</f>
        <v>FO1-MI1-44862</v>
      </c>
    </row>
    <row r="20" spans="1:33" x14ac:dyDescent="0.2">
      <c r="A20" t="s">
        <v>34</v>
      </c>
      <c r="B20" s="1">
        <v>44862</v>
      </c>
      <c r="C20">
        <v>43795</v>
      </c>
      <c r="D20" s="1" t="s">
        <v>4</v>
      </c>
      <c r="E20" t="s">
        <v>107</v>
      </c>
      <c r="F20" t="s">
        <v>95</v>
      </c>
      <c r="G20">
        <v>59</v>
      </c>
      <c r="I20" t="s">
        <v>99</v>
      </c>
      <c r="J20" t="str">
        <f t="shared" si="0"/>
        <v>K21_59</v>
      </c>
      <c r="K20" t="str">
        <f t="shared" si="1"/>
        <v>K21_59</v>
      </c>
      <c r="L20" t="str">
        <f t="shared" ref="L20:L51" si="6">_xlfn.CONCAT(K20,"_",I20)</f>
        <v>K21_59_FI#1</v>
      </c>
      <c r="M20" s="4" t="s">
        <v>121</v>
      </c>
      <c r="N20" t="s">
        <v>222</v>
      </c>
      <c r="O20">
        <v>143</v>
      </c>
      <c r="P20" t="str">
        <f t="shared" ref="P20:P81" si="7">_xlfn.CONCAT(N20,"_",O20)</f>
        <v>Mount2_Kil _143</v>
      </c>
      <c r="Q20" t="s">
        <v>214</v>
      </c>
      <c r="R20" t="s">
        <v>175</v>
      </c>
      <c r="S20" t="s">
        <v>180</v>
      </c>
      <c r="T20">
        <v>2</v>
      </c>
      <c r="U20">
        <v>4653</v>
      </c>
      <c r="V20">
        <v>81.522000000000006</v>
      </c>
      <c r="W20">
        <v>72.671999999999997</v>
      </c>
      <c r="X20">
        <v>97.784000000000006</v>
      </c>
      <c r="Y20">
        <v>1920</v>
      </c>
      <c r="Z20">
        <v>1200</v>
      </c>
      <c r="AA20">
        <v>50</v>
      </c>
    </row>
    <row r="21" spans="1:33" x14ac:dyDescent="0.2">
      <c r="A21" t="s">
        <v>35</v>
      </c>
      <c r="B21" s="1">
        <v>44862</v>
      </c>
      <c r="C21">
        <v>44393</v>
      </c>
      <c r="D21" s="1" t="s">
        <v>4</v>
      </c>
      <c r="E21" t="s">
        <v>107</v>
      </c>
      <c r="F21" t="s">
        <v>95</v>
      </c>
      <c r="G21">
        <v>59</v>
      </c>
      <c r="I21" t="s">
        <v>98</v>
      </c>
      <c r="J21" t="str">
        <f t="shared" si="0"/>
        <v>K21_59</v>
      </c>
      <c r="K21" t="str">
        <f t="shared" si="1"/>
        <v>K21_59</v>
      </c>
      <c r="L21" t="str">
        <f t="shared" si="6"/>
        <v>K21_59_FI#2</v>
      </c>
      <c r="M21" s="4" t="s">
        <v>122</v>
      </c>
      <c r="N21" t="s">
        <v>222</v>
      </c>
      <c r="O21">
        <v>143</v>
      </c>
      <c r="P21" t="str">
        <f t="shared" si="7"/>
        <v>Mount2_Kil _143</v>
      </c>
      <c r="Q21" t="s">
        <v>214</v>
      </c>
      <c r="R21" t="s">
        <v>175</v>
      </c>
      <c r="S21" t="s">
        <v>180</v>
      </c>
      <c r="T21">
        <v>1</v>
      </c>
      <c r="U21">
        <v>3683</v>
      </c>
      <c r="V21">
        <v>71.546999999999997</v>
      </c>
      <c r="W21">
        <v>65.542000000000002</v>
      </c>
      <c r="X21">
        <v>119.874</v>
      </c>
      <c r="Y21">
        <v>1920</v>
      </c>
      <c r="Z21">
        <v>1200</v>
      </c>
      <c r="AA21">
        <v>50</v>
      </c>
      <c r="AD21" t="s">
        <v>185</v>
      </c>
      <c r="AG21" t="s">
        <v>191</v>
      </c>
    </row>
    <row r="22" spans="1:33" x14ac:dyDescent="0.2">
      <c r="A22" t="s">
        <v>36</v>
      </c>
      <c r="B22" s="1">
        <v>44862</v>
      </c>
      <c r="C22">
        <v>45146</v>
      </c>
      <c r="D22" s="1" t="s">
        <v>4</v>
      </c>
      <c r="E22" t="s">
        <v>107</v>
      </c>
      <c r="F22" t="s">
        <v>95</v>
      </c>
      <c r="G22">
        <v>59</v>
      </c>
      <c r="I22" t="s">
        <v>100</v>
      </c>
      <c r="J22" t="str">
        <f t="shared" si="0"/>
        <v>K21_59</v>
      </c>
      <c r="K22" t="str">
        <f t="shared" si="1"/>
        <v>K21_59</v>
      </c>
      <c r="L22" t="str">
        <f t="shared" si="6"/>
        <v>K21_59_FI#3</v>
      </c>
      <c r="M22" s="4" t="s">
        <v>123</v>
      </c>
      <c r="N22" t="s">
        <v>222</v>
      </c>
      <c r="O22">
        <v>143</v>
      </c>
      <c r="P22" t="str">
        <f t="shared" si="7"/>
        <v>Mount2_Kil _143</v>
      </c>
      <c r="Q22" t="s">
        <v>214</v>
      </c>
      <c r="R22" t="s">
        <v>175</v>
      </c>
      <c r="S22" t="s">
        <v>180</v>
      </c>
      <c r="T22">
        <v>2</v>
      </c>
      <c r="U22">
        <v>7089</v>
      </c>
      <c r="V22">
        <v>99.626999999999995</v>
      </c>
      <c r="W22">
        <v>90.597999999999999</v>
      </c>
      <c r="X22">
        <v>6.4880000000000004</v>
      </c>
      <c r="Y22">
        <v>1920</v>
      </c>
      <c r="Z22">
        <v>1200</v>
      </c>
      <c r="AA22">
        <v>50</v>
      </c>
      <c r="AC22" t="s">
        <v>185</v>
      </c>
      <c r="AD22" t="s">
        <v>185</v>
      </c>
      <c r="AG22" t="s">
        <v>192</v>
      </c>
    </row>
    <row r="23" spans="1:33" x14ac:dyDescent="0.2">
      <c r="A23" t="s">
        <v>37</v>
      </c>
      <c r="B23" s="1">
        <v>44862</v>
      </c>
      <c r="C23">
        <v>45944</v>
      </c>
      <c r="D23" s="1" t="s">
        <v>4</v>
      </c>
      <c r="E23" t="s">
        <v>107</v>
      </c>
      <c r="F23" t="s">
        <v>95</v>
      </c>
      <c r="G23">
        <v>61</v>
      </c>
      <c r="I23" t="s">
        <v>99</v>
      </c>
      <c r="J23" t="str">
        <f t="shared" si="0"/>
        <v>K21_61</v>
      </c>
      <c r="K23" t="str">
        <f t="shared" si="1"/>
        <v>K21_61</v>
      </c>
      <c r="L23" t="str">
        <f t="shared" si="6"/>
        <v>K21_61_FI#1</v>
      </c>
      <c r="M23" s="4" t="s">
        <v>124</v>
      </c>
      <c r="N23" t="s">
        <v>222</v>
      </c>
      <c r="O23">
        <v>74</v>
      </c>
      <c r="P23" t="str">
        <f t="shared" si="7"/>
        <v>Mount2_Kil _74</v>
      </c>
      <c r="Q23" t="s">
        <v>216</v>
      </c>
      <c r="R23" t="s">
        <v>171</v>
      </c>
      <c r="S23" t="s">
        <v>176</v>
      </c>
      <c r="T23">
        <v>3</v>
      </c>
      <c r="U23">
        <v>5973</v>
      </c>
      <c r="V23">
        <v>93.903000000000006</v>
      </c>
      <c r="W23">
        <v>80.988</v>
      </c>
      <c r="X23">
        <v>130.648</v>
      </c>
      <c r="Y23">
        <v>1920</v>
      </c>
      <c r="Z23">
        <v>1200</v>
      </c>
      <c r="AA23">
        <v>50</v>
      </c>
    </row>
    <row r="24" spans="1:33" x14ac:dyDescent="0.2">
      <c r="A24" t="s">
        <v>38</v>
      </c>
      <c r="B24" s="1">
        <v>44862</v>
      </c>
      <c r="C24">
        <v>46247</v>
      </c>
      <c r="D24" s="1" t="s">
        <v>4</v>
      </c>
      <c r="E24" t="s">
        <v>107</v>
      </c>
      <c r="F24" t="s">
        <v>95</v>
      </c>
      <c r="G24">
        <v>61</v>
      </c>
      <c r="I24" t="s">
        <v>99</v>
      </c>
      <c r="J24" t="str">
        <f t="shared" si="0"/>
        <v>K21_61</v>
      </c>
      <c r="K24" t="str">
        <f t="shared" si="1"/>
        <v>K21_61</v>
      </c>
      <c r="L24" t="str">
        <f t="shared" si="6"/>
        <v>K21_61_FI#1</v>
      </c>
      <c r="M24" s="4" t="s">
        <v>124</v>
      </c>
      <c r="N24" t="s">
        <v>222</v>
      </c>
      <c r="O24">
        <v>74</v>
      </c>
      <c r="P24" t="str">
        <f t="shared" si="7"/>
        <v>Mount2_Kil _74</v>
      </c>
      <c r="Q24" t="s">
        <v>216</v>
      </c>
      <c r="R24" t="s">
        <v>171</v>
      </c>
      <c r="S24" t="s">
        <v>176</v>
      </c>
      <c r="T24">
        <v>3</v>
      </c>
      <c r="U24">
        <v>5973</v>
      </c>
      <c r="V24">
        <v>93.903000000000006</v>
      </c>
      <c r="W24">
        <v>80.988</v>
      </c>
      <c r="X24">
        <v>130.648</v>
      </c>
      <c r="Y24">
        <v>1920</v>
      </c>
      <c r="Z24">
        <v>1200</v>
      </c>
      <c r="AA24">
        <v>50</v>
      </c>
    </row>
    <row r="25" spans="1:33" x14ac:dyDescent="0.2">
      <c r="A25" t="s">
        <v>39</v>
      </c>
      <c r="B25" s="1">
        <v>44862</v>
      </c>
      <c r="C25">
        <v>47301</v>
      </c>
      <c r="D25" s="1" t="s">
        <v>4</v>
      </c>
      <c r="E25" t="s">
        <v>107</v>
      </c>
      <c r="F25" t="s">
        <v>95</v>
      </c>
      <c r="G25">
        <v>61</v>
      </c>
      <c r="I25" t="s">
        <v>98</v>
      </c>
      <c r="J25" t="str">
        <f t="shared" si="0"/>
        <v>K21_61</v>
      </c>
      <c r="K25" t="str">
        <f t="shared" si="1"/>
        <v>K21_61</v>
      </c>
      <c r="L25" t="str">
        <f t="shared" si="6"/>
        <v>K21_61_FI#2</v>
      </c>
      <c r="M25" s="4" t="s">
        <v>125</v>
      </c>
      <c r="N25" t="s">
        <v>222</v>
      </c>
      <c r="O25">
        <v>74</v>
      </c>
      <c r="P25" t="str">
        <f t="shared" si="7"/>
        <v>Mount2_Kil _74</v>
      </c>
      <c r="Q25" t="s">
        <v>216</v>
      </c>
      <c r="R25" t="s">
        <v>171</v>
      </c>
      <c r="S25" t="s">
        <v>176</v>
      </c>
      <c r="T25">
        <v>4</v>
      </c>
      <c r="U25">
        <v>4145</v>
      </c>
      <c r="V25">
        <v>72.748000000000005</v>
      </c>
      <c r="W25">
        <v>72.546000000000006</v>
      </c>
      <c r="X25">
        <v>135</v>
      </c>
      <c r="Y25">
        <v>1920</v>
      </c>
      <c r="Z25">
        <v>1200</v>
      </c>
      <c r="AA25">
        <v>50</v>
      </c>
    </row>
    <row r="26" spans="1:33" x14ac:dyDescent="0.2">
      <c r="A26" t="s">
        <v>40</v>
      </c>
      <c r="B26" s="1">
        <v>44862</v>
      </c>
      <c r="C26">
        <v>48438</v>
      </c>
      <c r="D26" s="1" t="s">
        <v>4</v>
      </c>
      <c r="E26" t="s">
        <v>107</v>
      </c>
      <c r="F26" t="s">
        <v>95</v>
      </c>
      <c r="G26">
        <v>61</v>
      </c>
      <c r="I26" t="s">
        <v>100</v>
      </c>
      <c r="J26" t="str">
        <f t="shared" si="0"/>
        <v>K21_61</v>
      </c>
      <c r="K26" t="str">
        <f t="shared" si="1"/>
        <v>K21_61</v>
      </c>
      <c r="L26" t="str">
        <f t="shared" si="6"/>
        <v>K21_61_FI#3</v>
      </c>
      <c r="M26" s="4" t="s">
        <v>126</v>
      </c>
      <c r="N26" t="s">
        <v>222</v>
      </c>
      <c r="O26">
        <v>74</v>
      </c>
      <c r="P26" t="str">
        <f t="shared" si="7"/>
        <v>Mount2_Kil _74</v>
      </c>
      <c r="Q26" t="s">
        <v>216</v>
      </c>
      <c r="R26" t="s">
        <v>171</v>
      </c>
      <c r="S26" t="s">
        <v>176</v>
      </c>
      <c r="T26">
        <v>5</v>
      </c>
      <c r="U26">
        <v>6592</v>
      </c>
      <c r="V26">
        <v>91.637</v>
      </c>
      <c r="W26">
        <v>91.591999999999999</v>
      </c>
      <c r="X26">
        <v>126.991</v>
      </c>
      <c r="Y26">
        <v>1920</v>
      </c>
      <c r="Z26">
        <v>1200</v>
      </c>
      <c r="AA26">
        <v>50</v>
      </c>
    </row>
    <row r="27" spans="1:33" x14ac:dyDescent="0.2">
      <c r="A27" t="s">
        <v>41</v>
      </c>
      <c r="B27" s="1">
        <v>44862</v>
      </c>
      <c r="C27">
        <v>51532</v>
      </c>
      <c r="D27" s="1" t="s">
        <v>4</v>
      </c>
      <c r="E27" t="s">
        <v>107</v>
      </c>
      <c r="F27" t="s">
        <v>95</v>
      </c>
      <c r="G27">
        <v>63</v>
      </c>
      <c r="I27" t="s">
        <v>99</v>
      </c>
      <c r="J27" t="str">
        <f t="shared" si="0"/>
        <v>K21_63</v>
      </c>
      <c r="K27" t="str">
        <f t="shared" si="1"/>
        <v>K21_63</v>
      </c>
      <c r="L27" t="str">
        <f t="shared" si="6"/>
        <v>K21_63_FI#1</v>
      </c>
      <c r="M27" s="4" t="s">
        <v>127</v>
      </c>
      <c r="N27" t="s">
        <v>222</v>
      </c>
      <c r="O27">
        <v>409</v>
      </c>
      <c r="P27" t="str">
        <f t="shared" si="7"/>
        <v>Mount2_Kil _409</v>
      </c>
      <c r="Q27" t="s">
        <v>215</v>
      </c>
      <c r="R27" t="s">
        <v>171</v>
      </c>
      <c r="S27" t="s">
        <v>173</v>
      </c>
      <c r="T27">
        <v>6</v>
      </c>
      <c r="U27">
        <v>125960</v>
      </c>
      <c r="V27">
        <v>522.80700000000002</v>
      </c>
      <c r="W27">
        <v>306.762</v>
      </c>
      <c r="X27">
        <v>119.119</v>
      </c>
      <c r="Y27">
        <v>1920</v>
      </c>
      <c r="Z27">
        <v>1200</v>
      </c>
      <c r="AA27">
        <v>50</v>
      </c>
      <c r="AC27" t="s">
        <v>185</v>
      </c>
      <c r="AE27" t="s">
        <v>195</v>
      </c>
      <c r="AG27" t="s">
        <v>193</v>
      </c>
    </row>
    <row r="28" spans="1:33" x14ac:dyDescent="0.2">
      <c r="A28" t="s">
        <v>42</v>
      </c>
      <c r="B28" s="1">
        <v>44862</v>
      </c>
      <c r="C28">
        <v>52620</v>
      </c>
      <c r="D28" s="1" t="s">
        <v>4</v>
      </c>
      <c r="E28" t="s">
        <v>107</v>
      </c>
      <c r="F28" t="s">
        <v>95</v>
      </c>
      <c r="G28">
        <v>64</v>
      </c>
      <c r="I28" t="s">
        <v>99</v>
      </c>
      <c r="J28" t="str">
        <f t="shared" si="0"/>
        <v>K21_64</v>
      </c>
      <c r="K28" t="str">
        <f t="shared" si="1"/>
        <v>K21_64</v>
      </c>
      <c r="L28" t="str">
        <f t="shared" si="6"/>
        <v>K21_64_FI#1</v>
      </c>
      <c r="M28" s="4" t="s">
        <v>128</v>
      </c>
      <c r="N28" t="s">
        <v>222</v>
      </c>
      <c r="O28">
        <v>367</v>
      </c>
      <c r="P28" t="str">
        <f t="shared" si="7"/>
        <v>Mount2_Kil _367</v>
      </c>
      <c r="Q28" t="s">
        <v>215</v>
      </c>
      <c r="R28" t="s">
        <v>171</v>
      </c>
      <c r="S28" t="s">
        <v>173</v>
      </c>
      <c r="T28">
        <v>7</v>
      </c>
      <c r="U28">
        <v>51222</v>
      </c>
      <c r="V28">
        <v>291.608</v>
      </c>
      <c r="W28">
        <v>223.65</v>
      </c>
      <c r="X28">
        <v>3.988</v>
      </c>
      <c r="Y28">
        <v>1920</v>
      </c>
      <c r="Z28">
        <v>1200</v>
      </c>
      <c r="AA28">
        <v>50</v>
      </c>
      <c r="AG28" t="s">
        <v>196</v>
      </c>
    </row>
    <row r="29" spans="1:33" x14ac:dyDescent="0.2">
      <c r="A29" t="s">
        <v>43</v>
      </c>
      <c r="B29" s="1">
        <v>44862</v>
      </c>
      <c r="C29">
        <v>52872</v>
      </c>
      <c r="D29" s="1" t="s">
        <v>4</v>
      </c>
      <c r="E29" t="s">
        <v>107</v>
      </c>
      <c r="F29" t="s">
        <v>95</v>
      </c>
      <c r="G29">
        <v>64</v>
      </c>
      <c r="I29" t="s">
        <v>98</v>
      </c>
      <c r="J29" t="str">
        <f t="shared" si="0"/>
        <v>K21_64</v>
      </c>
      <c r="K29" t="str">
        <f t="shared" si="1"/>
        <v>K21_64</v>
      </c>
      <c r="L29" t="str">
        <f t="shared" si="6"/>
        <v>K21_64_FI#2</v>
      </c>
      <c r="M29" s="4" t="s">
        <v>129</v>
      </c>
      <c r="N29" t="s">
        <v>222</v>
      </c>
      <c r="O29">
        <v>367</v>
      </c>
      <c r="P29" t="str">
        <f t="shared" si="7"/>
        <v>Mount2_Kil _367</v>
      </c>
      <c r="Q29" t="s">
        <v>215</v>
      </c>
      <c r="R29" t="s">
        <v>171</v>
      </c>
      <c r="S29" t="s">
        <v>173</v>
      </c>
      <c r="T29">
        <v>8</v>
      </c>
      <c r="U29">
        <v>50046</v>
      </c>
      <c r="V29">
        <v>269.27</v>
      </c>
      <c r="W29">
        <v>236.642</v>
      </c>
      <c r="X29">
        <v>68.188999999999993</v>
      </c>
      <c r="Y29">
        <v>1920</v>
      </c>
      <c r="Z29">
        <v>1200</v>
      </c>
      <c r="AA29">
        <v>50</v>
      </c>
      <c r="AE29" t="s">
        <v>195</v>
      </c>
      <c r="AG29" t="s">
        <v>197</v>
      </c>
    </row>
    <row r="30" spans="1:33" x14ac:dyDescent="0.2">
      <c r="A30" t="s">
        <v>44</v>
      </c>
      <c r="B30" s="1">
        <v>44862</v>
      </c>
      <c r="C30">
        <v>53534</v>
      </c>
      <c r="D30" s="1" t="s">
        <v>4</v>
      </c>
      <c r="E30" t="s">
        <v>107</v>
      </c>
      <c r="F30" t="s">
        <v>95</v>
      </c>
      <c r="G30">
        <v>64</v>
      </c>
      <c r="I30" t="s">
        <v>100</v>
      </c>
      <c r="J30" t="str">
        <f t="shared" si="0"/>
        <v>K21_64</v>
      </c>
      <c r="K30" t="str">
        <f t="shared" si="1"/>
        <v>K21_64</v>
      </c>
      <c r="L30" t="str">
        <f t="shared" si="6"/>
        <v>K21_64_FI#3</v>
      </c>
      <c r="M30" s="4" t="s">
        <v>130</v>
      </c>
      <c r="N30" t="s">
        <v>222</v>
      </c>
      <c r="O30">
        <v>388</v>
      </c>
      <c r="P30" t="str">
        <f t="shared" si="7"/>
        <v>Mount2_Kil _388</v>
      </c>
      <c r="Q30" t="s">
        <v>215</v>
      </c>
      <c r="R30" t="s">
        <v>171</v>
      </c>
      <c r="S30" t="s">
        <v>176</v>
      </c>
      <c r="T30">
        <v>10</v>
      </c>
      <c r="U30">
        <v>26790</v>
      </c>
      <c r="V30">
        <v>211.346</v>
      </c>
      <c r="W30">
        <v>161.39400000000001</v>
      </c>
      <c r="X30">
        <v>76.813999999999993</v>
      </c>
      <c r="Y30">
        <v>1920</v>
      </c>
      <c r="Z30">
        <v>1200</v>
      </c>
      <c r="AA30">
        <v>50</v>
      </c>
      <c r="AG30" t="s">
        <v>198</v>
      </c>
    </row>
    <row r="31" spans="1:33" x14ac:dyDescent="0.2">
      <c r="A31" t="s">
        <v>45</v>
      </c>
      <c r="B31" s="1">
        <v>44862</v>
      </c>
      <c r="C31">
        <v>53850</v>
      </c>
      <c r="D31" s="1" t="s">
        <v>4</v>
      </c>
      <c r="E31" t="s">
        <v>107</v>
      </c>
      <c r="F31" t="s">
        <v>95</v>
      </c>
      <c r="G31">
        <v>64</v>
      </c>
      <c r="I31" t="s">
        <v>97</v>
      </c>
      <c r="J31" t="str">
        <f t="shared" si="0"/>
        <v>K21_64</v>
      </c>
      <c r="K31" t="str">
        <f t="shared" si="1"/>
        <v>K21_64</v>
      </c>
      <c r="L31" t="str">
        <f t="shared" si="6"/>
        <v>K21_64_FI#4</v>
      </c>
      <c r="M31" s="4" t="s">
        <v>131</v>
      </c>
      <c r="N31" t="s">
        <v>222</v>
      </c>
      <c r="O31">
        <v>388</v>
      </c>
      <c r="P31" t="str">
        <f t="shared" si="7"/>
        <v>Mount2_Kil _388</v>
      </c>
      <c r="Q31" t="s">
        <v>215</v>
      </c>
      <c r="R31" t="s">
        <v>171</v>
      </c>
      <c r="S31" t="s">
        <v>176</v>
      </c>
      <c r="T31">
        <v>11</v>
      </c>
      <c r="U31">
        <v>6754</v>
      </c>
      <c r="V31">
        <v>95.156000000000006</v>
      </c>
      <c r="W31">
        <v>90.372</v>
      </c>
      <c r="X31">
        <v>18.178000000000001</v>
      </c>
      <c r="Y31">
        <v>1920</v>
      </c>
      <c r="Z31">
        <v>1200</v>
      </c>
      <c r="AA31">
        <v>50</v>
      </c>
      <c r="AG31" t="s">
        <v>199</v>
      </c>
    </row>
    <row r="32" spans="1:33" x14ac:dyDescent="0.2">
      <c r="A32" t="s">
        <v>46</v>
      </c>
      <c r="B32" s="1">
        <v>44862</v>
      </c>
      <c r="C32">
        <v>60661</v>
      </c>
      <c r="D32" s="1" t="s">
        <v>4</v>
      </c>
      <c r="E32" t="s">
        <v>107</v>
      </c>
      <c r="F32" t="s">
        <v>95</v>
      </c>
      <c r="G32">
        <v>64</v>
      </c>
      <c r="I32" t="s">
        <v>101</v>
      </c>
      <c r="J32" t="str">
        <f t="shared" si="0"/>
        <v>K21_64</v>
      </c>
      <c r="K32" t="str">
        <f t="shared" si="1"/>
        <v>K21_64</v>
      </c>
      <c r="L32" t="str">
        <f t="shared" si="6"/>
        <v>K21_64_FI#5</v>
      </c>
      <c r="M32" s="4" t="s">
        <v>132</v>
      </c>
      <c r="N32" t="s">
        <v>222</v>
      </c>
      <c r="O32">
        <v>388</v>
      </c>
      <c r="P32" t="str">
        <f t="shared" si="7"/>
        <v>Mount2_Kil _388</v>
      </c>
      <c r="Q32" t="s">
        <v>215</v>
      </c>
      <c r="R32" t="s">
        <v>171</v>
      </c>
      <c r="S32" t="s">
        <v>176</v>
      </c>
      <c r="T32">
        <v>12</v>
      </c>
      <c r="U32">
        <v>2708</v>
      </c>
      <c r="V32">
        <v>65</v>
      </c>
      <c r="W32">
        <v>53.045000000000002</v>
      </c>
      <c r="X32">
        <v>154.66300000000001</v>
      </c>
      <c r="Y32">
        <v>1920</v>
      </c>
      <c r="Z32">
        <v>1200</v>
      </c>
      <c r="AA32">
        <v>50</v>
      </c>
      <c r="AG32" t="s">
        <v>199</v>
      </c>
    </row>
    <row r="33" spans="1:33" x14ac:dyDescent="0.2">
      <c r="A33" t="s">
        <v>47</v>
      </c>
      <c r="B33" s="1">
        <v>44862</v>
      </c>
      <c r="C33">
        <v>60953</v>
      </c>
      <c r="D33" s="1" t="s">
        <v>4</v>
      </c>
      <c r="E33" t="s">
        <v>107</v>
      </c>
      <c r="F33" t="s">
        <v>95</v>
      </c>
      <c r="G33">
        <v>64</v>
      </c>
      <c r="I33" t="s">
        <v>102</v>
      </c>
      <c r="J33" t="str">
        <f t="shared" si="0"/>
        <v>K21_64</v>
      </c>
      <c r="K33" t="str">
        <f t="shared" si="1"/>
        <v>K21_64</v>
      </c>
      <c r="L33" t="str">
        <f t="shared" si="6"/>
        <v>K21_64_FI#6</v>
      </c>
      <c r="M33" s="4" t="s">
        <v>133</v>
      </c>
      <c r="N33" t="s">
        <v>222</v>
      </c>
      <c r="O33">
        <v>388</v>
      </c>
      <c r="P33" t="str">
        <f t="shared" si="7"/>
        <v>Mount2_Kil _388</v>
      </c>
      <c r="Q33" t="s">
        <v>215</v>
      </c>
      <c r="R33" t="s">
        <v>171</v>
      </c>
      <c r="S33" t="s">
        <v>176</v>
      </c>
      <c r="T33">
        <v>1</v>
      </c>
      <c r="U33">
        <v>11325</v>
      </c>
      <c r="V33">
        <v>128.10900000000001</v>
      </c>
      <c r="W33">
        <v>112.556</v>
      </c>
      <c r="X33">
        <v>81.301000000000002</v>
      </c>
      <c r="Y33">
        <v>1920</v>
      </c>
      <c r="Z33">
        <v>1200</v>
      </c>
      <c r="AA33">
        <v>50</v>
      </c>
      <c r="AG33" t="s">
        <v>199</v>
      </c>
    </row>
    <row r="34" spans="1:33" x14ac:dyDescent="0.2">
      <c r="A34" t="s">
        <v>48</v>
      </c>
      <c r="B34" s="1">
        <v>44862</v>
      </c>
      <c r="C34">
        <v>61234</v>
      </c>
      <c r="D34" s="1" t="s">
        <v>4</v>
      </c>
      <c r="E34" t="s">
        <v>107</v>
      </c>
      <c r="F34" t="s">
        <v>95</v>
      </c>
      <c r="G34">
        <v>64</v>
      </c>
      <c r="I34" t="s">
        <v>103</v>
      </c>
      <c r="J34" t="str">
        <f t="shared" si="0"/>
        <v>K21_64</v>
      </c>
      <c r="K34" t="str">
        <f t="shared" si="1"/>
        <v>K21_64</v>
      </c>
      <c r="L34" t="str">
        <f t="shared" si="6"/>
        <v>K21_64_FI#7</v>
      </c>
      <c r="M34" s="4" t="s">
        <v>134</v>
      </c>
      <c r="N34" t="s">
        <v>222</v>
      </c>
      <c r="O34">
        <v>388</v>
      </c>
      <c r="P34" t="str">
        <f t="shared" si="7"/>
        <v>Mount2_Kil _388</v>
      </c>
      <c r="Q34" t="s">
        <v>215</v>
      </c>
      <c r="R34" t="s">
        <v>171</v>
      </c>
      <c r="S34" t="s">
        <v>176</v>
      </c>
      <c r="T34">
        <v>2</v>
      </c>
      <c r="U34">
        <v>40012</v>
      </c>
      <c r="V34">
        <v>273.53399999999999</v>
      </c>
      <c r="W34">
        <v>186.24700000000001</v>
      </c>
      <c r="X34">
        <v>75.188999999999993</v>
      </c>
      <c r="Y34">
        <v>1920</v>
      </c>
      <c r="Z34">
        <v>1200</v>
      </c>
      <c r="AA34">
        <v>50</v>
      </c>
      <c r="AG34" t="s">
        <v>199</v>
      </c>
    </row>
    <row r="35" spans="1:33" x14ac:dyDescent="0.2">
      <c r="A35" t="s">
        <v>49</v>
      </c>
      <c r="B35" s="1">
        <v>44862</v>
      </c>
      <c r="C35">
        <v>61553</v>
      </c>
      <c r="D35" s="1" t="s">
        <v>4</v>
      </c>
      <c r="E35" t="s">
        <v>107</v>
      </c>
      <c r="F35" t="s">
        <v>95</v>
      </c>
      <c r="G35">
        <v>64</v>
      </c>
      <c r="I35" t="s">
        <v>104</v>
      </c>
      <c r="J35" t="str">
        <f t="shared" si="0"/>
        <v>K21_64</v>
      </c>
      <c r="K35" t="str">
        <f t="shared" si="1"/>
        <v>K21_64</v>
      </c>
      <c r="L35" t="str">
        <f t="shared" si="6"/>
        <v>K21_64_FI#8</v>
      </c>
      <c r="M35" s="4" t="s">
        <v>135</v>
      </c>
      <c r="N35" t="s">
        <v>222</v>
      </c>
      <c r="O35">
        <v>388</v>
      </c>
      <c r="P35" t="str">
        <f t="shared" si="7"/>
        <v>Mount2_Kil _388</v>
      </c>
      <c r="Q35" t="s">
        <v>215</v>
      </c>
      <c r="R35" t="s">
        <v>171</v>
      </c>
      <c r="S35" t="s">
        <v>176</v>
      </c>
      <c r="T35">
        <v>3</v>
      </c>
      <c r="U35">
        <v>212931</v>
      </c>
      <c r="V35">
        <v>612.64</v>
      </c>
      <c r="W35">
        <v>442.53100000000001</v>
      </c>
      <c r="X35">
        <v>87.835999999999999</v>
      </c>
      <c r="Y35">
        <v>1920</v>
      </c>
      <c r="Z35">
        <v>1200</v>
      </c>
      <c r="AA35">
        <v>50</v>
      </c>
      <c r="AG35" t="s">
        <v>199</v>
      </c>
    </row>
    <row r="36" spans="1:33" x14ac:dyDescent="0.2">
      <c r="A36" t="s">
        <v>50</v>
      </c>
      <c r="B36" s="1">
        <v>44866</v>
      </c>
      <c r="C36">
        <v>43589</v>
      </c>
      <c r="D36" s="1" t="s">
        <v>4</v>
      </c>
      <c r="E36" t="s">
        <v>107</v>
      </c>
      <c r="F36" t="s">
        <v>95</v>
      </c>
      <c r="G36">
        <v>65</v>
      </c>
      <c r="I36" t="s">
        <v>99</v>
      </c>
      <c r="J36" t="str">
        <f t="shared" si="0"/>
        <v>K21_65</v>
      </c>
      <c r="K36" t="str">
        <f t="shared" si="1"/>
        <v>K21_65</v>
      </c>
      <c r="L36" t="str">
        <f t="shared" si="6"/>
        <v>K21_65_FI#1</v>
      </c>
      <c r="M36" s="4" t="s">
        <v>136</v>
      </c>
      <c r="N36" t="s">
        <v>222</v>
      </c>
      <c r="O36">
        <v>334</v>
      </c>
      <c r="P36" t="str">
        <f t="shared" si="7"/>
        <v>Mount2_Kil _334</v>
      </c>
      <c r="Q36" t="s">
        <v>214</v>
      </c>
      <c r="R36" t="s">
        <v>171</v>
      </c>
      <c r="S36" t="s">
        <v>173</v>
      </c>
      <c r="T36">
        <v>1</v>
      </c>
      <c r="U36">
        <v>681060</v>
      </c>
      <c r="V36">
        <v>981.63900000000001</v>
      </c>
      <c r="W36">
        <v>883.37199999999996</v>
      </c>
      <c r="X36">
        <v>0.65500000000000003</v>
      </c>
      <c r="Y36">
        <v>1920</v>
      </c>
      <c r="Z36">
        <v>1200</v>
      </c>
      <c r="AA36">
        <v>50</v>
      </c>
      <c r="AC36" t="s">
        <v>185</v>
      </c>
      <c r="AD36" t="s">
        <v>185</v>
      </c>
      <c r="AG36" t="s">
        <v>200</v>
      </c>
    </row>
    <row r="37" spans="1:33" x14ac:dyDescent="0.2">
      <c r="A37" t="s">
        <v>51</v>
      </c>
      <c r="B37" s="1">
        <v>44866</v>
      </c>
      <c r="C37">
        <v>46569</v>
      </c>
      <c r="D37" s="1" t="s">
        <v>4</v>
      </c>
      <c r="E37" t="s">
        <v>107</v>
      </c>
      <c r="F37" t="s">
        <v>95</v>
      </c>
      <c r="G37">
        <v>65</v>
      </c>
      <c r="I37" t="s">
        <v>99</v>
      </c>
      <c r="J37" t="str">
        <f t="shared" si="0"/>
        <v>K21_65</v>
      </c>
      <c r="K37" t="str">
        <f t="shared" si="1"/>
        <v>K21_65</v>
      </c>
      <c r="L37" t="str">
        <f t="shared" si="6"/>
        <v>K21_65_FI#1</v>
      </c>
      <c r="M37" s="4" t="s">
        <v>136</v>
      </c>
      <c r="N37" t="s">
        <v>222</v>
      </c>
      <c r="O37">
        <v>334</v>
      </c>
      <c r="P37" t="str">
        <f t="shared" si="7"/>
        <v>Mount2_Kil _334</v>
      </c>
      <c r="Q37" t="s">
        <v>214</v>
      </c>
      <c r="R37" t="s">
        <v>171</v>
      </c>
      <c r="S37" t="s">
        <v>173</v>
      </c>
      <c r="T37">
        <v>1</v>
      </c>
      <c r="U37">
        <v>681060</v>
      </c>
      <c r="V37">
        <v>981.63900000000001</v>
      </c>
      <c r="W37">
        <v>883.37199999999996</v>
      </c>
      <c r="X37">
        <v>0.65500000000000003</v>
      </c>
      <c r="Y37">
        <v>1920</v>
      </c>
      <c r="Z37">
        <v>1200</v>
      </c>
      <c r="AA37">
        <v>50</v>
      </c>
      <c r="AC37" t="s">
        <v>185</v>
      </c>
      <c r="AD37" t="s">
        <v>185</v>
      </c>
      <c r="AG37" t="s">
        <v>200</v>
      </c>
    </row>
    <row r="38" spans="1:33" x14ac:dyDescent="0.2">
      <c r="A38" t="s">
        <v>52</v>
      </c>
      <c r="B38" s="1">
        <v>44866</v>
      </c>
      <c r="C38">
        <v>42527</v>
      </c>
      <c r="D38" s="1" t="s">
        <v>4</v>
      </c>
      <c r="E38" t="s">
        <v>107</v>
      </c>
      <c r="F38" t="s">
        <v>95</v>
      </c>
      <c r="G38">
        <v>65</v>
      </c>
      <c r="I38" t="s">
        <v>99</v>
      </c>
      <c r="J38" t="str">
        <f t="shared" si="0"/>
        <v>K21_65</v>
      </c>
      <c r="K38" t="str">
        <f t="shared" si="1"/>
        <v>K21_65</v>
      </c>
      <c r="L38" t="str">
        <f t="shared" si="6"/>
        <v>K21_65_FI#1</v>
      </c>
      <c r="M38" s="4" t="s">
        <v>163</v>
      </c>
      <c r="N38" t="s">
        <v>222</v>
      </c>
      <c r="O38">
        <v>334</v>
      </c>
      <c r="P38" t="str">
        <f t="shared" si="7"/>
        <v>Mount2_Kil _334</v>
      </c>
      <c r="Q38" t="s">
        <v>214</v>
      </c>
      <c r="R38" t="s">
        <v>171</v>
      </c>
      <c r="S38" t="s">
        <v>173</v>
      </c>
      <c r="T38">
        <v>1</v>
      </c>
      <c r="U38">
        <v>681060</v>
      </c>
      <c r="V38">
        <v>981.63900000000001</v>
      </c>
      <c r="W38">
        <v>883.37199999999996</v>
      </c>
      <c r="X38">
        <v>0.65500000000000003</v>
      </c>
      <c r="Y38">
        <v>1920</v>
      </c>
      <c r="Z38">
        <v>1200</v>
      </c>
      <c r="AA38">
        <v>50</v>
      </c>
      <c r="AC38" t="s">
        <v>185</v>
      </c>
      <c r="AD38" t="s">
        <v>185</v>
      </c>
      <c r="AG38" t="s">
        <v>200</v>
      </c>
    </row>
    <row r="39" spans="1:33" x14ac:dyDescent="0.2">
      <c r="A39" t="s">
        <v>53</v>
      </c>
      <c r="B39" s="1">
        <v>44866</v>
      </c>
      <c r="C39">
        <v>47010</v>
      </c>
      <c r="D39" s="1" t="s">
        <v>4</v>
      </c>
      <c r="E39" t="s">
        <v>107</v>
      </c>
      <c r="F39" t="s">
        <v>95</v>
      </c>
      <c r="G39">
        <v>65</v>
      </c>
      <c r="I39" t="s">
        <v>99</v>
      </c>
      <c r="J39" t="str">
        <f t="shared" si="0"/>
        <v>K21_65</v>
      </c>
      <c r="K39" t="str">
        <f t="shared" si="1"/>
        <v>K21_65</v>
      </c>
      <c r="L39" t="str">
        <f t="shared" si="6"/>
        <v>K21_65_FI#1</v>
      </c>
      <c r="M39" s="4" t="s">
        <v>163</v>
      </c>
      <c r="N39" t="s">
        <v>222</v>
      </c>
      <c r="O39">
        <v>334</v>
      </c>
      <c r="P39" t="str">
        <f t="shared" si="7"/>
        <v>Mount2_Kil _334</v>
      </c>
      <c r="Q39" t="s">
        <v>214</v>
      </c>
      <c r="R39" t="s">
        <v>171</v>
      </c>
      <c r="S39" t="s">
        <v>173</v>
      </c>
      <c r="T39">
        <v>1</v>
      </c>
      <c r="U39">
        <v>681060</v>
      </c>
      <c r="V39">
        <v>981.63900000000001</v>
      </c>
      <c r="W39">
        <v>883.37199999999996</v>
      </c>
      <c r="X39">
        <v>0.65500000000000003</v>
      </c>
      <c r="Y39">
        <v>1920</v>
      </c>
      <c r="Z39">
        <v>1200</v>
      </c>
      <c r="AA39">
        <v>50</v>
      </c>
      <c r="AC39" t="s">
        <v>185</v>
      </c>
      <c r="AD39" t="s">
        <v>185</v>
      </c>
      <c r="AG39" t="s">
        <v>200</v>
      </c>
    </row>
    <row r="40" spans="1:33" x14ac:dyDescent="0.2">
      <c r="A40" t="s">
        <v>54</v>
      </c>
      <c r="B40" s="1">
        <v>44866</v>
      </c>
      <c r="C40">
        <v>45052</v>
      </c>
      <c r="D40" s="1" t="s">
        <v>4</v>
      </c>
      <c r="E40" t="s">
        <v>107</v>
      </c>
      <c r="F40" t="s">
        <v>95</v>
      </c>
      <c r="G40">
        <v>65</v>
      </c>
      <c r="I40" t="s">
        <v>99</v>
      </c>
      <c r="J40" t="str">
        <f t="shared" si="0"/>
        <v>K21_65</v>
      </c>
      <c r="K40" t="str">
        <f t="shared" si="1"/>
        <v>K21_65</v>
      </c>
      <c r="L40" t="str">
        <f t="shared" si="6"/>
        <v>K21_65_FI#1</v>
      </c>
      <c r="M40" s="4" t="s">
        <v>163</v>
      </c>
      <c r="N40" t="s">
        <v>222</v>
      </c>
      <c r="O40">
        <v>334</v>
      </c>
      <c r="P40" t="str">
        <f t="shared" si="7"/>
        <v>Mount2_Kil _334</v>
      </c>
      <c r="Q40" t="s">
        <v>214</v>
      </c>
      <c r="R40" t="s">
        <v>171</v>
      </c>
      <c r="S40" t="s">
        <v>173</v>
      </c>
      <c r="T40">
        <v>1</v>
      </c>
      <c r="U40">
        <v>681060</v>
      </c>
      <c r="V40">
        <v>981.63900000000001</v>
      </c>
      <c r="W40">
        <v>883.37199999999996</v>
      </c>
      <c r="X40">
        <v>0.65500000000000003</v>
      </c>
      <c r="Y40">
        <v>1920</v>
      </c>
      <c r="Z40">
        <v>1200</v>
      </c>
      <c r="AA40">
        <v>50</v>
      </c>
      <c r="AC40" t="s">
        <v>185</v>
      </c>
      <c r="AD40" t="s">
        <v>185</v>
      </c>
      <c r="AG40" t="s">
        <v>200</v>
      </c>
    </row>
    <row r="41" spans="1:33" x14ac:dyDescent="0.2">
      <c r="A41" t="s">
        <v>55</v>
      </c>
      <c r="B41" s="1">
        <v>44866</v>
      </c>
      <c r="C41">
        <v>45332</v>
      </c>
      <c r="D41" s="1" t="s">
        <v>4</v>
      </c>
      <c r="E41" t="s">
        <v>107</v>
      </c>
      <c r="F41" t="s">
        <v>95</v>
      </c>
      <c r="G41">
        <v>65</v>
      </c>
      <c r="I41" t="s">
        <v>99</v>
      </c>
      <c r="J41" t="str">
        <f t="shared" si="0"/>
        <v>K21_65</v>
      </c>
      <c r="K41" t="str">
        <f t="shared" si="1"/>
        <v>K21_65</v>
      </c>
      <c r="L41" t="str">
        <f t="shared" si="6"/>
        <v>K21_65_FI#1</v>
      </c>
      <c r="M41" s="4" t="s">
        <v>163</v>
      </c>
      <c r="N41" t="s">
        <v>222</v>
      </c>
      <c r="O41">
        <v>334</v>
      </c>
      <c r="P41" t="str">
        <f t="shared" si="7"/>
        <v>Mount2_Kil _334</v>
      </c>
      <c r="Q41" t="s">
        <v>214</v>
      </c>
      <c r="R41" t="s">
        <v>171</v>
      </c>
      <c r="S41" t="s">
        <v>173</v>
      </c>
      <c r="T41">
        <v>1</v>
      </c>
      <c r="U41">
        <v>681060</v>
      </c>
      <c r="V41">
        <v>981.63900000000001</v>
      </c>
      <c r="W41">
        <v>883.37199999999996</v>
      </c>
      <c r="X41">
        <v>0.65500000000000003</v>
      </c>
      <c r="Y41">
        <v>1920</v>
      </c>
      <c r="Z41">
        <v>1200</v>
      </c>
      <c r="AA41">
        <v>50</v>
      </c>
      <c r="AC41" t="s">
        <v>185</v>
      </c>
      <c r="AD41" t="s">
        <v>185</v>
      </c>
      <c r="AG41" t="s">
        <v>200</v>
      </c>
    </row>
    <row r="42" spans="1:33" x14ac:dyDescent="0.2">
      <c r="A42" t="s">
        <v>56</v>
      </c>
      <c r="B42" s="1">
        <v>44866</v>
      </c>
      <c r="C42">
        <v>44618</v>
      </c>
      <c r="D42" s="1" t="s">
        <v>4</v>
      </c>
      <c r="E42" t="s">
        <v>107</v>
      </c>
      <c r="F42" t="s">
        <v>95</v>
      </c>
      <c r="G42">
        <v>65</v>
      </c>
      <c r="I42" t="s">
        <v>99</v>
      </c>
      <c r="J42" t="str">
        <f t="shared" si="0"/>
        <v>K21_65</v>
      </c>
      <c r="K42" t="str">
        <f t="shared" si="1"/>
        <v>K21_65</v>
      </c>
      <c r="L42" t="str">
        <f t="shared" si="6"/>
        <v>K21_65_FI#1</v>
      </c>
      <c r="M42" s="4" t="s">
        <v>163</v>
      </c>
      <c r="N42" t="s">
        <v>222</v>
      </c>
      <c r="O42">
        <v>334</v>
      </c>
      <c r="P42" t="str">
        <f t="shared" si="7"/>
        <v>Mount2_Kil _334</v>
      </c>
      <c r="Q42" t="s">
        <v>214</v>
      </c>
      <c r="R42" t="s">
        <v>171</v>
      </c>
      <c r="S42" t="s">
        <v>173</v>
      </c>
      <c r="T42">
        <v>1</v>
      </c>
      <c r="U42">
        <v>681060</v>
      </c>
      <c r="V42">
        <v>981.63900000000001</v>
      </c>
      <c r="W42">
        <v>883.37199999999996</v>
      </c>
      <c r="X42">
        <v>0.65500000000000003</v>
      </c>
      <c r="Y42">
        <v>1920</v>
      </c>
      <c r="Z42">
        <v>1200</v>
      </c>
      <c r="AA42">
        <v>50</v>
      </c>
      <c r="AC42" t="s">
        <v>185</v>
      </c>
      <c r="AD42" t="s">
        <v>185</v>
      </c>
      <c r="AG42" t="s">
        <v>200</v>
      </c>
    </row>
    <row r="43" spans="1:33" x14ac:dyDescent="0.2">
      <c r="A43" t="s">
        <v>57</v>
      </c>
      <c r="B43" s="1">
        <v>44866</v>
      </c>
      <c r="C43">
        <v>45585</v>
      </c>
      <c r="D43" s="1" t="s">
        <v>4</v>
      </c>
      <c r="E43" t="s">
        <v>107</v>
      </c>
      <c r="F43" t="s">
        <v>95</v>
      </c>
      <c r="G43">
        <v>65</v>
      </c>
      <c r="I43" t="s">
        <v>99</v>
      </c>
      <c r="J43" t="str">
        <f t="shared" si="0"/>
        <v>K21_65</v>
      </c>
      <c r="K43" t="str">
        <f t="shared" si="1"/>
        <v>K21_65</v>
      </c>
      <c r="L43" t="str">
        <f t="shared" si="6"/>
        <v>K21_65_FI#1</v>
      </c>
      <c r="M43" s="4" t="s">
        <v>163</v>
      </c>
      <c r="N43" t="s">
        <v>222</v>
      </c>
      <c r="O43">
        <v>334</v>
      </c>
      <c r="P43" t="str">
        <f t="shared" si="7"/>
        <v>Mount2_Kil _334</v>
      </c>
      <c r="Q43" t="s">
        <v>214</v>
      </c>
      <c r="R43" t="s">
        <v>171</v>
      </c>
      <c r="S43" t="s">
        <v>173</v>
      </c>
      <c r="T43">
        <v>1</v>
      </c>
      <c r="U43">
        <v>681060</v>
      </c>
      <c r="V43">
        <v>981.63900000000001</v>
      </c>
      <c r="W43">
        <v>883.37199999999996</v>
      </c>
      <c r="X43">
        <v>0.65500000000000003</v>
      </c>
      <c r="Y43">
        <v>1920</v>
      </c>
      <c r="Z43">
        <v>1200</v>
      </c>
      <c r="AA43">
        <v>50</v>
      </c>
      <c r="AC43" t="s">
        <v>185</v>
      </c>
      <c r="AD43" t="s">
        <v>185</v>
      </c>
      <c r="AG43" t="s">
        <v>200</v>
      </c>
    </row>
    <row r="44" spans="1:33" x14ac:dyDescent="0.2">
      <c r="A44" t="s">
        <v>58</v>
      </c>
      <c r="B44" s="1">
        <v>44866</v>
      </c>
      <c r="C44">
        <v>44345</v>
      </c>
      <c r="D44" s="1" t="s">
        <v>4</v>
      </c>
      <c r="E44" t="s">
        <v>107</v>
      </c>
      <c r="F44" t="s">
        <v>95</v>
      </c>
      <c r="G44">
        <v>65</v>
      </c>
      <c r="I44" t="s">
        <v>99</v>
      </c>
      <c r="J44" t="str">
        <f t="shared" si="0"/>
        <v>K21_65</v>
      </c>
      <c r="K44" t="str">
        <f t="shared" si="1"/>
        <v>K21_65</v>
      </c>
      <c r="L44" t="str">
        <f t="shared" si="6"/>
        <v>K21_65_FI#1</v>
      </c>
      <c r="M44" s="4" t="s">
        <v>163</v>
      </c>
      <c r="N44" t="s">
        <v>222</v>
      </c>
      <c r="O44">
        <v>334</v>
      </c>
      <c r="P44" t="str">
        <f t="shared" si="7"/>
        <v>Mount2_Kil _334</v>
      </c>
      <c r="Q44" t="s">
        <v>214</v>
      </c>
      <c r="R44" t="s">
        <v>171</v>
      </c>
      <c r="S44" t="s">
        <v>173</v>
      </c>
      <c r="T44">
        <v>1</v>
      </c>
      <c r="U44">
        <v>681060</v>
      </c>
      <c r="V44">
        <v>981.63900000000001</v>
      </c>
      <c r="W44">
        <v>883.37199999999996</v>
      </c>
      <c r="X44">
        <v>0.65500000000000003</v>
      </c>
      <c r="Y44">
        <v>1920</v>
      </c>
      <c r="Z44">
        <v>1200</v>
      </c>
      <c r="AA44">
        <v>50</v>
      </c>
      <c r="AC44" t="s">
        <v>185</v>
      </c>
      <c r="AD44" t="s">
        <v>185</v>
      </c>
      <c r="AG44" t="s">
        <v>200</v>
      </c>
    </row>
    <row r="45" spans="1:33" x14ac:dyDescent="0.2">
      <c r="A45" t="s">
        <v>59</v>
      </c>
      <c r="B45" s="1">
        <v>44866</v>
      </c>
      <c r="C45">
        <v>45857</v>
      </c>
      <c r="D45" s="1" t="s">
        <v>4</v>
      </c>
      <c r="E45" t="s">
        <v>107</v>
      </c>
      <c r="F45" t="s">
        <v>95</v>
      </c>
      <c r="G45">
        <v>65</v>
      </c>
      <c r="I45" t="s">
        <v>99</v>
      </c>
      <c r="J45" t="str">
        <f t="shared" si="0"/>
        <v>K21_65</v>
      </c>
      <c r="K45" t="str">
        <f t="shared" si="1"/>
        <v>K21_65</v>
      </c>
      <c r="L45" t="str">
        <f t="shared" si="6"/>
        <v>K21_65_FI#1</v>
      </c>
      <c r="M45" s="4" t="s">
        <v>163</v>
      </c>
      <c r="N45" t="s">
        <v>222</v>
      </c>
      <c r="O45">
        <v>334</v>
      </c>
      <c r="P45" t="str">
        <f t="shared" si="7"/>
        <v>Mount2_Kil _334</v>
      </c>
      <c r="Q45" t="s">
        <v>214</v>
      </c>
      <c r="R45" t="s">
        <v>171</v>
      </c>
      <c r="S45" t="s">
        <v>173</v>
      </c>
      <c r="T45">
        <v>1</v>
      </c>
      <c r="U45">
        <v>681060</v>
      </c>
      <c r="V45">
        <v>981.63900000000001</v>
      </c>
      <c r="W45">
        <v>883.37199999999996</v>
      </c>
      <c r="X45">
        <v>0.65500000000000003</v>
      </c>
      <c r="Y45">
        <v>1920</v>
      </c>
      <c r="Z45">
        <v>1200</v>
      </c>
      <c r="AA45">
        <v>50</v>
      </c>
      <c r="AC45" t="s">
        <v>185</v>
      </c>
      <c r="AD45" t="s">
        <v>185</v>
      </c>
      <c r="AG45" t="s">
        <v>200</v>
      </c>
    </row>
    <row r="46" spans="1:33" x14ac:dyDescent="0.2">
      <c r="A46" t="s">
        <v>60</v>
      </c>
      <c r="B46" s="1">
        <v>44866</v>
      </c>
      <c r="C46">
        <v>44050</v>
      </c>
      <c r="D46" s="1" t="s">
        <v>4</v>
      </c>
      <c r="E46" t="s">
        <v>107</v>
      </c>
      <c r="F46" t="s">
        <v>95</v>
      </c>
      <c r="G46">
        <v>65</v>
      </c>
      <c r="I46" t="s">
        <v>99</v>
      </c>
      <c r="J46" t="str">
        <f t="shared" si="0"/>
        <v>K21_65</v>
      </c>
      <c r="K46" t="str">
        <f t="shared" si="1"/>
        <v>K21_65</v>
      </c>
      <c r="L46" t="str">
        <f t="shared" si="6"/>
        <v>K21_65_FI#1</v>
      </c>
      <c r="M46" s="4" t="s">
        <v>163</v>
      </c>
      <c r="N46" t="s">
        <v>222</v>
      </c>
      <c r="O46">
        <v>334</v>
      </c>
      <c r="P46" t="str">
        <f t="shared" si="7"/>
        <v>Mount2_Kil _334</v>
      </c>
      <c r="Q46" t="s">
        <v>214</v>
      </c>
      <c r="R46" t="s">
        <v>171</v>
      </c>
      <c r="S46" t="s">
        <v>173</v>
      </c>
      <c r="T46">
        <v>1</v>
      </c>
      <c r="U46">
        <v>681060</v>
      </c>
      <c r="V46">
        <v>981.63900000000001</v>
      </c>
      <c r="W46">
        <v>883.37199999999996</v>
      </c>
      <c r="X46">
        <v>0.65500000000000003</v>
      </c>
      <c r="Y46">
        <v>1920</v>
      </c>
      <c r="Z46">
        <v>1200</v>
      </c>
      <c r="AA46">
        <v>50</v>
      </c>
      <c r="AC46" t="s">
        <v>185</v>
      </c>
      <c r="AD46" t="s">
        <v>185</v>
      </c>
      <c r="AG46" t="s">
        <v>200</v>
      </c>
    </row>
    <row r="47" spans="1:33" x14ac:dyDescent="0.2">
      <c r="A47" t="s">
        <v>61</v>
      </c>
      <c r="B47" s="1">
        <v>44866</v>
      </c>
      <c r="C47">
        <v>46142</v>
      </c>
      <c r="D47" s="1" t="s">
        <v>4</v>
      </c>
      <c r="E47" t="s">
        <v>107</v>
      </c>
      <c r="F47" t="s">
        <v>95</v>
      </c>
      <c r="G47">
        <v>65</v>
      </c>
      <c r="I47" t="s">
        <v>99</v>
      </c>
      <c r="J47" t="str">
        <f t="shared" si="0"/>
        <v>K21_65</v>
      </c>
      <c r="K47" t="str">
        <f t="shared" si="1"/>
        <v>K21_65</v>
      </c>
      <c r="L47" t="str">
        <f t="shared" si="6"/>
        <v>K21_65_FI#1</v>
      </c>
      <c r="M47" s="4" t="s">
        <v>163</v>
      </c>
      <c r="N47" t="s">
        <v>222</v>
      </c>
      <c r="O47">
        <v>334</v>
      </c>
      <c r="P47" t="str">
        <f t="shared" si="7"/>
        <v>Mount2_Kil _334</v>
      </c>
      <c r="Q47" t="s">
        <v>214</v>
      </c>
      <c r="R47" t="s">
        <v>171</v>
      </c>
      <c r="S47" t="s">
        <v>173</v>
      </c>
      <c r="T47">
        <v>1</v>
      </c>
      <c r="U47">
        <v>681060</v>
      </c>
      <c r="V47">
        <v>981.63900000000001</v>
      </c>
      <c r="W47">
        <v>883.37199999999996</v>
      </c>
      <c r="X47">
        <v>0.65500000000000003</v>
      </c>
      <c r="Y47">
        <v>1920</v>
      </c>
      <c r="Z47">
        <v>1200</v>
      </c>
      <c r="AA47">
        <v>50</v>
      </c>
      <c r="AC47" t="s">
        <v>185</v>
      </c>
      <c r="AD47" t="s">
        <v>185</v>
      </c>
      <c r="AG47" t="s">
        <v>200</v>
      </c>
    </row>
    <row r="48" spans="1:33" x14ac:dyDescent="0.2">
      <c r="A48" t="s">
        <v>62</v>
      </c>
      <c r="B48" s="1">
        <v>44866</v>
      </c>
      <c r="C48">
        <v>48109</v>
      </c>
      <c r="D48" s="1" t="s">
        <v>4</v>
      </c>
      <c r="E48" t="s">
        <v>107</v>
      </c>
      <c r="F48" t="s">
        <v>95</v>
      </c>
      <c r="G48">
        <v>66</v>
      </c>
      <c r="I48" t="s">
        <v>100</v>
      </c>
      <c r="J48" t="str">
        <f t="shared" si="0"/>
        <v>K21_66</v>
      </c>
      <c r="K48" t="str">
        <f t="shared" si="1"/>
        <v>K21_66</v>
      </c>
      <c r="L48" t="str">
        <f t="shared" si="6"/>
        <v>K21_66_FI#3</v>
      </c>
      <c r="M48" s="4" t="s">
        <v>137</v>
      </c>
      <c r="N48" t="s">
        <v>222</v>
      </c>
      <c r="O48">
        <v>289</v>
      </c>
      <c r="P48" t="str">
        <f t="shared" si="7"/>
        <v>Mount2_Kil _289</v>
      </c>
      <c r="Q48" t="s">
        <v>215</v>
      </c>
      <c r="R48" t="s">
        <v>175</v>
      </c>
      <c r="S48" t="s">
        <v>180</v>
      </c>
      <c r="T48">
        <v>1</v>
      </c>
      <c r="U48">
        <v>3984</v>
      </c>
      <c r="V48">
        <v>76.245999999999995</v>
      </c>
      <c r="W48">
        <v>66.528999999999996</v>
      </c>
      <c r="X48">
        <v>114.572</v>
      </c>
      <c r="Y48">
        <v>1920</v>
      </c>
      <c r="Z48">
        <v>1200</v>
      </c>
      <c r="AA48">
        <v>50</v>
      </c>
      <c r="AD48" t="s">
        <v>185</v>
      </c>
      <c r="AG48" t="s">
        <v>201</v>
      </c>
    </row>
    <row r="49" spans="1:33" x14ac:dyDescent="0.2">
      <c r="A49" t="s">
        <v>63</v>
      </c>
      <c r="B49" s="1">
        <v>44866</v>
      </c>
      <c r="C49">
        <v>48430</v>
      </c>
      <c r="D49" s="1" t="s">
        <v>4</v>
      </c>
      <c r="E49" t="s">
        <v>107</v>
      </c>
      <c r="F49" t="s">
        <v>95</v>
      </c>
      <c r="G49">
        <v>66</v>
      </c>
      <c r="I49" t="s">
        <v>97</v>
      </c>
      <c r="J49" t="str">
        <f t="shared" si="0"/>
        <v>K21_66</v>
      </c>
      <c r="K49" t="str">
        <f t="shared" si="1"/>
        <v>K21_66</v>
      </c>
      <c r="L49" t="str">
        <f t="shared" si="6"/>
        <v>K21_66_FI#4</v>
      </c>
      <c r="M49" s="4" t="s">
        <v>138</v>
      </c>
      <c r="N49" t="s">
        <v>222</v>
      </c>
      <c r="O49">
        <v>289</v>
      </c>
      <c r="P49" t="str">
        <f t="shared" si="7"/>
        <v>Mount2_Kil _289</v>
      </c>
      <c r="Q49" t="s">
        <v>215</v>
      </c>
      <c r="R49" t="s">
        <v>175</v>
      </c>
      <c r="S49" t="s">
        <v>180</v>
      </c>
      <c r="T49">
        <v>2</v>
      </c>
      <c r="U49">
        <v>4639</v>
      </c>
      <c r="V49">
        <v>90.382000000000005</v>
      </c>
      <c r="W49">
        <v>65.350999999999999</v>
      </c>
      <c r="X49">
        <v>107.976</v>
      </c>
      <c r="Y49">
        <v>1920</v>
      </c>
      <c r="Z49">
        <v>1200</v>
      </c>
      <c r="AA49">
        <v>50</v>
      </c>
      <c r="AD49" t="s">
        <v>185</v>
      </c>
      <c r="AE49" t="s">
        <v>195</v>
      </c>
      <c r="AG49" t="s">
        <v>202</v>
      </c>
    </row>
    <row r="50" spans="1:33" x14ac:dyDescent="0.2">
      <c r="A50" t="s">
        <v>64</v>
      </c>
      <c r="B50" s="1">
        <v>44866</v>
      </c>
      <c r="C50">
        <v>50078</v>
      </c>
      <c r="D50" s="1" t="s">
        <v>4</v>
      </c>
      <c r="E50" t="s">
        <v>107</v>
      </c>
      <c r="F50" t="s">
        <v>95</v>
      </c>
      <c r="G50">
        <v>68</v>
      </c>
      <c r="I50" t="s">
        <v>99</v>
      </c>
      <c r="J50" t="str">
        <f t="shared" si="0"/>
        <v>K21_68</v>
      </c>
      <c r="K50" t="str">
        <f t="shared" si="1"/>
        <v>K21_68</v>
      </c>
      <c r="L50" t="str">
        <f t="shared" si="6"/>
        <v>K21_68_FI#1</v>
      </c>
      <c r="M50" s="5" t="s">
        <v>139</v>
      </c>
      <c r="N50" t="s">
        <v>222</v>
      </c>
      <c r="O50">
        <v>220</v>
      </c>
      <c r="P50" t="str">
        <f t="shared" si="7"/>
        <v>Mount2_Kil _220</v>
      </c>
      <c r="Q50" t="s">
        <v>216</v>
      </c>
      <c r="R50" t="s">
        <v>175</v>
      </c>
      <c r="S50" t="s">
        <v>180</v>
      </c>
      <c r="T50">
        <v>1</v>
      </c>
      <c r="U50">
        <v>4989</v>
      </c>
      <c r="V50">
        <v>87.522999999999996</v>
      </c>
      <c r="W50">
        <v>72.576999999999998</v>
      </c>
      <c r="X50">
        <v>3.2000000000000001E-2</v>
      </c>
      <c r="Y50">
        <v>1920</v>
      </c>
      <c r="Z50">
        <v>1200</v>
      </c>
      <c r="AA50">
        <v>50</v>
      </c>
      <c r="AG50" t="s">
        <v>203</v>
      </c>
    </row>
    <row r="51" spans="1:33" x14ac:dyDescent="0.2">
      <c r="A51" t="s">
        <v>65</v>
      </c>
      <c r="B51" s="1">
        <v>44866</v>
      </c>
      <c r="C51">
        <v>50524</v>
      </c>
      <c r="D51" s="1" t="s">
        <v>4</v>
      </c>
      <c r="E51" t="s">
        <v>107</v>
      </c>
      <c r="F51" t="s">
        <v>95</v>
      </c>
      <c r="G51">
        <v>68</v>
      </c>
      <c r="I51" t="s">
        <v>98</v>
      </c>
      <c r="J51" t="str">
        <f t="shared" si="0"/>
        <v>K21_68</v>
      </c>
      <c r="K51" t="str">
        <f t="shared" si="1"/>
        <v>K21_68</v>
      </c>
      <c r="L51" t="str">
        <f t="shared" si="6"/>
        <v>K21_68_FI#2</v>
      </c>
      <c r="M51" s="5" t="s">
        <v>139</v>
      </c>
      <c r="N51" t="s">
        <v>222</v>
      </c>
      <c r="O51">
        <v>220</v>
      </c>
      <c r="P51" t="str">
        <f t="shared" si="7"/>
        <v>Mount2_Kil _220</v>
      </c>
      <c r="Q51" t="s">
        <v>216</v>
      </c>
      <c r="R51" t="s">
        <v>175</v>
      </c>
      <c r="S51" t="s">
        <v>180</v>
      </c>
      <c r="T51">
        <v>2</v>
      </c>
      <c r="U51">
        <v>6148</v>
      </c>
      <c r="V51">
        <v>102.129</v>
      </c>
      <c r="W51">
        <v>76.647000000000006</v>
      </c>
      <c r="X51">
        <v>177.994</v>
      </c>
      <c r="Y51">
        <v>1920</v>
      </c>
      <c r="Z51">
        <v>1200</v>
      </c>
      <c r="AA51">
        <v>50</v>
      </c>
      <c r="AG51" t="s">
        <v>203</v>
      </c>
    </row>
    <row r="52" spans="1:33" x14ac:dyDescent="0.2">
      <c r="A52" t="s">
        <v>66</v>
      </c>
      <c r="B52" s="1">
        <v>44866</v>
      </c>
      <c r="C52">
        <v>52214</v>
      </c>
      <c r="D52" s="1" t="s">
        <v>4</v>
      </c>
      <c r="E52" t="s">
        <v>107</v>
      </c>
      <c r="F52" t="s">
        <v>95</v>
      </c>
      <c r="G52">
        <v>69</v>
      </c>
      <c r="I52" t="s">
        <v>99</v>
      </c>
      <c r="J52" t="str">
        <f>_xlfn.CONCAT(F52,"_",G52)</f>
        <v>K21_69</v>
      </c>
      <c r="K52" t="str">
        <f t="shared" ref="K52:K81" si="8">IF(H52&lt;&gt;0,_xlfn.CONCAT(J52,"_",H52),J52)</f>
        <v>K21_69</v>
      </c>
      <c r="L52" t="str">
        <f t="shared" ref="L52:L81" si="9">_xlfn.CONCAT(K52,"_",I52)</f>
        <v>K21_69_FI#1</v>
      </c>
      <c r="M52" s="4" t="s">
        <v>140</v>
      </c>
      <c r="N52" t="s">
        <v>222</v>
      </c>
      <c r="O52">
        <v>166</v>
      </c>
      <c r="P52" t="str">
        <f t="shared" si="7"/>
        <v>Mount2_Kil _166</v>
      </c>
      <c r="Q52" t="s">
        <v>217</v>
      </c>
      <c r="R52" t="s">
        <v>171</v>
      </c>
      <c r="S52" t="s">
        <v>176</v>
      </c>
      <c r="T52">
        <v>1</v>
      </c>
      <c r="U52">
        <v>26289</v>
      </c>
      <c r="V52">
        <v>190.37299999999999</v>
      </c>
      <c r="W52">
        <v>175.82400000000001</v>
      </c>
      <c r="X52">
        <v>113.033</v>
      </c>
      <c r="Y52">
        <v>1920</v>
      </c>
      <c r="Z52">
        <v>1200</v>
      </c>
      <c r="AA52">
        <v>50</v>
      </c>
      <c r="AG52" t="s">
        <v>204</v>
      </c>
    </row>
    <row r="53" spans="1:33" x14ac:dyDescent="0.2">
      <c r="A53" t="s">
        <v>67</v>
      </c>
      <c r="B53" s="1">
        <v>44866</v>
      </c>
      <c r="C53">
        <v>53577</v>
      </c>
      <c r="D53" s="1" t="s">
        <v>4</v>
      </c>
      <c r="E53" t="s">
        <v>107</v>
      </c>
      <c r="F53" t="s">
        <v>95</v>
      </c>
      <c r="G53">
        <v>69</v>
      </c>
      <c r="I53" t="s">
        <v>98</v>
      </c>
      <c r="J53" t="str">
        <f t="shared" si="0"/>
        <v>K21_69</v>
      </c>
      <c r="K53" t="str">
        <f t="shared" si="8"/>
        <v>K21_69</v>
      </c>
      <c r="L53" t="str">
        <f t="shared" si="9"/>
        <v>K21_69_FI#2</v>
      </c>
      <c r="M53" s="4" t="s">
        <v>141</v>
      </c>
      <c r="N53" t="s">
        <v>222</v>
      </c>
      <c r="O53">
        <v>166</v>
      </c>
      <c r="P53" t="str">
        <f t="shared" si="7"/>
        <v>Mount2_Kil _166</v>
      </c>
      <c r="Q53" t="s">
        <v>217</v>
      </c>
      <c r="R53" t="s">
        <v>171</v>
      </c>
      <c r="S53" t="s">
        <v>176</v>
      </c>
      <c r="T53">
        <v>2</v>
      </c>
      <c r="U53">
        <v>10250</v>
      </c>
      <c r="V53">
        <v>127.452</v>
      </c>
      <c r="W53">
        <v>102.39700000000001</v>
      </c>
      <c r="X53">
        <v>21.645</v>
      </c>
      <c r="Y53">
        <v>1920</v>
      </c>
      <c r="Z53">
        <v>1200</v>
      </c>
      <c r="AA53">
        <v>50</v>
      </c>
      <c r="AG53" t="s">
        <v>204</v>
      </c>
    </row>
    <row r="54" spans="1:33" x14ac:dyDescent="0.2">
      <c r="A54" t="s">
        <v>68</v>
      </c>
      <c r="B54" s="1">
        <v>44866</v>
      </c>
      <c r="C54">
        <v>54002</v>
      </c>
      <c r="D54" s="1" t="s">
        <v>4</v>
      </c>
      <c r="E54" t="s">
        <v>107</v>
      </c>
      <c r="F54" t="s">
        <v>95</v>
      </c>
      <c r="G54">
        <v>69</v>
      </c>
      <c r="I54" t="s">
        <v>100</v>
      </c>
      <c r="J54" t="str">
        <f t="shared" si="0"/>
        <v>K21_69</v>
      </c>
      <c r="K54" t="str">
        <f t="shared" si="8"/>
        <v>K21_69</v>
      </c>
      <c r="L54" t="str">
        <f t="shared" si="9"/>
        <v>K21_69_FI#3</v>
      </c>
      <c r="M54" s="4" t="s">
        <v>142</v>
      </c>
      <c r="N54" t="s">
        <v>222</v>
      </c>
      <c r="O54">
        <v>166</v>
      </c>
      <c r="P54" t="str">
        <f t="shared" si="7"/>
        <v>Mount2_Kil _166</v>
      </c>
      <c r="Q54" t="s">
        <v>217</v>
      </c>
      <c r="R54" t="s">
        <v>171</v>
      </c>
      <c r="S54" t="s">
        <v>176</v>
      </c>
      <c r="T54">
        <v>3</v>
      </c>
      <c r="U54">
        <v>13604</v>
      </c>
      <c r="V54">
        <v>142.376</v>
      </c>
      <c r="W54">
        <v>121.658</v>
      </c>
      <c r="X54">
        <v>22.675999999999998</v>
      </c>
      <c r="Y54">
        <v>1920</v>
      </c>
      <c r="Z54">
        <v>1200</v>
      </c>
      <c r="AA54">
        <v>50</v>
      </c>
      <c r="AG54" t="s">
        <v>204</v>
      </c>
    </row>
    <row r="55" spans="1:33" x14ac:dyDescent="0.2">
      <c r="A55" t="s">
        <v>69</v>
      </c>
      <c r="B55" s="1">
        <v>44866</v>
      </c>
      <c r="C55">
        <v>54983</v>
      </c>
      <c r="D55" s="1" t="s">
        <v>4</v>
      </c>
      <c r="E55" t="s">
        <v>107</v>
      </c>
      <c r="F55" t="s">
        <v>95</v>
      </c>
      <c r="G55">
        <v>69</v>
      </c>
      <c r="I55" t="s">
        <v>101</v>
      </c>
      <c r="J55" t="str">
        <f t="shared" si="0"/>
        <v>K21_69</v>
      </c>
      <c r="K55" t="str">
        <f t="shared" si="8"/>
        <v>K21_69</v>
      </c>
      <c r="L55" t="str">
        <f t="shared" si="9"/>
        <v>K21_69_FI#5</v>
      </c>
      <c r="M55" s="4" t="s">
        <v>143</v>
      </c>
      <c r="N55" t="s">
        <v>222</v>
      </c>
      <c r="O55">
        <v>166</v>
      </c>
      <c r="P55" t="str">
        <f t="shared" si="7"/>
        <v>Mount2_Kil _166</v>
      </c>
      <c r="Q55" t="s">
        <v>217</v>
      </c>
      <c r="R55" t="s">
        <v>171</v>
      </c>
      <c r="S55" t="s">
        <v>176</v>
      </c>
      <c r="T55">
        <v>5</v>
      </c>
      <c r="U55">
        <v>6484</v>
      </c>
      <c r="V55">
        <v>106.82899999999999</v>
      </c>
      <c r="W55">
        <v>77.28</v>
      </c>
      <c r="X55">
        <v>25.122</v>
      </c>
      <c r="Y55">
        <v>1920</v>
      </c>
      <c r="Z55">
        <v>1200</v>
      </c>
      <c r="AA55">
        <v>50</v>
      </c>
      <c r="AG55" t="s">
        <v>204</v>
      </c>
    </row>
    <row r="56" spans="1:33" x14ac:dyDescent="0.2">
      <c r="A56" t="s">
        <v>70</v>
      </c>
      <c r="B56" s="1">
        <v>44866</v>
      </c>
      <c r="C56">
        <v>56582</v>
      </c>
      <c r="D56" s="1" t="s">
        <v>4</v>
      </c>
      <c r="E56" t="s">
        <v>107</v>
      </c>
      <c r="F56" t="s">
        <v>95</v>
      </c>
      <c r="G56">
        <v>69</v>
      </c>
      <c r="I56" t="s">
        <v>102</v>
      </c>
      <c r="J56" t="str">
        <f t="shared" si="0"/>
        <v>K21_69</v>
      </c>
      <c r="K56" t="str">
        <f t="shared" si="8"/>
        <v>K21_69</v>
      </c>
      <c r="L56" t="str">
        <f t="shared" si="9"/>
        <v>K21_69_FI#6</v>
      </c>
      <c r="M56" s="4" t="s">
        <v>144</v>
      </c>
      <c r="N56" t="s">
        <v>222</v>
      </c>
      <c r="O56">
        <v>166</v>
      </c>
      <c r="P56" t="str">
        <f t="shared" si="7"/>
        <v>Mount2_Kil _166</v>
      </c>
      <c r="Q56" t="s">
        <v>217</v>
      </c>
      <c r="R56" t="s">
        <v>171</v>
      </c>
      <c r="S56" t="s">
        <v>176</v>
      </c>
      <c r="T56">
        <v>6</v>
      </c>
      <c r="U56">
        <v>6811</v>
      </c>
      <c r="V56">
        <v>101.105</v>
      </c>
      <c r="W56">
        <v>85.772999999999996</v>
      </c>
      <c r="X56">
        <v>113.35899999999999</v>
      </c>
      <c r="Y56">
        <v>1920</v>
      </c>
      <c r="Z56">
        <v>1200</v>
      </c>
      <c r="AA56">
        <v>50</v>
      </c>
      <c r="AG56" t="s">
        <v>204</v>
      </c>
    </row>
    <row r="57" spans="1:33" x14ac:dyDescent="0.2">
      <c r="A57" t="s">
        <v>71</v>
      </c>
      <c r="B57" s="1">
        <v>44866</v>
      </c>
      <c r="C57">
        <v>59965</v>
      </c>
      <c r="D57" s="1" t="s">
        <v>4</v>
      </c>
      <c r="E57" t="s">
        <v>107</v>
      </c>
      <c r="F57" t="s">
        <v>95</v>
      </c>
      <c r="G57">
        <v>70</v>
      </c>
      <c r="I57" t="s">
        <v>99</v>
      </c>
      <c r="J57" t="str">
        <f t="shared" si="0"/>
        <v>K21_70</v>
      </c>
      <c r="K57" t="str">
        <f t="shared" si="8"/>
        <v>K21_70</v>
      </c>
      <c r="L57" t="str">
        <f t="shared" si="9"/>
        <v>K21_70_FI#1</v>
      </c>
      <c r="M57" s="4" t="s">
        <v>145</v>
      </c>
      <c r="N57" t="s">
        <v>222</v>
      </c>
      <c r="O57">
        <v>128</v>
      </c>
      <c r="P57" t="str">
        <f t="shared" si="7"/>
        <v>Mount2_Kil _128</v>
      </c>
      <c r="Q57" t="s">
        <v>215</v>
      </c>
      <c r="R57" t="s">
        <v>171</v>
      </c>
      <c r="S57" t="s">
        <v>173</v>
      </c>
      <c r="T57">
        <v>1</v>
      </c>
      <c r="U57">
        <v>40546</v>
      </c>
      <c r="V57">
        <v>233.45599999999999</v>
      </c>
      <c r="W57">
        <v>221.13300000000001</v>
      </c>
      <c r="X57">
        <v>27.128</v>
      </c>
      <c r="Y57">
        <v>1920</v>
      </c>
      <c r="Z57">
        <v>1200</v>
      </c>
      <c r="AA57">
        <v>50</v>
      </c>
      <c r="AD57" t="s">
        <v>185</v>
      </c>
      <c r="AG57" t="s">
        <v>205</v>
      </c>
    </row>
    <row r="58" spans="1:33" x14ac:dyDescent="0.2">
      <c r="A58" t="s">
        <v>72</v>
      </c>
      <c r="B58" s="1">
        <v>44867</v>
      </c>
      <c r="C58">
        <v>42629</v>
      </c>
      <c r="D58" s="1" t="s">
        <v>4</v>
      </c>
      <c r="E58" t="s">
        <v>107</v>
      </c>
      <c r="F58" t="s">
        <v>95</v>
      </c>
      <c r="G58">
        <v>71</v>
      </c>
      <c r="I58" t="s">
        <v>99</v>
      </c>
      <c r="J58" t="str">
        <f t="shared" si="0"/>
        <v>K21_71</v>
      </c>
      <c r="K58" t="str">
        <f t="shared" si="8"/>
        <v>K21_71</v>
      </c>
      <c r="L58" t="str">
        <f t="shared" si="9"/>
        <v>K21_71_FI#1</v>
      </c>
      <c r="M58" s="4" t="s">
        <v>146</v>
      </c>
      <c r="N58" t="s">
        <v>222</v>
      </c>
      <c r="O58">
        <v>105</v>
      </c>
      <c r="P58" t="str">
        <f t="shared" si="7"/>
        <v>Mount2_Kil _105</v>
      </c>
      <c r="Q58" t="s">
        <v>214</v>
      </c>
      <c r="R58" t="s">
        <v>171</v>
      </c>
      <c r="S58" t="s">
        <v>173</v>
      </c>
      <c r="T58">
        <v>2</v>
      </c>
      <c r="U58">
        <v>8097</v>
      </c>
      <c r="V58">
        <v>109.785</v>
      </c>
      <c r="W58">
        <v>93.905000000000001</v>
      </c>
      <c r="X58">
        <v>98.447000000000003</v>
      </c>
      <c r="Y58">
        <v>1920</v>
      </c>
      <c r="Z58">
        <v>1200</v>
      </c>
      <c r="AA58">
        <v>50</v>
      </c>
      <c r="AD58" t="s">
        <v>185</v>
      </c>
    </row>
    <row r="59" spans="1:33" x14ac:dyDescent="0.2">
      <c r="A59" t="s">
        <v>73</v>
      </c>
      <c r="B59" s="1">
        <v>44867</v>
      </c>
      <c r="C59">
        <v>43737</v>
      </c>
      <c r="D59" s="1" t="s">
        <v>4</v>
      </c>
      <c r="E59" t="s">
        <v>107</v>
      </c>
      <c r="F59" t="s">
        <v>95</v>
      </c>
      <c r="G59">
        <v>71</v>
      </c>
      <c r="I59" t="s">
        <v>99</v>
      </c>
      <c r="J59" t="str">
        <f t="shared" si="0"/>
        <v>K21_71</v>
      </c>
      <c r="K59" t="str">
        <f t="shared" si="8"/>
        <v>K21_71</v>
      </c>
      <c r="L59" t="str">
        <f t="shared" si="9"/>
        <v>K21_71_FI#1</v>
      </c>
      <c r="M59" s="4" t="s">
        <v>146</v>
      </c>
      <c r="N59" t="s">
        <v>222</v>
      </c>
      <c r="O59">
        <v>105</v>
      </c>
      <c r="P59" t="str">
        <f t="shared" si="7"/>
        <v>Mount2_Kil _105</v>
      </c>
      <c r="Q59" t="s">
        <v>214</v>
      </c>
      <c r="R59" t="s">
        <v>171</v>
      </c>
      <c r="S59" t="s">
        <v>173</v>
      </c>
      <c r="T59">
        <v>2</v>
      </c>
      <c r="U59">
        <v>8097</v>
      </c>
      <c r="V59">
        <v>109.785</v>
      </c>
      <c r="W59">
        <v>93.905000000000001</v>
      </c>
      <c r="X59">
        <v>98.447000000000003</v>
      </c>
      <c r="Y59">
        <v>1920</v>
      </c>
      <c r="Z59">
        <v>1200</v>
      </c>
      <c r="AA59">
        <v>50</v>
      </c>
      <c r="AD59" t="s">
        <v>185</v>
      </c>
    </row>
    <row r="60" spans="1:33" x14ac:dyDescent="0.2">
      <c r="A60" t="s">
        <v>74</v>
      </c>
      <c r="B60" s="1">
        <v>44867</v>
      </c>
      <c r="C60">
        <v>43968</v>
      </c>
      <c r="D60" s="1" t="s">
        <v>4</v>
      </c>
      <c r="E60" t="s">
        <v>107</v>
      </c>
      <c r="F60" t="s">
        <v>95</v>
      </c>
      <c r="G60">
        <v>71</v>
      </c>
      <c r="I60" t="s">
        <v>99</v>
      </c>
      <c r="J60" t="str">
        <f t="shared" si="0"/>
        <v>K21_71</v>
      </c>
      <c r="K60" t="str">
        <f t="shared" si="8"/>
        <v>K21_71</v>
      </c>
      <c r="L60" t="str">
        <f t="shared" si="9"/>
        <v>K21_71_FI#1</v>
      </c>
      <c r="M60" s="4" t="s">
        <v>146</v>
      </c>
      <c r="N60" t="s">
        <v>222</v>
      </c>
      <c r="O60">
        <v>105</v>
      </c>
      <c r="P60" t="str">
        <f t="shared" si="7"/>
        <v>Mount2_Kil _105</v>
      </c>
      <c r="Q60" t="s">
        <v>214</v>
      </c>
      <c r="R60" t="s">
        <v>171</v>
      </c>
      <c r="S60" t="s">
        <v>173</v>
      </c>
      <c r="T60">
        <v>2</v>
      </c>
      <c r="U60">
        <v>8097</v>
      </c>
      <c r="V60">
        <v>109.785</v>
      </c>
      <c r="W60">
        <v>93.905000000000001</v>
      </c>
      <c r="X60">
        <v>98.447000000000003</v>
      </c>
      <c r="Y60">
        <v>1920</v>
      </c>
      <c r="Z60">
        <v>1200</v>
      </c>
      <c r="AA60">
        <v>50</v>
      </c>
      <c r="AD60" t="s">
        <v>185</v>
      </c>
    </row>
    <row r="61" spans="1:33" x14ac:dyDescent="0.2">
      <c r="A61" t="s">
        <v>75</v>
      </c>
      <c r="B61" s="1">
        <v>44867</v>
      </c>
      <c r="C61">
        <v>42902</v>
      </c>
      <c r="D61" s="1" t="s">
        <v>4</v>
      </c>
      <c r="E61" t="s">
        <v>107</v>
      </c>
      <c r="F61" t="s">
        <v>95</v>
      </c>
      <c r="G61">
        <v>71</v>
      </c>
      <c r="I61" t="s">
        <v>99</v>
      </c>
      <c r="J61" t="str">
        <f t="shared" si="0"/>
        <v>K21_71</v>
      </c>
      <c r="K61" t="str">
        <f t="shared" si="8"/>
        <v>K21_71</v>
      </c>
      <c r="L61" t="str">
        <f t="shared" si="9"/>
        <v>K21_71_FI#1</v>
      </c>
      <c r="M61" s="4" t="s">
        <v>146</v>
      </c>
      <c r="N61" t="s">
        <v>222</v>
      </c>
      <c r="O61">
        <v>105</v>
      </c>
      <c r="P61" t="str">
        <f t="shared" si="7"/>
        <v>Mount2_Kil _105</v>
      </c>
      <c r="Q61" t="s">
        <v>214</v>
      </c>
      <c r="R61" t="s">
        <v>171</v>
      </c>
      <c r="S61" t="s">
        <v>173</v>
      </c>
      <c r="T61">
        <v>2</v>
      </c>
      <c r="U61">
        <v>8097</v>
      </c>
      <c r="V61">
        <v>109.785</v>
      </c>
      <c r="W61">
        <v>93.905000000000001</v>
      </c>
      <c r="X61">
        <v>98.447000000000003</v>
      </c>
      <c r="Y61">
        <v>1920</v>
      </c>
      <c r="Z61">
        <v>1200</v>
      </c>
      <c r="AA61">
        <v>50</v>
      </c>
      <c r="AD61" t="s">
        <v>185</v>
      </c>
    </row>
    <row r="62" spans="1:33" x14ac:dyDescent="0.2">
      <c r="A62" t="s">
        <v>76</v>
      </c>
      <c r="B62" s="1">
        <v>44867</v>
      </c>
      <c r="C62">
        <v>43148</v>
      </c>
      <c r="D62" s="1" t="s">
        <v>4</v>
      </c>
      <c r="E62" t="s">
        <v>107</v>
      </c>
      <c r="F62" t="s">
        <v>95</v>
      </c>
      <c r="G62">
        <v>71</v>
      </c>
      <c r="I62" t="s">
        <v>99</v>
      </c>
      <c r="J62" t="str">
        <f t="shared" si="0"/>
        <v>K21_71</v>
      </c>
      <c r="K62" t="str">
        <f t="shared" si="8"/>
        <v>K21_71</v>
      </c>
      <c r="L62" t="str">
        <f t="shared" si="9"/>
        <v>K21_71_FI#1</v>
      </c>
      <c r="M62" s="4" t="s">
        <v>146</v>
      </c>
      <c r="N62" t="s">
        <v>222</v>
      </c>
      <c r="O62">
        <v>105</v>
      </c>
      <c r="P62" t="str">
        <f t="shared" si="7"/>
        <v>Mount2_Kil _105</v>
      </c>
      <c r="Q62" t="s">
        <v>214</v>
      </c>
      <c r="R62" t="s">
        <v>171</v>
      </c>
      <c r="S62" t="s">
        <v>173</v>
      </c>
      <c r="T62">
        <v>2</v>
      </c>
      <c r="U62">
        <v>8097</v>
      </c>
      <c r="V62">
        <v>109.785</v>
      </c>
      <c r="W62">
        <v>93.905000000000001</v>
      </c>
      <c r="X62">
        <v>98.447000000000003</v>
      </c>
      <c r="Y62">
        <v>1920</v>
      </c>
      <c r="Z62">
        <v>1200</v>
      </c>
      <c r="AA62">
        <v>50</v>
      </c>
      <c r="AD62" t="s">
        <v>185</v>
      </c>
    </row>
    <row r="63" spans="1:33" x14ac:dyDescent="0.2">
      <c r="A63" t="s">
        <v>77</v>
      </c>
      <c r="B63" s="1">
        <v>44867</v>
      </c>
      <c r="C63">
        <v>43412</v>
      </c>
      <c r="D63" s="1" t="s">
        <v>4</v>
      </c>
      <c r="E63" t="s">
        <v>107</v>
      </c>
      <c r="F63" t="s">
        <v>95</v>
      </c>
      <c r="G63">
        <v>71</v>
      </c>
      <c r="I63" t="s">
        <v>99</v>
      </c>
      <c r="J63" t="str">
        <f t="shared" si="0"/>
        <v>K21_71</v>
      </c>
      <c r="K63" t="str">
        <f t="shared" si="8"/>
        <v>K21_71</v>
      </c>
      <c r="L63" t="str">
        <f t="shared" si="9"/>
        <v>K21_71_FI#1</v>
      </c>
      <c r="M63" s="4" t="s">
        <v>146</v>
      </c>
      <c r="N63" t="s">
        <v>222</v>
      </c>
      <c r="O63">
        <v>105</v>
      </c>
      <c r="P63" t="str">
        <f t="shared" si="7"/>
        <v>Mount2_Kil _105</v>
      </c>
      <c r="Q63" t="s">
        <v>214</v>
      </c>
      <c r="R63" t="s">
        <v>171</v>
      </c>
      <c r="S63" t="s">
        <v>173</v>
      </c>
      <c r="T63">
        <v>2</v>
      </c>
      <c r="U63">
        <v>8097</v>
      </c>
      <c r="V63">
        <v>109.785</v>
      </c>
      <c r="W63">
        <v>93.905000000000001</v>
      </c>
      <c r="X63">
        <v>98.447000000000003</v>
      </c>
      <c r="Y63">
        <v>1920</v>
      </c>
      <c r="Z63">
        <v>1200</v>
      </c>
      <c r="AA63">
        <v>50</v>
      </c>
      <c r="AD63" t="s">
        <v>185</v>
      </c>
    </row>
    <row r="64" spans="1:33" x14ac:dyDescent="0.2">
      <c r="A64" t="s">
        <v>78</v>
      </c>
      <c r="B64" s="1">
        <v>44867</v>
      </c>
      <c r="C64">
        <v>45585</v>
      </c>
      <c r="D64" s="1" t="s">
        <v>4</v>
      </c>
      <c r="E64" t="s">
        <v>107</v>
      </c>
      <c r="F64" t="s">
        <v>95</v>
      </c>
      <c r="G64">
        <v>72</v>
      </c>
      <c r="I64" t="s">
        <v>99</v>
      </c>
      <c r="J64" t="str">
        <f t="shared" si="0"/>
        <v>K21_72</v>
      </c>
      <c r="K64" t="str">
        <f t="shared" si="8"/>
        <v>K21_72</v>
      </c>
      <c r="L64" t="str">
        <f t="shared" si="9"/>
        <v>K21_72_FI#1</v>
      </c>
      <c r="M64" s="4" t="s">
        <v>147</v>
      </c>
      <c r="N64" t="s">
        <v>222</v>
      </c>
      <c r="O64">
        <v>68</v>
      </c>
      <c r="P64" t="str">
        <f t="shared" si="7"/>
        <v>Mount2_Kil _68</v>
      </c>
      <c r="Q64" t="s">
        <v>218</v>
      </c>
      <c r="R64" t="s">
        <v>171</v>
      </c>
      <c r="S64" t="s">
        <v>176</v>
      </c>
      <c r="T64">
        <v>1</v>
      </c>
      <c r="U64">
        <v>8922</v>
      </c>
      <c r="V64">
        <v>120.44</v>
      </c>
      <c r="W64">
        <v>94.32</v>
      </c>
      <c r="X64">
        <v>24.170999999999999</v>
      </c>
      <c r="Y64">
        <v>1920</v>
      </c>
      <c r="Z64">
        <v>1200</v>
      </c>
      <c r="AA64">
        <v>50</v>
      </c>
      <c r="AG64" t="s">
        <v>206</v>
      </c>
    </row>
    <row r="65" spans="1:33" x14ac:dyDescent="0.2">
      <c r="A65" t="s">
        <v>79</v>
      </c>
      <c r="B65" s="1">
        <v>44867</v>
      </c>
      <c r="C65">
        <v>45896</v>
      </c>
      <c r="D65" s="1" t="s">
        <v>4</v>
      </c>
      <c r="E65" t="s">
        <v>107</v>
      </c>
      <c r="F65" t="s">
        <v>95</v>
      </c>
      <c r="G65">
        <v>72</v>
      </c>
      <c r="I65" t="s">
        <v>98</v>
      </c>
      <c r="J65" t="str">
        <f t="shared" si="0"/>
        <v>K21_72</v>
      </c>
      <c r="K65" t="str">
        <f t="shared" si="8"/>
        <v>K21_72</v>
      </c>
      <c r="L65" t="str">
        <f t="shared" si="9"/>
        <v>K21_72_FI#2</v>
      </c>
      <c r="M65" s="4" t="s">
        <v>148</v>
      </c>
      <c r="N65" t="s">
        <v>222</v>
      </c>
      <c r="O65">
        <v>68</v>
      </c>
      <c r="P65" t="str">
        <f t="shared" si="7"/>
        <v>Mount2_Kil _68</v>
      </c>
      <c r="Q65" t="s">
        <v>218</v>
      </c>
      <c r="R65" t="s">
        <v>171</v>
      </c>
      <c r="S65" t="s">
        <v>176</v>
      </c>
      <c r="T65">
        <v>2</v>
      </c>
      <c r="U65">
        <v>3648</v>
      </c>
      <c r="V65">
        <v>71.546999999999997</v>
      </c>
      <c r="W65">
        <v>64.918999999999997</v>
      </c>
      <c r="X65">
        <v>50.52</v>
      </c>
      <c r="Y65">
        <v>1920</v>
      </c>
      <c r="Z65">
        <v>1200</v>
      </c>
      <c r="AA65">
        <v>50</v>
      </c>
      <c r="AG65" t="s">
        <v>206</v>
      </c>
    </row>
    <row r="66" spans="1:33" x14ac:dyDescent="0.2">
      <c r="A66" t="s">
        <v>80</v>
      </c>
      <c r="B66" s="1">
        <v>44867</v>
      </c>
      <c r="C66">
        <v>48079</v>
      </c>
      <c r="D66" s="1" t="s">
        <v>4</v>
      </c>
      <c r="E66" t="s">
        <v>107</v>
      </c>
      <c r="F66" t="s">
        <v>95</v>
      </c>
      <c r="G66">
        <v>74</v>
      </c>
      <c r="I66" t="s">
        <v>99</v>
      </c>
      <c r="J66" t="str">
        <f t="shared" si="0"/>
        <v>K21_74</v>
      </c>
      <c r="K66" t="str">
        <f t="shared" si="8"/>
        <v>K21_74</v>
      </c>
      <c r="L66" t="str">
        <f t="shared" si="9"/>
        <v>K21_74_FI#1</v>
      </c>
      <c r="M66" s="4" t="s">
        <v>149</v>
      </c>
      <c r="N66" t="s">
        <v>222</v>
      </c>
      <c r="O66">
        <v>387</v>
      </c>
      <c r="P66" t="str">
        <f t="shared" si="7"/>
        <v>Mount2_Kil _387</v>
      </c>
      <c r="Q66" t="s">
        <v>214</v>
      </c>
      <c r="R66" t="s">
        <v>175</v>
      </c>
      <c r="S66" t="s">
        <v>180</v>
      </c>
      <c r="T66">
        <v>1</v>
      </c>
      <c r="U66">
        <v>19074</v>
      </c>
      <c r="V66">
        <v>164.17099999999999</v>
      </c>
      <c r="W66">
        <v>147.93</v>
      </c>
      <c r="X66">
        <v>152.27199999999999</v>
      </c>
      <c r="Y66">
        <v>1920</v>
      </c>
      <c r="Z66">
        <v>1200</v>
      </c>
      <c r="AA66">
        <v>50</v>
      </c>
      <c r="AD66" t="s">
        <v>185</v>
      </c>
      <c r="AG66" t="s">
        <v>207</v>
      </c>
    </row>
    <row r="67" spans="1:33" x14ac:dyDescent="0.2">
      <c r="A67" t="s">
        <v>81</v>
      </c>
      <c r="B67" s="1">
        <v>44867</v>
      </c>
      <c r="C67">
        <v>48325</v>
      </c>
      <c r="D67" s="1" t="s">
        <v>4</v>
      </c>
      <c r="E67" t="s">
        <v>107</v>
      </c>
      <c r="F67" t="s">
        <v>95</v>
      </c>
      <c r="G67">
        <v>74</v>
      </c>
      <c r="I67" t="s">
        <v>98</v>
      </c>
      <c r="J67" t="str">
        <f t="shared" si="0"/>
        <v>K21_74</v>
      </c>
      <c r="K67" t="str">
        <f t="shared" si="8"/>
        <v>K21_74</v>
      </c>
      <c r="L67" t="str">
        <f t="shared" si="9"/>
        <v>K21_74_FI#2</v>
      </c>
      <c r="M67" s="4" t="s">
        <v>150</v>
      </c>
      <c r="N67" t="s">
        <v>222</v>
      </c>
      <c r="O67">
        <v>387</v>
      </c>
      <c r="P67" t="str">
        <f t="shared" si="7"/>
        <v>Mount2_Kil _387</v>
      </c>
      <c r="Q67" t="s">
        <v>214</v>
      </c>
      <c r="R67" t="s">
        <v>175</v>
      </c>
      <c r="S67" t="s">
        <v>180</v>
      </c>
      <c r="T67">
        <v>2</v>
      </c>
      <c r="U67">
        <v>20586</v>
      </c>
      <c r="V67">
        <v>194.08099999999999</v>
      </c>
      <c r="W67">
        <v>135.05099999999999</v>
      </c>
      <c r="X67">
        <v>15.295</v>
      </c>
      <c r="Y67">
        <v>1920</v>
      </c>
      <c r="Z67">
        <v>1200</v>
      </c>
      <c r="AA67">
        <v>50</v>
      </c>
      <c r="AD67" t="s">
        <v>185</v>
      </c>
      <c r="AG67" t="s">
        <v>207</v>
      </c>
    </row>
    <row r="68" spans="1:33" x14ac:dyDescent="0.2">
      <c r="A68" t="s">
        <v>82</v>
      </c>
      <c r="B68" s="1">
        <v>44867</v>
      </c>
      <c r="C68">
        <v>48715</v>
      </c>
      <c r="D68" s="1" t="s">
        <v>4</v>
      </c>
      <c r="E68" t="s">
        <v>107</v>
      </c>
      <c r="F68" t="s">
        <v>95</v>
      </c>
      <c r="G68">
        <v>74</v>
      </c>
      <c r="I68" t="s">
        <v>100</v>
      </c>
      <c r="J68" t="str">
        <f t="shared" ref="J68:J81" si="10">_xlfn.CONCAT(F68,"_",G68)</f>
        <v>K21_74</v>
      </c>
      <c r="K68" t="str">
        <f t="shared" si="8"/>
        <v>K21_74</v>
      </c>
      <c r="L68" t="str">
        <f t="shared" si="9"/>
        <v>K21_74_FI#3</v>
      </c>
      <c r="M68" s="4" t="s">
        <v>151</v>
      </c>
      <c r="N68" t="s">
        <v>222</v>
      </c>
      <c r="O68">
        <v>387</v>
      </c>
      <c r="P68" t="str">
        <f t="shared" si="7"/>
        <v>Mount2_Kil _387</v>
      </c>
      <c r="Q68" t="s">
        <v>214</v>
      </c>
      <c r="R68" t="s">
        <v>175</v>
      </c>
      <c r="S68" t="s">
        <v>180</v>
      </c>
      <c r="T68">
        <v>3</v>
      </c>
      <c r="U68">
        <v>5844</v>
      </c>
      <c r="V68">
        <v>90.308999999999997</v>
      </c>
      <c r="W68">
        <v>82.393000000000001</v>
      </c>
      <c r="X68">
        <v>8.3049999999999997</v>
      </c>
      <c r="Y68">
        <v>1920</v>
      </c>
      <c r="Z68">
        <v>1200</v>
      </c>
      <c r="AA68">
        <v>50</v>
      </c>
      <c r="AD68" t="s">
        <v>185</v>
      </c>
      <c r="AG68" t="s">
        <v>207</v>
      </c>
    </row>
    <row r="69" spans="1:33" x14ac:dyDescent="0.2">
      <c r="A69" t="s">
        <v>83</v>
      </c>
      <c r="B69" s="1">
        <v>44867</v>
      </c>
      <c r="C69">
        <v>49014</v>
      </c>
      <c r="D69" s="1" t="s">
        <v>4</v>
      </c>
      <c r="E69" t="s">
        <v>107</v>
      </c>
      <c r="F69" t="s">
        <v>95</v>
      </c>
      <c r="G69">
        <v>74</v>
      </c>
      <c r="I69" t="s">
        <v>97</v>
      </c>
      <c r="J69" t="str">
        <f t="shared" si="10"/>
        <v>K21_74</v>
      </c>
      <c r="K69" t="str">
        <f t="shared" si="8"/>
        <v>K21_74</v>
      </c>
      <c r="L69" t="str">
        <f t="shared" si="9"/>
        <v>K21_74_FI#4</v>
      </c>
      <c r="M69" s="4" t="s">
        <v>152</v>
      </c>
      <c r="N69" t="s">
        <v>222</v>
      </c>
      <c r="O69">
        <v>395</v>
      </c>
      <c r="P69" t="str">
        <f t="shared" si="7"/>
        <v>Mount2_Kil _395</v>
      </c>
      <c r="Q69" s="6" t="s">
        <v>219</v>
      </c>
      <c r="R69" t="s">
        <v>175</v>
      </c>
      <c r="S69" t="s">
        <v>180</v>
      </c>
      <c r="T69">
        <v>4</v>
      </c>
      <c r="U69">
        <v>7478</v>
      </c>
      <c r="V69">
        <v>99.558999999999997</v>
      </c>
      <c r="W69">
        <v>95.635000000000005</v>
      </c>
      <c r="X69">
        <v>14.227</v>
      </c>
      <c r="Y69">
        <v>1920</v>
      </c>
      <c r="Z69">
        <v>1200</v>
      </c>
      <c r="AA69">
        <v>50</v>
      </c>
      <c r="AD69" t="s">
        <v>185</v>
      </c>
      <c r="AG69" t="s">
        <v>208</v>
      </c>
    </row>
    <row r="70" spans="1:33" x14ac:dyDescent="0.2">
      <c r="A70" t="s">
        <v>84</v>
      </c>
      <c r="B70" s="1">
        <v>44867</v>
      </c>
      <c r="C70">
        <v>49320</v>
      </c>
      <c r="D70" s="1" t="s">
        <v>4</v>
      </c>
      <c r="E70" t="s">
        <v>107</v>
      </c>
      <c r="F70" t="s">
        <v>95</v>
      </c>
      <c r="G70">
        <v>74</v>
      </c>
      <c r="I70" t="s">
        <v>101</v>
      </c>
      <c r="J70" t="str">
        <f t="shared" si="10"/>
        <v>K21_74</v>
      </c>
      <c r="K70" t="str">
        <f t="shared" si="8"/>
        <v>K21_74</v>
      </c>
      <c r="L70" t="str">
        <f t="shared" si="9"/>
        <v>K21_74_FI#5</v>
      </c>
      <c r="M70" s="5" t="s">
        <v>152</v>
      </c>
      <c r="N70" t="s">
        <v>222</v>
      </c>
      <c r="O70">
        <v>395</v>
      </c>
      <c r="P70" t="str">
        <f t="shared" si="7"/>
        <v>Mount2_Kil _395</v>
      </c>
      <c r="Q70" s="6" t="s">
        <v>219</v>
      </c>
      <c r="R70" t="s">
        <v>175</v>
      </c>
      <c r="S70" t="s">
        <v>180</v>
      </c>
      <c r="T70">
        <v>5</v>
      </c>
      <c r="U70">
        <v>8573</v>
      </c>
      <c r="V70">
        <v>108.22</v>
      </c>
      <c r="W70">
        <v>100.864</v>
      </c>
      <c r="X70">
        <v>25.667000000000002</v>
      </c>
      <c r="Y70">
        <v>1920</v>
      </c>
      <c r="Z70">
        <v>1200</v>
      </c>
      <c r="AA70">
        <v>50</v>
      </c>
      <c r="AD70" t="s">
        <v>185</v>
      </c>
      <c r="AG70" t="s">
        <v>208</v>
      </c>
    </row>
    <row r="71" spans="1:33" x14ac:dyDescent="0.2">
      <c r="A71" t="s">
        <v>85</v>
      </c>
      <c r="B71" s="1">
        <v>44867</v>
      </c>
      <c r="C71">
        <v>49607</v>
      </c>
      <c r="D71" s="1" t="s">
        <v>4</v>
      </c>
      <c r="E71" t="s">
        <v>107</v>
      </c>
      <c r="F71" t="s">
        <v>95</v>
      </c>
      <c r="G71">
        <v>74</v>
      </c>
      <c r="I71" t="s">
        <v>101</v>
      </c>
      <c r="J71" t="str">
        <f t="shared" si="10"/>
        <v>K21_74</v>
      </c>
      <c r="K71" t="str">
        <f t="shared" si="8"/>
        <v>K21_74</v>
      </c>
      <c r="L71" t="str">
        <f t="shared" si="9"/>
        <v>K21_74_FI#5</v>
      </c>
      <c r="M71" s="5" t="s">
        <v>152</v>
      </c>
      <c r="N71" t="s">
        <v>222</v>
      </c>
      <c r="O71">
        <v>395</v>
      </c>
      <c r="P71" t="str">
        <f t="shared" si="7"/>
        <v>Mount2_Kil _395</v>
      </c>
      <c r="Q71" s="6" t="s">
        <v>219</v>
      </c>
      <c r="R71" t="s">
        <v>175</v>
      </c>
      <c r="S71" t="s">
        <v>180</v>
      </c>
      <c r="T71">
        <v>5</v>
      </c>
      <c r="U71">
        <v>8573</v>
      </c>
      <c r="V71">
        <v>108.22</v>
      </c>
      <c r="W71">
        <v>100.864</v>
      </c>
      <c r="X71">
        <v>25.667000000000002</v>
      </c>
      <c r="Y71">
        <v>1920</v>
      </c>
      <c r="Z71">
        <v>1200</v>
      </c>
      <c r="AA71">
        <v>50</v>
      </c>
      <c r="AD71" t="s">
        <v>185</v>
      </c>
      <c r="AG71" t="s">
        <v>208</v>
      </c>
    </row>
    <row r="72" spans="1:33" x14ac:dyDescent="0.2">
      <c r="A72" t="s">
        <v>86</v>
      </c>
      <c r="B72" s="1">
        <v>44867</v>
      </c>
      <c r="C72">
        <v>50139</v>
      </c>
      <c r="D72" s="1" t="s">
        <v>4</v>
      </c>
      <c r="E72" t="s">
        <v>107</v>
      </c>
      <c r="F72" t="s">
        <v>95</v>
      </c>
      <c r="G72">
        <v>74</v>
      </c>
      <c r="I72" t="s">
        <v>102</v>
      </c>
      <c r="J72" t="str">
        <f t="shared" si="10"/>
        <v>K21_74</v>
      </c>
      <c r="K72" t="str">
        <f t="shared" si="8"/>
        <v>K21_74</v>
      </c>
      <c r="L72" t="str">
        <f t="shared" si="9"/>
        <v>K21_74_FI#6</v>
      </c>
      <c r="M72" s="5" t="s">
        <v>152</v>
      </c>
      <c r="N72" t="s">
        <v>222</v>
      </c>
      <c r="O72">
        <v>395</v>
      </c>
      <c r="P72" t="str">
        <f t="shared" si="7"/>
        <v>Mount2_Kil _395</v>
      </c>
      <c r="Q72" s="6" t="s">
        <v>219</v>
      </c>
      <c r="R72" t="s">
        <v>175</v>
      </c>
      <c r="S72" t="s">
        <v>180</v>
      </c>
      <c r="T72">
        <v>6</v>
      </c>
      <c r="U72">
        <v>7936</v>
      </c>
      <c r="V72">
        <v>107.07299999999999</v>
      </c>
      <c r="W72">
        <v>94.37</v>
      </c>
      <c r="X72">
        <v>131.87899999999999</v>
      </c>
      <c r="Y72">
        <v>1920</v>
      </c>
      <c r="Z72">
        <v>1200</v>
      </c>
      <c r="AA72">
        <v>50</v>
      </c>
      <c r="AG72" t="s">
        <v>208</v>
      </c>
    </row>
    <row r="73" spans="1:33" x14ac:dyDescent="0.2">
      <c r="A73" t="s">
        <v>87</v>
      </c>
      <c r="B73" s="1">
        <v>44867</v>
      </c>
      <c r="C73">
        <v>50917</v>
      </c>
      <c r="D73" s="1" t="s">
        <v>4</v>
      </c>
      <c r="E73" t="s">
        <v>107</v>
      </c>
      <c r="F73" t="s">
        <v>95</v>
      </c>
      <c r="G73">
        <v>75</v>
      </c>
      <c r="I73" t="s">
        <v>99</v>
      </c>
      <c r="J73" t="str">
        <f t="shared" si="10"/>
        <v>K21_75</v>
      </c>
      <c r="K73" t="str">
        <f t="shared" si="8"/>
        <v>K21_75</v>
      </c>
      <c r="L73" t="str">
        <f t="shared" si="9"/>
        <v>K21_75_FI#1</v>
      </c>
      <c r="M73" s="4" t="s">
        <v>153</v>
      </c>
      <c r="N73" t="s">
        <v>222</v>
      </c>
      <c r="O73">
        <v>346</v>
      </c>
      <c r="P73" t="str">
        <f t="shared" si="7"/>
        <v>Mount2_Kil _346</v>
      </c>
      <c r="Q73" s="6" t="s">
        <v>220</v>
      </c>
      <c r="R73" t="s">
        <v>171</v>
      </c>
      <c r="S73" t="s">
        <v>176</v>
      </c>
      <c r="T73">
        <v>1</v>
      </c>
      <c r="U73">
        <v>608562</v>
      </c>
      <c r="V73">
        <v>972.83</v>
      </c>
      <c r="W73">
        <v>796.48599999999999</v>
      </c>
      <c r="X73">
        <v>102.07</v>
      </c>
      <c r="Y73">
        <v>1920</v>
      </c>
      <c r="Z73">
        <v>1200</v>
      </c>
      <c r="AA73">
        <v>50</v>
      </c>
      <c r="AC73" t="s">
        <v>185</v>
      </c>
      <c r="AG73" t="s">
        <v>209</v>
      </c>
    </row>
    <row r="74" spans="1:33" x14ac:dyDescent="0.2">
      <c r="A74" t="s">
        <v>88</v>
      </c>
      <c r="B74" s="1">
        <v>44867</v>
      </c>
      <c r="C74">
        <v>54960</v>
      </c>
      <c r="D74" s="1" t="s">
        <v>4</v>
      </c>
      <c r="E74" t="s">
        <v>107</v>
      </c>
      <c r="F74" t="s">
        <v>95</v>
      </c>
      <c r="G74">
        <v>76</v>
      </c>
      <c r="I74" t="s">
        <v>99</v>
      </c>
      <c r="J74" t="str">
        <f>_xlfn.CONCAT(F74,"_",G74)</f>
        <v>K21_76</v>
      </c>
      <c r="K74" t="str">
        <f t="shared" si="8"/>
        <v>K21_76</v>
      </c>
      <c r="L74" t="str">
        <f t="shared" si="9"/>
        <v>K21_76_FI#1</v>
      </c>
      <c r="M74" s="4" t="s">
        <v>155</v>
      </c>
      <c r="N74" t="s">
        <v>222</v>
      </c>
      <c r="O74">
        <v>294</v>
      </c>
      <c r="P74" t="str">
        <f t="shared" si="7"/>
        <v>Mount2_Kil _294</v>
      </c>
      <c r="Q74" s="6" t="s">
        <v>221</v>
      </c>
      <c r="R74" t="s">
        <v>171</v>
      </c>
      <c r="S74" t="s">
        <v>173</v>
      </c>
      <c r="T74">
        <v>3</v>
      </c>
      <c r="U74">
        <v>87799</v>
      </c>
      <c r="V74">
        <v>352.24400000000003</v>
      </c>
      <c r="W74">
        <v>317.363</v>
      </c>
      <c r="X74">
        <v>1.375</v>
      </c>
      <c r="Y74">
        <v>1920</v>
      </c>
      <c r="Z74">
        <v>1200</v>
      </c>
      <c r="AA74">
        <v>50</v>
      </c>
    </row>
    <row r="75" spans="1:33" x14ac:dyDescent="0.2">
      <c r="A75" t="s">
        <v>89</v>
      </c>
      <c r="B75" s="1">
        <v>44867</v>
      </c>
      <c r="C75">
        <v>54325</v>
      </c>
      <c r="D75" s="1" t="s">
        <v>4</v>
      </c>
      <c r="E75" t="s">
        <v>107</v>
      </c>
      <c r="F75" t="s">
        <v>95</v>
      </c>
      <c r="G75">
        <v>75</v>
      </c>
      <c r="I75" t="s">
        <v>98</v>
      </c>
      <c r="J75" t="str">
        <f t="shared" si="10"/>
        <v>K21_75</v>
      </c>
      <c r="K75" t="str">
        <f t="shared" si="8"/>
        <v>K21_75</v>
      </c>
      <c r="L75" t="str">
        <f t="shared" si="9"/>
        <v>K21_75_FI#2</v>
      </c>
      <c r="M75" s="4" t="s">
        <v>154</v>
      </c>
      <c r="N75" t="s">
        <v>222</v>
      </c>
      <c r="O75">
        <v>346</v>
      </c>
      <c r="P75" t="str">
        <f t="shared" si="7"/>
        <v>Mount2_Kil _346</v>
      </c>
      <c r="Q75" s="6" t="s">
        <v>220</v>
      </c>
      <c r="R75" t="s">
        <v>171</v>
      </c>
      <c r="S75" t="s">
        <v>176</v>
      </c>
      <c r="T75">
        <v>2</v>
      </c>
      <c r="U75">
        <v>4930</v>
      </c>
      <c r="V75">
        <v>83.302999999999997</v>
      </c>
      <c r="W75">
        <v>75.352000000000004</v>
      </c>
      <c r="X75">
        <v>45.53</v>
      </c>
      <c r="Y75">
        <v>1920</v>
      </c>
      <c r="Z75">
        <v>1200</v>
      </c>
      <c r="AA75">
        <v>50</v>
      </c>
      <c r="AC75" t="s">
        <v>185</v>
      </c>
      <c r="AG75" t="s">
        <v>210</v>
      </c>
    </row>
    <row r="76" spans="1:33" x14ac:dyDescent="0.2">
      <c r="A76" t="s">
        <v>90</v>
      </c>
      <c r="B76" s="1">
        <v>44867</v>
      </c>
      <c r="C76">
        <v>55284</v>
      </c>
      <c r="D76" s="1" t="s">
        <v>4</v>
      </c>
      <c r="E76" t="s">
        <v>107</v>
      </c>
      <c r="F76" t="s">
        <v>95</v>
      </c>
      <c r="G76">
        <v>76</v>
      </c>
      <c r="I76" t="s">
        <v>98</v>
      </c>
      <c r="J76" t="str">
        <f t="shared" si="10"/>
        <v>K21_76</v>
      </c>
      <c r="K76" t="str">
        <f t="shared" si="8"/>
        <v>K21_76</v>
      </c>
      <c r="L76" t="str">
        <f t="shared" si="9"/>
        <v>K21_76_FI#2</v>
      </c>
      <c r="M76" s="4" t="s">
        <v>156</v>
      </c>
      <c r="N76" t="s">
        <v>222</v>
      </c>
      <c r="O76">
        <v>294</v>
      </c>
      <c r="P76" t="str">
        <f t="shared" si="7"/>
        <v>Mount2_Kil _294</v>
      </c>
      <c r="Q76" s="6" t="s">
        <v>221</v>
      </c>
      <c r="R76" t="s">
        <v>171</v>
      </c>
      <c r="S76" t="s">
        <v>173</v>
      </c>
      <c r="T76">
        <v>1</v>
      </c>
      <c r="U76">
        <v>80996</v>
      </c>
      <c r="V76">
        <v>322.62099999999998</v>
      </c>
      <c r="W76">
        <v>319.65499999999997</v>
      </c>
      <c r="X76">
        <v>58.84</v>
      </c>
      <c r="Y76">
        <v>1920</v>
      </c>
      <c r="Z76">
        <v>1200</v>
      </c>
      <c r="AA76">
        <v>50</v>
      </c>
    </row>
    <row r="77" spans="1:33" x14ac:dyDescent="0.2">
      <c r="A77" t="s">
        <v>91</v>
      </c>
      <c r="B77" s="1">
        <v>44867</v>
      </c>
      <c r="C77">
        <v>55596</v>
      </c>
      <c r="D77" s="1" t="s">
        <v>4</v>
      </c>
      <c r="E77" t="s">
        <v>107</v>
      </c>
      <c r="F77" t="s">
        <v>95</v>
      </c>
      <c r="G77">
        <v>76</v>
      </c>
      <c r="I77" t="s">
        <v>100</v>
      </c>
      <c r="J77" t="str">
        <f t="shared" si="10"/>
        <v>K21_76</v>
      </c>
      <c r="K77" t="str">
        <f t="shared" si="8"/>
        <v>K21_76</v>
      </c>
      <c r="L77" t="str">
        <f t="shared" si="9"/>
        <v>K21_76_FI#3</v>
      </c>
      <c r="M77" s="4" t="s">
        <v>157</v>
      </c>
      <c r="N77" t="s">
        <v>222</v>
      </c>
      <c r="O77">
        <v>294</v>
      </c>
      <c r="P77" t="str">
        <f t="shared" si="7"/>
        <v>Mount2_Kil _294</v>
      </c>
      <c r="Q77" s="6" t="s">
        <v>221</v>
      </c>
      <c r="R77" t="s">
        <v>171</v>
      </c>
      <c r="S77" t="s">
        <v>173</v>
      </c>
      <c r="T77">
        <v>2</v>
      </c>
      <c r="U77">
        <v>61175</v>
      </c>
      <c r="V77">
        <v>301.88200000000001</v>
      </c>
      <c r="W77">
        <v>258.01600000000002</v>
      </c>
      <c r="X77">
        <v>5.6820000000000004</v>
      </c>
      <c r="Y77">
        <v>1920</v>
      </c>
      <c r="Z77">
        <v>1200</v>
      </c>
      <c r="AA77">
        <v>50</v>
      </c>
    </row>
    <row r="78" spans="1:33" x14ac:dyDescent="0.2">
      <c r="A78" t="s">
        <v>92</v>
      </c>
      <c r="B78" s="1">
        <v>44867</v>
      </c>
      <c r="C78">
        <v>60228</v>
      </c>
      <c r="D78" s="1" t="s">
        <v>4</v>
      </c>
      <c r="E78" t="s">
        <v>107</v>
      </c>
      <c r="F78" t="s">
        <v>95</v>
      </c>
      <c r="G78">
        <v>77</v>
      </c>
      <c r="I78" t="s">
        <v>99</v>
      </c>
      <c r="J78" t="str">
        <f t="shared" si="10"/>
        <v>K21_77</v>
      </c>
      <c r="K78" t="str">
        <f t="shared" si="8"/>
        <v>K21_77</v>
      </c>
      <c r="L78" t="str">
        <f t="shared" si="9"/>
        <v>K21_77_FI#1</v>
      </c>
      <c r="M78" s="4" t="s">
        <v>158</v>
      </c>
      <c r="N78" t="s">
        <v>222</v>
      </c>
      <c r="O78">
        <v>275</v>
      </c>
      <c r="P78" t="str">
        <f t="shared" si="7"/>
        <v>Mount2_Kil _275</v>
      </c>
      <c r="Q78" s="6" t="s">
        <v>215</v>
      </c>
      <c r="R78" t="s">
        <v>171</v>
      </c>
      <c r="S78" t="s">
        <v>173</v>
      </c>
      <c r="T78">
        <v>4</v>
      </c>
      <c r="U78">
        <v>9421</v>
      </c>
      <c r="V78">
        <v>116.285</v>
      </c>
      <c r="W78">
        <v>103.15300000000001</v>
      </c>
      <c r="X78">
        <v>93.870999999999995</v>
      </c>
      <c r="Y78">
        <v>1920</v>
      </c>
      <c r="Z78">
        <v>1200</v>
      </c>
      <c r="AA78">
        <v>50</v>
      </c>
      <c r="AD78" t="s">
        <v>185</v>
      </c>
    </row>
    <row r="79" spans="1:33" x14ac:dyDescent="0.2">
      <c r="A79" t="s">
        <v>160</v>
      </c>
      <c r="B79" s="1">
        <v>44867</v>
      </c>
      <c r="C79">
        <v>58134</v>
      </c>
      <c r="D79" t="s">
        <v>4</v>
      </c>
      <c r="E79" t="s">
        <v>107</v>
      </c>
      <c r="F79" t="s">
        <v>95</v>
      </c>
      <c r="G79" t="s">
        <v>105</v>
      </c>
      <c r="I79" t="s">
        <v>98</v>
      </c>
      <c r="J79" t="str">
        <f t="shared" ref="J79" si="11">_xlfn.CONCAT(F79,"_",G79)</f>
        <v>K21_78b</v>
      </c>
      <c r="K79" t="str">
        <f t="shared" ref="K79" si="12">IF(H79&lt;&gt;0,_xlfn.CONCAT(J79,"_",H79),J79)</f>
        <v>K21_78b</v>
      </c>
      <c r="L79" t="str">
        <f t="shared" ref="L79" si="13">_xlfn.CONCAT(K79,"_",I79)</f>
        <v>K21_78b_FI#2</v>
      </c>
      <c r="M79" s="4" t="s">
        <v>159</v>
      </c>
      <c r="N79" t="s">
        <v>222</v>
      </c>
      <c r="O79">
        <v>217</v>
      </c>
      <c r="P79" t="str">
        <f t="shared" si="7"/>
        <v>Mount2_Kil _217</v>
      </c>
      <c r="Q79" s="6" t="s">
        <v>214</v>
      </c>
      <c r="R79" t="s">
        <v>175</v>
      </c>
      <c r="S79" t="s">
        <v>180</v>
      </c>
      <c r="T79">
        <v>1</v>
      </c>
      <c r="U79">
        <v>6474</v>
      </c>
      <c r="V79">
        <v>92.111000000000004</v>
      </c>
      <c r="W79">
        <v>89.489000000000004</v>
      </c>
      <c r="X79">
        <v>1.3939999999999999</v>
      </c>
      <c r="Y79">
        <v>1920</v>
      </c>
      <c r="Z79">
        <v>1200</v>
      </c>
      <c r="AA79">
        <v>50</v>
      </c>
    </row>
    <row r="80" spans="1:33" x14ac:dyDescent="0.2">
      <c r="A80" t="s">
        <v>93</v>
      </c>
      <c r="B80" s="1">
        <v>44867</v>
      </c>
      <c r="C80">
        <v>58452</v>
      </c>
      <c r="D80" s="1" t="s">
        <v>4</v>
      </c>
      <c r="E80" t="s">
        <v>107</v>
      </c>
      <c r="F80" t="s">
        <v>95</v>
      </c>
      <c r="G80" t="s">
        <v>105</v>
      </c>
      <c r="I80" t="s">
        <v>100</v>
      </c>
      <c r="J80" t="str">
        <f t="shared" si="10"/>
        <v>K21_78b</v>
      </c>
      <c r="K80" t="str">
        <f t="shared" si="8"/>
        <v>K21_78b</v>
      </c>
      <c r="L80" t="str">
        <f t="shared" si="9"/>
        <v>K21_78b_FI#3</v>
      </c>
      <c r="M80" s="4" t="s">
        <v>161</v>
      </c>
      <c r="N80" t="s">
        <v>222</v>
      </c>
      <c r="O80">
        <v>217</v>
      </c>
      <c r="P80" t="str">
        <f t="shared" si="7"/>
        <v>Mount2_Kil _217</v>
      </c>
      <c r="Q80" s="6" t="s">
        <v>214</v>
      </c>
      <c r="R80" t="s">
        <v>175</v>
      </c>
      <c r="S80" t="s">
        <v>180</v>
      </c>
      <c r="T80">
        <v>2</v>
      </c>
      <c r="U80">
        <v>6353</v>
      </c>
      <c r="V80">
        <v>97.426000000000002</v>
      </c>
      <c r="W80">
        <v>83.025999999999996</v>
      </c>
      <c r="X80">
        <v>77.007999999999996</v>
      </c>
      <c r="Y80">
        <v>1920</v>
      </c>
      <c r="Z80">
        <v>1200</v>
      </c>
      <c r="AA80">
        <v>50</v>
      </c>
    </row>
    <row r="81" spans="1:27" x14ac:dyDescent="0.2">
      <c r="A81" t="s">
        <v>94</v>
      </c>
      <c r="B81" s="1">
        <v>44867</v>
      </c>
      <c r="C81">
        <v>59213</v>
      </c>
      <c r="D81" s="1" t="s">
        <v>4</v>
      </c>
      <c r="E81" t="s">
        <v>107</v>
      </c>
      <c r="F81" t="s">
        <v>95</v>
      </c>
      <c r="G81" t="s">
        <v>105</v>
      </c>
      <c r="I81" t="s">
        <v>101</v>
      </c>
      <c r="J81" t="str">
        <f t="shared" si="10"/>
        <v>K21_78b</v>
      </c>
      <c r="K81" t="str">
        <f t="shared" si="8"/>
        <v>K21_78b</v>
      </c>
      <c r="L81" t="str">
        <f t="shared" si="9"/>
        <v>K21_78b_FI#5</v>
      </c>
      <c r="M81" s="4" t="s">
        <v>162</v>
      </c>
      <c r="N81" t="s">
        <v>222</v>
      </c>
      <c r="O81">
        <v>217</v>
      </c>
      <c r="P81" t="str">
        <f t="shared" si="7"/>
        <v>Mount2_Kil _217</v>
      </c>
      <c r="Q81" s="6" t="s">
        <v>214</v>
      </c>
      <c r="R81" t="s">
        <v>175</v>
      </c>
      <c r="S81" t="s">
        <v>180</v>
      </c>
      <c r="T81">
        <v>3</v>
      </c>
      <c r="U81">
        <v>4967</v>
      </c>
      <c r="V81">
        <v>84.728999999999999</v>
      </c>
      <c r="W81">
        <v>74.64</v>
      </c>
      <c r="X81">
        <v>111.318</v>
      </c>
      <c r="Y81">
        <v>1920</v>
      </c>
      <c r="Z81">
        <v>1200</v>
      </c>
      <c r="AA81">
        <v>50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Devitre</cp:lastModifiedBy>
  <dcterms:created xsi:type="dcterms:W3CDTF">2025-01-14T00:29:07Z</dcterms:created>
  <dcterms:modified xsi:type="dcterms:W3CDTF">2026-04-22T16:27:01Z</dcterms:modified>
</cp:coreProperties>
</file>