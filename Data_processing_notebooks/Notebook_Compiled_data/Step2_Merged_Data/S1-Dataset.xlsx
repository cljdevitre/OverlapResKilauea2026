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cljd/pCloud Drive/PUG/POSTDOC-UCB/BERKELEY-VIBE/Projects/PrePostCaldera_Kil2025/Github_repo/Data_processing_notebooks/Notebook_Compiled_data/Step2_Merged_Data/"/>
    </mc:Choice>
  </mc:AlternateContent>
  <xr:revisionPtr revIDLastSave="0" documentId="8_{3CEDD0E3-727D-0C44-A28E-3A4B26DD35B5}" xr6:coauthVersionLast="47" xr6:coauthVersionMax="47" xr10:uidLastSave="{00000000-0000-0000-0000-000000000000}"/>
  <bookViews>
    <workbookView xWindow="-30700" yWindow="940" windowWidth="28800" windowHeight="21000" xr2:uid="{00000000-000D-0000-FFFF-FFFF00000000}"/>
  </bookViews>
  <sheets>
    <sheet name="FI_data" sheetId="1" r:id="rId1"/>
    <sheet name="Compilation" sheetId="3" r:id="rId2"/>
    <sheet name="Magma_flux"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4" l="1"/>
  <c r="H22" i="4" s="1"/>
  <c r="I22" i="4" s="1"/>
  <c r="H21" i="4"/>
  <c r="I21" i="4" s="1"/>
  <c r="D21" i="4"/>
  <c r="H20" i="4"/>
  <c r="I20" i="4" s="1"/>
  <c r="H19" i="4"/>
  <c r="I19" i="4" s="1"/>
  <c r="H18" i="4"/>
  <c r="I18" i="4" s="1"/>
  <c r="H17" i="4"/>
  <c r="I17" i="4" s="1"/>
  <c r="H16" i="4"/>
  <c r="I16" i="4" s="1"/>
  <c r="H15" i="4"/>
  <c r="I15" i="4" s="1"/>
  <c r="H14" i="4"/>
  <c r="I14" i="4" s="1"/>
  <c r="D14" i="4"/>
  <c r="I13" i="4"/>
  <c r="H12" i="4"/>
  <c r="I12" i="4" s="1"/>
  <c r="D12" i="4"/>
  <c r="H11" i="4"/>
  <c r="I11" i="4" s="1"/>
  <c r="H10" i="4"/>
  <c r="I10" i="4" s="1"/>
  <c r="I9" i="4"/>
  <c r="H9" i="4"/>
  <c r="I8" i="4"/>
  <c r="H8" i="4"/>
  <c r="H7" i="4"/>
  <c r="D6" i="4"/>
  <c r="I6" i="4" s="1"/>
  <c r="G5" i="4"/>
  <c r="D5" i="4"/>
  <c r="I5" i="4" s="1"/>
  <c r="I4" i="4"/>
  <c r="G4" i="4"/>
  <c r="D4" i="4"/>
  <c r="G3" i="4"/>
  <c r="D3" i="4"/>
  <c r="I3" i="4" s="1"/>
</calcChain>
</file>

<file path=xl/sharedStrings.xml><?xml version="1.0" encoding="utf-8"?>
<sst xmlns="http://schemas.openxmlformats.org/spreadsheetml/2006/main" count="7434" uniqueCount="2183">
  <si>
    <t>Reference</t>
  </si>
  <si>
    <t>Eruption_title</t>
  </si>
  <si>
    <t>Eruption_location_type(ERZ,VSWRZ,SSWRZ,Summit)</t>
  </si>
  <si>
    <t>Sample Site: Longitude (WGS84)</t>
  </si>
  <si>
    <t>Sample Site: Latitude (WGS84)</t>
  </si>
  <si>
    <t>Sample</t>
  </si>
  <si>
    <t>Sample_crystal</t>
  </si>
  <si>
    <t>FI_name</t>
  </si>
  <si>
    <t>FI_type</t>
  </si>
  <si>
    <t>FI_semiaxis_a_um</t>
  </si>
  <si>
    <t>FI_semiaxis_b_um</t>
  </si>
  <si>
    <t>FI_Area_um2</t>
  </si>
  <si>
    <t>FI_Volume_um3</t>
  </si>
  <si>
    <t>Fluid inclusion notes</t>
  </si>
  <si>
    <t>decrepit</t>
  </si>
  <si>
    <t>power (mW)</t>
  </si>
  <si>
    <t>Spectral Center</t>
  </si>
  <si>
    <t>Mag (X)</t>
  </si>
  <si>
    <t>Corrected_Splitting</t>
  </si>
  <si>
    <t>Corrected_Splitting_σ</t>
  </si>
  <si>
    <t>Density g/cm3</t>
  </si>
  <si>
    <t>σ Density g/cm3</t>
  </si>
  <si>
    <t>SO2 mol%</t>
  </si>
  <si>
    <t>XH2O_av_iteration3_final</t>
  </si>
  <si>
    <t>SingleCalc_P_kbar</t>
  </si>
  <si>
    <t>std_dev_MC_P_kbar</t>
  </si>
  <si>
    <t>SingleCalc_D_km</t>
  </si>
  <si>
    <t>std_dev_MC_D_km</t>
  </si>
  <si>
    <t>Temp_from_Fo_all</t>
  </si>
  <si>
    <t>Temp_error</t>
  </si>
  <si>
    <t>Fo_Ol_%</t>
  </si>
  <si>
    <t>Na2O_Gl</t>
  </si>
  <si>
    <t>Al2O3_Gl</t>
  </si>
  <si>
    <t>P2O5_Gl</t>
  </si>
  <si>
    <t>CaO_Gl</t>
  </si>
  <si>
    <t>K2O_Gl</t>
  </si>
  <si>
    <t>TiO2_Gl</t>
  </si>
  <si>
    <t>SiO2_Gl</t>
  </si>
  <si>
    <t>MgO_Gl</t>
  </si>
  <si>
    <t>FeOt_Gl</t>
  </si>
  <si>
    <t>MnO_Gl</t>
  </si>
  <si>
    <t>Total_wt%_Gl</t>
  </si>
  <si>
    <t>Na2O_STD_Gl</t>
  </si>
  <si>
    <t>Al2O3_STD_Gl</t>
  </si>
  <si>
    <t>P2O5_STD_Gl</t>
  </si>
  <si>
    <t>CaO_STD_Gl</t>
  </si>
  <si>
    <t>K2O_STD_Gl</t>
  </si>
  <si>
    <t>TiO2_STD_Gl</t>
  </si>
  <si>
    <t>SiO2_STD_Gl</t>
  </si>
  <si>
    <t>MgO_STD_Gl</t>
  </si>
  <si>
    <t>FeOt_STD_Gl</t>
  </si>
  <si>
    <t>MnO_STD_Gl</t>
  </si>
  <si>
    <t>#of analyses (when averaged)_Gl</t>
  </si>
  <si>
    <t>non_numeric_column_behavior_used (First/Last instance kept or skipped)_Gl</t>
  </si>
  <si>
    <t>EBSDname+grainID_EBSDdata</t>
  </si>
  <si>
    <t>GOS</t>
  </si>
  <si>
    <t>Grain Size (pixels)</t>
  </si>
  <si>
    <t>Grain Size (um2)</t>
  </si>
  <si>
    <t>subBoundaryLength (um)</t>
  </si>
  <si>
    <t>equivalentRadius (um)</t>
  </si>
  <si>
    <t>GB Length/Sqrt Size</t>
  </si>
  <si>
    <t>Total GB length</t>
  </si>
  <si>
    <t>Devitre et al. (2024, JPET)</t>
  </si>
  <si>
    <t>IC
(Sept 2023)</t>
  </si>
  <si>
    <t>Summit</t>
  </si>
  <si>
    <t>K23</t>
  </si>
  <si>
    <t>K23_2</t>
  </si>
  <si>
    <t>K23_2_FIA</t>
  </si>
  <si>
    <t>P</t>
  </si>
  <si>
    <t>this study</t>
  </si>
  <si>
    <t>SSWRZ
(Dec 1974)</t>
  </si>
  <si>
    <t>SSWRZ</t>
  </si>
  <si>
    <t>KL0920</t>
  </si>
  <si>
    <t>KL0920_c216</t>
  </si>
  <si>
    <t>KL0920_c216_a2_FID</t>
  </si>
  <si>
    <t>Seems associated to growth clustering</t>
  </si>
  <si>
    <t>SSWRZ
(June 2024)</t>
  </si>
  <si>
    <t>K24</t>
  </si>
  <si>
    <t>K24_5</t>
  </si>
  <si>
    <t>K24_5_FIA</t>
  </si>
  <si>
    <t>K24_5_10_54</t>
  </si>
  <si>
    <t>Circ. flow
(~1700)</t>
  </si>
  <si>
    <t>KL0921</t>
  </si>
  <si>
    <t>KL0921_c288</t>
  </si>
  <si>
    <t>KL0921_c288_a1_FIA</t>
  </si>
  <si>
    <t>PS</t>
  </si>
  <si>
    <t>skip</t>
  </si>
  <si>
    <t>K21</t>
  </si>
  <si>
    <t>K21_78b</t>
  </si>
  <si>
    <t>K21_78b_FI#5</t>
  </si>
  <si>
    <t>S</t>
  </si>
  <si>
    <t>Kulanaokuaiki 
(400-950)</t>
  </si>
  <si>
    <t>Explosive Era</t>
  </si>
  <si>
    <t>UW5</t>
  </si>
  <si>
    <t>UW5_OX25</t>
  </si>
  <si>
    <t>UW5_OX25_FI#1</t>
  </si>
  <si>
    <t>Part of a growth plane it seems</t>
  </si>
  <si>
    <t>K21_78b_FI#3</t>
  </si>
  <si>
    <t>K24_12</t>
  </si>
  <si>
    <t>K24_12_FIA</t>
  </si>
  <si>
    <t>K24_12_17_82</t>
  </si>
  <si>
    <t>K21_59</t>
  </si>
  <si>
    <t>K21_59_FI#2</t>
  </si>
  <si>
    <t>spinel attached</t>
  </si>
  <si>
    <t>K21_72</t>
  </si>
  <si>
    <t>K21_72_FI#1</t>
  </si>
  <si>
    <t>can't tell what kind of cluster.</t>
  </si>
  <si>
    <t>K21_53</t>
  </si>
  <si>
    <t>K21_53_FI#4</t>
  </si>
  <si>
    <t>type uncertain</t>
  </si>
  <si>
    <t>KL0920_c216_a2_FIH</t>
  </si>
  <si>
    <t>No raman pictures, hard to say</t>
  </si>
  <si>
    <t>919</t>
  </si>
  <si>
    <t>919_12</t>
  </si>
  <si>
    <t>919_12_A</t>
  </si>
  <si>
    <t>919_012_50_937</t>
  </si>
  <si>
    <t>UW5_OX25_FI#3</t>
  </si>
  <si>
    <t>PS trail bordering with a growth plane of inclusions</t>
  </si>
  <si>
    <t>K21_59_FI#3</t>
  </si>
  <si>
    <t>melt film and spinel attached</t>
  </si>
  <si>
    <t>UW5_OX25_FI#4</t>
  </si>
  <si>
    <t>K21_74</t>
  </si>
  <si>
    <t>K21_74_FI#3</t>
  </si>
  <si>
    <t>plane 1</t>
  </si>
  <si>
    <t>UW7</t>
  </si>
  <si>
    <t>UW7_OX3</t>
  </si>
  <si>
    <t>UW7_OX3_FI#2</t>
  </si>
  <si>
    <t>No picture of this one, can't measure</t>
  </si>
  <si>
    <t>919_6</t>
  </si>
  <si>
    <t>919_6_A</t>
  </si>
  <si>
    <t>K21_59_FI#1</t>
  </si>
  <si>
    <t>K21_74_FI#5</t>
  </si>
  <si>
    <t>plane 2</t>
  </si>
  <si>
    <t>K21_74_FI#4</t>
  </si>
  <si>
    <t>UW3</t>
  </si>
  <si>
    <t>UW3_OX14</t>
  </si>
  <si>
    <t>UW3_OX14_FI#1</t>
  </si>
  <si>
    <t>Most of the planes in this crystal are PS</t>
  </si>
  <si>
    <t>K21_74_FI#6</t>
  </si>
  <si>
    <t>K23_4</t>
  </si>
  <si>
    <t>K23_4_FIA</t>
  </si>
  <si>
    <t>K24_14</t>
  </si>
  <si>
    <t>K24_14_FIA</t>
  </si>
  <si>
    <t>ERZ (Nov 1973)</t>
  </si>
  <si>
    <t>ERZ</t>
  </si>
  <si>
    <t>KL0910</t>
  </si>
  <si>
    <t>KL0910_c031</t>
  </si>
  <si>
    <t>KL0910_c031_a1_FIA</t>
  </si>
  <si>
    <t>Huge cluster, likely in growth zone, but there is a chance it's pseud secondary. Its within the innermost core cluster.</t>
  </si>
  <si>
    <t>K21_74_FI#1</t>
  </si>
  <si>
    <t>K24_13</t>
  </si>
  <si>
    <t>K24_13_FIC</t>
  </si>
  <si>
    <t>K24_13_18_610</t>
  </si>
  <si>
    <t>KL0921_c287</t>
  </si>
  <si>
    <t>KL0921_c287_a1_FIA</t>
  </si>
  <si>
    <t>KL0921_c285</t>
  </si>
  <si>
    <t>KL0921_c285_a1_FIA</t>
  </si>
  <si>
    <t>IC
(Sep 1971)</t>
  </si>
  <si>
    <t>KL0914</t>
  </si>
  <si>
    <t>KL0914_c008</t>
  </si>
  <si>
    <t>KL0914_c008_a1_FIA</t>
  </si>
  <si>
    <t>KS23_107</t>
  </si>
  <si>
    <t>K23_107_FIC</t>
  </si>
  <si>
    <t>K24_10</t>
  </si>
  <si>
    <t>K24_10_FIA</t>
  </si>
  <si>
    <t>K24_10_14_472</t>
  </si>
  <si>
    <t>K24_25</t>
  </si>
  <si>
    <t>K24_25_FIA</t>
  </si>
  <si>
    <t>K24_25_37_83</t>
  </si>
  <si>
    <t>IC
(Dec 2020)</t>
  </si>
  <si>
    <t>K20</t>
  </si>
  <si>
    <t>K20_c021</t>
  </si>
  <si>
    <t>K20_c021_a1_FIA</t>
  </si>
  <si>
    <t>K21_74_FI#2</t>
  </si>
  <si>
    <t>KL0910_c178</t>
  </si>
  <si>
    <t>KL0910_c178_a1_FIB</t>
  </si>
  <si>
    <t>There are Melt inclusions and spinels around</t>
  </si>
  <si>
    <t>ERZ (Dec 1969)</t>
  </si>
  <si>
    <t>KL0908</t>
  </si>
  <si>
    <t>KL0908_c056(1)</t>
  </si>
  <si>
    <t>KL0908_c056(1)_a1_FIA</t>
  </si>
  <si>
    <t>next to a big melt inclusion</t>
  </si>
  <si>
    <t>K21_68</t>
  </si>
  <si>
    <t>K21_68_FI#1</t>
  </si>
  <si>
    <t>crystal looks overheated, with the oxide planes</t>
  </si>
  <si>
    <t>KL0921_c285_a2_FIB</t>
  </si>
  <si>
    <t>K24_19</t>
  </si>
  <si>
    <t>K24_19_FIA</t>
  </si>
  <si>
    <t>K24_19_27_41</t>
  </si>
  <si>
    <t>KS23_312</t>
  </si>
  <si>
    <t>K23_312_FIA</t>
  </si>
  <si>
    <t>KL0914_c019</t>
  </si>
  <si>
    <t>KL0914_c019_a1_FIA</t>
  </si>
  <si>
    <t>K24_10_FIB</t>
  </si>
  <si>
    <t>K21_66</t>
  </si>
  <si>
    <t>K21_66_FI#3</t>
  </si>
  <si>
    <t>spin?</t>
  </si>
  <si>
    <t>K24_38</t>
  </si>
  <si>
    <t>K24_38_FIB</t>
  </si>
  <si>
    <t>K24_38_8_104</t>
  </si>
  <si>
    <t>KS23_315</t>
  </si>
  <si>
    <t>K23_315_FIB</t>
  </si>
  <si>
    <t>KL0910_c178_a1_FIA</t>
  </si>
  <si>
    <t>919_62</t>
  </si>
  <si>
    <t>919_62_A</t>
  </si>
  <si>
    <t>919_62_69_118</t>
  </si>
  <si>
    <t>KL0921_c295</t>
  </si>
  <si>
    <t>KL0921_c295_a2_FIB</t>
  </si>
  <si>
    <t>K24_38_FIA</t>
  </si>
  <si>
    <t>K24_16</t>
  </si>
  <si>
    <t>K24_16_FIA</t>
  </si>
  <si>
    <t>K24_16_23_235</t>
  </si>
  <si>
    <t>UW4</t>
  </si>
  <si>
    <t>UW4_602</t>
  </si>
  <si>
    <t>UW4_602_FI#1</t>
  </si>
  <si>
    <t>Dominantly a FI, but has melt bleb on side and spinel</t>
  </si>
  <si>
    <t>K24_16_FIB</t>
  </si>
  <si>
    <t>UW7_662</t>
  </si>
  <si>
    <t>UW7_662_FI#3</t>
  </si>
  <si>
    <t>cluster with other MI, FI, spins</t>
  </si>
  <si>
    <t>K24_23</t>
  </si>
  <si>
    <t>K24_23_FIA</t>
  </si>
  <si>
    <t>K24_23_30_114</t>
  </si>
  <si>
    <t>KL0910_c035</t>
  </si>
  <si>
    <t>KL0910_c035_a1_FIA</t>
  </si>
  <si>
    <t>KL0910_c176</t>
  </si>
  <si>
    <t>KL0910_c176_a1_FIA</t>
  </si>
  <si>
    <t>K24_37</t>
  </si>
  <si>
    <t>K24_37_FIA</t>
  </si>
  <si>
    <t>no Image</t>
  </si>
  <si>
    <t>K24_37_10_334</t>
  </si>
  <si>
    <t>K23_315_FIC</t>
  </si>
  <si>
    <t>K24_7</t>
  </si>
  <si>
    <t>K24_7_FIB</t>
  </si>
  <si>
    <t>K24_7_12_414</t>
  </si>
  <si>
    <t>K23_321_FIB</t>
  </si>
  <si>
    <t>IC
(Dec 2024)</t>
  </si>
  <si>
    <t>KD24</t>
  </si>
  <si>
    <t>KD24_c001</t>
  </si>
  <si>
    <t>KD24_c001_a1_FIB</t>
  </si>
  <si>
    <t>KL0910_c018</t>
  </si>
  <si>
    <t>KL0910_c018_a1_FIA</t>
  </si>
  <si>
    <t>There are lots of spinels and melt inclsuions around, just no FI</t>
  </si>
  <si>
    <t>K20_c010</t>
  </si>
  <si>
    <t>K20_c010_a1_FIA</t>
  </si>
  <si>
    <t>K23_2_FIB</t>
  </si>
  <si>
    <t>K20_c019</t>
  </si>
  <si>
    <t>K20_c019_a1_FIA</t>
  </si>
  <si>
    <t>KL0910_c048</t>
  </si>
  <si>
    <t>KL0910_c048_a1_FIB</t>
  </si>
  <si>
    <t>K20_c008</t>
  </si>
  <si>
    <t>K20_c008_a1_FIA</t>
  </si>
  <si>
    <t>UW5_635</t>
  </si>
  <si>
    <t>UW5_635_FI#1</t>
  </si>
  <si>
    <t>lots of others</t>
  </si>
  <si>
    <t>K24_8</t>
  </si>
  <si>
    <t>K24_8_FIB</t>
  </si>
  <si>
    <t>has a lot of white inside</t>
  </si>
  <si>
    <t>K21_68_FI#2</t>
  </si>
  <si>
    <t>K23_315_FID</t>
  </si>
  <si>
    <t>UW5_705</t>
  </si>
  <si>
    <t>UW5_705_FI#1</t>
  </si>
  <si>
    <t>Seems like a growth related cluster, has MI, and spinels and so on</t>
  </si>
  <si>
    <t>UW5_700</t>
  </si>
  <si>
    <t>UW5_700_FI#1</t>
  </si>
  <si>
    <t>Could be PS, hard to say, shape weird because of spinels</t>
  </si>
  <si>
    <t>KD24_c016</t>
  </si>
  <si>
    <t>KD24_c016_a1_FIA</t>
  </si>
  <si>
    <t>K20_c005</t>
  </si>
  <si>
    <t>K20_c005_a2_FIB</t>
  </si>
  <si>
    <t>K23_315_FIA</t>
  </si>
  <si>
    <t>K21_54</t>
  </si>
  <si>
    <t>K21_54_FI#4</t>
  </si>
  <si>
    <t>KL0910_c005</t>
  </si>
  <si>
    <t>KL0910_c005_a1_FIB</t>
  </si>
  <si>
    <t>KL0908_c052</t>
  </si>
  <si>
    <t>KL0908_c052_a1_FIA</t>
  </si>
  <si>
    <t>K24_8_FIC</t>
  </si>
  <si>
    <t>Sand Hill
(1840)</t>
  </si>
  <si>
    <t>L84</t>
  </si>
  <si>
    <t>L84_FI48</t>
  </si>
  <si>
    <t>L84_FI48_FI#1</t>
  </si>
  <si>
    <t xml:space="preserve">unsure how this formed, may be decrepit, or PS. </t>
  </si>
  <si>
    <t>maybe</t>
  </si>
  <si>
    <t>KL0914_c012</t>
  </si>
  <si>
    <t>KL0914_c012_a1_FIA</t>
  </si>
  <si>
    <t>KL0910_c032</t>
  </si>
  <si>
    <t>KL0910_c032_a1_FIA</t>
  </si>
  <si>
    <t>cluster with MI and spnels</t>
  </si>
  <si>
    <t>KL0914_c017</t>
  </si>
  <si>
    <t>KL0914_c017_a1_FIA</t>
  </si>
  <si>
    <t>has a halo, melt film?</t>
  </si>
  <si>
    <t>K20_c003</t>
  </si>
  <si>
    <t>K20_c003_a1_FIA</t>
  </si>
  <si>
    <t>KL0910_c048_a1_FIC</t>
  </si>
  <si>
    <t>K23_3_FIC</t>
  </si>
  <si>
    <t>No image</t>
  </si>
  <si>
    <t>IC
(Jul 1974)</t>
  </si>
  <si>
    <t>KL0917</t>
  </si>
  <si>
    <t>KL0917_c077</t>
  </si>
  <si>
    <t>KL0917_c077_a1_FIC</t>
  </si>
  <si>
    <t>KL0914_c016</t>
  </si>
  <si>
    <t>KL0914_c016_a2_FIC</t>
  </si>
  <si>
    <t>K24_8_FID</t>
  </si>
  <si>
    <t>K20_c018</t>
  </si>
  <si>
    <t>K20_c018_a2_FIB</t>
  </si>
  <si>
    <t>KS23_111</t>
  </si>
  <si>
    <t>K23_111_FIA</t>
  </si>
  <si>
    <t>IC (Aug 1971)</t>
  </si>
  <si>
    <t>KL0916</t>
  </si>
  <si>
    <t>KL0916_c053</t>
  </si>
  <si>
    <t>KL0916_c053_a1_FIA</t>
  </si>
  <si>
    <t>Cluster with MI</t>
  </si>
  <si>
    <t>K24_3</t>
  </si>
  <si>
    <t>K24_3_FIE</t>
  </si>
  <si>
    <t>K24_3_P2_7_29</t>
  </si>
  <si>
    <t>K24_20</t>
  </si>
  <si>
    <t>K24_20_FIA</t>
  </si>
  <si>
    <t>K24_20_26_19</t>
  </si>
  <si>
    <t>UW5_705_FI#2</t>
  </si>
  <si>
    <t>KL0910_c005_a1_FIE</t>
  </si>
  <si>
    <t>VSWRZ
(Sep 1971)</t>
  </si>
  <si>
    <t>VSWRZ</t>
  </si>
  <si>
    <t>KL0931</t>
  </si>
  <si>
    <t>KL0931_c028</t>
  </si>
  <si>
    <t>KL0931_c028_a1_FIA</t>
  </si>
  <si>
    <t>elongated and slightly twisted</t>
  </si>
  <si>
    <t>K20_c008_a2_FIB</t>
  </si>
  <si>
    <t>KD24_c011</t>
  </si>
  <si>
    <t>KD24_c011_a1_FIA</t>
  </si>
  <si>
    <t>KD24_c010</t>
  </si>
  <si>
    <t>KD24_c010_a1_FIC</t>
  </si>
  <si>
    <t>KL0931_c159</t>
  </si>
  <si>
    <t>KL0931_c159_a1_FIA</t>
  </si>
  <si>
    <t>K24_22</t>
  </si>
  <si>
    <t>K24_22_FIA</t>
  </si>
  <si>
    <t>K24_22_29_68</t>
  </si>
  <si>
    <t>K21_66_FI#4</t>
  </si>
  <si>
    <t>spin and sulf maybe</t>
  </si>
  <si>
    <t>KD24_c026</t>
  </si>
  <si>
    <t>KD24_c026_a3_FID</t>
  </si>
  <si>
    <t>KL0910_c005_a1_FIA</t>
  </si>
  <si>
    <t>KL0914_c004</t>
  </si>
  <si>
    <t>KL0914_c004_a1_FID</t>
  </si>
  <si>
    <t>K24_13_FIA</t>
  </si>
  <si>
    <t>K24_13_18_720</t>
  </si>
  <si>
    <t>KL0931_c034</t>
  </si>
  <si>
    <t>KL0931_c034_a1_FIA</t>
  </si>
  <si>
    <t>K20_c009</t>
  </si>
  <si>
    <t>K20_c009_a2_FIB</t>
  </si>
  <si>
    <t>KL0910_c048_a1_FIA</t>
  </si>
  <si>
    <t>KL0910_c047</t>
  </si>
  <si>
    <t>KL0910_c047_a1_FIA_S1</t>
  </si>
  <si>
    <t>919_59</t>
  </si>
  <si>
    <t>919_59_A</t>
  </si>
  <si>
    <t>919_59_2_28</t>
  </si>
  <si>
    <t>KL0916_c071</t>
  </si>
  <si>
    <t>KL0916_c071_a1_FIA</t>
  </si>
  <si>
    <t>Has litle spikes on sides? either spinels or re-eq?</t>
  </si>
  <si>
    <t>KL0931_c031</t>
  </si>
  <si>
    <t>KL0931_c031_a1_FIA</t>
  </si>
  <si>
    <t>919_61</t>
  </si>
  <si>
    <t>919_61_B</t>
  </si>
  <si>
    <t>919_61_70_154</t>
  </si>
  <si>
    <t>K24_39</t>
  </si>
  <si>
    <t>K24_39_FIB</t>
  </si>
  <si>
    <t>K24_39_16_123</t>
  </si>
  <si>
    <t>K23_9</t>
  </si>
  <si>
    <t>K23_9_FIA</t>
  </si>
  <si>
    <t>KD24_c011_a1_FIB</t>
  </si>
  <si>
    <t>KL0931_c034_a1_FIE</t>
  </si>
  <si>
    <t>K20_c005_a3_FIC</t>
  </si>
  <si>
    <t>KL0910_c016(2)</t>
  </si>
  <si>
    <t>KL0910_c016(2)_a1_FIA</t>
  </si>
  <si>
    <t>919_55</t>
  </si>
  <si>
    <t>919_55_A</t>
  </si>
  <si>
    <t>919_55_63_17</t>
  </si>
  <si>
    <t>K21_56</t>
  </si>
  <si>
    <t>K21_56_FI#1</t>
  </si>
  <si>
    <t>very little melt film &lt;10%</t>
  </si>
  <si>
    <t>K23_101</t>
  </si>
  <si>
    <t>K23_101_FIC</t>
  </si>
  <si>
    <t>K24_11</t>
  </si>
  <si>
    <t>K24_11_FIB</t>
  </si>
  <si>
    <t>K24_11_16_111</t>
  </si>
  <si>
    <t>KL0916_c069</t>
  </si>
  <si>
    <t>KL0916_c069_a1_FIC</t>
  </si>
  <si>
    <t>small oxides on side? r sulfides?</t>
  </si>
  <si>
    <t>UW3_OX12</t>
  </si>
  <si>
    <t>UW3_OX12_FI#1</t>
  </si>
  <si>
    <t>seems growth core cluster, weird Olivine in an olivine</t>
  </si>
  <si>
    <t>KD24_c001_a1_FIA</t>
  </si>
  <si>
    <t>KL0916_c068</t>
  </si>
  <si>
    <t>KL0916_c068_a1_FIA</t>
  </si>
  <si>
    <t>There are some spinels not far</t>
  </si>
  <si>
    <t>KL0931_c028_a1_FIB</t>
  </si>
  <si>
    <t>Seems like a core cluster</t>
  </si>
  <si>
    <t>KL0914_c016_a1_FIB</t>
  </si>
  <si>
    <t>KS23_314</t>
  </si>
  <si>
    <t>K23_314_FIA</t>
  </si>
  <si>
    <t>KL0910_c005_a1_FIC</t>
  </si>
  <si>
    <t>K24_26</t>
  </si>
  <si>
    <t>K24_26_FIA</t>
  </si>
  <si>
    <t>KL0908_c072</t>
  </si>
  <si>
    <t>KL0908_c072_a1_FIA</t>
  </si>
  <si>
    <t>919_61_A</t>
  </si>
  <si>
    <t>KD24_c008</t>
  </si>
  <si>
    <t>KD24_c008_a1_FIB</t>
  </si>
  <si>
    <t>K20_c009_a1_FIA</t>
  </si>
  <si>
    <t>K20_c015</t>
  </si>
  <si>
    <t>K20_c015_a1_FIA</t>
  </si>
  <si>
    <t>KD24_c033</t>
  </si>
  <si>
    <t>KD24_c033_a1_FIA</t>
  </si>
  <si>
    <t>core cluster it seems</t>
  </si>
  <si>
    <t>919_55_B</t>
  </si>
  <si>
    <t>K20_c007</t>
  </si>
  <si>
    <t>K20_c007_a1_FIA</t>
  </si>
  <si>
    <t>KL0931_c240</t>
  </si>
  <si>
    <t>KL0931_c240_a1_FIB</t>
  </si>
  <si>
    <t>919_10</t>
  </si>
  <si>
    <t>919_10_C</t>
  </si>
  <si>
    <t>KL0914_c001</t>
  </si>
  <si>
    <t>KL0914_c001_a1_FIB</t>
  </si>
  <si>
    <t>KD24_c026_a1_FIA</t>
  </si>
  <si>
    <t>KD24_c014</t>
  </si>
  <si>
    <t>KD24_c014_a1_FIA</t>
  </si>
  <si>
    <t>KS23_318</t>
  </si>
  <si>
    <t>K23_318_FIA</t>
  </si>
  <si>
    <t>UW7_OX1-mX2</t>
  </si>
  <si>
    <t>UW7_OX1-mX2_FI#1</t>
  </si>
  <si>
    <t>spinel and melt film, near melt inclusions</t>
  </si>
  <si>
    <t>UW5_705_FI#3</t>
  </si>
  <si>
    <t>spinel attached or oxide of some sort</t>
  </si>
  <si>
    <t>KD24_c031</t>
  </si>
  <si>
    <t>KD24_c031_a2_FIB</t>
  </si>
  <si>
    <t>KS23_311</t>
  </si>
  <si>
    <t>K23_311_FID</t>
  </si>
  <si>
    <t>KL0908_c072_a1_FIB</t>
  </si>
  <si>
    <t>KD24_c023</t>
  </si>
  <si>
    <t>KD24_c023_a1_FIC</t>
  </si>
  <si>
    <t>K21_76</t>
  </si>
  <si>
    <t>K21_76_FI#3</t>
  </si>
  <si>
    <t>KD24_c014_a2_FIB</t>
  </si>
  <si>
    <t>919_67</t>
  </si>
  <si>
    <t>919_67_B</t>
  </si>
  <si>
    <t>919_67_5_57</t>
  </si>
  <si>
    <t>K24_29</t>
  </si>
  <si>
    <t>K24_29_FIA</t>
  </si>
  <si>
    <t>919_21</t>
  </si>
  <si>
    <t>919_21_A</t>
  </si>
  <si>
    <t>919_021+22_55_299</t>
  </si>
  <si>
    <t>KL0921_c337</t>
  </si>
  <si>
    <t>KL0921_c337_a1_FID</t>
  </si>
  <si>
    <t>K24_4</t>
  </si>
  <si>
    <t>K24_4_FIA</t>
  </si>
  <si>
    <t>K24_4_9_33</t>
  </si>
  <si>
    <t>KL0917_c077_a1_FIB</t>
  </si>
  <si>
    <t>KD24_c026_a2_FIB</t>
  </si>
  <si>
    <t>weird shape</t>
  </si>
  <si>
    <t>K20_c005_a1_FIA</t>
  </si>
  <si>
    <t>KL0908_c168</t>
  </si>
  <si>
    <t>KL0908_c168_a1_FIA</t>
  </si>
  <si>
    <t>KD24_c003</t>
  </si>
  <si>
    <t>KD24_c003_a1_FIB</t>
  </si>
  <si>
    <t>K24_4_FID</t>
  </si>
  <si>
    <t>KL0908_c173</t>
  </si>
  <si>
    <t>KL0908_c173_a1_FIA</t>
  </si>
  <si>
    <t>KD24_c002</t>
  </si>
  <si>
    <t>KD24_c002_a1_FIA</t>
  </si>
  <si>
    <t>K21_76_FI#1</t>
  </si>
  <si>
    <t>KS23_310</t>
  </si>
  <si>
    <t>K23_310_FIA</t>
  </si>
  <si>
    <t>919_63</t>
  </si>
  <si>
    <t>919_63_A</t>
  </si>
  <si>
    <t>919_63_68_106</t>
  </si>
  <si>
    <t>K21_72_FI#2</t>
  </si>
  <si>
    <t>KD24_c008_a1_FIA</t>
  </si>
  <si>
    <t>K21_70</t>
  </si>
  <si>
    <t>K21_70_FI#1</t>
  </si>
  <si>
    <t>unclear if spin or sulf</t>
  </si>
  <si>
    <t>KL0910_c015</t>
  </si>
  <si>
    <t>KL0910_c015_a1_FIA</t>
  </si>
  <si>
    <t>K24_4_FIE</t>
  </si>
  <si>
    <t>KL0916_c069_a1_FIB</t>
  </si>
  <si>
    <t>K21_58</t>
  </si>
  <si>
    <t>K21_58_FI#1</t>
  </si>
  <si>
    <t>melt film, looks like a MI a bit</t>
  </si>
  <si>
    <t>KD24_c032</t>
  </si>
  <si>
    <t>KD24_c032_a1_FIA</t>
  </si>
  <si>
    <t>UW5_OX28</t>
  </si>
  <si>
    <t>UW5_OX28_FI#1</t>
  </si>
  <si>
    <t>Cluster with other MI + spins</t>
  </si>
  <si>
    <t>KL0910_c000</t>
  </si>
  <si>
    <t>KL0910_c000_a1_FIA</t>
  </si>
  <si>
    <t xml:space="preserve">Melt inclusion and spinels not far </t>
  </si>
  <si>
    <t>KD24_c023_a1_FIA</t>
  </si>
  <si>
    <t>KD24_c003_a2_FIE</t>
  </si>
  <si>
    <t>K21_69</t>
  </si>
  <si>
    <t>K21_69_FI#3</t>
  </si>
  <si>
    <t>Seem at the edge of grain boundary between two grains attached, all of them are sort of oblong, rectangularish</t>
  </si>
  <si>
    <t>919_64</t>
  </si>
  <si>
    <t>919_64_A</t>
  </si>
  <si>
    <t>K23_101_FID</t>
  </si>
  <si>
    <t>K21_76_FI#2</t>
  </si>
  <si>
    <t>K21_57</t>
  </si>
  <si>
    <t>K21_57_FI#4</t>
  </si>
  <si>
    <t>core cluster, accompanied by MI</t>
  </si>
  <si>
    <t>KL0921_c337_a1_FIC</t>
  </si>
  <si>
    <t>KL0908_c219</t>
  </si>
  <si>
    <t>KL0908_c219_a1_FIA</t>
  </si>
  <si>
    <t>no other FI, MI and spinel cluster</t>
  </si>
  <si>
    <t>KS23_109</t>
  </si>
  <si>
    <t>K23_109_FIA</t>
  </si>
  <si>
    <t>UW3_618</t>
  </si>
  <si>
    <t>UW3_618_FI#1</t>
  </si>
  <si>
    <t>Spins and MI nearby</t>
  </si>
  <si>
    <t>K23_321_FIC</t>
  </si>
  <si>
    <t>KL0910_c005_a1_FID</t>
  </si>
  <si>
    <t>K24_4_FIB</t>
  </si>
  <si>
    <t>KS23_316</t>
  </si>
  <si>
    <t>K23_316_FIA</t>
  </si>
  <si>
    <t>KD24_c031_a2_FIC</t>
  </si>
  <si>
    <t>KD24_c001_a1_FIC</t>
  </si>
  <si>
    <t>KS23_108</t>
  </si>
  <si>
    <t>K23_108_FIA</t>
  </si>
  <si>
    <t>KD24_c009</t>
  </si>
  <si>
    <t>KD24_c009_a2_FIB</t>
  </si>
  <si>
    <t>KD24_c005</t>
  </si>
  <si>
    <t>KD24_c005_a1_FIA</t>
  </si>
  <si>
    <t>K21_54_FI#2</t>
  </si>
  <si>
    <t>crystal may be overheated, oxide planes</t>
  </si>
  <si>
    <t>KD24_c010_a1_FIB</t>
  </si>
  <si>
    <t>KD24_c012</t>
  </si>
  <si>
    <t>KD24_c012_a1_FIC</t>
  </si>
  <si>
    <t>KL0914_c016_a3_FID</t>
  </si>
  <si>
    <t>clustered with MI</t>
  </si>
  <si>
    <t>KL0916_c059</t>
  </si>
  <si>
    <t>KL0916_c059_a1_FIA</t>
  </si>
  <si>
    <t>There are clusters of spinels nearby</t>
  </si>
  <si>
    <t>KL0916_c069_a1_FIA</t>
  </si>
  <si>
    <t>Looks tilted</t>
  </si>
  <si>
    <t>KD24_c029</t>
  </si>
  <si>
    <t>KD24_c029_a1_FIA</t>
  </si>
  <si>
    <t>KD24_c029_a1_FIB</t>
  </si>
  <si>
    <t>KL0914_c008_a2_FIC</t>
  </si>
  <si>
    <t>Looks twisted, stragely shaped</t>
  </si>
  <si>
    <t>UW7_OX1-mX1</t>
  </si>
  <si>
    <t>UW7_OX1-mX1_FI#1</t>
  </si>
  <si>
    <t>919_21_B</t>
  </si>
  <si>
    <t>L84_FI41</t>
  </si>
  <si>
    <t>L84_FI41_FI#1</t>
  </si>
  <si>
    <t>there are MI and spinels in the crystal, but no clear zones</t>
  </si>
  <si>
    <t>KL0916_c051(1)</t>
  </si>
  <si>
    <t>KL0916_c051(1)_a1_FIA</t>
  </si>
  <si>
    <t>Cluster with spinels, and MI</t>
  </si>
  <si>
    <t>KD24_c003_a1_FIA</t>
  </si>
  <si>
    <t>K24_7_FIA</t>
  </si>
  <si>
    <t>UW4_612</t>
  </si>
  <si>
    <t>UW4_612_FI#2</t>
  </si>
  <si>
    <t>surrounded by MI and spins</t>
  </si>
  <si>
    <t>KD24_c012_a1_FID</t>
  </si>
  <si>
    <t>KD24_c024</t>
  </si>
  <si>
    <t>KD24_c024_a1_FIA</t>
  </si>
  <si>
    <t>KS23_106</t>
  </si>
  <si>
    <t>K23_106_FIA</t>
  </si>
  <si>
    <t>919_68</t>
  </si>
  <si>
    <t>919_68_A</t>
  </si>
  <si>
    <t>919_68_6_94</t>
  </si>
  <si>
    <t>919_10_B</t>
  </si>
  <si>
    <t>K24_1</t>
  </si>
  <si>
    <t>K24_1_FIA</t>
  </si>
  <si>
    <t>K24_1_3_1098</t>
  </si>
  <si>
    <t>919_66</t>
  </si>
  <si>
    <t>919_66_A</t>
  </si>
  <si>
    <t>919_66_4_23</t>
  </si>
  <si>
    <t>K24_34</t>
  </si>
  <si>
    <t>K24_34_FIC</t>
  </si>
  <si>
    <t>KL0916_c064</t>
  </si>
  <si>
    <t>KL0916_c064_a1_FIA</t>
  </si>
  <si>
    <t>No other FI in cluster, just MI and oxides</t>
  </si>
  <si>
    <t>KL0931_c027</t>
  </si>
  <si>
    <t>KL0931_c027_a1_FIA</t>
  </si>
  <si>
    <t>seems to have a spinel</t>
  </si>
  <si>
    <t>KL0914_c001_a1_FIA</t>
  </si>
  <si>
    <t>maybe a sulfide, or could be a spinel</t>
  </si>
  <si>
    <t>K24_1_FIC</t>
  </si>
  <si>
    <t>K23_310_FIB</t>
  </si>
  <si>
    <t>KL0908_c067</t>
  </si>
  <si>
    <t>KL0908_c067_a1_FIA</t>
  </si>
  <si>
    <t>In a cluster with spinels and melt inclusions, no other FI</t>
  </si>
  <si>
    <t>K24_37_FIB</t>
  </si>
  <si>
    <t>K23_108_FIC</t>
  </si>
  <si>
    <t>UW5_OX20</t>
  </si>
  <si>
    <t>UW5_OX20_FI#3</t>
  </si>
  <si>
    <t>EC
 (Jul 1974)</t>
  </si>
  <si>
    <t>KL0924</t>
  </si>
  <si>
    <t>KL0924_c369</t>
  </si>
  <si>
    <t>KL0924_c369_a1_FIB</t>
  </si>
  <si>
    <t>KL0914_c016_a1_FIA</t>
  </si>
  <si>
    <t>UW7_662_FI#2</t>
  </si>
  <si>
    <t xml:space="preserve">near a grain boundary, and in a cluster with FI, MI and spins. </t>
  </si>
  <si>
    <t>K21_64</t>
  </si>
  <si>
    <t>K21_64_FI#4</t>
  </si>
  <si>
    <t>same grain as 3, different than 1 and 2</t>
  </si>
  <si>
    <t>KD24_c004</t>
  </si>
  <si>
    <t>KD24_c004_a1_FIB</t>
  </si>
  <si>
    <t>KS23_303</t>
  </si>
  <si>
    <t>K23_303_FIB</t>
  </si>
  <si>
    <t>KL0931_c240_a1_FIA</t>
  </si>
  <si>
    <t>KD24_c003_a1_FIC</t>
  </si>
  <si>
    <t>K23_107_FIB</t>
  </si>
  <si>
    <t>K24_3_FIA</t>
  </si>
  <si>
    <t>919_22</t>
  </si>
  <si>
    <t>919_22_B</t>
  </si>
  <si>
    <t>919_021+22_55_370</t>
  </si>
  <si>
    <t>K24_3_FID</t>
  </si>
  <si>
    <t>KL0914_c012_a1_FIB</t>
  </si>
  <si>
    <t>dispersed FI</t>
  </si>
  <si>
    <t>KS23_309</t>
  </si>
  <si>
    <t>K23_309_FIB</t>
  </si>
  <si>
    <t>KL0931_c034_a1_FIH</t>
  </si>
  <si>
    <t>K20_c028</t>
  </si>
  <si>
    <t>K20_c028_a1_FIA</t>
  </si>
  <si>
    <t>K21_69_FI#6</t>
  </si>
  <si>
    <t>KL0916_c057</t>
  </si>
  <si>
    <t>KL0916_c057_a1_FIB</t>
  </si>
  <si>
    <t xml:space="preserve">This could be a PS cluster or maybe a spongy rapid grown core, it's chock full of oxides, it's near core. Odd. </t>
  </si>
  <si>
    <t>K23_311_FIA</t>
  </si>
  <si>
    <t>KL0908_c060</t>
  </si>
  <si>
    <t>KL0908_c060_a1_FIC</t>
  </si>
  <si>
    <t>KD24_c020</t>
  </si>
  <si>
    <t>KD24_c020_a1_FIA</t>
  </si>
  <si>
    <t>K24_9</t>
  </si>
  <si>
    <t>K24_9_FIA</t>
  </si>
  <si>
    <t>K24_9_13_42</t>
  </si>
  <si>
    <t>K24_21</t>
  </si>
  <si>
    <t>K24_21_FIA</t>
  </si>
  <si>
    <t>K24_21_28_34</t>
  </si>
  <si>
    <t>K24_6</t>
  </si>
  <si>
    <t>K24_6_FIA</t>
  </si>
  <si>
    <t>K24_6_11_89</t>
  </si>
  <si>
    <t>KL0916_c079</t>
  </si>
  <si>
    <t>KL0916_c079_a1_FIA</t>
  </si>
  <si>
    <t>Cluster with MI, no other FI</t>
  </si>
  <si>
    <t>K23_109_FIC</t>
  </si>
  <si>
    <t>KL0916_c074</t>
  </si>
  <si>
    <t>KL0916_c074_a1_FIA</t>
  </si>
  <si>
    <t>Looks like a core cluster, spongy ?</t>
  </si>
  <si>
    <t>KL0924_c369_a1_FIA</t>
  </si>
  <si>
    <t>Maybe oxides on edges?</t>
  </si>
  <si>
    <t>KL0910_c003</t>
  </si>
  <si>
    <t>KL0910_c003_a1_FIB</t>
  </si>
  <si>
    <t>KL0914_c008_a2_FIB</t>
  </si>
  <si>
    <t>K23_316_FIB</t>
  </si>
  <si>
    <t>K24_34_FIA</t>
  </si>
  <si>
    <t>KL0917_c202</t>
  </si>
  <si>
    <t>KL0917_c202_a1_FIB</t>
  </si>
  <si>
    <t xml:space="preserve">There is a tubular  inclusion close by, unclear if it is connected to the FI or not. </t>
  </si>
  <si>
    <t>KD24_c030</t>
  </si>
  <si>
    <t>KD24_c030_a1_FIA</t>
  </si>
  <si>
    <t>K24_4_FIC</t>
  </si>
  <si>
    <t>KL0910_c034</t>
  </si>
  <si>
    <t>KL0910_c034_a1_FIA</t>
  </si>
  <si>
    <t>cluster with lost of MI and spinels, possibly growth zone?</t>
  </si>
  <si>
    <t>K23_102</t>
  </si>
  <si>
    <t>K23_102_FIA</t>
  </si>
  <si>
    <t>K21_75</t>
  </si>
  <si>
    <t>K21_75_FI#1</t>
  </si>
  <si>
    <t>melt film, looks like a big MI with v little melt, cluster with other MI and spinels</t>
  </si>
  <si>
    <t>KD24_c004_a1_FIA</t>
  </si>
  <si>
    <t>K23_316_FIC</t>
  </si>
  <si>
    <t>ERZ (May 1969)</t>
  </si>
  <si>
    <t>KL0909</t>
  </si>
  <si>
    <t>KL0909_c124</t>
  </si>
  <si>
    <t>KL0909_c124_a1_FIB</t>
  </si>
  <si>
    <t>919_22_A</t>
  </si>
  <si>
    <t>919_69</t>
  </si>
  <si>
    <t>919_69_A</t>
  </si>
  <si>
    <t>919_69_7_93</t>
  </si>
  <si>
    <t>K23_7</t>
  </si>
  <si>
    <t>K23_7_FIC</t>
  </si>
  <si>
    <t>weird hourglass shaped</t>
  </si>
  <si>
    <t>919_68_B</t>
  </si>
  <si>
    <t>KL0910_c029</t>
  </si>
  <si>
    <t>KL0910_c029_a1_FIA</t>
  </si>
  <si>
    <t>There are lots of spinels and melt inclsuions around the crystal</t>
  </si>
  <si>
    <t>K24_3_FIB</t>
  </si>
  <si>
    <t>K24_29_FIB</t>
  </si>
  <si>
    <t>KD24_c028</t>
  </si>
  <si>
    <t>KD24_c028_a1_FIA</t>
  </si>
  <si>
    <t>attached to a cluster of spins and melt</t>
  </si>
  <si>
    <t>KL0908_c071</t>
  </si>
  <si>
    <t>KL0908_c071_a1_FIB</t>
  </si>
  <si>
    <t>KL0910_c003_a1_FIC</t>
  </si>
  <si>
    <t>K24_40</t>
  </si>
  <si>
    <t>K24_40_FIA</t>
  </si>
  <si>
    <t>K24_40_15_48</t>
  </si>
  <si>
    <t>KL0924_c367</t>
  </si>
  <si>
    <t>KL0924_c367_a2_FIC</t>
  </si>
  <si>
    <t xml:space="preserve">Looks tilted and maybe an oxide </t>
  </si>
  <si>
    <t>K20_c007_a2_FIB</t>
  </si>
  <si>
    <t>Weird elongated</t>
  </si>
  <si>
    <t>KL0910_c036</t>
  </si>
  <si>
    <t>KL0910_c036_a1_FIB</t>
  </si>
  <si>
    <t>May be a sulfide or a spinel</t>
  </si>
  <si>
    <t>K23_109_FIB</t>
  </si>
  <si>
    <t>K23_303_FIA</t>
  </si>
  <si>
    <t>KS23_103</t>
  </si>
  <si>
    <t>K23_103_FIC</t>
  </si>
  <si>
    <t>KL0908_c071_a1_FIA</t>
  </si>
  <si>
    <t>K20_c004</t>
  </si>
  <si>
    <t>K20_c004_a2_FIB</t>
  </si>
  <si>
    <t>KL0921_c335</t>
  </si>
  <si>
    <t>KL0921_c335_a1_FIA</t>
  </si>
  <si>
    <t>KD24_c031_a1_FIA</t>
  </si>
  <si>
    <t>KS23_9</t>
  </si>
  <si>
    <t>K24_3_FIC</t>
  </si>
  <si>
    <t>KL0914_c004_a1_FIC</t>
  </si>
  <si>
    <t>Looks like it may have spinel and/or sulfide but not clear</t>
  </si>
  <si>
    <t>KL0924_c363</t>
  </si>
  <si>
    <t>KL0924_c363_a1_FIA</t>
  </si>
  <si>
    <t>K24_1_FID</t>
  </si>
  <si>
    <t>K21_75_FI#2</t>
  </si>
  <si>
    <t>tiny melt film maybe</t>
  </si>
  <si>
    <t>KL0924_c364</t>
  </si>
  <si>
    <t>KL0924_c364_a1_FIB</t>
  </si>
  <si>
    <t>L84_FI41_FI#2</t>
  </si>
  <si>
    <t>K23_7_FIB</t>
  </si>
  <si>
    <t>K20_c001</t>
  </si>
  <si>
    <t>K20_c001_a1_FIA</t>
  </si>
  <si>
    <t>UW7_651</t>
  </si>
  <si>
    <t>UW7_651_MI#1</t>
  </si>
  <si>
    <t>has a bit of melt that's why it was named MI but it's not actually an MI, others in too</t>
  </si>
  <si>
    <t>K20_c004_a3_FIE</t>
  </si>
  <si>
    <t>K24_18</t>
  </si>
  <si>
    <t>K24_18_FIA</t>
  </si>
  <si>
    <t>K24_18_25_77</t>
  </si>
  <si>
    <t>KL0931_c021</t>
  </si>
  <si>
    <t>KL0931_c021_a1_FIA</t>
  </si>
  <si>
    <t>Sort of twisted</t>
  </si>
  <si>
    <t>KD24_c004_a1_FIC</t>
  </si>
  <si>
    <t>L84_FI47</t>
  </si>
  <si>
    <t>L84_FI47_FI#1</t>
  </si>
  <si>
    <t>Seems growth related</t>
  </si>
  <si>
    <t>K20_c026</t>
  </si>
  <si>
    <t>K20_c026_a2_FIB</t>
  </si>
  <si>
    <t>KL0917_c089</t>
  </si>
  <si>
    <t>KL0917_c089_a1_FIA</t>
  </si>
  <si>
    <t>K20_c004_a3_FIC</t>
  </si>
  <si>
    <t>UW5_OX22</t>
  </si>
  <si>
    <t>UW5_OX22_FI#1</t>
  </si>
  <si>
    <t>KL0910_c003_a1_FIA</t>
  </si>
  <si>
    <t>919_14</t>
  </si>
  <si>
    <t>919_14_B</t>
  </si>
  <si>
    <t>919_014_48_271</t>
  </si>
  <si>
    <t>K20_c006</t>
  </si>
  <si>
    <t>K20_c006_a1_FIA</t>
  </si>
  <si>
    <t>KL0908_c171</t>
  </si>
  <si>
    <t>KL0908_c171_a1_FIA</t>
  </si>
  <si>
    <t>K24_24</t>
  </si>
  <si>
    <t>K24_24_FIB</t>
  </si>
  <si>
    <t>K24_24_31_97</t>
  </si>
  <si>
    <t>919_16</t>
  </si>
  <si>
    <t>919_16_C</t>
  </si>
  <si>
    <t>919_015+016_47_96</t>
  </si>
  <si>
    <t>K24_1_FIB</t>
  </si>
  <si>
    <t>K23_7_FIA</t>
  </si>
  <si>
    <t>K24_2</t>
  </si>
  <si>
    <t>K24_2_FID</t>
  </si>
  <si>
    <t>K24_2_4_60</t>
  </si>
  <si>
    <t>K21_69_FI#1</t>
  </si>
  <si>
    <t>K24_15</t>
  </si>
  <si>
    <t>K24_15_FIB</t>
  </si>
  <si>
    <t>K20_c024</t>
  </si>
  <si>
    <t>K20_c024_a1_FIA</t>
  </si>
  <si>
    <t>KD24_c003_a2_FID</t>
  </si>
  <si>
    <t>K23_108_FIB</t>
  </si>
  <si>
    <t>KD24_c012_a1_FIA</t>
  </si>
  <si>
    <t>K21_69_FI#5</t>
  </si>
  <si>
    <t>KL0921_c335_a2_FIB</t>
  </si>
  <si>
    <t>KD24_c021</t>
  </si>
  <si>
    <t>KD24_c021_a2_FIB</t>
  </si>
  <si>
    <t>919_10_A</t>
  </si>
  <si>
    <t>KD24_c008_a1_FIC</t>
  </si>
  <si>
    <t>Mauna Iki VSWRZ
(1919-1920)</t>
  </si>
  <si>
    <t>KL0930</t>
  </si>
  <si>
    <t>KL0930_c318</t>
  </si>
  <si>
    <t>KL0930_c318_a1_FIA</t>
  </si>
  <si>
    <t>L84_FI46</t>
  </si>
  <si>
    <t>L84_FI46_FI#2</t>
  </si>
  <si>
    <t>These look like core clusters, or spongy core clusters</t>
  </si>
  <si>
    <t>K21_57_FI#2</t>
  </si>
  <si>
    <t>K24_13_FIB</t>
  </si>
  <si>
    <t>KL0917_c084</t>
  </si>
  <si>
    <t>KL0917_c084_a1_FIA</t>
  </si>
  <si>
    <t>K24_39_FIA</t>
  </si>
  <si>
    <t>L84_FI42</t>
  </si>
  <si>
    <t>L84_FI42_FI#1</t>
  </si>
  <si>
    <t>Also a chance it could be pseudo secondary. Unclear</t>
  </si>
  <si>
    <t>KL0921_c337_a1_FIB</t>
  </si>
  <si>
    <t>K24_31</t>
  </si>
  <si>
    <t>K24_31_FIB</t>
  </si>
  <si>
    <t>UW7_OX8</t>
  </si>
  <si>
    <t>UW7_OX8_FI#1</t>
  </si>
  <si>
    <t>some oxide seems on edge. Also the picture is #1 not #2</t>
  </si>
  <si>
    <t>919_16_A</t>
  </si>
  <si>
    <t>KL0921_c337_a1_FIA</t>
  </si>
  <si>
    <t>K21_64_FI#8</t>
  </si>
  <si>
    <t>KL0914_c001_a1_FIC</t>
  </si>
  <si>
    <t xml:space="preserve">maybe spinel attached to side, cluster with MI and spins far apart. </t>
  </si>
  <si>
    <t>K20_c026_a1_FIA</t>
  </si>
  <si>
    <t>UW7_662_FI#1</t>
  </si>
  <si>
    <t>UW3_OX12_FI#2</t>
  </si>
  <si>
    <t>KS23_105</t>
  </si>
  <si>
    <t>K23_105_FIA</t>
  </si>
  <si>
    <t>KL0909_c153</t>
  </si>
  <si>
    <t>KL0909_c153_a1_FIA</t>
  </si>
  <si>
    <t>KL0910_c036_a1_FIA</t>
  </si>
  <si>
    <t>K24_15_FIA</t>
  </si>
  <si>
    <t>K24_34_FIB</t>
  </si>
  <si>
    <t>K20_c010_a2_FIB</t>
  </si>
  <si>
    <t>KD24_c018</t>
  </si>
  <si>
    <t>KD24_c018_a1_FIB</t>
  </si>
  <si>
    <t>UW4_610</t>
  </si>
  <si>
    <t>UW4_610_FI#1</t>
  </si>
  <si>
    <t>Cluster has MI and other inclusions</t>
  </si>
  <si>
    <t>KD24_c009_a1_FIA</t>
  </si>
  <si>
    <t>K20_c004_a1_FIA</t>
  </si>
  <si>
    <t>KL0909_c231</t>
  </si>
  <si>
    <t>KL0909_c231_a1_FIA</t>
  </si>
  <si>
    <t>KD24_c012_a1_FIB</t>
  </si>
  <si>
    <t>KL0924_c364_a1_FIA</t>
  </si>
  <si>
    <t>UW3_OX13</t>
  </si>
  <si>
    <t>UW3_OX13_FI#1</t>
  </si>
  <si>
    <t>very short capsule, has big spin attached</t>
  </si>
  <si>
    <t>K23_109_FID</t>
  </si>
  <si>
    <t>UW7_651_FI#1</t>
  </si>
  <si>
    <t>could also be a sulfide and not spinel, it's not very clear</t>
  </si>
  <si>
    <t>K21_58_FI#3</t>
  </si>
  <si>
    <t>melt film, weird shape</t>
  </si>
  <si>
    <t>L84_FI45</t>
  </si>
  <si>
    <t>L84_FI45_FI#1</t>
  </si>
  <si>
    <t>919_2</t>
  </si>
  <si>
    <t>919_2_A</t>
  </si>
  <si>
    <t>KL0910_c179</t>
  </si>
  <si>
    <t>KL0910_c179_a1_FIA</t>
  </si>
  <si>
    <t>It's on the boundary between two grains in a crystal cluster. There is also a spinel</t>
  </si>
  <si>
    <t>UW4_732</t>
  </si>
  <si>
    <t>UW4_732_FI#1</t>
  </si>
  <si>
    <t>near cluster with other inclusions</t>
  </si>
  <si>
    <t>K20_c004_a3_FID</t>
  </si>
  <si>
    <t>919_4</t>
  </si>
  <si>
    <t>919_4_A</t>
  </si>
  <si>
    <t>919_004_43_128</t>
  </si>
  <si>
    <t>KL0910_c053</t>
  </si>
  <si>
    <t>KL0910_c053_a1_FIA</t>
  </si>
  <si>
    <t>KL0910_c047_a1_FIA</t>
  </si>
  <si>
    <t>Spinel nearby</t>
  </si>
  <si>
    <t>KD24_c017</t>
  </si>
  <si>
    <t>KD24_c017_a1_FIA</t>
  </si>
  <si>
    <t>K20_c027</t>
  </si>
  <si>
    <t>K20_c027_a1_FIA</t>
  </si>
  <si>
    <t>KL0917_c202_a1_FIA</t>
  </si>
  <si>
    <t>UW5_OX21-MX1</t>
  </si>
  <si>
    <t>UW5_OX21-MX1_FI#2</t>
  </si>
  <si>
    <t>K23_108_FID</t>
  </si>
  <si>
    <t>L84_FI46_FI#1</t>
  </si>
  <si>
    <t>KL0920_c147b</t>
  </si>
  <si>
    <t>KL0920_c147b_a1_FIA</t>
  </si>
  <si>
    <t>Cluster with other MI</t>
  </si>
  <si>
    <t>K24_11_FIA</t>
  </si>
  <si>
    <t>not its own picture</t>
  </si>
  <si>
    <t>KS23_104</t>
  </si>
  <si>
    <t>K23_104_FIB</t>
  </si>
  <si>
    <t>K23_311_FIC</t>
  </si>
  <si>
    <t>K23_103_FID</t>
  </si>
  <si>
    <t>KL0910_c011</t>
  </si>
  <si>
    <t>KL0910_c011_a1_FIB</t>
  </si>
  <si>
    <t>K21_77</t>
  </si>
  <si>
    <t>K21_77_FI#1</t>
  </si>
  <si>
    <t>K21_64_FI#3</t>
  </si>
  <si>
    <t>same grain as 4, different than 1 and 2</t>
  </si>
  <si>
    <t>UW7_OX8_FI#2</t>
  </si>
  <si>
    <t>919_66_D</t>
  </si>
  <si>
    <t>K21_64_FI#2</t>
  </si>
  <si>
    <t>sulfide? Round. Same grain as 1, diff than 3 and 4</t>
  </si>
  <si>
    <t>K23_4_FIB</t>
  </si>
  <si>
    <t>UW4_OX31</t>
  </si>
  <si>
    <t>UW4_OX31_FI#3</t>
  </si>
  <si>
    <t>not very clear, doesn't have its own picture</t>
  </si>
  <si>
    <t>K21_64_FI#6</t>
  </si>
  <si>
    <t>KD24_c018_a1_FIA</t>
  </si>
  <si>
    <t>KS23_201</t>
  </si>
  <si>
    <t>K23_201_FID</t>
  </si>
  <si>
    <t>off-angle</t>
  </si>
  <si>
    <t>K24_40_FIB</t>
  </si>
  <si>
    <t>919_16_B</t>
  </si>
  <si>
    <t>KD24_c023_a1_FIB</t>
  </si>
  <si>
    <t>UW5_OX21-MX1_FI#1</t>
  </si>
  <si>
    <t>K21_61</t>
  </si>
  <si>
    <t>K21_61_FI#2</t>
  </si>
  <si>
    <t>L84_FI49</t>
  </si>
  <si>
    <t>L84_FI49_FI#1</t>
  </si>
  <si>
    <t>Looks like a core cluster</t>
  </si>
  <si>
    <t>K21_64_FI#5</t>
  </si>
  <si>
    <t>UW5_OX20_FI#1</t>
  </si>
  <si>
    <t>has tiny melt film and spinel. Cluster seems growth related?</t>
  </si>
  <si>
    <t>K21_58_FI#2</t>
  </si>
  <si>
    <t>melt film</t>
  </si>
  <si>
    <t>UW5_OX21-MX1_FI#3</t>
  </si>
  <si>
    <t>K21_64_FI#7</t>
  </si>
  <si>
    <t>K21_64_FI#1</t>
  </si>
  <si>
    <t>same grain as 2, different than 3 and 4</t>
  </si>
  <si>
    <t>UW4_677</t>
  </si>
  <si>
    <t>UW4_677_FI#1</t>
  </si>
  <si>
    <t>cluster of spinels</t>
  </si>
  <si>
    <t>K24_11_FIC</t>
  </si>
  <si>
    <t>UW7_OX1-mX1_FI#2</t>
  </si>
  <si>
    <t>K23_107_FIA</t>
  </si>
  <si>
    <t>KL0921_c325</t>
  </si>
  <si>
    <t>KL0921_c325_a1_FIA</t>
  </si>
  <si>
    <t>This crystal has signed of heating (oxide planes)</t>
  </si>
  <si>
    <t>K20_c002</t>
  </si>
  <si>
    <t>K20_c002_a1_FIB</t>
  </si>
  <si>
    <t>K20_c025</t>
  </si>
  <si>
    <t>K20_c025_a1_FIA</t>
  </si>
  <si>
    <t>UW5_OX21-MX2</t>
  </si>
  <si>
    <t>UW5_OX21-MX2_FI#1</t>
  </si>
  <si>
    <t>pretty elongated</t>
  </si>
  <si>
    <t>K23_10</t>
  </si>
  <si>
    <t>K23_10_FIA</t>
  </si>
  <si>
    <t>UW4_612_FI#1</t>
  </si>
  <si>
    <t>nearby a couple MI and spins</t>
  </si>
  <si>
    <t>KD24_c017_a2_FIB</t>
  </si>
  <si>
    <t>UW3_606</t>
  </si>
  <si>
    <t>UW3_606_MI#1</t>
  </si>
  <si>
    <t>This one has a lot of melt, it's next to the FI#1</t>
  </si>
  <si>
    <t>K21_61_FI#1</t>
  </si>
  <si>
    <t>KS23_112</t>
  </si>
  <si>
    <t>K23_112_FIA</t>
  </si>
  <si>
    <t>K23_6</t>
  </si>
  <si>
    <t>K23_6_FIA</t>
  </si>
  <si>
    <t>K23_311_FIB</t>
  </si>
  <si>
    <t>UW5_OX23</t>
  </si>
  <si>
    <t>UW5_OX23_FI#1</t>
  </si>
  <si>
    <t>K24_17</t>
  </si>
  <si>
    <t>K24_17_FIA</t>
  </si>
  <si>
    <t>K20_c014</t>
  </si>
  <si>
    <t>K20_c014_a1_FIA</t>
  </si>
  <si>
    <t>919_66_C</t>
  </si>
  <si>
    <t>UW3_606_FI#1</t>
  </si>
  <si>
    <t>Near an MI</t>
  </si>
  <si>
    <t>K23_201_FIA</t>
  </si>
  <si>
    <t>UW4_674</t>
  </si>
  <si>
    <t>UW4_674_FI#1</t>
  </si>
  <si>
    <t>could also be PS</t>
  </si>
  <si>
    <t>KS23_301</t>
  </si>
  <si>
    <t>K23_301_FIA</t>
  </si>
  <si>
    <t>KL0908_c060_a1_FIB</t>
  </si>
  <si>
    <t>Appears to have a small crystal at bottom, could be sulfide or spinel unclear</t>
  </si>
  <si>
    <t>K20_c011</t>
  </si>
  <si>
    <t>K20_c011_a1_FIA</t>
  </si>
  <si>
    <t>UW4_OX30</t>
  </si>
  <si>
    <t>UW4_OX30_FI#1</t>
  </si>
  <si>
    <t>seems to be a core cluster/growth zone</t>
  </si>
  <si>
    <t>UW4_OX30_FI#3</t>
  </si>
  <si>
    <t>919_12_E</t>
  </si>
  <si>
    <t>919_012_50_955</t>
  </si>
  <si>
    <t>UW4_OX30_FI#4</t>
  </si>
  <si>
    <t>KL0908_c060_a1_FIA</t>
  </si>
  <si>
    <t>KL0916_c069_a1_FID</t>
  </si>
  <si>
    <t>Seems like a core cluster.</t>
  </si>
  <si>
    <t>KD24_c006</t>
  </si>
  <si>
    <t>KD24_c006_a1_FIA</t>
  </si>
  <si>
    <t>K23_201_FIC</t>
  </si>
  <si>
    <t>K24_24_FIA</t>
  </si>
  <si>
    <t>UW7_OX6</t>
  </si>
  <si>
    <t>UW7_OX6_FI#2</t>
  </si>
  <si>
    <t>capsule shape</t>
  </si>
  <si>
    <t>UW4_729</t>
  </si>
  <si>
    <t>UW4_729_FI#1</t>
  </si>
  <si>
    <t>Very long capsule. Plane of capsule align with edge of crystal</t>
  </si>
  <si>
    <t>KL0908_c060_a1_FIA_S1</t>
  </si>
  <si>
    <t>KL0908_c054</t>
  </si>
  <si>
    <t>KL0908_c054_a1_FIA</t>
  </si>
  <si>
    <t>Looks like a growth cluster (spongy?) it also has melt inclusions</t>
  </si>
  <si>
    <t>KL0909_c132</t>
  </si>
  <si>
    <t>KL0909_c132_a1_FIB</t>
  </si>
  <si>
    <t>KL0908_c058</t>
  </si>
  <si>
    <t>KL0908_c058_a1_FIA</t>
  </si>
  <si>
    <t>Appears to have small spikes on some edges, maybe re-eq?</t>
  </si>
  <si>
    <t>L84_FI39</t>
  </si>
  <si>
    <t>L84_FI39_FI#1</t>
  </si>
  <si>
    <t>Near a crack but might be a polishing crack.</t>
  </si>
  <si>
    <t>UW4_OX31_FI#4</t>
  </si>
  <si>
    <t>this is a different grain in same cluster</t>
  </si>
  <si>
    <t>UW3_OX19</t>
  </si>
  <si>
    <t>UW3_OX19_FI#1</t>
  </si>
  <si>
    <t>UW5_OX20_FI#2</t>
  </si>
  <si>
    <t>K24_33</t>
  </si>
  <si>
    <t>K24_33_FIA</t>
  </si>
  <si>
    <t>KL0910_c030</t>
  </si>
  <si>
    <t>KL0910_c030_a1_FIA</t>
  </si>
  <si>
    <t>Some small MI and spinels in th crystal</t>
  </si>
  <si>
    <t>K21_51</t>
  </si>
  <si>
    <t>UW4_729_FI#2</t>
  </si>
  <si>
    <t>Cluster with MI, and other inclusions</t>
  </si>
  <si>
    <t>UW7_OX2</t>
  </si>
  <si>
    <t>UW7_OX2_FI#1</t>
  </si>
  <si>
    <t>KL0921_c281</t>
  </si>
  <si>
    <t>KL0921_c281_a2_FIB</t>
  </si>
  <si>
    <t>K21_65</t>
  </si>
  <si>
    <t>K21_65_FI#1</t>
  </si>
  <si>
    <t>melt film, tiny spins</t>
  </si>
  <si>
    <t>K20_c002_a1_FIA</t>
  </si>
  <si>
    <t>KL0910_c010</t>
  </si>
  <si>
    <t>KL0910_c010_a1_FIA</t>
  </si>
  <si>
    <t>UW4_714</t>
  </si>
  <si>
    <t>UW4_714_FI#1</t>
  </si>
  <si>
    <t>Very very short capsule, near a cluster</t>
  </si>
  <si>
    <t>UW7_OX6_FI#1</t>
  </si>
  <si>
    <t>unclear if spin or sulfide</t>
  </si>
  <si>
    <t>919_54</t>
  </si>
  <si>
    <t>919_54_A</t>
  </si>
  <si>
    <t>919_54_60_44</t>
  </si>
  <si>
    <t>UW3_OX17</t>
  </si>
  <si>
    <t>UW3_OX17_FI#2</t>
  </si>
  <si>
    <t>unclear if sulfide or spinel, same potential growth cluster</t>
  </si>
  <si>
    <t>KL0910_c047_a1_FIB</t>
  </si>
  <si>
    <t>Spinels and MI in same crystal scattered</t>
  </si>
  <si>
    <t>K21_71</t>
  </si>
  <si>
    <t>K21_71_FI#1</t>
  </si>
  <si>
    <t>UW4_OX29</t>
  </si>
  <si>
    <t>UW4_OX29_FI#1</t>
  </si>
  <si>
    <t>weird shape, attached to melt and spinel</t>
  </si>
  <si>
    <t>K24_28</t>
  </si>
  <si>
    <t>K24_28_FIA</t>
  </si>
  <si>
    <t>K24_28_34_428</t>
  </si>
  <si>
    <t>UW4_OX31_FI#1</t>
  </si>
  <si>
    <t>cluster</t>
  </si>
  <si>
    <t>K21_69_FI#2</t>
  </si>
  <si>
    <t>KL0910_c011_a1_FIA</t>
  </si>
  <si>
    <t>UW7_OX3_FI#1</t>
  </si>
  <si>
    <t>core cluster, near melt inclusions</t>
  </si>
  <si>
    <t>K21_61_FI#3</t>
  </si>
  <si>
    <t>UW4_608</t>
  </si>
  <si>
    <t>UW4_608_FI#1</t>
  </si>
  <si>
    <t>Spiky tip, probably a spinel; near a little cluster with MI and spins</t>
  </si>
  <si>
    <t>K21_57_FI#3</t>
  </si>
  <si>
    <t>UW7_OX5</t>
  </si>
  <si>
    <t>UW7_OX5_FI#2</t>
  </si>
  <si>
    <t>Looks like growth core cluster</t>
  </si>
  <si>
    <t>UW3_OX18</t>
  </si>
  <si>
    <t>UW3_OX18_FI#1</t>
  </si>
  <si>
    <t>Growth cluster with MI ?</t>
  </si>
  <si>
    <t>919_11</t>
  </si>
  <si>
    <t>919_11_A</t>
  </si>
  <si>
    <t>919_011_52_161</t>
  </si>
  <si>
    <t>K21_57_FI#1</t>
  </si>
  <si>
    <t>UW5_OX23_FI#2</t>
  </si>
  <si>
    <t>919_50</t>
  </si>
  <si>
    <t>919_50_FIA</t>
  </si>
  <si>
    <t>919_50_39_41</t>
  </si>
  <si>
    <t>UW4_607</t>
  </si>
  <si>
    <t>UW4_607_FI#1</t>
  </si>
  <si>
    <t>Near a cluster with MI and spins</t>
  </si>
  <si>
    <t>KD24_c007</t>
  </si>
  <si>
    <t>KD24_c007_a1_FIA</t>
  </si>
  <si>
    <t>KL0916_c058</t>
  </si>
  <si>
    <t>KL0916_c058_a1_FIA</t>
  </si>
  <si>
    <t>Cluster with lots of MI</t>
  </si>
  <si>
    <t>K21_63</t>
  </si>
  <si>
    <t>K21_63_FI#1</t>
  </si>
  <si>
    <t>melt film, weird shape, sulfide or spinel attached</t>
  </si>
  <si>
    <t>K23_1</t>
  </si>
  <si>
    <t>K23_1_FIA</t>
  </si>
  <si>
    <t>UW4_OX30_FI#2</t>
  </si>
  <si>
    <t>K24_2_FIA</t>
  </si>
  <si>
    <t>919_52</t>
  </si>
  <si>
    <t>919_52_FIB</t>
  </si>
  <si>
    <t>UW7_OX9</t>
  </si>
  <si>
    <t>UW7_OX9_FI#1</t>
  </si>
  <si>
    <t>capsule (sharp edged ellipsoid)</t>
  </si>
  <si>
    <t>KS23_110</t>
  </si>
  <si>
    <t>K23_110_FIA</t>
  </si>
  <si>
    <t>K24_2_FIB</t>
  </si>
  <si>
    <t>L84_FI43</t>
  </si>
  <si>
    <t>L84_FI43_FI#1</t>
  </si>
  <si>
    <t>KL0909_c235</t>
  </si>
  <si>
    <t>KL0909_c235_a1_FIA</t>
  </si>
  <si>
    <t>Crystal has MI and spins too</t>
  </si>
  <si>
    <t>UW7_OX2_FI#2</t>
  </si>
  <si>
    <t>near melt inclusions</t>
  </si>
  <si>
    <t>K24_32</t>
  </si>
  <si>
    <t>K24_32_FIA</t>
  </si>
  <si>
    <t>K24_27</t>
  </si>
  <si>
    <t>K24_27_FIA</t>
  </si>
  <si>
    <t>K24_27_35_51</t>
  </si>
  <si>
    <t>919_23</t>
  </si>
  <si>
    <t>919_23_A</t>
  </si>
  <si>
    <t>919_23+24_56_120</t>
  </si>
  <si>
    <t>K23_104_FIA</t>
  </si>
  <si>
    <t>UW7_OX10</t>
  </si>
  <si>
    <t>UW7_OX10_FI#1</t>
  </si>
  <si>
    <t>little oxides on edges?</t>
  </si>
  <si>
    <t>KL0908_c065</t>
  </si>
  <si>
    <t>KL0908_c065_a1_FIA</t>
  </si>
  <si>
    <t>K24_30</t>
  </si>
  <si>
    <t>K24_30_FIA</t>
  </si>
  <si>
    <t>K24_30_32_198</t>
  </si>
  <si>
    <t>KL0920_c147b_a1_FIB</t>
  </si>
  <si>
    <t xml:space="preserve">hard to see </t>
  </si>
  <si>
    <t>UW7_OX5_FI#3</t>
  </si>
  <si>
    <t>UW4_OX29_FI#2</t>
  </si>
  <si>
    <t>KL0908_c171_a1_FIB</t>
  </si>
  <si>
    <t>KL0931_c160</t>
  </si>
  <si>
    <t>KL0931_c160_a1_FIA</t>
  </si>
  <si>
    <t>maybe has a spinel unclear</t>
  </si>
  <si>
    <t>919_50_FIB</t>
  </si>
  <si>
    <t>919_18</t>
  </si>
  <si>
    <t>919_18_A</t>
  </si>
  <si>
    <t>919_017+018_64_89</t>
  </si>
  <si>
    <t>919_52_FIA</t>
  </si>
  <si>
    <t>KL0930_c312</t>
  </si>
  <si>
    <t>KL0930_c312_a2_FIB</t>
  </si>
  <si>
    <t>919_1</t>
  </si>
  <si>
    <t>919_1_A</t>
  </si>
  <si>
    <t>919_001_41_112</t>
  </si>
  <si>
    <t>UW3_692</t>
  </si>
  <si>
    <t>UW3_692_FI#1</t>
  </si>
  <si>
    <t>edges have maybe spinels</t>
  </si>
  <si>
    <t>919_9</t>
  </si>
  <si>
    <t>919_9_A</t>
  </si>
  <si>
    <t>919_11_C</t>
  </si>
  <si>
    <t>919_14_C</t>
  </si>
  <si>
    <t>UW3_OX17_FI#1</t>
  </si>
  <si>
    <t>Could be growth core cluster</t>
  </si>
  <si>
    <t>919_3</t>
  </si>
  <si>
    <t>919_3_A</t>
  </si>
  <si>
    <t>KL0910_c009</t>
  </si>
  <si>
    <t>KL0910_c009_a1_FIA</t>
  </si>
  <si>
    <t>L84_FI48_FI#2</t>
  </si>
  <si>
    <t>919_14_A</t>
  </si>
  <si>
    <t>KL0924_c363_a1_FIB</t>
  </si>
  <si>
    <t>No picture, can't tell</t>
  </si>
  <si>
    <t>919_7</t>
  </si>
  <si>
    <t>919_7_A</t>
  </si>
  <si>
    <t>919_007_42_220</t>
  </si>
  <si>
    <t>KL0910_c059</t>
  </si>
  <si>
    <t>KL0910_c059_a1_FIA</t>
  </si>
  <si>
    <t>KL0930_c321</t>
  </si>
  <si>
    <t>KL0930_c321_a1_FIA</t>
  </si>
  <si>
    <t>UW4_603</t>
  </si>
  <si>
    <t>UW4_603_MI#1</t>
  </si>
  <si>
    <t>Dominantly a FI, but has noticeable melt (called MI because appreaciable melt)</t>
  </si>
  <si>
    <t>L84_FI47_FI#2</t>
  </si>
  <si>
    <t>UW7_OX7</t>
  </si>
  <si>
    <t>UW7_OX7_FI#1</t>
  </si>
  <si>
    <t>capsule, oxide on the edge</t>
  </si>
  <si>
    <t>919_12_F</t>
  </si>
  <si>
    <t>919_19</t>
  </si>
  <si>
    <t>919_19_B</t>
  </si>
  <si>
    <t>UW4_668</t>
  </si>
  <si>
    <t>UW4_668_FI#2</t>
  </si>
  <si>
    <t>could also be a small PS plane completely encassed</t>
  </si>
  <si>
    <t>KL0921_c281_a1_FIA</t>
  </si>
  <si>
    <t>919_4_B</t>
  </si>
  <si>
    <t>919_53</t>
  </si>
  <si>
    <t>919_53_C</t>
  </si>
  <si>
    <t>not its own pic</t>
  </si>
  <si>
    <t>919_53_58_29</t>
  </si>
  <si>
    <t>919_53_A</t>
  </si>
  <si>
    <t>KL0910_c016(1)</t>
  </si>
  <si>
    <t>KL0910_c016(1)_a1_FIA</t>
  </si>
  <si>
    <t>919_53_B</t>
  </si>
  <si>
    <t>L84_FI50</t>
  </si>
  <si>
    <t>L84_FI50_FI#1</t>
  </si>
  <si>
    <t>UW7_659</t>
  </si>
  <si>
    <t>UW7_659_FI#1</t>
  </si>
  <si>
    <t>big spinel</t>
  </si>
  <si>
    <t>919_2_B</t>
  </si>
  <si>
    <t>919_17</t>
  </si>
  <si>
    <t>919_17_A</t>
  </si>
  <si>
    <t>919_017+018_64_94</t>
  </si>
  <si>
    <t>K23_110_FIB</t>
  </si>
  <si>
    <t>KL0930_c321_a2_FIB</t>
  </si>
  <si>
    <t>919_51</t>
  </si>
  <si>
    <t>919_51_FIA</t>
  </si>
  <si>
    <t>919_51_40_42</t>
  </si>
  <si>
    <t>919_1_B</t>
  </si>
  <si>
    <t>KL0930_c312_a1_FIA</t>
  </si>
  <si>
    <t>has melt. large</t>
  </si>
  <si>
    <t>KL0909_c231_a1_FIB</t>
  </si>
  <si>
    <t>melt between FI and spin</t>
  </si>
  <si>
    <t>919_19_A</t>
  </si>
  <si>
    <t>KL0908_c223</t>
  </si>
  <si>
    <t>KL0908_c223_a1_FIA</t>
  </si>
  <si>
    <t>Also has elongated oxide next to it. Spinel?</t>
  </si>
  <si>
    <t>919_5</t>
  </si>
  <si>
    <t>919_5_A</t>
  </si>
  <si>
    <t>KL0919</t>
  </si>
  <si>
    <t>KL0919_c181</t>
  </si>
  <si>
    <t>KL0919_c181_a2_FIC</t>
  </si>
  <si>
    <t>919_58</t>
  </si>
  <si>
    <t>919_58_C</t>
  </si>
  <si>
    <t>919_58_3_18</t>
  </si>
  <si>
    <t>919_58_B</t>
  </si>
  <si>
    <t>919_58_A</t>
  </si>
  <si>
    <t>919_56</t>
  </si>
  <si>
    <t>919_56_A</t>
  </si>
  <si>
    <t>919_56_65_90</t>
  </si>
  <si>
    <t>K24_36</t>
  </si>
  <si>
    <t>K24_36_FIA</t>
  </si>
  <si>
    <t>yes</t>
  </si>
  <si>
    <t>K24_36_day2_12_619</t>
  </si>
  <si>
    <t>919_70</t>
  </si>
  <si>
    <t>919_70_A</t>
  </si>
  <si>
    <t>919_70_71_21</t>
  </si>
  <si>
    <t>K24_36_FID</t>
  </si>
  <si>
    <t>Eyeshaped</t>
  </si>
  <si>
    <t>KL0919_c181_a2_FIB</t>
  </si>
  <si>
    <t>This crystal has the weird SO2 inclusions</t>
  </si>
  <si>
    <t>K24_36_FIC</t>
  </si>
  <si>
    <t>L84_FI40</t>
  </si>
  <si>
    <t>L84_FI40_FI#1</t>
  </si>
  <si>
    <t>has melt film</t>
  </si>
  <si>
    <t>KL0908_c228</t>
  </si>
  <si>
    <t>KL0908_c228_a1_FIA</t>
  </si>
  <si>
    <t>Has little inclusions around, likely re-eq</t>
  </si>
  <si>
    <t>KL0910_c002</t>
  </si>
  <si>
    <t>KL0910_c002_a1_FIG</t>
  </si>
  <si>
    <t>has a couple of tiny inclusions near, maybe re=eq</t>
  </si>
  <si>
    <t>K24_36_FIB</t>
  </si>
  <si>
    <t>KL0908_c172</t>
  </si>
  <si>
    <t>KL0908_c172_a1_FIB</t>
  </si>
  <si>
    <t>L84_FI44</t>
  </si>
  <si>
    <t>L84_FI44_FI#1</t>
  </si>
  <si>
    <t>decrepit, tiny inclusions around the main; good example</t>
  </si>
  <si>
    <t>KL0910_c002_a1_FIE</t>
  </si>
  <si>
    <t>KL0919_c181_a1_FIA</t>
  </si>
  <si>
    <t>Has oxides on edge. It may be re-eq? it has some tiny inclusions around, but not sure really if it's actually from decrep or not</t>
  </si>
  <si>
    <t>KL0910_c002_a1_FID</t>
  </si>
  <si>
    <t>L84_FI44_FI#2</t>
  </si>
  <si>
    <t>decrepit, tiny inclusions around the main</t>
  </si>
  <si>
    <t>919_13</t>
  </si>
  <si>
    <t>919_13_C</t>
  </si>
  <si>
    <t>919_013_49_538</t>
  </si>
  <si>
    <t>KL0908_c052_a2_FIC</t>
  </si>
  <si>
    <t>has what looks like a small spinel on the bottom left, unclear. The natue of the inclusion is also slihtly unclear. It is along a plane of oxides, which could be result of re-heating the crystal by a hot magma</t>
  </si>
  <si>
    <t>919_60</t>
  </si>
  <si>
    <t>919_60_A</t>
  </si>
  <si>
    <t>Eye shaped</t>
  </si>
  <si>
    <t>919_60_1_1400</t>
  </si>
  <si>
    <t>KL0910_c002_a1_FIC</t>
  </si>
  <si>
    <t>KL0908_c172_a1_FIA</t>
  </si>
  <si>
    <t>Looks like it might be pseudo secondary, has a little bit of melt</t>
  </si>
  <si>
    <t>919_13_B</t>
  </si>
  <si>
    <t>KL0910_c002_a1_FIA</t>
  </si>
  <si>
    <t>KL0910_c002_a1_FIB</t>
  </si>
  <si>
    <t>919_65</t>
  </si>
  <si>
    <t>919_65_A</t>
  </si>
  <si>
    <t>likely reeq but no decrep halo. Has spikes</t>
  </si>
  <si>
    <t>919_13_A</t>
  </si>
  <si>
    <t>unsure if reeq, no clear halo</t>
  </si>
  <si>
    <t>KL0910_c002_a1_FIH</t>
  </si>
  <si>
    <t>919_8</t>
  </si>
  <si>
    <t>919_8_A</t>
  </si>
  <si>
    <t>919_008_45_92</t>
  </si>
  <si>
    <t>Devitre et al. (2024, GPL)+Wieser et al. (2021, G3)</t>
  </si>
  <si>
    <t>LERZ
(May-Aug 2018)</t>
  </si>
  <si>
    <t>LL4</t>
  </si>
  <si>
    <t>LL4-14dp</t>
  </si>
  <si>
    <t>LL4-14dp-FI#1</t>
  </si>
  <si>
    <t xml:space="preserve">has tiny bit of melt </t>
  </si>
  <si>
    <t>LL4-14dp-FI#2</t>
  </si>
  <si>
    <t>no melt</t>
  </si>
  <si>
    <t>LL4-14dp-MI#1</t>
  </si>
  <si>
    <t>some melt, but it's an FI, though named MI</t>
  </si>
  <si>
    <t>LL4-21</t>
  </si>
  <si>
    <t>LL4-21-#2</t>
  </si>
  <si>
    <t>LL4-21-MI#5</t>
  </si>
  <si>
    <t>has melt, it's an FI, not an MI</t>
  </si>
  <si>
    <t>LL4-5</t>
  </si>
  <si>
    <t>LL4-5-#1</t>
  </si>
  <si>
    <t>LL4-FI1</t>
  </si>
  <si>
    <t>LL4-FI1-#1</t>
  </si>
  <si>
    <t>nearby a melt filled crack.</t>
  </si>
  <si>
    <t>LL4-FI1-#2</t>
  </si>
  <si>
    <t>nearby embayment</t>
  </si>
  <si>
    <t>LL4-FI10</t>
  </si>
  <si>
    <t>LL4-FI10-#10</t>
  </si>
  <si>
    <t>All kind of near cracks, but unclear</t>
  </si>
  <si>
    <t>LL4-FI10-#11</t>
  </si>
  <si>
    <t>LL4-FI10-#12</t>
  </si>
  <si>
    <t>LL4-FI10-#13</t>
  </si>
  <si>
    <t>LL4-FI10-#2</t>
  </si>
  <si>
    <t>LL4-FI10-#3</t>
  </si>
  <si>
    <t>LL4-FI10-#4</t>
  </si>
  <si>
    <t>LL4-FI10-#5</t>
  </si>
  <si>
    <t>LL4-FI10-#6</t>
  </si>
  <si>
    <t>LL4-FI10-#7</t>
  </si>
  <si>
    <t>LL4-FI10-#8</t>
  </si>
  <si>
    <t>LL4-FI10-#9</t>
  </si>
  <si>
    <t>LL4-FI12</t>
  </si>
  <si>
    <t>LL4-FI12-#1</t>
  </si>
  <si>
    <t>has tiny bit of melt on side</t>
  </si>
  <si>
    <t>LL4-FI12-#2</t>
  </si>
  <si>
    <t>LL4-FI12b</t>
  </si>
  <si>
    <t>LL4-FI12b-FI#1</t>
  </si>
  <si>
    <t>LL4-FI12b-FI#2</t>
  </si>
  <si>
    <t>FI#2,3 and MI#1,2 are right next to each other</t>
  </si>
  <si>
    <t>LL4-FI12b-FI#3</t>
  </si>
  <si>
    <t>LL4-FI12dp</t>
  </si>
  <si>
    <t>two cracks near by, but not on crack</t>
  </si>
  <si>
    <t>LL4-FI3</t>
  </si>
  <si>
    <t>LL4-FI3-4-#1</t>
  </si>
  <si>
    <t>LL4-FI3-4-#2</t>
  </si>
  <si>
    <t>doesn't have its own image</t>
  </si>
  <si>
    <t>LL4-FI5</t>
  </si>
  <si>
    <t>Has weird shape and probable decrepit</t>
  </si>
  <si>
    <t>LL4-FI6</t>
  </si>
  <si>
    <t>LL4-FI7</t>
  </si>
  <si>
    <t>LL4-FI7-#10</t>
  </si>
  <si>
    <t>weird shape, rounded inverted crystal</t>
  </si>
  <si>
    <t>LL4-FI7-#12</t>
  </si>
  <si>
    <t>LL4-FI7-#1</t>
  </si>
  <si>
    <t>LL4-FI7-#2</t>
  </si>
  <si>
    <t>LL4-FI7-#3</t>
  </si>
  <si>
    <t>LL4-FI7-#4</t>
  </si>
  <si>
    <t>has bit of melt maybe</t>
  </si>
  <si>
    <t>LL4-FI7-#5</t>
  </si>
  <si>
    <t>LL4-FI7-#6</t>
  </si>
  <si>
    <t>LL4-FI7-#8</t>
  </si>
  <si>
    <t>LL4-FI7-#9</t>
  </si>
  <si>
    <t>LL4-FI8</t>
  </si>
  <si>
    <t>LL4-FI8-#1</t>
  </si>
  <si>
    <t>LL4-FI9</t>
  </si>
  <si>
    <t>LL4-FI9-#1</t>
  </si>
  <si>
    <t>This seems part of decrepitation ring of a large MI</t>
  </si>
  <si>
    <t>LL4_12</t>
  </si>
  <si>
    <t>LL4_12-FI#1</t>
  </si>
  <si>
    <t>In a subxtal</t>
  </si>
  <si>
    <t>LL4_12-FI#2</t>
  </si>
  <si>
    <t>LL4_12-MI#2</t>
  </si>
  <si>
    <t>LL4_2</t>
  </si>
  <si>
    <t>LL4_2-FI#1</t>
  </si>
  <si>
    <t xml:space="preserve">PS, close in genesis. </t>
  </si>
  <si>
    <t>LL4_2-FI#2</t>
  </si>
  <si>
    <t>PS, close in genesis. No image</t>
  </si>
  <si>
    <t>LL4_3</t>
  </si>
  <si>
    <t>LL4_3-FI#1</t>
  </si>
  <si>
    <t>has melt, right next to MI</t>
  </si>
  <si>
    <t>LL4_3-FI#2</t>
  </si>
  <si>
    <t>no melt, right next to MI</t>
  </si>
  <si>
    <t>LL4_9</t>
  </si>
  <si>
    <t>LL4_9-FI#2</t>
  </si>
  <si>
    <t>in a smaller crystal</t>
  </si>
  <si>
    <t>LL4_9-MI#1</t>
  </si>
  <si>
    <t>melt+huge spin</t>
  </si>
  <si>
    <t>LL7</t>
  </si>
  <si>
    <t>LL7-107</t>
  </si>
  <si>
    <t>LL7-107-#2</t>
  </si>
  <si>
    <t>has bit of melt</t>
  </si>
  <si>
    <t>LL7-109</t>
  </si>
  <si>
    <t>LL7-109-FI</t>
  </si>
  <si>
    <t>bit of melt? Unclear if optical effect</t>
  </si>
  <si>
    <t>LL7-19dp</t>
  </si>
  <si>
    <t>LL7-19dp-#5</t>
  </si>
  <si>
    <t>near center fracture, but not on it</t>
  </si>
  <si>
    <t>LL7-19dp-#6</t>
  </si>
  <si>
    <t>LL7-19dp-#7</t>
  </si>
  <si>
    <t>LL7-21</t>
  </si>
  <si>
    <t>No picture</t>
  </si>
  <si>
    <t>LL7-29</t>
  </si>
  <si>
    <t>LL7-29-1</t>
  </si>
  <si>
    <t xml:space="preserve">related to crack? </t>
  </si>
  <si>
    <t>LL7-FI17</t>
  </si>
  <si>
    <t>LL7-FI17-#1</t>
  </si>
  <si>
    <t>LL7-FI26</t>
  </si>
  <si>
    <t>LL7-FI26-1</t>
  </si>
  <si>
    <t>genetical relations unclear, no picture</t>
  </si>
  <si>
    <t>LL7-FI27</t>
  </si>
  <si>
    <t>LL7-FI27-2</t>
  </si>
  <si>
    <t>LL7-FI30</t>
  </si>
  <si>
    <t>has spinel attached</t>
  </si>
  <si>
    <t>LL7-FI31</t>
  </si>
  <si>
    <t>LL7-FI31-2</t>
  </si>
  <si>
    <t>related to cracks?</t>
  </si>
  <si>
    <t>LL7-FI31-4</t>
  </si>
  <si>
    <t>LL7-FI32</t>
  </si>
  <si>
    <t>maybe has tiny bit of melt</t>
  </si>
  <si>
    <t>LL7-FI33</t>
  </si>
  <si>
    <t>LL7-FI34</t>
  </si>
  <si>
    <t>LL7_108</t>
  </si>
  <si>
    <t>LL7_108-FI#1</t>
  </si>
  <si>
    <t>PS trail? but it's same general GZ</t>
  </si>
  <si>
    <t>LL7_108-FI#2</t>
  </si>
  <si>
    <t>has bit of melt.</t>
  </si>
  <si>
    <t>LL7_114</t>
  </si>
  <si>
    <t>LL7_114-FI#1</t>
  </si>
  <si>
    <t>Different Z plane (higher up); no imag</t>
  </si>
  <si>
    <t>LL7_114-FI#2</t>
  </si>
  <si>
    <t>same plane as MI, no Image</t>
  </si>
  <si>
    <t>LL7_116</t>
  </si>
  <si>
    <t>LL7_116-FI#1</t>
  </si>
  <si>
    <t>In a subxtal; no image</t>
  </si>
  <si>
    <t>LL7_287</t>
  </si>
  <si>
    <t>LL7_287-MI#1</t>
  </si>
  <si>
    <t>Maybe works bc MI is on edge of big xtal, and this one inside small crystal or because MI is on a crack.</t>
  </si>
  <si>
    <t>LL8</t>
  </si>
  <si>
    <t>LL8-433</t>
  </si>
  <si>
    <t>LL8-433-FI</t>
  </si>
  <si>
    <t>LL8-601</t>
  </si>
  <si>
    <t>LL8-601-FI#1</t>
  </si>
  <si>
    <t>LL8-601-FI#2</t>
  </si>
  <si>
    <t>LL8-C13</t>
  </si>
  <si>
    <t>LL8-C13-FI#1</t>
  </si>
  <si>
    <t>LL8-C18</t>
  </si>
  <si>
    <t>LL8-C18-FI#1</t>
  </si>
  <si>
    <t>no clear planes</t>
  </si>
  <si>
    <t>LL8-FI236</t>
  </si>
  <si>
    <t>LL8-FI236-FI#1</t>
  </si>
  <si>
    <t>LL8-FI37</t>
  </si>
  <si>
    <t>LL8-FI37-#1</t>
  </si>
  <si>
    <t xml:space="preserve">maybe related to a crack </t>
  </si>
  <si>
    <t>LL8-FI37-#2</t>
  </si>
  <si>
    <t>almost dead center</t>
  </si>
  <si>
    <t>LL8-FI37-#3</t>
  </si>
  <si>
    <t>appears same zone as 2</t>
  </si>
  <si>
    <t>LL8-P2636</t>
  </si>
  <si>
    <t>LL8-P2636-FI#1</t>
  </si>
  <si>
    <t>LL8-P2636-FI#2</t>
  </si>
  <si>
    <t>LL8-P2636-FI#3</t>
  </si>
  <si>
    <t>LL8-P2636-FI#4</t>
  </si>
  <si>
    <t>LL8-P3609</t>
  </si>
  <si>
    <t>LL8-P3609-FI#1</t>
  </si>
  <si>
    <t>LL8-P3609-FI#2</t>
  </si>
  <si>
    <t>LL8-P3609-FI#3</t>
  </si>
  <si>
    <t>LL8_156</t>
  </si>
  <si>
    <t>LL8_156-FI#1</t>
  </si>
  <si>
    <t>Works, but unsure why. Maybe same Fo? No SO2.</t>
  </si>
  <si>
    <t>LL8_156-FI#2</t>
  </si>
  <si>
    <t>Has SO2, on edge, DW</t>
  </si>
  <si>
    <t>LL8_156-FI#3</t>
  </si>
  <si>
    <t>DW, not sure why. Maybe lower Fo?, this is much deeper</t>
  </si>
  <si>
    <t>LL8_156-FI#4</t>
  </si>
  <si>
    <t>Has SO2, DW</t>
  </si>
  <si>
    <t>LL8_156-FI#5</t>
  </si>
  <si>
    <t>DW, has melt.</t>
  </si>
  <si>
    <t>LL8_156-FI#6</t>
  </si>
  <si>
    <t>Has SO2, DW, no image</t>
  </si>
  <si>
    <t>LL8_243</t>
  </si>
  <si>
    <t>LL8_243-FI#2</t>
  </si>
  <si>
    <t>_a subxtal, but the a MI was discarded, no good. No image</t>
  </si>
  <si>
    <t>LL8_243_FI#1</t>
  </si>
  <si>
    <t>same crystal and similar growth zone position as b melt inclusion</t>
  </si>
  <si>
    <t>LL8_406</t>
  </si>
  <si>
    <t>LL8_406-FI#4</t>
  </si>
  <si>
    <t>No melt, in close proximity of MI;No image to measure</t>
  </si>
  <si>
    <t xml:space="preserve">LL8_406_FI#1 </t>
  </si>
  <si>
    <t>has some melt</t>
  </si>
  <si>
    <t>LL8_406_FI#2</t>
  </si>
  <si>
    <t>No melt, in close proximity of MI</t>
  </si>
  <si>
    <t>LL8_406_FI#3</t>
  </si>
  <si>
    <t>LL8_616</t>
  </si>
  <si>
    <t>LL8_616_FI#1</t>
  </si>
  <si>
    <t xml:space="preserve">Has melt. </t>
  </si>
  <si>
    <t>Lerner et al. (2024, EPSL)</t>
  </si>
  <si>
    <t>Early Keanakākoʻi
(1500-1650 CE)</t>
  </si>
  <si>
    <t>K99-6</t>
  </si>
  <si>
    <t>K99-6_1</t>
  </si>
  <si>
    <t>K99-6_1c</t>
  </si>
  <si>
    <t>Isolated fluid inclusion (vapor-phase)</t>
  </si>
  <si>
    <t>K99-6_2</t>
  </si>
  <si>
    <t>K99-6_2d</t>
  </si>
  <si>
    <t>K99-6_5</t>
  </si>
  <si>
    <t>K99-6_5b</t>
  </si>
  <si>
    <t>K99-6_5d</t>
  </si>
  <si>
    <t>K99-6_5e</t>
  </si>
  <si>
    <t>K99-6_6</t>
  </si>
  <si>
    <t>K99-6_6a</t>
  </si>
  <si>
    <t>K99-6_7</t>
  </si>
  <si>
    <t>K99-6_8</t>
  </si>
  <si>
    <t>K99-6_8b</t>
  </si>
  <si>
    <t>K99-6_8c</t>
  </si>
  <si>
    <t>K99-6_8d</t>
  </si>
  <si>
    <t>K99-6_9</t>
  </si>
  <si>
    <t>K99-6_9b</t>
  </si>
  <si>
    <t>K99-6_13</t>
  </si>
  <si>
    <t>K99-6_13f</t>
  </si>
  <si>
    <t>K99-6_16</t>
  </si>
  <si>
    <t>K99-6_16a</t>
  </si>
  <si>
    <t>K99-6_16d</t>
  </si>
  <si>
    <t>nan</t>
  </si>
  <si>
    <t>Bubble is likely a co-trapped exsolved fluid phase</t>
  </si>
  <si>
    <t>K99-6_16i</t>
  </si>
  <si>
    <t>SW3</t>
  </si>
  <si>
    <t>SW3_2</t>
  </si>
  <si>
    <t>SW3_2f</t>
  </si>
  <si>
    <t>SW3_10</t>
  </si>
  <si>
    <t>SW3_10b</t>
  </si>
  <si>
    <t>Two-phase isolated fluid inclusion (vapor+liquid). Bulk CO2 density calculated from vapor + liquid mass-balance. Possible decrepetation signs around fluid inclusion</t>
  </si>
  <si>
    <t>not measured</t>
  </si>
  <si>
    <t>SW3_10c</t>
  </si>
  <si>
    <t>SW3_10d</t>
  </si>
  <si>
    <t>SW3_10e</t>
  </si>
  <si>
    <t>SW3_16</t>
  </si>
  <si>
    <t>SW3_16a</t>
  </si>
  <si>
    <t>SW3_16b</t>
  </si>
  <si>
    <t>Two-phase isolated fluid inclusion (vapor+liquid). Bulk CO2 density calculated from vapor + liquid mass-balance.</t>
  </si>
  <si>
    <t>K99-5</t>
  </si>
  <si>
    <t>K99-5_13</t>
  </si>
  <si>
    <t>K99-5_13a</t>
  </si>
  <si>
    <t>K99-5_13b</t>
  </si>
  <si>
    <t>K99-5_1</t>
  </si>
  <si>
    <t>K99-5_1b</t>
  </si>
  <si>
    <t>K99-5_1c</t>
  </si>
  <si>
    <t>K99-5_4</t>
  </si>
  <si>
    <t>K99-5_4a</t>
  </si>
  <si>
    <t>K99-5_4b</t>
  </si>
  <si>
    <t>K99-5_4c</t>
  </si>
  <si>
    <t>K99-5_4d</t>
  </si>
  <si>
    <t>K99-5_5</t>
  </si>
  <si>
    <t>K99-5_5a</t>
  </si>
  <si>
    <t>K99-5_5b</t>
  </si>
  <si>
    <t>K99-5_5c</t>
  </si>
  <si>
    <t>K99-5_5d</t>
  </si>
  <si>
    <t>K99-5_5e</t>
  </si>
  <si>
    <t>K99-5_5f</t>
  </si>
  <si>
    <t>K99-5_6</t>
  </si>
  <si>
    <t>K99-5_6d</t>
  </si>
  <si>
    <t>Isolated fluid inclusion (vapor-phase) with large decrepitation halo. But measured CO2 vapor density is a liquid saturation point, but no liquid visually identified. Possible that small amounts of liquid CO2 were wetting inclusion walls, and were unaccounted for.</t>
  </si>
  <si>
    <t>K99-5_11</t>
  </si>
  <si>
    <t>K99-5_11b</t>
  </si>
  <si>
    <t>K99-5_11c</t>
  </si>
  <si>
    <t>K99-5_11e</t>
  </si>
  <si>
    <t>K99-5_11f</t>
  </si>
  <si>
    <t>K99-5_11g</t>
  </si>
  <si>
    <t>Reference Study</t>
  </si>
  <si>
    <t>Publication year</t>
  </si>
  <si>
    <t>Ref short</t>
  </si>
  <si>
    <t>Activity</t>
  </si>
  <si>
    <t>Data year</t>
  </si>
  <si>
    <t>Data year end</t>
  </si>
  <si>
    <t>Main Geophysical method (Deformation, Seismic, Gravity, Electromagnetic)</t>
  </si>
  <si>
    <t>Study type</t>
  </si>
  <si>
    <t>Deformation source geometry</t>
  </si>
  <si>
    <t>Source #</t>
  </si>
  <si>
    <t xml:space="preserve">Region (SCR, HMMR, KR, ERZ, SWRZ) </t>
  </si>
  <si>
    <t>Time Period (month/year or year)</t>
  </si>
  <si>
    <t>Reservoir locations</t>
  </si>
  <si>
    <t>Depth measured, inferred, external (M or I,E)</t>
  </si>
  <si>
    <t>Reservoir depth is a range (R ), mean (A), best-fit (B), Best-fit MCMC (BMC)</t>
  </si>
  <si>
    <t>Depth (km)</t>
  </si>
  <si>
    <t>Depth uncertainty left (-km)</t>
  </si>
  <si>
    <t>Depth uncertainty right (+km)</t>
  </si>
  <si>
    <t>Cumulate upper depth (km)</t>
  </si>
  <si>
    <t>Cumulate lower depth (km)</t>
  </si>
  <si>
    <t>Comments</t>
  </si>
  <si>
    <t>Author and year of publication</t>
  </si>
  <si>
    <t>Year of publication</t>
  </si>
  <si>
    <t>Short name for the reference</t>
  </si>
  <si>
    <t>What time of activity was present and or analized</t>
  </si>
  <si>
    <t xml:space="preserve">This is the year only of the activity analyzed, or the first year of data collection analyzed in the paper if no eruptive activity is associated and, when available. In some cases, when information is not available, this may be the paper year. </t>
  </si>
  <si>
    <t>This is the year the analyzed range ended. Only used for seismic, to plot shaded boxes instead of points</t>
  </si>
  <si>
    <t>This is the main category of the geophysical methods used, regardless of the specifics within the methods. When multiple methods are used, uses hyphens</t>
  </si>
  <si>
    <t>What kind of study was conducted in the paper</t>
  </si>
  <si>
    <t>When applicable, this refers to deformation data and whether the source was modelled as point source, line, spheroid etc</t>
  </si>
  <si>
    <t>Source number (within each paper, how many distinct sources are reported). They may be the same reservoir, but if the paper reported 3 depth ranges for different time periods, then it would be 1,2,3 regardless. This isn't meant to identify separate reservoirs, it's just for organization purposes</t>
  </si>
  <si>
    <t>Geographical location  (South Caldera, Halema'uma'u, Keanakākoʻi, East Rift Zone)  based on  hypothesized reservoirs. Question mark if it is indiSCRernible.</t>
  </si>
  <si>
    <t>What is the time period analyzed and/or concerned by the paper</t>
  </si>
  <si>
    <t>What is the approximate location of the reservoir according to the paper</t>
  </si>
  <si>
    <t>Whether the depth of reservoirs was measured in the paper (geodetic data),  inferred (e.g., seismic and resistivity), or external (from previous sources).</t>
  </si>
  <si>
    <t xml:space="preserve">Whether the reservoir depth is reported as a range, mean with std dev as uncertainty, Best fit number from visual or inversion with or without uncertainty,  or a distribution (modern MCMC) with confidence bounds. </t>
  </si>
  <si>
    <t>What is the depth of the reservoir according to the paper. When papers propose a range and no specific data or confidence bounds, it is reported as the mean of the range with uncertainty as the bounds of the range</t>
  </si>
  <si>
    <t xml:space="preserve">Upper uncertainty of the depth. When the paper proposed a range, this is the upper limit to the range. When the paper proposed a confidence interval, this is the upper bound. Sometimes it is 90% sometimes 68%. </t>
  </si>
  <si>
    <t xml:space="preserve">Lower uncertainty of the depth. When the paper proposed a range, this is the lower limit to the range. When the paper proposed a confidence interval, this is the upper bound. Sometimes it is 90% sometimes 68%. </t>
  </si>
  <si>
    <t>Depths at which cumulate bodies (dunite) were observed/modelled- upper limit if reported</t>
  </si>
  <si>
    <t>Depths at which cumulate bodies (dunite) were observed/modelled- lower limit if reported</t>
  </si>
  <si>
    <t>Any comments on the contents of the article or interpretations</t>
  </si>
  <si>
    <t>Mogi [1958]</t>
  </si>
  <si>
    <t>M58</t>
  </si>
  <si>
    <t>Deflation of summit related to 1924 eruption, inflation pre-1924</t>
  </si>
  <si>
    <t>Deformation</t>
  </si>
  <si>
    <t>Tilt, triangulation; Point source</t>
  </si>
  <si>
    <t>Point source</t>
  </si>
  <si>
    <t>SCR</t>
  </si>
  <si>
    <t>1912-1927</t>
  </si>
  <si>
    <t>1-2 km S of Halema'uma'u</t>
  </si>
  <si>
    <t>M</t>
  </si>
  <si>
    <t>B</t>
  </si>
  <si>
    <t>3.5</t>
  </si>
  <si>
    <t>1</t>
  </si>
  <si>
    <t xml:space="preserve">Assumed spherical source, visual matching of the deformation curves to 2.  Unclear how  error  was calculated. 25+-5km zone was later due an error due to data quality, so it is not included here. </t>
  </si>
  <si>
    <t>Eaton and Murata [1960]</t>
  </si>
  <si>
    <t>EM60</t>
  </si>
  <si>
    <t>Inflation and deflation, swarms, Summit Kilauea Iki eruption 1959, ERZ Kapoho 1960 eruption</t>
  </si>
  <si>
    <t>Review and conceptual model. No modelling or measurements</t>
  </si>
  <si>
    <t xml:space="preserve">1959-1960 </t>
  </si>
  <si>
    <t>E</t>
  </si>
  <si>
    <t>R</t>
  </si>
  <si>
    <t>3</t>
  </si>
  <si>
    <t>Shallow reservoir is just drawn between 2-4 km but it's not measured in any way. Storage pre-eruptive thought to be at summit or lateral instrusion into the rift zones (further storage and/or eruption). This is the foundational model for Kilauea</t>
  </si>
  <si>
    <t>Eaton [1962]</t>
  </si>
  <si>
    <t>E62</t>
  </si>
  <si>
    <t>Inflation-deflation related to 1959-1960 eruptions</t>
  </si>
  <si>
    <t>Deformation - tilt.Point source.  Seismicity</t>
  </si>
  <si>
    <t>1957-1962</t>
  </si>
  <si>
    <t>1-2 km SE of Halema'uma'u, just SE of Caldera edge</t>
  </si>
  <si>
    <t>Mogi source, no error, just visual fitting of the curve, magmas stored in the rift zones for long time. Moho at ~15 km</t>
  </si>
  <si>
    <t>Moore and Krivoy [1964]</t>
  </si>
  <si>
    <t>MK64</t>
  </si>
  <si>
    <t>Dec 7-9 1962 Upper East Rift Zone, no summit eruption prior. Inflation and deflation. Seismicity</t>
  </si>
  <si>
    <t>Deformation - tilt. Triangulation</t>
  </si>
  <si>
    <t>10/1961-01/1962; 01/1962-03/1962; 03/1962-06/1962; 06/1962-10/1962; 10/1962-12/1962</t>
  </si>
  <si>
    <t>Halema'uma'u; 1km  S Halema'uma'u; 1.5 km S Halema'uma'u at caldera edge; 1-2 km SE Halema'uma'u; 2-3 km S Halema'uma'u</t>
  </si>
  <si>
    <t>They only calculate the Lat long loci and not the depths unfortunately they just say Eaton's 2.4 miles seems right. so 3.8-3.9 km depth.</t>
  </si>
  <si>
    <t>Fiske and Kinoshita [1969]</t>
  </si>
  <si>
    <t>FK69</t>
  </si>
  <si>
    <t>Summit inflation, rapid extension, and swarms; 1966-1967 preceding the eruption of 1967-1968</t>
  </si>
  <si>
    <t>Deformation - tilt. Point source</t>
  </si>
  <si>
    <t>HMMR</t>
  </si>
  <si>
    <t>01/1966–10/1966</t>
  </si>
  <si>
    <t xml:space="preserve">Halema'uma'u; </t>
  </si>
  <si>
    <t xml:space="preserve">2.5 </t>
  </si>
  <si>
    <t>0.5</t>
  </si>
  <si>
    <t>Inflation centers migrate over large area (upt o 16 km2), sequetial presuization of dikes and sills? Reservoir decribed as complex network of interconnected dikes and sills. Error not specified, curves are overlain and data interpreted based on this as 2-3 km. The periods for the depth modelling are 01-07/1966 and 08-10/1967. The lat long loci are split in more periods. I've grouped them into two periods. Initial where the loci are in Caldera, and 2nd period where they are at caldera edge. In the first period, I put as 2.5±0.5 as the range is 2-3, no error is actually specified</t>
  </si>
  <si>
    <t>10/1966–10/1967</t>
  </si>
  <si>
    <t>1-2 km S Halema'uma'u at caldera edge</t>
  </si>
  <si>
    <t>Walsh and Decker [1971]</t>
  </si>
  <si>
    <t>WD71</t>
  </si>
  <si>
    <t>Inflation and deflation of summit, 1921-1927 and 1966-1967.</t>
  </si>
  <si>
    <t>Deformation - tilt; vertical Line source. Same data as Mogi and Fiske and Kinoshita</t>
  </si>
  <si>
    <t>Vertical line</t>
  </si>
  <si>
    <t>1921-1927</t>
  </si>
  <si>
    <t>1.5</t>
  </si>
  <si>
    <t>This is the same data as Mogi, but instead of spherical source is a vertical line source. They also model Fiske and Kinoshitas data for Jan July 1966 as a vertic al line source 1.3km. and August October 1967 as 1.5 km. So the geometry adds a lot of uncertainty</t>
  </si>
  <si>
    <t>06/1966-07/1966</t>
  </si>
  <si>
    <t>1.3</t>
  </si>
  <si>
    <t xml:space="preserve"> 08/1967-10/1967</t>
  </si>
  <si>
    <t>Dietrich and Decker [1975]</t>
  </si>
  <si>
    <t>DD75</t>
  </si>
  <si>
    <t>Inflation and deflation, the 1967 data is from FK69</t>
  </si>
  <si>
    <t>Deformation. Finite element model.  point source model; plug model</t>
  </si>
  <si>
    <t>01/1967-02-1967</t>
  </si>
  <si>
    <t>2.5</t>
  </si>
  <si>
    <t xml:space="preserve">Point source vs plug model. Although they acknowledge 0.7 is probably much too shallow and there is no other evidence for it.Top of reservoir extends to less than 1 km beneath summit. This is a refit of the Fiske and Kinoshita data. No uncertainties, and although they argue it fits the data better…There's no statistiSCRal proof. It's only visual and the vertical displacement data is  bad. </t>
  </si>
  <si>
    <t>Plug model</t>
  </si>
  <si>
    <t>0.7</t>
  </si>
  <si>
    <t>Jackson et al  [1975]</t>
  </si>
  <si>
    <t>J75</t>
  </si>
  <si>
    <t>Summit inflation and deflation, spans the 1968 Aug ERZ eruption</t>
  </si>
  <si>
    <t>Tilt, vertical and horizontal deformation, point source model (Mogi)</t>
  </si>
  <si>
    <t>07/1968-08/1968</t>
  </si>
  <si>
    <t>1  km SE of  Halema'uma'u</t>
  </si>
  <si>
    <t>Mogi source. Ocotober data was no good. Data to constrain the depth or or pressure center of reservoir ast Mapkaopuhi isn't good enough.</t>
  </si>
  <si>
    <t>Koyanagi et al. [1976]</t>
  </si>
  <si>
    <t>K76</t>
  </si>
  <si>
    <t>Seismicity 1970-1973</t>
  </si>
  <si>
    <t>Seismic</t>
  </si>
  <si>
    <t xml:space="preserve">Seimic. Aseismic zone </t>
  </si>
  <si>
    <t>1970-1973</t>
  </si>
  <si>
    <t>Halema'uma'u;</t>
  </si>
  <si>
    <t>5</t>
  </si>
  <si>
    <t>Aseismic zone at 4-6 is assumed to be magma reservoir, however the uncertainties on locations are 1-2 km. So it could just as easily be 2-5 if mislocated.  The range they say is 4-6 so 5±1, but given potential error of up to 2. Ryan et al 1981 reports it as 3 to 6km</t>
  </si>
  <si>
    <t>Zucca and Hill [1980]</t>
  </si>
  <si>
    <t>ZH80</t>
  </si>
  <si>
    <t>Seismic refraction experiments</t>
  </si>
  <si>
    <t>Seimic refraction</t>
  </si>
  <si>
    <t>1978</t>
  </si>
  <si>
    <t>7</t>
  </si>
  <si>
    <t>10</t>
  </si>
  <si>
    <t>Cumulate cores below ~7 km</t>
  </si>
  <si>
    <t>Ryan et al [1981]</t>
  </si>
  <si>
    <t>R81</t>
  </si>
  <si>
    <t>Plexiglass model using seismicity</t>
  </si>
  <si>
    <t>Seismicity in 3D plexiglass, aseismic zones. Mechanics</t>
  </si>
  <si>
    <t>1.5 km S of Halema'uma'u</t>
  </si>
  <si>
    <t>4</t>
  </si>
  <si>
    <t>2</t>
  </si>
  <si>
    <t>Broadly places the floor of reservoir at 6 km and the crown at 2km. so the range provided is ~2-6 km with intense seismicity above 1-1.9km and below 6.5-5.7km</t>
  </si>
  <si>
    <t>Kauahikaua [1982 and 1986]</t>
  </si>
  <si>
    <t>K8286</t>
  </si>
  <si>
    <t>None applicable</t>
  </si>
  <si>
    <t>Electromagnetic</t>
  </si>
  <si>
    <t>Resistivity CESM survey, unknown date, originally in 1982 thesis</t>
  </si>
  <si>
    <t>Below caldera</t>
  </si>
  <si>
    <t>I</t>
  </si>
  <si>
    <t>No clear period for the data collection. No depth uncertainties reported. Interesting is the 2-3 km layer they report. They also report 500-1.5km but associate that to the water table. They also report 5km depth but that seems unlikely given modern data. This was the thesis the paper was 1986</t>
  </si>
  <si>
    <t>Resistivity CESM survey,unknown date, originally in 1982 thesis</t>
  </si>
  <si>
    <t>Ryan et al [1983]</t>
  </si>
  <si>
    <t>R83</t>
  </si>
  <si>
    <t xml:space="preserve">Summit subsidence, analytical model and plexiglass model </t>
  </si>
  <si>
    <t>Analytical model of subsidence (deformation) + 3D seismic in plexiglass. Mechanics</t>
  </si>
  <si>
    <t>South of the caldera</t>
  </si>
  <si>
    <t>Based on collapse and subsidence. Mechanical model. Summit reservoir crown now at 1, no uncertainty is reported</t>
  </si>
  <si>
    <t>6/1972-12/1972</t>
  </si>
  <si>
    <t>3.3</t>
  </si>
  <si>
    <t>Based on collapse and subsidence. Mechanical model. Summit reservoir crown now at 1</t>
  </si>
  <si>
    <t>12/1972-05/1973</t>
  </si>
  <si>
    <t>2.2</t>
  </si>
  <si>
    <t>Dvorak et al [1983]</t>
  </si>
  <si>
    <t>D83</t>
  </si>
  <si>
    <t>Summit inflation, rapid extension, and swarms</t>
  </si>
  <si>
    <t>1967</t>
  </si>
  <si>
    <t>Deformation point source. Level; trilateration; Level; trilateration</t>
  </si>
  <si>
    <t>1/1967–2/1967</t>
  </si>
  <si>
    <t>Halema'uma'u</t>
  </si>
  <si>
    <t>A</t>
  </si>
  <si>
    <t>3.4</t>
  </si>
  <si>
    <t>0.4</t>
  </si>
  <si>
    <t>Compares level and trilateration on some, then also reports lots of pressure centers. According to FA12, the average for 1967 was 2.15 and 2.59 for 1974. Level tends to be deepr than triangulation. This is reported as an AVERAGE with a std dev as uncertainty</t>
  </si>
  <si>
    <t>2.3</t>
  </si>
  <si>
    <t>1973</t>
  </si>
  <si>
    <t>12/1973–4/1974</t>
  </si>
  <si>
    <t>1-1.5 km S Halemaumau</t>
  </si>
  <si>
    <t>2.6</t>
  </si>
  <si>
    <t>0.3</t>
  </si>
  <si>
    <t>Thurber [1984]</t>
  </si>
  <si>
    <t>T84</t>
  </si>
  <si>
    <t>Seismicity, 1980-1981 +1976 explosions</t>
  </si>
  <si>
    <t>1976</t>
  </si>
  <si>
    <t>1981</t>
  </si>
  <si>
    <t>Seismic tomography, P wave and velocity inversion</t>
  </si>
  <si>
    <t>1976;1980-1981</t>
  </si>
  <si>
    <t>Beneath Caldera</t>
  </si>
  <si>
    <t>1.8</t>
  </si>
  <si>
    <t xml:space="preserve">an aseismic zone that corresponds to the LVZ, the top of which they place at ~1km above sea lvel, so that’s nearly 300m below the summit  and down to 2km below so ~3km  which they also suggest extends to the rift zones. Bottom line is approximately 0.3-3.3 km for the LVZ / reservoir. I've put it as 1.8±1.5 km to encompass the region they mention since they don't really give clear numbers. </t>
  </si>
  <si>
    <t>Klein [1987]</t>
  </si>
  <si>
    <t>K87</t>
  </si>
  <si>
    <t>Seismicity 1970-1983</t>
  </si>
  <si>
    <t>1970</t>
  </si>
  <si>
    <t>1983</t>
  </si>
  <si>
    <t xml:space="preserve">Seismicity </t>
  </si>
  <si>
    <t>1970-1983</t>
  </si>
  <si>
    <t xml:space="preserve">South edge of Caldera </t>
  </si>
  <si>
    <t>an aseismic zone that 3-7 km. Not clear how good the locations are. But this doesn't work with resistivity, deformation nor fluid inclusions. Rigid cap 1-2 km</t>
  </si>
  <si>
    <t>Thurber [1987]</t>
  </si>
  <si>
    <t>T87</t>
  </si>
  <si>
    <t>Local earthquakes 1980-1981</t>
  </si>
  <si>
    <t>1980</t>
  </si>
  <si>
    <t>Seismic tomography</t>
  </si>
  <si>
    <t>1980-1981</t>
  </si>
  <si>
    <t>1-2 km spatial resolution; they suggest the LVZ in the slices at 2-3 km below summit is magma reservoir. I put it as 2.5+-0.5 for range. It's not the actual uncertainty</t>
  </si>
  <si>
    <t>Hill and Zucca [1987]</t>
  </si>
  <si>
    <t>HZ87</t>
  </si>
  <si>
    <t>Seismic refraction review</t>
  </si>
  <si>
    <t>1969</t>
  </si>
  <si>
    <t>1982</t>
  </si>
  <si>
    <t>Seimic refraction and gravity</t>
  </si>
  <si>
    <t>Cumulate cores below ~7 km. Not really specified in text, but drawn on section. Consistent with data but not required is what they said</t>
  </si>
  <si>
    <t>Ryan et al [1988]</t>
  </si>
  <si>
    <t>R88</t>
  </si>
  <si>
    <t>Seismicity up to 1985</t>
  </si>
  <si>
    <t>1985</t>
  </si>
  <si>
    <t>Seismicity in 3D . Mechanics</t>
  </si>
  <si>
    <t>01/1969-01/1985</t>
  </si>
  <si>
    <t>Proposes 2-4 km for summit reservoir</t>
  </si>
  <si>
    <t>Delaney [1990]</t>
  </si>
  <si>
    <t>D90</t>
  </si>
  <si>
    <t>Inflation and deflation 1975-1990, post 7.2 M earthquake</t>
  </si>
  <si>
    <t>1975</t>
  </si>
  <si>
    <t xml:space="preserve">Deformation - tilt. Point source and dikes. </t>
  </si>
  <si>
    <t>Point source + dikes</t>
  </si>
  <si>
    <t>11/1975-12/1989</t>
  </si>
  <si>
    <t>5.5</t>
  </si>
  <si>
    <t>Unspecified location of the deformation center. Assumed below the caldera edge. Put it as 5.5+-2.5 as the range is 3-9 km for this deep body. This is probably the first deformation paper to report a really deep body. But the seismic tomography later show that it's high velocity below 5. SO maybe that's also why it was later cutoff at 5</t>
  </si>
  <si>
    <t>Yang et al [1992]</t>
  </si>
  <si>
    <t>Y92</t>
  </si>
  <si>
    <t>Summit inflation and deflation</t>
  </si>
  <si>
    <t>Deformation - tilt and trilater0ation Point source and dikes. Correction for dikes. Year is an average, because the source reported is also an average</t>
  </si>
  <si>
    <t>1970–1985</t>
  </si>
  <si>
    <t>2 km SE Halema'uma'u</t>
  </si>
  <si>
    <t>1.4</t>
  </si>
  <si>
    <t xml:space="preserve">Single reservoir enough to explain all the pressure loci if point source + dikes. no need for migration of pressure . I think 2.63 is an average but they don't report standard deviation, I calculated approximately but hard to say if that's what they did. </t>
  </si>
  <si>
    <t>Delaney [1993]</t>
  </si>
  <si>
    <t>D93</t>
  </si>
  <si>
    <t>Summit inflation and deflation 1983-1991. Seimicity. Pu'u'o'o Kupaihana eruption 1983-1991</t>
  </si>
  <si>
    <t>Deformation - tilt, trilateration. Water wells and tide gauges on the south flank.  Seismicity. Uses Mogi and Okada sources (point source, and rectangular surface of uniform stike-slip nd dip-slip and opening motions)</t>
  </si>
  <si>
    <t>Point source + okada</t>
  </si>
  <si>
    <t>1983-1991</t>
  </si>
  <si>
    <t>1-2 km SE of Halema'uma'u</t>
  </si>
  <si>
    <t>The data isn't really shown in depth space. But they mention the point source is buried 2 km near the summit. From the Lat-long map, we can infer 1-2 km SE Halemaumau but that's it. No uncertainty reported for the depth.</t>
  </si>
  <si>
    <t>Rowan and Clayton [1993]</t>
  </si>
  <si>
    <t>RC93</t>
  </si>
  <si>
    <t>Seismic tomography.</t>
  </si>
  <si>
    <t>2 km S Halema'uma'u</t>
  </si>
  <si>
    <t>Suggests there is a high velocity cap 0-2 to the north that bounds the 
top of the summit reservoir. Low velocity does not extend below 4km, so they suggest the reservoir is 0-3 km below summit. ~2km S of Halemaumau caldera and laterally extensive. They say 0-3 but since there is a 0-2 HV cap, and they say it can't be below 4, I put 3 +-1 so it's 2-4 in all likelihood. they say 0-3 km but there is also a high velocity cap 0-2 n northern part. Also does not extend below 4 km.  so 0-4? centered at 2 . 1-2 km spatial resolution</t>
  </si>
  <si>
    <t>Tilling and Dvorak [1993]</t>
  </si>
  <si>
    <t>TD93</t>
  </si>
  <si>
    <t xml:space="preserve">Review, seismic and deformation </t>
  </si>
  <si>
    <t>1958</t>
  </si>
  <si>
    <t>1992</t>
  </si>
  <si>
    <t>Review. No modelling or measurements</t>
  </si>
  <si>
    <t>1958-1992</t>
  </si>
  <si>
    <t>? Pressure centers 1.5-5, concentrated around 3. aseismic zone from 3-7. This plot is probably why people say 3-5 partially also because of Cervelli 2003. I put as 4 +- 3 because they plot 1.5-7 as the potential zone</t>
  </si>
  <si>
    <t>Johnson et al [1992]</t>
  </si>
  <si>
    <t>J92</t>
  </si>
  <si>
    <t>East Rift intrusion;Pu‘u ‘Ō‘o Eruptions</t>
  </si>
  <si>
    <t>Gravity</t>
  </si>
  <si>
    <t xml:space="preserve">Gravity survey and deformation, deflation mechanics. </t>
  </si>
  <si>
    <t>01/1983</t>
  </si>
  <si>
    <t>2km SE of Halema'uma'u</t>
  </si>
  <si>
    <t>gravity, deformation mechanics of subsidence. CO2 parametrization
For east rift intrusion and pu’u’o’o 
eruptions</t>
  </si>
  <si>
    <t>4/1985–12/1985</t>
  </si>
  <si>
    <t xml:space="preserve"> 2.5</t>
  </si>
  <si>
    <t>Wallace and Delaney [1995]</t>
  </si>
  <si>
    <t>WD95</t>
  </si>
  <si>
    <t>East Rift intrusion</t>
  </si>
  <si>
    <t>Deformation - tilt</t>
  </si>
  <si>
    <t>Point source + planar dislocations</t>
  </si>
  <si>
    <t>3.8</t>
  </si>
  <si>
    <t>Model intrusions in the rift, dike and summit deflations. Depends on the model they use though. With a different model this is at 1 km+-0.4</t>
  </si>
  <si>
    <t>Makaopuhi crater</t>
  </si>
  <si>
    <t>Model intrusions in the rift, dike and summit deflations.  4.8+-0.6 with another model</t>
  </si>
  <si>
    <t>Southwest rift zone swarm</t>
  </si>
  <si>
    <t>02/1982</t>
  </si>
  <si>
    <t xml:space="preserve"> 2km SE of Halema'uma'u</t>
  </si>
  <si>
    <t>7.2</t>
  </si>
  <si>
    <t>4.4</t>
  </si>
  <si>
    <t>Model intrusions in the rift, dike and summit deflations. Only one model used</t>
  </si>
  <si>
    <t>Okubo [1997]</t>
  </si>
  <si>
    <t>O97</t>
  </si>
  <si>
    <t>1986</t>
  </si>
  <si>
    <t>P wave travel time seismic tomography</t>
  </si>
  <si>
    <t>01/1986-12/1992</t>
  </si>
  <si>
    <t>11</t>
  </si>
  <si>
    <t>2 km spatial resolution. 5-11 km cumulates. I put it as 2+-1 as 1-3 km is likely range.</t>
  </si>
  <si>
    <t>OHMMRinato [1998]</t>
  </si>
  <si>
    <t>O98</t>
  </si>
  <si>
    <t>Seismicity, Pu'u'o'o 1996</t>
  </si>
  <si>
    <t>1996</t>
  </si>
  <si>
    <t>VLP</t>
  </si>
  <si>
    <t>1km NE of Halema'uma'u</t>
  </si>
  <si>
    <t>VLP locations indicate source at ~1km bleow the caldera</t>
  </si>
  <si>
    <t>Dawson [1999]</t>
  </si>
  <si>
    <t>D99</t>
  </si>
  <si>
    <t>Seismicity</t>
  </si>
  <si>
    <t>Seismic tomography. P and S inv ersion</t>
  </si>
  <si>
    <t>01/1996-02/1996</t>
  </si>
  <si>
    <t>500m spatial resolution, 27 km3 volume. No lower than 4km. They say the second one is upper ERZ. maybe…</t>
  </si>
  <si>
    <t>Kauahikaua [2000]</t>
  </si>
  <si>
    <t>K00</t>
  </si>
  <si>
    <t>Gravity survey</t>
  </si>
  <si>
    <t>2000</t>
  </si>
  <si>
    <t>No depth is proposed in the text for the cumulate cores, but they are shown and it is mentioned they are distinct between volcanoes at 10 km depth. The isosurface for Kilauea goes up to about 5 km.</t>
  </si>
  <si>
    <t>Owen et al. [2000]</t>
  </si>
  <si>
    <t>O00</t>
  </si>
  <si>
    <t>East rift zone intrusion</t>
  </si>
  <si>
    <t>1997</t>
  </si>
  <si>
    <t>Continuous GPS deformation</t>
  </si>
  <si>
    <t>Point sources + dikes</t>
  </si>
  <si>
    <t>01/1997</t>
  </si>
  <si>
    <t>1.28</t>
  </si>
  <si>
    <t>0.17</t>
  </si>
  <si>
    <t>0.29</t>
  </si>
  <si>
    <t>1.87 with 1.16(-) +1.82 confidence region for model 1. and 1.28 +1.57 -1.11 for model 2. It depends on the model and number of sources</t>
  </si>
  <si>
    <t>0.60</t>
  </si>
  <si>
    <t>0.19</t>
  </si>
  <si>
    <t>0.06</t>
  </si>
  <si>
    <t>This source is only in model 2</t>
  </si>
  <si>
    <t>Almendros [2002]</t>
  </si>
  <si>
    <t>A01</t>
  </si>
  <si>
    <t>VLP, swarm, tremors</t>
  </si>
  <si>
    <t>1999</t>
  </si>
  <si>
    <t>09/1999-09/1999</t>
  </si>
  <si>
    <t xml:space="preserve">Pause 26 in the ongoing Puu Oo eruption (Heliker 1998), only the Upper East Rift was active with the occurrence of a seismic swarm and high-amplitude tremor on September 12. They say 1 but considering uncertainty it looks like 1-2 km </t>
  </si>
  <si>
    <t>Battaglia [2003]</t>
  </si>
  <si>
    <t>B03</t>
  </si>
  <si>
    <t>LP seismicity, relocated.</t>
  </si>
  <si>
    <t>LP seismic</t>
  </si>
  <si>
    <t>1997-1999</t>
  </si>
  <si>
    <t>0.75</t>
  </si>
  <si>
    <t>0.35</t>
  </si>
  <si>
    <t>Relocation of LP events 997-1999; Based on the approximate depth relocared LPs at ~1km below summit</t>
  </si>
  <si>
    <t>Cervelli and Miklius [2003]</t>
  </si>
  <si>
    <t>CM03</t>
  </si>
  <si>
    <t>Summit tilt events;Long-term subsidence</t>
  </si>
  <si>
    <t>Deformation- GPS and leveling</t>
  </si>
  <si>
    <t>1/2000–1/2002</t>
  </si>
  <si>
    <t>E of Halema'uma'u</t>
  </si>
  <si>
    <t>BMC</t>
  </si>
  <si>
    <t>They are the first to call the two reservoir sout caldera  and halemaumau. Thyefid Halemauma  based oshortlived  deformatioepisodes recorded by tiltmeters 2000-2002, associate with magma surges at Puu Oo . They estimate the inflation is centered E of Halemameu. The error isn't treated at all, I just established from the differnet tilt event. These are point-sources though (Mogi). I wonder if there's a chance it's wrong. especially given how close the sources are in XY and in Z. They say the depth could be closer to 2k below sea level. So closer to 3 than 3.5. They don't really give the uncertainty outside of the plots</t>
  </si>
  <si>
    <t>1/1996–1/2002</t>
  </si>
  <si>
    <t>Dawson [2004]</t>
  </si>
  <si>
    <t>D04</t>
  </si>
  <si>
    <t>VLP seismic and tremor, March 3 2004</t>
  </si>
  <si>
    <t>2004</t>
  </si>
  <si>
    <t>VLP seismic and tremor</t>
  </si>
  <si>
    <t>03/2004</t>
  </si>
  <si>
    <t>1.25</t>
  </si>
  <si>
    <t>0.25</t>
  </si>
  <si>
    <t>This is the range they give "sea level to -550m, so we report as approximate range below ground, likely top of magmaa column</t>
  </si>
  <si>
    <t>Myer et al. [2008]</t>
  </si>
  <si>
    <t>M08</t>
  </si>
  <si>
    <t>Summit inflation</t>
  </si>
  <si>
    <t>2006</t>
  </si>
  <si>
    <t>Insar and GPS, seismicity</t>
  </si>
  <si>
    <t>Okada, simplex, ellipsoid</t>
  </si>
  <si>
    <t>SWRZ</t>
  </si>
  <si>
    <t>2/2006–10/2006</t>
  </si>
  <si>
    <t>Upper SWRZ</t>
  </si>
  <si>
    <t>1-2 km. Shallower than previous. reported as 1.5-+0.5 for the range</t>
  </si>
  <si>
    <t>Poland [2009]</t>
  </si>
  <si>
    <t>P09</t>
  </si>
  <si>
    <t>2007 intrusion and eruption</t>
  </si>
  <si>
    <t>2007</t>
  </si>
  <si>
    <t>GPS and tilt</t>
  </si>
  <si>
    <t>6/1/2007</t>
  </si>
  <si>
    <t xml:space="preserve">1.2-1.8 km. </t>
  </si>
  <si>
    <t>Montgomery-Brown et al. [2010]</t>
  </si>
  <si>
    <t>MB10</t>
  </si>
  <si>
    <t>INSAR, GPS and tilt</t>
  </si>
  <si>
    <t>Point source and Okada(rectangular dislocation with uniform opening)</t>
  </si>
  <si>
    <t xml:space="preserve">The preffered model includes two point sources and 2 enchelon dikes along with decollement slip. The dikes are at depths of 3.9 km . </t>
  </si>
  <si>
    <t>Pu'u 'Ō'ō</t>
  </si>
  <si>
    <t>0.1</t>
  </si>
  <si>
    <t>Johnson [2010]</t>
  </si>
  <si>
    <t>J10</t>
  </si>
  <si>
    <t>November 1975 to January 2008</t>
  </si>
  <si>
    <t>Microgravity and leveling</t>
  </si>
  <si>
    <t>Point source, deformation</t>
  </si>
  <si>
    <t>1975-1981</t>
  </si>
  <si>
    <t>NE Halema'uma'u</t>
  </si>
  <si>
    <t>1.903</t>
  </si>
  <si>
    <t>The data spans 1-3 considering the uncertainties, even though they say it's at no more than 1 km, I don't think the uncertainties allow that. the deformation is at 2 approx. But johnson does seem to suggest that this is a development? is the halemaumau a reservoir dominantly only in the past 25 years? Or are the previous measurements just wrong</t>
  </si>
  <si>
    <t>Best-fit finite spherical source microgravity</t>
  </si>
  <si>
    <t>1.242</t>
  </si>
  <si>
    <t>These are same periods, 2 methods.</t>
  </si>
  <si>
    <t>1981-1998</t>
  </si>
  <si>
    <t>2.455</t>
  </si>
  <si>
    <t>1.265</t>
  </si>
  <si>
    <t>1998</t>
  </si>
  <si>
    <t>1998-2003</t>
  </si>
  <si>
    <t>2.583</t>
  </si>
  <si>
    <t>0.663</t>
  </si>
  <si>
    <t>2003</t>
  </si>
  <si>
    <t>2003-2008</t>
  </si>
  <si>
    <t>1.540</t>
  </si>
  <si>
    <t>0.600</t>
  </si>
  <si>
    <t>Dawson [2010]</t>
  </si>
  <si>
    <t>D10</t>
  </si>
  <si>
    <t>VLP seismic 2007-2010</t>
  </si>
  <si>
    <t>2010</t>
  </si>
  <si>
    <t>Hidden Markov model on VLP seismic</t>
  </si>
  <si>
    <t>08/2007-02/2010</t>
  </si>
  <si>
    <t>No range, just approximate 1 km, no uncertainty. They say it corresponds to the top of the magma column</t>
  </si>
  <si>
    <t>Chouet [2010]</t>
  </si>
  <si>
    <t>C10</t>
  </si>
  <si>
    <t>VLP seismic and tremor, 2008-2009 degassing bursts</t>
  </si>
  <si>
    <t>2008</t>
  </si>
  <si>
    <t>2009</t>
  </si>
  <si>
    <t>VLP seismic and tremor, waveform inversion</t>
  </si>
  <si>
    <t>2008-2009</t>
  </si>
  <si>
    <t>Baker and Amelung [2012]</t>
  </si>
  <si>
    <t>FA12</t>
  </si>
  <si>
    <t>Inflation and deflation in  2002-2008 period</t>
  </si>
  <si>
    <t>Deformation GPS and leveling, modelling using finite element method</t>
  </si>
  <si>
    <t>Best-fit finite spherical source - Mogi</t>
  </si>
  <si>
    <t>2002-2008</t>
  </si>
  <si>
    <t>Halema'uma'u (1)</t>
  </si>
  <si>
    <t>1.9</t>
  </si>
  <si>
    <t>They model one spherical source at Halemaumau, the others are Penny cracks and okada (aka sills). 95% confidence</t>
  </si>
  <si>
    <t>Best-fit finite sill - Penny crack</t>
  </si>
  <si>
    <t>1km SE Halema'uma'u (2)</t>
  </si>
  <si>
    <t>2.9</t>
  </si>
  <si>
    <t>2 km SE Halema'uma'u (3)</t>
  </si>
  <si>
    <t>Best-fit finite sill - Okada</t>
  </si>
  <si>
    <t>3 km SW Halema'uma'u (4)</t>
  </si>
  <si>
    <t>3.6</t>
  </si>
  <si>
    <t>Flinders et al [2013]</t>
  </si>
  <si>
    <t>F13</t>
  </si>
  <si>
    <t>2013</t>
  </si>
  <si>
    <t>Cumulate cores. Not clear the depths, it's only on the section and very small.</t>
  </si>
  <si>
    <t>Lundgren et al [2013]</t>
  </si>
  <si>
    <t>L11</t>
  </si>
  <si>
    <t>Kamoamoa ERZ eruption, summit inflation and deflation</t>
  </si>
  <si>
    <t>2011</t>
  </si>
  <si>
    <t>INSAR and GPS</t>
  </si>
  <si>
    <t>02/2011-05/2011</t>
  </si>
  <si>
    <t>1.7</t>
  </si>
  <si>
    <t>Best fit point source summit 1.7 km but uncertainties not specific</t>
  </si>
  <si>
    <t>Dawson [2014]</t>
  </si>
  <si>
    <t>D14</t>
  </si>
  <si>
    <t>VLP seismic and tremor 2007-2013</t>
  </si>
  <si>
    <t>2007-2013</t>
  </si>
  <si>
    <t>Lin [2014]</t>
  </si>
  <si>
    <t>L14</t>
  </si>
  <si>
    <t>1992-2009 seismicity</t>
  </si>
  <si>
    <t>Local seismic tomography</t>
  </si>
  <si>
    <t>1992-2009</t>
  </si>
  <si>
    <t>S of Halema'uma'u</t>
  </si>
  <si>
    <t>LVZ is shallow, 1.6-3.6 km</t>
  </si>
  <si>
    <t>Poland [2014]</t>
  </si>
  <si>
    <t>P14</t>
  </si>
  <si>
    <t>Inflation and deflation 2000-2009, 2011 ERZ fissure</t>
  </si>
  <si>
    <t xml:space="preserve">2011 </t>
  </si>
  <si>
    <t>INSAR. GPS TILT AND REVIEW;Inversion of INSAR and GPS</t>
  </si>
  <si>
    <t xml:space="preserve">Sill-like </t>
  </si>
  <si>
    <t xml:space="preserve">They model 3 sources, Halemaumau, South Caldera, Keanakakoi. They are pretty close in depth. 1.4,3,2.6 so they could be indistinguishable technically. I think importantly,the reservoirs aren't well separated vertically, they basiclaly overlap within the 95% confidence bounds. so there is the likelihood tht they are more laterally than vertically separated. And that they are diSCRreet pockets, sill-like, in a mush. So they aren't big reservoirs, they'r just sills. They reinforce the 1-2 3-5 but really this is because of uncertainty. And having 2-3 not be storage seems inconsistent with the rest of the data. A lot of deformarion centers area t 2-3. They summarize the volume estimates from geophysics. Volume estimates of the south caldera magma reservoir are diverse but generally cluster between 3 and 20 km3 . Dawson and others (1999) identified a low P-wave velocity anomaly in the south caldera with a volume of 27 km3 (on the basis of a 5 percent reduction in velocity contrast from an initial model). Decker (1987) pointed out that magma storage must have been, at some point, at least the volume of the caldera collapse, estimated at 3 km3 and possibly as large as 22 km3, assuming a spherical shape with a diameter of 3.5 km (roughly equivalent to the caldera dimensions). Only part of this region may currently be molten, however, which would bring the volume closer to the 11 km3 estimate that Wright (1984) derived from geodetic data. Johnson (1992) calculated an effective volume (that is, the volume that behaves like a fluid) of about 13 km3. At the low end of the spectrum is a volume of 0.08 km3, based on the magma supply rate and average repose period between eruptions (Klein, 1982). Residence time analysis of rapid geochemical fluctuations led Pietruszka and Garcia (1999b) and Garcia and others (2003) to infer a simple source geometry with a volume of 2–3 km3 , which may be smaller than most geophysical estimates because it represents the hotter core of the reservoir in which magma mixing occurs. As an upper bound, Denlinger (1997) calculated a volume of 240 km3 from the ratio of pressure change to volume, but this estimate is probably more reflective of the entire volume of magma within and beneath Kīlauea and not solely that of the south caldera reservoir (Ryan, 1988). The Halema‘uma‘u magma reservoir is an order of magnitude smaller than the south caldera reservoir. Johnson (1992) suggested that the volume was at least 1.6 km3, based on summit deflation associated with draining of the Mauna Ulu lava lake in 1973. A model of deformation and gas emission data during rapid deflation of the source associated with the June 2007 ERZ intrusion and eruption led Poland and others (2009) to determine a volume of 0.2–1.2 km3. Anderson and others (in press) related lava-level changes within the summit eruptive vent to ground tilt recorded during two especially large-magnitude DI events in February 2011 and found a volume of 0.15 to 2.7 km3. Segall and others (2001) used deformation associated with the brief 1997 ERZ eruption to model a volume for the Halema‘uma‘u magma reservoir— shown by Owen and others (2000b) to be the deflation source at Kīlauea’s summit during that event—of ~20 km3. They assumed a value for the elastic modulus of 20 GPa; reducing this by an order of magnitude, which is reasonable, given the fractured nature of Kīlauea’s shallow subsurface (for example, Rubin and Pollard, 1987), would correspondingly decrease the modeled volume to ~2 km3 (Anderson and others, in press). </t>
  </si>
  <si>
    <t>Inflation and deflation 2000-2009</t>
  </si>
  <si>
    <t>KR</t>
  </si>
  <si>
    <t>2004-2005</t>
  </si>
  <si>
    <t>SEHalema'uma'u near Keanakākoʻi</t>
  </si>
  <si>
    <t>0.6</t>
  </si>
  <si>
    <t>This one is east of the typical NE source of HMMR</t>
  </si>
  <si>
    <t>S-SW of Halema'uma'u, South of caldera rim</t>
  </si>
  <si>
    <t>0.9</t>
  </si>
  <si>
    <t>2.1</t>
  </si>
  <si>
    <t xml:space="preserve">This one they use data from Myer which was inflation in Upper SWRZ and Baker and Amelung 2012. </t>
  </si>
  <si>
    <t>Wright and Klein  [2014]</t>
  </si>
  <si>
    <t>WK14</t>
  </si>
  <si>
    <t>1790-2008</t>
  </si>
  <si>
    <t>1790</t>
  </si>
  <si>
    <t>Review deformation, relocate and fit pressure centers</t>
  </si>
  <si>
    <t>Halema'uma'u and S of Halema'uma'u</t>
  </si>
  <si>
    <t xml:space="preserve">They recalculated a lot of pressure centers, though not for everything. They cluster 2-4, pretty much never below 4 except one point in 76-77. The inflations tend to be shallowe than deflations. They suggest the defaltions tend to be deeper in the chamber thand inflations that are probably at the top. </t>
  </si>
  <si>
    <t>Jo [2015]</t>
  </si>
  <si>
    <t>J15</t>
  </si>
  <si>
    <t>2011 Kamoamoa fissure (ERZ)</t>
  </si>
  <si>
    <t>InSAR, MAI COSMO SkyMed, 3D, continuous GPS</t>
  </si>
  <si>
    <t>Prolate spheroid</t>
  </si>
  <si>
    <t>1.54</t>
  </si>
  <si>
    <t>0.12</t>
  </si>
  <si>
    <t>1.55 ± 0.11 using 3D measurements. The Kamoamoa is source from the HMMRM reservoir source</t>
  </si>
  <si>
    <t>Anderson [2015]</t>
  </si>
  <si>
    <t>A15</t>
  </si>
  <si>
    <t>Inflation and deflation events , short  (DI) 2000-2013</t>
  </si>
  <si>
    <t>Tilt, level of lake</t>
  </si>
  <si>
    <t>Spherical</t>
  </si>
  <si>
    <t>2000-2013</t>
  </si>
  <si>
    <t>E margin Halema'uma'u;</t>
  </si>
  <si>
    <t>0.85</t>
  </si>
  <si>
    <t>0.15</t>
  </si>
  <si>
    <t>Reservoir volume 1km3, 0.2-5.5 km3 95% confidence. They just say it's consistent within uncertainty with 1-2 and shallower than 2. They acnkowledge the depth is poorly constrained by tilt data. 5-8 high vp cumulates</t>
  </si>
  <si>
    <t>Anderson and Poland [2016]</t>
  </si>
  <si>
    <t>AP16</t>
  </si>
  <si>
    <t>2000-2012</t>
  </si>
  <si>
    <t>Bayesian inversion, multiphysical model with geochem, geophysic and geologic priors</t>
  </si>
  <si>
    <t>Spheroid</t>
  </si>
  <si>
    <t>2011-2012</t>
  </si>
  <si>
    <t>Mgma supply increase in 2001-2006, then decrease by 2012. Only the period t3 reported a magma reservoir depth. The other is a sill</t>
  </si>
  <si>
    <t>2005</t>
  </si>
  <si>
    <t>2005-2006</t>
  </si>
  <si>
    <t>4.7</t>
  </si>
  <si>
    <t>0.2</t>
  </si>
  <si>
    <t xml:space="preserve">Mgma supply increase in 2001-2006, then decrease by 2012. Only the period t3 reported a magma reservoir depth. The other is a sill near summit and upper erz for t2 period. </t>
  </si>
  <si>
    <t>Anderson [2019]</t>
  </si>
  <si>
    <t>A19</t>
  </si>
  <si>
    <t>2018 LERZ</t>
  </si>
  <si>
    <t>2018</t>
  </si>
  <si>
    <t>INSAR GPS tilt, lava lake withdrawal. MCMC</t>
  </si>
  <si>
    <t>04/05/2018-16/05/2018</t>
  </si>
  <si>
    <t>1.94</t>
  </si>
  <si>
    <t>68% confidence interval</t>
  </si>
  <si>
    <t>Anderson [2020]</t>
  </si>
  <si>
    <t>A20</t>
  </si>
  <si>
    <t>2010-2012 DI events</t>
  </si>
  <si>
    <t xml:space="preserve">DI events tilt, modelling </t>
  </si>
  <si>
    <t>2010-2012</t>
  </si>
  <si>
    <t>Explores the connection between HMMRMR and SCRR, concludes that the tilt data is inconsistent with them being connected and more complex than 2 connected chambers, perhaps having their own deep sources.</t>
  </si>
  <si>
    <t>Wang [2021]</t>
  </si>
  <si>
    <t>W21</t>
  </si>
  <si>
    <t>Inflation and deflation post 2018, concurrent inflation and deflation of HMMRM and SCR</t>
  </si>
  <si>
    <t>Insar and GPS, bayesian inversion with Yang Cervelli model</t>
  </si>
  <si>
    <t>Spheroidal</t>
  </si>
  <si>
    <t>08/2018-05/2019</t>
  </si>
  <si>
    <t>2.18</t>
  </si>
  <si>
    <t>They say the data established that HMMRM and SCR are distinct reservoirs. ERZ reservoir at 2.3-4.4 km, as there is diSCRrepancy between dynamic inversion and INSAR, INSAR is 4[3.7,4.4] 90% confidence intervals. Interestingly Wang uses smaller volume (pietruszca's 2.5 km3) for SCR than for HMMR (3.9km3)</t>
  </si>
  <si>
    <t xml:space="preserve">3km SE  Halema'uma'u </t>
  </si>
  <si>
    <t>3.63</t>
  </si>
  <si>
    <t>They say the data established that HMMRM and SCR are distinct reservoirs. ERZ reservoir at 2.3-4.4 km, as there is diSCRrepancy between dynamic inversion and INSAR, INSAR is 4[3.7,4.4] 90%</t>
  </si>
  <si>
    <t>3.35</t>
  </si>
  <si>
    <t>Roman and Lundgren [2021]</t>
  </si>
  <si>
    <t>RL21</t>
  </si>
  <si>
    <t xml:space="preserve">2018 LERZ </t>
  </si>
  <si>
    <t>INSAR GNSS tiltmeter iversion.  two deflating point sources. Bayesian MCMC of inflation deflation</t>
  </si>
  <si>
    <t>05/2018-08/2018</t>
  </si>
  <si>
    <t>Thye say it was fed by SCR, but that is inconsistent with everything else including FI.argued that the HCR was connected to the rift zone through the SCRR (Y-model), although based in part on a geodetic station (UWD) that may not have been representative of pressure in the magma system</t>
  </si>
  <si>
    <t>3.2</t>
  </si>
  <si>
    <t>Thye say it was fed by SCR, but that is inconsistent with everything else including FI.argued that the HCR was connected to the rift zone through the SCRR (Y-model), although based in part on a geodetic station (UWD) that may not have been representative of pressure in the magma system. Sadly the bounds on the depths aren't written, just plotted. So not sure. But definitely do not extend to 5km</t>
  </si>
  <si>
    <t>Bemelmans [2021]</t>
  </si>
  <si>
    <t>B21</t>
  </si>
  <si>
    <t>May 2015 inflation event</t>
  </si>
  <si>
    <t>GNSS, tilt, visual and seismic time series. INSAR, lava level</t>
  </si>
  <si>
    <t>01/2015-09/2015</t>
  </si>
  <si>
    <t>Shallower than other estimates. It places them really close to each other. 95 % confidence</t>
  </si>
  <si>
    <t>Ellipsoid</t>
  </si>
  <si>
    <t>1-2 km SE  Halema'uma'u</t>
  </si>
  <si>
    <t>2.8</t>
  </si>
  <si>
    <t>Poland [2021]</t>
  </si>
  <si>
    <t>P21</t>
  </si>
  <si>
    <t>2008-2018</t>
  </si>
  <si>
    <t>Review, no need measurements, but reports on best estimates of volumes from geophysics</t>
  </si>
  <si>
    <t>Geodetic data collected before, during, and after
Kīlauea’s 2008–2018 summit eruption certainly highlight
the complexity of the summit magmatic plumbing system.
The existence of at least two storage areas beneath Kīlauea’s
summit is unequivocal. Details of their location, character, and
relation to one another, and even to the rift zones and other
magmatic pathways in the summit region, however, remain
unclear and are worthy of continuing SCRrutiny. Ultimately,
understanding these storage systems is critical for improving
forecasts of eruptive activity.The best-constrained volume
estimate of the Halemaʻumaʻu magma reservoir is 2.5 to
7.2 km3 (68 percent confidence level) based on modeling of
geodetic and lava-lake observations acquired during the
opening phases of the 2018 summit collapse (Anderson and
others, 2019). The south caldera reservoir is probably larger—
at least 10 km3 (for example, Poland and others, 2014)—but
the volume is poorly constrained</t>
  </si>
  <si>
    <t>Townsend and Huang [2022]</t>
  </si>
  <si>
    <t>TH22</t>
  </si>
  <si>
    <t>2018 LERZ intrusion onset</t>
  </si>
  <si>
    <t>Dike Chamber models, earthquake hypocenter migration, lava lake level, tilt data. Bayesian MCMC</t>
  </si>
  <si>
    <t>04/2018-05/2018</t>
  </si>
  <si>
    <t>Suggest that ERZ initiated eruption, drained HMMRM. And maybe some SCR contribution? but speculative, based on Wieser 2021 and Anderson 2019 *deflation in SCR around June-July 2018). This uses the Wang locations are priors, so it doesn't constrain depths. But it does favor a primary involvment of HMMRM over SCR.</t>
  </si>
  <si>
    <t>Anderson and Johanson [2022]</t>
  </si>
  <si>
    <t>AJ22</t>
  </si>
  <si>
    <t>2018 LERZ collapse</t>
  </si>
  <si>
    <t>Tilt and GNSS</t>
  </si>
  <si>
    <t>near vertical dike</t>
  </si>
  <si>
    <t>01/2018-01/2019</t>
  </si>
  <si>
    <t>The range considering uncertainty  isn't really stated (only plotted), but they say the best-fit is for a source at &lt;1km, which could be the top of the reservoir.</t>
  </si>
  <si>
    <t>Roman and Lundgren [2023]</t>
  </si>
  <si>
    <t>RL23</t>
  </si>
  <si>
    <t>INSAR</t>
  </si>
  <si>
    <t>01/2018-05/2018 12/ 2017 and 06/2018</t>
  </si>
  <si>
    <t xml:space="preserve">They suggest the conduit to the ERZ is 1.6-3.2 km deept in the UERZ, becoming shallower later. They say it's SCR, but also can't rule out bottom of HMMRM. Which actually would track. </t>
  </si>
  <si>
    <t>Denlinger and Flinders [2024]</t>
  </si>
  <si>
    <t>DF24</t>
  </si>
  <si>
    <t>Seismic tomography, gravity, bayesian inversion of multi geophysics</t>
  </si>
  <si>
    <t>8</t>
  </si>
  <si>
    <t>Cumulate dunite bodies. 4-6 km olivine rich mush, likely not eruptible. That matches the resistivity that indicates that below 4 is inconsistent with even 1% melt. Suggests a depth of magma reservoirs above 3 km. so just put it as 0-3</t>
  </si>
  <si>
    <t>Bedrosian [2024]</t>
  </si>
  <si>
    <t>B24</t>
  </si>
  <si>
    <t>2022-2023 MT</t>
  </si>
  <si>
    <t>MT resistivity 3D</t>
  </si>
  <si>
    <t>2022-2023</t>
  </si>
  <si>
    <t xml:space="preserve">Resistive core 4-10 km, dunite bodies. below 4 is inconsistent with even 1% melt. </t>
  </si>
  <si>
    <t>Zhou [2025]</t>
  </si>
  <si>
    <t>Z25</t>
  </si>
  <si>
    <t>LERZ 2018</t>
  </si>
  <si>
    <t>vertical component continuous waveform (broadband seismic), velocity changes,surface wave interferometry</t>
  </si>
  <si>
    <t>01/2017-12/2019</t>
  </si>
  <si>
    <t>1.15</t>
  </si>
  <si>
    <t xml:space="preserve">This is based on velocity changes which they relate to pressurization of the reservoirs. They suggest potential different sources for HMMRM and SCR, like anderson 2020. They say first HMMRM pressurized and then in July 2018 SCR pressurized, and maybe due to blockage to HMMRM, that could explain the simulaneous deflate and inflate. </t>
  </si>
  <si>
    <t>Start year</t>
  </si>
  <si>
    <t>End year</t>
  </si>
  <si>
    <t>Month/Day</t>
  </si>
  <si>
    <t>Duration (days)</t>
  </si>
  <si>
    <t>Location</t>
  </si>
  <si>
    <t>Location name</t>
  </si>
  <si>
    <t>Volume (m3)</t>
  </si>
  <si>
    <t>Volume (km3)</t>
  </si>
  <si>
    <t>Magma supply km3/yr</t>
  </si>
  <si>
    <t>The year of the activity</t>
  </si>
  <si>
    <t>When available this is the month and day of the outbreak</t>
  </si>
  <si>
    <t>How long the event lasted</t>
  </si>
  <si>
    <t>Where the outbreak ocurred</t>
  </si>
  <si>
    <t xml:space="preserve">The volume of lava erupted in cubic meters. Uncertain numbers in red. </t>
  </si>
  <si>
    <t>The volume of lava erupted in cubic kilometers</t>
  </si>
  <si>
    <t>This is a gross estimate just based on eruption duration and volume erupted</t>
  </si>
  <si>
    <t>Uēkahuna Ash</t>
  </si>
  <si>
    <t>Rift zones and summit</t>
  </si>
  <si>
    <t>Effusive period comprising  ‘Ailā‘au flows</t>
  </si>
  <si>
    <t>East rift</t>
  </si>
  <si>
    <t> ‘Ailā‘au flows</t>
  </si>
  <si>
    <t xml:space="preserve"> Keanakākoʻi Tephra</t>
  </si>
  <si>
    <t>Late Keanakākoʻi era flow?</t>
  </si>
  <si>
    <t>May. 30</t>
  </si>
  <si>
    <t>Sand Hills</t>
  </si>
  <si>
    <t>Dec. 21</t>
  </si>
  <si>
    <t>Southwest rift</t>
  </si>
  <si>
    <t>Maunaiki</t>
  </si>
  <si>
    <t>Nov. 14</t>
  </si>
  <si>
    <t>Kilauea Iki</t>
  </si>
  <si>
    <t>Jan. 13</t>
  </si>
  <si>
    <t>Kapoho</t>
  </si>
  <si>
    <t>Dec 1974</t>
  </si>
  <si>
    <t>SWRZ Dec 1974</t>
  </si>
  <si>
    <t>Feb. 22- Dec. 31</t>
  </si>
  <si>
    <t>Summit and rifts</t>
  </si>
  <si>
    <t>Maunaulu</t>
  </si>
  <si>
    <t>Jan. 3- April 30</t>
  </si>
  <si>
    <t>East rift </t>
  </si>
  <si>
    <t>Puʻu ʻŌʻō</t>
  </si>
  <si>
    <t>May. 4</t>
  </si>
  <si>
    <t>Lower East rift</t>
  </si>
  <si>
    <t>Leilani</t>
  </si>
  <si>
    <t>Dec. 20-May 23</t>
  </si>
  <si>
    <t>Halemaʻumaʻu</t>
  </si>
  <si>
    <t>Sep 29-Dec 2</t>
  </si>
  <si>
    <t>Jan 5-Mar 7</t>
  </si>
  <si>
    <t>June 7-19</t>
  </si>
  <si>
    <t>September 10-16</t>
  </si>
  <si>
    <t>June 3</t>
  </si>
  <si>
    <t>SWRZ June 2024</t>
  </si>
  <si>
    <t>Dec 23-Dec27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</si>
</sst>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1"/>
      <color rgb="FFC00000"/>
      <name val="Calibri"/>
      <family val="2"/>
      <scheme val="minor"/>
    </font>
    <font>
      <sz val="11"/>
      <color rgb="FF000000"/>
      <name val="Calibri"/>
      <family val="2"/>
      <scheme val="minor"/>
    </font>
    <font>
      <b/>
      <sz val="11"/>
      <color rgb="FF000000"/>
      <name val="Calibri"/>
      <family val="2"/>
      <scheme val="minor"/>
    </font>
    <font>
      <b/>
      <sz val="11"/>
      <color theme="9"/>
      <name val="Calibri"/>
      <family val="2"/>
      <scheme val="minor"/>
    </font>
    <font>
      <sz val="11"/>
      <color theme="9"/>
      <name val="Calibri"/>
      <family val="2"/>
      <scheme val="minor"/>
    </font>
    <font>
      <b/>
      <sz val="11"/>
      <color rgb="FFFF000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37">
    <xf numFmtId="0" fontId="0" fillId="0" borderId="0" xfId="0"/>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2" fontId="2" fillId="0" borderId="0" xfId="0" applyNumberFormat="1"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2" fontId="1" fillId="0" borderId="0" xfId="0" applyNumberFormat="1" applyFont="1" applyAlignment="1">
      <alignment horizontal="center" vertical="center" wrapText="1"/>
    </xf>
    <xf numFmtId="0" fontId="0" fillId="0" borderId="0" xfId="0" applyAlignment="1">
      <alignment horizontal="center" vertical="center" wrapText="1"/>
    </xf>
    <xf numFmtId="2" fontId="3" fillId="0" borderId="0" xfId="0" applyNumberFormat="1"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xf>
    <xf numFmtId="49" fontId="0" fillId="0" borderId="0" xfId="0" applyNumberFormat="1" applyAlignment="1">
      <alignment horizontal="center" vertical="center" wrapText="1"/>
    </xf>
    <xf numFmtId="16" fontId="0" fillId="0" borderId="0" xfId="0" applyNumberFormat="1" applyAlignment="1">
      <alignment horizontal="center" vertical="center" wrapText="1"/>
    </xf>
    <xf numFmtId="2" fontId="0" fillId="0" borderId="0" xfId="0" applyNumberFormat="1" applyAlignment="1">
      <alignment horizontal="center" vertical="center" wrapText="1"/>
    </xf>
    <xf numFmtId="0" fontId="2" fillId="2" borderId="0" xfId="0" applyFont="1" applyFill="1" applyAlignment="1">
      <alignment horizontal="center" vertical="center" wrapText="1"/>
    </xf>
    <xf numFmtId="0" fontId="0" fillId="2" borderId="0" xfId="0" applyFill="1" applyAlignment="1">
      <alignment horizontal="center" vertical="center" wrapText="1"/>
    </xf>
    <xf numFmtId="49" fontId="2" fillId="2" borderId="0" xfId="0" applyNumberFormat="1" applyFont="1" applyFill="1" applyAlignment="1">
      <alignment horizontal="center" vertical="center" wrapText="1"/>
    </xf>
    <xf numFmtId="2" fontId="2" fillId="2" borderId="0" xfId="0" applyNumberFormat="1" applyFont="1" applyFill="1" applyAlignment="1">
      <alignment horizontal="center" vertical="center" wrapText="1"/>
    </xf>
    <xf numFmtId="0" fontId="0" fillId="2" borderId="0" xfId="0" applyFill="1" applyAlignment="1">
      <alignment horizontal="center" vertical="center"/>
    </xf>
    <xf numFmtId="0" fontId="0" fillId="0" borderId="0" xfId="0" applyAlignment="1">
      <alignment wrapText="1"/>
    </xf>
    <xf numFmtId="0" fontId="2" fillId="0" borderId="0" xfId="0" applyFont="1" applyAlignment="1">
      <alignment wrapText="1"/>
    </xf>
    <xf numFmtId="49" fontId="0" fillId="0" borderId="0" xfId="0" applyNumberFormat="1" applyAlignment="1">
      <alignment wrapText="1"/>
    </xf>
    <xf numFmtId="2" fontId="0" fillId="0" borderId="0" xfId="0" applyNumberFormat="1" applyAlignment="1">
      <alignment wrapText="1"/>
    </xf>
    <xf numFmtId="164" fontId="0" fillId="0" borderId="0" xfId="0" applyNumberFormat="1" applyAlignment="1">
      <alignment horizontal="center" vertical="center"/>
    </xf>
    <xf numFmtId="164" fontId="1" fillId="0" borderId="0" xfId="0" applyNumberFormat="1" applyFont="1" applyAlignment="1">
      <alignment horizontal="center" vertical="center" wrapText="1"/>
    </xf>
    <xf numFmtId="0" fontId="6" fillId="0" borderId="0" xfId="0" applyFont="1" applyAlignment="1">
      <alignment horizontal="center" vertical="center"/>
    </xf>
    <xf numFmtId="49" fontId="6" fillId="0" borderId="0" xfId="0" applyNumberFormat="1" applyFont="1" applyAlignment="1">
      <alignment horizontal="center" vertical="center" wrapText="1"/>
    </xf>
    <xf numFmtId="0" fontId="6" fillId="0" borderId="0" xfId="0" applyFont="1" applyAlignment="1">
      <alignment horizontal="center" vertical="center" wrapText="1"/>
    </xf>
    <xf numFmtId="164"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xf>
    <xf numFmtId="164" fontId="7"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738"/>
  <sheetViews>
    <sheetView tabSelected="1" workbookViewId="0">
      <selection activeCell="K15" sqref="K15"/>
    </sheetView>
  </sheetViews>
  <sheetFormatPr baseColWidth="10" defaultColWidth="8.83203125" defaultRowHeight="15" x14ac:dyDescent="0.2"/>
  <sheetData>
    <row r="1" spans="1:63" x14ac:dyDescent="0.2">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row>
    <row r="2" spans="1:63" x14ac:dyDescent="0.2">
      <c r="A2">
        <v>0</v>
      </c>
      <c r="B2" t="s">
        <v>62</v>
      </c>
      <c r="C2" t="s">
        <v>63</v>
      </c>
      <c r="D2" t="s">
        <v>64</v>
      </c>
      <c r="E2">
        <v>-155.26785000000001</v>
      </c>
      <c r="F2">
        <v>19.407830000000001</v>
      </c>
      <c r="G2" t="s">
        <v>65</v>
      </c>
      <c r="H2" t="s">
        <v>66</v>
      </c>
      <c r="I2" t="s">
        <v>67</v>
      </c>
      <c r="J2" t="s">
        <v>68</v>
      </c>
      <c r="K2">
        <v>13.975748199218749</v>
      </c>
      <c r="L2">
        <v>12.5394398359375</v>
      </c>
      <c r="M2">
        <v>550.55799807967003</v>
      </c>
      <c r="N2">
        <v>9732.0992288944308</v>
      </c>
      <c r="Q2">
        <v>11.964</v>
      </c>
      <c r="R2">
        <v>1325.0039999999999</v>
      </c>
      <c r="S2">
        <v>50</v>
      </c>
      <c r="T2">
        <v>102.7606188</v>
      </c>
      <c r="U2">
        <v>3.2383350349999999E-2</v>
      </c>
      <c r="V2">
        <v>4.1063503900000001E-3</v>
      </c>
      <c r="W2">
        <v>0</v>
      </c>
      <c r="X2">
        <v>15.513389454978849</v>
      </c>
      <c r="Y2">
        <v>0.26338124552320269</v>
      </c>
      <c r="Z2">
        <v>1.635485445817051E-2</v>
      </c>
      <c r="AA2">
        <v>4.0075720665654103E-3</v>
      </c>
      <c r="AB2">
        <v>7.2972544034649672E-2</v>
      </c>
      <c r="AC2">
        <v>1.7833184666048E-2</v>
      </c>
      <c r="AD2">
        <v>1276.353246196147</v>
      </c>
      <c r="AE2">
        <v>50</v>
      </c>
      <c r="AF2">
        <v>87.266313929999995</v>
      </c>
      <c r="BE2">
        <v>0.1120991671044891</v>
      </c>
      <c r="BF2">
        <v>14847</v>
      </c>
      <c r="BG2">
        <v>957435.46434057131</v>
      </c>
      <c r="BH2">
        <v>465.5170276180051</v>
      </c>
      <c r="BI2">
        <v>552.05178532685864</v>
      </c>
      <c r="BJ2">
        <v>3.8204649254246679</v>
      </c>
      <c r="BK2">
        <v>465.5170276180051</v>
      </c>
    </row>
    <row r="3" spans="1:63" x14ac:dyDescent="0.2">
      <c r="A3">
        <v>1</v>
      </c>
      <c r="B3" t="s">
        <v>69</v>
      </c>
      <c r="C3" t="s">
        <v>70</v>
      </c>
      <c r="D3" t="s">
        <v>71</v>
      </c>
      <c r="E3">
        <v>-155.29521700000001</v>
      </c>
      <c r="F3">
        <v>19.380050000000001</v>
      </c>
      <c r="G3" t="s">
        <v>72</v>
      </c>
      <c r="H3" t="s">
        <v>73</v>
      </c>
      <c r="I3" t="s">
        <v>74</v>
      </c>
      <c r="J3" t="s">
        <v>68</v>
      </c>
      <c r="K3">
        <v>7.3639061960937502</v>
      </c>
      <c r="L3">
        <v>6.0982230140624996</v>
      </c>
      <c r="M3">
        <v>141.07869151285931</v>
      </c>
      <c r="N3">
        <v>1266.1463826305901</v>
      </c>
      <c r="O3" t="s">
        <v>75</v>
      </c>
      <c r="Q3">
        <v>10.071999999999999</v>
      </c>
      <c r="R3">
        <v>1324.9639999999999</v>
      </c>
      <c r="S3">
        <v>50</v>
      </c>
      <c r="T3">
        <v>102.76652968797291</v>
      </c>
      <c r="U3">
        <v>5.0462914710376061E-2</v>
      </c>
      <c r="V3">
        <v>6.4484941129947524E-3</v>
      </c>
      <c r="W3">
        <v>2.0385182678517279E-2</v>
      </c>
      <c r="X3">
        <v>25.62825474759272</v>
      </c>
      <c r="Y3">
        <v>0.25738489522353247</v>
      </c>
      <c r="Z3">
        <v>2.3845509001886742E-2</v>
      </c>
      <c r="AA3">
        <v>7.9620371270304538E-2</v>
      </c>
      <c r="AB3">
        <v>0.10630559362081041</v>
      </c>
      <c r="AC3">
        <v>0.35376215060516419</v>
      </c>
      <c r="AD3">
        <v>1175.721908727144</v>
      </c>
      <c r="AE3">
        <v>50</v>
      </c>
      <c r="AF3">
        <v>80.865820573186227</v>
      </c>
      <c r="AG3">
        <v>2.2279499999999999</v>
      </c>
      <c r="AH3">
        <v>13.352833333333299</v>
      </c>
      <c r="AI3">
        <v>0.24784999999999999</v>
      </c>
      <c r="AJ3">
        <v>10.769925000000001</v>
      </c>
      <c r="AK3">
        <v>0.458658333333333</v>
      </c>
      <c r="AL3">
        <v>2.5651666666666699</v>
      </c>
      <c r="AM3">
        <v>49.994483333333299</v>
      </c>
      <c r="AN3">
        <v>7.5202</v>
      </c>
      <c r="AP3">
        <v>0.191325</v>
      </c>
      <c r="AQ3">
        <v>98.558233333333263</v>
      </c>
      <c r="AR3">
        <v>0.14304287024271001</v>
      </c>
      <c r="AS3">
        <v>0.3104741808423</v>
      </c>
      <c r="AT3">
        <v>3.4962174365500198E-2</v>
      </c>
      <c r="AU3">
        <v>0.26587969639396197</v>
      </c>
      <c r="AV3">
        <v>3.3980675212226003E-2</v>
      </c>
      <c r="AW3">
        <v>6.29080618237777E-2</v>
      </c>
      <c r="AX3">
        <v>0.87125962713693395</v>
      </c>
      <c r="AY3">
        <v>0.51836887532826603</v>
      </c>
      <c r="BA3">
        <v>4.33659507196393E-2</v>
      </c>
      <c r="BE3">
        <v>0.36489826020403537</v>
      </c>
      <c r="BF3">
        <v>6337</v>
      </c>
      <c r="BG3">
        <v>1181150.979419132</v>
      </c>
      <c r="BH3">
        <v>1467.3485855482111</v>
      </c>
      <c r="BI3">
        <v>613.16558434469948</v>
      </c>
      <c r="BJ3">
        <v>18.432805656396209</v>
      </c>
      <c r="BK3">
        <v>1467.3485855482099</v>
      </c>
    </row>
    <row r="4" spans="1:63" x14ac:dyDescent="0.2">
      <c r="A4">
        <v>2</v>
      </c>
      <c r="B4" t="s">
        <v>69</v>
      </c>
      <c r="C4" t="s">
        <v>76</v>
      </c>
      <c r="D4" t="s">
        <v>71</v>
      </c>
      <c r="E4">
        <v>-155.29812000000001</v>
      </c>
      <c r="F4">
        <v>19.375624999999999</v>
      </c>
      <c r="G4" t="s">
        <v>77</v>
      </c>
      <c r="H4" t="s">
        <v>78</v>
      </c>
      <c r="I4" t="s">
        <v>79</v>
      </c>
      <c r="J4" t="s">
        <v>68</v>
      </c>
      <c r="K4">
        <v>9.1903395054687493</v>
      </c>
      <c r="L4">
        <v>9.0051856132812507</v>
      </c>
      <c r="M4">
        <v>260.00044826767282</v>
      </c>
      <c r="N4">
        <v>3153.8964582271342</v>
      </c>
      <c r="Q4">
        <v>11.834</v>
      </c>
      <c r="R4">
        <v>1324.9639999999999</v>
      </c>
      <c r="S4">
        <v>50</v>
      </c>
      <c r="T4">
        <v>102.7711796894732</v>
      </c>
      <c r="U4">
        <v>8.5957690542668979E-3</v>
      </c>
      <c r="V4">
        <v>8.2910113726057943E-3</v>
      </c>
      <c r="W4">
        <v>5.2231399612173122E-3</v>
      </c>
      <c r="X4">
        <v>8.3524070809809654</v>
      </c>
      <c r="Y4">
        <v>0.25068716895007831</v>
      </c>
      <c r="Z4">
        <v>3.2392587758898118E-2</v>
      </c>
      <c r="AA4">
        <v>2.3052835750166312E-2</v>
      </c>
      <c r="AB4">
        <v>0.1442717128274327</v>
      </c>
      <c r="AC4">
        <v>0.1022394040715381</v>
      </c>
      <c r="AD4">
        <v>1269.7378289566529</v>
      </c>
      <c r="AE4">
        <v>50</v>
      </c>
      <c r="AF4">
        <v>86.965132054788924</v>
      </c>
      <c r="AG4">
        <v>2.5039199999999999</v>
      </c>
      <c r="AH4">
        <v>14.096819999999999</v>
      </c>
      <c r="AI4">
        <v>0.27322000000000002</v>
      </c>
      <c r="AJ4">
        <v>10.95044</v>
      </c>
      <c r="AK4">
        <v>0.52094000000000007</v>
      </c>
      <c r="AL4">
        <v>2.9191400000000001</v>
      </c>
      <c r="AM4">
        <v>50.91704</v>
      </c>
      <c r="AN4">
        <v>6.4346599999999992</v>
      </c>
      <c r="AO4">
        <v>10.86684</v>
      </c>
      <c r="AP4">
        <v>0.19492000000000001</v>
      </c>
      <c r="AQ4">
        <v>99.70778</v>
      </c>
      <c r="AR4">
        <v>5.8797253337209539E-2</v>
      </c>
      <c r="AS4">
        <v>0.138496180452748</v>
      </c>
      <c r="AT4">
        <v>2.822688434808206E-2</v>
      </c>
      <c r="AU4">
        <v>7.1287502411011894E-2</v>
      </c>
      <c r="AV4">
        <v>1.2819243347405491E-2</v>
      </c>
      <c r="AW4">
        <v>2.3721045508155889E-2</v>
      </c>
      <c r="AX4">
        <v>0.39733328327740491</v>
      </c>
      <c r="AY4">
        <v>8.3972662218129629E-2</v>
      </c>
      <c r="AZ4">
        <v>5.8132675837260117E-2</v>
      </c>
      <c r="BA4">
        <v>1.931080008699795E-2</v>
      </c>
      <c r="BD4" t="s">
        <v>80</v>
      </c>
      <c r="BE4">
        <v>9.6661365702453983E-2</v>
      </c>
      <c r="BF4">
        <v>5935</v>
      </c>
      <c r="BG4">
        <v>595596.16250677267</v>
      </c>
      <c r="BH4">
        <v>62.107254947876029</v>
      </c>
      <c r="BI4">
        <v>435.41261660525328</v>
      </c>
      <c r="BJ4">
        <v>0.80617991277014633</v>
      </c>
      <c r="BK4">
        <v>62.107254947876022</v>
      </c>
    </row>
    <row r="5" spans="1:63" x14ac:dyDescent="0.2">
      <c r="A5">
        <v>3</v>
      </c>
      <c r="B5" t="s">
        <v>69</v>
      </c>
      <c r="C5" t="s">
        <v>81</v>
      </c>
      <c r="D5" t="s">
        <v>71</v>
      </c>
      <c r="E5">
        <v>-155.29106999999999</v>
      </c>
      <c r="F5">
        <v>19.383150000000001</v>
      </c>
      <c r="G5" t="s">
        <v>82</v>
      </c>
      <c r="H5" t="s">
        <v>83</v>
      </c>
      <c r="I5" t="s">
        <v>84</v>
      </c>
      <c r="J5" t="s">
        <v>85</v>
      </c>
      <c r="K5">
        <v>6.0490578562500001</v>
      </c>
      <c r="L5">
        <v>5.1027157406250003</v>
      </c>
      <c r="M5">
        <v>96.97035523809005</v>
      </c>
      <c r="N5">
        <v>720.92763148248127</v>
      </c>
      <c r="Q5">
        <v>9.9960000000000004</v>
      </c>
      <c r="R5">
        <v>1324.9639999999999</v>
      </c>
      <c r="S5">
        <v>100</v>
      </c>
      <c r="T5">
        <v>102.77418480061679</v>
      </c>
      <c r="U5">
        <v>3.6887410790136382E-2</v>
      </c>
      <c r="V5">
        <v>9.4817570419607478E-3</v>
      </c>
      <c r="W5">
        <v>1.514196627333716E-2</v>
      </c>
      <c r="X5">
        <v>33.95490016963771</v>
      </c>
      <c r="Y5">
        <v>0.24815583109423159</v>
      </c>
      <c r="Z5">
        <v>3.5677381330516823E-2</v>
      </c>
      <c r="AA5">
        <v>6.0040421015665361E-2</v>
      </c>
      <c r="AB5">
        <v>0.15884354471771059</v>
      </c>
      <c r="AC5">
        <v>0.26599893704400102</v>
      </c>
      <c r="AD5">
        <v>1217.058716846986</v>
      </c>
      <c r="AE5">
        <v>50</v>
      </c>
      <c r="AF5">
        <v>84.120394865865194</v>
      </c>
      <c r="AG5">
        <v>2.2102200000000001</v>
      </c>
      <c r="AH5">
        <v>12.516225</v>
      </c>
      <c r="AI5">
        <v>0.22873499999999999</v>
      </c>
      <c r="AJ5">
        <v>10.535360000000001</v>
      </c>
      <c r="AK5">
        <v>0.37534499999999998</v>
      </c>
      <c r="AL5">
        <v>2.4377900000000001</v>
      </c>
      <c r="AM5">
        <v>50.224780000000003</v>
      </c>
      <c r="AN5">
        <v>8.9844449999999991</v>
      </c>
      <c r="AP5">
        <v>0.178455</v>
      </c>
      <c r="AQ5">
        <v>99.610560000000007</v>
      </c>
      <c r="AR5">
        <v>1.7587090435884831E-2</v>
      </c>
      <c r="AS5">
        <v>0.12699126938494701</v>
      </c>
      <c r="AT5">
        <v>8.073250584491971E-3</v>
      </c>
      <c r="AU5">
        <v>6.9056800896073786E-2</v>
      </c>
      <c r="AV5">
        <v>2.248073063759274E-2</v>
      </c>
      <c r="AW5">
        <v>2.1205111412109991E-2</v>
      </c>
      <c r="AX5">
        <v>0.5052093298821787</v>
      </c>
      <c r="AY5">
        <v>0.13192220766421431</v>
      </c>
      <c r="BA5">
        <v>1.2962040734390541E-2</v>
      </c>
      <c r="BB5">
        <v>5</v>
      </c>
      <c r="BC5" t="s">
        <v>86</v>
      </c>
      <c r="BE5">
        <v>0.80340325534528678</v>
      </c>
      <c r="BF5">
        <v>13329</v>
      </c>
      <c r="BG5">
        <v>1445071.118709272</v>
      </c>
      <c r="BH5">
        <v>5790.4603574420626</v>
      </c>
      <c r="BI5">
        <v>678.21856604182653</v>
      </c>
      <c r="BJ5">
        <v>50.155008542714121</v>
      </c>
      <c r="BK5">
        <v>5790.4603574420607</v>
      </c>
    </row>
    <row r="6" spans="1:63" x14ac:dyDescent="0.2">
      <c r="A6">
        <v>4</v>
      </c>
      <c r="B6" t="s">
        <v>69</v>
      </c>
      <c r="C6" t="s">
        <v>81</v>
      </c>
      <c r="D6" t="s">
        <v>71</v>
      </c>
      <c r="E6">
        <v>-155.29106999999999</v>
      </c>
      <c r="F6">
        <v>19.383150000000001</v>
      </c>
      <c r="G6" t="s">
        <v>87</v>
      </c>
      <c r="H6" t="s">
        <v>88</v>
      </c>
      <c r="I6" t="s">
        <v>89</v>
      </c>
      <c r="J6" t="s">
        <v>90</v>
      </c>
      <c r="K6">
        <v>4.9240125960937497</v>
      </c>
      <c r="L6">
        <v>4.3376919374999998</v>
      </c>
      <c r="M6">
        <v>67.100805426733743</v>
      </c>
      <c r="N6">
        <v>414.311889219048</v>
      </c>
      <c r="Q6">
        <v>12.083</v>
      </c>
      <c r="R6">
        <v>1325.0039999999999</v>
      </c>
      <c r="S6">
        <v>50</v>
      </c>
      <c r="T6">
        <v>102.7747687317479</v>
      </c>
      <c r="U6">
        <v>2.2180234752885521E-2</v>
      </c>
      <c r="V6">
        <v>9.713133996875456E-3</v>
      </c>
      <c r="W6">
        <v>9.6373167384718877E-3</v>
      </c>
      <c r="X6">
        <v>0</v>
      </c>
      <c r="Y6">
        <v>0.24637321992995631</v>
      </c>
      <c r="Z6">
        <v>3.8005359323084582E-2</v>
      </c>
      <c r="AA6">
        <v>4.3648620683450698E-2</v>
      </c>
      <c r="AB6">
        <v>0.16916435181271841</v>
      </c>
      <c r="AC6">
        <v>0.19311676361361321</v>
      </c>
      <c r="AD6">
        <v>1279.7298495590551</v>
      </c>
      <c r="AE6">
        <v>50</v>
      </c>
      <c r="AF6">
        <v>87.416436530986786</v>
      </c>
      <c r="AG6">
        <v>2.2102200000000001</v>
      </c>
      <c r="AH6">
        <v>12.516225</v>
      </c>
      <c r="AI6">
        <v>0.22873499999999999</v>
      </c>
      <c r="AJ6">
        <v>10.535360000000001</v>
      </c>
      <c r="AK6">
        <v>0.37534499999999998</v>
      </c>
      <c r="AL6">
        <v>2.4377900000000001</v>
      </c>
      <c r="AM6">
        <v>50.224780000000003</v>
      </c>
      <c r="AN6">
        <v>8.9844449999999991</v>
      </c>
      <c r="AP6">
        <v>0.178455</v>
      </c>
      <c r="AQ6">
        <v>99.610560000000007</v>
      </c>
      <c r="AR6">
        <v>1.7587090435884831E-2</v>
      </c>
      <c r="AS6">
        <v>0.12699126938494701</v>
      </c>
      <c r="AT6">
        <v>8.073250584491971E-3</v>
      </c>
      <c r="AU6">
        <v>6.9056800896073786E-2</v>
      </c>
      <c r="AV6">
        <v>2.248073063759274E-2</v>
      </c>
      <c r="AW6">
        <v>2.1205111412109991E-2</v>
      </c>
      <c r="AX6">
        <v>0.5052093298821787</v>
      </c>
      <c r="AY6">
        <v>0.13192220766421431</v>
      </c>
      <c r="BA6">
        <v>1.2962040734390541E-2</v>
      </c>
      <c r="BB6">
        <v>5</v>
      </c>
      <c r="BC6" t="s">
        <v>86</v>
      </c>
    </row>
    <row r="7" spans="1:63" x14ac:dyDescent="0.2">
      <c r="A7">
        <v>5</v>
      </c>
      <c r="B7" t="s">
        <v>69</v>
      </c>
      <c r="C7" t="s">
        <v>91</v>
      </c>
      <c r="D7" t="s">
        <v>92</v>
      </c>
      <c r="E7">
        <v>-155.28360000000001</v>
      </c>
      <c r="F7">
        <v>19.4285</v>
      </c>
      <c r="G7" t="s">
        <v>93</v>
      </c>
      <c r="H7" t="s">
        <v>94</v>
      </c>
      <c r="I7" t="s">
        <v>95</v>
      </c>
      <c r="J7" t="s">
        <v>68</v>
      </c>
      <c r="K7">
        <v>5.2341715171875007</v>
      </c>
      <c r="L7">
        <v>4.0692013593749996</v>
      </c>
      <c r="M7">
        <v>66.912461024359743</v>
      </c>
      <c r="N7">
        <v>415.00771666538259</v>
      </c>
      <c r="O7" t="s">
        <v>96</v>
      </c>
      <c r="Q7">
        <v>12.061</v>
      </c>
      <c r="R7">
        <v>1325.0039999999999</v>
      </c>
      <c r="S7">
        <v>50</v>
      </c>
      <c r="T7">
        <v>102.7748107570268</v>
      </c>
      <c r="U7">
        <v>2.9286423980771411E-2</v>
      </c>
      <c r="V7">
        <v>9.7297860993990071E-3</v>
      </c>
      <c r="W7">
        <v>1.225967157256082E-2</v>
      </c>
      <c r="X7">
        <v>0</v>
      </c>
      <c r="Y7">
        <v>0.24696377291595689</v>
      </c>
      <c r="Z7">
        <v>3.7232986256167458E-2</v>
      </c>
      <c r="AA7">
        <v>5.0040215947399352E-2</v>
      </c>
      <c r="AB7">
        <v>0.16574072242449989</v>
      </c>
      <c r="AC7">
        <v>0.22174119458676009</v>
      </c>
      <c r="AD7">
        <v>1244.4903184340501</v>
      </c>
      <c r="AE7">
        <v>50</v>
      </c>
      <c r="AF7">
        <v>85.715959800554288</v>
      </c>
      <c r="AG7">
        <v>2.1005484848484852</v>
      </c>
      <c r="AH7">
        <v>12.543751515151509</v>
      </c>
      <c r="AJ7">
        <v>10.35766363636364</v>
      </c>
      <c r="AK7">
        <v>0.36914545454545461</v>
      </c>
      <c r="AL7">
        <v>2.199157575757575</v>
      </c>
      <c r="AM7">
        <v>49.88770303030303</v>
      </c>
      <c r="AN7">
        <v>8.5799181818181811</v>
      </c>
      <c r="AP7">
        <v>1.6854545454545459E-2</v>
      </c>
      <c r="AQ7">
        <v>97.165912121212131</v>
      </c>
      <c r="AR7">
        <v>0.12875285220435931</v>
      </c>
      <c r="AS7">
        <v>0.27438160598108169</v>
      </c>
      <c r="AU7">
        <v>0.23223845883350949</v>
      </c>
      <c r="AV7">
        <v>3.2777460728649822E-2</v>
      </c>
      <c r="AW7">
        <v>6.9021124620940399E-2</v>
      </c>
      <c r="AX7">
        <v>0.52796007335122563</v>
      </c>
      <c r="AY7">
        <v>0.70241800520351916</v>
      </c>
      <c r="BA7">
        <v>4.4618585609790254E-3</v>
      </c>
      <c r="BB7">
        <v>33</v>
      </c>
      <c r="BC7" t="s">
        <v>86</v>
      </c>
    </row>
    <row r="8" spans="1:63" x14ac:dyDescent="0.2">
      <c r="A8">
        <v>6</v>
      </c>
      <c r="B8" t="s">
        <v>69</v>
      </c>
      <c r="C8" t="s">
        <v>81</v>
      </c>
      <c r="D8" t="s">
        <v>71</v>
      </c>
      <c r="E8">
        <v>-155.29106999999999</v>
      </c>
      <c r="F8">
        <v>19.383150000000001</v>
      </c>
      <c r="G8" t="s">
        <v>87</v>
      </c>
      <c r="H8" t="s">
        <v>88</v>
      </c>
      <c r="I8" t="s">
        <v>97</v>
      </c>
      <c r="J8" t="s">
        <v>90</v>
      </c>
      <c r="K8">
        <v>5.6618967671874998</v>
      </c>
      <c r="L8">
        <v>4.8250430171874994</v>
      </c>
      <c r="M8">
        <v>85.824841283065638</v>
      </c>
      <c r="N8">
        <v>600.02662835936724</v>
      </c>
      <c r="Q8">
        <v>12.077</v>
      </c>
      <c r="R8">
        <v>1325.0039999999999</v>
      </c>
      <c r="S8">
        <v>50</v>
      </c>
      <c r="T8">
        <v>102.776820340695</v>
      </c>
      <c r="U8">
        <v>2.5081195649394629E-2</v>
      </c>
      <c r="V8">
        <v>1.0526063819511929E-2</v>
      </c>
      <c r="W8">
        <v>1.069482638299857E-2</v>
      </c>
      <c r="X8">
        <v>0</v>
      </c>
      <c r="Y8">
        <v>0.2440785666703966</v>
      </c>
      <c r="Z8">
        <v>4.1026546566243931E-2</v>
      </c>
      <c r="AA8">
        <v>4.8121644411728108E-2</v>
      </c>
      <c r="AB8">
        <v>0.1825504512068504</v>
      </c>
      <c r="AC8">
        <v>0.21274108239507439</v>
      </c>
      <c r="AD8">
        <v>1277.7485943048</v>
      </c>
      <c r="AE8">
        <v>50</v>
      </c>
      <c r="AF8">
        <v>87.328636903901213</v>
      </c>
      <c r="AG8">
        <v>2.2102200000000001</v>
      </c>
      <c r="AH8">
        <v>12.516225</v>
      </c>
      <c r="AI8">
        <v>0.22873499999999999</v>
      </c>
      <c r="AJ8">
        <v>10.535360000000001</v>
      </c>
      <c r="AK8">
        <v>0.37534499999999998</v>
      </c>
      <c r="AL8">
        <v>2.4377900000000001</v>
      </c>
      <c r="AM8">
        <v>50.224780000000003</v>
      </c>
      <c r="AN8">
        <v>8.9844449999999991</v>
      </c>
      <c r="AP8">
        <v>0.178455</v>
      </c>
      <c r="AQ8">
        <v>99.610560000000007</v>
      </c>
      <c r="AR8">
        <v>1.7587090435884831E-2</v>
      </c>
      <c r="AS8">
        <v>0.12699126938494701</v>
      </c>
      <c r="AT8">
        <v>8.073250584491971E-3</v>
      </c>
      <c r="AU8">
        <v>6.9056800896073786E-2</v>
      </c>
      <c r="AV8">
        <v>2.248073063759274E-2</v>
      </c>
      <c r="AW8">
        <v>2.1205111412109991E-2</v>
      </c>
      <c r="AX8">
        <v>0.5052093298821787</v>
      </c>
      <c r="AY8">
        <v>0.13192220766421431</v>
      </c>
      <c r="BA8">
        <v>1.2962040734390541E-2</v>
      </c>
      <c r="BB8">
        <v>5</v>
      </c>
      <c r="BC8" t="s">
        <v>86</v>
      </c>
    </row>
    <row r="9" spans="1:63" x14ac:dyDescent="0.2">
      <c r="A9">
        <v>7</v>
      </c>
      <c r="B9" t="s">
        <v>69</v>
      </c>
      <c r="C9" t="s">
        <v>76</v>
      </c>
      <c r="D9" t="s">
        <v>71</v>
      </c>
      <c r="E9">
        <v>-155.29812000000001</v>
      </c>
      <c r="F9">
        <v>19.375624999999999</v>
      </c>
      <c r="G9" t="s">
        <v>77</v>
      </c>
      <c r="H9" t="s">
        <v>98</v>
      </c>
      <c r="I9" t="s">
        <v>99</v>
      </c>
      <c r="J9" t="s">
        <v>85</v>
      </c>
      <c r="K9">
        <v>4.6433760156249999</v>
      </c>
      <c r="L9">
        <v>2.96345022734375</v>
      </c>
      <c r="M9">
        <v>43.229614619010682</v>
      </c>
      <c r="N9">
        <v>219.2267779715439</v>
      </c>
      <c r="Q9">
        <v>11.888</v>
      </c>
      <c r="R9">
        <v>1324.9639999999999</v>
      </c>
      <c r="S9">
        <v>50</v>
      </c>
      <c r="T9">
        <v>102.7813070103538</v>
      </c>
      <c r="U9">
        <v>2.0957114476632781E-2</v>
      </c>
      <c r="V9">
        <v>1.2303862446870539E-2</v>
      </c>
      <c r="W9">
        <v>9.1932658432282814E-3</v>
      </c>
      <c r="X9">
        <v>0</v>
      </c>
      <c r="Y9">
        <v>0.24082970722048549</v>
      </c>
      <c r="Z9">
        <v>4.5351031078229652E-2</v>
      </c>
      <c r="AA9">
        <v>3.6483777838146533E-2</v>
      </c>
      <c r="AB9">
        <v>0.20169548549168351</v>
      </c>
      <c r="AC9">
        <v>0.1612670812967521</v>
      </c>
      <c r="AD9">
        <v>1198.7634604381169</v>
      </c>
      <c r="AE9">
        <v>50</v>
      </c>
      <c r="AF9">
        <v>82.851070681449769</v>
      </c>
      <c r="AG9">
        <v>2.5039199999999999</v>
      </c>
      <c r="AH9">
        <v>14.096819999999999</v>
      </c>
      <c r="AI9">
        <v>0.27322000000000002</v>
      </c>
      <c r="AJ9">
        <v>10.95044</v>
      </c>
      <c r="AK9">
        <v>0.52094000000000007</v>
      </c>
      <c r="AL9">
        <v>2.9191400000000001</v>
      </c>
      <c r="AM9">
        <v>50.91704</v>
      </c>
      <c r="AN9">
        <v>6.4346599999999992</v>
      </c>
      <c r="AO9">
        <v>10.86684</v>
      </c>
      <c r="AP9">
        <v>0.19492000000000001</v>
      </c>
      <c r="AQ9">
        <v>99.70778</v>
      </c>
      <c r="AR9">
        <v>5.8797253337209539E-2</v>
      </c>
      <c r="AS9">
        <v>0.138496180452748</v>
      </c>
      <c r="AT9">
        <v>2.822688434808206E-2</v>
      </c>
      <c r="AU9">
        <v>7.1287502411011894E-2</v>
      </c>
      <c r="AV9">
        <v>1.2819243347405491E-2</v>
      </c>
      <c r="AW9">
        <v>2.3721045508155889E-2</v>
      </c>
      <c r="AX9">
        <v>0.39733328327740491</v>
      </c>
      <c r="AY9">
        <v>8.3972662218129629E-2</v>
      </c>
      <c r="AZ9">
        <v>5.8132675837260117E-2</v>
      </c>
      <c r="BA9">
        <v>1.931080008699795E-2</v>
      </c>
      <c r="BD9" t="s">
        <v>100</v>
      </c>
      <c r="BE9">
        <v>0.12542610708570601</v>
      </c>
      <c r="BF9">
        <v>1314</v>
      </c>
      <c r="BG9">
        <v>106308.648393943</v>
      </c>
      <c r="BH9">
        <v>16.400017676669599</v>
      </c>
      <c r="BI9">
        <v>183.954053422665</v>
      </c>
      <c r="BJ9">
        <v>0.45242504007982198</v>
      </c>
      <c r="BK9">
        <v>16.400017676669599</v>
      </c>
    </row>
    <row r="10" spans="1:63" x14ac:dyDescent="0.2">
      <c r="A10">
        <v>8</v>
      </c>
      <c r="B10" t="s">
        <v>69</v>
      </c>
      <c r="C10" t="s">
        <v>81</v>
      </c>
      <c r="D10" t="s">
        <v>71</v>
      </c>
      <c r="E10">
        <v>-155.29106999999999</v>
      </c>
      <c r="F10">
        <v>19.383150000000001</v>
      </c>
      <c r="G10" t="s">
        <v>87</v>
      </c>
      <c r="H10" t="s">
        <v>101</v>
      </c>
      <c r="I10" t="s">
        <v>102</v>
      </c>
      <c r="J10" t="s">
        <v>90</v>
      </c>
      <c r="K10">
        <v>4.1579427257812496</v>
      </c>
      <c r="L10">
        <v>3.8089630890624999</v>
      </c>
      <c r="M10">
        <v>49.754817730644497</v>
      </c>
      <c r="N10">
        <v>264.26129779650842</v>
      </c>
      <c r="O10" t="s">
        <v>103</v>
      </c>
      <c r="Q10">
        <v>12.068</v>
      </c>
      <c r="R10">
        <v>1325.0039999999999</v>
      </c>
      <c r="S10">
        <v>50</v>
      </c>
      <c r="T10">
        <v>102.7887290762713</v>
      </c>
      <c r="U10">
        <v>1.18983720283576E-2</v>
      </c>
      <c r="V10">
        <v>1.5244782907622319E-2</v>
      </c>
      <c r="W10">
        <v>6.1401458494287162E-3</v>
      </c>
      <c r="X10">
        <v>0</v>
      </c>
      <c r="Y10">
        <v>0.2325586656213123</v>
      </c>
      <c r="Z10">
        <v>5.6589634865028993E-2</v>
      </c>
      <c r="AA10">
        <v>2.4617795840184989E-2</v>
      </c>
      <c r="AB10">
        <v>0.25136430812802157</v>
      </c>
      <c r="AC10">
        <v>0.1084767644741612</v>
      </c>
      <c r="AD10">
        <v>1222.8304416654471</v>
      </c>
      <c r="AE10">
        <v>50</v>
      </c>
      <c r="AF10">
        <v>84.482234984605938</v>
      </c>
      <c r="AG10">
        <v>2.2102200000000001</v>
      </c>
      <c r="AH10">
        <v>12.516225</v>
      </c>
      <c r="AI10">
        <v>0.22873499999999999</v>
      </c>
      <c r="AJ10">
        <v>10.535360000000001</v>
      </c>
      <c r="AK10">
        <v>0.37534499999999998</v>
      </c>
      <c r="AL10">
        <v>2.4377900000000001</v>
      </c>
      <c r="AM10">
        <v>50.224780000000003</v>
      </c>
      <c r="AN10">
        <v>8.9844449999999991</v>
      </c>
      <c r="AP10">
        <v>0.178455</v>
      </c>
      <c r="AQ10">
        <v>99.610560000000007</v>
      </c>
      <c r="AR10">
        <v>1.7587090435884831E-2</v>
      </c>
      <c r="AS10">
        <v>0.12699126938494701</v>
      </c>
      <c r="AT10">
        <v>8.073250584491971E-3</v>
      </c>
      <c r="AU10">
        <v>6.9056800896073786E-2</v>
      </c>
      <c r="AV10">
        <v>2.248073063759274E-2</v>
      </c>
      <c r="AW10">
        <v>2.1205111412109991E-2</v>
      </c>
      <c r="AX10">
        <v>0.5052093298821787</v>
      </c>
      <c r="AY10">
        <v>0.13192220766421431</v>
      </c>
      <c r="BA10">
        <v>1.2962040734390541E-2</v>
      </c>
      <c r="BB10">
        <v>5</v>
      </c>
      <c r="BC10" t="s">
        <v>86</v>
      </c>
    </row>
    <row r="11" spans="1:63" x14ac:dyDescent="0.2">
      <c r="A11">
        <v>9</v>
      </c>
      <c r="B11" t="s">
        <v>69</v>
      </c>
      <c r="C11" t="s">
        <v>81</v>
      </c>
      <c r="D11" t="s">
        <v>71</v>
      </c>
      <c r="E11">
        <v>-155.29106999999999</v>
      </c>
      <c r="F11">
        <v>19.383150000000001</v>
      </c>
      <c r="G11" t="s">
        <v>87</v>
      </c>
      <c r="H11" t="s">
        <v>104</v>
      </c>
      <c r="I11" t="s">
        <v>105</v>
      </c>
      <c r="J11" t="s">
        <v>68</v>
      </c>
      <c r="K11">
        <v>6.9993517812499997</v>
      </c>
      <c r="L11">
        <v>5.4813920625000003</v>
      </c>
      <c r="M11">
        <v>120.53094472295631</v>
      </c>
      <c r="N11">
        <v>1002.877230888272</v>
      </c>
      <c r="O11" t="s">
        <v>106</v>
      </c>
      <c r="Q11">
        <v>12.071999999999999</v>
      </c>
      <c r="R11">
        <v>1325.0039999999999</v>
      </c>
      <c r="S11">
        <v>50</v>
      </c>
      <c r="T11">
        <v>102.78989706152559</v>
      </c>
      <c r="U11">
        <v>4.0413498511687337E-2</v>
      </c>
      <c r="V11">
        <v>1.570758555185137E-2</v>
      </c>
      <c r="W11">
        <v>1.6489127766692729E-2</v>
      </c>
      <c r="X11">
        <v>0</v>
      </c>
      <c r="Y11">
        <v>0.23134629441100979</v>
      </c>
      <c r="Z11">
        <v>5.826701924453552E-2</v>
      </c>
      <c r="AA11">
        <v>6.4427344460837685E-2</v>
      </c>
      <c r="AB11">
        <v>0.25876686805296661</v>
      </c>
      <c r="AC11">
        <v>0.2834327241991989</v>
      </c>
      <c r="AD11">
        <v>1223.7612334770611</v>
      </c>
      <c r="AE11">
        <v>50</v>
      </c>
      <c r="AF11">
        <v>84.539124363234251</v>
      </c>
      <c r="AG11">
        <v>2.2102200000000001</v>
      </c>
      <c r="AH11">
        <v>12.516225</v>
      </c>
      <c r="AI11">
        <v>0.22873499999999999</v>
      </c>
      <c r="AJ11">
        <v>10.535360000000001</v>
      </c>
      <c r="AK11">
        <v>0.37534499999999998</v>
      </c>
      <c r="AL11">
        <v>2.4377900000000001</v>
      </c>
      <c r="AM11">
        <v>50.224780000000003</v>
      </c>
      <c r="AN11">
        <v>8.9844449999999991</v>
      </c>
      <c r="AP11">
        <v>0.178455</v>
      </c>
      <c r="AQ11">
        <v>99.610560000000007</v>
      </c>
      <c r="AR11">
        <v>1.7587090435884831E-2</v>
      </c>
      <c r="AS11">
        <v>0.12699126938494701</v>
      </c>
      <c r="AT11">
        <v>8.073250584491971E-3</v>
      </c>
      <c r="AU11">
        <v>6.9056800896073786E-2</v>
      </c>
      <c r="AV11">
        <v>2.248073063759274E-2</v>
      </c>
      <c r="AW11">
        <v>2.1205111412109991E-2</v>
      </c>
      <c r="AX11">
        <v>0.5052093298821787</v>
      </c>
      <c r="AY11">
        <v>0.13192220766421431</v>
      </c>
      <c r="BA11">
        <v>1.2962040734390541E-2</v>
      </c>
      <c r="BB11">
        <v>5</v>
      </c>
      <c r="BC11" t="s">
        <v>86</v>
      </c>
    </row>
    <row r="12" spans="1:63" x14ac:dyDescent="0.2">
      <c r="A12">
        <v>10</v>
      </c>
      <c r="B12" t="s">
        <v>69</v>
      </c>
      <c r="C12" t="s">
        <v>81</v>
      </c>
      <c r="D12" t="s">
        <v>71</v>
      </c>
      <c r="E12">
        <v>-155.29106999999999</v>
      </c>
      <c r="F12">
        <v>19.383150000000001</v>
      </c>
      <c r="G12" t="s">
        <v>87</v>
      </c>
      <c r="H12" t="s">
        <v>107</v>
      </c>
      <c r="I12" t="s">
        <v>108</v>
      </c>
      <c r="J12" t="s">
        <v>68</v>
      </c>
      <c r="K12">
        <v>10.064793559375</v>
      </c>
      <c r="L12">
        <v>8.377022267187499</v>
      </c>
      <c r="M12">
        <v>264.8771006529397</v>
      </c>
      <c r="N12">
        <v>3256.543137943579</v>
      </c>
      <c r="O12" t="s">
        <v>109</v>
      </c>
      <c r="Q12">
        <v>19.972000000000001</v>
      </c>
      <c r="R12">
        <v>1325.0039999999999</v>
      </c>
      <c r="S12">
        <v>50</v>
      </c>
      <c r="T12">
        <v>102.7947302483866</v>
      </c>
      <c r="U12">
        <v>1.681328572981983E-2</v>
      </c>
      <c r="V12">
        <v>1.7622688204966149E-2</v>
      </c>
      <c r="W12">
        <v>7.7324685337978212E-3</v>
      </c>
      <c r="X12">
        <v>0</v>
      </c>
      <c r="Y12">
        <v>0.22689878449932949</v>
      </c>
      <c r="Z12">
        <v>6.449020517392659E-2</v>
      </c>
      <c r="AA12">
        <v>3.161940463786217E-2</v>
      </c>
      <c r="AB12">
        <v>0.28620674248705391</v>
      </c>
      <c r="AC12">
        <v>0.13925000189149869</v>
      </c>
      <c r="AD12">
        <v>1210.640783194727</v>
      </c>
      <c r="AE12">
        <v>50</v>
      </c>
      <c r="AF12">
        <v>83.698082087712706</v>
      </c>
      <c r="AG12">
        <v>2.2102200000000001</v>
      </c>
      <c r="AH12">
        <v>12.516225</v>
      </c>
      <c r="AI12">
        <v>0.22873499999999999</v>
      </c>
      <c r="AJ12">
        <v>10.535360000000001</v>
      </c>
      <c r="AK12">
        <v>0.37534499999999998</v>
      </c>
      <c r="AL12">
        <v>2.4377900000000001</v>
      </c>
      <c r="AM12">
        <v>50.224780000000003</v>
      </c>
      <c r="AN12">
        <v>8.9844449999999991</v>
      </c>
      <c r="AP12">
        <v>0.178455</v>
      </c>
      <c r="AQ12">
        <v>99.610560000000007</v>
      </c>
      <c r="AR12">
        <v>1.7587090435884831E-2</v>
      </c>
      <c r="AS12">
        <v>0.12699126938494701</v>
      </c>
      <c r="AT12">
        <v>8.073250584491971E-3</v>
      </c>
      <c r="AU12">
        <v>6.9056800896073786E-2</v>
      </c>
      <c r="AV12">
        <v>2.248073063759274E-2</v>
      </c>
      <c r="AW12">
        <v>2.1205111412109991E-2</v>
      </c>
      <c r="AX12">
        <v>0.5052093298821787</v>
      </c>
      <c r="AY12">
        <v>0.13192220766421431</v>
      </c>
      <c r="BA12">
        <v>1.2962040734390541E-2</v>
      </c>
      <c r="BB12">
        <v>5</v>
      </c>
      <c r="BC12" t="s">
        <v>86</v>
      </c>
    </row>
    <row r="13" spans="1:63" x14ac:dyDescent="0.2">
      <c r="A13">
        <v>11</v>
      </c>
      <c r="B13" t="s">
        <v>69</v>
      </c>
      <c r="C13" t="s">
        <v>70</v>
      </c>
      <c r="D13" t="s">
        <v>71</v>
      </c>
      <c r="E13">
        <v>-155.29521700000001</v>
      </c>
      <c r="F13">
        <v>19.380050000000001</v>
      </c>
      <c r="G13" t="s">
        <v>72</v>
      </c>
      <c r="H13" t="s">
        <v>73</v>
      </c>
      <c r="I13" t="s">
        <v>110</v>
      </c>
      <c r="J13" t="s">
        <v>68</v>
      </c>
      <c r="O13" t="s">
        <v>111</v>
      </c>
      <c r="Q13">
        <v>12.045</v>
      </c>
      <c r="R13">
        <v>1324.9639999999999</v>
      </c>
      <c r="S13">
        <v>50</v>
      </c>
      <c r="T13">
        <v>102.8029979328083</v>
      </c>
      <c r="U13">
        <v>5.7255509531813707E-2</v>
      </c>
      <c r="V13">
        <v>2.0898676662739039E-2</v>
      </c>
      <c r="W13">
        <v>2.302209015722325E-2</v>
      </c>
      <c r="X13">
        <v>1.233982302184893</v>
      </c>
      <c r="Y13">
        <v>0.2201470927565701</v>
      </c>
      <c r="Z13">
        <v>7.4153823977444064E-2</v>
      </c>
      <c r="AA13">
        <v>8.5753840687296037E-2</v>
      </c>
      <c r="AB13">
        <v>0.3287416898715852</v>
      </c>
      <c r="AC13">
        <v>0.37646502164895018</v>
      </c>
      <c r="AD13">
        <v>1175.721908727144</v>
      </c>
      <c r="AE13">
        <v>50</v>
      </c>
      <c r="AF13">
        <v>80.865820573186227</v>
      </c>
      <c r="AG13">
        <v>2.2279499999999999</v>
      </c>
      <c r="AH13">
        <v>13.352833333333299</v>
      </c>
      <c r="AI13">
        <v>0.24784999999999999</v>
      </c>
      <c r="AJ13">
        <v>10.769925000000001</v>
      </c>
      <c r="AK13">
        <v>0.458658333333333</v>
      </c>
      <c r="AL13">
        <v>2.5651666666666699</v>
      </c>
      <c r="AM13">
        <v>49.994483333333299</v>
      </c>
      <c r="AN13">
        <v>7.5202</v>
      </c>
      <c r="AP13">
        <v>0.191325</v>
      </c>
      <c r="AQ13">
        <v>98.558233333333263</v>
      </c>
      <c r="AR13">
        <v>0.14304287024271001</v>
      </c>
      <c r="AS13">
        <v>0.3104741808423</v>
      </c>
      <c r="AT13">
        <v>3.4962174365500198E-2</v>
      </c>
      <c r="AU13">
        <v>0.26587969639396197</v>
      </c>
      <c r="AV13">
        <v>3.3980675212226003E-2</v>
      </c>
      <c r="AW13">
        <v>6.29080618237777E-2</v>
      </c>
      <c r="AX13">
        <v>0.87125962713693395</v>
      </c>
      <c r="AY13">
        <v>0.51836887532826603</v>
      </c>
      <c r="BA13">
        <v>4.33659507196393E-2</v>
      </c>
      <c r="BE13">
        <v>0.36489826020403537</v>
      </c>
      <c r="BF13">
        <v>6337</v>
      </c>
      <c r="BG13">
        <v>1181150.979419132</v>
      </c>
      <c r="BH13">
        <v>1467.3485855482111</v>
      </c>
      <c r="BI13">
        <v>613.16558434469948</v>
      </c>
      <c r="BJ13">
        <v>18.432805656396209</v>
      </c>
      <c r="BK13">
        <v>1467.3485855482099</v>
      </c>
    </row>
    <row r="14" spans="1:63" x14ac:dyDescent="0.2">
      <c r="A14">
        <v>12</v>
      </c>
      <c r="B14" t="s">
        <v>69</v>
      </c>
      <c r="C14" t="s">
        <v>70</v>
      </c>
      <c r="D14" t="s">
        <v>71</v>
      </c>
      <c r="E14">
        <v>-155.29347999999999</v>
      </c>
      <c r="F14">
        <v>19.377479999999998</v>
      </c>
      <c r="G14" t="s">
        <v>112</v>
      </c>
      <c r="H14" t="s">
        <v>113</v>
      </c>
      <c r="I14" t="s">
        <v>114</v>
      </c>
      <c r="J14" t="s">
        <v>85</v>
      </c>
      <c r="K14">
        <v>3.6204966507812499</v>
      </c>
      <c r="L14">
        <v>3.6189856648437502</v>
      </c>
      <c r="M14">
        <v>41.162797787646511</v>
      </c>
      <c r="N14">
        <v>198.66489776354319</v>
      </c>
      <c r="Q14">
        <v>11.952999999999999</v>
      </c>
      <c r="R14">
        <v>1324.9639999999999</v>
      </c>
      <c r="S14">
        <v>50</v>
      </c>
      <c r="T14">
        <v>102.8130403503084</v>
      </c>
      <c r="U14">
        <v>4.4064228403969563E-2</v>
      </c>
      <c r="V14">
        <v>2.4877885609406292E-2</v>
      </c>
      <c r="W14">
        <v>1.7890529442245229E-2</v>
      </c>
      <c r="X14">
        <v>0</v>
      </c>
      <c r="Y14">
        <v>0.20611743329658341</v>
      </c>
      <c r="Z14">
        <v>9.5098743772856376E-2</v>
      </c>
      <c r="AA14">
        <v>7.342421995442934E-2</v>
      </c>
      <c r="AB14">
        <v>0.4206210916209206</v>
      </c>
      <c r="AC14">
        <v>0.3200339032590967</v>
      </c>
      <c r="AD14">
        <v>1310.7628144620151</v>
      </c>
      <c r="AE14">
        <v>50</v>
      </c>
      <c r="AF14">
        <v>88.697720662361618</v>
      </c>
      <c r="AG14">
        <v>2.1280100000000002</v>
      </c>
      <c r="AH14">
        <v>12.511455</v>
      </c>
      <c r="AI14">
        <v>0.21128</v>
      </c>
      <c r="AJ14">
        <v>10.547185000000001</v>
      </c>
      <c r="AK14">
        <v>0.43435000000000001</v>
      </c>
      <c r="AL14">
        <v>2.4173399999999998</v>
      </c>
      <c r="AM14">
        <v>50.003889999999998</v>
      </c>
      <c r="AN14">
        <v>8.5805450000000008</v>
      </c>
      <c r="AO14">
        <v>11.0444</v>
      </c>
      <c r="AP14">
        <v>0.37786999999999998</v>
      </c>
      <c r="AQ14">
        <v>98.290260000000004</v>
      </c>
      <c r="AR14">
        <v>4.7093422517846893E-2</v>
      </c>
      <c r="AS14">
        <v>0.17423154844121161</v>
      </c>
      <c r="AT14">
        <v>2.1925114974993089E-2</v>
      </c>
      <c r="AU14">
        <v>0.1853741817244248</v>
      </c>
      <c r="AV14">
        <v>1.0520403456564249E-2</v>
      </c>
      <c r="AW14">
        <v>3.5166562401109248E-2</v>
      </c>
      <c r="AX14">
        <v>0.46106226248619608</v>
      </c>
      <c r="AY14">
        <v>0.4051107053427907</v>
      </c>
      <c r="AZ14">
        <v>0.14841023100402101</v>
      </c>
      <c r="BA14">
        <v>1.7068639208924791E-2</v>
      </c>
      <c r="BD14" t="s">
        <v>115</v>
      </c>
      <c r="BE14">
        <v>0.21636858493630259</v>
      </c>
      <c r="BF14">
        <v>18935</v>
      </c>
      <c r="BG14">
        <v>973908.64573055506</v>
      </c>
      <c r="BH14">
        <v>892.58367319874992</v>
      </c>
      <c r="BI14">
        <v>556.78070205054939</v>
      </c>
      <c r="BJ14">
        <v>6.4865875459345617</v>
      </c>
      <c r="BK14">
        <v>892.5836731987506</v>
      </c>
    </row>
    <row r="15" spans="1:63" x14ac:dyDescent="0.2">
      <c r="A15">
        <v>13</v>
      </c>
      <c r="B15" t="s">
        <v>69</v>
      </c>
      <c r="C15" t="s">
        <v>91</v>
      </c>
      <c r="D15" t="s">
        <v>92</v>
      </c>
      <c r="E15">
        <v>-155.28360000000001</v>
      </c>
      <c r="F15">
        <v>19.4285</v>
      </c>
      <c r="G15" t="s">
        <v>93</v>
      </c>
      <c r="H15" t="s">
        <v>94</v>
      </c>
      <c r="I15" t="s">
        <v>116</v>
      </c>
      <c r="J15" t="s">
        <v>85</v>
      </c>
      <c r="K15">
        <v>7.3744830976562499</v>
      </c>
      <c r="L15">
        <v>5.2445159593749997</v>
      </c>
      <c r="M15">
        <v>121.5029629191858</v>
      </c>
      <c r="N15">
        <v>1022.163849669139</v>
      </c>
      <c r="O15" t="s">
        <v>117</v>
      </c>
      <c r="Q15">
        <v>12.06</v>
      </c>
      <c r="R15">
        <v>1325.0039999999999</v>
      </c>
      <c r="S15">
        <v>50</v>
      </c>
      <c r="T15">
        <v>102.81326847848339</v>
      </c>
      <c r="U15">
        <v>5.515365603358835E-2</v>
      </c>
      <c r="V15">
        <v>2.4968279150087369E-2</v>
      </c>
      <c r="W15">
        <v>2.2199504961977871E-2</v>
      </c>
      <c r="X15">
        <v>0</v>
      </c>
      <c r="Y15">
        <v>0.2084734439607322</v>
      </c>
      <c r="Z15">
        <v>9.1500115386485045E-2</v>
      </c>
      <c r="AA15">
        <v>8.6826269520333108E-2</v>
      </c>
      <c r="AB15">
        <v>0.4048650811649081</v>
      </c>
      <c r="AC15">
        <v>0.3794057639243652</v>
      </c>
      <c r="AD15">
        <v>1241.3605295029449</v>
      </c>
      <c r="AE15">
        <v>50</v>
      </c>
      <c r="AF15">
        <v>85.548258437773313</v>
      </c>
      <c r="AG15">
        <v>2.1005484848484852</v>
      </c>
      <c r="AH15">
        <v>12.543751515151509</v>
      </c>
      <c r="AJ15">
        <v>10.35766363636364</v>
      </c>
      <c r="AK15">
        <v>0.36914545454545461</v>
      </c>
      <c r="AL15">
        <v>2.199157575757575</v>
      </c>
      <c r="AM15">
        <v>49.88770303030303</v>
      </c>
      <c r="AN15">
        <v>8.5799181818181811</v>
      </c>
      <c r="AP15">
        <v>1.6854545454545459E-2</v>
      </c>
      <c r="AQ15">
        <v>97.165912121212131</v>
      </c>
      <c r="AR15">
        <v>0.12875285220435931</v>
      </c>
      <c r="AS15">
        <v>0.27438160598108169</v>
      </c>
      <c r="AU15">
        <v>0.23223845883350949</v>
      </c>
      <c r="AV15">
        <v>3.2777460728649822E-2</v>
      </c>
      <c r="AW15">
        <v>6.9021124620940399E-2</v>
      </c>
      <c r="AX15">
        <v>0.52796007335122563</v>
      </c>
      <c r="AY15">
        <v>0.70241800520351916</v>
      </c>
      <c r="BA15">
        <v>4.4618585609790254E-3</v>
      </c>
      <c r="BB15">
        <v>33</v>
      </c>
      <c r="BC15" t="s">
        <v>86</v>
      </c>
    </row>
    <row r="16" spans="1:63" x14ac:dyDescent="0.2">
      <c r="A16">
        <v>14</v>
      </c>
      <c r="B16" t="s">
        <v>69</v>
      </c>
      <c r="C16" t="s">
        <v>81</v>
      </c>
      <c r="D16" t="s">
        <v>71</v>
      </c>
      <c r="E16">
        <v>-155.29106999999999</v>
      </c>
      <c r="F16">
        <v>19.383150000000001</v>
      </c>
      <c r="G16" t="s">
        <v>87</v>
      </c>
      <c r="H16" t="s">
        <v>101</v>
      </c>
      <c r="I16" t="s">
        <v>118</v>
      </c>
      <c r="J16" t="s">
        <v>90</v>
      </c>
      <c r="K16">
        <v>5.7898075382812486</v>
      </c>
      <c r="L16">
        <v>5.2650886140624999</v>
      </c>
      <c r="M16">
        <v>95.767838419622962</v>
      </c>
      <c r="N16">
        <v>705.80233897557844</v>
      </c>
      <c r="O16" t="s">
        <v>119</v>
      </c>
      <c r="Q16">
        <v>12.064</v>
      </c>
      <c r="R16">
        <v>1325.0039999999999</v>
      </c>
      <c r="S16">
        <v>50</v>
      </c>
      <c r="T16">
        <v>102.8220283679415</v>
      </c>
      <c r="U16">
        <v>4.0173014787402636E-3</v>
      </c>
      <c r="V16">
        <v>2.8439299001938419E-2</v>
      </c>
      <c r="W16">
        <v>4.2032969570503214E-3</v>
      </c>
      <c r="X16">
        <v>0</v>
      </c>
      <c r="Y16">
        <v>0.20156900560050331</v>
      </c>
      <c r="Z16">
        <v>0.1021941855104101</v>
      </c>
      <c r="AA16">
        <v>1.962334018737277E-2</v>
      </c>
      <c r="AB16">
        <v>0.45165083051796939</v>
      </c>
      <c r="AC16">
        <v>8.5612691704266622E-2</v>
      </c>
      <c r="AD16">
        <v>1221.9388500408411</v>
      </c>
      <c r="AE16">
        <v>50</v>
      </c>
      <c r="AF16">
        <v>84.427371670729983</v>
      </c>
      <c r="AG16">
        <v>2.2102200000000001</v>
      </c>
      <c r="AH16">
        <v>12.516225</v>
      </c>
      <c r="AI16">
        <v>0.22873499999999999</v>
      </c>
      <c r="AJ16">
        <v>10.535360000000001</v>
      </c>
      <c r="AK16">
        <v>0.37534499999999998</v>
      </c>
      <c r="AL16">
        <v>2.4377900000000001</v>
      </c>
      <c r="AM16">
        <v>50.224780000000003</v>
      </c>
      <c r="AN16">
        <v>8.9844449999999991</v>
      </c>
      <c r="AP16">
        <v>0.178455</v>
      </c>
      <c r="AQ16">
        <v>99.610560000000007</v>
      </c>
      <c r="AR16">
        <v>1.7587090435884831E-2</v>
      </c>
      <c r="AS16">
        <v>0.12699126938494701</v>
      </c>
      <c r="AT16">
        <v>8.073250584491971E-3</v>
      </c>
      <c r="AU16">
        <v>6.9056800896073786E-2</v>
      </c>
      <c r="AV16">
        <v>2.248073063759274E-2</v>
      </c>
      <c r="AW16">
        <v>2.1205111412109991E-2</v>
      </c>
      <c r="AX16">
        <v>0.5052093298821787</v>
      </c>
      <c r="AY16">
        <v>0.13192220766421431</v>
      </c>
      <c r="BA16">
        <v>1.2962040734390541E-2</v>
      </c>
      <c r="BB16">
        <v>5</v>
      </c>
      <c r="BC16" t="s">
        <v>86</v>
      </c>
    </row>
    <row r="17" spans="1:63" x14ac:dyDescent="0.2">
      <c r="A17">
        <v>15</v>
      </c>
      <c r="B17" t="s">
        <v>69</v>
      </c>
      <c r="C17" t="s">
        <v>91</v>
      </c>
      <c r="D17" t="s">
        <v>92</v>
      </c>
      <c r="E17">
        <v>-155.28360000000001</v>
      </c>
      <c r="F17">
        <v>19.4285</v>
      </c>
      <c r="G17" t="s">
        <v>93</v>
      </c>
      <c r="H17" t="s">
        <v>94</v>
      </c>
      <c r="I17" t="s">
        <v>120</v>
      </c>
      <c r="J17" t="s">
        <v>85</v>
      </c>
      <c r="K17">
        <v>5.1178255999999998</v>
      </c>
      <c r="L17">
        <v>4.2120476453125004</v>
      </c>
      <c r="M17">
        <v>67.721821417615004</v>
      </c>
      <c r="N17">
        <v>421.22400651202469</v>
      </c>
      <c r="O17" t="s">
        <v>117</v>
      </c>
      <c r="Q17">
        <v>12.055</v>
      </c>
      <c r="R17">
        <v>1325.0039999999999</v>
      </c>
      <c r="S17">
        <v>50</v>
      </c>
      <c r="T17">
        <v>102.8232563852727</v>
      </c>
      <c r="U17">
        <v>3.7616670297336813E-2</v>
      </c>
      <c r="V17">
        <v>2.8925888764888441E-2</v>
      </c>
      <c r="W17">
        <v>1.540417530540049E-2</v>
      </c>
      <c r="X17">
        <v>0</v>
      </c>
      <c r="Y17">
        <v>0.19972741147372569</v>
      </c>
      <c r="Z17">
        <v>0.1050990693241117</v>
      </c>
      <c r="AA17">
        <v>6.0573756894699071E-2</v>
      </c>
      <c r="AB17">
        <v>0.46434050192992271</v>
      </c>
      <c r="AC17">
        <v>0.26432800179855281</v>
      </c>
      <c r="AD17">
        <v>1241.3605295029449</v>
      </c>
      <c r="AE17">
        <v>50</v>
      </c>
      <c r="AF17">
        <v>85.548258437773313</v>
      </c>
      <c r="AG17">
        <v>2.1005484848484852</v>
      </c>
      <c r="AH17">
        <v>12.543751515151509</v>
      </c>
      <c r="AJ17">
        <v>10.35766363636364</v>
      </c>
      <c r="AK17">
        <v>0.36914545454545461</v>
      </c>
      <c r="AL17">
        <v>2.199157575757575</v>
      </c>
      <c r="AM17">
        <v>49.88770303030303</v>
      </c>
      <c r="AN17">
        <v>8.5799181818181811</v>
      </c>
      <c r="AP17">
        <v>1.6854545454545459E-2</v>
      </c>
      <c r="AQ17">
        <v>97.165912121212131</v>
      </c>
      <c r="AR17">
        <v>0.12875285220435931</v>
      </c>
      <c r="AS17">
        <v>0.27438160598108169</v>
      </c>
      <c r="AU17">
        <v>0.23223845883350949</v>
      </c>
      <c r="AV17">
        <v>3.2777460728649822E-2</v>
      </c>
      <c r="AW17">
        <v>6.9021124620940399E-2</v>
      </c>
      <c r="AX17">
        <v>0.52796007335122563</v>
      </c>
      <c r="AY17">
        <v>0.70241800520351916</v>
      </c>
      <c r="BA17">
        <v>4.4618585609790254E-3</v>
      </c>
      <c r="BB17">
        <v>33</v>
      </c>
      <c r="BC17" t="s">
        <v>86</v>
      </c>
    </row>
    <row r="18" spans="1:63" x14ac:dyDescent="0.2">
      <c r="A18">
        <v>16</v>
      </c>
      <c r="B18" t="s">
        <v>69</v>
      </c>
      <c r="C18" t="s">
        <v>81</v>
      </c>
      <c r="D18" t="s">
        <v>71</v>
      </c>
      <c r="E18">
        <v>-155.29106999999999</v>
      </c>
      <c r="F18">
        <v>19.383150000000001</v>
      </c>
      <c r="G18" t="s">
        <v>87</v>
      </c>
      <c r="H18" t="s">
        <v>121</v>
      </c>
      <c r="I18" t="s">
        <v>122</v>
      </c>
      <c r="J18" t="s">
        <v>90</v>
      </c>
      <c r="K18">
        <v>5.2482934242187493</v>
      </c>
      <c r="L18">
        <v>4.7882563210937503</v>
      </c>
      <c r="M18">
        <v>78.948770535389968</v>
      </c>
      <c r="N18">
        <v>528.24884187313546</v>
      </c>
      <c r="O18" t="s">
        <v>123</v>
      </c>
      <c r="Q18">
        <v>12.022</v>
      </c>
      <c r="R18">
        <v>1325.0039999999999</v>
      </c>
      <c r="S18">
        <v>50</v>
      </c>
      <c r="T18">
        <v>102.8241140141478</v>
      </c>
      <c r="U18">
        <v>4.6323658593431037E-2</v>
      </c>
      <c r="V18">
        <v>2.926571575304138E-2</v>
      </c>
      <c r="W18">
        <v>1.8762504777738071E-2</v>
      </c>
      <c r="X18">
        <v>0</v>
      </c>
      <c r="Y18">
        <v>0.1997919423036576</v>
      </c>
      <c r="Z18">
        <v>0.1050008061864188</v>
      </c>
      <c r="AA18">
        <v>7.2389854109729826E-2</v>
      </c>
      <c r="AB18">
        <v>0.4639113822418271</v>
      </c>
      <c r="AC18">
        <v>0.31495642934866191</v>
      </c>
      <c r="AD18">
        <v>1222.1823811992119</v>
      </c>
      <c r="AE18">
        <v>50</v>
      </c>
      <c r="AF18">
        <v>84.442393414861456</v>
      </c>
      <c r="AG18">
        <v>2.2102200000000001</v>
      </c>
      <c r="AH18">
        <v>12.516225</v>
      </c>
      <c r="AI18">
        <v>0.22873499999999999</v>
      </c>
      <c r="AJ18">
        <v>10.535360000000001</v>
      </c>
      <c r="AK18">
        <v>0.37534499999999998</v>
      </c>
      <c r="AL18">
        <v>2.4377900000000001</v>
      </c>
      <c r="AM18">
        <v>50.224780000000003</v>
      </c>
      <c r="AN18">
        <v>8.9844449999999991</v>
      </c>
      <c r="AP18">
        <v>0.178455</v>
      </c>
      <c r="AQ18">
        <v>99.610560000000007</v>
      </c>
      <c r="AR18">
        <v>1.7587090435884831E-2</v>
      </c>
      <c r="AS18">
        <v>0.12699126938494701</v>
      </c>
      <c r="AT18">
        <v>8.073250584491971E-3</v>
      </c>
      <c r="AU18">
        <v>6.9056800896073786E-2</v>
      </c>
      <c r="AV18">
        <v>2.248073063759274E-2</v>
      </c>
      <c r="AW18">
        <v>2.1205111412109991E-2</v>
      </c>
      <c r="AX18">
        <v>0.5052093298821787</v>
      </c>
      <c r="AY18">
        <v>0.13192220766421431</v>
      </c>
      <c r="BA18">
        <v>1.2962040734390541E-2</v>
      </c>
      <c r="BB18">
        <v>5</v>
      </c>
      <c r="BC18" t="s">
        <v>86</v>
      </c>
    </row>
    <row r="19" spans="1:63" x14ac:dyDescent="0.2">
      <c r="A19">
        <v>17</v>
      </c>
      <c r="B19" t="s">
        <v>69</v>
      </c>
      <c r="C19" t="s">
        <v>91</v>
      </c>
      <c r="D19" t="s">
        <v>92</v>
      </c>
      <c r="E19">
        <v>-155.272412745889</v>
      </c>
      <c r="F19">
        <v>19.3454197541963</v>
      </c>
      <c r="G19" t="s">
        <v>124</v>
      </c>
      <c r="H19" t="s">
        <v>125</v>
      </c>
      <c r="I19" t="s">
        <v>126</v>
      </c>
      <c r="J19" t="s">
        <v>68</v>
      </c>
      <c r="O19" t="s">
        <v>127</v>
      </c>
      <c r="Q19">
        <v>11.992000000000001</v>
      </c>
      <c r="R19">
        <v>1325.0039999999999</v>
      </c>
      <c r="S19">
        <v>50</v>
      </c>
      <c r="T19">
        <v>102.8273911830145</v>
      </c>
      <c r="U19">
        <v>9.6842621410997715E-3</v>
      </c>
      <c r="V19">
        <v>3.0564261613491791E-2</v>
      </c>
      <c r="W19">
        <v>5.4598777974448082E-3</v>
      </c>
      <c r="X19">
        <v>0</v>
      </c>
      <c r="Y19">
        <v>0.19690488866930769</v>
      </c>
      <c r="Z19">
        <v>0.1096099734889036</v>
      </c>
      <c r="AA19">
        <v>2.4918777154200239E-2</v>
      </c>
      <c r="AB19">
        <v>0.48402987229923428</v>
      </c>
      <c r="AC19">
        <v>0.1085538217887654</v>
      </c>
      <c r="AD19">
        <v>1225.646929311499</v>
      </c>
      <c r="AE19">
        <v>50</v>
      </c>
      <c r="AF19">
        <v>84.653194565212601</v>
      </c>
      <c r="AG19">
        <v>2.4452269230769228</v>
      </c>
      <c r="AH19">
        <v>12.97811153846154</v>
      </c>
      <c r="AJ19">
        <v>10.30404615384615</v>
      </c>
      <c r="AK19">
        <v>0.55342692307692309</v>
      </c>
      <c r="AL19">
        <v>2.900669230769231</v>
      </c>
      <c r="AM19">
        <v>50.451046153846157</v>
      </c>
      <c r="AN19">
        <v>6.0883423076923071</v>
      </c>
      <c r="AP19">
        <v>1.6526923076923071E-2</v>
      </c>
      <c r="AQ19">
        <v>97.170811538461535</v>
      </c>
      <c r="AR19">
        <v>0.14452695958247319</v>
      </c>
      <c r="AS19">
        <v>0.56238533005541524</v>
      </c>
      <c r="AU19">
        <v>0.81302815263963402</v>
      </c>
      <c r="AV19">
        <v>0.1071919159552335</v>
      </c>
      <c r="AW19">
        <v>0.48878923864523122</v>
      </c>
      <c r="AX19">
        <v>0.42567582898799372</v>
      </c>
      <c r="AY19">
        <v>0.85490953915514445</v>
      </c>
      <c r="BA19">
        <v>4.3609684880592933E-3</v>
      </c>
      <c r="BB19">
        <v>26</v>
      </c>
      <c r="BC19" t="s">
        <v>86</v>
      </c>
    </row>
    <row r="20" spans="1:63" x14ac:dyDescent="0.2">
      <c r="A20">
        <v>18</v>
      </c>
      <c r="B20" t="s">
        <v>69</v>
      </c>
      <c r="C20" t="s">
        <v>70</v>
      </c>
      <c r="D20" t="s">
        <v>71</v>
      </c>
      <c r="E20">
        <v>-155.29347999999999</v>
      </c>
      <c r="F20">
        <v>19.377479999999998</v>
      </c>
      <c r="G20" t="s">
        <v>112</v>
      </c>
      <c r="H20" t="s">
        <v>128</v>
      </c>
      <c r="I20" t="s">
        <v>129</v>
      </c>
      <c r="J20" t="s">
        <v>68</v>
      </c>
      <c r="K20">
        <v>2.17534754765625</v>
      </c>
      <c r="L20">
        <v>1.99472498671875</v>
      </c>
      <c r="M20">
        <v>13.63206201393894</v>
      </c>
      <c r="N20">
        <v>37.897791594149012</v>
      </c>
      <c r="Q20">
        <v>12.211</v>
      </c>
      <c r="R20">
        <v>1324.9639999999999</v>
      </c>
      <c r="S20">
        <v>100</v>
      </c>
      <c r="T20">
        <v>102.8335870203466</v>
      </c>
      <c r="U20">
        <v>3.8631529514971792E-2</v>
      </c>
      <c r="V20">
        <v>3.3019301084181052E-2</v>
      </c>
      <c r="W20">
        <v>1.5790728422977629E-2</v>
      </c>
      <c r="X20">
        <v>0</v>
      </c>
      <c r="Y20">
        <v>0.18830486849859149</v>
      </c>
      <c r="Z20">
        <v>0.1237083662260922</v>
      </c>
      <c r="AA20">
        <v>6.1870600401212637E-2</v>
      </c>
      <c r="AB20">
        <v>0.54544176917974008</v>
      </c>
      <c r="AC20">
        <v>0.26877532169783019</v>
      </c>
      <c r="AD20">
        <v>1305.8903743410369</v>
      </c>
      <c r="AE20">
        <v>50</v>
      </c>
      <c r="AF20">
        <v>88.507144157273373</v>
      </c>
      <c r="AG20">
        <v>2.1280100000000002</v>
      </c>
      <c r="AH20">
        <v>12.511455</v>
      </c>
      <c r="AI20">
        <v>0.21128</v>
      </c>
      <c r="AJ20">
        <v>10.547185000000001</v>
      </c>
      <c r="AK20">
        <v>0.43435000000000001</v>
      </c>
      <c r="AL20">
        <v>2.4173399999999998</v>
      </c>
      <c r="AM20">
        <v>50.003889999999998</v>
      </c>
      <c r="AN20">
        <v>8.5805450000000008</v>
      </c>
      <c r="AO20">
        <v>11.0444</v>
      </c>
      <c r="AP20">
        <v>0.37786999999999998</v>
      </c>
      <c r="AQ20">
        <v>98.290260000000004</v>
      </c>
      <c r="AR20">
        <v>4.7093422517846893E-2</v>
      </c>
      <c r="AS20">
        <v>0.17423154844121161</v>
      </c>
      <c r="AT20">
        <v>2.1925114974993089E-2</v>
      </c>
      <c r="AU20">
        <v>0.1853741817244248</v>
      </c>
      <c r="AV20">
        <v>1.0520403456564249E-2</v>
      </c>
      <c r="AW20">
        <v>3.5166562401109248E-2</v>
      </c>
      <c r="AX20">
        <v>0.46106226248619608</v>
      </c>
      <c r="AY20">
        <v>0.4051107053427907</v>
      </c>
      <c r="AZ20">
        <v>0.14841023100402101</v>
      </c>
      <c r="BA20">
        <v>1.7068639208924791E-2</v>
      </c>
    </row>
    <row r="21" spans="1:63" x14ac:dyDescent="0.2">
      <c r="A21">
        <v>19</v>
      </c>
      <c r="B21" t="s">
        <v>69</v>
      </c>
      <c r="C21" t="s">
        <v>81</v>
      </c>
      <c r="D21" t="s">
        <v>71</v>
      </c>
      <c r="E21">
        <v>-155.29106999999999</v>
      </c>
      <c r="F21">
        <v>19.383150000000001</v>
      </c>
      <c r="G21" t="s">
        <v>87</v>
      </c>
      <c r="H21" t="s">
        <v>101</v>
      </c>
      <c r="I21" t="s">
        <v>130</v>
      </c>
      <c r="J21" t="s">
        <v>90</v>
      </c>
      <c r="K21">
        <v>4.7376382921875004</v>
      </c>
      <c r="L21">
        <v>4.2233219249999996</v>
      </c>
      <c r="M21">
        <v>62.858781773941402</v>
      </c>
      <c r="N21">
        <v>375.51669518477303</v>
      </c>
      <c r="Q21">
        <v>12.077999999999999</v>
      </c>
      <c r="R21">
        <v>1325.0039999999999</v>
      </c>
      <c r="S21">
        <v>50</v>
      </c>
      <c r="T21">
        <v>102.8347553127378</v>
      </c>
      <c r="U21">
        <v>4.3048717076499994E-3</v>
      </c>
      <c r="V21">
        <v>3.3482225428372203E-2</v>
      </c>
      <c r="W21">
        <v>4.2345620527626674E-3</v>
      </c>
      <c r="X21">
        <v>1.3364609232034059</v>
      </c>
      <c r="Y21">
        <v>0.19102062874783471</v>
      </c>
      <c r="Z21">
        <v>0.11920675246156941</v>
      </c>
      <c r="AA21">
        <v>2.0231464512582679E-2</v>
      </c>
      <c r="AB21">
        <v>0.52585355709615089</v>
      </c>
      <c r="AC21">
        <v>8.7944794859533729E-2</v>
      </c>
      <c r="AD21">
        <v>1223.0233629194729</v>
      </c>
      <c r="AE21">
        <v>50</v>
      </c>
      <c r="AF21">
        <v>84.494058392049638</v>
      </c>
      <c r="AG21">
        <v>2.2102200000000001</v>
      </c>
      <c r="AH21">
        <v>12.516225</v>
      </c>
      <c r="AI21">
        <v>0.22873499999999999</v>
      </c>
      <c r="AJ21">
        <v>10.535360000000001</v>
      </c>
      <c r="AK21">
        <v>0.37534499999999998</v>
      </c>
      <c r="AL21">
        <v>2.4377900000000001</v>
      </c>
      <c r="AM21">
        <v>50.224780000000003</v>
      </c>
      <c r="AN21">
        <v>8.9844449999999991</v>
      </c>
      <c r="AP21">
        <v>0.178455</v>
      </c>
      <c r="AQ21">
        <v>99.610560000000007</v>
      </c>
      <c r="AR21">
        <v>1.7587090435884831E-2</v>
      </c>
      <c r="AS21">
        <v>0.12699126938494701</v>
      </c>
      <c r="AT21">
        <v>8.073250584491971E-3</v>
      </c>
      <c r="AU21">
        <v>6.9056800896073786E-2</v>
      </c>
      <c r="AV21">
        <v>2.248073063759274E-2</v>
      </c>
      <c r="AW21">
        <v>2.1205111412109991E-2</v>
      </c>
      <c r="AX21">
        <v>0.5052093298821787</v>
      </c>
      <c r="AY21">
        <v>0.13192220766421431</v>
      </c>
      <c r="BA21">
        <v>1.2962040734390541E-2</v>
      </c>
      <c r="BB21">
        <v>5</v>
      </c>
      <c r="BC21" t="s">
        <v>86</v>
      </c>
    </row>
    <row r="22" spans="1:63" x14ac:dyDescent="0.2">
      <c r="A22">
        <v>20</v>
      </c>
      <c r="B22" t="s">
        <v>69</v>
      </c>
      <c r="C22" t="s">
        <v>81</v>
      </c>
      <c r="D22" t="s">
        <v>71</v>
      </c>
      <c r="E22">
        <v>-155.29106999999999</v>
      </c>
      <c r="F22">
        <v>19.383150000000001</v>
      </c>
      <c r="G22" t="s">
        <v>87</v>
      </c>
      <c r="H22" t="s">
        <v>121</v>
      </c>
      <c r="I22" t="s">
        <v>131</v>
      </c>
      <c r="J22" t="s">
        <v>90</v>
      </c>
      <c r="K22">
        <v>6.2891883906250001</v>
      </c>
      <c r="L22">
        <v>5.8616956000000009</v>
      </c>
      <c r="M22">
        <v>115.81578052405131</v>
      </c>
      <c r="N22">
        <v>938.17607562095577</v>
      </c>
      <c r="O22" t="s">
        <v>132</v>
      </c>
      <c r="Q22">
        <v>12.0785</v>
      </c>
      <c r="R22">
        <v>1325.0039999999999</v>
      </c>
      <c r="S22">
        <v>50</v>
      </c>
      <c r="T22">
        <v>102.8350027347979</v>
      </c>
      <c r="U22">
        <v>1.9391127922437201E-2</v>
      </c>
      <c r="V22">
        <v>3.3580263980866221E-2</v>
      </c>
      <c r="W22">
        <v>8.6137342918776484E-3</v>
      </c>
      <c r="X22">
        <v>0</v>
      </c>
      <c r="Y22">
        <v>0.19123492987060819</v>
      </c>
      <c r="Z22">
        <v>0.1188548181192495</v>
      </c>
      <c r="AA22">
        <v>2.284570639864851E-2</v>
      </c>
      <c r="AB22">
        <v>0.52432134543890796</v>
      </c>
      <c r="AC22">
        <v>9.9233792216940092E-2</v>
      </c>
      <c r="AD22">
        <v>1213.9026815704731</v>
      </c>
      <c r="AE22">
        <v>50</v>
      </c>
      <c r="AF22">
        <v>83.915502979801204</v>
      </c>
      <c r="AG22">
        <v>2.2102200000000001</v>
      </c>
      <c r="AH22">
        <v>12.516225</v>
      </c>
      <c r="AI22">
        <v>0.22873499999999999</v>
      </c>
      <c r="AJ22">
        <v>10.535360000000001</v>
      </c>
      <c r="AK22">
        <v>0.37534499999999998</v>
      </c>
      <c r="AL22">
        <v>2.4377900000000001</v>
      </c>
      <c r="AM22">
        <v>50.224780000000003</v>
      </c>
      <c r="AN22">
        <v>8.9844449999999991</v>
      </c>
      <c r="AP22">
        <v>0.178455</v>
      </c>
      <c r="AQ22">
        <v>99.610560000000007</v>
      </c>
      <c r="AR22">
        <v>1.7587090435884831E-2</v>
      </c>
      <c r="AS22">
        <v>0.12699126938494701</v>
      </c>
      <c r="AT22">
        <v>8.073250584491971E-3</v>
      </c>
      <c r="AU22">
        <v>6.9056800896073786E-2</v>
      </c>
      <c r="AV22">
        <v>2.248073063759274E-2</v>
      </c>
      <c r="AW22">
        <v>2.1205111412109991E-2</v>
      </c>
      <c r="AX22">
        <v>0.5052093298821787</v>
      </c>
      <c r="AY22">
        <v>0.13192220766421431</v>
      </c>
      <c r="BA22">
        <v>1.2962040734390541E-2</v>
      </c>
      <c r="BB22">
        <v>5</v>
      </c>
      <c r="BC22" t="s">
        <v>86</v>
      </c>
    </row>
    <row r="23" spans="1:63" x14ac:dyDescent="0.2">
      <c r="A23">
        <v>21</v>
      </c>
      <c r="B23" t="s">
        <v>69</v>
      </c>
      <c r="C23" t="s">
        <v>81</v>
      </c>
      <c r="D23" t="s">
        <v>71</v>
      </c>
      <c r="E23">
        <v>-155.29106999999999</v>
      </c>
      <c r="F23">
        <v>19.383150000000001</v>
      </c>
      <c r="G23" t="s">
        <v>87</v>
      </c>
      <c r="H23" t="s">
        <v>121</v>
      </c>
      <c r="I23" t="s">
        <v>133</v>
      </c>
      <c r="J23" t="s">
        <v>90</v>
      </c>
      <c r="K23">
        <v>5.7858557289062507</v>
      </c>
      <c r="L23">
        <v>5.5578130820312497</v>
      </c>
      <c r="M23">
        <v>101.0232671262164</v>
      </c>
      <c r="N23">
        <v>763.98298965244544</v>
      </c>
      <c r="O23" t="s">
        <v>132</v>
      </c>
      <c r="Q23">
        <v>11.997999999999999</v>
      </c>
      <c r="R23">
        <v>1325.0039999999999</v>
      </c>
      <c r="S23">
        <v>50</v>
      </c>
      <c r="T23">
        <v>102.8372146086722</v>
      </c>
      <c r="U23">
        <v>6.8284595209433571E-2</v>
      </c>
      <c r="V23">
        <v>3.445669720120037E-2</v>
      </c>
      <c r="W23">
        <v>2.7332909576093491E-2</v>
      </c>
      <c r="X23">
        <v>0</v>
      </c>
      <c r="Y23">
        <v>0.18948445447190479</v>
      </c>
      <c r="Z23">
        <v>0.1217605905637507</v>
      </c>
      <c r="AA23">
        <v>0.1029539897810388</v>
      </c>
      <c r="AB23">
        <v>0.53696863283323848</v>
      </c>
      <c r="AC23">
        <v>0.44584448958352418</v>
      </c>
      <c r="AD23">
        <v>1213.9026815704731</v>
      </c>
      <c r="AE23">
        <v>50</v>
      </c>
      <c r="AF23">
        <v>83.915502979801204</v>
      </c>
      <c r="AG23">
        <v>2.2102200000000001</v>
      </c>
      <c r="AH23">
        <v>12.516225</v>
      </c>
      <c r="AI23">
        <v>0.22873499999999999</v>
      </c>
      <c r="AJ23">
        <v>10.535360000000001</v>
      </c>
      <c r="AK23">
        <v>0.37534499999999998</v>
      </c>
      <c r="AL23">
        <v>2.4377900000000001</v>
      </c>
      <c r="AM23">
        <v>50.224780000000003</v>
      </c>
      <c r="AN23">
        <v>8.9844449999999991</v>
      </c>
      <c r="AP23">
        <v>0.178455</v>
      </c>
      <c r="AQ23">
        <v>99.610560000000007</v>
      </c>
      <c r="AR23">
        <v>1.7587090435884831E-2</v>
      </c>
      <c r="AS23">
        <v>0.12699126938494701</v>
      </c>
      <c r="AT23">
        <v>8.073250584491971E-3</v>
      </c>
      <c r="AU23">
        <v>6.9056800896073786E-2</v>
      </c>
      <c r="AV23">
        <v>2.248073063759274E-2</v>
      </c>
      <c r="AW23">
        <v>2.1205111412109991E-2</v>
      </c>
      <c r="AX23">
        <v>0.5052093298821787</v>
      </c>
      <c r="AY23">
        <v>0.13192220766421431</v>
      </c>
      <c r="BA23">
        <v>1.2962040734390541E-2</v>
      </c>
      <c r="BB23">
        <v>5</v>
      </c>
      <c r="BC23" t="s">
        <v>86</v>
      </c>
    </row>
    <row r="24" spans="1:63" x14ac:dyDescent="0.2">
      <c r="A24">
        <v>22</v>
      </c>
      <c r="B24" t="s">
        <v>69</v>
      </c>
      <c r="C24" t="s">
        <v>91</v>
      </c>
      <c r="D24" t="s">
        <v>92</v>
      </c>
      <c r="E24">
        <v>-155.28360000000001</v>
      </c>
      <c r="F24">
        <v>19.4285</v>
      </c>
      <c r="G24" t="s">
        <v>134</v>
      </c>
      <c r="H24" t="s">
        <v>135</v>
      </c>
      <c r="I24" t="s">
        <v>136</v>
      </c>
      <c r="J24" t="s">
        <v>85</v>
      </c>
      <c r="K24">
        <v>4.7955206765625</v>
      </c>
      <c r="L24">
        <v>4.5723015617187501</v>
      </c>
      <c r="M24">
        <v>68.884340796254676</v>
      </c>
      <c r="N24">
        <v>430.19750638699918</v>
      </c>
      <c r="O24" t="s">
        <v>137</v>
      </c>
      <c r="Q24">
        <v>12</v>
      </c>
      <c r="R24">
        <v>1325.0039999999999</v>
      </c>
      <c r="S24">
        <v>50</v>
      </c>
      <c r="T24">
        <v>102.8376074980043</v>
      </c>
      <c r="U24">
        <v>5.9291452074619871E-3</v>
      </c>
      <c r="V24">
        <v>3.4612375726339913E-2</v>
      </c>
      <c r="W24">
        <v>4.5296452150606582E-3</v>
      </c>
      <c r="X24">
        <v>0</v>
      </c>
      <c r="Y24">
        <v>0.1839481424347672</v>
      </c>
      <c r="Z24">
        <v>0.1310888500004331</v>
      </c>
      <c r="AA24">
        <v>2.3124907290397109E-2</v>
      </c>
      <c r="AB24">
        <v>0.5775153512917961</v>
      </c>
      <c r="AC24">
        <v>0.1002953558772985</v>
      </c>
      <c r="AD24">
        <v>1330.0029733130471</v>
      </c>
      <c r="AE24">
        <v>50</v>
      </c>
      <c r="AF24">
        <v>89.417485074702597</v>
      </c>
      <c r="AG24">
        <v>2.5157387096774189</v>
      </c>
      <c r="AH24">
        <v>13.241580645161291</v>
      </c>
      <c r="AJ24">
        <v>11.11674838709677</v>
      </c>
      <c r="AK24">
        <v>0.71593870967741935</v>
      </c>
      <c r="AL24">
        <v>3.0286258064516129</v>
      </c>
      <c r="AM24">
        <v>48.480519354838712</v>
      </c>
      <c r="AN24">
        <v>6.4584548387096774</v>
      </c>
      <c r="AP24">
        <v>1.553225806451613E-2</v>
      </c>
      <c r="AQ24">
        <v>96.565938709677425</v>
      </c>
      <c r="AR24">
        <v>0.13894562408227509</v>
      </c>
      <c r="AS24">
        <v>0.1729350637654776</v>
      </c>
      <c r="AU24">
        <v>0.21495337769071041</v>
      </c>
      <c r="AV24">
        <v>7.7865408140882678E-2</v>
      </c>
      <c r="AW24">
        <v>0.14998665711265111</v>
      </c>
      <c r="AX24">
        <v>0.66558597962965682</v>
      </c>
      <c r="AY24">
        <v>0.26837320636097978</v>
      </c>
      <c r="BA24">
        <v>5.6058533157628621E-3</v>
      </c>
      <c r="BB24">
        <v>31</v>
      </c>
      <c r="BC24" t="s">
        <v>86</v>
      </c>
    </row>
    <row r="25" spans="1:63" x14ac:dyDescent="0.2">
      <c r="A25">
        <v>23</v>
      </c>
      <c r="B25" t="s">
        <v>69</v>
      </c>
      <c r="C25" t="s">
        <v>81</v>
      </c>
      <c r="D25" t="s">
        <v>71</v>
      </c>
      <c r="E25">
        <v>-155.29106999999999</v>
      </c>
      <c r="F25">
        <v>19.383150000000001</v>
      </c>
      <c r="G25" t="s">
        <v>87</v>
      </c>
      <c r="H25" t="s">
        <v>121</v>
      </c>
      <c r="I25" t="s">
        <v>138</v>
      </c>
      <c r="J25" t="s">
        <v>90</v>
      </c>
      <c r="K25">
        <v>6.2225306648437497</v>
      </c>
      <c r="L25">
        <v>5.4842978046875004</v>
      </c>
      <c r="M25">
        <v>107.21065460435911</v>
      </c>
      <c r="N25">
        <v>836.73116237292811</v>
      </c>
      <c r="O25" t="s">
        <v>132</v>
      </c>
      <c r="Q25">
        <v>12.071999999999999</v>
      </c>
      <c r="R25">
        <v>1325.0039999999999</v>
      </c>
      <c r="S25">
        <v>50</v>
      </c>
      <c r="T25">
        <v>102.83845193296339</v>
      </c>
      <c r="U25">
        <v>1.900961817183907E-2</v>
      </c>
      <c r="V25">
        <v>3.4946974755300182E-2</v>
      </c>
      <c r="W25">
        <v>8.4692323666944683E-3</v>
      </c>
      <c r="X25">
        <v>0</v>
      </c>
      <c r="Y25">
        <v>0.1885134416124731</v>
      </c>
      <c r="Z25">
        <v>0.1233835020625685</v>
      </c>
      <c r="AA25">
        <v>3.5594292365622907E-2</v>
      </c>
      <c r="AB25">
        <v>0.54402880872790182</v>
      </c>
      <c r="AC25">
        <v>0.15440287569918679</v>
      </c>
      <c r="AD25">
        <v>1213.9026815704731</v>
      </c>
      <c r="AE25">
        <v>50</v>
      </c>
      <c r="AF25">
        <v>83.915502979801204</v>
      </c>
      <c r="AG25">
        <v>2.2102200000000001</v>
      </c>
      <c r="AH25">
        <v>12.516225</v>
      </c>
      <c r="AI25">
        <v>0.22873499999999999</v>
      </c>
      <c r="AJ25">
        <v>10.535360000000001</v>
      </c>
      <c r="AK25">
        <v>0.37534499999999998</v>
      </c>
      <c r="AL25">
        <v>2.4377900000000001</v>
      </c>
      <c r="AM25">
        <v>50.224780000000003</v>
      </c>
      <c r="AN25">
        <v>8.9844449999999991</v>
      </c>
      <c r="AP25">
        <v>0.178455</v>
      </c>
      <c r="AQ25">
        <v>99.610560000000007</v>
      </c>
      <c r="AR25">
        <v>1.7587090435884831E-2</v>
      </c>
      <c r="AS25">
        <v>0.12699126938494701</v>
      </c>
      <c r="AT25">
        <v>8.073250584491971E-3</v>
      </c>
      <c r="AU25">
        <v>6.9056800896073786E-2</v>
      </c>
      <c r="AV25">
        <v>2.248073063759274E-2</v>
      </c>
      <c r="AW25">
        <v>2.1205111412109991E-2</v>
      </c>
      <c r="AX25">
        <v>0.5052093298821787</v>
      </c>
      <c r="AY25">
        <v>0.13192220766421431</v>
      </c>
      <c r="BA25">
        <v>1.2962040734390541E-2</v>
      </c>
      <c r="BB25">
        <v>5</v>
      </c>
      <c r="BC25" t="s">
        <v>86</v>
      </c>
    </row>
    <row r="26" spans="1:63" x14ac:dyDescent="0.2">
      <c r="A26">
        <v>24</v>
      </c>
      <c r="B26" t="s">
        <v>62</v>
      </c>
      <c r="C26" t="s">
        <v>63</v>
      </c>
      <c r="D26" t="s">
        <v>64</v>
      </c>
      <c r="E26">
        <v>-155.26785000000001</v>
      </c>
      <c r="F26">
        <v>19.407830000000001</v>
      </c>
      <c r="G26" t="s">
        <v>65</v>
      </c>
      <c r="H26" t="s">
        <v>139</v>
      </c>
      <c r="I26" t="s">
        <v>140</v>
      </c>
      <c r="J26" t="s">
        <v>90</v>
      </c>
      <c r="K26">
        <v>7.5685285609375006</v>
      </c>
      <c r="L26">
        <v>7.5678892976562508</v>
      </c>
      <c r="M26">
        <v>179.94347263927779</v>
      </c>
      <c r="N26">
        <v>1815.799728529694</v>
      </c>
      <c r="Q26">
        <v>12.061</v>
      </c>
      <c r="R26">
        <v>1325.0039999999999</v>
      </c>
      <c r="S26">
        <v>50</v>
      </c>
      <c r="T26">
        <v>102.8434505</v>
      </c>
      <c r="U26">
        <v>3.0959964969999999E-3</v>
      </c>
      <c r="V26">
        <v>3.6927601839999998E-2</v>
      </c>
      <c r="W26">
        <v>4.0566084539999997E-3</v>
      </c>
      <c r="X26">
        <v>0</v>
      </c>
      <c r="Y26">
        <v>0.18184056552905781</v>
      </c>
      <c r="Z26">
        <v>0.13473907937337601</v>
      </c>
      <c r="AA26">
        <v>2.311202280657439E-2</v>
      </c>
      <c r="AB26">
        <v>0.59335916709978331</v>
      </c>
      <c r="AC26">
        <v>0.1000440574394649</v>
      </c>
      <c r="AD26">
        <v>1273.3791320127559</v>
      </c>
      <c r="AE26">
        <v>50</v>
      </c>
      <c r="AF26">
        <v>87.132096579999995</v>
      </c>
    </row>
    <row r="27" spans="1:63" x14ac:dyDescent="0.2">
      <c r="A27">
        <v>25</v>
      </c>
      <c r="B27" t="s">
        <v>69</v>
      </c>
      <c r="C27" t="s">
        <v>76</v>
      </c>
      <c r="D27" t="s">
        <v>71</v>
      </c>
      <c r="E27">
        <v>-155.29812000000001</v>
      </c>
      <c r="F27">
        <v>19.375624999999999</v>
      </c>
      <c r="G27" t="s">
        <v>77</v>
      </c>
      <c r="H27" t="s">
        <v>141</v>
      </c>
      <c r="I27" t="s">
        <v>142</v>
      </c>
      <c r="J27" t="s">
        <v>68</v>
      </c>
      <c r="K27">
        <v>3.044287975</v>
      </c>
      <c r="L27">
        <v>2.9465388078124999</v>
      </c>
      <c r="M27">
        <v>28.180440036082089</v>
      </c>
      <c r="N27">
        <v>112.5494232797348</v>
      </c>
      <c r="Q27">
        <v>11.907</v>
      </c>
      <c r="R27">
        <v>1324.9639999999999</v>
      </c>
      <c r="S27">
        <v>50</v>
      </c>
      <c r="T27">
        <v>102.84478943737631</v>
      </c>
      <c r="U27">
        <v>1.828544169435159E-2</v>
      </c>
      <c r="V27">
        <v>3.745814841034445E-2</v>
      </c>
      <c r="W27">
        <v>8.2119944716772201E-3</v>
      </c>
      <c r="X27">
        <v>0</v>
      </c>
      <c r="Y27">
        <v>0.18192133243541869</v>
      </c>
      <c r="Z27">
        <v>0.1346063414596792</v>
      </c>
      <c r="AA27">
        <v>3.4771245479276298E-2</v>
      </c>
      <c r="AB27">
        <v>0.59278323939678246</v>
      </c>
      <c r="AC27">
        <v>0.15063633991133041</v>
      </c>
      <c r="AD27">
        <v>1249.6620044752051</v>
      </c>
      <c r="AE27">
        <v>50</v>
      </c>
      <c r="AF27">
        <v>85.986274713126505</v>
      </c>
      <c r="AG27">
        <v>2.5039199999999999</v>
      </c>
      <c r="AH27">
        <v>14.096819999999999</v>
      </c>
      <c r="AI27">
        <v>0.27322000000000002</v>
      </c>
      <c r="AJ27">
        <v>10.95044</v>
      </c>
      <c r="AK27">
        <v>0.52094000000000007</v>
      </c>
      <c r="AL27">
        <v>2.9191400000000001</v>
      </c>
      <c r="AM27">
        <v>50.91704</v>
      </c>
      <c r="AN27">
        <v>6.4346599999999992</v>
      </c>
      <c r="AO27">
        <v>10.86684</v>
      </c>
      <c r="AP27">
        <v>0.19492000000000001</v>
      </c>
      <c r="AQ27">
        <v>99.70778</v>
      </c>
      <c r="AR27">
        <v>5.8797253337209539E-2</v>
      </c>
      <c r="AS27">
        <v>0.138496180452748</v>
      </c>
      <c r="AT27">
        <v>2.822688434808206E-2</v>
      </c>
      <c r="AU27">
        <v>7.1287502411011894E-2</v>
      </c>
      <c r="AV27">
        <v>1.2819243347405491E-2</v>
      </c>
      <c r="AW27">
        <v>2.3721045508155889E-2</v>
      </c>
      <c r="AX27">
        <v>0.39733328327740491</v>
      </c>
      <c r="AY27">
        <v>8.3972662218129629E-2</v>
      </c>
      <c r="AZ27">
        <v>5.8132675837260117E-2</v>
      </c>
      <c r="BA27">
        <v>1.931080008699795E-2</v>
      </c>
    </row>
    <row r="28" spans="1:63" x14ac:dyDescent="0.2">
      <c r="A28">
        <v>26</v>
      </c>
      <c r="B28" t="s">
        <v>69</v>
      </c>
      <c r="C28" t="s">
        <v>143</v>
      </c>
      <c r="D28" t="s">
        <v>144</v>
      </c>
      <c r="E28">
        <v>-155.22516669999999</v>
      </c>
      <c r="F28">
        <v>19.371883329999999</v>
      </c>
      <c r="G28" t="s">
        <v>145</v>
      </c>
      <c r="H28" t="s">
        <v>146</v>
      </c>
      <c r="I28" t="s">
        <v>147</v>
      </c>
      <c r="J28" t="s">
        <v>68</v>
      </c>
      <c r="K28">
        <v>5.5557790624999992</v>
      </c>
      <c r="L28">
        <v>4.2043764859374999</v>
      </c>
      <c r="M28">
        <v>73.383164850719538</v>
      </c>
      <c r="N28">
        <v>477.48740238643597</v>
      </c>
      <c r="O28" t="s">
        <v>148</v>
      </c>
      <c r="Q28">
        <v>9.9220000000000006</v>
      </c>
      <c r="R28">
        <v>1324.9639999999999</v>
      </c>
      <c r="S28">
        <v>50</v>
      </c>
      <c r="T28">
        <v>102.8485059198027</v>
      </c>
      <c r="U28">
        <v>1.0619577819680721E-2</v>
      </c>
      <c r="V28">
        <v>3.8930767938559541E-2</v>
      </c>
      <c r="W28">
        <v>5.7112683368665948E-3</v>
      </c>
      <c r="X28">
        <v>0</v>
      </c>
      <c r="Y28">
        <v>0.177692076211309</v>
      </c>
      <c r="Z28">
        <v>0.14201211722604579</v>
      </c>
      <c r="AA28">
        <v>2.7199449993497968E-2</v>
      </c>
      <c r="AB28">
        <v>0.62489020836811415</v>
      </c>
      <c r="AC28">
        <v>0.1176669208234034</v>
      </c>
      <c r="AD28">
        <v>1278.690341222396</v>
      </c>
      <c r="AE28">
        <v>50</v>
      </c>
      <c r="AF28">
        <v>87.370471036948615</v>
      </c>
      <c r="AG28">
        <v>2.1961249999999999</v>
      </c>
      <c r="AH28">
        <v>13.214425</v>
      </c>
      <c r="AI28">
        <v>0.23326250000000001</v>
      </c>
      <c r="AJ28">
        <v>10.8680875</v>
      </c>
      <c r="AK28">
        <v>0.46184999999999998</v>
      </c>
      <c r="AL28">
        <v>2.5506250000000001</v>
      </c>
      <c r="AM28">
        <v>49.975887499999999</v>
      </c>
      <c r="AN28">
        <v>7.4385374999999998</v>
      </c>
      <c r="AP28">
        <v>0.2354</v>
      </c>
      <c r="AQ28">
        <v>98.48666249999998</v>
      </c>
      <c r="AR28">
        <v>5.6378814410075299E-2</v>
      </c>
      <c r="AS28">
        <v>0.24941022862516499</v>
      </c>
      <c r="AT28">
        <v>1.4003870638403601E-2</v>
      </c>
      <c r="AU28">
        <v>0.27584699401505702</v>
      </c>
      <c r="AV28">
        <v>3.1668731762237799E-2</v>
      </c>
      <c r="AW28">
        <v>4.2427543277585897E-2</v>
      </c>
      <c r="AX28">
        <v>0.67605985245919198</v>
      </c>
      <c r="AY28">
        <v>0.10614118545597701</v>
      </c>
      <c r="BA28">
        <v>4.3851209463691802E-2</v>
      </c>
      <c r="BE28">
        <v>0.21235879696652391</v>
      </c>
      <c r="BF28">
        <v>11505</v>
      </c>
      <c r="BG28">
        <v>738756.84179756604</v>
      </c>
      <c r="BH28">
        <v>223.75899792480249</v>
      </c>
      <c r="BI28">
        <v>484.92639258972059</v>
      </c>
      <c r="BJ28">
        <v>2.0861099616365548</v>
      </c>
      <c r="BK28">
        <v>223.75899792480249</v>
      </c>
    </row>
    <row r="29" spans="1:63" x14ac:dyDescent="0.2">
      <c r="A29">
        <v>27</v>
      </c>
      <c r="B29" t="s">
        <v>69</v>
      </c>
      <c r="C29" t="s">
        <v>81</v>
      </c>
      <c r="D29" t="s">
        <v>71</v>
      </c>
      <c r="E29">
        <v>-155.29106999999999</v>
      </c>
      <c r="F29">
        <v>19.383150000000001</v>
      </c>
      <c r="G29" t="s">
        <v>87</v>
      </c>
      <c r="H29" t="s">
        <v>121</v>
      </c>
      <c r="I29" t="s">
        <v>149</v>
      </c>
      <c r="J29" t="s">
        <v>90</v>
      </c>
      <c r="K29">
        <v>9.5407720132812486</v>
      </c>
      <c r="L29">
        <v>8.5969288359375007</v>
      </c>
      <c r="M29">
        <v>257.67763301804678</v>
      </c>
      <c r="N29">
        <v>3115.7865488107359</v>
      </c>
      <c r="O29" t="s">
        <v>123</v>
      </c>
      <c r="Q29">
        <v>12.002000000000001</v>
      </c>
      <c r="R29">
        <v>1325.0039999999999</v>
      </c>
      <c r="S29">
        <v>50</v>
      </c>
      <c r="T29">
        <v>102.8536345175792</v>
      </c>
      <c r="U29">
        <v>2.4672335651447289E-2</v>
      </c>
      <c r="V29">
        <v>4.0962924255076423E-2</v>
      </c>
      <c r="W29">
        <v>1.0509408960536841E-2</v>
      </c>
      <c r="X29">
        <v>0</v>
      </c>
      <c r="Y29">
        <v>0.17630910234068431</v>
      </c>
      <c r="Z29">
        <v>0.14449139203018521</v>
      </c>
      <c r="AA29">
        <v>4.1664487380626697E-2</v>
      </c>
      <c r="AB29">
        <v>0.63562727831482557</v>
      </c>
      <c r="AC29">
        <v>0.17996993399207559</v>
      </c>
      <c r="AD29">
        <v>1228.802920769172</v>
      </c>
      <c r="AE29">
        <v>50</v>
      </c>
      <c r="AF29">
        <v>84.840688102342696</v>
      </c>
      <c r="AG29">
        <v>2.2102200000000001</v>
      </c>
      <c r="AH29">
        <v>12.516225</v>
      </c>
      <c r="AI29">
        <v>0.22873499999999999</v>
      </c>
      <c r="AJ29">
        <v>10.535360000000001</v>
      </c>
      <c r="AK29">
        <v>0.37534499999999998</v>
      </c>
      <c r="AL29">
        <v>2.4377900000000001</v>
      </c>
      <c r="AM29">
        <v>50.224780000000003</v>
      </c>
      <c r="AN29">
        <v>8.9844449999999991</v>
      </c>
      <c r="AP29">
        <v>0.178455</v>
      </c>
      <c r="AQ29">
        <v>99.610560000000007</v>
      </c>
      <c r="AR29">
        <v>1.7587090435884831E-2</v>
      </c>
      <c r="AS29">
        <v>0.12699126938494701</v>
      </c>
      <c r="AT29">
        <v>8.073250584491971E-3</v>
      </c>
      <c r="AU29">
        <v>6.9056800896073786E-2</v>
      </c>
      <c r="AV29">
        <v>2.248073063759274E-2</v>
      </c>
      <c r="AW29">
        <v>2.1205111412109991E-2</v>
      </c>
      <c r="AX29">
        <v>0.5052093298821787</v>
      </c>
      <c r="AY29">
        <v>0.13192220766421431</v>
      </c>
      <c r="BA29">
        <v>1.2962040734390541E-2</v>
      </c>
      <c r="BB29">
        <v>5</v>
      </c>
      <c r="BC29" t="s">
        <v>86</v>
      </c>
    </row>
    <row r="30" spans="1:63" x14ac:dyDescent="0.2">
      <c r="A30">
        <v>28</v>
      </c>
      <c r="B30" t="s">
        <v>69</v>
      </c>
      <c r="C30" t="s">
        <v>76</v>
      </c>
      <c r="D30" t="s">
        <v>71</v>
      </c>
      <c r="E30">
        <v>-155.29812000000001</v>
      </c>
      <c r="F30">
        <v>19.375624999999999</v>
      </c>
      <c r="G30" t="s">
        <v>77</v>
      </c>
      <c r="H30" t="s">
        <v>150</v>
      </c>
      <c r="I30" t="s">
        <v>151</v>
      </c>
      <c r="J30" t="s">
        <v>68</v>
      </c>
      <c r="K30">
        <v>5.0471579499999999</v>
      </c>
      <c r="L30">
        <v>5.0463443421875001</v>
      </c>
      <c r="M30">
        <v>80.015412874745181</v>
      </c>
      <c r="N30">
        <v>538.42383550771319</v>
      </c>
      <c r="Q30">
        <v>11.907</v>
      </c>
      <c r="R30">
        <v>1324.9639999999999</v>
      </c>
      <c r="S30">
        <v>50</v>
      </c>
      <c r="T30">
        <v>102.8548088761172</v>
      </c>
      <c r="U30">
        <v>6.6002550837159016E-3</v>
      </c>
      <c r="V30">
        <v>4.1428252250163673E-2</v>
      </c>
      <c r="W30">
        <v>4.6589094636552931E-3</v>
      </c>
      <c r="X30">
        <v>0</v>
      </c>
      <c r="Y30">
        <v>0.17188028158691579</v>
      </c>
      <c r="Z30">
        <v>0.15247986116616111</v>
      </c>
      <c r="AA30">
        <v>2.5123535917706611E-2</v>
      </c>
      <c r="AB30">
        <v>0.67018381514591574</v>
      </c>
      <c r="AC30">
        <v>0.1084119019871074</v>
      </c>
      <c r="AD30">
        <v>1300.7103384203081</v>
      </c>
      <c r="AE30">
        <v>50</v>
      </c>
      <c r="AF30">
        <v>88.300510086234169</v>
      </c>
      <c r="AG30">
        <v>2.5039199999999999</v>
      </c>
      <c r="AH30">
        <v>14.096819999999999</v>
      </c>
      <c r="AI30">
        <v>0.27322000000000002</v>
      </c>
      <c r="AJ30">
        <v>10.95044</v>
      </c>
      <c r="AK30">
        <v>0.52094000000000007</v>
      </c>
      <c r="AL30">
        <v>2.9191400000000001</v>
      </c>
      <c r="AM30">
        <v>50.91704</v>
      </c>
      <c r="AN30">
        <v>6.4346599999999992</v>
      </c>
      <c r="AO30">
        <v>10.86684</v>
      </c>
      <c r="AP30">
        <v>0.19492000000000001</v>
      </c>
      <c r="AQ30">
        <v>99.70778</v>
      </c>
      <c r="AR30">
        <v>5.8797253337209539E-2</v>
      </c>
      <c r="AS30">
        <v>0.138496180452748</v>
      </c>
      <c r="AT30">
        <v>2.822688434808206E-2</v>
      </c>
      <c r="AU30">
        <v>7.1287502411011894E-2</v>
      </c>
      <c r="AV30">
        <v>1.2819243347405491E-2</v>
      </c>
      <c r="AW30">
        <v>2.3721045508155889E-2</v>
      </c>
      <c r="AX30">
        <v>0.39733328327740491</v>
      </c>
      <c r="AY30">
        <v>8.3972662218129629E-2</v>
      </c>
      <c r="AZ30">
        <v>5.8132675837260117E-2</v>
      </c>
      <c r="BA30">
        <v>1.931080008699795E-2</v>
      </c>
      <c r="BD30" t="s">
        <v>152</v>
      </c>
      <c r="BE30">
        <v>7.9237748637538796E-2</v>
      </c>
      <c r="BF30">
        <v>1976</v>
      </c>
      <c r="BG30">
        <v>161254.484134347</v>
      </c>
      <c r="BH30">
        <v>29.7647156457483</v>
      </c>
      <c r="BI30">
        <v>226.55881464076799</v>
      </c>
      <c r="BJ30">
        <v>0.66958893421713395</v>
      </c>
      <c r="BK30">
        <v>29.7647156457483</v>
      </c>
    </row>
    <row r="31" spans="1:63" x14ac:dyDescent="0.2">
      <c r="A31">
        <v>29</v>
      </c>
      <c r="B31" t="s">
        <v>69</v>
      </c>
      <c r="C31" t="s">
        <v>81</v>
      </c>
      <c r="D31" t="s">
        <v>71</v>
      </c>
      <c r="E31">
        <v>-155.29106999999999</v>
      </c>
      <c r="F31">
        <v>19.383150000000001</v>
      </c>
      <c r="G31" t="s">
        <v>82</v>
      </c>
      <c r="H31" t="s">
        <v>153</v>
      </c>
      <c r="I31" t="s">
        <v>154</v>
      </c>
      <c r="J31" t="s">
        <v>68</v>
      </c>
      <c r="K31">
        <v>6.6779766953124993</v>
      </c>
      <c r="L31">
        <v>6.1282683882812501</v>
      </c>
      <c r="M31">
        <v>128.5678995717177</v>
      </c>
      <c r="N31">
        <v>1097.648021198856</v>
      </c>
      <c r="Q31">
        <v>10.025</v>
      </c>
      <c r="R31">
        <v>1324.9639999999999</v>
      </c>
      <c r="S31">
        <v>50</v>
      </c>
      <c r="T31">
        <v>102.869768507647</v>
      </c>
      <c r="U31">
        <v>1.4438333778341699E-2</v>
      </c>
      <c r="V31">
        <v>4.7355858787248913E-2</v>
      </c>
      <c r="W31">
        <v>6.8917123628626856E-3</v>
      </c>
      <c r="X31">
        <v>0</v>
      </c>
      <c r="Y31">
        <v>0.16549417556308571</v>
      </c>
      <c r="Z31">
        <v>0.1644367655800863</v>
      </c>
      <c r="AA31">
        <v>3.1687084130680519E-2</v>
      </c>
      <c r="AB31">
        <v>0.7217951111760067</v>
      </c>
      <c r="AC31">
        <v>0.13640474274481651</v>
      </c>
      <c r="AD31">
        <v>1218.6670014718179</v>
      </c>
      <c r="AE31">
        <v>50</v>
      </c>
      <c r="AF31">
        <v>84.222842355947336</v>
      </c>
      <c r="AG31">
        <v>2.2102200000000001</v>
      </c>
      <c r="AH31">
        <v>12.516225</v>
      </c>
      <c r="AI31">
        <v>0.22873499999999999</v>
      </c>
      <c r="AJ31">
        <v>10.535360000000001</v>
      </c>
      <c r="AK31">
        <v>0.37534499999999998</v>
      </c>
      <c r="AL31">
        <v>2.4377900000000001</v>
      </c>
      <c r="AM31">
        <v>50.224780000000003</v>
      </c>
      <c r="AN31">
        <v>8.9844449999999991</v>
      </c>
      <c r="AP31">
        <v>0.178455</v>
      </c>
      <c r="AQ31">
        <v>99.610560000000007</v>
      </c>
      <c r="AR31">
        <v>1.7587090435884831E-2</v>
      </c>
      <c r="AS31">
        <v>0.12699126938494701</v>
      </c>
      <c r="AT31">
        <v>8.073250584491971E-3</v>
      </c>
      <c r="AU31">
        <v>6.9056800896073786E-2</v>
      </c>
      <c r="AV31">
        <v>2.248073063759274E-2</v>
      </c>
      <c r="AW31">
        <v>2.1205111412109991E-2</v>
      </c>
      <c r="AX31">
        <v>0.5052093298821787</v>
      </c>
      <c r="AY31">
        <v>0.13192220766421431</v>
      </c>
      <c r="BA31">
        <v>1.2962040734390541E-2</v>
      </c>
      <c r="BB31">
        <v>5</v>
      </c>
      <c r="BC31" t="s">
        <v>86</v>
      </c>
      <c r="BE31">
        <v>0.13380521639574569</v>
      </c>
      <c r="BF31">
        <v>1501</v>
      </c>
      <c r="BG31">
        <v>111166.094240687</v>
      </c>
      <c r="BH31">
        <v>184.92285259005959</v>
      </c>
      <c r="BI31">
        <v>188.10972012431901</v>
      </c>
      <c r="BJ31">
        <v>4.7730967555949562</v>
      </c>
      <c r="BK31">
        <v>184.92285259005959</v>
      </c>
    </row>
    <row r="32" spans="1:63" x14ac:dyDescent="0.2">
      <c r="A32">
        <v>30</v>
      </c>
      <c r="B32" t="s">
        <v>69</v>
      </c>
      <c r="C32" t="s">
        <v>81</v>
      </c>
      <c r="D32" t="s">
        <v>71</v>
      </c>
      <c r="E32">
        <v>-155.29106999999999</v>
      </c>
      <c r="F32">
        <v>19.383150000000001</v>
      </c>
      <c r="G32" t="s">
        <v>82</v>
      </c>
      <c r="H32" t="s">
        <v>155</v>
      </c>
      <c r="I32" t="s">
        <v>156</v>
      </c>
      <c r="J32" t="s">
        <v>85</v>
      </c>
      <c r="K32">
        <v>9.8451194499999986</v>
      </c>
      <c r="L32">
        <v>8.5464851515625018</v>
      </c>
      <c r="M32">
        <v>264.33727272360449</v>
      </c>
      <c r="N32">
        <v>3241.0577342586171</v>
      </c>
      <c r="Q32">
        <v>10.026999999999999</v>
      </c>
      <c r="R32">
        <v>1324.9639999999999</v>
      </c>
      <c r="S32">
        <v>50</v>
      </c>
      <c r="T32">
        <v>102.8701556752662</v>
      </c>
      <c r="U32">
        <v>8.0705422615111409E-3</v>
      </c>
      <c r="V32">
        <v>4.7509270140068338E-2</v>
      </c>
      <c r="W32">
        <v>4.9989289073630594E-3</v>
      </c>
      <c r="X32">
        <v>0</v>
      </c>
      <c r="Y32">
        <v>0.16672866475026521</v>
      </c>
      <c r="Z32">
        <v>0.16210804058304359</v>
      </c>
      <c r="AA32">
        <v>2.456940022939914E-2</v>
      </c>
      <c r="AB32">
        <v>0.71175379651280879</v>
      </c>
      <c r="AC32">
        <v>0.1058472529099936</v>
      </c>
      <c r="AD32">
        <v>1191.0824574481801</v>
      </c>
      <c r="AE32">
        <v>50</v>
      </c>
      <c r="AF32">
        <v>82.248226995325311</v>
      </c>
      <c r="AG32">
        <v>2.2102200000000001</v>
      </c>
      <c r="AH32">
        <v>12.516225</v>
      </c>
      <c r="AI32">
        <v>0.22873499999999999</v>
      </c>
      <c r="AJ32">
        <v>10.535360000000001</v>
      </c>
      <c r="AK32">
        <v>0.37534499999999998</v>
      </c>
      <c r="AL32">
        <v>2.4377900000000001</v>
      </c>
      <c r="AM32">
        <v>50.224780000000003</v>
      </c>
      <c r="AN32">
        <v>8.9844449999999991</v>
      </c>
      <c r="AP32">
        <v>0.178455</v>
      </c>
      <c r="AQ32">
        <v>99.610560000000007</v>
      </c>
      <c r="AR32">
        <v>1.7587090435884831E-2</v>
      </c>
      <c r="AS32">
        <v>0.12699126938494701</v>
      </c>
      <c r="AT32">
        <v>8.073250584491971E-3</v>
      </c>
      <c r="AU32">
        <v>6.9056800896073786E-2</v>
      </c>
      <c r="AV32">
        <v>2.248073063759274E-2</v>
      </c>
      <c r="AW32">
        <v>2.1205111412109991E-2</v>
      </c>
      <c r="AX32">
        <v>0.5052093298821787</v>
      </c>
      <c r="AY32">
        <v>0.13192220766421431</v>
      </c>
      <c r="BA32">
        <v>1.2962040734390541E-2</v>
      </c>
      <c r="BB32">
        <v>5</v>
      </c>
      <c r="BC32" t="s">
        <v>86</v>
      </c>
      <c r="BE32">
        <v>0.63922203928279209</v>
      </c>
      <c r="BF32">
        <v>16732</v>
      </c>
      <c r="BG32">
        <v>1819883.853169278</v>
      </c>
      <c r="BH32">
        <v>7325.5957907579505</v>
      </c>
      <c r="BI32">
        <v>761.10907376671787</v>
      </c>
      <c r="BJ32">
        <v>56.632929024258971</v>
      </c>
      <c r="BK32">
        <v>7325.5957907579459</v>
      </c>
    </row>
    <row r="33" spans="1:63" x14ac:dyDescent="0.2">
      <c r="A33">
        <v>31</v>
      </c>
      <c r="B33" t="s">
        <v>69</v>
      </c>
      <c r="C33" t="s">
        <v>157</v>
      </c>
      <c r="D33" t="s">
        <v>64</v>
      </c>
      <c r="G33" t="s">
        <v>158</v>
      </c>
      <c r="H33" t="s">
        <v>159</v>
      </c>
      <c r="I33" t="s">
        <v>160</v>
      </c>
      <c r="J33" t="s">
        <v>68</v>
      </c>
      <c r="K33">
        <v>10.71655153203125</v>
      </c>
      <c r="L33">
        <v>9.3558505804687488</v>
      </c>
      <c r="M33">
        <v>314.98379165542713</v>
      </c>
      <c r="N33">
        <v>4214.9875500184362</v>
      </c>
      <c r="Q33">
        <v>10.147</v>
      </c>
      <c r="R33">
        <v>1324.9639999999999</v>
      </c>
      <c r="S33">
        <v>50</v>
      </c>
      <c r="T33">
        <v>102.87071507638311</v>
      </c>
      <c r="U33">
        <v>4.4213495061121034E-3</v>
      </c>
      <c r="V33">
        <v>4.7730927318646373E-2</v>
      </c>
      <c r="W33">
        <v>4.2223968991362913E-3</v>
      </c>
      <c r="X33">
        <v>0</v>
      </c>
      <c r="Y33">
        <v>0.16956457708523681</v>
      </c>
      <c r="Z33">
        <v>0.15682080123186901</v>
      </c>
      <c r="AA33">
        <v>2.1502800441365991E-2</v>
      </c>
      <c r="AB33">
        <v>0.688936720778485</v>
      </c>
      <c r="AC33">
        <v>9.2710834374505946E-2</v>
      </c>
      <c r="AD33">
        <v>1133.097605544915</v>
      </c>
      <c r="AE33">
        <v>50</v>
      </c>
      <c r="AF33">
        <v>73.378071697428126</v>
      </c>
      <c r="AG33">
        <v>2.4084062500000001</v>
      </c>
      <c r="AH33">
        <v>13.3720625</v>
      </c>
      <c r="AI33">
        <v>0.31026874999999998</v>
      </c>
      <c r="AJ33">
        <v>10.387225000000001</v>
      </c>
      <c r="AK33">
        <v>0.59164375000000002</v>
      </c>
      <c r="AL33">
        <v>3.0521875000000001</v>
      </c>
      <c r="AM33">
        <v>49.819099999999999</v>
      </c>
      <c r="AN33">
        <v>5.8739499999999998</v>
      </c>
      <c r="AP33">
        <v>0.19186249999999999</v>
      </c>
      <c r="AQ33">
        <v>97.820293750000005</v>
      </c>
      <c r="AR33">
        <v>8.7457962997469094E-2</v>
      </c>
      <c r="AS33">
        <v>0.20894986918716499</v>
      </c>
      <c r="AT33">
        <v>3.6791968666182201E-2</v>
      </c>
      <c r="AU33">
        <v>0.19989042831845</v>
      </c>
      <c r="AV33">
        <v>2.81971149528931E-2</v>
      </c>
      <c r="AW33">
        <v>5.5804024645778501E-2</v>
      </c>
      <c r="AX33">
        <v>0.88416756556661702</v>
      </c>
      <c r="AY33">
        <v>0.205613822492555</v>
      </c>
      <c r="BA33">
        <v>4.9243326112953303E-2</v>
      </c>
      <c r="BE33">
        <v>0.59852726350235907</v>
      </c>
      <c r="BF33">
        <v>1238</v>
      </c>
      <c r="BG33">
        <v>45062.88269691795</v>
      </c>
      <c r="BH33">
        <v>365.09566827729799</v>
      </c>
      <c r="BI33">
        <v>119.7662768160114</v>
      </c>
      <c r="BJ33">
        <v>10.376391706290001</v>
      </c>
      <c r="BK33">
        <v>365.09566827729782</v>
      </c>
    </row>
    <row r="34" spans="1:63" x14ac:dyDescent="0.2">
      <c r="A34">
        <v>32</v>
      </c>
      <c r="B34" t="s">
        <v>62</v>
      </c>
      <c r="C34" t="s">
        <v>63</v>
      </c>
      <c r="D34" t="s">
        <v>64</v>
      </c>
      <c r="E34">
        <v>-155.26785000000001</v>
      </c>
      <c r="F34">
        <v>19.407830000000001</v>
      </c>
      <c r="G34" t="s">
        <v>65</v>
      </c>
      <c r="H34" t="s">
        <v>161</v>
      </c>
      <c r="I34" t="s">
        <v>162</v>
      </c>
      <c r="J34" t="s">
        <v>68</v>
      </c>
      <c r="K34">
        <v>6.8347124289062497</v>
      </c>
      <c r="L34">
        <v>6.1972507078125014</v>
      </c>
      <c r="M34">
        <v>133.0666381291021</v>
      </c>
      <c r="N34">
        <v>1156.0796818837021</v>
      </c>
      <c r="Q34">
        <v>19.978000000000002</v>
      </c>
      <c r="R34">
        <v>1325.0039999999999</v>
      </c>
      <c r="S34">
        <v>50</v>
      </c>
      <c r="T34">
        <v>102.87326950000001</v>
      </c>
      <c r="U34">
        <v>3.6063914789999998E-3</v>
      </c>
      <c r="V34">
        <v>4.8743095E-2</v>
      </c>
      <c r="W34">
        <v>4.0970523410000003E-3</v>
      </c>
      <c r="X34">
        <v>10.103422876999099</v>
      </c>
      <c r="Y34">
        <v>0.15920337570167581</v>
      </c>
      <c r="Z34">
        <v>0.1766125487794025</v>
      </c>
      <c r="AA34">
        <v>2.419495363274014E-2</v>
      </c>
      <c r="AB34">
        <v>0.77421395183057884</v>
      </c>
      <c r="AC34">
        <v>0.1038577834673455</v>
      </c>
      <c r="AD34">
        <v>1292.2186479426939</v>
      </c>
      <c r="AE34">
        <v>50</v>
      </c>
      <c r="AF34">
        <v>87.952230420000006</v>
      </c>
      <c r="BE34">
        <v>0.37873432347698349</v>
      </c>
      <c r="BF34">
        <v>2912</v>
      </c>
      <c r="BG34">
        <v>186237.86243962811</v>
      </c>
      <c r="BH34">
        <v>313.98690323248218</v>
      </c>
      <c r="BI34">
        <v>243.47762278343049</v>
      </c>
      <c r="BJ34">
        <v>5.8185644365403197</v>
      </c>
      <c r="BK34">
        <v>313.98690323248229</v>
      </c>
    </row>
    <row r="35" spans="1:63" x14ac:dyDescent="0.2">
      <c r="A35">
        <v>33</v>
      </c>
      <c r="B35" t="s">
        <v>69</v>
      </c>
      <c r="C35" t="s">
        <v>76</v>
      </c>
      <c r="D35" t="s">
        <v>71</v>
      </c>
      <c r="E35">
        <v>-155.29812000000001</v>
      </c>
      <c r="F35">
        <v>19.375624999999999</v>
      </c>
      <c r="G35" t="s">
        <v>77</v>
      </c>
      <c r="H35" t="s">
        <v>163</v>
      </c>
      <c r="I35" t="s">
        <v>164</v>
      </c>
      <c r="J35" t="s">
        <v>68</v>
      </c>
      <c r="K35">
        <v>6.0069245945312506</v>
      </c>
      <c r="L35">
        <v>5.5880328007812503</v>
      </c>
      <c r="M35">
        <v>105.4535002619393</v>
      </c>
      <c r="N35">
        <v>815.1525618158413</v>
      </c>
      <c r="Q35">
        <v>11.878</v>
      </c>
      <c r="R35">
        <v>1324.9639999999999</v>
      </c>
      <c r="S35">
        <v>50</v>
      </c>
      <c r="T35">
        <v>102.87356306445</v>
      </c>
      <c r="U35">
        <v>3.498099204522175E-3</v>
      </c>
      <c r="V35">
        <v>4.8859414517629318E-2</v>
      </c>
      <c r="W35">
        <v>4.0820673616460534E-3</v>
      </c>
      <c r="X35">
        <v>16.608157352014238</v>
      </c>
      <c r="Y35">
        <v>0.16179137562591911</v>
      </c>
      <c r="Z35">
        <v>0.1715554872823653</v>
      </c>
      <c r="AA35">
        <v>2.2066928803939689E-2</v>
      </c>
      <c r="AB35">
        <v>0.75245919885146073</v>
      </c>
      <c r="AC35">
        <v>9.4807444751095649E-2</v>
      </c>
      <c r="AD35">
        <v>1240.0432497966531</v>
      </c>
      <c r="AE35">
        <v>50</v>
      </c>
      <c r="AF35">
        <v>85.476703241181923</v>
      </c>
      <c r="AG35">
        <v>2.5039199999999999</v>
      </c>
      <c r="AH35">
        <v>14.096819999999999</v>
      </c>
      <c r="AI35">
        <v>0.27322000000000002</v>
      </c>
      <c r="AJ35">
        <v>10.95044</v>
      </c>
      <c r="AK35">
        <v>0.52094000000000007</v>
      </c>
      <c r="AL35">
        <v>2.9191400000000001</v>
      </c>
      <c r="AM35">
        <v>50.91704</v>
      </c>
      <c r="AN35">
        <v>6.4346599999999992</v>
      </c>
      <c r="AO35">
        <v>10.86684</v>
      </c>
      <c r="AP35">
        <v>0.19492000000000001</v>
      </c>
      <c r="AQ35">
        <v>99.70778</v>
      </c>
      <c r="AR35">
        <v>5.8797253337209539E-2</v>
      </c>
      <c r="AS35">
        <v>0.138496180452748</v>
      </c>
      <c r="AT35">
        <v>2.822688434808206E-2</v>
      </c>
      <c r="AU35">
        <v>7.1287502411011894E-2</v>
      </c>
      <c r="AV35">
        <v>1.2819243347405491E-2</v>
      </c>
      <c r="AW35">
        <v>2.3721045508155889E-2</v>
      </c>
      <c r="AX35">
        <v>0.39733328327740491</v>
      </c>
      <c r="AY35">
        <v>8.3972662218129629E-2</v>
      </c>
      <c r="AZ35">
        <v>5.8132675837260117E-2</v>
      </c>
      <c r="BA35">
        <v>1.931080008699795E-2</v>
      </c>
      <c r="BD35" t="s">
        <v>165</v>
      </c>
      <c r="BE35">
        <v>0.121967638348645</v>
      </c>
      <c r="BF35">
        <v>2623</v>
      </c>
      <c r="BG35">
        <v>146040.1960031651</v>
      </c>
      <c r="BH35">
        <v>43.797466632935411</v>
      </c>
      <c r="BI35">
        <v>215.6062108753502</v>
      </c>
      <c r="BJ35">
        <v>0.85516485680558829</v>
      </c>
      <c r="BK35">
        <v>43.797466632935411</v>
      </c>
    </row>
    <row r="36" spans="1:63" x14ac:dyDescent="0.2">
      <c r="A36">
        <v>34</v>
      </c>
      <c r="B36" t="s">
        <v>69</v>
      </c>
      <c r="C36" t="s">
        <v>76</v>
      </c>
      <c r="D36" t="s">
        <v>71</v>
      </c>
      <c r="E36">
        <v>-155.29812000000001</v>
      </c>
      <c r="F36">
        <v>19.375624999999999</v>
      </c>
      <c r="G36" t="s">
        <v>77</v>
      </c>
      <c r="H36" t="s">
        <v>166</v>
      </c>
      <c r="I36" t="s">
        <v>167</v>
      </c>
      <c r="J36" t="s">
        <v>68</v>
      </c>
      <c r="K36">
        <v>5.6485303531250004</v>
      </c>
      <c r="L36">
        <v>5.5589172640625</v>
      </c>
      <c r="M36">
        <v>98.645107360685486</v>
      </c>
      <c r="N36">
        <v>737.0399156244797</v>
      </c>
      <c r="Q36">
        <v>12.209</v>
      </c>
      <c r="R36">
        <v>1324.9639999999999</v>
      </c>
      <c r="S36">
        <v>50</v>
      </c>
      <c r="T36">
        <v>102.874012481232</v>
      </c>
      <c r="U36">
        <v>7.0289310855983864E-3</v>
      </c>
      <c r="V36">
        <v>4.9037491487624152E-2</v>
      </c>
      <c r="W36">
        <v>4.743033638695205E-3</v>
      </c>
      <c r="X36">
        <v>0</v>
      </c>
      <c r="Y36">
        <v>0.16070158941488691</v>
      </c>
      <c r="Z36">
        <v>0.1736781696576162</v>
      </c>
      <c r="AA36">
        <v>2.4459636742423081E-2</v>
      </c>
      <c r="AB36">
        <v>0.76159357089936497</v>
      </c>
      <c r="AC36">
        <v>0.1049918245463517</v>
      </c>
      <c r="AD36">
        <v>1254.685224886696</v>
      </c>
      <c r="AE36">
        <v>50</v>
      </c>
      <c r="AF36">
        <v>86.241224063328687</v>
      </c>
      <c r="AG36">
        <v>2.5039199999999999</v>
      </c>
      <c r="AH36">
        <v>14.096819999999999</v>
      </c>
      <c r="AI36">
        <v>0.27322000000000002</v>
      </c>
      <c r="AJ36">
        <v>10.95044</v>
      </c>
      <c r="AK36">
        <v>0.52094000000000007</v>
      </c>
      <c r="AL36">
        <v>2.9191400000000001</v>
      </c>
      <c r="AM36">
        <v>50.91704</v>
      </c>
      <c r="AN36">
        <v>6.4346599999999992</v>
      </c>
      <c r="AO36">
        <v>10.86684</v>
      </c>
      <c r="AP36">
        <v>0.19492000000000001</v>
      </c>
      <c r="AQ36">
        <v>99.70778</v>
      </c>
      <c r="AR36">
        <v>5.8797253337209539E-2</v>
      </c>
      <c r="AS36">
        <v>0.138496180452748</v>
      </c>
      <c r="AT36">
        <v>2.822688434808206E-2</v>
      </c>
      <c r="AU36">
        <v>7.1287502411011894E-2</v>
      </c>
      <c r="AV36">
        <v>1.2819243347405491E-2</v>
      </c>
      <c r="AW36">
        <v>2.3721045508155889E-2</v>
      </c>
      <c r="AX36">
        <v>0.39733328327740491</v>
      </c>
      <c r="AY36">
        <v>8.3972662218129629E-2</v>
      </c>
      <c r="AZ36">
        <v>5.8132675837260117E-2</v>
      </c>
      <c r="BA36">
        <v>1.931080008699795E-2</v>
      </c>
      <c r="BD36" t="s">
        <v>168</v>
      </c>
      <c r="BE36">
        <v>0.1209002972909934</v>
      </c>
      <c r="BF36">
        <v>2210</v>
      </c>
      <c r="BG36">
        <v>109530.32765467789</v>
      </c>
      <c r="BH36">
        <v>30.882968032660241</v>
      </c>
      <c r="BI36">
        <v>186.72060981432611</v>
      </c>
      <c r="BJ36">
        <v>0.65693574777118768</v>
      </c>
      <c r="BK36">
        <v>30.882968032660241</v>
      </c>
    </row>
    <row r="37" spans="1:63" x14ac:dyDescent="0.2">
      <c r="A37">
        <v>35</v>
      </c>
      <c r="B37" t="s">
        <v>69</v>
      </c>
      <c r="C37" t="s">
        <v>169</v>
      </c>
      <c r="D37" t="s">
        <v>64</v>
      </c>
      <c r="E37">
        <v>-155.29196300000001</v>
      </c>
      <c r="F37">
        <v>19.398634000000001</v>
      </c>
      <c r="G37" t="s">
        <v>170</v>
      </c>
      <c r="H37" t="s">
        <v>171</v>
      </c>
      <c r="I37" t="s">
        <v>172</v>
      </c>
      <c r="J37" t="s">
        <v>68</v>
      </c>
      <c r="K37">
        <v>5.1110842781250003</v>
      </c>
      <c r="L37">
        <v>4.6071704679687508</v>
      </c>
      <c r="M37">
        <v>73.977081980672708</v>
      </c>
      <c r="N37">
        <v>479.28541870722597</v>
      </c>
      <c r="Q37">
        <v>9.9719999999999995</v>
      </c>
      <c r="R37">
        <v>1324.9639999999999</v>
      </c>
      <c r="S37">
        <v>50</v>
      </c>
      <c r="T37">
        <v>102.8786348393634</v>
      </c>
      <c r="U37">
        <v>6.6363782046661227E-3</v>
      </c>
      <c r="V37">
        <v>5.0869055334736402E-2</v>
      </c>
      <c r="W37">
        <v>4.6504941855484436E-3</v>
      </c>
      <c r="X37">
        <v>10.065888149776571</v>
      </c>
      <c r="Y37">
        <v>0.16241800834925171</v>
      </c>
      <c r="Z37">
        <v>0.1703715576786099</v>
      </c>
      <c r="AA37">
        <v>2.3167320330667339E-2</v>
      </c>
      <c r="AB37">
        <v>0.74736266527682882</v>
      </c>
      <c r="AC37">
        <v>9.9680082344698565E-2</v>
      </c>
      <c r="AD37">
        <v>1168.84461404491</v>
      </c>
      <c r="AE37">
        <v>50</v>
      </c>
      <c r="AF37">
        <v>80.142599813914771</v>
      </c>
      <c r="AG37">
        <v>2.5390516666666669</v>
      </c>
      <c r="AH37">
        <v>13.89052597266207</v>
      </c>
      <c r="AI37">
        <v>0.24399675000000001</v>
      </c>
      <c r="AJ37">
        <v>11.205616666666669</v>
      </c>
      <c r="AK37">
        <v>0.47515841666666669</v>
      </c>
      <c r="AL37">
        <v>2.6323025000000002</v>
      </c>
      <c r="AM37">
        <v>50.778866165683027</v>
      </c>
      <c r="AN37">
        <v>6.7552275000000002</v>
      </c>
      <c r="AP37">
        <v>0.17074191666666669</v>
      </c>
      <c r="AR37">
        <v>5.5209421763999247E-2</v>
      </c>
      <c r="AS37">
        <v>0.23260322971847319</v>
      </c>
      <c r="AT37">
        <v>2.215836573857705E-2</v>
      </c>
      <c r="AU37">
        <v>0.13946342520423419</v>
      </c>
      <c r="AV37">
        <v>1.8188943372071519E-2</v>
      </c>
      <c r="AW37">
        <v>3.4278244127355022E-2</v>
      </c>
      <c r="AX37">
        <v>0.34681065155483992</v>
      </c>
      <c r="AY37">
        <v>0.48865100303376952</v>
      </c>
      <c r="BA37">
        <v>2.081601264087701E-2</v>
      </c>
      <c r="BE37">
        <v>0.18169876684811251</v>
      </c>
      <c r="BF37">
        <v>17404</v>
      </c>
      <c r="BG37">
        <v>158880.24899560399</v>
      </c>
      <c r="BH37">
        <v>347.34429813204912</v>
      </c>
      <c r="BI37">
        <v>224.88475709714751</v>
      </c>
      <c r="BJ37">
        <v>2.6329077129421909</v>
      </c>
      <c r="BK37">
        <v>347.34429813204912</v>
      </c>
    </row>
    <row r="38" spans="1:63" x14ac:dyDescent="0.2">
      <c r="A38">
        <v>36</v>
      </c>
      <c r="B38" t="s">
        <v>69</v>
      </c>
      <c r="C38" t="s">
        <v>81</v>
      </c>
      <c r="D38" t="s">
        <v>71</v>
      </c>
      <c r="E38">
        <v>-155.29106999999999</v>
      </c>
      <c r="F38">
        <v>19.383150000000001</v>
      </c>
      <c r="G38" t="s">
        <v>87</v>
      </c>
      <c r="H38" t="s">
        <v>121</v>
      </c>
      <c r="I38" t="s">
        <v>173</v>
      </c>
      <c r="J38" t="s">
        <v>90</v>
      </c>
      <c r="K38">
        <v>11.27898698984375</v>
      </c>
      <c r="L38">
        <v>7.8484677632812492</v>
      </c>
      <c r="M38">
        <v>278.10247068840528</v>
      </c>
      <c r="N38">
        <v>3546.2616165498298</v>
      </c>
      <c r="O38" t="s">
        <v>123</v>
      </c>
      <c r="Q38">
        <v>12.015000000000001</v>
      </c>
      <c r="R38">
        <v>1325.0039999999999</v>
      </c>
      <c r="S38">
        <v>50</v>
      </c>
      <c r="T38">
        <v>102.8792470982506</v>
      </c>
      <c r="U38">
        <v>1.2613226657164391E-2</v>
      </c>
      <c r="V38">
        <v>5.1111656883783503E-2</v>
      </c>
      <c r="W38">
        <v>6.2998009914117274E-3</v>
      </c>
      <c r="X38">
        <v>0</v>
      </c>
      <c r="Y38">
        <v>0.15883282216479269</v>
      </c>
      <c r="Z38">
        <v>0.17737803294154761</v>
      </c>
      <c r="AA38">
        <v>3.0095956376753091E-2</v>
      </c>
      <c r="AB38">
        <v>0.77750488298621312</v>
      </c>
      <c r="AC38">
        <v>0.12907478858981461</v>
      </c>
      <c r="AD38">
        <v>1225.7606771181661</v>
      </c>
      <c r="AE38">
        <v>50</v>
      </c>
      <c r="AF38">
        <v>84.660025685883056</v>
      </c>
      <c r="AG38">
        <v>2.2102200000000001</v>
      </c>
      <c r="AH38">
        <v>12.516225</v>
      </c>
      <c r="AI38">
        <v>0.22873499999999999</v>
      </c>
      <c r="AJ38">
        <v>10.535360000000001</v>
      </c>
      <c r="AK38">
        <v>0.37534499999999998</v>
      </c>
      <c r="AL38">
        <v>2.4377900000000001</v>
      </c>
      <c r="AM38">
        <v>50.224780000000003</v>
      </c>
      <c r="AN38">
        <v>8.9844449999999991</v>
      </c>
      <c r="AP38">
        <v>0.178455</v>
      </c>
      <c r="AQ38">
        <v>99.610560000000007</v>
      </c>
      <c r="AR38">
        <v>1.7587090435884831E-2</v>
      </c>
      <c r="AS38">
        <v>0.12699126938494701</v>
      </c>
      <c r="AT38">
        <v>8.073250584491971E-3</v>
      </c>
      <c r="AU38">
        <v>6.9056800896073786E-2</v>
      </c>
      <c r="AV38">
        <v>2.248073063759274E-2</v>
      </c>
      <c r="AW38">
        <v>2.1205111412109991E-2</v>
      </c>
      <c r="AX38">
        <v>0.5052093298821787</v>
      </c>
      <c r="AY38">
        <v>0.13192220766421431</v>
      </c>
      <c r="BA38">
        <v>1.2962040734390541E-2</v>
      </c>
      <c r="BB38">
        <v>5</v>
      </c>
      <c r="BC38" t="s">
        <v>86</v>
      </c>
    </row>
    <row r="39" spans="1:63" x14ac:dyDescent="0.2">
      <c r="A39">
        <v>37</v>
      </c>
      <c r="B39" t="s">
        <v>69</v>
      </c>
      <c r="C39" t="s">
        <v>143</v>
      </c>
      <c r="D39" t="s">
        <v>144</v>
      </c>
      <c r="E39">
        <v>-155.22516669999999</v>
      </c>
      <c r="F39">
        <v>19.371883329999999</v>
      </c>
      <c r="G39" t="s">
        <v>145</v>
      </c>
      <c r="H39" t="s">
        <v>174</v>
      </c>
      <c r="I39" t="s">
        <v>175</v>
      </c>
      <c r="J39" t="s">
        <v>68</v>
      </c>
      <c r="K39">
        <v>7.8822324874999996</v>
      </c>
      <c r="L39">
        <v>7.4473009968749997</v>
      </c>
      <c r="M39">
        <v>184.41575461424841</v>
      </c>
      <c r="N39">
        <v>1884.671656936936</v>
      </c>
      <c r="O39" t="s">
        <v>176</v>
      </c>
      <c r="Q39">
        <v>9.9619999999999997</v>
      </c>
      <c r="R39">
        <v>1324.9639999999999</v>
      </c>
      <c r="S39">
        <v>50</v>
      </c>
      <c r="T39">
        <v>102.8817127297598</v>
      </c>
      <c r="U39">
        <v>1.365626108419433E-2</v>
      </c>
      <c r="V39">
        <v>5.208863906563721E-2</v>
      </c>
      <c r="W39">
        <v>6.6314153900163134E-3</v>
      </c>
      <c r="X39">
        <v>0</v>
      </c>
      <c r="Y39">
        <v>0.15625553467146311</v>
      </c>
      <c r="Z39">
        <v>0.18252682422275801</v>
      </c>
      <c r="AA39">
        <v>3.0533017593730689E-2</v>
      </c>
      <c r="AB39">
        <v>0.79962617593636187</v>
      </c>
      <c r="AC39">
        <v>0.1309423563418845</v>
      </c>
      <c r="AD39">
        <v>1243.5466483277901</v>
      </c>
      <c r="AE39">
        <v>50</v>
      </c>
      <c r="AF39">
        <v>85.66573218843989</v>
      </c>
      <c r="AG39">
        <v>2.1961249999999999</v>
      </c>
      <c r="AH39">
        <v>13.214425</v>
      </c>
      <c r="AI39">
        <v>0.23326250000000001</v>
      </c>
      <c r="AJ39">
        <v>10.8680875</v>
      </c>
      <c r="AK39">
        <v>0.46184999999999998</v>
      </c>
      <c r="AL39">
        <v>2.5506250000000001</v>
      </c>
      <c r="AM39">
        <v>49.975887499999999</v>
      </c>
      <c r="AN39">
        <v>7.4385374999999998</v>
      </c>
      <c r="AP39">
        <v>0.2354</v>
      </c>
      <c r="AQ39">
        <v>98.48666249999998</v>
      </c>
      <c r="AR39">
        <v>5.6378814410075299E-2</v>
      </c>
      <c r="AS39">
        <v>0.24941022862516499</v>
      </c>
      <c r="AT39">
        <v>1.4003870638403601E-2</v>
      </c>
      <c r="AU39">
        <v>0.27584699401505702</v>
      </c>
      <c r="AV39">
        <v>3.1668731762237799E-2</v>
      </c>
      <c r="AW39">
        <v>4.2427543277585897E-2</v>
      </c>
      <c r="AX39">
        <v>0.67605985245919198</v>
      </c>
      <c r="AY39">
        <v>0.10614118545597701</v>
      </c>
      <c r="BA39">
        <v>4.3851209463691802E-2</v>
      </c>
      <c r="BE39">
        <v>0.10250439667624101</v>
      </c>
      <c r="BF39">
        <v>153</v>
      </c>
      <c r="BG39">
        <v>70633.828163142403</v>
      </c>
      <c r="BH39">
        <v>97.571326753878793</v>
      </c>
      <c r="BI39">
        <v>149.94480919103299</v>
      </c>
      <c r="BJ39">
        <v>7.8881742399587598</v>
      </c>
      <c r="BK39">
        <v>97.571326753878793</v>
      </c>
    </row>
    <row r="40" spans="1:63" x14ac:dyDescent="0.2">
      <c r="A40">
        <v>38</v>
      </c>
      <c r="B40" t="s">
        <v>69</v>
      </c>
      <c r="C40" t="s">
        <v>177</v>
      </c>
      <c r="D40" t="s">
        <v>144</v>
      </c>
      <c r="E40">
        <v>-155.2086333</v>
      </c>
      <c r="F40">
        <v>19.347316670000001</v>
      </c>
      <c r="G40" t="s">
        <v>178</v>
      </c>
      <c r="H40" t="s">
        <v>179</v>
      </c>
      <c r="I40" t="s">
        <v>180</v>
      </c>
      <c r="J40" t="s">
        <v>68</v>
      </c>
      <c r="K40">
        <v>5.1054471382812503</v>
      </c>
      <c r="L40">
        <v>4.6897516609374996</v>
      </c>
      <c r="M40">
        <v>75.220030026834777</v>
      </c>
      <c r="N40">
        <v>491.19676519736691</v>
      </c>
      <c r="O40" t="s">
        <v>181</v>
      </c>
      <c r="Q40">
        <v>9.8800000000000008</v>
      </c>
      <c r="R40">
        <v>1324.9639999999999</v>
      </c>
      <c r="S40">
        <v>50</v>
      </c>
      <c r="T40">
        <v>102.8823496070181</v>
      </c>
      <c r="U40">
        <v>8.5166216876619624E-3</v>
      </c>
      <c r="V40">
        <v>5.2340995401571888E-2</v>
      </c>
      <c r="W40">
        <v>5.1068227601888273E-3</v>
      </c>
      <c r="X40">
        <v>0</v>
      </c>
      <c r="Y40">
        <v>0.1541654560415944</v>
      </c>
      <c r="Z40">
        <v>0.18675887627054069</v>
      </c>
      <c r="AA40">
        <v>2.5631521734383989E-2</v>
      </c>
      <c r="AB40">
        <v>0.81779038839255536</v>
      </c>
      <c r="AC40">
        <v>0.1098282668115311</v>
      </c>
      <c r="AD40">
        <v>1274.0904900943301</v>
      </c>
      <c r="AE40">
        <v>50</v>
      </c>
      <c r="AF40">
        <v>87.164372367553256</v>
      </c>
      <c r="AG40">
        <v>2.1216818181818198</v>
      </c>
      <c r="AH40">
        <v>12.5470545454545</v>
      </c>
      <c r="AI40">
        <v>0.27337272727272699</v>
      </c>
      <c r="AJ40">
        <v>10.3521727272727</v>
      </c>
      <c r="AK40">
        <v>0.49205454545454502</v>
      </c>
      <c r="AL40">
        <v>2.5642454545454498</v>
      </c>
      <c r="AM40">
        <v>49.0749</v>
      </c>
      <c r="AN40">
        <v>9.1371454545454505</v>
      </c>
      <c r="AP40">
        <v>0.18198181818181799</v>
      </c>
      <c r="AQ40">
        <v>98.157727272727257</v>
      </c>
      <c r="AR40">
        <v>0.12055145638424999</v>
      </c>
      <c r="AS40">
        <v>0.28907753411026699</v>
      </c>
      <c r="AT40">
        <v>2.8655229571898099E-2</v>
      </c>
      <c r="AU40">
        <v>0.23406218443357801</v>
      </c>
      <c r="AV40">
        <v>5.2241982420968003E-2</v>
      </c>
      <c r="AW40">
        <v>6.6675218239408293E-2</v>
      </c>
      <c r="AX40">
        <v>0.92934608408278196</v>
      </c>
      <c r="AY40">
        <v>0.68994549402635696</v>
      </c>
      <c r="BA40">
        <v>4.8246177427477499E-2</v>
      </c>
      <c r="BE40">
        <v>7.0801623172486866E-2</v>
      </c>
      <c r="BF40">
        <v>451</v>
      </c>
      <c r="BG40">
        <v>36234.531691818447</v>
      </c>
      <c r="BH40">
        <v>0</v>
      </c>
      <c r="BI40">
        <v>107.39557560135189</v>
      </c>
      <c r="BJ40">
        <v>0</v>
      </c>
      <c r="BK40">
        <v>0</v>
      </c>
    </row>
    <row r="41" spans="1:63" x14ac:dyDescent="0.2">
      <c r="A41">
        <v>39</v>
      </c>
      <c r="B41" t="s">
        <v>69</v>
      </c>
      <c r="C41" t="s">
        <v>81</v>
      </c>
      <c r="D41" t="s">
        <v>71</v>
      </c>
      <c r="E41">
        <v>-155.29106999999999</v>
      </c>
      <c r="F41">
        <v>19.383150000000001</v>
      </c>
      <c r="G41" t="s">
        <v>87</v>
      </c>
      <c r="H41" t="s">
        <v>182</v>
      </c>
      <c r="I41" t="s">
        <v>183</v>
      </c>
      <c r="J41" t="s">
        <v>90</v>
      </c>
      <c r="K41">
        <v>5.0863854695312503</v>
      </c>
      <c r="L41">
        <v>4.2178010148437499</v>
      </c>
      <c r="M41">
        <v>67.397723810841157</v>
      </c>
      <c r="N41">
        <v>418.05399397231167</v>
      </c>
      <c r="O41" t="s">
        <v>184</v>
      </c>
      <c r="Q41">
        <v>12.058</v>
      </c>
      <c r="R41">
        <v>1325.0039999999999</v>
      </c>
      <c r="S41">
        <v>50</v>
      </c>
      <c r="T41">
        <v>102.8846933043593</v>
      </c>
      <c r="U41">
        <v>1.6786364318177129E-2</v>
      </c>
      <c r="V41">
        <v>5.3269662371278059E-2</v>
      </c>
      <c r="W41">
        <v>7.6759623551233228E-3</v>
      </c>
      <c r="X41">
        <v>0</v>
      </c>
      <c r="Y41">
        <v>0.15617905033913801</v>
      </c>
      <c r="Z41">
        <v>0.1826978359631847</v>
      </c>
      <c r="AA41">
        <v>3.1278640615784663E-2</v>
      </c>
      <c r="AB41">
        <v>0.80036048980672125</v>
      </c>
      <c r="AC41">
        <v>0.13412294707664371</v>
      </c>
      <c r="AD41">
        <v>1211.01776545506</v>
      </c>
      <c r="AE41">
        <v>50</v>
      </c>
      <c r="AF41">
        <v>83.723515701332758</v>
      </c>
      <c r="AG41">
        <v>2.2102200000000001</v>
      </c>
      <c r="AH41">
        <v>12.516225</v>
      </c>
      <c r="AI41">
        <v>0.22873499999999999</v>
      </c>
      <c r="AJ41">
        <v>10.535360000000001</v>
      </c>
      <c r="AK41">
        <v>0.37534499999999998</v>
      </c>
      <c r="AL41">
        <v>2.4377900000000001</v>
      </c>
      <c r="AM41">
        <v>50.224780000000003</v>
      </c>
      <c r="AN41">
        <v>8.9844449999999991</v>
      </c>
      <c r="AP41">
        <v>0.178455</v>
      </c>
      <c r="AQ41">
        <v>99.610560000000007</v>
      </c>
      <c r="AR41">
        <v>1.7587090435884831E-2</v>
      </c>
      <c r="AS41">
        <v>0.12699126938494701</v>
      </c>
      <c r="AT41">
        <v>8.073250584491971E-3</v>
      </c>
      <c r="AU41">
        <v>6.9056800896073786E-2</v>
      </c>
      <c r="AV41">
        <v>2.248073063759274E-2</v>
      </c>
      <c r="AW41">
        <v>2.1205111412109991E-2</v>
      </c>
      <c r="AX41">
        <v>0.5052093298821787</v>
      </c>
      <c r="AY41">
        <v>0.13192220766421431</v>
      </c>
      <c r="BA41">
        <v>1.2962040734390541E-2</v>
      </c>
      <c r="BB41">
        <v>5</v>
      </c>
      <c r="BC41" t="s">
        <v>86</v>
      </c>
    </row>
    <row r="42" spans="1:63" x14ac:dyDescent="0.2">
      <c r="A42">
        <v>40</v>
      </c>
      <c r="B42" t="s">
        <v>69</v>
      </c>
      <c r="C42" t="s">
        <v>81</v>
      </c>
      <c r="D42" t="s">
        <v>71</v>
      </c>
      <c r="E42">
        <v>-155.29106999999999</v>
      </c>
      <c r="F42">
        <v>19.383150000000001</v>
      </c>
      <c r="G42" t="s">
        <v>82</v>
      </c>
      <c r="H42" t="s">
        <v>155</v>
      </c>
      <c r="I42" t="s">
        <v>185</v>
      </c>
      <c r="J42" t="s">
        <v>85</v>
      </c>
      <c r="K42">
        <v>5.7490109179687501</v>
      </c>
      <c r="L42">
        <v>3.9904557460937511</v>
      </c>
      <c r="M42">
        <v>72.071822609738163</v>
      </c>
      <c r="N42">
        <v>467.96074248384718</v>
      </c>
      <c r="Q42">
        <v>9.9830000000000005</v>
      </c>
      <c r="R42">
        <v>1324.9639999999999</v>
      </c>
      <c r="S42">
        <v>50</v>
      </c>
      <c r="T42">
        <v>102.88966175918949</v>
      </c>
      <c r="U42">
        <v>6.9253881998335969E-3</v>
      </c>
      <c r="V42">
        <v>5.5238363623850262E-2</v>
      </c>
      <c r="W42">
        <v>4.7099142480520658E-3</v>
      </c>
      <c r="X42">
        <v>11.95530542327427</v>
      </c>
      <c r="Y42">
        <v>0.1546053734285725</v>
      </c>
      <c r="Z42">
        <v>0.1859067434396762</v>
      </c>
      <c r="AA42">
        <v>2.4335389395919879E-2</v>
      </c>
      <c r="AB42">
        <v>0.81413431793807856</v>
      </c>
      <c r="AC42">
        <v>0.1043114144918533</v>
      </c>
      <c r="AD42">
        <v>1184.7041214643989</v>
      </c>
      <c r="AE42">
        <v>50</v>
      </c>
      <c r="AF42">
        <v>81.706796851172555</v>
      </c>
      <c r="AG42">
        <v>2.2102200000000001</v>
      </c>
      <c r="AH42">
        <v>12.516225</v>
      </c>
      <c r="AI42">
        <v>0.22873499999999999</v>
      </c>
      <c r="AJ42">
        <v>10.535360000000001</v>
      </c>
      <c r="AK42">
        <v>0.37534499999999998</v>
      </c>
      <c r="AL42">
        <v>2.4377900000000001</v>
      </c>
      <c r="AM42">
        <v>50.224780000000003</v>
      </c>
      <c r="AN42">
        <v>8.9844449999999991</v>
      </c>
      <c r="AP42">
        <v>0.178455</v>
      </c>
      <c r="AQ42">
        <v>99.610560000000007</v>
      </c>
      <c r="AR42">
        <v>1.7587090435884831E-2</v>
      </c>
      <c r="AS42">
        <v>0.12699126938494701</v>
      </c>
      <c r="AT42">
        <v>8.073250584491971E-3</v>
      </c>
      <c r="AU42">
        <v>6.9056800896073786E-2</v>
      </c>
      <c r="AV42">
        <v>2.248073063759274E-2</v>
      </c>
      <c r="AW42">
        <v>2.1205111412109991E-2</v>
      </c>
      <c r="AX42">
        <v>0.5052093298821787</v>
      </c>
      <c r="AY42">
        <v>0.13192220766421431</v>
      </c>
      <c r="BA42">
        <v>1.2962040734390541E-2</v>
      </c>
      <c r="BB42">
        <v>5</v>
      </c>
      <c r="BC42" t="s">
        <v>86</v>
      </c>
      <c r="BE42">
        <v>0.63922203928279209</v>
      </c>
      <c r="BF42">
        <v>16732</v>
      </c>
      <c r="BG42">
        <v>1819883.853169278</v>
      </c>
      <c r="BH42">
        <v>7325.5957907579505</v>
      </c>
      <c r="BI42">
        <v>761.10907376671787</v>
      </c>
      <c r="BJ42">
        <v>56.632929024258971</v>
      </c>
      <c r="BK42">
        <v>7325.5957907579459</v>
      </c>
    </row>
    <row r="43" spans="1:63" x14ac:dyDescent="0.2">
      <c r="A43">
        <v>41</v>
      </c>
      <c r="B43" t="s">
        <v>69</v>
      </c>
      <c r="C43" t="s">
        <v>76</v>
      </c>
      <c r="D43" t="s">
        <v>71</v>
      </c>
      <c r="E43">
        <v>-155.29812000000001</v>
      </c>
      <c r="F43">
        <v>19.375624999999999</v>
      </c>
      <c r="G43" t="s">
        <v>77</v>
      </c>
      <c r="H43" t="s">
        <v>186</v>
      </c>
      <c r="I43" t="s">
        <v>187</v>
      </c>
      <c r="J43" t="s">
        <v>68</v>
      </c>
      <c r="K43">
        <v>4.6220478679687496</v>
      </c>
      <c r="L43">
        <v>4.6220478679687496</v>
      </c>
      <c r="M43">
        <v>67.114869569144886</v>
      </c>
      <c r="N43">
        <v>413.61085306808911</v>
      </c>
      <c r="Q43">
        <v>11.877000000000001</v>
      </c>
      <c r="R43">
        <v>1324.9639999999999</v>
      </c>
      <c r="S43">
        <v>50</v>
      </c>
      <c r="T43">
        <v>102.8898546160822</v>
      </c>
      <c r="U43">
        <v>5.9970643674633487E-3</v>
      </c>
      <c r="V43">
        <v>5.5314781266609707E-2</v>
      </c>
      <c r="W43">
        <v>4.5054236036959861E-3</v>
      </c>
      <c r="X43">
        <v>0</v>
      </c>
      <c r="Y43">
        <v>0.14826640116252821</v>
      </c>
      <c r="Z43">
        <v>0.19906775228044349</v>
      </c>
      <c r="AA43">
        <v>2.634588886094932E-2</v>
      </c>
      <c r="AB43">
        <v>0.87052674904117167</v>
      </c>
      <c r="AC43">
        <v>0.112440306048044</v>
      </c>
      <c r="AD43">
        <v>1294.551414801964</v>
      </c>
      <c r="AE43">
        <v>50</v>
      </c>
      <c r="AF43">
        <v>88.04913334847042</v>
      </c>
      <c r="AG43">
        <v>2.5039199999999999</v>
      </c>
      <c r="AH43">
        <v>14.096819999999999</v>
      </c>
      <c r="AI43">
        <v>0.27322000000000002</v>
      </c>
      <c r="AJ43">
        <v>10.95044</v>
      </c>
      <c r="AK43">
        <v>0.52094000000000007</v>
      </c>
      <c r="AL43">
        <v>2.9191400000000001</v>
      </c>
      <c r="AM43">
        <v>50.91704</v>
      </c>
      <c r="AN43">
        <v>6.4346599999999992</v>
      </c>
      <c r="AO43">
        <v>10.86684</v>
      </c>
      <c r="AP43">
        <v>0.19492000000000001</v>
      </c>
      <c r="AQ43">
        <v>99.70778</v>
      </c>
      <c r="AR43">
        <v>5.8797253337209539E-2</v>
      </c>
      <c r="AS43">
        <v>0.138496180452748</v>
      </c>
      <c r="AT43">
        <v>2.822688434808206E-2</v>
      </c>
      <c r="AU43">
        <v>7.1287502411011894E-2</v>
      </c>
      <c r="AV43">
        <v>1.2819243347405491E-2</v>
      </c>
      <c r="AW43">
        <v>2.3721045508155889E-2</v>
      </c>
      <c r="AX43">
        <v>0.39733328327740491</v>
      </c>
      <c r="AY43">
        <v>8.3972662218129629E-2</v>
      </c>
      <c r="AZ43">
        <v>5.8132675837260117E-2</v>
      </c>
      <c r="BA43">
        <v>1.931080008699795E-2</v>
      </c>
      <c r="BD43" t="s">
        <v>188</v>
      </c>
      <c r="BE43">
        <v>0.31200728489666157</v>
      </c>
      <c r="BF43">
        <v>10709</v>
      </c>
      <c r="BG43">
        <v>526157.84578326717</v>
      </c>
      <c r="BH43">
        <v>1138.4006313147429</v>
      </c>
      <c r="BI43">
        <v>409.24472385845161</v>
      </c>
      <c r="BJ43">
        <v>11.00070880057395</v>
      </c>
      <c r="BK43">
        <v>1138.4006313147429</v>
      </c>
    </row>
    <row r="44" spans="1:63" x14ac:dyDescent="0.2">
      <c r="A44">
        <v>42</v>
      </c>
      <c r="B44" t="s">
        <v>62</v>
      </c>
      <c r="C44" t="s">
        <v>63</v>
      </c>
      <c r="D44" t="s">
        <v>64</v>
      </c>
      <c r="E44">
        <v>-155.26785000000001</v>
      </c>
      <c r="F44">
        <v>19.407830000000001</v>
      </c>
      <c r="G44" t="s">
        <v>65</v>
      </c>
      <c r="H44" t="s">
        <v>189</v>
      </c>
      <c r="I44" t="s">
        <v>190</v>
      </c>
      <c r="J44" t="s">
        <v>68</v>
      </c>
      <c r="K44">
        <v>5.9855383320312514</v>
      </c>
      <c r="L44">
        <v>4.9018127257812498</v>
      </c>
      <c r="M44">
        <v>92.17429065229058</v>
      </c>
      <c r="N44">
        <v>669.02257389088845</v>
      </c>
      <c r="Q44">
        <v>12.016999999999999</v>
      </c>
      <c r="R44">
        <v>1325.0039999999999</v>
      </c>
      <c r="S44">
        <v>50</v>
      </c>
      <c r="T44">
        <v>102.8900447</v>
      </c>
      <c r="U44">
        <v>6.6812790690000002E-3</v>
      </c>
      <c r="V44">
        <v>5.5390094389999998E-2</v>
      </c>
      <c r="W44">
        <v>4.654016863E-3</v>
      </c>
      <c r="X44">
        <v>0</v>
      </c>
      <c r="Y44">
        <v>0.15350771512258521</v>
      </c>
      <c r="Z44">
        <v>0.188146993565322</v>
      </c>
      <c r="AA44">
        <v>2.5892021522936619E-2</v>
      </c>
      <c r="AB44">
        <v>0.82374465869265778</v>
      </c>
      <c r="AC44">
        <v>0.11090195852634301</v>
      </c>
      <c r="AD44">
        <v>1199.5903967196839</v>
      </c>
      <c r="AE44">
        <v>50</v>
      </c>
      <c r="AF44">
        <v>82.913165269999993</v>
      </c>
      <c r="BE44">
        <v>0.23704505799347089</v>
      </c>
      <c r="BF44">
        <v>2857</v>
      </c>
      <c r="BG44">
        <v>182717.670624247</v>
      </c>
      <c r="BH44">
        <v>445.10160057316091</v>
      </c>
      <c r="BI44">
        <v>241.1655882172484</v>
      </c>
      <c r="BJ44">
        <v>8.3272966432657807</v>
      </c>
      <c r="BK44">
        <v>445.10160057316062</v>
      </c>
    </row>
    <row r="45" spans="1:63" x14ac:dyDescent="0.2">
      <c r="A45">
        <v>43</v>
      </c>
      <c r="B45" t="s">
        <v>69</v>
      </c>
      <c r="C45" t="s">
        <v>157</v>
      </c>
      <c r="D45" t="s">
        <v>64</v>
      </c>
      <c r="G45" t="s">
        <v>158</v>
      </c>
      <c r="H45" t="s">
        <v>191</v>
      </c>
      <c r="I45" t="s">
        <v>192</v>
      </c>
      <c r="J45" t="s">
        <v>68</v>
      </c>
      <c r="K45">
        <v>4.5881087992187499</v>
      </c>
      <c r="L45">
        <v>3.8745747476562502</v>
      </c>
      <c r="M45">
        <v>55.847999903741822</v>
      </c>
      <c r="N45">
        <v>315.0826332741816</v>
      </c>
      <c r="Q45">
        <v>10.083</v>
      </c>
      <c r="R45">
        <v>1324.9639999999999</v>
      </c>
      <c r="S45">
        <v>50</v>
      </c>
      <c r="T45">
        <v>102.8915894692073</v>
      </c>
      <c r="U45">
        <v>1.974397044758967E-2</v>
      </c>
      <c r="V45">
        <v>5.600219971704945E-2</v>
      </c>
      <c r="W45">
        <v>8.7090985925664024E-3</v>
      </c>
      <c r="X45">
        <v>0</v>
      </c>
      <c r="Y45">
        <v>0.15342449447600279</v>
      </c>
      <c r="Z45">
        <v>0.1883264158646899</v>
      </c>
      <c r="AA45">
        <v>3.6016793390711788E-2</v>
      </c>
      <c r="AB45">
        <v>0.82451415302537689</v>
      </c>
      <c r="AC45">
        <v>0.15416068965538529</v>
      </c>
      <c r="AD45">
        <v>1184.8133028371749</v>
      </c>
      <c r="AE45">
        <v>50</v>
      </c>
      <c r="AF45">
        <v>81.716418560678818</v>
      </c>
      <c r="AG45">
        <v>2.4084062500000001</v>
      </c>
      <c r="AH45">
        <v>13.3720625</v>
      </c>
      <c r="AI45">
        <v>0.31026874999999998</v>
      </c>
      <c r="AJ45">
        <v>10.387225000000001</v>
      </c>
      <c r="AK45">
        <v>0.59164375000000002</v>
      </c>
      <c r="AL45">
        <v>3.0521875000000001</v>
      </c>
      <c r="AM45">
        <v>49.819099999999999</v>
      </c>
      <c r="AN45">
        <v>5.8739499999999998</v>
      </c>
      <c r="AP45">
        <v>0.19186249999999999</v>
      </c>
      <c r="AQ45">
        <v>97.820293750000005</v>
      </c>
      <c r="AR45">
        <v>8.7457962997469094E-2</v>
      </c>
      <c r="AS45">
        <v>0.20894986918716499</v>
      </c>
      <c r="AT45">
        <v>3.6791968666182201E-2</v>
      </c>
      <c r="AU45">
        <v>0.19989042831845</v>
      </c>
      <c r="AV45">
        <v>2.81971149528931E-2</v>
      </c>
      <c r="AW45">
        <v>5.5804024645778501E-2</v>
      </c>
      <c r="AX45">
        <v>0.88416756556661702</v>
      </c>
      <c r="AY45">
        <v>0.205613822492555</v>
      </c>
      <c r="BA45">
        <v>4.9243326112953303E-2</v>
      </c>
      <c r="BE45">
        <v>0.1188362808302881</v>
      </c>
      <c r="BF45">
        <v>8449</v>
      </c>
      <c r="BG45">
        <v>76831.822623386397</v>
      </c>
      <c r="BH45">
        <v>211.95948952168271</v>
      </c>
      <c r="BI45">
        <v>156.38519339932191</v>
      </c>
      <c r="BJ45">
        <v>2.305951718232373</v>
      </c>
      <c r="BK45">
        <v>211.95948952168271</v>
      </c>
    </row>
    <row r="46" spans="1:63" x14ac:dyDescent="0.2">
      <c r="A46">
        <v>44</v>
      </c>
      <c r="B46" t="s">
        <v>69</v>
      </c>
      <c r="C46" t="s">
        <v>76</v>
      </c>
      <c r="D46" t="s">
        <v>71</v>
      </c>
      <c r="E46">
        <v>-155.29812000000001</v>
      </c>
      <c r="F46">
        <v>19.375624999999999</v>
      </c>
      <c r="G46" t="s">
        <v>77</v>
      </c>
      <c r="H46" t="s">
        <v>163</v>
      </c>
      <c r="I46" t="s">
        <v>193</v>
      </c>
      <c r="J46" t="s">
        <v>68</v>
      </c>
      <c r="K46">
        <v>10.738635172656251</v>
      </c>
      <c r="L46">
        <v>9.4223339617187509</v>
      </c>
      <c r="M46">
        <v>317.87579111320429</v>
      </c>
      <c r="N46">
        <v>4272.4560087988984</v>
      </c>
      <c r="Q46">
        <v>11.885999999999999</v>
      </c>
      <c r="R46">
        <v>1324.9639999999999</v>
      </c>
      <c r="S46">
        <v>50</v>
      </c>
      <c r="T46">
        <v>102.89188518870461</v>
      </c>
      <c r="U46">
        <v>5.2799763644797142E-3</v>
      </c>
      <c r="V46">
        <v>5.6119375652933463E-2</v>
      </c>
      <c r="W46">
        <v>4.3610927686239236E-3</v>
      </c>
      <c r="X46">
        <v>1.8051870256905631</v>
      </c>
      <c r="Y46">
        <v>0.1486934571071781</v>
      </c>
      <c r="Z46">
        <v>0.1981749333004956</v>
      </c>
      <c r="AA46">
        <v>2.5189689056148629E-2</v>
      </c>
      <c r="AB46">
        <v>0.86670623725110074</v>
      </c>
      <c r="AC46">
        <v>0.1076472820948534</v>
      </c>
      <c r="AD46">
        <v>1264.1885389404581</v>
      </c>
      <c r="AE46">
        <v>50</v>
      </c>
      <c r="AF46">
        <v>86.704815716425927</v>
      </c>
      <c r="AG46">
        <v>2.5039199999999999</v>
      </c>
      <c r="AH46">
        <v>14.096819999999999</v>
      </c>
      <c r="AI46">
        <v>0.27322000000000002</v>
      </c>
      <c r="AJ46">
        <v>10.95044</v>
      </c>
      <c r="AK46">
        <v>0.52094000000000007</v>
      </c>
      <c r="AL46">
        <v>2.9191400000000001</v>
      </c>
      <c r="AM46">
        <v>50.91704</v>
      </c>
      <c r="AN46">
        <v>6.4346599999999992</v>
      </c>
      <c r="AO46">
        <v>10.86684</v>
      </c>
      <c r="AP46">
        <v>0.19492000000000001</v>
      </c>
      <c r="AQ46">
        <v>99.70778</v>
      </c>
      <c r="AR46">
        <v>5.8797253337209539E-2</v>
      </c>
      <c r="AS46">
        <v>0.138496180452748</v>
      </c>
      <c r="AT46">
        <v>2.822688434808206E-2</v>
      </c>
      <c r="AU46">
        <v>7.1287502411011894E-2</v>
      </c>
      <c r="AV46">
        <v>1.2819243347405491E-2</v>
      </c>
      <c r="AW46">
        <v>2.3721045508155889E-2</v>
      </c>
      <c r="AX46">
        <v>0.39733328327740491</v>
      </c>
      <c r="AY46">
        <v>8.3972662218129629E-2</v>
      </c>
      <c r="AZ46">
        <v>5.8132675837260117E-2</v>
      </c>
      <c r="BA46">
        <v>1.931080008699795E-2</v>
      </c>
      <c r="BD46" t="s">
        <v>165</v>
      </c>
      <c r="BE46">
        <v>0.121967638348645</v>
      </c>
      <c r="BF46">
        <v>2623</v>
      </c>
      <c r="BG46">
        <v>146040.1960031651</v>
      </c>
      <c r="BH46">
        <v>43.797466632935411</v>
      </c>
      <c r="BI46">
        <v>215.6062108753502</v>
      </c>
      <c r="BJ46">
        <v>0.85516485680558829</v>
      </c>
      <c r="BK46">
        <v>43.797466632935411</v>
      </c>
    </row>
    <row r="47" spans="1:63" x14ac:dyDescent="0.2">
      <c r="A47">
        <v>45</v>
      </c>
      <c r="B47" t="s">
        <v>69</v>
      </c>
      <c r="C47" t="s">
        <v>81</v>
      </c>
      <c r="D47" t="s">
        <v>71</v>
      </c>
      <c r="E47">
        <v>-155.29106999999999</v>
      </c>
      <c r="F47">
        <v>19.383150000000001</v>
      </c>
      <c r="G47" t="s">
        <v>87</v>
      </c>
      <c r="H47" t="s">
        <v>194</v>
      </c>
      <c r="I47" t="s">
        <v>195</v>
      </c>
      <c r="J47" t="s">
        <v>90</v>
      </c>
      <c r="K47">
        <v>4.4310243765625001</v>
      </c>
      <c r="L47">
        <v>3.8663224398437501</v>
      </c>
      <c r="M47">
        <v>53.821039566161787</v>
      </c>
      <c r="N47">
        <v>297.71455419997818</v>
      </c>
      <c r="O47" t="s">
        <v>196</v>
      </c>
      <c r="Q47">
        <v>12.022</v>
      </c>
      <c r="R47">
        <v>1325.0039999999999</v>
      </c>
      <c r="S47">
        <v>50</v>
      </c>
      <c r="T47">
        <v>102.89215770039161</v>
      </c>
      <c r="U47">
        <v>2.381498717186888E-2</v>
      </c>
      <c r="V47">
        <v>5.622735572278259E-2</v>
      </c>
      <c r="W47">
        <v>1.0182701908548329E-2</v>
      </c>
      <c r="X47">
        <v>0</v>
      </c>
      <c r="Y47">
        <v>0.15172445870585621</v>
      </c>
      <c r="Z47">
        <v>0.19183104340775281</v>
      </c>
      <c r="AA47">
        <v>3.8370015341134968E-2</v>
      </c>
      <c r="AB47">
        <v>0.83953860069845387</v>
      </c>
      <c r="AC47">
        <v>0.16422407138553971</v>
      </c>
      <c r="AD47">
        <v>1208.1100888310641</v>
      </c>
      <c r="AE47">
        <v>50</v>
      </c>
      <c r="AF47">
        <v>83.525190688720897</v>
      </c>
      <c r="AG47">
        <v>2.2102200000000001</v>
      </c>
      <c r="AH47">
        <v>12.516225</v>
      </c>
      <c r="AI47">
        <v>0.22873499999999999</v>
      </c>
      <c r="AJ47">
        <v>10.535360000000001</v>
      </c>
      <c r="AK47">
        <v>0.37534499999999998</v>
      </c>
      <c r="AL47">
        <v>2.4377900000000001</v>
      </c>
      <c r="AM47">
        <v>50.224780000000003</v>
      </c>
      <c r="AN47">
        <v>8.9844449999999991</v>
      </c>
      <c r="AP47">
        <v>0.178455</v>
      </c>
      <c r="AQ47">
        <v>99.610560000000007</v>
      </c>
      <c r="AR47">
        <v>1.7587090435884831E-2</v>
      </c>
      <c r="AS47">
        <v>0.12699126938494701</v>
      </c>
      <c r="AT47">
        <v>8.073250584491971E-3</v>
      </c>
      <c r="AU47">
        <v>6.9056800896073786E-2</v>
      </c>
      <c r="AV47">
        <v>2.248073063759274E-2</v>
      </c>
      <c r="AW47">
        <v>2.1205111412109991E-2</v>
      </c>
      <c r="AX47">
        <v>0.5052093298821787</v>
      </c>
      <c r="AY47">
        <v>0.13192220766421431</v>
      </c>
      <c r="BA47">
        <v>1.2962040734390541E-2</v>
      </c>
      <c r="BB47">
        <v>5</v>
      </c>
      <c r="BC47" t="s">
        <v>86</v>
      </c>
    </row>
    <row r="48" spans="1:63" x14ac:dyDescent="0.2">
      <c r="A48">
        <v>46</v>
      </c>
      <c r="B48" t="s">
        <v>69</v>
      </c>
      <c r="C48" t="s">
        <v>76</v>
      </c>
      <c r="D48" t="s">
        <v>71</v>
      </c>
      <c r="E48">
        <v>-155.29812000000001</v>
      </c>
      <c r="F48">
        <v>19.375624999999999</v>
      </c>
      <c r="G48" t="s">
        <v>77</v>
      </c>
      <c r="H48" t="s">
        <v>197</v>
      </c>
      <c r="I48" t="s">
        <v>198</v>
      </c>
      <c r="J48" t="s">
        <v>68</v>
      </c>
      <c r="K48">
        <v>10.35147408359375</v>
      </c>
      <c r="L48">
        <v>7.9867810914062511</v>
      </c>
      <c r="M48">
        <v>259.73103905196422</v>
      </c>
      <c r="N48">
        <v>3175.342714001873</v>
      </c>
      <c r="Q48">
        <v>11.96</v>
      </c>
      <c r="R48">
        <v>1324.9639999999999</v>
      </c>
      <c r="S48">
        <v>50</v>
      </c>
      <c r="T48">
        <v>102.8945493888306</v>
      </c>
      <c r="U48">
        <v>5.8094751536156407E-3</v>
      </c>
      <c r="V48">
        <v>5.717503869193763E-2</v>
      </c>
      <c r="W48">
        <v>4.4641049030973521E-3</v>
      </c>
      <c r="X48">
        <v>0</v>
      </c>
      <c r="Y48">
        <v>0.14715248096459849</v>
      </c>
      <c r="Z48">
        <v>0.2014695600913548</v>
      </c>
      <c r="AA48">
        <v>2.506374546616115E-2</v>
      </c>
      <c r="AB48">
        <v>0.88080082079631372</v>
      </c>
      <c r="AC48">
        <v>0.107024344999295</v>
      </c>
      <c r="AD48">
        <v>1262.5643224101559</v>
      </c>
      <c r="AE48">
        <v>50</v>
      </c>
      <c r="AF48">
        <v>86.627223361402329</v>
      </c>
      <c r="AG48">
        <v>2.5039199999999999</v>
      </c>
      <c r="AH48">
        <v>14.096819999999999</v>
      </c>
      <c r="AI48">
        <v>0.27322000000000002</v>
      </c>
      <c r="AJ48">
        <v>10.95044</v>
      </c>
      <c r="AK48">
        <v>0.52094000000000007</v>
      </c>
      <c r="AL48">
        <v>2.9191400000000001</v>
      </c>
      <c r="AM48">
        <v>50.91704</v>
      </c>
      <c r="AN48">
        <v>6.4346599999999992</v>
      </c>
      <c r="AO48">
        <v>10.86684</v>
      </c>
      <c r="AP48">
        <v>0.19492000000000001</v>
      </c>
      <c r="AQ48">
        <v>99.70778</v>
      </c>
      <c r="AR48">
        <v>5.8797253337209539E-2</v>
      </c>
      <c r="AS48">
        <v>0.138496180452748</v>
      </c>
      <c r="AT48">
        <v>2.822688434808206E-2</v>
      </c>
      <c r="AU48">
        <v>7.1287502411011894E-2</v>
      </c>
      <c r="AV48">
        <v>1.2819243347405491E-2</v>
      </c>
      <c r="AW48">
        <v>2.3721045508155889E-2</v>
      </c>
      <c r="AX48">
        <v>0.39733328327740491</v>
      </c>
      <c r="AY48">
        <v>8.3972662218129629E-2</v>
      </c>
      <c r="AZ48">
        <v>5.8132675837260117E-2</v>
      </c>
      <c r="BA48">
        <v>1.931080008699795E-2</v>
      </c>
      <c r="BD48" t="s">
        <v>199</v>
      </c>
      <c r="BE48">
        <v>0.36437016106076853</v>
      </c>
      <c r="BF48">
        <v>2834</v>
      </c>
      <c r="BG48">
        <v>283735.0260652104</v>
      </c>
      <c r="BH48">
        <v>1397.017129906422</v>
      </c>
      <c r="BI48">
        <v>300.52564591590522</v>
      </c>
      <c r="BJ48">
        <v>26.242294707080909</v>
      </c>
      <c r="BK48">
        <v>1397.0171299064209</v>
      </c>
    </row>
    <row r="49" spans="1:63" x14ac:dyDescent="0.2">
      <c r="A49">
        <v>47</v>
      </c>
      <c r="B49" t="s">
        <v>62</v>
      </c>
      <c r="C49" t="s">
        <v>63</v>
      </c>
      <c r="D49" t="s">
        <v>64</v>
      </c>
      <c r="E49">
        <v>-155.26785000000001</v>
      </c>
      <c r="F49">
        <v>19.407830000000001</v>
      </c>
      <c r="G49" t="s">
        <v>65</v>
      </c>
      <c r="H49" t="s">
        <v>200</v>
      </c>
      <c r="I49" t="s">
        <v>201</v>
      </c>
      <c r="J49" t="s">
        <v>68</v>
      </c>
      <c r="K49">
        <v>7.5011734570312489</v>
      </c>
      <c r="L49">
        <v>6.2015512062499996</v>
      </c>
      <c r="M49">
        <v>146.14346999540831</v>
      </c>
      <c r="N49">
        <v>1335.042487122389</v>
      </c>
      <c r="Q49">
        <v>12.01</v>
      </c>
      <c r="R49">
        <v>1325.0039999999999</v>
      </c>
      <c r="S49">
        <v>50</v>
      </c>
      <c r="T49">
        <v>102.89541680000001</v>
      </c>
      <c r="U49">
        <v>6.165355103E-3</v>
      </c>
      <c r="V49">
        <v>5.7518748190000003E-2</v>
      </c>
      <c r="W49">
        <v>4.5379789059999997E-3</v>
      </c>
      <c r="X49">
        <v>0.88196987148942663</v>
      </c>
      <c r="Y49">
        <v>0.14800760174229249</v>
      </c>
      <c r="Z49">
        <v>0.19965088318376409</v>
      </c>
      <c r="AA49">
        <v>2.5558856846824188E-2</v>
      </c>
      <c r="AB49">
        <v>0.87302166132159409</v>
      </c>
      <c r="AC49">
        <v>0.1092048603299771</v>
      </c>
      <c r="AD49">
        <v>1238.3320176251971</v>
      </c>
      <c r="AE49">
        <v>50</v>
      </c>
      <c r="BE49">
        <v>0.18143954797029119</v>
      </c>
      <c r="BF49">
        <v>12593</v>
      </c>
      <c r="BG49">
        <v>805668.41059755208</v>
      </c>
      <c r="BH49">
        <v>1292.7057881702449</v>
      </c>
      <c r="BI49">
        <v>506.4111176496645</v>
      </c>
      <c r="BJ49">
        <v>11.519538795563101</v>
      </c>
      <c r="BK49">
        <v>1292.7057881702449</v>
      </c>
    </row>
    <row r="50" spans="1:63" x14ac:dyDescent="0.2">
      <c r="A50">
        <v>48</v>
      </c>
      <c r="B50" t="s">
        <v>69</v>
      </c>
      <c r="C50" t="s">
        <v>143</v>
      </c>
      <c r="D50" t="s">
        <v>144</v>
      </c>
      <c r="E50">
        <v>-155.22516669999999</v>
      </c>
      <c r="F50">
        <v>19.371883329999999</v>
      </c>
      <c r="G50" t="s">
        <v>145</v>
      </c>
      <c r="H50" t="s">
        <v>174</v>
      </c>
      <c r="I50" t="s">
        <v>202</v>
      </c>
      <c r="J50" t="s">
        <v>68</v>
      </c>
      <c r="K50">
        <v>12.84030038203125</v>
      </c>
      <c r="L50">
        <v>11.28398486640625</v>
      </c>
      <c r="M50">
        <v>455.18459048831528</v>
      </c>
      <c r="N50">
        <v>7320.6686010888861</v>
      </c>
      <c r="O50" t="s">
        <v>176</v>
      </c>
      <c r="Q50">
        <v>9.9760000000000009</v>
      </c>
      <c r="R50">
        <v>1324.9639999999999</v>
      </c>
      <c r="S50">
        <v>50</v>
      </c>
      <c r="T50">
        <v>102.89739125928681</v>
      </c>
      <c r="U50">
        <v>3.8326031418459681E-3</v>
      </c>
      <c r="V50">
        <v>5.8301101847987979E-2</v>
      </c>
      <c r="W50">
        <v>4.1136751998760981E-3</v>
      </c>
      <c r="X50">
        <v>0</v>
      </c>
      <c r="Y50">
        <v>0.14652131875133109</v>
      </c>
      <c r="Z50">
        <v>0.2028401350253668</v>
      </c>
      <c r="AA50">
        <v>2.2729613983494761E-2</v>
      </c>
      <c r="AB50">
        <v>0.88666127251753635</v>
      </c>
      <c r="AC50">
        <v>9.7047683318293471E-2</v>
      </c>
      <c r="AD50">
        <v>1243.5466483277901</v>
      </c>
      <c r="AE50">
        <v>50</v>
      </c>
      <c r="AF50">
        <v>85.66573218843989</v>
      </c>
      <c r="AG50">
        <v>2.1961249999999999</v>
      </c>
      <c r="AH50">
        <v>13.214425</v>
      </c>
      <c r="AI50">
        <v>0.23326250000000001</v>
      </c>
      <c r="AJ50">
        <v>10.8680875</v>
      </c>
      <c r="AK50">
        <v>0.46184999999999998</v>
      </c>
      <c r="AL50">
        <v>2.5506250000000001</v>
      </c>
      <c r="AM50">
        <v>49.975887499999999</v>
      </c>
      <c r="AN50">
        <v>7.4385374999999998</v>
      </c>
      <c r="AP50">
        <v>0.2354</v>
      </c>
      <c r="AQ50">
        <v>98.48666249999998</v>
      </c>
      <c r="AR50">
        <v>5.6378814410075299E-2</v>
      </c>
      <c r="AS50">
        <v>0.24941022862516499</v>
      </c>
      <c r="AT50">
        <v>1.4003870638403601E-2</v>
      </c>
      <c r="AU50">
        <v>0.27584699401505702</v>
      </c>
      <c r="AV50">
        <v>3.1668731762237799E-2</v>
      </c>
      <c r="AW50">
        <v>4.2427543277585897E-2</v>
      </c>
      <c r="AX50">
        <v>0.67605985245919198</v>
      </c>
      <c r="AY50">
        <v>0.10614118545597701</v>
      </c>
      <c r="BA50">
        <v>4.3851209463691802E-2</v>
      </c>
      <c r="BE50">
        <v>0.10250439667624101</v>
      </c>
      <c r="BF50">
        <v>153</v>
      </c>
      <c r="BG50">
        <v>70633.828163142403</v>
      </c>
      <c r="BH50">
        <v>97.571326753878793</v>
      </c>
      <c r="BI50">
        <v>149.94480919103299</v>
      </c>
      <c r="BJ50">
        <v>7.8881742399587598</v>
      </c>
      <c r="BK50">
        <v>97.571326753878793</v>
      </c>
    </row>
    <row r="51" spans="1:63" x14ac:dyDescent="0.2">
      <c r="A51">
        <v>49</v>
      </c>
      <c r="B51" t="s">
        <v>69</v>
      </c>
      <c r="C51" t="s">
        <v>70</v>
      </c>
      <c r="D51" t="s">
        <v>71</v>
      </c>
      <c r="E51">
        <v>-155.29347999999999</v>
      </c>
      <c r="F51">
        <v>19.377479999999998</v>
      </c>
      <c r="G51" t="s">
        <v>112</v>
      </c>
      <c r="H51" t="s">
        <v>203</v>
      </c>
      <c r="I51" t="s">
        <v>204</v>
      </c>
      <c r="J51" t="s">
        <v>68</v>
      </c>
      <c r="K51">
        <v>7.3979033796874996</v>
      </c>
      <c r="L51">
        <v>6.7578264906250007</v>
      </c>
      <c r="M51">
        <v>157.05998966513491</v>
      </c>
      <c r="N51">
        <v>1482.1991914224809</v>
      </c>
      <c r="Q51">
        <v>12.128</v>
      </c>
      <c r="R51">
        <v>1324.9639999999999</v>
      </c>
      <c r="S51">
        <v>50</v>
      </c>
      <c r="T51">
        <v>102.8985875659853</v>
      </c>
      <c r="U51">
        <v>1.1523867305703451E-2</v>
      </c>
      <c r="V51">
        <v>5.8775126585302928E-2</v>
      </c>
      <c r="W51">
        <v>5.9549167900975128E-3</v>
      </c>
      <c r="X51">
        <v>0</v>
      </c>
      <c r="Y51">
        <v>0.14603234377173499</v>
      </c>
      <c r="Z51">
        <v>0.20390020422759739</v>
      </c>
      <c r="AA51">
        <v>2.9651465689112401E-2</v>
      </c>
      <c r="AB51">
        <v>0.89119284723883985</v>
      </c>
      <c r="AC51">
        <v>0.12658789706297369</v>
      </c>
      <c r="AD51">
        <v>1239.642318988105</v>
      </c>
      <c r="AE51">
        <v>50</v>
      </c>
      <c r="AF51">
        <v>85.454807342745525</v>
      </c>
      <c r="AG51">
        <v>2.1280100000000002</v>
      </c>
      <c r="AH51">
        <v>12.511455</v>
      </c>
      <c r="AI51">
        <v>0.21128</v>
      </c>
      <c r="AJ51">
        <v>10.547185000000001</v>
      </c>
      <c r="AK51">
        <v>0.43435000000000001</v>
      </c>
      <c r="AL51">
        <v>2.4173399999999998</v>
      </c>
      <c r="AM51">
        <v>50.003889999999998</v>
      </c>
      <c r="AN51">
        <v>8.5805450000000008</v>
      </c>
      <c r="AO51">
        <v>11.0444</v>
      </c>
      <c r="AP51">
        <v>0.37786999999999998</v>
      </c>
      <c r="AQ51">
        <v>98.290260000000004</v>
      </c>
      <c r="AR51">
        <v>4.7093422517846893E-2</v>
      </c>
      <c r="AS51">
        <v>0.17423154844121161</v>
      </c>
      <c r="AT51">
        <v>2.1925114974993089E-2</v>
      </c>
      <c r="AU51">
        <v>0.1853741817244248</v>
      </c>
      <c r="AV51">
        <v>1.0520403456564249E-2</v>
      </c>
      <c r="AW51">
        <v>3.5166562401109248E-2</v>
      </c>
      <c r="AX51">
        <v>0.46106226248619608</v>
      </c>
      <c r="AY51">
        <v>0.4051107053427907</v>
      </c>
      <c r="AZ51">
        <v>0.14841023100402101</v>
      </c>
      <c r="BA51">
        <v>1.7068639208924791E-2</v>
      </c>
      <c r="BD51" t="s">
        <v>205</v>
      </c>
      <c r="BE51">
        <v>1.810496961659628</v>
      </c>
      <c r="BF51">
        <v>2618</v>
      </c>
      <c r="BG51">
        <v>261542.96988943499</v>
      </c>
      <c r="BH51">
        <v>4312.5652861409362</v>
      </c>
      <c r="BI51">
        <v>288.53372935876428</v>
      </c>
      <c r="BJ51">
        <v>84.285110714583141</v>
      </c>
      <c r="BK51">
        <v>4312.5652861409362</v>
      </c>
    </row>
    <row r="52" spans="1:63" x14ac:dyDescent="0.2">
      <c r="A52">
        <v>50</v>
      </c>
      <c r="B52" t="s">
        <v>69</v>
      </c>
      <c r="C52" t="s">
        <v>81</v>
      </c>
      <c r="D52" t="s">
        <v>71</v>
      </c>
      <c r="E52">
        <v>-155.29106999999999</v>
      </c>
      <c r="F52">
        <v>19.383150000000001</v>
      </c>
      <c r="G52" t="s">
        <v>82</v>
      </c>
      <c r="H52" t="s">
        <v>206</v>
      </c>
      <c r="I52" t="s">
        <v>207</v>
      </c>
      <c r="J52" t="s">
        <v>85</v>
      </c>
      <c r="K52">
        <v>6.0490578562500001</v>
      </c>
      <c r="L52">
        <v>5.1027157406250003</v>
      </c>
      <c r="M52">
        <v>96.97035523809005</v>
      </c>
      <c r="N52">
        <v>720.92763148248127</v>
      </c>
      <c r="Q52">
        <v>10.016</v>
      </c>
      <c r="R52">
        <v>1324.9639999999999</v>
      </c>
      <c r="S52">
        <v>100</v>
      </c>
      <c r="T52">
        <v>102.8989827937893</v>
      </c>
      <c r="U52">
        <v>5.0240598075044253E-3</v>
      </c>
      <c r="V52">
        <v>5.8931731706920232E-2</v>
      </c>
      <c r="W52">
        <v>4.3095169623304118E-3</v>
      </c>
      <c r="X52">
        <v>4.6637451027308181</v>
      </c>
      <c r="Y52">
        <v>0.14609425614545971</v>
      </c>
      <c r="Z52">
        <v>0.2037690726972331</v>
      </c>
      <c r="AA52">
        <v>2.4028400607490209E-2</v>
      </c>
      <c r="AB52">
        <v>0.89063234321624907</v>
      </c>
      <c r="AC52">
        <v>0.1026081955676678</v>
      </c>
      <c r="AD52">
        <v>1234.5128075648549</v>
      </c>
      <c r="AE52">
        <v>50</v>
      </c>
      <c r="AF52">
        <v>85.169671348035195</v>
      </c>
      <c r="AG52">
        <v>2.2102200000000001</v>
      </c>
      <c r="AH52">
        <v>12.516225</v>
      </c>
      <c r="AI52">
        <v>0.22873499999999999</v>
      </c>
      <c r="AJ52">
        <v>10.535360000000001</v>
      </c>
      <c r="AK52">
        <v>0.37534499999999998</v>
      </c>
      <c r="AL52">
        <v>2.4377900000000001</v>
      </c>
      <c r="AM52">
        <v>50.224780000000003</v>
      </c>
      <c r="AN52">
        <v>8.9844449999999991</v>
      </c>
      <c r="AP52">
        <v>0.178455</v>
      </c>
      <c r="AQ52">
        <v>99.610560000000007</v>
      </c>
      <c r="AR52">
        <v>1.7587090435884831E-2</v>
      </c>
      <c r="AS52">
        <v>0.12699126938494701</v>
      </c>
      <c r="AT52">
        <v>8.073250584491971E-3</v>
      </c>
      <c r="AU52">
        <v>6.9056800896073786E-2</v>
      </c>
      <c r="AV52">
        <v>2.248073063759274E-2</v>
      </c>
      <c r="AW52">
        <v>2.1205111412109991E-2</v>
      </c>
      <c r="AX52">
        <v>0.5052093298821787</v>
      </c>
      <c r="AY52">
        <v>0.13192220766421431</v>
      </c>
      <c r="BA52">
        <v>1.2962040734390541E-2</v>
      </c>
      <c r="BB52">
        <v>5</v>
      </c>
      <c r="BC52" t="s">
        <v>86</v>
      </c>
      <c r="BE52">
        <v>1.631548979428451</v>
      </c>
      <c r="BF52">
        <v>46960</v>
      </c>
      <c r="BG52">
        <v>3033485.2193307872</v>
      </c>
      <c r="BH52">
        <v>48961.121026747387</v>
      </c>
      <c r="BI52">
        <v>982.64354417326433</v>
      </c>
      <c r="BJ52">
        <v>225.9369744944274</v>
      </c>
      <c r="BK52">
        <v>48961.121026748777</v>
      </c>
    </row>
    <row r="53" spans="1:63" x14ac:dyDescent="0.2">
      <c r="A53">
        <v>51</v>
      </c>
      <c r="B53" t="s">
        <v>69</v>
      </c>
      <c r="C53" t="s">
        <v>76</v>
      </c>
      <c r="D53" t="s">
        <v>71</v>
      </c>
      <c r="E53">
        <v>-155.29812000000001</v>
      </c>
      <c r="F53">
        <v>19.375624999999999</v>
      </c>
      <c r="G53" t="s">
        <v>77</v>
      </c>
      <c r="H53" t="s">
        <v>197</v>
      </c>
      <c r="I53" t="s">
        <v>208</v>
      </c>
      <c r="J53" t="s">
        <v>68</v>
      </c>
      <c r="K53">
        <v>6.8683609234375007</v>
      </c>
      <c r="L53">
        <v>6.2389190507812504</v>
      </c>
      <c r="M53">
        <v>134.6208511668207</v>
      </c>
      <c r="N53">
        <v>1176.342124407435</v>
      </c>
      <c r="Q53">
        <v>11.958</v>
      </c>
      <c r="R53">
        <v>1324.9639999999999</v>
      </c>
      <c r="S53">
        <v>50</v>
      </c>
      <c r="T53">
        <v>102.8998618051197</v>
      </c>
      <c r="U53">
        <v>4.194460387986842E-3</v>
      </c>
      <c r="V53">
        <v>5.9280031282177958E-2</v>
      </c>
      <c r="W53">
        <v>4.1674104919559212E-3</v>
      </c>
      <c r="X53">
        <v>0</v>
      </c>
      <c r="Y53">
        <v>0.14395774080553561</v>
      </c>
      <c r="Z53">
        <v>0.20841731044462439</v>
      </c>
      <c r="AA53">
        <v>2.4465339463949499E-2</v>
      </c>
      <c r="AB53">
        <v>0.91049097762675202</v>
      </c>
      <c r="AC53">
        <v>0.1043197228296928</v>
      </c>
      <c r="AD53">
        <v>1262.5643224101559</v>
      </c>
      <c r="AE53">
        <v>50</v>
      </c>
      <c r="AF53">
        <v>86.627223361402329</v>
      </c>
      <c r="AG53">
        <v>2.5039199999999999</v>
      </c>
      <c r="AH53">
        <v>14.096819999999999</v>
      </c>
      <c r="AI53">
        <v>0.27322000000000002</v>
      </c>
      <c r="AJ53">
        <v>10.95044</v>
      </c>
      <c r="AK53">
        <v>0.52094000000000007</v>
      </c>
      <c r="AL53">
        <v>2.9191400000000001</v>
      </c>
      <c r="AM53">
        <v>50.91704</v>
      </c>
      <c r="AN53">
        <v>6.4346599999999992</v>
      </c>
      <c r="AO53">
        <v>10.86684</v>
      </c>
      <c r="AP53">
        <v>0.19492000000000001</v>
      </c>
      <c r="AQ53">
        <v>99.70778</v>
      </c>
      <c r="AR53">
        <v>5.8797253337209539E-2</v>
      </c>
      <c r="AS53">
        <v>0.138496180452748</v>
      </c>
      <c r="AT53">
        <v>2.822688434808206E-2</v>
      </c>
      <c r="AU53">
        <v>7.1287502411011894E-2</v>
      </c>
      <c r="AV53">
        <v>1.2819243347405491E-2</v>
      </c>
      <c r="AW53">
        <v>2.3721045508155889E-2</v>
      </c>
      <c r="AX53">
        <v>0.39733328327740491</v>
      </c>
      <c r="AY53">
        <v>8.3972662218129629E-2</v>
      </c>
      <c r="AZ53">
        <v>5.8132675837260117E-2</v>
      </c>
      <c r="BA53">
        <v>1.931080008699795E-2</v>
      </c>
      <c r="BD53" t="s">
        <v>199</v>
      </c>
      <c r="BE53">
        <v>0.36437016106076853</v>
      </c>
      <c r="BF53">
        <v>2834</v>
      </c>
      <c r="BG53">
        <v>283735.0260652104</v>
      </c>
      <c r="BH53">
        <v>1397.017129906422</v>
      </c>
      <c r="BI53">
        <v>300.52564591590522</v>
      </c>
      <c r="BJ53">
        <v>26.242294707080909</v>
      </c>
      <c r="BK53">
        <v>1397.0171299064209</v>
      </c>
    </row>
    <row r="54" spans="1:63" x14ac:dyDescent="0.2">
      <c r="A54">
        <v>52</v>
      </c>
      <c r="B54" t="s">
        <v>69</v>
      </c>
      <c r="C54" t="s">
        <v>76</v>
      </c>
      <c r="D54" t="s">
        <v>71</v>
      </c>
      <c r="E54">
        <v>-155.29812000000001</v>
      </c>
      <c r="F54">
        <v>19.375624999999999</v>
      </c>
      <c r="G54" t="s">
        <v>77</v>
      </c>
      <c r="H54" t="s">
        <v>209</v>
      </c>
      <c r="I54" t="s">
        <v>210</v>
      </c>
      <c r="J54" t="s">
        <v>68</v>
      </c>
      <c r="K54">
        <v>10.5211113125</v>
      </c>
      <c r="L54">
        <v>10.06671134921875</v>
      </c>
      <c r="M54">
        <v>332.73547336441783</v>
      </c>
      <c r="N54">
        <v>4566.8659459264509</v>
      </c>
      <c r="Q54">
        <v>11.907</v>
      </c>
      <c r="R54">
        <v>1324.9639999999999</v>
      </c>
      <c r="S54">
        <v>50</v>
      </c>
      <c r="T54">
        <v>102.900383829204</v>
      </c>
      <c r="U54">
        <v>4.6134286436733977E-3</v>
      </c>
      <c r="V54">
        <v>5.94868781800173E-2</v>
      </c>
      <c r="W54">
        <v>4.2360842071860767E-3</v>
      </c>
      <c r="X54">
        <v>0</v>
      </c>
      <c r="Y54">
        <v>0.14731383229197581</v>
      </c>
      <c r="Z54">
        <v>0.20115962530884221</v>
      </c>
      <c r="AA54">
        <v>2.5182185977761951E-2</v>
      </c>
      <c r="AB54">
        <v>0.87947532904639558</v>
      </c>
      <c r="AC54">
        <v>0.1074217205443196</v>
      </c>
      <c r="AD54">
        <v>1199.5913101860781</v>
      </c>
      <c r="AE54">
        <v>50</v>
      </c>
      <c r="AF54">
        <v>82.913233581174339</v>
      </c>
      <c r="AG54">
        <v>2.5039199999999999</v>
      </c>
      <c r="AH54">
        <v>14.096819999999999</v>
      </c>
      <c r="AI54">
        <v>0.27322000000000002</v>
      </c>
      <c r="AJ54">
        <v>10.95044</v>
      </c>
      <c r="AK54">
        <v>0.52094000000000007</v>
      </c>
      <c r="AL54">
        <v>2.9191400000000001</v>
      </c>
      <c r="AM54">
        <v>50.91704</v>
      </c>
      <c r="AN54">
        <v>6.4346599999999992</v>
      </c>
      <c r="AO54">
        <v>10.86684</v>
      </c>
      <c r="AP54">
        <v>0.19492000000000001</v>
      </c>
      <c r="AQ54">
        <v>99.70778</v>
      </c>
      <c r="AR54">
        <v>5.8797253337209539E-2</v>
      </c>
      <c r="AS54">
        <v>0.138496180452748</v>
      </c>
      <c r="AT54">
        <v>2.822688434808206E-2</v>
      </c>
      <c r="AU54">
        <v>7.1287502411011894E-2</v>
      </c>
      <c r="AV54">
        <v>1.2819243347405491E-2</v>
      </c>
      <c r="AW54">
        <v>2.3721045508155889E-2</v>
      </c>
      <c r="AX54">
        <v>0.39733328327740491</v>
      </c>
      <c r="AY54">
        <v>8.3972662218129629E-2</v>
      </c>
      <c r="AZ54">
        <v>5.8132675837260117E-2</v>
      </c>
      <c r="BA54">
        <v>1.931080008699795E-2</v>
      </c>
      <c r="BD54" t="s">
        <v>211</v>
      </c>
      <c r="BE54">
        <v>8.6406313008168145E-2</v>
      </c>
      <c r="BF54">
        <v>1210</v>
      </c>
      <c r="BG54">
        <v>78183.709288852318</v>
      </c>
      <c r="BH54">
        <v>8.5787297688707689</v>
      </c>
      <c r="BI54">
        <v>157.75502402510409</v>
      </c>
      <c r="BJ54">
        <v>0.24662114091564979</v>
      </c>
      <c r="BK54">
        <v>8.5787297688707689</v>
      </c>
    </row>
    <row r="55" spans="1:63" x14ac:dyDescent="0.2">
      <c r="A55">
        <v>53</v>
      </c>
      <c r="B55" t="s">
        <v>69</v>
      </c>
      <c r="C55" t="s">
        <v>91</v>
      </c>
      <c r="D55" t="s">
        <v>92</v>
      </c>
      <c r="E55">
        <v>-155.28360000000001</v>
      </c>
      <c r="F55">
        <v>19.4285</v>
      </c>
      <c r="G55" t="s">
        <v>212</v>
      </c>
      <c r="H55" t="s">
        <v>213</v>
      </c>
      <c r="I55" t="s">
        <v>214</v>
      </c>
      <c r="J55" t="s">
        <v>68</v>
      </c>
      <c r="K55">
        <v>9.0847448343749999</v>
      </c>
      <c r="L55">
        <v>7.6557589414062504</v>
      </c>
      <c r="M55">
        <v>218.49970583697939</v>
      </c>
      <c r="N55">
        <v>2438.5301003806971</v>
      </c>
      <c r="O55" t="s">
        <v>215</v>
      </c>
      <c r="Q55">
        <v>12.009</v>
      </c>
      <c r="R55">
        <v>1325.0039999999999</v>
      </c>
      <c r="S55">
        <v>50</v>
      </c>
      <c r="T55">
        <v>102.9009065980735</v>
      </c>
      <c r="U55">
        <v>2.622784668597574E-3</v>
      </c>
      <c r="V55">
        <v>5.9694020191642487E-2</v>
      </c>
      <c r="W55">
        <v>3.9598613485835113E-3</v>
      </c>
      <c r="X55">
        <v>0</v>
      </c>
      <c r="Y55">
        <v>0.1457947481432679</v>
      </c>
      <c r="Z55">
        <v>0.2044271660114492</v>
      </c>
      <c r="AA55">
        <v>2.655707653856082E-2</v>
      </c>
      <c r="AB55">
        <v>0.89344511508602242</v>
      </c>
      <c r="AC55">
        <v>0.11344125962027039</v>
      </c>
      <c r="AD55">
        <v>1220.1822987351841</v>
      </c>
      <c r="AE55">
        <v>100</v>
      </c>
      <c r="AG55">
        <v>2.1021777777777779</v>
      </c>
      <c r="AH55">
        <v>12.18196296296296</v>
      </c>
      <c r="AJ55">
        <v>10.35145925925926</v>
      </c>
      <c r="AK55">
        <v>0.4553962962962963</v>
      </c>
      <c r="AL55">
        <v>2.3345296296296301</v>
      </c>
      <c r="AM55">
        <v>49.209007407407412</v>
      </c>
      <c r="AN55">
        <v>9.4706370370370365</v>
      </c>
      <c r="AP55">
        <v>1.7722222222222219E-2</v>
      </c>
      <c r="AQ55">
        <v>97.341288888888897</v>
      </c>
      <c r="AR55">
        <v>3.1603703937420069E-2</v>
      </c>
      <c r="AS55">
        <v>0.1308813941885143</v>
      </c>
      <c r="AU55">
        <v>0.12790190128874709</v>
      </c>
      <c r="AV55">
        <v>3.4622563579722238E-2</v>
      </c>
      <c r="AW55">
        <v>4.9585767303615608E-2</v>
      </c>
      <c r="AX55">
        <v>0.4308268757472053</v>
      </c>
      <c r="AY55">
        <v>0.20483483806030409</v>
      </c>
      <c r="BA55">
        <v>4.922736366426028E-3</v>
      </c>
      <c r="BB55">
        <v>27</v>
      </c>
      <c r="BC55" t="s">
        <v>86</v>
      </c>
    </row>
    <row r="56" spans="1:63" x14ac:dyDescent="0.2">
      <c r="A56">
        <v>54</v>
      </c>
      <c r="B56" t="s">
        <v>69</v>
      </c>
      <c r="C56" t="s">
        <v>76</v>
      </c>
      <c r="D56" t="s">
        <v>71</v>
      </c>
      <c r="E56">
        <v>-155.29812000000001</v>
      </c>
      <c r="F56">
        <v>19.375624999999999</v>
      </c>
      <c r="G56" t="s">
        <v>77</v>
      </c>
      <c r="H56" t="s">
        <v>209</v>
      </c>
      <c r="I56" t="s">
        <v>216</v>
      </c>
      <c r="J56" t="s">
        <v>68</v>
      </c>
      <c r="K56">
        <v>5.8580343648437498</v>
      </c>
      <c r="L56">
        <v>5.6059902875000001</v>
      </c>
      <c r="M56">
        <v>103.1701658621862</v>
      </c>
      <c r="N56">
        <v>788.49688322033069</v>
      </c>
      <c r="Q56">
        <v>11.898</v>
      </c>
      <c r="R56">
        <v>1324.9639999999999</v>
      </c>
      <c r="S56">
        <v>50</v>
      </c>
      <c r="T56">
        <v>102.9028487306885</v>
      </c>
      <c r="U56">
        <v>4.1725141837450214E-3</v>
      </c>
      <c r="V56">
        <v>6.0463571096782687E-2</v>
      </c>
      <c r="W56">
        <v>4.1624040379440114E-3</v>
      </c>
      <c r="X56">
        <v>0</v>
      </c>
      <c r="Y56">
        <v>0.14565474482863119</v>
      </c>
      <c r="Z56">
        <v>0.20474158477358989</v>
      </c>
      <c r="AA56">
        <v>2.5083870469593161E-2</v>
      </c>
      <c r="AB56">
        <v>0.89478883928338138</v>
      </c>
      <c r="AC56">
        <v>0.106921815190133</v>
      </c>
      <c r="AD56">
        <v>1203.366098225365</v>
      </c>
      <c r="AE56">
        <v>50</v>
      </c>
      <c r="AF56">
        <v>83.190414258601891</v>
      </c>
      <c r="AG56">
        <v>2.5039199999999999</v>
      </c>
      <c r="AH56">
        <v>14.096819999999999</v>
      </c>
      <c r="AI56">
        <v>0.27322000000000002</v>
      </c>
      <c r="AJ56">
        <v>10.95044</v>
      </c>
      <c r="AK56">
        <v>0.52094000000000007</v>
      </c>
      <c r="AL56">
        <v>2.9191400000000001</v>
      </c>
      <c r="AM56">
        <v>50.91704</v>
      </c>
      <c r="AN56">
        <v>6.4346599999999992</v>
      </c>
      <c r="AO56">
        <v>10.86684</v>
      </c>
      <c r="AP56">
        <v>0.19492000000000001</v>
      </c>
      <c r="AQ56">
        <v>99.70778</v>
      </c>
      <c r="AR56">
        <v>5.8797253337209539E-2</v>
      </c>
      <c r="AS56">
        <v>0.138496180452748</v>
      </c>
      <c r="AT56">
        <v>2.822688434808206E-2</v>
      </c>
      <c r="AU56">
        <v>7.1287502411011894E-2</v>
      </c>
      <c r="AV56">
        <v>1.2819243347405491E-2</v>
      </c>
      <c r="AW56">
        <v>2.3721045508155889E-2</v>
      </c>
      <c r="AX56">
        <v>0.39733328327740491</v>
      </c>
      <c r="AY56">
        <v>8.3972662218129629E-2</v>
      </c>
      <c r="AZ56">
        <v>5.8132675837260117E-2</v>
      </c>
      <c r="BA56">
        <v>1.931080008699795E-2</v>
      </c>
      <c r="BD56" t="s">
        <v>211</v>
      </c>
      <c r="BE56">
        <v>8.6406313008168145E-2</v>
      </c>
      <c r="BF56">
        <v>1210</v>
      </c>
      <c r="BG56">
        <v>78183.709288852318</v>
      </c>
      <c r="BH56">
        <v>8.5787297688707689</v>
      </c>
      <c r="BI56">
        <v>157.75502402510409</v>
      </c>
      <c r="BJ56">
        <v>0.24662114091564979</v>
      </c>
      <c r="BK56">
        <v>8.5787297688707689</v>
      </c>
    </row>
    <row r="57" spans="1:63" x14ac:dyDescent="0.2">
      <c r="A57">
        <v>55</v>
      </c>
      <c r="B57" t="s">
        <v>69</v>
      </c>
      <c r="C57" t="s">
        <v>91</v>
      </c>
      <c r="D57" t="s">
        <v>92</v>
      </c>
      <c r="E57">
        <v>-155.272412745889</v>
      </c>
      <c r="F57">
        <v>19.3454197541963</v>
      </c>
      <c r="G57" t="s">
        <v>124</v>
      </c>
      <c r="H57" t="s">
        <v>217</v>
      </c>
      <c r="I57" t="s">
        <v>218</v>
      </c>
      <c r="J57" t="s">
        <v>68</v>
      </c>
      <c r="K57">
        <v>5.2550928609374994</v>
      </c>
      <c r="L57">
        <v>4.24034957421875</v>
      </c>
      <c r="M57">
        <v>70.005462420636121</v>
      </c>
      <c r="N57">
        <v>443.15522570776278</v>
      </c>
      <c r="O57" t="s">
        <v>219</v>
      </c>
      <c r="Q57">
        <v>12.191000000000001</v>
      </c>
      <c r="R57">
        <v>1325.0039999999999</v>
      </c>
      <c r="S57">
        <v>50</v>
      </c>
      <c r="T57">
        <v>102.9030348165731</v>
      </c>
      <c r="U57">
        <v>2.674228914118797E-2</v>
      </c>
      <c r="V57">
        <v>6.0537305794312601E-2</v>
      </c>
      <c r="W57">
        <v>1.126385321841606E-2</v>
      </c>
      <c r="X57">
        <v>10.24078159562985</v>
      </c>
      <c r="Y57">
        <v>0.14191591719735869</v>
      </c>
      <c r="Z57">
        <v>0.21294372738886019</v>
      </c>
      <c r="AA57">
        <v>4.7171668571277373E-2</v>
      </c>
      <c r="AB57">
        <v>0.92981013617725394</v>
      </c>
      <c r="AC57">
        <v>0.2009685116247987</v>
      </c>
      <c r="AD57">
        <v>1265.5426736382669</v>
      </c>
      <c r="AE57">
        <v>100</v>
      </c>
      <c r="AG57">
        <v>2.4452269230769228</v>
      </c>
      <c r="AH57">
        <v>12.97811153846154</v>
      </c>
      <c r="AJ57">
        <v>10.30404615384615</v>
      </c>
      <c r="AK57">
        <v>0.55342692307692309</v>
      </c>
      <c r="AL57">
        <v>2.900669230769231</v>
      </c>
      <c r="AM57">
        <v>50.451046153846157</v>
      </c>
      <c r="AN57">
        <v>6.0883423076923071</v>
      </c>
      <c r="AP57">
        <v>1.6526923076923071E-2</v>
      </c>
      <c r="AQ57">
        <v>97.170811538461535</v>
      </c>
      <c r="AR57">
        <v>0.14452695958247319</v>
      </c>
      <c r="AS57">
        <v>0.56238533005541524</v>
      </c>
      <c r="AU57">
        <v>0.81302815263963402</v>
      </c>
      <c r="AV57">
        <v>0.1071919159552335</v>
      </c>
      <c r="AW57">
        <v>0.48878923864523122</v>
      </c>
      <c r="AX57">
        <v>0.42567582898799372</v>
      </c>
      <c r="AY57">
        <v>0.85490953915514445</v>
      </c>
      <c r="BA57">
        <v>4.3609684880592933E-3</v>
      </c>
      <c r="BB57">
        <v>26</v>
      </c>
      <c r="BC57" t="s">
        <v>86</v>
      </c>
    </row>
    <row r="58" spans="1:63" x14ac:dyDescent="0.2">
      <c r="A58">
        <v>56</v>
      </c>
      <c r="B58" t="s">
        <v>69</v>
      </c>
      <c r="C58" t="s">
        <v>76</v>
      </c>
      <c r="D58" t="s">
        <v>71</v>
      </c>
      <c r="E58">
        <v>-155.29812000000001</v>
      </c>
      <c r="F58">
        <v>19.375624999999999</v>
      </c>
      <c r="G58" t="s">
        <v>77</v>
      </c>
      <c r="H58" t="s">
        <v>220</v>
      </c>
      <c r="I58" t="s">
        <v>221</v>
      </c>
      <c r="J58" t="s">
        <v>68</v>
      </c>
      <c r="K58">
        <v>16.986736368750002</v>
      </c>
      <c r="L58">
        <v>16.98470234921875</v>
      </c>
      <c r="M58">
        <v>906.39553978942581</v>
      </c>
      <c r="N58">
        <v>20527.707022797789</v>
      </c>
      <c r="Q58">
        <v>11.988</v>
      </c>
      <c r="R58">
        <v>1324.9639999999999</v>
      </c>
      <c r="S58">
        <v>50</v>
      </c>
      <c r="T58">
        <v>102.90356966629879</v>
      </c>
      <c r="U58">
        <v>4.2087466553565748E-3</v>
      </c>
      <c r="V58">
        <v>6.0749234726152679E-2</v>
      </c>
      <c r="W58">
        <v>4.1677645322018781E-3</v>
      </c>
      <c r="X58">
        <v>0</v>
      </c>
      <c r="Y58">
        <v>0.14404310039137069</v>
      </c>
      <c r="Z58">
        <v>0.2082529384289489</v>
      </c>
      <c r="AA58">
        <v>2.353143294570045E-2</v>
      </c>
      <c r="AB58">
        <v>0.90978907000865283</v>
      </c>
      <c r="AC58">
        <v>0.1002769056901653</v>
      </c>
      <c r="AD58">
        <v>1223.571981121207</v>
      </c>
      <c r="AE58">
        <v>50</v>
      </c>
      <c r="AF58">
        <v>84.527589013227143</v>
      </c>
      <c r="AG58">
        <v>2.5039199999999999</v>
      </c>
      <c r="AH58">
        <v>14.096819999999999</v>
      </c>
      <c r="AI58">
        <v>0.27322000000000002</v>
      </c>
      <c r="AJ58">
        <v>10.95044</v>
      </c>
      <c r="AK58">
        <v>0.52094000000000007</v>
      </c>
      <c r="AL58">
        <v>2.9191400000000001</v>
      </c>
      <c r="AM58">
        <v>50.91704</v>
      </c>
      <c r="AN58">
        <v>6.4346599999999992</v>
      </c>
      <c r="AO58">
        <v>10.86684</v>
      </c>
      <c r="AP58">
        <v>0.19492000000000001</v>
      </c>
      <c r="AQ58">
        <v>99.70778</v>
      </c>
      <c r="AR58">
        <v>5.8797253337209539E-2</v>
      </c>
      <c r="AS58">
        <v>0.138496180452748</v>
      </c>
      <c r="AT58">
        <v>2.822688434808206E-2</v>
      </c>
      <c r="AU58">
        <v>7.1287502411011894E-2</v>
      </c>
      <c r="AV58">
        <v>1.2819243347405491E-2</v>
      </c>
      <c r="AW58">
        <v>2.3721045508155889E-2</v>
      </c>
      <c r="AX58">
        <v>0.39733328327740491</v>
      </c>
      <c r="AY58">
        <v>8.3972662218129629E-2</v>
      </c>
      <c r="AZ58">
        <v>5.8132675837260117E-2</v>
      </c>
      <c r="BA58">
        <v>1.931080008699795E-2</v>
      </c>
      <c r="BD58" t="s">
        <v>222</v>
      </c>
      <c r="BE58">
        <v>0.16041938895840069</v>
      </c>
      <c r="BF58">
        <v>4961</v>
      </c>
      <c r="BG58">
        <v>246684.7810172243</v>
      </c>
      <c r="BH58">
        <v>312.30953225186272</v>
      </c>
      <c r="BI58">
        <v>280.21813747305151</v>
      </c>
      <c r="BJ58">
        <v>4.43405041140403</v>
      </c>
      <c r="BK58">
        <v>312.30953225186261</v>
      </c>
    </row>
    <row r="59" spans="1:63" x14ac:dyDescent="0.2">
      <c r="A59">
        <v>57</v>
      </c>
      <c r="B59" t="s">
        <v>69</v>
      </c>
      <c r="C59" t="s">
        <v>143</v>
      </c>
      <c r="D59" t="s">
        <v>144</v>
      </c>
      <c r="E59">
        <v>-155.22516669999999</v>
      </c>
      <c r="F59">
        <v>19.371883329999999</v>
      </c>
      <c r="G59" t="s">
        <v>145</v>
      </c>
      <c r="H59" t="s">
        <v>223</v>
      </c>
      <c r="I59" t="s">
        <v>224</v>
      </c>
      <c r="J59" t="s">
        <v>68</v>
      </c>
      <c r="K59">
        <v>9.2998278710937505</v>
      </c>
      <c r="L59">
        <v>7.8139475460937504</v>
      </c>
      <c r="M59">
        <v>228.29440845726319</v>
      </c>
      <c r="N59">
        <v>2604.6528235581809</v>
      </c>
      <c r="Q59">
        <v>10.125999999999999</v>
      </c>
      <c r="R59">
        <v>1324.9639999999999</v>
      </c>
      <c r="S59">
        <v>50</v>
      </c>
      <c r="T59">
        <v>102.90492256671349</v>
      </c>
      <c r="U59">
        <v>1.030938492546994E-2</v>
      </c>
      <c r="V59">
        <v>6.1285308179968467E-2</v>
      </c>
      <c r="W59">
        <v>5.5920205751030447E-3</v>
      </c>
      <c r="X59">
        <v>0</v>
      </c>
      <c r="Y59">
        <v>0.1395687907834037</v>
      </c>
      <c r="Z59">
        <v>0.2182242556154132</v>
      </c>
      <c r="AA59">
        <v>2.8325022861296609E-2</v>
      </c>
      <c r="AB59">
        <v>0.95232424131400295</v>
      </c>
      <c r="AC59">
        <v>0.1205773539034234</v>
      </c>
      <c r="AD59">
        <v>1287.321297412504</v>
      </c>
      <c r="AE59">
        <v>50</v>
      </c>
      <c r="AF59">
        <v>87.745629489827195</v>
      </c>
      <c r="AG59">
        <v>2.1961249999999999</v>
      </c>
      <c r="AH59">
        <v>13.214425</v>
      </c>
      <c r="AI59">
        <v>0.23326250000000001</v>
      </c>
      <c r="AJ59">
        <v>10.8680875</v>
      </c>
      <c r="AK59">
        <v>0.46184999999999998</v>
      </c>
      <c r="AL59">
        <v>2.5506250000000001</v>
      </c>
      <c r="AM59">
        <v>49.975887499999999</v>
      </c>
      <c r="AN59">
        <v>7.4385374999999998</v>
      </c>
      <c r="AP59">
        <v>0.2354</v>
      </c>
      <c r="AQ59">
        <v>98.48666249999998</v>
      </c>
      <c r="AR59">
        <v>5.6378814410075299E-2</v>
      </c>
      <c r="AS59">
        <v>0.24941022862516499</v>
      </c>
      <c r="AT59">
        <v>1.4003870638403601E-2</v>
      </c>
      <c r="AU59">
        <v>0.27584699401505702</v>
      </c>
      <c r="AV59">
        <v>3.1668731762237799E-2</v>
      </c>
      <c r="AW59">
        <v>4.2427543277585897E-2</v>
      </c>
      <c r="AX59">
        <v>0.67605985245919198</v>
      </c>
      <c r="AY59">
        <v>0.10614118545597701</v>
      </c>
      <c r="BA59">
        <v>4.3851209463691802E-2</v>
      </c>
      <c r="BE59">
        <v>0.26852178103586882</v>
      </c>
      <c r="BF59">
        <v>6027</v>
      </c>
      <c r="BG59">
        <v>431368.62724603212</v>
      </c>
      <c r="BH59">
        <v>753.34693702536754</v>
      </c>
      <c r="BI59">
        <v>370.55215374079597</v>
      </c>
      <c r="BJ59">
        <v>9.7038579640784626</v>
      </c>
      <c r="BK59">
        <v>753.34693702536765</v>
      </c>
    </row>
    <row r="60" spans="1:63" x14ac:dyDescent="0.2">
      <c r="A60">
        <v>58</v>
      </c>
      <c r="B60" t="s">
        <v>69</v>
      </c>
      <c r="C60" t="s">
        <v>143</v>
      </c>
      <c r="D60" t="s">
        <v>144</v>
      </c>
      <c r="E60">
        <v>-155.22516669999999</v>
      </c>
      <c r="F60">
        <v>19.371883329999999</v>
      </c>
      <c r="G60" t="s">
        <v>145</v>
      </c>
      <c r="H60" t="s">
        <v>225</v>
      </c>
      <c r="I60" t="s">
        <v>226</v>
      </c>
      <c r="J60" t="s">
        <v>68</v>
      </c>
      <c r="K60">
        <v>7.5234895570312501</v>
      </c>
      <c r="L60">
        <v>6.4266299960937499</v>
      </c>
      <c r="M60">
        <v>151.89815259020151</v>
      </c>
      <c r="N60">
        <v>1412.6649256880901</v>
      </c>
      <c r="Q60">
        <v>9.9689999999999994</v>
      </c>
      <c r="R60">
        <v>1324.9639999999999</v>
      </c>
      <c r="S60">
        <v>50</v>
      </c>
      <c r="T60">
        <v>102.9055555146077</v>
      </c>
      <c r="U60">
        <v>1.724763116221855E-2</v>
      </c>
      <c r="V60">
        <v>6.153610754410721E-2</v>
      </c>
      <c r="W60">
        <v>7.8286204782157219E-3</v>
      </c>
      <c r="X60">
        <v>0</v>
      </c>
      <c r="Y60">
        <v>0.14309940443685201</v>
      </c>
      <c r="Z60">
        <v>0.21033819842113891</v>
      </c>
      <c r="AA60">
        <v>3.423449917694505E-2</v>
      </c>
      <c r="AB60">
        <v>0.9186917921559602</v>
      </c>
      <c r="AC60">
        <v>0.14595366092219589</v>
      </c>
      <c r="AD60">
        <v>1220.146983429177</v>
      </c>
      <c r="AE60">
        <v>50</v>
      </c>
      <c r="AF60">
        <v>84.3159918991892</v>
      </c>
      <c r="AG60">
        <v>2.1961249999999999</v>
      </c>
      <c r="AH60">
        <v>13.214425</v>
      </c>
      <c r="AI60">
        <v>0.23326250000000001</v>
      </c>
      <c r="AJ60">
        <v>10.8680875</v>
      </c>
      <c r="AK60">
        <v>0.46184999999999998</v>
      </c>
      <c r="AL60">
        <v>2.5506250000000001</v>
      </c>
      <c r="AM60">
        <v>49.975887499999999</v>
      </c>
      <c r="AN60">
        <v>7.4385374999999998</v>
      </c>
      <c r="AP60">
        <v>0.2354</v>
      </c>
      <c r="AQ60">
        <v>98.48666249999998</v>
      </c>
      <c r="AR60">
        <v>5.6378814410075299E-2</v>
      </c>
      <c r="AS60">
        <v>0.24941022862516499</v>
      </c>
      <c r="AT60">
        <v>1.4003870638403601E-2</v>
      </c>
      <c r="AU60">
        <v>0.27584699401505702</v>
      </c>
      <c r="AV60">
        <v>3.1668731762237799E-2</v>
      </c>
      <c r="AW60">
        <v>4.2427543277585897E-2</v>
      </c>
      <c r="AX60">
        <v>0.67605985245919198</v>
      </c>
      <c r="AY60">
        <v>0.10614118545597701</v>
      </c>
      <c r="BA60">
        <v>4.3851209463691802E-2</v>
      </c>
    </row>
    <row r="61" spans="1:63" x14ac:dyDescent="0.2">
      <c r="A61">
        <v>59</v>
      </c>
      <c r="B61" t="s">
        <v>69</v>
      </c>
      <c r="C61" t="s">
        <v>76</v>
      </c>
      <c r="D61" t="s">
        <v>71</v>
      </c>
      <c r="E61">
        <v>-155.29812000000001</v>
      </c>
      <c r="F61">
        <v>19.375624999999999</v>
      </c>
      <c r="G61" t="s">
        <v>77</v>
      </c>
      <c r="H61" t="s">
        <v>227</v>
      </c>
      <c r="I61" t="s">
        <v>228</v>
      </c>
      <c r="J61" t="s">
        <v>68</v>
      </c>
      <c r="O61" t="s">
        <v>229</v>
      </c>
      <c r="Q61">
        <v>11.96</v>
      </c>
      <c r="R61">
        <v>1324.9639999999999</v>
      </c>
      <c r="S61">
        <v>50</v>
      </c>
      <c r="T61">
        <v>102.90582556826951</v>
      </c>
      <c r="U61">
        <v>4.2253632403868877E-3</v>
      </c>
      <c r="V61">
        <v>6.1643113645679648E-2</v>
      </c>
      <c r="W61">
        <v>4.1692932546883339E-3</v>
      </c>
      <c r="X61">
        <v>0</v>
      </c>
      <c r="Y61">
        <v>0.13778319542022291</v>
      </c>
      <c r="Z61">
        <v>0.22230373199933171</v>
      </c>
      <c r="AA61">
        <v>2.490392059627514E-2</v>
      </c>
      <c r="AB61">
        <v>0.96970011579987703</v>
      </c>
      <c r="AC61">
        <v>0.1058806650070741</v>
      </c>
      <c r="AD61">
        <v>1309.615733761696</v>
      </c>
      <c r="AE61">
        <v>50</v>
      </c>
      <c r="AF61">
        <v>88.653175825379591</v>
      </c>
      <c r="AG61">
        <v>2.5039199999999999</v>
      </c>
      <c r="AH61">
        <v>14.096819999999999</v>
      </c>
      <c r="AI61">
        <v>0.27322000000000002</v>
      </c>
      <c r="AJ61">
        <v>10.95044</v>
      </c>
      <c r="AK61">
        <v>0.52094000000000007</v>
      </c>
      <c r="AL61">
        <v>2.9191400000000001</v>
      </c>
      <c r="AM61">
        <v>50.91704</v>
      </c>
      <c r="AN61">
        <v>6.4346599999999992</v>
      </c>
      <c r="AO61">
        <v>10.86684</v>
      </c>
      <c r="AP61">
        <v>0.19492000000000001</v>
      </c>
      <c r="AQ61">
        <v>99.70778</v>
      </c>
      <c r="AR61">
        <v>5.8797253337209539E-2</v>
      </c>
      <c r="AS61">
        <v>0.138496180452748</v>
      </c>
      <c r="AT61">
        <v>2.822688434808206E-2</v>
      </c>
      <c r="AU61">
        <v>7.1287502411011894E-2</v>
      </c>
      <c r="AV61">
        <v>1.2819243347405491E-2</v>
      </c>
      <c r="AW61">
        <v>2.3721045508155889E-2</v>
      </c>
      <c r="AX61">
        <v>0.39733328327740491</v>
      </c>
      <c r="AY61">
        <v>8.3972662218129629E-2</v>
      </c>
      <c r="AZ61">
        <v>5.8132675837260117E-2</v>
      </c>
      <c r="BA61">
        <v>1.931080008699795E-2</v>
      </c>
      <c r="BD61" t="s">
        <v>230</v>
      </c>
      <c r="BE61">
        <v>0.58587802991289395</v>
      </c>
      <c r="BF61">
        <v>11744</v>
      </c>
      <c r="BG61">
        <v>590600.42594234296</v>
      </c>
      <c r="BH61">
        <v>1527.2423234625601</v>
      </c>
      <c r="BI61">
        <v>433.58269610514401</v>
      </c>
      <c r="BJ61">
        <v>14.092885699210299</v>
      </c>
      <c r="BK61">
        <v>1527.2423234625601</v>
      </c>
    </row>
    <row r="62" spans="1:63" x14ac:dyDescent="0.2">
      <c r="A62">
        <v>60</v>
      </c>
      <c r="B62" t="s">
        <v>62</v>
      </c>
      <c r="C62" t="s">
        <v>63</v>
      </c>
      <c r="D62" t="s">
        <v>64</v>
      </c>
      <c r="E62">
        <v>-155.26785000000001</v>
      </c>
      <c r="F62">
        <v>19.407830000000001</v>
      </c>
      <c r="G62" t="s">
        <v>65</v>
      </c>
      <c r="H62" t="s">
        <v>200</v>
      </c>
      <c r="I62" t="s">
        <v>231</v>
      </c>
      <c r="J62" t="s">
        <v>68</v>
      </c>
      <c r="K62">
        <v>7.4489863273437491</v>
      </c>
      <c r="L62">
        <v>5.2244082234374991</v>
      </c>
      <c r="M62">
        <v>122.2599332097965</v>
      </c>
      <c r="N62">
        <v>1032.965580879943</v>
      </c>
      <c r="Q62">
        <v>12.013</v>
      </c>
      <c r="R62">
        <v>1325.0039999999999</v>
      </c>
      <c r="S62">
        <v>50</v>
      </c>
      <c r="T62">
        <v>102.90605770000001</v>
      </c>
      <c r="U62">
        <v>5.087671379E-3</v>
      </c>
      <c r="V62">
        <v>6.173508212E-2</v>
      </c>
      <c r="W62">
        <v>4.3177473710000001E-3</v>
      </c>
      <c r="X62">
        <v>1.4796290330774839</v>
      </c>
      <c r="Y62">
        <v>0.14174067558980261</v>
      </c>
      <c r="Z62">
        <v>0.21335233866866729</v>
      </c>
      <c r="AA62">
        <v>2.5230667718024919E-2</v>
      </c>
      <c r="AB62">
        <v>0.93155320390260776</v>
      </c>
      <c r="AC62">
        <v>0.1074870248761077</v>
      </c>
      <c r="AD62">
        <v>1238.3320176251971</v>
      </c>
      <c r="AE62">
        <v>50</v>
      </c>
      <c r="BE62">
        <v>0.18143954797029119</v>
      </c>
      <c r="BF62">
        <v>12593</v>
      </c>
      <c r="BG62">
        <v>805668.41059755208</v>
      </c>
      <c r="BH62">
        <v>1292.7057881702449</v>
      </c>
      <c r="BI62">
        <v>506.4111176496645</v>
      </c>
      <c r="BJ62">
        <v>11.519538795563101</v>
      </c>
      <c r="BK62">
        <v>1292.7057881702449</v>
      </c>
    </row>
    <row r="63" spans="1:63" x14ac:dyDescent="0.2">
      <c r="A63">
        <v>61</v>
      </c>
      <c r="B63" t="s">
        <v>69</v>
      </c>
      <c r="C63" t="s">
        <v>76</v>
      </c>
      <c r="D63" t="s">
        <v>71</v>
      </c>
      <c r="E63">
        <v>-155.29812000000001</v>
      </c>
      <c r="F63">
        <v>19.375624999999999</v>
      </c>
      <c r="G63" t="s">
        <v>77</v>
      </c>
      <c r="H63" t="s">
        <v>232</v>
      </c>
      <c r="I63" t="s">
        <v>233</v>
      </c>
      <c r="J63" t="s">
        <v>68</v>
      </c>
      <c r="K63">
        <v>7.3492612554687504</v>
      </c>
      <c r="L63">
        <v>6.56494332421875</v>
      </c>
      <c r="M63">
        <v>151.57394008545239</v>
      </c>
      <c r="N63">
        <v>1406.0205408655211</v>
      </c>
      <c r="Q63">
        <v>11.849</v>
      </c>
      <c r="R63">
        <v>1324.9639999999999</v>
      </c>
      <c r="S63">
        <v>50</v>
      </c>
      <c r="T63">
        <v>102.90769474681029</v>
      </c>
      <c r="U63">
        <v>3.437838866374486E-3</v>
      </c>
      <c r="V63">
        <v>6.2383757218050562E-2</v>
      </c>
      <c r="W63">
        <v>4.0531525381823997E-3</v>
      </c>
      <c r="X63">
        <v>0</v>
      </c>
      <c r="Y63">
        <v>0.14168043717407591</v>
      </c>
      <c r="Z63">
        <v>0.21349658251917211</v>
      </c>
      <c r="AA63">
        <v>2.330104458690678E-2</v>
      </c>
      <c r="AB63">
        <v>0.93216848771924932</v>
      </c>
      <c r="AC63">
        <v>9.9283867011654106E-2</v>
      </c>
      <c r="AD63">
        <v>1223.4649004879029</v>
      </c>
      <c r="AE63">
        <v>50</v>
      </c>
      <c r="AF63">
        <v>84.521055087397457</v>
      </c>
      <c r="AG63">
        <v>2.5039199999999999</v>
      </c>
      <c r="AH63">
        <v>14.096819999999999</v>
      </c>
      <c r="AI63">
        <v>0.27322000000000002</v>
      </c>
      <c r="AJ63">
        <v>10.95044</v>
      </c>
      <c r="AK63">
        <v>0.52094000000000007</v>
      </c>
      <c r="AL63">
        <v>2.9191400000000001</v>
      </c>
      <c r="AM63">
        <v>50.91704</v>
      </c>
      <c r="AN63">
        <v>6.4346599999999992</v>
      </c>
      <c r="AO63">
        <v>10.86684</v>
      </c>
      <c r="AP63">
        <v>0.19492000000000001</v>
      </c>
      <c r="AQ63">
        <v>99.70778</v>
      </c>
      <c r="AR63">
        <v>5.8797253337209539E-2</v>
      </c>
      <c r="AS63">
        <v>0.138496180452748</v>
      </c>
      <c r="AT63">
        <v>2.822688434808206E-2</v>
      </c>
      <c r="AU63">
        <v>7.1287502411011894E-2</v>
      </c>
      <c r="AV63">
        <v>1.2819243347405491E-2</v>
      </c>
      <c r="AW63">
        <v>2.3721045508155889E-2</v>
      </c>
      <c r="AX63">
        <v>0.39733328327740491</v>
      </c>
      <c r="AY63">
        <v>8.3972662218129629E-2</v>
      </c>
      <c r="AZ63">
        <v>5.8132675837260117E-2</v>
      </c>
      <c r="BA63">
        <v>1.931080008699795E-2</v>
      </c>
      <c r="BD63" t="s">
        <v>234</v>
      </c>
      <c r="BE63">
        <v>0.27958494164250619</v>
      </c>
      <c r="BF63">
        <v>4550</v>
      </c>
      <c r="BG63">
        <v>244015.56957536191</v>
      </c>
      <c r="BH63">
        <v>346.35957222817399</v>
      </c>
      <c r="BI63">
        <v>278.69798739604539</v>
      </c>
      <c r="BJ63">
        <v>5.1347759246633027</v>
      </c>
      <c r="BK63">
        <v>346.35957222817382</v>
      </c>
    </row>
    <row r="64" spans="1:63" x14ac:dyDescent="0.2">
      <c r="A64">
        <v>62</v>
      </c>
      <c r="B64" t="s">
        <v>62</v>
      </c>
      <c r="C64" t="s">
        <v>63</v>
      </c>
      <c r="D64" t="s">
        <v>64</v>
      </c>
      <c r="E64">
        <v>-155.26785000000001</v>
      </c>
      <c r="F64">
        <v>19.407830000000001</v>
      </c>
      <c r="G64" t="s">
        <v>65</v>
      </c>
      <c r="H64" t="s">
        <v>189</v>
      </c>
      <c r="I64" t="s">
        <v>235</v>
      </c>
      <c r="J64" t="s">
        <v>68</v>
      </c>
      <c r="K64">
        <v>7.1058181749999996</v>
      </c>
      <c r="L64">
        <v>5.8198529125</v>
      </c>
      <c r="M64">
        <v>129.9199880257288</v>
      </c>
      <c r="N64">
        <v>1119.5353552750059</v>
      </c>
      <c r="Q64">
        <v>12.023</v>
      </c>
      <c r="R64">
        <v>1325.0039999999999</v>
      </c>
      <c r="S64">
        <v>50</v>
      </c>
      <c r="T64">
        <v>102.9077473</v>
      </c>
      <c r="U64">
        <v>3.381574871E-3</v>
      </c>
      <c r="V64">
        <v>6.2404577500000002E-2</v>
      </c>
      <c r="W64">
        <v>4.045688851E-3</v>
      </c>
      <c r="X64">
        <v>1.174582985361188</v>
      </c>
      <c r="Y64">
        <v>0.14077346194373</v>
      </c>
      <c r="Z64">
        <v>0.21552531680477049</v>
      </c>
      <c r="AA64">
        <v>2.4591226160181921E-2</v>
      </c>
      <c r="AB64">
        <v>0.94082020395455868</v>
      </c>
      <c r="AC64">
        <v>0.1047126970584992</v>
      </c>
      <c r="AD64">
        <v>1238.3320176251971</v>
      </c>
      <c r="AE64">
        <v>50</v>
      </c>
      <c r="BE64">
        <v>0.23704505799347089</v>
      </c>
      <c r="BF64">
        <v>2857</v>
      </c>
      <c r="BG64">
        <v>182717.670624247</v>
      </c>
      <c r="BH64">
        <v>445.10160057316091</v>
      </c>
      <c r="BI64">
        <v>241.1655882172484</v>
      </c>
      <c r="BJ64">
        <v>8.3272966432657807</v>
      </c>
      <c r="BK64">
        <v>445.10160057316062</v>
      </c>
    </row>
    <row r="65" spans="1:63" x14ac:dyDescent="0.2">
      <c r="A65">
        <v>63</v>
      </c>
      <c r="B65" t="s">
        <v>69</v>
      </c>
      <c r="C65" t="s">
        <v>236</v>
      </c>
      <c r="D65" t="s">
        <v>64</v>
      </c>
      <c r="E65">
        <v>-155.292979</v>
      </c>
      <c r="F65">
        <v>19.400748</v>
      </c>
      <c r="G65" t="s">
        <v>237</v>
      </c>
      <c r="H65" t="s">
        <v>238</v>
      </c>
      <c r="I65" t="s">
        <v>239</v>
      </c>
      <c r="J65" t="s">
        <v>68</v>
      </c>
      <c r="K65">
        <v>9.0917186156250001</v>
      </c>
      <c r="L65">
        <v>7.8599163874999993</v>
      </c>
      <c r="M65">
        <v>224.4986764131761</v>
      </c>
      <c r="N65">
        <v>2537.079747493885</v>
      </c>
      <c r="Q65">
        <v>9.8550000000000004</v>
      </c>
      <c r="R65">
        <v>1324.9639999999999</v>
      </c>
      <c r="S65">
        <v>50</v>
      </c>
      <c r="T65">
        <v>102.9084112924682</v>
      </c>
      <c r="U65">
        <v>1.3605120072796019E-2</v>
      </c>
      <c r="V65">
        <v>6.2667681372026607E-2</v>
      </c>
      <c r="W65">
        <v>6.6054055827741683E-3</v>
      </c>
      <c r="X65">
        <v>0</v>
      </c>
      <c r="Y65">
        <v>0.14323616817827151</v>
      </c>
      <c r="Z65">
        <v>0.21005422805641821</v>
      </c>
      <c r="AA65">
        <v>3.0098393328675279E-2</v>
      </c>
      <c r="AB65">
        <v>0.91747965508078722</v>
      </c>
      <c r="AC65">
        <v>0.12826164401903831</v>
      </c>
      <c r="AD65">
        <v>1190.672189489643</v>
      </c>
      <c r="AE65">
        <v>50</v>
      </c>
      <c r="AF65">
        <v>82.214597715722491</v>
      </c>
      <c r="AG65">
        <v>2.0274999999999999</v>
      </c>
      <c r="AH65">
        <v>12.7525</v>
      </c>
      <c r="AI65">
        <v>0.17249999999999999</v>
      </c>
      <c r="AJ65">
        <v>11.092499999999999</v>
      </c>
      <c r="AK65">
        <v>0.51750000000000007</v>
      </c>
      <c r="AL65">
        <v>2.5150000000000001</v>
      </c>
      <c r="AM65">
        <v>50.63</v>
      </c>
      <c r="AN65">
        <v>7.415</v>
      </c>
      <c r="AP65">
        <v>1685.75</v>
      </c>
      <c r="AR65">
        <v>0.17231270024773751</v>
      </c>
      <c r="AS65">
        <v>0.13450526631573459</v>
      </c>
      <c r="AT65">
        <v>4.9999999999999836E-3</v>
      </c>
      <c r="AU65">
        <v>0.29227555491350982</v>
      </c>
      <c r="AV65">
        <v>2.061552812808835E-2</v>
      </c>
      <c r="AW65">
        <v>6.2449979983983737E-2</v>
      </c>
      <c r="AX65">
        <v>0.21556128285632961</v>
      </c>
      <c r="AY65">
        <v>0.39770173078158311</v>
      </c>
      <c r="BA65">
        <v>51.951098801340748</v>
      </c>
      <c r="BE65">
        <v>7.2508869559464534E-2</v>
      </c>
      <c r="BF65">
        <v>9539</v>
      </c>
      <c r="BG65">
        <v>153437.1832708786</v>
      </c>
      <c r="BH65">
        <v>12.21782995968365</v>
      </c>
      <c r="BI65">
        <v>220.99903244882049</v>
      </c>
      <c r="BJ65">
        <v>0.12509577793000001</v>
      </c>
      <c r="BK65">
        <v>12.21782995968365</v>
      </c>
    </row>
    <row r="66" spans="1:63" x14ac:dyDescent="0.2">
      <c r="A66">
        <v>64</v>
      </c>
      <c r="B66" t="s">
        <v>69</v>
      </c>
      <c r="C66" t="s">
        <v>143</v>
      </c>
      <c r="D66" t="s">
        <v>144</v>
      </c>
      <c r="E66">
        <v>-155.22516669999999</v>
      </c>
      <c r="F66">
        <v>19.371883329999999</v>
      </c>
      <c r="G66" t="s">
        <v>145</v>
      </c>
      <c r="H66" t="s">
        <v>240</v>
      </c>
      <c r="I66" t="s">
        <v>241</v>
      </c>
      <c r="J66" t="s">
        <v>68</v>
      </c>
      <c r="K66">
        <v>7.2214085992187496</v>
      </c>
      <c r="L66">
        <v>6.3393996156250001</v>
      </c>
      <c r="M66">
        <v>143.82021069784051</v>
      </c>
      <c r="N66">
        <v>1300.2121964612229</v>
      </c>
      <c r="O66" t="s">
        <v>242</v>
      </c>
      <c r="Q66">
        <v>9.9536666666666669</v>
      </c>
      <c r="R66">
        <v>1324.9639999999999</v>
      </c>
      <c r="S66">
        <v>50</v>
      </c>
      <c r="T66">
        <v>102.9097410447818</v>
      </c>
      <c r="U66">
        <v>1.3061905956188511E-2</v>
      </c>
      <c r="V66">
        <v>6.3194582618945574E-2</v>
      </c>
      <c r="W66">
        <v>6.4319155915734611E-3</v>
      </c>
      <c r="X66">
        <v>0</v>
      </c>
      <c r="Y66">
        <v>0.13829523221074261</v>
      </c>
      <c r="Z66">
        <v>0.22115380883395319</v>
      </c>
      <c r="AA66">
        <v>4.3323774708104508E-2</v>
      </c>
      <c r="AB66">
        <v>0.9648037373654148</v>
      </c>
      <c r="AC66">
        <v>0.18409208171613201</v>
      </c>
      <c r="AD66">
        <v>1261.328886402953</v>
      </c>
      <c r="AE66">
        <v>50</v>
      </c>
      <c r="AF66">
        <v>86.567764010823893</v>
      </c>
      <c r="AG66">
        <v>2.1961249999999999</v>
      </c>
      <c r="AH66">
        <v>13.214425</v>
      </c>
      <c r="AI66">
        <v>0.23326250000000001</v>
      </c>
      <c r="AJ66">
        <v>10.8680875</v>
      </c>
      <c r="AK66">
        <v>0.46184999999999998</v>
      </c>
      <c r="AL66">
        <v>2.5506250000000001</v>
      </c>
      <c r="AM66">
        <v>49.975887499999999</v>
      </c>
      <c r="AN66">
        <v>7.4385374999999998</v>
      </c>
      <c r="AP66">
        <v>0.2354</v>
      </c>
      <c r="AQ66">
        <v>98.48666249999998</v>
      </c>
      <c r="AR66">
        <v>5.6378814410075299E-2</v>
      </c>
      <c r="AS66">
        <v>0.24941022862516499</v>
      </c>
      <c r="AT66">
        <v>1.4003870638403601E-2</v>
      </c>
      <c r="AU66">
        <v>0.27584699401505702</v>
      </c>
      <c r="AV66">
        <v>3.1668731762237799E-2</v>
      </c>
      <c r="AW66">
        <v>4.2427543277585897E-2</v>
      </c>
      <c r="AX66">
        <v>0.67605985245919198</v>
      </c>
      <c r="AY66">
        <v>0.10614118545597701</v>
      </c>
      <c r="BA66">
        <v>4.3851209463691802E-2</v>
      </c>
      <c r="BE66">
        <v>0.27680226957185022</v>
      </c>
      <c r="BF66">
        <v>5244</v>
      </c>
      <c r="BG66">
        <v>258255.21263313919</v>
      </c>
      <c r="BH66">
        <v>261.10307854378959</v>
      </c>
      <c r="BI66">
        <v>286.71447005623071</v>
      </c>
      <c r="BJ66">
        <v>3.6056257854285132</v>
      </c>
      <c r="BK66">
        <v>261.10307854378959</v>
      </c>
    </row>
    <row r="67" spans="1:63" x14ac:dyDescent="0.2">
      <c r="A67">
        <v>65</v>
      </c>
      <c r="B67" t="s">
        <v>69</v>
      </c>
      <c r="C67" t="s">
        <v>169</v>
      </c>
      <c r="D67" t="s">
        <v>64</v>
      </c>
      <c r="E67">
        <v>-155.29196300000001</v>
      </c>
      <c r="F67">
        <v>19.398634000000001</v>
      </c>
      <c r="G67" t="s">
        <v>170</v>
      </c>
      <c r="H67" t="s">
        <v>243</v>
      </c>
      <c r="I67" t="s">
        <v>244</v>
      </c>
      <c r="J67" t="s">
        <v>68</v>
      </c>
      <c r="K67">
        <v>4.2451149914062496</v>
      </c>
      <c r="L67">
        <v>3.4623080460937499</v>
      </c>
      <c r="M67">
        <v>46.174801441299117</v>
      </c>
      <c r="N67">
        <v>237.25915225377139</v>
      </c>
      <c r="Q67">
        <v>10.101000000000001</v>
      </c>
      <c r="R67">
        <v>1324.7670000000001</v>
      </c>
      <c r="S67">
        <v>50</v>
      </c>
      <c r="T67">
        <v>102.91026842684489</v>
      </c>
      <c r="U67">
        <v>1.051977740037292E-2</v>
      </c>
      <c r="V67">
        <v>6.3403552563066512E-2</v>
      </c>
      <c r="W67">
        <v>5.6513497634009596E-3</v>
      </c>
      <c r="X67">
        <v>4.9310737246503251</v>
      </c>
      <c r="Y67">
        <v>0.1428552836539807</v>
      </c>
      <c r="Z67">
        <v>0.21090564816240481</v>
      </c>
      <c r="AA67">
        <v>2.8123783855692228E-2</v>
      </c>
      <c r="AB67">
        <v>0.92111374941344104</v>
      </c>
      <c r="AC67">
        <v>0.1198656804766617</v>
      </c>
      <c r="AD67">
        <v>1179.7860016754739</v>
      </c>
      <c r="AE67">
        <v>50</v>
      </c>
      <c r="AF67">
        <v>81.259082453231329</v>
      </c>
      <c r="AG67">
        <v>2.5390516666666669</v>
      </c>
      <c r="AH67">
        <v>13.89052597266207</v>
      </c>
      <c r="AI67">
        <v>0.24399675000000001</v>
      </c>
      <c r="AJ67">
        <v>11.205616666666669</v>
      </c>
      <c r="AK67">
        <v>0.47515841666666669</v>
      </c>
      <c r="AL67">
        <v>2.6323025000000002</v>
      </c>
      <c r="AM67">
        <v>50.778866165683027</v>
      </c>
      <c r="AN67">
        <v>6.7552275000000002</v>
      </c>
      <c r="AP67">
        <v>0.17074191666666669</v>
      </c>
      <c r="AR67">
        <v>5.5209421763999247E-2</v>
      </c>
      <c r="AS67">
        <v>0.23260322971847319</v>
      </c>
      <c r="AT67">
        <v>2.215836573857705E-2</v>
      </c>
      <c r="AU67">
        <v>0.13946342520423419</v>
      </c>
      <c r="AV67">
        <v>1.8188943372071519E-2</v>
      </c>
      <c r="AW67">
        <v>3.4278244127355022E-2</v>
      </c>
      <c r="AX67">
        <v>0.34681065155483992</v>
      </c>
      <c r="AY67">
        <v>0.48865100303376952</v>
      </c>
      <c r="BA67">
        <v>2.081601264087701E-2</v>
      </c>
      <c r="BE67">
        <v>0.1092589278214504</v>
      </c>
      <c r="BF67">
        <v>1635</v>
      </c>
      <c r="BG67">
        <v>14799.88206576003</v>
      </c>
      <c r="BH67">
        <v>78.530468642399839</v>
      </c>
      <c r="BI67">
        <v>68.636351708738133</v>
      </c>
      <c r="BJ67">
        <v>1.942134533836376</v>
      </c>
      <c r="BK67">
        <v>78.530468642399796</v>
      </c>
    </row>
    <row r="68" spans="1:63" x14ac:dyDescent="0.2">
      <c r="A68">
        <v>66</v>
      </c>
      <c r="B68" t="s">
        <v>62</v>
      </c>
      <c r="C68" t="s">
        <v>63</v>
      </c>
      <c r="D68" t="s">
        <v>64</v>
      </c>
      <c r="E68">
        <v>-155.26785000000001</v>
      </c>
      <c r="F68">
        <v>19.407830000000001</v>
      </c>
      <c r="G68" t="s">
        <v>65</v>
      </c>
      <c r="H68" t="s">
        <v>66</v>
      </c>
      <c r="I68" t="s">
        <v>245</v>
      </c>
      <c r="J68" t="s">
        <v>68</v>
      </c>
      <c r="K68">
        <v>6.2605377726562503</v>
      </c>
      <c r="L68">
        <v>5.8266523492187492</v>
      </c>
      <c r="M68">
        <v>114.5989449393288</v>
      </c>
      <c r="N68">
        <v>923.45282349863487</v>
      </c>
      <c r="Q68">
        <v>11.935</v>
      </c>
      <c r="R68">
        <v>1325.0039999999999</v>
      </c>
      <c r="S68">
        <v>50</v>
      </c>
      <c r="T68">
        <v>102.91126749999999</v>
      </c>
      <c r="U68">
        <v>3.3426703530000002E-3</v>
      </c>
      <c r="V68">
        <v>6.3799413999999999E-2</v>
      </c>
      <c r="W68">
        <v>4.0389501270000003E-3</v>
      </c>
      <c r="X68">
        <v>4.3095429119127084</v>
      </c>
      <c r="Y68">
        <v>0.13656070333507769</v>
      </c>
      <c r="Z68">
        <v>0.22516052298026731</v>
      </c>
      <c r="AA68">
        <v>2.4713820106309851E-2</v>
      </c>
      <c r="AB68">
        <v>0.98185913685135795</v>
      </c>
      <c r="AC68">
        <v>0.1049417086504026</v>
      </c>
      <c r="AD68">
        <v>1276.353246196147</v>
      </c>
      <c r="AE68">
        <v>50</v>
      </c>
      <c r="AF68">
        <v>87.266313929999995</v>
      </c>
      <c r="BE68">
        <v>0.1120991671044891</v>
      </c>
      <c r="BF68">
        <v>14847</v>
      </c>
      <c r="BG68">
        <v>957435.46434057131</v>
      </c>
      <c r="BH68">
        <v>465.5170276180051</v>
      </c>
      <c r="BI68">
        <v>552.05178532685864</v>
      </c>
      <c r="BJ68">
        <v>3.8204649254246679</v>
      </c>
      <c r="BK68">
        <v>465.5170276180051</v>
      </c>
    </row>
    <row r="69" spans="1:63" x14ac:dyDescent="0.2">
      <c r="A69">
        <v>67</v>
      </c>
      <c r="B69" t="s">
        <v>69</v>
      </c>
      <c r="C69" t="s">
        <v>169</v>
      </c>
      <c r="D69" t="s">
        <v>64</v>
      </c>
      <c r="E69">
        <v>-155.29196300000001</v>
      </c>
      <c r="F69">
        <v>19.398634000000001</v>
      </c>
      <c r="G69" t="s">
        <v>170</v>
      </c>
      <c r="H69" t="s">
        <v>246</v>
      </c>
      <c r="I69" t="s">
        <v>247</v>
      </c>
      <c r="J69" t="s">
        <v>68</v>
      </c>
      <c r="K69">
        <v>10.090189746093751</v>
      </c>
      <c r="L69">
        <v>8.9214421234374992</v>
      </c>
      <c r="M69">
        <v>282.80316679294498</v>
      </c>
      <c r="N69">
        <v>3584.366465736744</v>
      </c>
      <c r="Q69">
        <v>10.007999999999999</v>
      </c>
      <c r="R69">
        <v>1324.7670000000001</v>
      </c>
      <c r="S69">
        <v>50</v>
      </c>
      <c r="T69">
        <v>102.9118013275806</v>
      </c>
      <c r="U69">
        <v>1.126059955319657E-2</v>
      </c>
      <c r="V69">
        <v>6.4010949369851744E-2</v>
      </c>
      <c r="W69">
        <v>5.8707253725326794E-3</v>
      </c>
      <c r="X69">
        <v>5.2434476588768293</v>
      </c>
      <c r="Y69">
        <v>0.1417627741069809</v>
      </c>
      <c r="Z69">
        <v>0.21333827004771341</v>
      </c>
      <c r="AA69">
        <v>2.7241912327992019E-2</v>
      </c>
      <c r="AB69">
        <v>0.93149319204361325</v>
      </c>
      <c r="AC69">
        <v>0.11614944223495791</v>
      </c>
      <c r="AD69">
        <v>1183.7184752442261</v>
      </c>
      <c r="AE69">
        <v>50</v>
      </c>
      <c r="AF69">
        <v>81.619336878004518</v>
      </c>
      <c r="AG69">
        <v>2.5390516666666669</v>
      </c>
      <c r="AH69">
        <v>13.89052597266207</v>
      </c>
      <c r="AI69">
        <v>0.24399675000000001</v>
      </c>
      <c r="AJ69">
        <v>11.205616666666669</v>
      </c>
      <c r="AK69">
        <v>0.47515841666666669</v>
      </c>
      <c r="AL69">
        <v>2.6323025000000002</v>
      </c>
      <c r="AM69">
        <v>50.778866165683027</v>
      </c>
      <c r="AN69">
        <v>6.7552275000000002</v>
      </c>
      <c r="AP69">
        <v>0.17074191666666669</v>
      </c>
      <c r="AR69">
        <v>5.5209421763999247E-2</v>
      </c>
      <c r="AS69">
        <v>0.23260322971847319</v>
      </c>
      <c r="AT69">
        <v>2.215836573857705E-2</v>
      </c>
      <c r="AU69">
        <v>0.13946342520423419</v>
      </c>
      <c r="AV69">
        <v>1.8188943372071519E-2</v>
      </c>
      <c r="AW69">
        <v>3.4278244127355022E-2</v>
      </c>
      <c r="AX69">
        <v>0.34681065155483992</v>
      </c>
      <c r="AY69">
        <v>0.48865100303376952</v>
      </c>
      <c r="BA69">
        <v>2.081601264087701E-2</v>
      </c>
      <c r="BE69">
        <v>0.18133494376686571</v>
      </c>
      <c r="BF69">
        <v>22714</v>
      </c>
      <c r="BG69">
        <v>205878.8494895827</v>
      </c>
      <c r="BH69">
        <v>526.58881538423134</v>
      </c>
      <c r="BI69">
        <v>255.9946740631118</v>
      </c>
      <c r="BJ69">
        <v>3.4940154403634121</v>
      </c>
      <c r="BK69">
        <v>526.58881538423122</v>
      </c>
    </row>
    <row r="70" spans="1:63" x14ac:dyDescent="0.2">
      <c r="A70">
        <v>68</v>
      </c>
      <c r="B70" t="s">
        <v>69</v>
      </c>
      <c r="C70" t="s">
        <v>143</v>
      </c>
      <c r="D70" t="s">
        <v>144</v>
      </c>
      <c r="E70">
        <v>-155.22516669999999</v>
      </c>
      <c r="F70">
        <v>19.371883329999999</v>
      </c>
      <c r="G70" t="s">
        <v>145</v>
      </c>
      <c r="H70" t="s">
        <v>248</v>
      </c>
      <c r="I70" t="s">
        <v>249</v>
      </c>
      <c r="J70" t="s">
        <v>68</v>
      </c>
      <c r="K70">
        <v>9.1994635359375003</v>
      </c>
      <c r="L70">
        <v>6.5515769101562507</v>
      </c>
      <c r="M70">
        <v>189.3469084811029</v>
      </c>
      <c r="N70">
        <v>1988.2738758857761</v>
      </c>
      <c r="Q70">
        <v>10.127000000000001</v>
      </c>
      <c r="R70">
        <v>1324.9639999999999</v>
      </c>
      <c r="S70">
        <v>100</v>
      </c>
      <c r="T70">
        <v>102.9129720078636</v>
      </c>
      <c r="U70">
        <v>1.1464140522475189E-2</v>
      </c>
      <c r="V70">
        <v>6.4474819892623714E-2</v>
      </c>
      <c r="W70">
        <v>5.9318954982160556E-3</v>
      </c>
      <c r="X70">
        <v>0</v>
      </c>
      <c r="Y70">
        <v>0.13909624723602931</v>
      </c>
      <c r="Z70">
        <v>0.21934646681743419</v>
      </c>
      <c r="AA70">
        <v>2.8628397889849739E-2</v>
      </c>
      <c r="AB70">
        <v>0.95710563190300602</v>
      </c>
      <c r="AC70">
        <v>0.12183312017440941</v>
      </c>
      <c r="AD70">
        <v>1217.0747343059461</v>
      </c>
      <c r="AE70">
        <v>50</v>
      </c>
      <c r="AF70">
        <v>84.121421577092164</v>
      </c>
      <c r="AG70">
        <v>2.1961249999999999</v>
      </c>
      <c r="AH70">
        <v>13.214425</v>
      </c>
      <c r="AI70">
        <v>0.23326250000000001</v>
      </c>
      <c r="AJ70">
        <v>10.8680875</v>
      </c>
      <c r="AK70">
        <v>0.46184999999999998</v>
      </c>
      <c r="AL70">
        <v>2.5506250000000001</v>
      </c>
      <c r="AM70">
        <v>49.975887499999999</v>
      </c>
      <c r="AN70">
        <v>7.4385374999999998</v>
      </c>
      <c r="AP70">
        <v>0.2354</v>
      </c>
      <c r="AQ70">
        <v>98.48666249999998</v>
      </c>
      <c r="AR70">
        <v>5.6378814410075299E-2</v>
      </c>
      <c r="AS70">
        <v>0.24941022862516499</v>
      </c>
      <c r="AT70">
        <v>1.4003870638403601E-2</v>
      </c>
      <c r="AU70">
        <v>0.27584699401505702</v>
      </c>
      <c r="AV70">
        <v>3.1668731762237799E-2</v>
      </c>
      <c r="AW70">
        <v>4.2427543277585897E-2</v>
      </c>
      <c r="AX70">
        <v>0.67605985245919198</v>
      </c>
      <c r="AY70">
        <v>0.10614118545597701</v>
      </c>
      <c r="BA70">
        <v>4.3851209463691802E-2</v>
      </c>
      <c r="BE70">
        <v>0.1111456293597035</v>
      </c>
      <c r="BF70">
        <v>11351</v>
      </c>
      <c r="BG70">
        <v>105471.60245920809</v>
      </c>
      <c r="BH70">
        <v>95.682316300118003</v>
      </c>
      <c r="BI70">
        <v>183.2284196690365</v>
      </c>
      <c r="BJ70">
        <v>0.89807915952519723</v>
      </c>
      <c r="BK70">
        <v>95.682316300117989</v>
      </c>
    </row>
    <row r="71" spans="1:63" x14ac:dyDescent="0.2">
      <c r="A71">
        <v>69</v>
      </c>
      <c r="B71" t="s">
        <v>69</v>
      </c>
      <c r="C71" t="s">
        <v>169</v>
      </c>
      <c r="D71" t="s">
        <v>64</v>
      </c>
      <c r="E71">
        <v>-155.29196300000001</v>
      </c>
      <c r="F71">
        <v>19.398634000000001</v>
      </c>
      <c r="G71" t="s">
        <v>170</v>
      </c>
      <c r="H71" t="s">
        <v>250</v>
      </c>
      <c r="I71" t="s">
        <v>251</v>
      </c>
      <c r="J71" t="s">
        <v>68</v>
      </c>
      <c r="K71">
        <v>10.930879075781251</v>
      </c>
      <c r="L71">
        <v>6.5704642343749997</v>
      </c>
      <c r="M71">
        <v>225.63216894944219</v>
      </c>
      <c r="N71">
        <v>2632.5773670662429</v>
      </c>
      <c r="Q71">
        <v>10.098000000000001</v>
      </c>
      <c r="R71">
        <v>1324.7670000000001</v>
      </c>
      <c r="S71">
        <v>50</v>
      </c>
      <c r="T71">
        <v>102.9130494289742</v>
      </c>
      <c r="U71">
        <v>1.021918171464393E-2</v>
      </c>
      <c r="V71">
        <v>6.4505497244553567E-2</v>
      </c>
      <c r="W71">
        <v>5.5631597963726629E-3</v>
      </c>
      <c r="X71">
        <v>6.3567158793540459</v>
      </c>
      <c r="Y71">
        <v>0.1344777493068092</v>
      </c>
      <c r="Z71">
        <v>0.23004720429714159</v>
      </c>
      <c r="AA71">
        <v>2.906389382241013E-2</v>
      </c>
      <c r="AB71">
        <v>1.002640543044387</v>
      </c>
      <c r="AC71">
        <v>0.1233825226379628</v>
      </c>
      <c r="AD71">
        <v>1295.1368750956351</v>
      </c>
      <c r="AE71">
        <v>50</v>
      </c>
      <c r="AF71">
        <v>88.073304697264447</v>
      </c>
      <c r="AG71">
        <v>2.5390516666666669</v>
      </c>
      <c r="AH71">
        <v>13.89052597266207</v>
      </c>
      <c r="AI71">
        <v>0.24399675000000001</v>
      </c>
      <c r="AJ71">
        <v>11.205616666666669</v>
      </c>
      <c r="AK71">
        <v>0.47515841666666669</v>
      </c>
      <c r="AL71">
        <v>2.6323025000000002</v>
      </c>
      <c r="AM71">
        <v>50.778866165683027</v>
      </c>
      <c r="AN71">
        <v>6.7552275000000002</v>
      </c>
      <c r="AP71">
        <v>0.17074191666666669</v>
      </c>
      <c r="AR71">
        <v>5.5209421763999247E-2</v>
      </c>
      <c r="AS71">
        <v>0.23260322971847319</v>
      </c>
      <c r="AT71">
        <v>2.215836573857705E-2</v>
      </c>
      <c r="AU71">
        <v>0.13946342520423419</v>
      </c>
      <c r="AV71">
        <v>1.8188943372071519E-2</v>
      </c>
      <c r="AW71">
        <v>3.4278244127355022E-2</v>
      </c>
      <c r="AX71">
        <v>0.34681065155483992</v>
      </c>
      <c r="AY71">
        <v>0.48865100303376952</v>
      </c>
      <c r="BA71">
        <v>2.081601264087701E-2</v>
      </c>
      <c r="BE71">
        <v>0.12848097135898071</v>
      </c>
      <c r="BF71">
        <v>15894</v>
      </c>
      <c r="BG71">
        <v>255238.43395282229</v>
      </c>
      <c r="BH71">
        <v>204.38490207079829</v>
      </c>
      <c r="BI71">
        <v>285.03493972011898</v>
      </c>
      <c r="BJ71">
        <v>1.621183619405115</v>
      </c>
      <c r="BK71">
        <v>204.38490207079829</v>
      </c>
    </row>
    <row r="72" spans="1:63" x14ac:dyDescent="0.2">
      <c r="A72">
        <v>70</v>
      </c>
      <c r="B72" t="s">
        <v>69</v>
      </c>
      <c r="C72" t="s">
        <v>91</v>
      </c>
      <c r="D72" t="s">
        <v>92</v>
      </c>
      <c r="E72">
        <v>-155.28360000000001</v>
      </c>
      <c r="F72">
        <v>19.4285</v>
      </c>
      <c r="G72" t="s">
        <v>93</v>
      </c>
      <c r="H72" t="s">
        <v>252</v>
      </c>
      <c r="I72" t="s">
        <v>253</v>
      </c>
      <c r="J72" t="s">
        <v>90</v>
      </c>
      <c r="K72">
        <v>5.2279532289062498</v>
      </c>
      <c r="L72">
        <v>3.1338429492187498</v>
      </c>
      <c r="M72">
        <v>51.470548281348201</v>
      </c>
      <c r="N72">
        <v>286.92415593665038</v>
      </c>
      <c r="O72" t="s">
        <v>254</v>
      </c>
      <c r="Q72">
        <v>11.816000000000001</v>
      </c>
      <c r="R72">
        <v>1325.0039999999999</v>
      </c>
      <c r="S72">
        <v>50</v>
      </c>
      <c r="T72">
        <v>102.9133607897501</v>
      </c>
      <c r="U72">
        <v>1.4499875691137089E-2</v>
      </c>
      <c r="V72">
        <v>6.4628870882941669E-2</v>
      </c>
      <c r="W72">
        <v>6.8964631843064211E-3</v>
      </c>
      <c r="X72">
        <v>0</v>
      </c>
      <c r="Y72">
        <v>0.13845949195683521</v>
      </c>
      <c r="Z72">
        <v>0.22080053870095859</v>
      </c>
      <c r="AA72">
        <v>3.2660031366399327E-2</v>
      </c>
      <c r="AB72">
        <v>0.96329926960603629</v>
      </c>
      <c r="AC72">
        <v>0.1389029331017069</v>
      </c>
      <c r="AD72">
        <v>1224.111391455303</v>
      </c>
      <c r="AE72">
        <v>100</v>
      </c>
      <c r="AG72">
        <v>2.1005484848484852</v>
      </c>
      <c r="AH72">
        <v>12.543751515151509</v>
      </c>
      <c r="AJ72">
        <v>10.35766363636364</v>
      </c>
      <c r="AK72">
        <v>0.36914545454545461</v>
      </c>
      <c r="AL72">
        <v>2.199157575757575</v>
      </c>
      <c r="AM72">
        <v>49.88770303030303</v>
      </c>
      <c r="AN72">
        <v>8.5799181818181811</v>
      </c>
      <c r="AP72">
        <v>1.6854545454545459E-2</v>
      </c>
      <c r="AQ72">
        <v>97.165912121212131</v>
      </c>
      <c r="AR72">
        <v>0.12875285220435931</v>
      </c>
      <c r="AS72">
        <v>0.27438160598108169</v>
      </c>
      <c r="AU72">
        <v>0.23223845883350949</v>
      </c>
      <c r="AV72">
        <v>3.2777460728649822E-2</v>
      </c>
      <c r="AW72">
        <v>6.9021124620940399E-2</v>
      </c>
      <c r="AX72">
        <v>0.52796007335122563</v>
      </c>
      <c r="AY72">
        <v>0.70241800520351916</v>
      </c>
      <c r="BA72">
        <v>4.4618585609790254E-3</v>
      </c>
      <c r="BB72">
        <v>33</v>
      </c>
      <c r="BC72" t="s">
        <v>86</v>
      </c>
    </row>
    <row r="73" spans="1:63" x14ac:dyDescent="0.2">
      <c r="A73">
        <v>71</v>
      </c>
      <c r="B73" t="s">
        <v>69</v>
      </c>
      <c r="C73" t="s">
        <v>76</v>
      </c>
      <c r="D73" t="s">
        <v>71</v>
      </c>
      <c r="E73">
        <v>-155.29812000000001</v>
      </c>
      <c r="F73">
        <v>19.375624999999999</v>
      </c>
      <c r="G73" t="s">
        <v>77</v>
      </c>
      <c r="H73" t="s">
        <v>255</v>
      </c>
      <c r="I73" t="s">
        <v>256</v>
      </c>
      <c r="J73" t="s">
        <v>85</v>
      </c>
      <c r="K73">
        <v>5.1300878320312506</v>
      </c>
      <c r="L73">
        <v>4.5784036203124998</v>
      </c>
      <c r="M73">
        <v>73.788511517142581</v>
      </c>
      <c r="N73">
        <v>477.58342223023129</v>
      </c>
      <c r="O73" t="s">
        <v>257</v>
      </c>
      <c r="Q73">
        <v>11.858000000000001</v>
      </c>
      <c r="R73">
        <v>1324.9639999999999</v>
      </c>
      <c r="S73">
        <v>50</v>
      </c>
      <c r="T73">
        <v>102.9134795102666</v>
      </c>
      <c r="U73">
        <v>3.3579893510552929E-3</v>
      </c>
      <c r="V73">
        <v>6.4675912717369499E-2</v>
      </c>
      <c r="W73">
        <v>4.0399504355861111E-3</v>
      </c>
      <c r="X73">
        <v>1.315182383868575</v>
      </c>
      <c r="Y73">
        <v>0.1372759067266269</v>
      </c>
      <c r="Z73">
        <v>0.2235192725158941</v>
      </c>
      <c r="AA73">
        <v>2.352250708449731E-2</v>
      </c>
      <c r="AB73">
        <v>0.9748745844517408</v>
      </c>
      <c r="AC73">
        <v>0.1000166356995935</v>
      </c>
      <c r="AD73">
        <v>1242.9207131963431</v>
      </c>
      <c r="AE73">
        <v>50</v>
      </c>
      <c r="AF73">
        <v>85.632257307251706</v>
      </c>
      <c r="AG73">
        <v>2.5039199999999999</v>
      </c>
      <c r="AH73">
        <v>14.096819999999999</v>
      </c>
      <c r="AI73">
        <v>0.27322000000000002</v>
      </c>
      <c r="AJ73">
        <v>10.95044</v>
      </c>
      <c r="AK73">
        <v>0.52094000000000007</v>
      </c>
      <c r="AL73">
        <v>2.9191400000000001</v>
      </c>
      <c r="AM73">
        <v>50.91704</v>
      </c>
      <c r="AN73">
        <v>6.4346599999999992</v>
      </c>
      <c r="AO73">
        <v>10.86684</v>
      </c>
      <c r="AP73">
        <v>0.19492000000000001</v>
      </c>
      <c r="AQ73">
        <v>99.70778</v>
      </c>
      <c r="AR73">
        <v>5.8797253337209539E-2</v>
      </c>
      <c r="AS73">
        <v>0.138496180452748</v>
      </c>
      <c r="AT73">
        <v>2.822688434808206E-2</v>
      </c>
      <c r="AU73">
        <v>7.1287502411011894E-2</v>
      </c>
      <c r="AV73">
        <v>1.2819243347405491E-2</v>
      </c>
      <c r="AW73">
        <v>2.3721045508155889E-2</v>
      </c>
      <c r="AX73">
        <v>0.39733328327740491</v>
      </c>
      <c r="AY73">
        <v>8.3972662218129629E-2</v>
      </c>
      <c r="AZ73">
        <v>5.8132675837260117E-2</v>
      </c>
      <c r="BA73">
        <v>1.931080008699795E-2</v>
      </c>
    </row>
    <row r="74" spans="1:63" x14ac:dyDescent="0.2">
      <c r="A74">
        <v>72</v>
      </c>
      <c r="B74" t="s">
        <v>69</v>
      </c>
      <c r="C74" t="s">
        <v>81</v>
      </c>
      <c r="D74" t="s">
        <v>71</v>
      </c>
      <c r="E74">
        <v>-155.29106999999999</v>
      </c>
      <c r="F74">
        <v>19.383150000000001</v>
      </c>
      <c r="G74" t="s">
        <v>87</v>
      </c>
      <c r="H74" t="s">
        <v>182</v>
      </c>
      <c r="I74" t="s">
        <v>258</v>
      </c>
      <c r="J74" t="s">
        <v>90</v>
      </c>
      <c r="K74">
        <v>5.9352108773437502</v>
      </c>
      <c r="L74">
        <v>4.4543284289062504</v>
      </c>
      <c r="M74">
        <v>83.055474209308898</v>
      </c>
      <c r="N74">
        <v>575.27207593123194</v>
      </c>
      <c r="O74" t="s">
        <v>184</v>
      </c>
      <c r="Q74">
        <v>12.048999999999999</v>
      </c>
      <c r="R74">
        <v>1325.0039999999999</v>
      </c>
      <c r="S74">
        <v>50</v>
      </c>
      <c r="T74">
        <v>102.9149613356398</v>
      </c>
      <c r="U74">
        <v>2.6320801724759261E-2</v>
      </c>
      <c r="V74">
        <v>6.5263071415202489E-2</v>
      </c>
      <c r="W74">
        <v>1.1104822450334451E-2</v>
      </c>
      <c r="X74">
        <v>0</v>
      </c>
      <c r="Y74">
        <v>0.1383622139942973</v>
      </c>
      <c r="Z74">
        <v>0.2210328573656993</v>
      </c>
      <c r="AA74">
        <v>4.1259348671881121E-2</v>
      </c>
      <c r="AB74">
        <v>0.96428865543139652</v>
      </c>
      <c r="AC74">
        <v>0.1755077988460659</v>
      </c>
      <c r="AD74">
        <v>1211.01776545506</v>
      </c>
      <c r="AE74">
        <v>50</v>
      </c>
      <c r="AF74">
        <v>83.723515701332758</v>
      </c>
      <c r="AG74">
        <v>2.2102200000000001</v>
      </c>
      <c r="AH74">
        <v>12.516225</v>
      </c>
      <c r="AI74">
        <v>0.22873499999999999</v>
      </c>
      <c r="AJ74">
        <v>10.535360000000001</v>
      </c>
      <c r="AK74">
        <v>0.37534499999999998</v>
      </c>
      <c r="AL74">
        <v>2.4377900000000001</v>
      </c>
      <c r="AM74">
        <v>50.224780000000003</v>
      </c>
      <c r="AN74">
        <v>8.9844449999999991</v>
      </c>
      <c r="AP74">
        <v>0.178455</v>
      </c>
      <c r="AQ74">
        <v>99.610560000000007</v>
      </c>
      <c r="AR74">
        <v>1.7587090435884831E-2</v>
      </c>
      <c r="AS74">
        <v>0.12699126938494701</v>
      </c>
      <c r="AT74">
        <v>8.073250584491971E-3</v>
      </c>
      <c r="AU74">
        <v>6.9056800896073786E-2</v>
      </c>
      <c r="AV74">
        <v>2.248073063759274E-2</v>
      </c>
      <c r="AW74">
        <v>2.1205111412109991E-2</v>
      </c>
      <c r="AX74">
        <v>0.5052093298821787</v>
      </c>
      <c r="AY74">
        <v>0.13192220766421431</v>
      </c>
      <c r="BA74">
        <v>1.2962040734390541E-2</v>
      </c>
      <c r="BB74">
        <v>5</v>
      </c>
      <c r="BC74" t="s">
        <v>86</v>
      </c>
    </row>
    <row r="75" spans="1:63" x14ac:dyDescent="0.2">
      <c r="A75">
        <v>73</v>
      </c>
      <c r="B75" t="s">
        <v>62</v>
      </c>
      <c r="C75" t="s">
        <v>63</v>
      </c>
      <c r="D75" t="s">
        <v>64</v>
      </c>
      <c r="E75">
        <v>-155.26785000000001</v>
      </c>
      <c r="F75">
        <v>19.407830000000001</v>
      </c>
      <c r="G75" t="s">
        <v>65</v>
      </c>
      <c r="H75" t="s">
        <v>200</v>
      </c>
      <c r="I75" t="s">
        <v>259</v>
      </c>
      <c r="J75" t="s">
        <v>68</v>
      </c>
      <c r="K75">
        <v>6.8834707828124992</v>
      </c>
      <c r="L75">
        <v>4.8271351515624996</v>
      </c>
      <c r="M75">
        <v>104.38709327828499</v>
      </c>
      <c r="N75">
        <v>814.95740934456092</v>
      </c>
      <c r="Q75">
        <v>12.000999999999999</v>
      </c>
      <c r="R75">
        <v>1325.0039999999999</v>
      </c>
      <c r="S75">
        <v>50</v>
      </c>
      <c r="T75">
        <v>102.9172434</v>
      </c>
      <c r="U75">
        <v>7.419756223E-3</v>
      </c>
      <c r="V75">
        <v>6.6167307829999994E-2</v>
      </c>
      <c r="W75">
        <v>4.8147100880000003E-3</v>
      </c>
      <c r="X75">
        <v>8.7244799727749633</v>
      </c>
      <c r="Y75">
        <v>0.13547500696563139</v>
      </c>
      <c r="Z75">
        <v>0.22772861957320151</v>
      </c>
      <c r="AA75">
        <v>2.6758807190874461E-2</v>
      </c>
      <c r="AB75">
        <v>0.9927830886208725</v>
      </c>
      <c r="AC75">
        <v>0.1136534665972932</v>
      </c>
      <c r="AD75">
        <v>1238.3320176251971</v>
      </c>
      <c r="AE75">
        <v>50</v>
      </c>
      <c r="BE75">
        <v>0.18143954797029119</v>
      </c>
      <c r="BF75">
        <v>12593</v>
      </c>
      <c r="BG75">
        <v>805668.41059755208</v>
      </c>
      <c r="BH75">
        <v>1292.7057881702449</v>
      </c>
      <c r="BI75">
        <v>506.4111176496645</v>
      </c>
      <c r="BJ75">
        <v>11.519538795563101</v>
      </c>
      <c r="BK75">
        <v>1292.7057881702449</v>
      </c>
    </row>
    <row r="76" spans="1:63" x14ac:dyDescent="0.2">
      <c r="A76">
        <v>74</v>
      </c>
      <c r="B76" t="s">
        <v>69</v>
      </c>
      <c r="C76" t="s">
        <v>91</v>
      </c>
      <c r="D76" t="s">
        <v>92</v>
      </c>
      <c r="E76">
        <v>-155.28360000000001</v>
      </c>
      <c r="F76">
        <v>19.4285</v>
      </c>
      <c r="G76" t="s">
        <v>93</v>
      </c>
      <c r="H76" t="s">
        <v>260</v>
      </c>
      <c r="I76" t="s">
        <v>261</v>
      </c>
      <c r="J76" t="s">
        <v>68</v>
      </c>
      <c r="K76">
        <v>5.9857707914062503</v>
      </c>
      <c r="L76">
        <v>5.4885983031250003</v>
      </c>
      <c r="M76">
        <v>103.2122872540568</v>
      </c>
      <c r="N76">
        <v>789.5305860292209</v>
      </c>
      <c r="O76" t="s">
        <v>262</v>
      </c>
      <c r="Q76">
        <v>11.999000000000001</v>
      </c>
      <c r="R76">
        <v>1325.0039999999999</v>
      </c>
      <c r="S76">
        <v>50</v>
      </c>
      <c r="T76">
        <v>102.9182749471094</v>
      </c>
      <c r="U76">
        <v>1.4935725511123781E-2</v>
      </c>
      <c r="V76">
        <v>6.6576057297858426E-2</v>
      </c>
      <c r="W76">
        <v>7.0397945332656151E-3</v>
      </c>
      <c r="X76">
        <v>0</v>
      </c>
      <c r="Y76">
        <v>0.1357648547033119</v>
      </c>
      <c r="Z76">
        <v>0.2270571575079697</v>
      </c>
      <c r="AA76">
        <v>3.3237880459651897E-2</v>
      </c>
      <c r="AB76">
        <v>0.98992745870924037</v>
      </c>
      <c r="AC76">
        <v>0.14117395769512439</v>
      </c>
      <c r="AD76">
        <v>1224.111391455303</v>
      </c>
      <c r="AE76">
        <v>100</v>
      </c>
      <c r="AG76">
        <v>2.1005484848484852</v>
      </c>
      <c r="AH76">
        <v>12.543751515151509</v>
      </c>
      <c r="AJ76">
        <v>10.35766363636364</v>
      </c>
      <c r="AK76">
        <v>0.36914545454545461</v>
      </c>
      <c r="AL76">
        <v>2.199157575757575</v>
      </c>
      <c r="AM76">
        <v>49.88770303030303</v>
      </c>
      <c r="AN76">
        <v>8.5799181818181811</v>
      </c>
      <c r="AP76">
        <v>1.6854545454545459E-2</v>
      </c>
      <c r="AQ76">
        <v>97.165912121212131</v>
      </c>
      <c r="AR76">
        <v>0.12875285220435931</v>
      </c>
      <c r="AS76">
        <v>0.27438160598108169</v>
      </c>
      <c r="AU76">
        <v>0.23223845883350949</v>
      </c>
      <c r="AV76">
        <v>3.2777460728649822E-2</v>
      </c>
      <c r="AW76">
        <v>6.9021124620940399E-2</v>
      </c>
      <c r="AX76">
        <v>0.52796007335122563</v>
      </c>
      <c r="AY76">
        <v>0.70241800520351916</v>
      </c>
      <c r="BA76">
        <v>4.4618585609790254E-3</v>
      </c>
      <c r="BB76">
        <v>33</v>
      </c>
      <c r="BC76" t="s">
        <v>86</v>
      </c>
    </row>
    <row r="77" spans="1:63" x14ac:dyDescent="0.2">
      <c r="A77">
        <v>75</v>
      </c>
      <c r="B77" t="s">
        <v>69</v>
      </c>
      <c r="C77" t="s">
        <v>91</v>
      </c>
      <c r="D77" t="s">
        <v>92</v>
      </c>
      <c r="E77">
        <v>-155.28360000000001</v>
      </c>
      <c r="F77">
        <v>19.4285</v>
      </c>
      <c r="G77" t="s">
        <v>93</v>
      </c>
      <c r="H77" t="s">
        <v>263</v>
      </c>
      <c r="I77" t="s">
        <v>264</v>
      </c>
      <c r="J77" t="s">
        <v>90</v>
      </c>
      <c r="K77">
        <v>4.1186570914062486</v>
      </c>
      <c r="L77">
        <v>3.30865239921875</v>
      </c>
      <c r="M77">
        <v>42.811126070939309</v>
      </c>
      <c r="N77">
        <v>211.98098864735391</v>
      </c>
      <c r="O77" t="s">
        <v>265</v>
      </c>
      <c r="Q77">
        <v>12.022500000000001</v>
      </c>
      <c r="R77">
        <v>1325.0039999999999</v>
      </c>
      <c r="S77">
        <v>50</v>
      </c>
      <c r="T77">
        <v>102.9187189604305</v>
      </c>
      <c r="U77">
        <v>1.2296573389247931E-2</v>
      </c>
      <c r="V77">
        <v>6.6751993199737569E-2</v>
      </c>
      <c r="W77">
        <v>6.3441192658366848E-3</v>
      </c>
      <c r="X77">
        <v>0</v>
      </c>
      <c r="Y77">
        <v>0.13552434171616751</v>
      </c>
      <c r="Z77">
        <v>0.22762232248303649</v>
      </c>
      <c r="AA77">
        <v>2.3485355735318771E-2</v>
      </c>
      <c r="AB77">
        <v>0.99233104993197463</v>
      </c>
      <c r="AC77">
        <v>9.9743121027184911E-2</v>
      </c>
      <c r="AD77">
        <v>1224.111391455303</v>
      </c>
      <c r="AE77">
        <v>100</v>
      </c>
      <c r="AG77">
        <v>2.1005484848484852</v>
      </c>
      <c r="AH77">
        <v>12.543751515151509</v>
      </c>
      <c r="AJ77">
        <v>10.35766363636364</v>
      </c>
      <c r="AK77">
        <v>0.36914545454545461</v>
      </c>
      <c r="AL77">
        <v>2.199157575757575</v>
      </c>
      <c r="AM77">
        <v>49.88770303030303</v>
      </c>
      <c r="AN77">
        <v>8.5799181818181811</v>
      </c>
      <c r="AP77">
        <v>1.6854545454545459E-2</v>
      </c>
      <c r="AQ77">
        <v>97.165912121212131</v>
      </c>
      <c r="AR77">
        <v>0.12875285220435931</v>
      </c>
      <c r="AS77">
        <v>0.27438160598108169</v>
      </c>
      <c r="AU77">
        <v>0.23223845883350949</v>
      </c>
      <c r="AV77">
        <v>3.2777460728649822E-2</v>
      </c>
      <c r="AW77">
        <v>6.9021124620940399E-2</v>
      </c>
      <c r="AX77">
        <v>0.52796007335122563</v>
      </c>
      <c r="AY77">
        <v>0.70241800520351916</v>
      </c>
      <c r="BA77">
        <v>4.4618585609790254E-3</v>
      </c>
      <c r="BB77">
        <v>33</v>
      </c>
      <c r="BC77" t="s">
        <v>86</v>
      </c>
    </row>
    <row r="78" spans="1:63" x14ac:dyDescent="0.2">
      <c r="A78">
        <v>76</v>
      </c>
      <c r="B78" t="s">
        <v>69</v>
      </c>
      <c r="C78" t="s">
        <v>236</v>
      </c>
      <c r="D78" t="s">
        <v>64</v>
      </c>
      <c r="E78">
        <v>-155.292979</v>
      </c>
      <c r="F78">
        <v>19.400748</v>
      </c>
      <c r="G78" t="s">
        <v>237</v>
      </c>
      <c r="H78" t="s">
        <v>266</v>
      </c>
      <c r="I78" t="s">
        <v>267</v>
      </c>
      <c r="J78" t="s">
        <v>68</v>
      </c>
      <c r="K78">
        <v>8.6714320656249999</v>
      </c>
      <c r="L78">
        <v>6.4476675695312498</v>
      </c>
      <c r="M78">
        <v>175.64805159284691</v>
      </c>
      <c r="N78">
        <v>1770.426928502211</v>
      </c>
      <c r="Q78">
        <v>10.042999999999999</v>
      </c>
      <c r="R78">
        <v>1324.9639999999999</v>
      </c>
      <c r="S78">
        <v>50</v>
      </c>
      <c r="T78">
        <v>102.9197362368708</v>
      </c>
      <c r="U78">
        <v>5.9775137847784196E-3</v>
      </c>
      <c r="V78">
        <v>6.7155078961931736E-2</v>
      </c>
      <c r="W78">
        <v>4.4877191767733974E-3</v>
      </c>
      <c r="X78">
        <v>11.922869341214961</v>
      </c>
      <c r="Y78">
        <v>0.13672110200631279</v>
      </c>
      <c r="Z78">
        <v>0.2248411549884102</v>
      </c>
      <c r="AA78">
        <v>2.4181750877095069E-2</v>
      </c>
      <c r="AB78">
        <v>0.98050021726693481</v>
      </c>
      <c r="AC78">
        <v>0.1027063748285256</v>
      </c>
      <c r="AD78">
        <v>1195.3812170941901</v>
      </c>
      <c r="AE78">
        <v>50</v>
      </c>
      <c r="AF78">
        <v>82.591623438320909</v>
      </c>
      <c r="AG78">
        <v>2.0274999999999999</v>
      </c>
      <c r="AH78">
        <v>12.7525</v>
      </c>
      <c r="AI78">
        <v>0.17249999999999999</v>
      </c>
      <c r="AJ78">
        <v>11.092499999999999</v>
      </c>
      <c r="AK78">
        <v>0.51750000000000007</v>
      </c>
      <c r="AL78">
        <v>2.5150000000000001</v>
      </c>
      <c r="AM78">
        <v>50.63</v>
      </c>
      <c r="AN78">
        <v>7.415</v>
      </c>
      <c r="AP78">
        <v>1685.75</v>
      </c>
      <c r="AR78">
        <v>0.17231270024773751</v>
      </c>
      <c r="AS78">
        <v>0.13450526631573459</v>
      </c>
      <c r="AT78">
        <v>4.9999999999999836E-3</v>
      </c>
      <c r="AU78">
        <v>0.29227555491350982</v>
      </c>
      <c r="AV78">
        <v>2.061552812808835E-2</v>
      </c>
      <c r="AW78">
        <v>6.2449979983983737E-2</v>
      </c>
      <c r="AX78">
        <v>0.21556128285632961</v>
      </c>
      <c r="AY78">
        <v>0.39770173078158311</v>
      </c>
      <c r="BA78">
        <v>51.951098801340748</v>
      </c>
    </row>
    <row r="79" spans="1:63" x14ac:dyDescent="0.2">
      <c r="A79">
        <v>77</v>
      </c>
      <c r="B79" t="s">
        <v>69</v>
      </c>
      <c r="C79" t="s">
        <v>169</v>
      </c>
      <c r="D79" t="s">
        <v>64</v>
      </c>
      <c r="E79">
        <v>-155.29196300000001</v>
      </c>
      <c r="F79">
        <v>19.398634000000001</v>
      </c>
      <c r="G79" t="s">
        <v>170</v>
      </c>
      <c r="H79" t="s">
        <v>268</v>
      </c>
      <c r="I79" t="s">
        <v>269</v>
      </c>
      <c r="J79" t="s">
        <v>68</v>
      </c>
      <c r="K79">
        <v>10.93146022421875</v>
      </c>
      <c r="L79">
        <v>10.579400500781251</v>
      </c>
      <c r="M79">
        <v>363.31983639237438</v>
      </c>
      <c r="N79">
        <v>5210.214932844101</v>
      </c>
      <c r="Q79">
        <v>10.087999999999999</v>
      </c>
      <c r="R79">
        <v>1324.7670000000001</v>
      </c>
      <c r="S79">
        <v>50</v>
      </c>
      <c r="T79">
        <v>102.9219534036994</v>
      </c>
      <c r="U79">
        <v>4.1121123572683167E-3</v>
      </c>
      <c r="V79">
        <v>6.8033609463242328E-2</v>
      </c>
      <c r="W79">
        <v>4.1445962507251364E-3</v>
      </c>
      <c r="X79">
        <v>10.613522065630571</v>
      </c>
      <c r="Y79">
        <v>0.13214400960429901</v>
      </c>
      <c r="Z79">
        <v>0.2356676549998474</v>
      </c>
      <c r="AA79">
        <v>2.421537092012447E-2</v>
      </c>
      <c r="AB79">
        <v>1.0265156387937731</v>
      </c>
      <c r="AC79">
        <v>0.1026545647057473</v>
      </c>
      <c r="AD79">
        <v>1251.537707562632</v>
      </c>
      <c r="AE79">
        <v>50</v>
      </c>
      <c r="AF79">
        <v>86.082322426483358</v>
      </c>
      <c r="AG79">
        <v>2.5390516666666669</v>
      </c>
      <c r="AH79">
        <v>13.89052597266207</v>
      </c>
      <c r="AI79">
        <v>0.24399675000000001</v>
      </c>
      <c r="AJ79">
        <v>11.205616666666669</v>
      </c>
      <c r="AK79">
        <v>0.47515841666666669</v>
      </c>
      <c r="AL79">
        <v>2.6323025000000002</v>
      </c>
      <c r="AM79">
        <v>50.778866165683027</v>
      </c>
      <c r="AN79">
        <v>6.7552275000000002</v>
      </c>
      <c r="AP79">
        <v>0.17074191666666669</v>
      </c>
      <c r="AR79">
        <v>5.5209421763999247E-2</v>
      </c>
      <c r="AS79">
        <v>0.23260322971847319</v>
      </c>
      <c r="AT79">
        <v>2.215836573857705E-2</v>
      </c>
      <c r="AU79">
        <v>0.13946342520423419</v>
      </c>
      <c r="AV79">
        <v>1.8188943372071519E-2</v>
      </c>
      <c r="AW79">
        <v>3.4278244127355022E-2</v>
      </c>
      <c r="AX79">
        <v>0.34681065155483992</v>
      </c>
      <c r="AY79">
        <v>0.48865100303376952</v>
      </c>
      <c r="BA79">
        <v>2.081601264087701E-2</v>
      </c>
      <c r="BE79">
        <v>0.20434685334941699</v>
      </c>
      <c r="BF79">
        <v>3556</v>
      </c>
      <c r="BG79">
        <v>179654.25921509089</v>
      </c>
      <c r="BH79">
        <v>534.8555013571455</v>
      </c>
      <c r="BI79">
        <v>239.1353733833387</v>
      </c>
      <c r="BJ79">
        <v>8.9692388838940289</v>
      </c>
      <c r="BK79">
        <v>534.85550135714607</v>
      </c>
    </row>
    <row r="80" spans="1:63" x14ac:dyDescent="0.2">
      <c r="A80">
        <v>78</v>
      </c>
      <c r="B80" t="s">
        <v>62</v>
      </c>
      <c r="C80" t="s">
        <v>63</v>
      </c>
      <c r="D80" t="s">
        <v>64</v>
      </c>
      <c r="E80">
        <v>-155.26785000000001</v>
      </c>
      <c r="F80">
        <v>19.407830000000001</v>
      </c>
      <c r="G80" t="s">
        <v>65</v>
      </c>
      <c r="H80" t="s">
        <v>200</v>
      </c>
      <c r="I80" t="s">
        <v>270</v>
      </c>
      <c r="J80" t="s">
        <v>68</v>
      </c>
      <c r="K80">
        <v>9.3211560187500009</v>
      </c>
      <c r="L80">
        <v>5.7191398882812496</v>
      </c>
      <c r="M80">
        <v>167.47514766457991</v>
      </c>
      <c r="N80">
        <v>1679.250518632691</v>
      </c>
      <c r="Q80">
        <v>12.006</v>
      </c>
      <c r="R80">
        <v>1325.0039999999999</v>
      </c>
      <c r="S80">
        <v>50</v>
      </c>
      <c r="T80">
        <v>102.922127</v>
      </c>
      <c r="U80">
        <v>7.8176922879999999E-3</v>
      </c>
      <c r="V80">
        <v>6.8102404310000003E-2</v>
      </c>
      <c r="W80">
        <v>4.9109980219999997E-3</v>
      </c>
      <c r="X80">
        <v>2.1643843449078961</v>
      </c>
      <c r="Y80">
        <v>0.13283892453077459</v>
      </c>
      <c r="Z80">
        <v>0.23400019105677811</v>
      </c>
      <c r="AA80">
        <v>2.7110574484183188E-2</v>
      </c>
      <c r="AB80">
        <v>1.0194354092252651</v>
      </c>
      <c r="AC80">
        <v>0.1149953708842994</v>
      </c>
      <c r="AD80">
        <v>1238.3320176251971</v>
      </c>
      <c r="AE80">
        <v>50</v>
      </c>
      <c r="BE80">
        <v>0.18143954797029119</v>
      </c>
      <c r="BF80">
        <v>12593</v>
      </c>
      <c r="BG80">
        <v>805668.41059755208</v>
      </c>
      <c r="BH80">
        <v>1292.7057881702449</v>
      </c>
      <c r="BI80">
        <v>506.4111176496645</v>
      </c>
      <c r="BJ80">
        <v>11.519538795563101</v>
      </c>
      <c r="BK80">
        <v>1292.7057881702449</v>
      </c>
    </row>
    <row r="81" spans="1:63" x14ac:dyDescent="0.2">
      <c r="A81">
        <v>79</v>
      </c>
      <c r="B81" t="s">
        <v>69</v>
      </c>
      <c r="C81" t="s">
        <v>81</v>
      </c>
      <c r="D81" t="s">
        <v>71</v>
      </c>
      <c r="E81">
        <v>-155.29106999999999</v>
      </c>
      <c r="F81">
        <v>19.383150000000001</v>
      </c>
      <c r="G81" t="s">
        <v>87</v>
      </c>
      <c r="H81" t="s">
        <v>271</v>
      </c>
      <c r="I81" t="s">
        <v>272</v>
      </c>
      <c r="J81" t="s">
        <v>90</v>
      </c>
      <c r="K81">
        <v>4.6553476734375003</v>
      </c>
      <c r="L81">
        <v>4.2028654999999997</v>
      </c>
      <c r="M81">
        <v>61.467773941204364</v>
      </c>
      <c r="N81">
        <v>362.99642991190308</v>
      </c>
      <c r="Q81">
        <v>11.973000000000001</v>
      </c>
      <c r="R81">
        <v>1325.0039999999999</v>
      </c>
      <c r="S81">
        <v>50</v>
      </c>
      <c r="T81">
        <v>102.9223075988486</v>
      </c>
      <c r="U81">
        <v>6.8284405953928595E-2</v>
      </c>
      <c r="V81">
        <v>6.8173955799807118E-2</v>
      </c>
      <c r="W81">
        <v>2.732405888064755E-2</v>
      </c>
      <c r="X81">
        <v>0</v>
      </c>
      <c r="Y81">
        <v>0.1336580332790519</v>
      </c>
      <c r="Z81">
        <v>0.23204720445671681</v>
      </c>
      <c r="AA81">
        <v>9.8950480489765694E-2</v>
      </c>
      <c r="AB81">
        <v>1.011139618404991</v>
      </c>
      <c r="AC81">
        <v>0.42037111723372811</v>
      </c>
      <c r="AD81">
        <v>1223.121700108012</v>
      </c>
      <c r="AE81">
        <v>50</v>
      </c>
      <c r="AF81">
        <v>84.500078601710072</v>
      </c>
      <c r="AG81">
        <v>2.2102200000000001</v>
      </c>
      <c r="AH81">
        <v>12.516225</v>
      </c>
      <c r="AI81">
        <v>0.22873499999999999</v>
      </c>
      <c r="AJ81">
        <v>10.535360000000001</v>
      </c>
      <c r="AK81">
        <v>0.37534499999999998</v>
      </c>
      <c r="AL81">
        <v>2.4377900000000001</v>
      </c>
      <c r="AM81">
        <v>50.224780000000003</v>
      </c>
      <c r="AN81">
        <v>8.9844449999999991</v>
      </c>
      <c r="AP81">
        <v>0.178455</v>
      </c>
      <c r="AQ81">
        <v>99.610560000000007</v>
      </c>
      <c r="AR81">
        <v>1.7587090435884831E-2</v>
      </c>
      <c r="AS81">
        <v>0.12699126938494701</v>
      </c>
      <c r="AT81">
        <v>8.073250584491971E-3</v>
      </c>
      <c r="AU81">
        <v>6.9056800896073786E-2</v>
      </c>
      <c r="AV81">
        <v>2.248073063759274E-2</v>
      </c>
      <c r="AW81">
        <v>2.1205111412109991E-2</v>
      </c>
      <c r="AX81">
        <v>0.5052093298821787</v>
      </c>
      <c r="AY81">
        <v>0.13192220766421431</v>
      </c>
      <c r="BA81">
        <v>1.2962040734390541E-2</v>
      </c>
      <c r="BB81">
        <v>5</v>
      </c>
      <c r="BC81" t="s">
        <v>86</v>
      </c>
    </row>
    <row r="82" spans="1:63" x14ac:dyDescent="0.2">
      <c r="A82">
        <v>80</v>
      </c>
      <c r="B82" t="s">
        <v>69</v>
      </c>
      <c r="C82" t="s">
        <v>143</v>
      </c>
      <c r="D82" t="s">
        <v>144</v>
      </c>
      <c r="E82">
        <v>-155.22516669999999</v>
      </c>
      <c r="F82">
        <v>19.371883329999999</v>
      </c>
      <c r="G82" t="s">
        <v>145</v>
      </c>
      <c r="H82" t="s">
        <v>273</v>
      </c>
      <c r="I82" t="s">
        <v>274</v>
      </c>
      <c r="J82" t="s">
        <v>68</v>
      </c>
      <c r="K82">
        <v>5.6133708726562492</v>
      </c>
      <c r="L82">
        <v>5.2382976710937497</v>
      </c>
      <c r="M82">
        <v>92.376984961889264</v>
      </c>
      <c r="N82">
        <v>668.29628125160025</v>
      </c>
      <c r="Q82">
        <v>8.7120000000000015</v>
      </c>
      <c r="R82">
        <v>1324.9639999999999</v>
      </c>
      <c r="S82">
        <v>100</v>
      </c>
      <c r="T82">
        <v>102.9235059682013</v>
      </c>
      <c r="U82">
        <v>3.2978442488385433E-2</v>
      </c>
      <c r="V82">
        <v>6.8648797843522402E-2</v>
      </c>
      <c r="W82">
        <v>1.364705869413815E-2</v>
      </c>
      <c r="X82">
        <v>4.9576385475251872</v>
      </c>
      <c r="Y82">
        <v>0.1320435651081964</v>
      </c>
      <c r="Z82">
        <v>0.23591942398422991</v>
      </c>
      <c r="AA82">
        <v>4.6815879212042763E-2</v>
      </c>
      <c r="AB82">
        <v>1.0275844580593529</v>
      </c>
      <c r="AC82">
        <v>0.1983628231726848</v>
      </c>
      <c r="AD82">
        <v>1239.361203480009</v>
      </c>
      <c r="AE82">
        <v>50</v>
      </c>
      <c r="AF82">
        <v>85.439421931851385</v>
      </c>
      <c r="AG82">
        <v>2.1961249999999999</v>
      </c>
      <c r="AH82">
        <v>13.214425</v>
      </c>
      <c r="AI82">
        <v>0.23326250000000001</v>
      </c>
      <c r="AJ82">
        <v>10.8680875</v>
      </c>
      <c r="AK82">
        <v>0.46184999999999998</v>
      </c>
      <c r="AL82">
        <v>2.5506250000000001</v>
      </c>
      <c r="AM82">
        <v>49.975887499999999</v>
      </c>
      <c r="AN82">
        <v>7.4385374999999998</v>
      </c>
      <c r="AP82">
        <v>0.2354</v>
      </c>
      <c r="AQ82">
        <v>98.48666249999998</v>
      </c>
      <c r="AR82">
        <v>5.6378814410075299E-2</v>
      </c>
      <c r="AS82">
        <v>0.24941022862516499</v>
      </c>
      <c r="AT82">
        <v>1.4003870638403601E-2</v>
      </c>
      <c r="AU82">
        <v>0.27584699401505702</v>
      </c>
      <c r="AV82">
        <v>3.1668731762237799E-2</v>
      </c>
      <c r="AW82">
        <v>4.2427543277585897E-2</v>
      </c>
      <c r="AX82">
        <v>0.67605985245919198</v>
      </c>
      <c r="AY82">
        <v>0.10614118545597701</v>
      </c>
      <c r="BA82">
        <v>4.3851209463691802E-2</v>
      </c>
      <c r="BE82">
        <v>4.7669582437716643E-2</v>
      </c>
      <c r="BF82">
        <v>2303</v>
      </c>
      <c r="BG82">
        <v>147609.85934366379</v>
      </c>
      <c r="BH82">
        <v>0</v>
      </c>
      <c r="BI82">
        <v>216.76179904975641</v>
      </c>
      <c r="BJ82">
        <v>0</v>
      </c>
      <c r="BK82">
        <v>0</v>
      </c>
    </row>
    <row r="83" spans="1:63" x14ac:dyDescent="0.2">
      <c r="A83">
        <v>81</v>
      </c>
      <c r="B83" t="s">
        <v>69</v>
      </c>
      <c r="C83" t="s">
        <v>177</v>
      </c>
      <c r="D83" t="s">
        <v>144</v>
      </c>
      <c r="E83">
        <v>-155.2086333</v>
      </c>
      <c r="F83">
        <v>19.347316670000001</v>
      </c>
      <c r="G83" t="s">
        <v>178</v>
      </c>
      <c r="H83" t="s">
        <v>275</v>
      </c>
      <c r="I83" t="s">
        <v>276</v>
      </c>
      <c r="J83" t="s">
        <v>68</v>
      </c>
      <c r="K83">
        <v>24.02043402265625</v>
      </c>
      <c r="L83">
        <v>21.267650103906249</v>
      </c>
      <c r="M83">
        <v>1604.908324596777</v>
      </c>
      <c r="N83">
        <v>48455.482146506212</v>
      </c>
      <c r="Q83">
        <v>6.008</v>
      </c>
      <c r="R83">
        <v>1324.9639999999999</v>
      </c>
      <c r="S83">
        <v>50</v>
      </c>
      <c r="T83">
        <v>102.92402562309439</v>
      </c>
      <c r="U83">
        <v>1.2980797955948231E-2</v>
      </c>
      <c r="V83">
        <v>6.8854705972718477E-2</v>
      </c>
      <c r="W83">
        <v>6.4009639716932744E-3</v>
      </c>
      <c r="X83">
        <v>0</v>
      </c>
      <c r="Y83">
        <v>0.12894377369576621</v>
      </c>
      <c r="Z83">
        <v>0.24349622494658121</v>
      </c>
      <c r="AA83">
        <v>3.0823218379118309E-2</v>
      </c>
      <c r="AB83">
        <v>1.059722977611506</v>
      </c>
      <c r="AC83">
        <v>0.13049750713366601</v>
      </c>
      <c r="AD83">
        <v>1287.1635791200649</v>
      </c>
      <c r="AE83">
        <v>50</v>
      </c>
      <c r="AF83">
        <v>87.73890279233602</v>
      </c>
      <c r="AG83">
        <v>2.1216818181818198</v>
      </c>
      <c r="AH83">
        <v>12.5470545454545</v>
      </c>
      <c r="AI83">
        <v>0.27337272727272699</v>
      </c>
      <c r="AJ83">
        <v>10.3521727272727</v>
      </c>
      <c r="AK83">
        <v>0.49205454545454502</v>
      </c>
      <c r="AL83">
        <v>2.5642454545454498</v>
      </c>
      <c r="AM83">
        <v>49.0749</v>
      </c>
      <c r="AN83">
        <v>9.1371454545454505</v>
      </c>
      <c r="AP83">
        <v>0.18198181818181799</v>
      </c>
      <c r="AQ83">
        <v>98.157727272727257</v>
      </c>
      <c r="AR83">
        <v>0.12055145638424999</v>
      </c>
      <c r="AS83">
        <v>0.28907753411026699</v>
      </c>
      <c r="AT83">
        <v>2.8655229571898099E-2</v>
      </c>
      <c r="AU83">
        <v>0.23406218443357801</v>
      </c>
      <c r="AV83">
        <v>5.2241982420968003E-2</v>
      </c>
      <c r="AW83">
        <v>6.6675218239408293E-2</v>
      </c>
      <c r="AX83">
        <v>0.92934608408278196</v>
      </c>
      <c r="AY83">
        <v>0.68994549402635696</v>
      </c>
      <c r="BA83">
        <v>4.8246177427477499E-2</v>
      </c>
      <c r="BE83">
        <v>1.3429178010011591</v>
      </c>
      <c r="BF83">
        <v>46052</v>
      </c>
      <c r="BG83">
        <v>4616395.5157231241</v>
      </c>
      <c r="BH83">
        <v>14753.18791037255</v>
      </c>
      <c r="BI83">
        <v>1212.2063896833699</v>
      </c>
      <c r="BJ83">
        <v>68.748246587206111</v>
      </c>
      <c r="BK83">
        <v>14753.18791037253</v>
      </c>
    </row>
    <row r="84" spans="1:63" x14ac:dyDescent="0.2">
      <c r="A84">
        <v>82</v>
      </c>
      <c r="B84" t="s">
        <v>69</v>
      </c>
      <c r="C84" t="s">
        <v>76</v>
      </c>
      <c r="D84" t="s">
        <v>71</v>
      </c>
      <c r="E84">
        <v>-155.29812000000001</v>
      </c>
      <c r="F84">
        <v>19.375624999999999</v>
      </c>
      <c r="G84" t="s">
        <v>77</v>
      </c>
      <c r="H84" t="s">
        <v>255</v>
      </c>
      <c r="I84" t="s">
        <v>277</v>
      </c>
      <c r="J84" t="s">
        <v>85</v>
      </c>
      <c r="K84">
        <v>7.5558595249999998</v>
      </c>
      <c r="L84">
        <v>7.01719303828125</v>
      </c>
      <c r="M84">
        <v>166.57014801747951</v>
      </c>
      <c r="N84">
        <v>1618.290348354845</v>
      </c>
      <c r="O84" t="s">
        <v>257</v>
      </c>
      <c r="Q84">
        <v>11.859</v>
      </c>
      <c r="R84">
        <v>1324.9639999999999</v>
      </c>
      <c r="S84">
        <v>50</v>
      </c>
      <c r="T84">
        <v>102.92464487426621</v>
      </c>
      <c r="U84">
        <v>5.3646653922607189E-3</v>
      </c>
      <c r="V84">
        <v>6.9100078145595489E-2</v>
      </c>
      <c r="W84">
        <v>4.3627284978090481E-3</v>
      </c>
      <c r="X84">
        <v>1.3949448111690319</v>
      </c>
      <c r="Y84">
        <v>0.1312276918577249</v>
      </c>
      <c r="Z84">
        <v>0.23790009337320939</v>
      </c>
      <c r="AA84">
        <v>2.4501934841313251E-2</v>
      </c>
      <c r="AB84">
        <v>1.035990871243839</v>
      </c>
      <c r="AC84">
        <v>0.1038667563979989</v>
      </c>
      <c r="AD84">
        <v>1242.9207131963431</v>
      </c>
      <c r="AE84">
        <v>50</v>
      </c>
      <c r="AF84">
        <v>85.632257307251706</v>
      </c>
      <c r="AG84">
        <v>2.5039199999999999</v>
      </c>
      <c r="AH84">
        <v>14.096819999999999</v>
      </c>
      <c r="AI84">
        <v>0.27322000000000002</v>
      </c>
      <c r="AJ84">
        <v>10.95044</v>
      </c>
      <c r="AK84">
        <v>0.52094000000000007</v>
      </c>
      <c r="AL84">
        <v>2.9191400000000001</v>
      </c>
      <c r="AM84">
        <v>50.91704</v>
      </c>
      <c r="AN84">
        <v>6.4346599999999992</v>
      </c>
      <c r="AO84">
        <v>10.86684</v>
      </c>
      <c r="AP84">
        <v>0.19492000000000001</v>
      </c>
      <c r="AQ84">
        <v>99.70778</v>
      </c>
      <c r="AR84">
        <v>5.8797253337209539E-2</v>
      </c>
      <c r="AS84">
        <v>0.138496180452748</v>
      </c>
      <c r="AT84">
        <v>2.822688434808206E-2</v>
      </c>
      <c r="AU84">
        <v>7.1287502411011894E-2</v>
      </c>
      <c r="AV84">
        <v>1.2819243347405491E-2</v>
      </c>
      <c r="AW84">
        <v>2.3721045508155889E-2</v>
      </c>
      <c r="AX84">
        <v>0.39733328327740491</v>
      </c>
      <c r="AY84">
        <v>8.3972662218129629E-2</v>
      </c>
      <c r="AZ84">
        <v>5.8132675837260117E-2</v>
      </c>
      <c r="BA84">
        <v>1.931080008699795E-2</v>
      </c>
    </row>
    <row r="85" spans="1:63" x14ac:dyDescent="0.2">
      <c r="A85">
        <v>83</v>
      </c>
      <c r="B85" t="s">
        <v>69</v>
      </c>
      <c r="C85" t="s">
        <v>278</v>
      </c>
      <c r="D85" t="s">
        <v>144</v>
      </c>
      <c r="E85">
        <v>-154.873789449106</v>
      </c>
      <c r="F85">
        <v>19.5537282409346</v>
      </c>
      <c r="G85" t="s">
        <v>279</v>
      </c>
      <c r="H85" t="s">
        <v>280</v>
      </c>
      <c r="I85" t="s">
        <v>281</v>
      </c>
      <c r="J85" t="s">
        <v>85</v>
      </c>
      <c r="K85">
        <v>11.01514559921875</v>
      </c>
      <c r="L85">
        <v>8.2824113015624992</v>
      </c>
      <c r="M85">
        <v>286.61367541267282</v>
      </c>
      <c r="N85">
        <v>3687.2958065454</v>
      </c>
      <c r="O85" t="s">
        <v>282</v>
      </c>
      <c r="P85" t="s">
        <v>283</v>
      </c>
      <c r="Q85">
        <v>11.984</v>
      </c>
      <c r="R85">
        <v>1325.0039999999999</v>
      </c>
      <c r="S85">
        <v>50</v>
      </c>
      <c r="T85">
        <v>102.9256774181957</v>
      </c>
      <c r="U85">
        <v>9.7472503630468207E-2</v>
      </c>
      <c r="V85">
        <v>6.9509213499905798E-2</v>
      </c>
      <c r="W85">
        <v>3.8809932177160188E-2</v>
      </c>
      <c r="X85">
        <v>0</v>
      </c>
      <c r="Y85">
        <v>0.12740450227607039</v>
      </c>
      <c r="Z85">
        <v>0.24734589244224381</v>
      </c>
      <c r="AA85">
        <v>0.1355938014555019</v>
      </c>
      <c r="AB85">
        <v>1.0760322711340631</v>
      </c>
      <c r="AC85">
        <v>0.57152826428613646</v>
      </c>
      <c r="AD85">
        <v>1298.612598971936</v>
      </c>
      <c r="AE85">
        <v>50</v>
      </c>
      <c r="AF85">
        <v>88.215602310909048</v>
      </c>
    </row>
    <row r="86" spans="1:63" x14ac:dyDescent="0.2">
      <c r="A86">
        <v>84</v>
      </c>
      <c r="B86" t="s">
        <v>69</v>
      </c>
      <c r="C86" t="s">
        <v>157</v>
      </c>
      <c r="D86" t="s">
        <v>64</v>
      </c>
      <c r="G86" t="s">
        <v>158</v>
      </c>
      <c r="H86" t="s">
        <v>284</v>
      </c>
      <c r="I86" t="s">
        <v>285</v>
      </c>
      <c r="J86" t="s">
        <v>68</v>
      </c>
      <c r="K86">
        <v>6.9013701546875001</v>
      </c>
      <c r="L86">
        <v>5.1179999445312498</v>
      </c>
      <c r="M86">
        <v>110.96486035148131</v>
      </c>
      <c r="N86">
        <v>889.1518163817193</v>
      </c>
      <c r="Q86">
        <v>10.15</v>
      </c>
      <c r="R86">
        <v>1324.9639999999999</v>
      </c>
      <c r="S86">
        <v>50</v>
      </c>
      <c r="T86">
        <v>102.92603502990001</v>
      </c>
      <c r="U86">
        <v>2.0613564185817241E-2</v>
      </c>
      <c r="V86">
        <v>6.9650913612797183E-2</v>
      </c>
      <c r="W86">
        <v>9.0125368041959111E-3</v>
      </c>
      <c r="X86">
        <v>0.38946970521423202</v>
      </c>
      <c r="Y86">
        <v>0.1338447289649369</v>
      </c>
      <c r="Z86">
        <v>0.23162703352409991</v>
      </c>
      <c r="AA86">
        <v>3.5678252109158592E-2</v>
      </c>
      <c r="AB86">
        <v>1.0093543872697359</v>
      </c>
      <c r="AC86">
        <v>0.15137031080889901</v>
      </c>
      <c r="AD86">
        <v>1188.025098497304</v>
      </c>
      <c r="AE86">
        <v>50</v>
      </c>
      <c r="AF86">
        <v>81.993787181097588</v>
      </c>
      <c r="AG86">
        <v>2.4084062500000001</v>
      </c>
      <c r="AH86">
        <v>13.3720625</v>
      </c>
      <c r="AI86">
        <v>0.31026874999999998</v>
      </c>
      <c r="AJ86">
        <v>10.387225000000001</v>
      </c>
      <c r="AK86">
        <v>0.59164375000000002</v>
      </c>
      <c r="AL86">
        <v>3.0521875000000001</v>
      </c>
      <c r="AM86">
        <v>49.819099999999999</v>
      </c>
      <c r="AN86">
        <v>5.8739499999999998</v>
      </c>
      <c r="AP86">
        <v>0.19186249999999999</v>
      </c>
      <c r="AQ86">
        <v>97.820293750000005</v>
      </c>
      <c r="AR86">
        <v>8.7457962997469094E-2</v>
      </c>
      <c r="AS86">
        <v>0.20894986918716499</v>
      </c>
      <c r="AT86">
        <v>3.6791968666182201E-2</v>
      </c>
      <c r="AU86">
        <v>0.19989042831845</v>
      </c>
      <c r="AV86">
        <v>2.81971149528931E-2</v>
      </c>
      <c r="AW86">
        <v>5.5804024645778501E-2</v>
      </c>
      <c r="AX86">
        <v>0.88416756556661702</v>
      </c>
      <c r="AY86">
        <v>0.205613822492555</v>
      </c>
      <c r="BA86">
        <v>4.9243326112953303E-2</v>
      </c>
      <c r="BE86">
        <v>0.42222830556228019</v>
      </c>
      <c r="BF86">
        <v>13739</v>
      </c>
      <c r="BG86">
        <v>124754.6457802691</v>
      </c>
      <c r="BH86">
        <v>609.36232926853404</v>
      </c>
      <c r="BI86">
        <v>199.27527969925561</v>
      </c>
      <c r="BJ86">
        <v>5.1987393165992213</v>
      </c>
      <c r="BK86">
        <v>609.36232926853415</v>
      </c>
    </row>
    <row r="87" spans="1:63" x14ac:dyDescent="0.2">
      <c r="A87">
        <v>85</v>
      </c>
      <c r="B87" t="s">
        <v>69</v>
      </c>
      <c r="C87" t="s">
        <v>143</v>
      </c>
      <c r="D87" t="s">
        <v>144</v>
      </c>
      <c r="E87">
        <v>-155.22516669999999</v>
      </c>
      <c r="F87">
        <v>19.371883329999999</v>
      </c>
      <c r="G87" t="s">
        <v>145</v>
      </c>
      <c r="H87" t="s">
        <v>286</v>
      </c>
      <c r="I87" t="s">
        <v>287</v>
      </c>
      <c r="J87" t="s">
        <v>68</v>
      </c>
      <c r="K87">
        <v>5.6982766593749998</v>
      </c>
      <c r="L87">
        <v>5.6831668000000004</v>
      </c>
      <c r="M87">
        <v>101.73814302794349</v>
      </c>
      <c r="N87">
        <v>771.95128168956342</v>
      </c>
      <c r="O87" t="s">
        <v>288</v>
      </c>
      <c r="Q87">
        <v>9.9049999999999994</v>
      </c>
      <c r="R87">
        <v>1324.9639999999999</v>
      </c>
      <c r="S87">
        <v>50</v>
      </c>
      <c r="T87">
        <v>102.9264215714981</v>
      </c>
      <c r="U87">
        <v>6.2691671741692372E-3</v>
      </c>
      <c r="V87">
        <v>6.98040769108772E-2</v>
      </c>
      <c r="W87">
        <v>4.5475853660497606E-3</v>
      </c>
      <c r="X87">
        <v>0</v>
      </c>
      <c r="Y87">
        <v>0.13025373300219639</v>
      </c>
      <c r="Z87">
        <v>0.24028563591310659</v>
      </c>
      <c r="AA87">
        <v>2.5807364066612801E-2</v>
      </c>
      <c r="AB87">
        <v>1.046110951068064</v>
      </c>
      <c r="AC87">
        <v>0.10935329637077069</v>
      </c>
      <c r="AD87">
        <v>1243.587910536643</v>
      </c>
      <c r="AE87">
        <v>50</v>
      </c>
      <c r="AF87">
        <v>85.667934408283159</v>
      </c>
      <c r="AG87">
        <v>2.1961249999999999</v>
      </c>
      <c r="AH87">
        <v>13.214425</v>
      </c>
      <c r="AI87">
        <v>0.23326250000000001</v>
      </c>
      <c r="AJ87">
        <v>10.8680875</v>
      </c>
      <c r="AK87">
        <v>0.46184999999999998</v>
      </c>
      <c r="AL87">
        <v>2.5506250000000001</v>
      </c>
      <c r="AM87">
        <v>49.975887499999999</v>
      </c>
      <c r="AN87">
        <v>7.4385374999999998</v>
      </c>
      <c r="AP87">
        <v>0.2354</v>
      </c>
      <c r="AQ87">
        <v>98.48666249999998</v>
      </c>
      <c r="AR87">
        <v>5.6378814410075299E-2</v>
      </c>
      <c r="AS87">
        <v>0.24941022862516499</v>
      </c>
      <c r="AT87">
        <v>1.4003870638403601E-2</v>
      </c>
      <c r="AU87">
        <v>0.27584699401505702</v>
      </c>
      <c r="AV87">
        <v>3.1668731762237799E-2</v>
      </c>
      <c r="AW87">
        <v>4.2427543277585897E-2</v>
      </c>
      <c r="AX87">
        <v>0.67605985245919198</v>
      </c>
      <c r="AY87">
        <v>0.10614118545597701</v>
      </c>
      <c r="BA87">
        <v>4.3851209463691802E-2</v>
      </c>
      <c r="BE87">
        <v>0.49149002441286987</v>
      </c>
      <c r="BF87">
        <v>5538</v>
      </c>
      <c r="BG87">
        <v>302170.0506997481</v>
      </c>
      <c r="BH87">
        <v>336.70078578236092</v>
      </c>
      <c r="BI87">
        <v>310.13499390811592</v>
      </c>
      <c r="BJ87">
        <v>4.5244693885389253</v>
      </c>
      <c r="BK87">
        <v>336.70078578236092</v>
      </c>
    </row>
    <row r="88" spans="1:63" x14ac:dyDescent="0.2">
      <c r="A88">
        <v>86</v>
      </c>
      <c r="B88" t="s">
        <v>69</v>
      </c>
      <c r="C88" t="s">
        <v>157</v>
      </c>
      <c r="D88" t="s">
        <v>64</v>
      </c>
      <c r="G88" t="s">
        <v>158</v>
      </c>
      <c r="H88" t="s">
        <v>289</v>
      </c>
      <c r="I88" t="s">
        <v>290</v>
      </c>
      <c r="J88" t="s">
        <v>68</v>
      </c>
      <c r="K88">
        <v>8.8619906382812506</v>
      </c>
      <c r="L88">
        <v>8.7696461515624993</v>
      </c>
      <c r="M88">
        <v>244.15365487992699</v>
      </c>
      <c r="N88">
        <v>2869.885709170489</v>
      </c>
      <c r="O88" t="s">
        <v>291</v>
      </c>
      <c r="Q88">
        <v>10.039999999999999</v>
      </c>
      <c r="R88">
        <v>1324.9639999999999</v>
      </c>
      <c r="S88">
        <v>50</v>
      </c>
      <c r="T88">
        <v>102.92693593349721</v>
      </c>
      <c r="U88">
        <v>1.2463675723756449E-2</v>
      </c>
      <c r="V88">
        <v>7.0007887782985279E-2</v>
      </c>
      <c r="W88">
        <v>6.2368454094061379E-3</v>
      </c>
      <c r="X88">
        <v>0</v>
      </c>
      <c r="Y88">
        <v>0.13332388340720169</v>
      </c>
      <c r="Z88">
        <v>0.2328717520276074</v>
      </c>
      <c r="AA88">
        <v>2.7962430851500238E-2</v>
      </c>
      <c r="AB88">
        <v>1.01464250845633</v>
      </c>
      <c r="AC88">
        <v>0.11862488030497149</v>
      </c>
      <c r="AD88">
        <v>1188.8687153001899</v>
      </c>
      <c r="AE88">
        <v>50</v>
      </c>
      <c r="AF88">
        <v>82.064893628014246</v>
      </c>
      <c r="AG88">
        <v>2.4084062500000001</v>
      </c>
      <c r="AH88">
        <v>13.3720625</v>
      </c>
      <c r="AI88">
        <v>0.31026874999999998</v>
      </c>
      <c r="AJ88">
        <v>10.387225000000001</v>
      </c>
      <c r="AK88">
        <v>0.59164375000000002</v>
      </c>
      <c r="AL88">
        <v>3.0521875000000001</v>
      </c>
      <c r="AM88">
        <v>49.819099999999999</v>
      </c>
      <c r="AN88">
        <v>5.8739499999999998</v>
      </c>
      <c r="AP88">
        <v>0.19186249999999999</v>
      </c>
      <c r="AQ88">
        <v>97.820293750000005</v>
      </c>
      <c r="AR88">
        <v>8.7457962997469094E-2</v>
      </c>
      <c r="AS88">
        <v>0.20894986918716499</v>
      </c>
      <c r="AT88">
        <v>3.6791968666182201E-2</v>
      </c>
      <c r="AU88">
        <v>0.19989042831845</v>
      </c>
      <c r="AV88">
        <v>2.81971149528931E-2</v>
      </c>
      <c r="AW88">
        <v>5.5804024645778501E-2</v>
      </c>
      <c r="AX88">
        <v>0.88416756556661702</v>
      </c>
      <c r="AY88">
        <v>0.205613822492555</v>
      </c>
      <c r="BA88">
        <v>4.9243326112953303E-2</v>
      </c>
      <c r="BE88">
        <v>6.71823236579666E-2</v>
      </c>
      <c r="BF88">
        <v>10412</v>
      </c>
      <c r="BG88">
        <v>262934.19271177799</v>
      </c>
      <c r="BH88">
        <v>238.29180488773719</v>
      </c>
      <c r="BI88">
        <v>289.30010880729537</v>
      </c>
      <c r="BJ88">
        <v>2.3352964924625681</v>
      </c>
      <c r="BK88">
        <v>238.29180488773719</v>
      </c>
    </row>
    <row r="89" spans="1:63" x14ac:dyDescent="0.2">
      <c r="A89">
        <v>87</v>
      </c>
      <c r="B89" t="s">
        <v>69</v>
      </c>
      <c r="C89" t="s">
        <v>169</v>
      </c>
      <c r="D89" t="s">
        <v>64</v>
      </c>
      <c r="E89">
        <v>-155.29196300000001</v>
      </c>
      <c r="F89">
        <v>19.398634000000001</v>
      </c>
      <c r="G89" t="s">
        <v>170</v>
      </c>
      <c r="H89" t="s">
        <v>292</v>
      </c>
      <c r="I89" t="s">
        <v>293</v>
      </c>
      <c r="J89" t="s">
        <v>68</v>
      </c>
      <c r="K89">
        <v>8.3797536648437507</v>
      </c>
      <c r="L89">
        <v>7.8672388578124997</v>
      </c>
      <c r="M89">
        <v>207.1111407859018</v>
      </c>
      <c r="N89">
        <v>2243.288770471569</v>
      </c>
      <c r="Q89">
        <v>10.093</v>
      </c>
      <c r="R89">
        <v>1324.7670000000001</v>
      </c>
      <c r="S89">
        <v>50</v>
      </c>
      <c r="T89">
        <v>102.9272524631775</v>
      </c>
      <c r="U89">
        <v>1.2208382607581799E-2</v>
      </c>
      <c r="V89">
        <v>7.0133309548776168E-2</v>
      </c>
      <c r="W89">
        <v>6.1591850059921002E-3</v>
      </c>
      <c r="X89">
        <v>11.134190919068709</v>
      </c>
      <c r="Y89">
        <v>0.13433453966042919</v>
      </c>
      <c r="Z89">
        <v>0.23047434369363901</v>
      </c>
      <c r="AA89">
        <v>2.3695883065375671E-2</v>
      </c>
      <c r="AB89">
        <v>1.0044559924868119</v>
      </c>
      <c r="AC89">
        <v>0.100617529630898</v>
      </c>
      <c r="AD89">
        <v>1170.0603911806729</v>
      </c>
      <c r="AE89">
        <v>50</v>
      </c>
      <c r="AF89">
        <v>80.276399679877883</v>
      </c>
      <c r="AG89">
        <v>2.5390516666666669</v>
      </c>
      <c r="AH89">
        <v>13.89052597266207</v>
      </c>
      <c r="AI89">
        <v>0.24399675000000001</v>
      </c>
      <c r="AJ89">
        <v>11.205616666666669</v>
      </c>
      <c r="AK89">
        <v>0.47515841666666669</v>
      </c>
      <c r="AL89">
        <v>2.6323025000000002</v>
      </c>
      <c r="AM89">
        <v>50.778866165683027</v>
      </c>
      <c r="AN89">
        <v>6.7552275000000002</v>
      </c>
      <c r="AP89">
        <v>0.17074191666666669</v>
      </c>
      <c r="AR89">
        <v>5.5209421763999247E-2</v>
      </c>
      <c r="AS89">
        <v>0.23260322971847319</v>
      </c>
      <c r="AT89">
        <v>2.215836573857705E-2</v>
      </c>
      <c r="AU89">
        <v>0.13946342520423419</v>
      </c>
      <c r="AV89">
        <v>1.8188943372071519E-2</v>
      </c>
      <c r="AW89">
        <v>3.4278244127355022E-2</v>
      </c>
      <c r="AX89">
        <v>0.34681065155483992</v>
      </c>
      <c r="AY89">
        <v>0.48865100303376952</v>
      </c>
      <c r="BA89">
        <v>2.081601264087701E-2</v>
      </c>
      <c r="BE89">
        <v>9.4165924317767227E-2</v>
      </c>
      <c r="BF89">
        <v>7754</v>
      </c>
      <c r="BG89">
        <v>69940.650611907011</v>
      </c>
      <c r="BH89">
        <v>36.849801941161097</v>
      </c>
      <c r="BI89">
        <v>149.20724022612441</v>
      </c>
      <c r="BJ89">
        <v>0.41847764174387508</v>
      </c>
      <c r="BK89">
        <v>36.849801941161097</v>
      </c>
    </row>
    <row r="90" spans="1:63" x14ac:dyDescent="0.2">
      <c r="A90">
        <v>88</v>
      </c>
      <c r="B90" t="s">
        <v>69</v>
      </c>
      <c r="C90" t="s">
        <v>143</v>
      </c>
      <c r="D90" t="s">
        <v>144</v>
      </c>
      <c r="E90">
        <v>-155.22516669999999</v>
      </c>
      <c r="F90">
        <v>19.371883329999999</v>
      </c>
      <c r="G90" t="s">
        <v>145</v>
      </c>
      <c r="H90" t="s">
        <v>248</v>
      </c>
      <c r="I90" t="s">
        <v>294</v>
      </c>
      <c r="J90" t="s">
        <v>68</v>
      </c>
      <c r="K90">
        <v>16.036849247656249</v>
      </c>
      <c r="L90">
        <v>16.031909485937501</v>
      </c>
      <c r="M90">
        <v>807.70760424827279</v>
      </c>
      <c r="N90">
        <v>17268.12019195126</v>
      </c>
      <c r="Q90">
        <v>10.122</v>
      </c>
      <c r="R90">
        <v>1324.9639999999999</v>
      </c>
      <c r="S90">
        <v>100</v>
      </c>
      <c r="T90">
        <v>102.9278075371104</v>
      </c>
      <c r="U90">
        <v>2.0634245477157819E-2</v>
      </c>
      <c r="V90">
        <v>7.0353252123361187E-2</v>
      </c>
      <c r="W90">
        <v>9.0196952280619976E-3</v>
      </c>
      <c r="X90">
        <v>0</v>
      </c>
      <c r="Y90">
        <v>0.13113532872404071</v>
      </c>
      <c r="Z90">
        <v>0.23814433051990291</v>
      </c>
      <c r="AA90">
        <v>3.8186481957993949E-2</v>
      </c>
      <c r="AB90">
        <v>1.0370272237931839</v>
      </c>
      <c r="AC90">
        <v>0.1618480888721765</v>
      </c>
      <c r="AD90">
        <v>1217.0747343059461</v>
      </c>
      <c r="AE90">
        <v>50</v>
      </c>
      <c r="AF90">
        <v>84.121421577092164</v>
      </c>
      <c r="AG90">
        <v>2.1961249999999999</v>
      </c>
      <c r="AH90">
        <v>13.214425</v>
      </c>
      <c r="AI90">
        <v>0.23326250000000001</v>
      </c>
      <c r="AJ90">
        <v>10.8680875</v>
      </c>
      <c r="AK90">
        <v>0.46184999999999998</v>
      </c>
      <c r="AL90">
        <v>2.5506250000000001</v>
      </c>
      <c r="AM90">
        <v>49.975887499999999</v>
      </c>
      <c r="AN90">
        <v>7.4385374999999998</v>
      </c>
      <c r="AP90">
        <v>0.2354</v>
      </c>
      <c r="AQ90">
        <v>98.48666249999998</v>
      </c>
      <c r="AR90">
        <v>5.6378814410075299E-2</v>
      </c>
      <c r="AS90">
        <v>0.24941022862516499</v>
      </c>
      <c r="AT90">
        <v>1.4003870638403601E-2</v>
      </c>
      <c r="AU90">
        <v>0.27584699401505702</v>
      </c>
      <c r="AV90">
        <v>3.1668731762237799E-2</v>
      </c>
      <c r="AW90">
        <v>4.2427543277585897E-2</v>
      </c>
      <c r="AX90">
        <v>0.67605985245919198</v>
      </c>
      <c r="AY90">
        <v>0.10614118545597701</v>
      </c>
      <c r="BA90">
        <v>4.3851209463691802E-2</v>
      </c>
      <c r="BE90">
        <v>0.1111456293597035</v>
      </c>
      <c r="BF90">
        <v>11351</v>
      </c>
      <c r="BG90">
        <v>105471.60245920809</v>
      </c>
      <c r="BH90">
        <v>95.682316300118003</v>
      </c>
      <c r="BI90">
        <v>183.2284196690365</v>
      </c>
      <c r="BJ90">
        <v>0.89807915952519723</v>
      </c>
      <c r="BK90">
        <v>95.682316300117989</v>
      </c>
    </row>
    <row r="91" spans="1:63" x14ac:dyDescent="0.2">
      <c r="A91">
        <v>89</v>
      </c>
      <c r="B91" t="s">
        <v>62</v>
      </c>
      <c r="C91" t="s">
        <v>63</v>
      </c>
      <c r="D91" t="s">
        <v>64</v>
      </c>
      <c r="E91">
        <v>-155.26785000000001</v>
      </c>
      <c r="F91">
        <v>19.407830000000001</v>
      </c>
      <c r="G91" t="s">
        <v>65</v>
      </c>
      <c r="H91" t="s">
        <v>66</v>
      </c>
      <c r="I91" t="s">
        <v>295</v>
      </c>
      <c r="J91" t="s">
        <v>68</v>
      </c>
      <c r="O91" t="s">
        <v>296</v>
      </c>
      <c r="Q91">
        <v>12.002000000000001</v>
      </c>
      <c r="R91">
        <v>1325.0039999999999</v>
      </c>
      <c r="S91">
        <v>50</v>
      </c>
      <c r="T91">
        <v>102.9291953</v>
      </c>
      <c r="U91">
        <v>4.4911023690000001E-3</v>
      </c>
      <c r="V91">
        <v>7.0903151499999997E-2</v>
      </c>
      <c r="W91">
        <v>4.2034716840000002E-3</v>
      </c>
      <c r="X91">
        <v>0</v>
      </c>
      <c r="Y91">
        <v>0.12912723813043381</v>
      </c>
      <c r="Z91">
        <v>0.24307494418808551</v>
      </c>
      <c r="AA91">
        <v>2.5122229945738411E-2</v>
      </c>
      <c r="AB91">
        <v>1.0579373915386669</v>
      </c>
      <c r="AC91">
        <v>0.10627336203259059</v>
      </c>
      <c r="AD91">
        <v>1238.3320176251971</v>
      </c>
      <c r="AE91">
        <v>50</v>
      </c>
      <c r="BE91">
        <v>0.1120991671044891</v>
      </c>
      <c r="BF91">
        <v>14847</v>
      </c>
      <c r="BG91">
        <v>957435.46434057131</v>
      </c>
      <c r="BH91">
        <v>465.5170276180051</v>
      </c>
      <c r="BI91">
        <v>552.05178532685864</v>
      </c>
      <c r="BJ91">
        <v>3.8204649254246679</v>
      </c>
      <c r="BK91">
        <v>465.5170276180051</v>
      </c>
    </row>
    <row r="92" spans="1:63" x14ac:dyDescent="0.2">
      <c r="A92">
        <v>90</v>
      </c>
      <c r="B92" t="s">
        <v>69</v>
      </c>
      <c r="C92" t="s">
        <v>297</v>
      </c>
      <c r="D92" t="s">
        <v>64</v>
      </c>
      <c r="E92">
        <v>-155.27754999999999</v>
      </c>
      <c r="F92">
        <v>19.401</v>
      </c>
      <c r="G92" t="s">
        <v>298</v>
      </c>
      <c r="H92" t="s">
        <v>299</v>
      </c>
      <c r="I92" t="s">
        <v>300</v>
      </c>
      <c r="J92" t="s">
        <v>68</v>
      </c>
      <c r="K92">
        <v>12.323310732031249</v>
      </c>
      <c r="L92">
        <v>12.323310732031249</v>
      </c>
      <c r="M92">
        <v>477.09478715502718</v>
      </c>
      <c r="N92">
        <v>7839.1830809916146</v>
      </c>
      <c r="Q92">
        <v>10.034000000000001</v>
      </c>
      <c r="R92">
        <v>1324.9639999999999</v>
      </c>
      <c r="S92">
        <v>50</v>
      </c>
      <c r="T92">
        <v>102.93265894517801</v>
      </c>
      <c r="U92">
        <v>1.5019175081577371E-2</v>
      </c>
      <c r="V92">
        <v>7.2275574749980365E-2</v>
      </c>
      <c r="W92">
        <v>7.0647370919647472E-3</v>
      </c>
      <c r="X92">
        <v>0</v>
      </c>
      <c r="Y92">
        <v>0.1307719559373034</v>
      </c>
      <c r="Z92">
        <v>0.23905912947110061</v>
      </c>
      <c r="AA92">
        <v>3.2724428516263657E-2</v>
      </c>
      <c r="AB92">
        <v>1.040908440131338</v>
      </c>
      <c r="AC92">
        <v>0.13854877442073171</v>
      </c>
      <c r="AD92">
        <v>1182.780346286537</v>
      </c>
      <c r="AE92">
        <v>50</v>
      </c>
      <c r="AF92">
        <v>81.535070557138695</v>
      </c>
      <c r="AG92">
        <v>2.321825</v>
      </c>
      <c r="AH92">
        <v>13.7706416666667</v>
      </c>
      <c r="AI92">
        <v>0.268625</v>
      </c>
      <c r="AJ92">
        <v>10.802308333333301</v>
      </c>
      <c r="AK92">
        <v>0.55051666666666699</v>
      </c>
      <c r="AL92">
        <v>2.808325</v>
      </c>
      <c r="AM92">
        <v>50.309224999999998</v>
      </c>
      <c r="AN92">
        <v>6.0358333333333301</v>
      </c>
      <c r="AP92">
        <v>0.19646666666666701</v>
      </c>
      <c r="AQ92">
        <v>98.455249999999964</v>
      </c>
      <c r="AR92">
        <v>0.116299942351272</v>
      </c>
      <c r="AS92">
        <v>0.28611493068451699</v>
      </c>
      <c r="AT92">
        <v>2.3686019082994898E-2</v>
      </c>
      <c r="AU92">
        <v>0.25896941012171298</v>
      </c>
      <c r="AV92">
        <v>2.1496673456536702E-2</v>
      </c>
      <c r="AW92">
        <v>4.2624494131895597E-2</v>
      </c>
      <c r="AX92">
        <v>0.80521115370159502</v>
      </c>
      <c r="AY92">
        <v>0.14527452591142001</v>
      </c>
      <c r="BA92">
        <v>2.9538244341664601E-2</v>
      </c>
      <c r="BE92">
        <v>1.275286722729412</v>
      </c>
      <c r="BF92">
        <v>5414</v>
      </c>
      <c r="BG92">
        <v>194734.65014956149</v>
      </c>
      <c r="BH92">
        <v>467.10564239884269</v>
      </c>
      <c r="BI92">
        <v>248.96980605114999</v>
      </c>
      <c r="BJ92">
        <v>6.348278742493644</v>
      </c>
      <c r="BK92">
        <v>467.1056423988428</v>
      </c>
    </row>
    <row r="93" spans="1:63" x14ac:dyDescent="0.2">
      <c r="A93">
        <v>91</v>
      </c>
      <c r="B93" t="s">
        <v>69</v>
      </c>
      <c r="C93" t="s">
        <v>157</v>
      </c>
      <c r="D93" t="s">
        <v>64</v>
      </c>
      <c r="G93" t="s">
        <v>158</v>
      </c>
      <c r="H93" t="s">
        <v>301</v>
      </c>
      <c r="I93" t="s">
        <v>302</v>
      </c>
      <c r="J93" t="s">
        <v>68</v>
      </c>
      <c r="K93">
        <v>11.724785956250001</v>
      </c>
      <c r="L93">
        <v>10.64803413125</v>
      </c>
      <c r="M93">
        <v>392.21502838169852</v>
      </c>
      <c r="N93">
        <v>5849.9708437316312</v>
      </c>
      <c r="Q93">
        <v>10.08</v>
      </c>
      <c r="R93">
        <v>1324.9639999999999</v>
      </c>
      <c r="S93">
        <v>50</v>
      </c>
      <c r="T93">
        <v>102.9329061529964</v>
      </c>
      <c r="U93">
        <v>7.5679533058918124E-3</v>
      </c>
      <c r="V93">
        <v>7.2373528411276311E-2</v>
      </c>
      <c r="W93">
        <v>4.8461843763955986E-3</v>
      </c>
      <c r="X93">
        <v>0</v>
      </c>
      <c r="Y93">
        <v>0.13034060434795089</v>
      </c>
      <c r="Z93">
        <v>0.24011398974601031</v>
      </c>
      <c r="AA93">
        <v>2.5930466216994671E-2</v>
      </c>
      <c r="AB93">
        <v>1.0453829558904311</v>
      </c>
      <c r="AC93">
        <v>0.10980723370555261</v>
      </c>
      <c r="AD93">
        <v>1187.6763677410629</v>
      </c>
      <c r="AE93">
        <v>50</v>
      </c>
      <c r="AF93">
        <v>81.964186902132994</v>
      </c>
      <c r="AG93">
        <v>2.4084062500000001</v>
      </c>
      <c r="AH93">
        <v>13.3720625</v>
      </c>
      <c r="AI93">
        <v>0.31026874999999998</v>
      </c>
      <c r="AJ93">
        <v>10.387225000000001</v>
      </c>
      <c r="AK93">
        <v>0.59164375000000002</v>
      </c>
      <c r="AL93">
        <v>3.0521875000000001</v>
      </c>
      <c r="AM93">
        <v>49.819099999999999</v>
      </c>
      <c r="AN93">
        <v>5.8739499999999998</v>
      </c>
      <c r="AP93">
        <v>0.19186249999999999</v>
      </c>
      <c r="AQ93">
        <v>97.820293750000005</v>
      </c>
      <c r="AR93">
        <v>8.7457962997469094E-2</v>
      </c>
      <c r="AS93">
        <v>0.20894986918716499</v>
      </c>
      <c r="AT93">
        <v>3.6791968666182201E-2</v>
      </c>
      <c r="AU93">
        <v>0.19989042831845</v>
      </c>
      <c r="AV93">
        <v>2.81971149528931E-2</v>
      </c>
      <c r="AW93">
        <v>5.5804024645778501E-2</v>
      </c>
      <c r="AX93">
        <v>0.88416756556661702</v>
      </c>
      <c r="AY93">
        <v>0.205613822492555</v>
      </c>
      <c r="BA93">
        <v>4.9243326112953303E-2</v>
      </c>
      <c r="BE93">
        <v>1.3278859816653381</v>
      </c>
      <c r="BF93">
        <v>4874</v>
      </c>
      <c r="BG93">
        <v>122779.5638883918</v>
      </c>
      <c r="BH93">
        <v>106.8090936766522</v>
      </c>
      <c r="BI93">
        <v>197.69155016593271</v>
      </c>
      <c r="BJ93">
        <v>1.529908535034018</v>
      </c>
      <c r="BK93">
        <v>106.8090936766522</v>
      </c>
    </row>
    <row r="94" spans="1:63" x14ac:dyDescent="0.2">
      <c r="A94">
        <v>92</v>
      </c>
      <c r="B94" t="s">
        <v>69</v>
      </c>
      <c r="C94" t="s">
        <v>76</v>
      </c>
      <c r="D94" t="s">
        <v>71</v>
      </c>
      <c r="E94">
        <v>-155.29812000000001</v>
      </c>
      <c r="F94">
        <v>19.375624999999999</v>
      </c>
      <c r="G94" t="s">
        <v>77</v>
      </c>
      <c r="H94" t="s">
        <v>255</v>
      </c>
      <c r="I94" t="s">
        <v>303</v>
      </c>
      <c r="J94" t="s">
        <v>85</v>
      </c>
      <c r="K94">
        <v>4.8213236671875004</v>
      </c>
      <c r="L94">
        <v>3.2786651398437501</v>
      </c>
      <c r="M94">
        <v>49.660744204420048</v>
      </c>
      <c r="N94">
        <v>268.16764813642959</v>
      </c>
      <c r="O94" t="s">
        <v>257</v>
      </c>
      <c r="Q94">
        <v>11.867000000000001</v>
      </c>
      <c r="R94">
        <v>1324.9639999999999</v>
      </c>
      <c r="S94">
        <v>50</v>
      </c>
      <c r="T94">
        <v>102.93440122954389</v>
      </c>
      <c r="U94">
        <v>8.6196315257986173E-3</v>
      </c>
      <c r="V94">
        <v>7.2965937756322319E-2</v>
      </c>
      <c r="W94">
        <v>5.1141884234086506E-3</v>
      </c>
      <c r="X94">
        <v>0</v>
      </c>
      <c r="Y94">
        <v>0.12619278082073671</v>
      </c>
      <c r="Z94">
        <v>0.2504619517542816</v>
      </c>
      <c r="AA94">
        <v>2.733385514867304E-2</v>
      </c>
      <c r="AB94">
        <v>1.0892238302373169</v>
      </c>
      <c r="AC94">
        <v>0.1155130502015512</v>
      </c>
      <c r="AD94">
        <v>1242.9207131963431</v>
      </c>
      <c r="AE94">
        <v>50</v>
      </c>
      <c r="AF94">
        <v>85.632257307251706</v>
      </c>
      <c r="AG94">
        <v>2.5039199999999999</v>
      </c>
      <c r="AH94">
        <v>14.096819999999999</v>
      </c>
      <c r="AI94">
        <v>0.27322000000000002</v>
      </c>
      <c r="AJ94">
        <v>10.95044</v>
      </c>
      <c r="AK94">
        <v>0.52094000000000007</v>
      </c>
      <c r="AL94">
        <v>2.9191400000000001</v>
      </c>
      <c r="AM94">
        <v>50.91704</v>
      </c>
      <c r="AN94">
        <v>6.4346599999999992</v>
      </c>
      <c r="AO94">
        <v>10.86684</v>
      </c>
      <c r="AP94">
        <v>0.19492000000000001</v>
      </c>
      <c r="AQ94">
        <v>99.70778</v>
      </c>
      <c r="AR94">
        <v>5.8797253337209539E-2</v>
      </c>
      <c r="AS94">
        <v>0.138496180452748</v>
      </c>
      <c r="AT94">
        <v>2.822688434808206E-2</v>
      </c>
      <c r="AU94">
        <v>7.1287502411011894E-2</v>
      </c>
      <c r="AV94">
        <v>1.2819243347405491E-2</v>
      </c>
      <c r="AW94">
        <v>2.3721045508155889E-2</v>
      </c>
      <c r="AX94">
        <v>0.39733328327740491</v>
      </c>
      <c r="AY94">
        <v>8.3972662218129629E-2</v>
      </c>
      <c r="AZ94">
        <v>5.8132675837260117E-2</v>
      </c>
      <c r="BA94">
        <v>1.931080008699795E-2</v>
      </c>
    </row>
    <row r="95" spans="1:63" x14ac:dyDescent="0.2">
      <c r="A95">
        <v>93</v>
      </c>
      <c r="B95" t="s">
        <v>69</v>
      </c>
      <c r="C95" t="s">
        <v>169</v>
      </c>
      <c r="D95" t="s">
        <v>64</v>
      </c>
      <c r="E95">
        <v>-155.29196300000001</v>
      </c>
      <c r="F95">
        <v>19.398634000000001</v>
      </c>
      <c r="G95" t="s">
        <v>170</v>
      </c>
      <c r="H95" t="s">
        <v>304</v>
      </c>
      <c r="I95" t="s">
        <v>305</v>
      </c>
      <c r="J95" t="s">
        <v>68</v>
      </c>
      <c r="K95">
        <v>9.4222758468750012</v>
      </c>
      <c r="L95">
        <v>8.4197947921875009</v>
      </c>
      <c r="M95">
        <v>249.23394638225381</v>
      </c>
      <c r="N95">
        <v>2964.5664513363258</v>
      </c>
      <c r="Q95">
        <v>10.019</v>
      </c>
      <c r="R95">
        <v>1324.7670000000001</v>
      </c>
      <c r="S95">
        <v>50</v>
      </c>
      <c r="T95">
        <v>102.9355692301782</v>
      </c>
      <c r="U95">
        <v>1.67032038333676E-2</v>
      </c>
      <c r="V95">
        <v>7.3428746494705877E-2</v>
      </c>
      <c r="W95">
        <v>7.6348753938183921E-3</v>
      </c>
      <c r="X95">
        <v>0</v>
      </c>
      <c r="Y95">
        <v>0.12944464313529749</v>
      </c>
      <c r="Z95">
        <v>0.24233148442998259</v>
      </c>
      <c r="AA95">
        <v>3.3934464314231631E-2</v>
      </c>
      <c r="AB95">
        <v>1.0547858687872911</v>
      </c>
      <c r="AC95">
        <v>0.1437099907546687</v>
      </c>
      <c r="AD95">
        <v>1180.639079468418</v>
      </c>
      <c r="AE95">
        <v>50</v>
      </c>
      <c r="AF95">
        <v>81.338836092885458</v>
      </c>
      <c r="AG95">
        <v>2.5390516666666669</v>
      </c>
      <c r="AH95">
        <v>13.89052597266207</v>
      </c>
      <c r="AI95">
        <v>0.24399675000000001</v>
      </c>
      <c r="AJ95">
        <v>11.205616666666669</v>
      </c>
      <c r="AK95">
        <v>0.47515841666666669</v>
      </c>
      <c r="AL95">
        <v>2.6323025000000002</v>
      </c>
      <c r="AM95">
        <v>50.778866165683027</v>
      </c>
      <c r="AN95">
        <v>6.7552275000000002</v>
      </c>
      <c r="AP95">
        <v>0.17074191666666669</v>
      </c>
      <c r="AR95">
        <v>5.5209421763999247E-2</v>
      </c>
      <c r="AS95">
        <v>0.23260322971847319</v>
      </c>
      <c r="AT95">
        <v>2.215836573857705E-2</v>
      </c>
      <c r="AU95">
        <v>0.13946342520423419</v>
      </c>
      <c r="AV95">
        <v>1.8188943372071519E-2</v>
      </c>
      <c r="AW95">
        <v>3.4278244127355022E-2</v>
      </c>
      <c r="AX95">
        <v>0.34681065155483992</v>
      </c>
      <c r="AY95">
        <v>0.48865100303376952</v>
      </c>
      <c r="BA95">
        <v>2.081601264087701E-2</v>
      </c>
      <c r="BE95">
        <v>0.20238392417639961</v>
      </c>
      <c r="BF95">
        <v>14074</v>
      </c>
      <c r="BG95">
        <v>130011.7019865084</v>
      </c>
      <c r="BH95">
        <v>507.95447568313642</v>
      </c>
      <c r="BI95">
        <v>203.43060256973729</v>
      </c>
      <c r="BJ95">
        <v>4.2816978613289711</v>
      </c>
      <c r="BK95">
        <v>507.95447568313608</v>
      </c>
    </row>
    <row r="96" spans="1:63" x14ac:dyDescent="0.2">
      <c r="A96">
        <v>94</v>
      </c>
      <c r="B96" t="s">
        <v>62</v>
      </c>
      <c r="C96" t="s">
        <v>63</v>
      </c>
      <c r="D96" t="s">
        <v>64</v>
      </c>
      <c r="E96">
        <v>-155.26785000000001</v>
      </c>
      <c r="F96">
        <v>19.407830000000001</v>
      </c>
      <c r="G96" t="s">
        <v>65</v>
      </c>
      <c r="H96" t="s">
        <v>306</v>
      </c>
      <c r="I96" t="s">
        <v>307</v>
      </c>
      <c r="J96" t="s">
        <v>68</v>
      </c>
      <c r="K96">
        <v>4.0123069273437499</v>
      </c>
      <c r="L96">
        <v>3.3524128765625001</v>
      </c>
      <c r="M96">
        <v>42.257278180111612</v>
      </c>
      <c r="N96">
        <v>207.47534231482891</v>
      </c>
      <c r="Q96">
        <v>11.989000000000001</v>
      </c>
      <c r="R96">
        <v>1325.0039999999999</v>
      </c>
      <c r="S96">
        <v>50</v>
      </c>
      <c r="T96">
        <v>102.936791</v>
      </c>
      <c r="U96">
        <v>4.7213095460000003E-3</v>
      </c>
      <c r="V96">
        <v>7.3912842859999994E-2</v>
      </c>
      <c r="W96">
        <v>4.2407765849999998E-3</v>
      </c>
      <c r="X96">
        <v>0</v>
      </c>
      <c r="Y96">
        <v>0.124985696707467</v>
      </c>
      <c r="Z96">
        <v>0.25356054783583071</v>
      </c>
      <c r="AA96">
        <v>2.425306510761779E-2</v>
      </c>
      <c r="AB96">
        <v>1.102332806224912</v>
      </c>
      <c r="AC96">
        <v>0.1024968595714084</v>
      </c>
      <c r="AD96">
        <v>1243.057726743129</v>
      </c>
      <c r="AE96">
        <v>50</v>
      </c>
      <c r="AF96">
        <v>85.639595679999999</v>
      </c>
      <c r="BE96">
        <v>7.2134037823482738E-2</v>
      </c>
      <c r="BF96">
        <v>1216</v>
      </c>
      <c r="BG96">
        <v>79852.54843272781</v>
      </c>
      <c r="BH96">
        <v>11.4580478745384</v>
      </c>
      <c r="BI96">
        <v>159.42978267283439</v>
      </c>
      <c r="BJ96">
        <v>0.32858205773265731</v>
      </c>
      <c r="BK96">
        <v>11.4580478745384</v>
      </c>
    </row>
    <row r="97" spans="1:63" x14ac:dyDescent="0.2">
      <c r="A97">
        <v>95</v>
      </c>
      <c r="B97" t="s">
        <v>69</v>
      </c>
      <c r="C97" t="s">
        <v>308</v>
      </c>
      <c r="D97" t="s">
        <v>64</v>
      </c>
      <c r="E97">
        <v>-155.2774</v>
      </c>
      <c r="F97">
        <v>19.402283329999999</v>
      </c>
      <c r="G97" t="s">
        <v>309</v>
      </c>
      <c r="H97" t="s">
        <v>310</v>
      </c>
      <c r="I97" t="s">
        <v>311</v>
      </c>
      <c r="J97" t="s">
        <v>68</v>
      </c>
      <c r="K97">
        <v>17.719041514843749</v>
      </c>
      <c r="L97">
        <v>16.795073614062499</v>
      </c>
      <c r="M97">
        <v>934.91474669624824</v>
      </c>
      <c r="N97">
        <v>21511.836802124359</v>
      </c>
      <c r="O97" t="s">
        <v>312</v>
      </c>
      <c r="Q97">
        <v>10.054</v>
      </c>
      <c r="R97">
        <v>1324.9639999999999</v>
      </c>
      <c r="S97">
        <v>50</v>
      </c>
      <c r="T97">
        <v>102.9375991424515</v>
      </c>
      <c r="U97">
        <v>3.5962651858210827E-2</v>
      </c>
      <c r="V97">
        <v>7.4233079224221399E-2</v>
      </c>
      <c r="W97">
        <v>1.4749264879568029E-2</v>
      </c>
      <c r="X97">
        <v>0</v>
      </c>
      <c r="Y97">
        <v>0.12786584786701929</v>
      </c>
      <c r="Z97">
        <v>0.24626533688434971</v>
      </c>
      <c r="AA97">
        <v>5.5587004296147088E-2</v>
      </c>
      <c r="AB97">
        <v>1.0714557954047781</v>
      </c>
      <c r="AC97">
        <v>0.2353839315903605</v>
      </c>
      <c r="AD97">
        <v>1189.718039655038</v>
      </c>
      <c r="AE97">
        <v>50</v>
      </c>
      <c r="AF97">
        <v>82.135780334139938</v>
      </c>
      <c r="AG97">
        <v>2.3267000000000002</v>
      </c>
      <c r="AH97">
        <v>13.5229384615385</v>
      </c>
      <c r="AI97">
        <v>0.27728461538461502</v>
      </c>
      <c r="AJ97">
        <v>10.5531076923077</v>
      </c>
      <c r="AK97">
        <v>0.54219230769230797</v>
      </c>
      <c r="AL97">
        <v>2.8134692307692299</v>
      </c>
      <c r="AM97">
        <v>49.582307692307701</v>
      </c>
      <c r="AN97">
        <v>6.2924769230769204</v>
      </c>
      <c r="AP97">
        <v>0.17131538461538501</v>
      </c>
      <c r="AQ97">
        <v>97.508507692307774</v>
      </c>
      <c r="AR97">
        <v>0.15754459157119099</v>
      </c>
      <c r="AS97">
        <v>0.25828299253100101</v>
      </c>
      <c r="AT97">
        <v>3.3931029215008297E-2</v>
      </c>
      <c r="AU97">
        <v>0.14495579476480899</v>
      </c>
      <c r="AV97">
        <v>5.80211091118061E-2</v>
      </c>
      <c r="AW97">
        <v>5.1717153579436098E-2</v>
      </c>
      <c r="AX97">
        <v>0.58735311988266403</v>
      </c>
      <c r="AY97">
        <v>0.17920673421984901</v>
      </c>
      <c r="BA97">
        <v>4.0360043073850597E-2</v>
      </c>
      <c r="BE97">
        <v>0.20057819676655081</v>
      </c>
      <c r="BF97">
        <v>3143</v>
      </c>
      <c r="BG97">
        <v>28552.148075916339</v>
      </c>
      <c r="BH97">
        <v>480.12500247677889</v>
      </c>
      <c r="BI97">
        <v>95.333262843289205</v>
      </c>
      <c r="BJ97">
        <v>8.5641079301897314</v>
      </c>
      <c r="BK97">
        <v>480.12500247677912</v>
      </c>
    </row>
    <row r="98" spans="1:63" x14ac:dyDescent="0.2">
      <c r="A98">
        <v>96</v>
      </c>
      <c r="B98" t="s">
        <v>69</v>
      </c>
      <c r="C98" t="s">
        <v>76</v>
      </c>
      <c r="D98" t="s">
        <v>71</v>
      </c>
      <c r="E98">
        <v>-155.29812000000001</v>
      </c>
      <c r="F98">
        <v>19.375624999999999</v>
      </c>
      <c r="G98" t="s">
        <v>77</v>
      </c>
      <c r="H98" t="s">
        <v>313</v>
      </c>
      <c r="I98" t="s">
        <v>314</v>
      </c>
      <c r="J98" t="s">
        <v>68</v>
      </c>
      <c r="K98">
        <v>5.8557678859375004</v>
      </c>
      <c r="L98">
        <v>5.7440711562500004</v>
      </c>
      <c r="M98">
        <v>105.6704452838998</v>
      </c>
      <c r="N98">
        <v>817.17343787301274</v>
      </c>
      <c r="Q98">
        <v>11.827999999999999</v>
      </c>
      <c r="R98">
        <v>1324.9639999999999</v>
      </c>
      <c r="S98">
        <v>50</v>
      </c>
      <c r="T98">
        <v>102.93993161306911</v>
      </c>
      <c r="U98">
        <v>9.1422128501081664E-3</v>
      </c>
      <c r="V98">
        <v>7.5157297715371385E-2</v>
      </c>
      <c r="W98">
        <v>5.2536271116171178E-3</v>
      </c>
      <c r="X98">
        <v>0</v>
      </c>
      <c r="Y98">
        <v>0.1243156698733974</v>
      </c>
      <c r="Z98">
        <v>0.25530736085466887</v>
      </c>
      <c r="AA98">
        <v>2.8850097216222219E-2</v>
      </c>
      <c r="AB98">
        <v>1.1097191054393769</v>
      </c>
      <c r="AC98">
        <v>0.1216755696607839</v>
      </c>
      <c r="AD98">
        <v>1228.501065597309</v>
      </c>
      <c r="AE98">
        <v>50</v>
      </c>
      <c r="AF98">
        <v>84.822935383539217</v>
      </c>
      <c r="AG98">
        <v>2.5039199999999999</v>
      </c>
      <c r="AH98">
        <v>14.096819999999999</v>
      </c>
      <c r="AI98">
        <v>0.27322000000000002</v>
      </c>
      <c r="AJ98">
        <v>10.95044</v>
      </c>
      <c r="AK98">
        <v>0.52094000000000007</v>
      </c>
      <c r="AL98">
        <v>2.9191400000000001</v>
      </c>
      <c r="AM98">
        <v>50.91704</v>
      </c>
      <c r="AN98">
        <v>6.4346599999999992</v>
      </c>
      <c r="AO98">
        <v>10.86684</v>
      </c>
      <c r="AP98">
        <v>0.19492000000000001</v>
      </c>
      <c r="AQ98">
        <v>99.70778</v>
      </c>
      <c r="AR98">
        <v>5.8797253337209539E-2</v>
      </c>
      <c r="AS98">
        <v>0.138496180452748</v>
      </c>
      <c r="AT98">
        <v>2.822688434808206E-2</v>
      </c>
      <c r="AU98">
        <v>7.1287502411011894E-2</v>
      </c>
      <c r="AV98">
        <v>1.2819243347405491E-2</v>
      </c>
      <c r="AW98">
        <v>2.3721045508155889E-2</v>
      </c>
      <c r="AX98">
        <v>0.39733328327740491</v>
      </c>
      <c r="AY98">
        <v>8.3972662218129629E-2</v>
      </c>
      <c r="AZ98">
        <v>5.8132675837260117E-2</v>
      </c>
      <c r="BA98">
        <v>1.931080008699795E-2</v>
      </c>
      <c r="BD98" t="s">
        <v>315</v>
      </c>
      <c r="BE98">
        <v>0.11135448793799339</v>
      </c>
      <c r="BF98">
        <v>6459</v>
      </c>
      <c r="BG98">
        <v>318472.10157445102</v>
      </c>
      <c r="BH98">
        <v>14.098292130671011</v>
      </c>
      <c r="BI98">
        <v>318.39098354833499</v>
      </c>
      <c r="BJ98">
        <v>0.17542192121144429</v>
      </c>
      <c r="BK98">
        <v>14.098292130671011</v>
      </c>
    </row>
    <row r="99" spans="1:63" x14ac:dyDescent="0.2">
      <c r="A99">
        <v>97</v>
      </c>
      <c r="B99" t="s">
        <v>69</v>
      </c>
      <c r="C99" t="s">
        <v>76</v>
      </c>
      <c r="D99" t="s">
        <v>71</v>
      </c>
      <c r="E99">
        <v>-155.29812000000001</v>
      </c>
      <c r="F99">
        <v>19.375624999999999</v>
      </c>
      <c r="G99" t="s">
        <v>77</v>
      </c>
      <c r="H99" t="s">
        <v>316</v>
      </c>
      <c r="I99" t="s">
        <v>317</v>
      </c>
      <c r="J99" t="s">
        <v>68</v>
      </c>
      <c r="K99">
        <v>6.2561210445312501</v>
      </c>
      <c r="L99">
        <v>5.2485839984374998</v>
      </c>
      <c r="M99">
        <v>103.1566351905752</v>
      </c>
      <c r="N99">
        <v>791.19110739513224</v>
      </c>
      <c r="Q99">
        <v>11.853</v>
      </c>
      <c r="R99">
        <v>1324.9639999999999</v>
      </c>
      <c r="S99">
        <v>50</v>
      </c>
      <c r="T99">
        <v>102.93998799974059</v>
      </c>
      <c r="U99">
        <v>1.252266579884354E-2</v>
      </c>
      <c r="V99">
        <v>7.5179640378138402E-2</v>
      </c>
      <c r="W99">
        <v>6.2529330398135904E-3</v>
      </c>
      <c r="X99">
        <v>0</v>
      </c>
      <c r="Y99">
        <v>0.12639301625603441</v>
      </c>
      <c r="Z99">
        <v>0.24998943383511199</v>
      </c>
      <c r="AA99">
        <v>2.9077310742385089E-2</v>
      </c>
      <c r="AB99">
        <v>1.08722402944939</v>
      </c>
      <c r="AC99">
        <v>0.1227993239273759</v>
      </c>
      <c r="AD99">
        <v>1194.4561049961669</v>
      </c>
      <c r="AE99">
        <v>50</v>
      </c>
      <c r="AF99">
        <v>82.519060357391325</v>
      </c>
      <c r="AG99">
        <v>2.5039199999999999</v>
      </c>
      <c r="AH99">
        <v>14.096819999999999</v>
      </c>
      <c r="AI99">
        <v>0.27322000000000002</v>
      </c>
      <c r="AJ99">
        <v>10.95044</v>
      </c>
      <c r="AK99">
        <v>0.52094000000000007</v>
      </c>
      <c r="AL99">
        <v>2.9191400000000001</v>
      </c>
      <c r="AM99">
        <v>50.91704</v>
      </c>
      <c r="AN99">
        <v>6.4346599999999992</v>
      </c>
      <c r="AO99">
        <v>10.86684</v>
      </c>
      <c r="AP99">
        <v>0.19492000000000001</v>
      </c>
      <c r="AQ99">
        <v>99.70778</v>
      </c>
      <c r="AR99">
        <v>5.8797253337209539E-2</v>
      </c>
      <c r="AS99">
        <v>0.138496180452748</v>
      </c>
      <c r="AT99">
        <v>2.822688434808206E-2</v>
      </c>
      <c r="AU99">
        <v>7.1287502411011894E-2</v>
      </c>
      <c r="AV99">
        <v>1.2819243347405491E-2</v>
      </c>
      <c r="AW99">
        <v>2.3721045508155889E-2</v>
      </c>
      <c r="AX99">
        <v>0.39733328327740491</v>
      </c>
      <c r="AY99">
        <v>8.3972662218129629E-2</v>
      </c>
      <c r="AZ99">
        <v>5.8132675837260117E-2</v>
      </c>
      <c r="BA99">
        <v>1.931080008699795E-2</v>
      </c>
      <c r="BD99" t="s">
        <v>318</v>
      </c>
      <c r="BE99">
        <v>0.15252438638556509</v>
      </c>
      <c r="BF99">
        <v>1204</v>
      </c>
      <c r="BG99">
        <v>59912.777629038646</v>
      </c>
      <c r="BH99">
        <v>55.501536726941602</v>
      </c>
      <c r="BI99">
        <v>138.09717385976461</v>
      </c>
      <c r="BJ99">
        <v>1.59952769686344</v>
      </c>
      <c r="BK99">
        <v>55.501536726941588</v>
      </c>
    </row>
    <row r="100" spans="1:63" x14ac:dyDescent="0.2">
      <c r="A100">
        <v>98</v>
      </c>
      <c r="B100" t="s">
        <v>69</v>
      </c>
      <c r="C100" t="s">
        <v>91</v>
      </c>
      <c r="D100" t="s">
        <v>92</v>
      </c>
      <c r="E100">
        <v>-155.28360000000001</v>
      </c>
      <c r="F100">
        <v>19.4285</v>
      </c>
      <c r="G100" t="s">
        <v>93</v>
      </c>
      <c r="H100" t="s">
        <v>260</v>
      </c>
      <c r="I100" t="s">
        <v>319</v>
      </c>
      <c r="J100" t="s">
        <v>68</v>
      </c>
      <c r="K100">
        <v>7.6261784859375004</v>
      </c>
      <c r="L100">
        <v>6.1123449210937508</v>
      </c>
      <c r="M100">
        <v>146.44167636364239</v>
      </c>
      <c r="N100">
        <v>1341.2615989911969</v>
      </c>
      <c r="Q100">
        <v>11.997999999999999</v>
      </c>
      <c r="R100">
        <v>1325.0039999999999</v>
      </c>
      <c r="S100">
        <v>50</v>
      </c>
      <c r="T100">
        <v>102.94347094732341</v>
      </c>
      <c r="U100">
        <v>4.7367737382471627E-3</v>
      </c>
      <c r="V100">
        <v>7.6559724026544984E-2</v>
      </c>
      <c r="W100">
        <v>4.2419671557639513E-3</v>
      </c>
      <c r="X100">
        <v>0</v>
      </c>
      <c r="Y100">
        <v>0.12286053586733379</v>
      </c>
      <c r="Z100">
        <v>0.25911849301645717</v>
      </c>
      <c r="AA100">
        <v>2.8354108744539291E-2</v>
      </c>
      <c r="AB100">
        <v>1.125824765126076</v>
      </c>
      <c r="AC100">
        <v>0.1196367052955318</v>
      </c>
      <c r="AD100">
        <v>1224.111391455303</v>
      </c>
      <c r="AE100">
        <v>100</v>
      </c>
      <c r="AG100">
        <v>2.1005484848484852</v>
      </c>
      <c r="AH100">
        <v>12.543751515151509</v>
      </c>
      <c r="AJ100">
        <v>10.35766363636364</v>
      </c>
      <c r="AK100">
        <v>0.36914545454545461</v>
      </c>
      <c r="AL100">
        <v>2.199157575757575</v>
      </c>
      <c r="AM100">
        <v>49.88770303030303</v>
      </c>
      <c r="AN100">
        <v>8.5799181818181811</v>
      </c>
      <c r="AP100">
        <v>1.6854545454545459E-2</v>
      </c>
      <c r="AQ100">
        <v>97.165912121212131</v>
      </c>
      <c r="AR100">
        <v>0.12875285220435931</v>
      </c>
      <c r="AS100">
        <v>0.27438160598108169</v>
      </c>
      <c r="AU100">
        <v>0.23223845883350949</v>
      </c>
      <c r="AV100">
        <v>3.2777460728649822E-2</v>
      </c>
      <c r="AW100">
        <v>6.9021124620940399E-2</v>
      </c>
      <c r="AX100">
        <v>0.52796007335122563</v>
      </c>
      <c r="AY100">
        <v>0.70241800520351916</v>
      </c>
      <c r="BA100">
        <v>4.4618585609790254E-3</v>
      </c>
      <c r="BB100">
        <v>33</v>
      </c>
      <c r="BC100" t="s">
        <v>86</v>
      </c>
    </row>
    <row r="101" spans="1:63" x14ac:dyDescent="0.2">
      <c r="A101">
        <v>99</v>
      </c>
      <c r="B101" t="s">
        <v>69</v>
      </c>
      <c r="C101" t="s">
        <v>143</v>
      </c>
      <c r="D101" t="s">
        <v>144</v>
      </c>
      <c r="E101">
        <v>-155.22516669999999</v>
      </c>
      <c r="F101">
        <v>19.371883329999999</v>
      </c>
      <c r="G101" t="s">
        <v>145</v>
      </c>
      <c r="H101" t="s">
        <v>273</v>
      </c>
      <c r="I101" t="s">
        <v>320</v>
      </c>
      <c r="J101" t="s">
        <v>68</v>
      </c>
      <c r="K101">
        <v>8.6770110906249993</v>
      </c>
      <c r="L101">
        <v>8.1007442999999988</v>
      </c>
      <c r="M101">
        <v>220.82332715494729</v>
      </c>
      <c r="N101">
        <v>2469.9465116997758</v>
      </c>
      <c r="Q101">
        <v>10.051</v>
      </c>
      <c r="R101">
        <v>1324.9639999999999</v>
      </c>
      <c r="S101">
        <v>100</v>
      </c>
      <c r="T101">
        <v>102.94386261081939</v>
      </c>
      <c r="U101">
        <v>2.9388278634571541E-2</v>
      </c>
      <c r="V101">
        <v>7.6714916826205126E-2</v>
      </c>
      <c r="W101">
        <v>1.2250412084920221E-2</v>
      </c>
      <c r="X101">
        <v>0</v>
      </c>
      <c r="Y101">
        <v>0.12173994238423209</v>
      </c>
      <c r="Z101">
        <v>0.26207524849277469</v>
      </c>
      <c r="AA101">
        <v>4.8845249292790369E-2</v>
      </c>
      <c r="AB101">
        <v>1.1383109117087471</v>
      </c>
      <c r="AC101">
        <v>0.20576517429237651</v>
      </c>
      <c r="AD101">
        <v>1239.361203480009</v>
      </c>
      <c r="AE101">
        <v>50</v>
      </c>
      <c r="AF101">
        <v>85.439421931851385</v>
      </c>
      <c r="AG101">
        <v>2.1961249999999999</v>
      </c>
      <c r="AH101">
        <v>13.214425</v>
      </c>
      <c r="AI101">
        <v>0.23326250000000001</v>
      </c>
      <c r="AJ101">
        <v>10.8680875</v>
      </c>
      <c r="AK101">
        <v>0.46184999999999998</v>
      </c>
      <c r="AL101">
        <v>2.5506250000000001</v>
      </c>
      <c r="AM101">
        <v>49.975887499999999</v>
      </c>
      <c r="AN101">
        <v>7.4385374999999998</v>
      </c>
      <c r="AP101">
        <v>0.2354</v>
      </c>
      <c r="AQ101">
        <v>98.48666249999998</v>
      </c>
      <c r="AR101">
        <v>5.6378814410075299E-2</v>
      </c>
      <c r="AS101">
        <v>0.24941022862516499</v>
      </c>
      <c r="AT101">
        <v>1.4003870638403601E-2</v>
      </c>
      <c r="AU101">
        <v>0.27584699401505702</v>
      </c>
      <c r="AV101">
        <v>3.1668731762237799E-2</v>
      </c>
      <c r="AW101">
        <v>4.2427543277585897E-2</v>
      </c>
      <c r="AX101">
        <v>0.67605985245919198</v>
      </c>
      <c r="AY101">
        <v>0.10614118545597701</v>
      </c>
      <c r="BA101">
        <v>4.3851209463691802E-2</v>
      </c>
      <c r="BE101">
        <v>4.7669582437716643E-2</v>
      </c>
      <c r="BF101">
        <v>2303</v>
      </c>
      <c r="BG101">
        <v>147609.85934366379</v>
      </c>
      <c r="BH101">
        <v>0</v>
      </c>
      <c r="BI101">
        <v>216.76179904975641</v>
      </c>
      <c r="BJ101">
        <v>0</v>
      </c>
      <c r="BK101">
        <v>0</v>
      </c>
    </row>
    <row r="102" spans="1:63" x14ac:dyDescent="0.2">
      <c r="A102">
        <v>100</v>
      </c>
      <c r="B102" t="s">
        <v>69</v>
      </c>
      <c r="C102" t="s">
        <v>321</v>
      </c>
      <c r="D102" t="s">
        <v>322</v>
      </c>
      <c r="E102">
        <v>-155.27718329999999</v>
      </c>
      <c r="F102">
        <v>19.40966667</v>
      </c>
      <c r="G102" t="s">
        <v>323</v>
      </c>
      <c r="H102" t="s">
        <v>324</v>
      </c>
      <c r="I102" t="s">
        <v>325</v>
      </c>
      <c r="J102" t="s">
        <v>68</v>
      </c>
      <c r="K102">
        <v>15.4533181015625</v>
      </c>
      <c r="L102">
        <v>10.14063343046875</v>
      </c>
      <c r="M102">
        <v>492.30778230334641</v>
      </c>
      <c r="N102">
        <v>8400.0676794090905</v>
      </c>
      <c r="O102" t="s">
        <v>326</v>
      </c>
      <c r="Q102">
        <v>10.057</v>
      </c>
      <c r="R102">
        <v>1324.9639999999999</v>
      </c>
      <c r="S102">
        <v>50</v>
      </c>
      <c r="T102">
        <v>102.9443242453269</v>
      </c>
      <c r="U102">
        <v>6.4563306253639643E-3</v>
      </c>
      <c r="V102">
        <v>7.6897834949498645E-2</v>
      </c>
      <c r="W102">
        <v>4.5841866298594889E-3</v>
      </c>
      <c r="X102">
        <v>0</v>
      </c>
      <c r="Y102">
        <v>0.1246951340618649</v>
      </c>
      <c r="Z102">
        <v>0.25435617483486</v>
      </c>
      <c r="AA102">
        <v>2.640768224325437E-2</v>
      </c>
      <c r="AB102">
        <v>1.105697409101136</v>
      </c>
      <c r="AC102">
        <v>0.11152421771885331</v>
      </c>
      <c r="AD102">
        <v>1188.001796421624</v>
      </c>
      <c r="AE102">
        <v>50</v>
      </c>
      <c r="AF102">
        <v>81.991813098819151</v>
      </c>
      <c r="AG102">
        <v>2.3548666666666702</v>
      </c>
      <c r="AH102">
        <v>13.693199999999999</v>
      </c>
      <c r="AI102">
        <v>0.31578888888888901</v>
      </c>
      <c r="AJ102">
        <v>10.647211111111099</v>
      </c>
      <c r="AK102">
        <v>0.57640000000000002</v>
      </c>
      <c r="AL102">
        <v>2.9864222222222199</v>
      </c>
      <c r="AM102">
        <v>50.176744444444402</v>
      </c>
      <c r="AN102">
        <v>6.02064444444445</v>
      </c>
      <c r="AP102">
        <v>0.192211111111111</v>
      </c>
      <c r="AQ102">
        <v>98.596999999999909</v>
      </c>
      <c r="AR102">
        <v>0.13013498760902101</v>
      </c>
      <c r="AS102">
        <v>0.18486291542653999</v>
      </c>
      <c r="AT102">
        <v>3.2683881518435202E-2</v>
      </c>
      <c r="AU102">
        <v>0.25932300054393698</v>
      </c>
      <c r="AV102">
        <v>5.4947019937390602E-2</v>
      </c>
      <c r="AW102">
        <v>8.2598785974398195E-2</v>
      </c>
      <c r="AX102">
        <v>1.0616485472027799</v>
      </c>
      <c r="AY102">
        <v>0.12895273466575999</v>
      </c>
      <c r="BA102">
        <v>3.7379287193726803E-2</v>
      </c>
      <c r="BE102">
        <v>8.6883593079223873E-2</v>
      </c>
      <c r="BF102">
        <v>11086</v>
      </c>
      <c r="BG102">
        <v>178116.17961338701</v>
      </c>
      <c r="BH102">
        <v>191.49012603043391</v>
      </c>
      <c r="BI102">
        <v>238.10951442609101</v>
      </c>
      <c r="BJ102">
        <v>1.8186911264968459</v>
      </c>
      <c r="BK102">
        <v>191.49012603043391</v>
      </c>
    </row>
    <row r="103" spans="1:63" x14ac:dyDescent="0.2">
      <c r="A103">
        <v>101</v>
      </c>
      <c r="B103" t="s">
        <v>69</v>
      </c>
      <c r="C103" t="s">
        <v>169</v>
      </c>
      <c r="D103" t="s">
        <v>64</v>
      </c>
      <c r="E103">
        <v>-155.29196300000001</v>
      </c>
      <c r="F103">
        <v>19.398634000000001</v>
      </c>
      <c r="G103" t="s">
        <v>170</v>
      </c>
      <c r="H103" t="s">
        <v>250</v>
      </c>
      <c r="I103" t="s">
        <v>327</v>
      </c>
      <c r="J103" t="s">
        <v>68</v>
      </c>
      <c r="K103">
        <v>8.8696036828125013</v>
      </c>
      <c r="L103">
        <v>7.7071905781250001</v>
      </c>
      <c r="M103">
        <v>214.75841280155751</v>
      </c>
      <c r="N103">
        <v>2373.337349877937</v>
      </c>
      <c r="Q103">
        <v>10.098000000000001</v>
      </c>
      <c r="R103">
        <v>1324.7670000000001</v>
      </c>
      <c r="S103">
        <v>50</v>
      </c>
      <c r="T103">
        <v>102.9450170378102</v>
      </c>
      <c r="U103">
        <v>9.5108940842132984E-3</v>
      </c>
      <c r="V103">
        <v>7.7172347142187903E-2</v>
      </c>
      <c r="W103">
        <v>5.3545566148057366E-3</v>
      </c>
      <c r="X103">
        <v>11.494338206094429</v>
      </c>
      <c r="Y103">
        <v>0.1178462151021632</v>
      </c>
      <c r="Z103">
        <v>0.2726098822241903</v>
      </c>
      <c r="AA103">
        <v>2.8870151425031718E-2</v>
      </c>
      <c r="AB103">
        <v>1.182734383917146</v>
      </c>
      <c r="AC103">
        <v>0.1214816351175745</v>
      </c>
      <c r="AD103">
        <v>1295.380849753416</v>
      </c>
      <c r="AE103">
        <v>50</v>
      </c>
      <c r="AF103">
        <v>88.083360037347148</v>
      </c>
      <c r="AG103">
        <v>2.5390516666666669</v>
      </c>
      <c r="AH103">
        <v>13.89052597266207</v>
      </c>
      <c r="AI103">
        <v>0.24399675000000001</v>
      </c>
      <c r="AJ103">
        <v>11.205616666666669</v>
      </c>
      <c r="AK103">
        <v>0.47515841666666669</v>
      </c>
      <c r="AL103">
        <v>2.6323025000000002</v>
      </c>
      <c r="AM103">
        <v>50.778866165683027</v>
      </c>
      <c r="AN103">
        <v>6.7552275000000002</v>
      </c>
      <c r="AP103">
        <v>0.17074191666666669</v>
      </c>
      <c r="AR103">
        <v>5.5209421763999247E-2</v>
      </c>
      <c r="AS103">
        <v>0.23260322971847319</v>
      </c>
      <c r="AT103">
        <v>2.215836573857705E-2</v>
      </c>
      <c r="AU103">
        <v>0.13946342520423419</v>
      </c>
      <c r="AV103">
        <v>1.8188943372071519E-2</v>
      </c>
      <c r="AW103">
        <v>3.4278244127355022E-2</v>
      </c>
      <c r="AX103">
        <v>0.34681065155483992</v>
      </c>
      <c r="AY103">
        <v>0.48865100303376952</v>
      </c>
      <c r="BA103">
        <v>2.081601264087701E-2</v>
      </c>
      <c r="BE103">
        <v>0.12848097135898071</v>
      </c>
      <c r="BF103">
        <v>15894</v>
      </c>
      <c r="BG103">
        <v>255238.43395282229</v>
      </c>
      <c r="BH103">
        <v>204.38490207079829</v>
      </c>
      <c r="BI103">
        <v>285.03493972011898</v>
      </c>
      <c r="BJ103">
        <v>1.621183619405115</v>
      </c>
      <c r="BK103">
        <v>204.38490207079829</v>
      </c>
    </row>
    <row r="104" spans="1:63" x14ac:dyDescent="0.2">
      <c r="A104">
        <v>102</v>
      </c>
      <c r="B104" t="s">
        <v>69</v>
      </c>
      <c r="C104" t="s">
        <v>236</v>
      </c>
      <c r="D104" t="s">
        <v>64</v>
      </c>
      <c r="E104">
        <v>-155.292979</v>
      </c>
      <c r="F104">
        <v>19.400748</v>
      </c>
      <c r="G104" t="s">
        <v>237</v>
      </c>
      <c r="H104" t="s">
        <v>328</v>
      </c>
      <c r="I104" t="s">
        <v>329</v>
      </c>
      <c r="J104" t="s">
        <v>68</v>
      </c>
      <c r="K104">
        <v>8.0117123593750001</v>
      </c>
      <c r="L104">
        <v>7.6806320945312514</v>
      </c>
      <c r="M104">
        <v>193.317951312509</v>
      </c>
      <c r="N104">
        <v>2022.407920746246</v>
      </c>
      <c r="Q104">
        <v>10.034000000000001</v>
      </c>
      <c r="R104">
        <v>1324.9639999999999</v>
      </c>
      <c r="S104">
        <v>50</v>
      </c>
      <c r="T104">
        <v>102.94506568727969</v>
      </c>
      <c r="U104">
        <v>1.2226651225676181E-2</v>
      </c>
      <c r="V104">
        <v>7.7191624014936622E-2</v>
      </c>
      <c r="W104">
        <v>6.159536337877536E-3</v>
      </c>
      <c r="X104">
        <v>5.8299281708071371</v>
      </c>
      <c r="Y104">
        <v>0.124054538753283</v>
      </c>
      <c r="Z104">
        <v>0.25601618524383651</v>
      </c>
      <c r="AA104">
        <v>2.879189719438989E-2</v>
      </c>
      <c r="AB104">
        <v>1.1127155483039739</v>
      </c>
      <c r="AC104">
        <v>0.1216250044374125</v>
      </c>
      <c r="AD104">
        <v>1192.535240462124</v>
      </c>
      <c r="AE104">
        <v>50</v>
      </c>
      <c r="AF104">
        <v>82.366080835448258</v>
      </c>
      <c r="AG104">
        <v>2.0274999999999999</v>
      </c>
      <c r="AH104">
        <v>12.7525</v>
      </c>
      <c r="AI104">
        <v>0.17249999999999999</v>
      </c>
      <c r="AJ104">
        <v>11.092499999999999</v>
      </c>
      <c r="AK104">
        <v>0.51750000000000007</v>
      </c>
      <c r="AL104">
        <v>2.5150000000000001</v>
      </c>
      <c r="AM104">
        <v>50.63</v>
      </c>
      <c r="AN104">
        <v>7.415</v>
      </c>
      <c r="AP104">
        <v>1685.75</v>
      </c>
      <c r="AR104">
        <v>0.17231270024773751</v>
      </c>
      <c r="AS104">
        <v>0.13450526631573459</v>
      </c>
      <c r="AT104">
        <v>4.9999999999999836E-3</v>
      </c>
      <c r="AU104">
        <v>0.29227555491350982</v>
      </c>
      <c r="AV104">
        <v>2.061552812808835E-2</v>
      </c>
      <c r="AW104">
        <v>6.2449979983983737E-2</v>
      </c>
      <c r="AX104">
        <v>0.21556128285632961</v>
      </c>
      <c r="AY104">
        <v>0.39770173078158311</v>
      </c>
      <c r="BA104">
        <v>51.951098801340748</v>
      </c>
      <c r="BE104">
        <v>9.8671190923331931E-2</v>
      </c>
      <c r="BF104">
        <v>3984</v>
      </c>
      <c r="BG104">
        <v>101706.6923903096</v>
      </c>
      <c r="BH104">
        <v>10.04091629284903</v>
      </c>
      <c r="BI104">
        <v>179.9284459969831</v>
      </c>
      <c r="BJ104">
        <v>0.1590793038066193</v>
      </c>
      <c r="BK104">
        <v>10.04091629284903</v>
      </c>
    </row>
    <row r="105" spans="1:63" x14ac:dyDescent="0.2">
      <c r="A105">
        <v>103</v>
      </c>
      <c r="B105" t="s">
        <v>69</v>
      </c>
      <c r="C105" t="s">
        <v>236</v>
      </c>
      <c r="D105" t="s">
        <v>64</v>
      </c>
      <c r="E105">
        <v>-155.292979</v>
      </c>
      <c r="F105">
        <v>19.400748</v>
      </c>
      <c r="G105" t="s">
        <v>237</v>
      </c>
      <c r="H105" t="s">
        <v>330</v>
      </c>
      <c r="I105" t="s">
        <v>331</v>
      </c>
      <c r="J105" t="s">
        <v>68</v>
      </c>
      <c r="K105">
        <v>6.2390352804687499</v>
      </c>
      <c r="L105">
        <v>5.9935581804687503</v>
      </c>
      <c r="M105">
        <v>117.47678148424041</v>
      </c>
      <c r="N105">
        <v>958.03047266406872</v>
      </c>
      <c r="Q105">
        <v>10.029</v>
      </c>
      <c r="R105">
        <v>1324.9639999999999</v>
      </c>
      <c r="S105">
        <v>50</v>
      </c>
      <c r="T105">
        <v>102.94542198918489</v>
      </c>
      <c r="U105">
        <v>3.9646232355535077E-3</v>
      </c>
      <c r="V105">
        <v>7.7332805132783733E-2</v>
      </c>
      <c r="W105">
        <v>4.1153558460265078E-3</v>
      </c>
      <c r="X105">
        <v>13.068674747221779</v>
      </c>
      <c r="Y105">
        <v>0.1236058575932303</v>
      </c>
      <c r="Z105">
        <v>0.25718389490242161</v>
      </c>
      <c r="AA105">
        <v>2.4404067011320609E-2</v>
      </c>
      <c r="AB105">
        <v>1.117650873790095</v>
      </c>
      <c r="AC105">
        <v>0.1030571108283168</v>
      </c>
      <c r="AD105">
        <v>1196.9716907051541</v>
      </c>
      <c r="AE105">
        <v>50</v>
      </c>
      <c r="AF105">
        <v>82.714746094341592</v>
      </c>
      <c r="AG105">
        <v>2.0274999999999999</v>
      </c>
      <c r="AH105">
        <v>12.7525</v>
      </c>
      <c r="AI105">
        <v>0.17249999999999999</v>
      </c>
      <c r="AJ105">
        <v>11.092499999999999</v>
      </c>
      <c r="AK105">
        <v>0.51750000000000007</v>
      </c>
      <c r="AL105">
        <v>2.5150000000000001</v>
      </c>
      <c r="AM105">
        <v>50.63</v>
      </c>
      <c r="AN105">
        <v>7.415</v>
      </c>
      <c r="AP105">
        <v>1685.75</v>
      </c>
      <c r="AR105">
        <v>0.17231270024773751</v>
      </c>
      <c r="AS105">
        <v>0.13450526631573459</v>
      </c>
      <c r="AT105">
        <v>4.9999999999999836E-3</v>
      </c>
      <c r="AU105">
        <v>0.29227555491350982</v>
      </c>
      <c r="AV105">
        <v>2.061552812808835E-2</v>
      </c>
      <c r="AW105">
        <v>6.2449979983983737E-2</v>
      </c>
      <c r="AX105">
        <v>0.21556128285632961</v>
      </c>
      <c r="AY105">
        <v>0.39770173078158311</v>
      </c>
      <c r="BA105">
        <v>51.951098801340748</v>
      </c>
      <c r="BE105">
        <v>6.9298234779495621E-2</v>
      </c>
      <c r="BF105">
        <v>1338</v>
      </c>
      <c r="BG105">
        <v>33711.31938261661</v>
      </c>
      <c r="BH105">
        <v>20.550976809628661</v>
      </c>
      <c r="BI105">
        <v>103.5888325824078</v>
      </c>
      <c r="BJ105">
        <v>0.56182933633030985</v>
      </c>
      <c r="BK105">
        <v>20.550976809628661</v>
      </c>
    </row>
    <row r="106" spans="1:63" x14ac:dyDescent="0.2">
      <c r="A106">
        <v>104</v>
      </c>
      <c r="B106" t="s">
        <v>69</v>
      </c>
      <c r="C106" t="s">
        <v>321</v>
      </c>
      <c r="D106" t="s">
        <v>322</v>
      </c>
      <c r="E106">
        <v>-155.27718329999999</v>
      </c>
      <c r="F106">
        <v>19.40966667</v>
      </c>
      <c r="G106" t="s">
        <v>323</v>
      </c>
      <c r="H106" t="s">
        <v>332</v>
      </c>
      <c r="I106" t="s">
        <v>333</v>
      </c>
      <c r="J106" t="s">
        <v>68</v>
      </c>
      <c r="K106">
        <v>8.1064395546875012</v>
      </c>
      <c r="L106">
        <v>6.9745367429687501</v>
      </c>
      <c r="M106">
        <v>177.62144056115821</v>
      </c>
      <c r="N106">
        <v>1785.80315670559</v>
      </c>
      <c r="Q106">
        <v>9.9309999999999992</v>
      </c>
      <c r="R106">
        <v>1324.9639999999999</v>
      </c>
      <c r="S106">
        <v>50</v>
      </c>
      <c r="T106">
        <v>102.94690671558951</v>
      </c>
      <c r="U106">
        <v>2.3870479483791791E-2</v>
      </c>
      <c r="V106">
        <v>7.7921113335719383E-2</v>
      </c>
      <c r="W106">
        <v>1.0194513842951509E-2</v>
      </c>
      <c r="X106">
        <v>0</v>
      </c>
      <c r="Y106">
        <v>0.117495056300813</v>
      </c>
      <c r="Z106">
        <v>0.27359245829682571</v>
      </c>
      <c r="AA106">
        <v>4.5043538922291307E-2</v>
      </c>
      <c r="AB106">
        <v>1.186872764974626</v>
      </c>
      <c r="AC106">
        <v>0.18936509678060179</v>
      </c>
      <c r="AD106">
        <v>1285.947514049293</v>
      </c>
      <c r="AE106">
        <v>50</v>
      </c>
      <c r="AF106">
        <v>87.686880778435196</v>
      </c>
      <c r="AG106">
        <v>2.3548666666666702</v>
      </c>
      <c r="AH106">
        <v>13.693199999999999</v>
      </c>
      <c r="AI106">
        <v>0.31578888888888901</v>
      </c>
      <c r="AJ106">
        <v>10.647211111111099</v>
      </c>
      <c r="AK106">
        <v>0.57640000000000002</v>
      </c>
      <c r="AL106">
        <v>2.9864222222222199</v>
      </c>
      <c r="AM106">
        <v>50.176744444444402</v>
      </c>
      <c r="AN106">
        <v>6.02064444444445</v>
      </c>
      <c r="AP106">
        <v>0.192211111111111</v>
      </c>
      <c r="AQ106">
        <v>98.596999999999909</v>
      </c>
      <c r="AR106">
        <v>0.13013498760902101</v>
      </c>
      <c r="AS106">
        <v>0.18486291542653999</v>
      </c>
      <c r="AT106">
        <v>3.2683881518435202E-2</v>
      </c>
      <c r="AU106">
        <v>0.25932300054393698</v>
      </c>
      <c r="AV106">
        <v>5.4947019937390602E-2</v>
      </c>
      <c r="AW106">
        <v>8.2598785974398195E-2</v>
      </c>
      <c r="AX106">
        <v>1.0616485472027799</v>
      </c>
      <c r="AY106">
        <v>0.12895273466575999</v>
      </c>
      <c r="BA106">
        <v>3.7379287193726803E-2</v>
      </c>
      <c r="BE106">
        <v>0.6310932165186468</v>
      </c>
      <c r="BF106">
        <v>8240</v>
      </c>
      <c r="BG106">
        <v>4899426.4649157096</v>
      </c>
      <c r="BH106">
        <v>11625.75525154195</v>
      </c>
      <c r="BI106">
        <v>1248.8137893269641</v>
      </c>
      <c r="BJ106">
        <v>128.07299627497201</v>
      </c>
      <c r="BK106">
        <v>11625.75525154197</v>
      </c>
    </row>
    <row r="107" spans="1:63" x14ac:dyDescent="0.2">
      <c r="A107">
        <v>105</v>
      </c>
      <c r="B107" t="s">
        <v>69</v>
      </c>
      <c r="C107" t="s">
        <v>76</v>
      </c>
      <c r="D107" t="s">
        <v>71</v>
      </c>
      <c r="E107">
        <v>-155.29812000000001</v>
      </c>
      <c r="F107">
        <v>19.375624999999999</v>
      </c>
      <c r="G107" t="s">
        <v>77</v>
      </c>
      <c r="H107" t="s">
        <v>334</v>
      </c>
      <c r="I107" t="s">
        <v>335</v>
      </c>
      <c r="J107" t="s">
        <v>68</v>
      </c>
      <c r="K107">
        <v>4.9836384257812503</v>
      </c>
      <c r="L107">
        <v>4.9700395523437502</v>
      </c>
      <c r="M107">
        <v>77.813731730630309</v>
      </c>
      <c r="N107">
        <v>516.35521861526763</v>
      </c>
      <c r="Q107">
        <v>11.996</v>
      </c>
      <c r="R107">
        <v>1324.9639999999999</v>
      </c>
      <c r="S107">
        <v>50</v>
      </c>
      <c r="T107">
        <v>102.9472217378561</v>
      </c>
      <c r="U107">
        <v>3.4056130711392E-3</v>
      </c>
      <c r="V107">
        <v>7.8045937803715049E-2</v>
      </c>
      <c r="W107">
        <v>4.0356537385725167E-3</v>
      </c>
      <c r="X107">
        <v>0</v>
      </c>
      <c r="Y107">
        <v>0.11696104827085189</v>
      </c>
      <c r="Z107">
        <v>0.27507699753423531</v>
      </c>
      <c r="AA107">
        <v>2.4464582029524461E-2</v>
      </c>
      <c r="AB107">
        <v>1.193123669259718</v>
      </c>
      <c r="AC107">
        <v>0.10280714068105951</v>
      </c>
      <c r="AD107">
        <v>1292.496554423655</v>
      </c>
      <c r="AE107">
        <v>50</v>
      </c>
      <c r="AF107">
        <v>87.963824760808848</v>
      </c>
      <c r="AG107">
        <v>2.5039199999999999</v>
      </c>
      <c r="AH107">
        <v>14.096819999999999</v>
      </c>
      <c r="AI107">
        <v>0.27322000000000002</v>
      </c>
      <c r="AJ107">
        <v>10.95044</v>
      </c>
      <c r="AK107">
        <v>0.52094000000000007</v>
      </c>
      <c r="AL107">
        <v>2.9191400000000001</v>
      </c>
      <c r="AM107">
        <v>50.91704</v>
      </c>
      <c r="AN107">
        <v>6.4346599999999992</v>
      </c>
      <c r="AO107">
        <v>10.86684</v>
      </c>
      <c r="AP107">
        <v>0.19492000000000001</v>
      </c>
      <c r="AQ107">
        <v>99.70778</v>
      </c>
      <c r="AR107">
        <v>5.8797253337209539E-2</v>
      </c>
      <c r="AS107">
        <v>0.138496180452748</v>
      </c>
      <c r="AT107">
        <v>2.822688434808206E-2</v>
      </c>
      <c r="AU107">
        <v>7.1287502411011894E-2</v>
      </c>
      <c r="AV107">
        <v>1.2819243347405491E-2</v>
      </c>
      <c r="AW107">
        <v>2.3721045508155889E-2</v>
      </c>
      <c r="AX107">
        <v>0.39733328327740491</v>
      </c>
      <c r="AY107">
        <v>8.3972662218129629E-2</v>
      </c>
      <c r="AZ107">
        <v>5.8132675837260117E-2</v>
      </c>
      <c r="BA107">
        <v>1.931080008699795E-2</v>
      </c>
      <c r="BD107" t="s">
        <v>336</v>
      </c>
      <c r="BE107">
        <v>0.23851457628095329</v>
      </c>
      <c r="BF107">
        <v>2209</v>
      </c>
      <c r="BG107">
        <v>109864.99052585151</v>
      </c>
      <c r="BH107">
        <v>231.39059549542489</v>
      </c>
      <c r="BI107">
        <v>187.00564865764619</v>
      </c>
      <c r="BJ107">
        <v>4.9232041594771241</v>
      </c>
      <c r="BK107">
        <v>231.3905954954248</v>
      </c>
    </row>
    <row r="108" spans="1:63" x14ac:dyDescent="0.2">
      <c r="A108">
        <v>106</v>
      </c>
      <c r="B108" t="s">
        <v>69</v>
      </c>
      <c r="C108" t="s">
        <v>81</v>
      </c>
      <c r="D108" t="s">
        <v>71</v>
      </c>
      <c r="E108">
        <v>-155.29106999999999</v>
      </c>
      <c r="F108">
        <v>19.383150000000001</v>
      </c>
      <c r="G108" t="s">
        <v>87</v>
      </c>
      <c r="H108" t="s">
        <v>194</v>
      </c>
      <c r="I108" t="s">
        <v>337</v>
      </c>
      <c r="J108" t="s">
        <v>90</v>
      </c>
      <c r="K108">
        <v>5.2525358078125004</v>
      </c>
      <c r="L108">
        <v>3.79786315390625</v>
      </c>
      <c r="M108">
        <v>62.66978524677733</v>
      </c>
      <c r="N108">
        <v>378.12437288571368</v>
      </c>
      <c r="O108" t="s">
        <v>338</v>
      </c>
      <c r="Q108">
        <v>12.02</v>
      </c>
      <c r="R108">
        <v>1325.0039999999999</v>
      </c>
      <c r="S108">
        <v>50</v>
      </c>
      <c r="T108">
        <v>102.948014015081</v>
      </c>
      <c r="U108">
        <v>1.8292264552699059E-2</v>
      </c>
      <c r="V108">
        <v>7.8359869844611296E-2</v>
      </c>
      <c r="W108">
        <v>8.1853363794984948E-3</v>
      </c>
      <c r="X108">
        <v>5.1377576722297924</v>
      </c>
      <c r="Y108">
        <v>0.1216349372611896</v>
      </c>
      <c r="Z108">
        <v>0.26238045624619288</v>
      </c>
      <c r="AA108">
        <v>3.3323714017839498E-2</v>
      </c>
      <c r="AB108">
        <v>1.13959933489947</v>
      </c>
      <c r="AC108">
        <v>0.14052173794368589</v>
      </c>
      <c r="AD108">
        <v>1208.809730548985</v>
      </c>
      <c r="AE108">
        <v>50</v>
      </c>
      <c r="AF108">
        <v>83.573369626758549</v>
      </c>
      <c r="AG108">
        <v>2.2102200000000001</v>
      </c>
      <c r="AH108">
        <v>12.516225</v>
      </c>
      <c r="AI108">
        <v>0.22873499999999999</v>
      </c>
      <c r="AJ108">
        <v>10.535360000000001</v>
      </c>
      <c r="AK108">
        <v>0.37534499999999998</v>
      </c>
      <c r="AL108">
        <v>2.4377900000000001</v>
      </c>
      <c r="AM108">
        <v>50.224780000000003</v>
      </c>
      <c r="AN108">
        <v>8.9844449999999991</v>
      </c>
      <c r="AP108">
        <v>0.178455</v>
      </c>
      <c r="AQ108">
        <v>99.610560000000007</v>
      </c>
      <c r="AR108">
        <v>1.7587090435884831E-2</v>
      </c>
      <c r="AS108">
        <v>0.12699126938494701</v>
      </c>
      <c r="AT108">
        <v>8.073250584491971E-3</v>
      </c>
      <c r="AU108">
        <v>6.9056800896073786E-2</v>
      </c>
      <c r="AV108">
        <v>2.248073063759274E-2</v>
      </c>
      <c r="AW108">
        <v>2.1205111412109991E-2</v>
      </c>
      <c r="AX108">
        <v>0.5052093298821787</v>
      </c>
      <c r="AY108">
        <v>0.13192220766421431</v>
      </c>
      <c r="BA108">
        <v>1.2962040734390541E-2</v>
      </c>
      <c r="BB108">
        <v>5</v>
      </c>
      <c r="BC108" t="s">
        <v>86</v>
      </c>
    </row>
    <row r="109" spans="1:63" x14ac:dyDescent="0.2">
      <c r="A109">
        <v>107</v>
      </c>
      <c r="B109" t="s">
        <v>69</v>
      </c>
      <c r="C109" t="s">
        <v>236</v>
      </c>
      <c r="D109" t="s">
        <v>64</v>
      </c>
      <c r="E109">
        <v>-155.292979</v>
      </c>
      <c r="F109">
        <v>19.400748</v>
      </c>
      <c r="G109" t="s">
        <v>237</v>
      </c>
      <c r="H109" t="s">
        <v>339</v>
      </c>
      <c r="I109" t="s">
        <v>340</v>
      </c>
      <c r="J109" t="s">
        <v>68</v>
      </c>
      <c r="K109">
        <v>4.9923556523437496</v>
      </c>
      <c r="L109">
        <v>3.29551844453125</v>
      </c>
      <c r="M109">
        <v>51.686739394764281</v>
      </c>
      <c r="N109">
        <v>285.58212572119697</v>
      </c>
      <c r="Q109">
        <v>10.192</v>
      </c>
      <c r="R109">
        <v>1324.9639999999999</v>
      </c>
      <c r="S109">
        <v>50</v>
      </c>
      <c r="T109">
        <v>102.9486501605503</v>
      </c>
      <c r="U109">
        <v>1.3533700892923019E-2</v>
      </c>
      <c r="V109">
        <v>7.8611936216375966E-2</v>
      </c>
      <c r="W109">
        <v>6.5742586657491324E-3</v>
      </c>
      <c r="X109">
        <v>7.2457780966062222</v>
      </c>
      <c r="Y109">
        <v>0.1226200540598094</v>
      </c>
      <c r="Z109">
        <v>0.25978299775851738</v>
      </c>
      <c r="AA109">
        <v>2.988009485268665E-2</v>
      </c>
      <c r="AB109">
        <v>1.1286315980143451</v>
      </c>
      <c r="AC109">
        <v>0.12614104371016779</v>
      </c>
      <c r="AD109">
        <v>1188.288181499234</v>
      </c>
      <c r="AE109">
        <v>50</v>
      </c>
      <c r="AF109">
        <v>82.016037263820337</v>
      </c>
      <c r="AG109">
        <v>2.0274999999999999</v>
      </c>
      <c r="AH109">
        <v>12.7525</v>
      </c>
      <c r="AI109">
        <v>0.17249999999999999</v>
      </c>
      <c r="AJ109">
        <v>11.092499999999999</v>
      </c>
      <c r="AK109">
        <v>0.51750000000000007</v>
      </c>
      <c r="AL109">
        <v>2.5150000000000001</v>
      </c>
      <c r="AM109">
        <v>50.63</v>
      </c>
      <c r="AN109">
        <v>7.415</v>
      </c>
      <c r="AP109">
        <v>1685.75</v>
      </c>
      <c r="AR109">
        <v>0.17231270024773751</v>
      </c>
      <c r="AS109">
        <v>0.13450526631573459</v>
      </c>
      <c r="AT109">
        <v>4.9999999999999836E-3</v>
      </c>
      <c r="AU109">
        <v>0.29227555491350982</v>
      </c>
      <c r="AV109">
        <v>2.061552812808835E-2</v>
      </c>
      <c r="AW109">
        <v>6.2449979983983737E-2</v>
      </c>
      <c r="AX109">
        <v>0.21556128285632961</v>
      </c>
      <c r="AY109">
        <v>0.39770173078158311</v>
      </c>
      <c r="BA109">
        <v>51.951098801340748</v>
      </c>
      <c r="BE109">
        <v>6.2263779105705089E-2</v>
      </c>
      <c r="BF109">
        <v>3213</v>
      </c>
      <c r="BG109">
        <v>51820.856424337428</v>
      </c>
      <c r="BH109">
        <v>10.3137064323417</v>
      </c>
      <c r="BI109">
        <v>128.43321575969901</v>
      </c>
      <c r="BJ109">
        <v>0.1819530763570833</v>
      </c>
      <c r="BK109">
        <v>10.3137064323417</v>
      </c>
    </row>
    <row r="110" spans="1:63" x14ac:dyDescent="0.2">
      <c r="A110">
        <v>108</v>
      </c>
      <c r="B110" t="s">
        <v>69</v>
      </c>
      <c r="C110" t="s">
        <v>143</v>
      </c>
      <c r="D110" t="s">
        <v>144</v>
      </c>
      <c r="E110">
        <v>-155.22516669999999</v>
      </c>
      <c r="F110">
        <v>19.371883329999999</v>
      </c>
      <c r="G110" t="s">
        <v>145</v>
      </c>
      <c r="H110" t="s">
        <v>273</v>
      </c>
      <c r="I110" t="s">
        <v>341</v>
      </c>
      <c r="J110" t="s">
        <v>68</v>
      </c>
      <c r="K110">
        <v>4.6469210210937497</v>
      </c>
      <c r="L110">
        <v>4.2650483828125001</v>
      </c>
      <c r="M110">
        <v>62.2643023240243</v>
      </c>
      <c r="N110">
        <v>369.93170484484892</v>
      </c>
      <c r="Q110">
        <v>5.9960000000000004</v>
      </c>
      <c r="R110">
        <v>1324.9639999999999</v>
      </c>
      <c r="S110">
        <v>50</v>
      </c>
      <c r="T110">
        <v>102.9497018899538</v>
      </c>
      <c r="U110">
        <v>7.0089006461694046E-3</v>
      </c>
      <c r="V110">
        <v>7.9028673625629153E-2</v>
      </c>
      <c r="W110">
        <v>4.7090219880284783E-3</v>
      </c>
      <c r="X110">
        <v>0</v>
      </c>
      <c r="Y110">
        <v>0.1189605095295658</v>
      </c>
      <c r="Z110">
        <v>0.2695846001368426</v>
      </c>
      <c r="AA110">
        <v>2.588661065864838E-2</v>
      </c>
      <c r="AB110">
        <v>1.1699872063665739</v>
      </c>
      <c r="AC110">
        <v>0.1089411940122669</v>
      </c>
      <c r="AD110">
        <v>1239.361203480009</v>
      </c>
      <c r="AE110">
        <v>50</v>
      </c>
      <c r="AF110">
        <v>85.439421931851385</v>
      </c>
      <c r="AG110">
        <v>2.1961249999999999</v>
      </c>
      <c r="AH110">
        <v>13.214425</v>
      </c>
      <c r="AI110">
        <v>0.23326250000000001</v>
      </c>
      <c r="AJ110">
        <v>10.8680875</v>
      </c>
      <c r="AK110">
        <v>0.46184999999999998</v>
      </c>
      <c r="AL110">
        <v>2.5506250000000001</v>
      </c>
      <c r="AM110">
        <v>49.975887499999999</v>
      </c>
      <c r="AN110">
        <v>7.4385374999999998</v>
      </c>
      <c r="AP110">
        <v>0.2354</v>
      </c>
      <c r="AQ110">
        <v>98.48666249999998</v>
      </c>
      <c r="AR110">
        <v>5.6378814410075299E-2</v>
      </c>
      <c r="AS110">
        <v>0.24941022862516499</v>
      </c>
      <c r="AT110">
        <v>1.4003870638403601E-2</v>
      </c>
      <c r="AU110">
        <v>0.27584699401505702</v>
      </c>
      <c r="AV110">
        <v>3.1668731762237799E-2</v>
      </c>
      <c r="AW110">
        <v>4.2427543277585897E-2</v>
      </c>
      <c r="AX110">
        <v>0.67605985245919198</v>
      </c>
      <c r="AY110">
        <v>0.10614118545597701</v>
      </c>
      <c r="BA110">
        <v>4.3851209463691802E-2</v>
      </c>
      <c r="BE110">
        <v>4.7669582437716643E-2</v>
      </c>
      <c r="BF110">
        <v>2303</v>
      </c>
      <c r="BG110">
        <v>147609.85934366379</v>
      </c>
      <c r="BH110">
        <v>0</v>
      </c>
      <c r="BI110">
        <v>216.76179904975641</v>
      </c>
      <c r="BJ110">
        <v>0</v>
      </c>
      <c r="BK110">
        <v>0</v>
      </c>
    </row>
    <row r="111" spans="1:63" x14ac:dyDescent="0.2">
      <c r="A111">
        <v>109</v>
      </c>
      <c r="B111" t="s">
        <v>69</v>
      </c>
      <c r="C111" t="s">
        <v>157</v>
      </c>
      <c r="D111" t="s">
        <v>64</v>
      </c>
      <c r="G111" t="s">
        <v>158</v>
      </c>
      <c r="H111" t="s">
        <v>342</v>
      </c>
      <c r="I111" t="s">
        <v>343</v>
      </c>
      <c r="J111" t="s">
        <v>68</v>
      </c>
      <c r="K111">
        <v>5.9016204976562507</v>
      </c>
      <c r="L111">
        <v>4.3987706382812499</v>
      </c>
      <c r="M111">
        <v>81.555352473029942</v>
      </c>
      <c r="N111">
        <v>560.03468646763736</v>
      </c>
      <c r="Q111">
        <v>10.119</v>
      </c>
      <c r="R111">
        <v>1324.9639999999999</v>
      </c>
      <c r="S111">
        <v>50</v>
      </c>
      <c r="T111">
        <v>102.9540908691245</v>
      </c>
      <c r="U111">
        <v>7.8299640617716146E-2</v>
      </c>
      <c r="V111">
        <v>8.0767763360000799E-2</v>
      </c>
      <c r="W111">
        <v>3.1257574197474602E-2</v>
      </c>
      <c r="X111">
        <v>0</v>
      </c>
      <c r="Y111">
        <v>0.12110314597238531</v>
      </c>
      <c r="Z111">
        <v>0.26383451597668173</v>
      </c>
      <c r="AA111">
        <v>0.1139978507800149</v>
      </c>
      <c r="AB111">
        <v>1.1457364508673109</v>
      </c>
      <c r="AC111">
        <v>0.47951813696817241</v>
      </c>
      <c r="AD111">
        <v>1172.3403815301051</v>
      </c>
      <c r="AE111">
        <v>100</v>
      </c>
      <c r="AG111">
        <v>2.4084062500000001</v>
      </c>
      <c r="AH111">
        <v>13.3720625</v>
      </c>
      <c r="AI111">
        <v>0.31026874999999998</v>
      </c>
      <c r="AJ111">
        <v>10.387225000000001</v>
      </c>
      <c r="AK111">
        <v>0.59164375000000002</v>
      </c>
      <c r="AL111">
        <v>3.0521875000000001</v>
      </c>
      <c r="AM111">
        <v>49.819099999999999</v>
      </c>
      <c r="AN111">
        <v>5.8739499999999998</v>
      </c>
      <c r="AP111">
        <v>0.19186249999999999</v>
      </c>
      <c r="AQ111">
        <v>97.820293750000005</v>
      </c>
      <c r="AR111">
        <v>8.7457962997469094E-2</v>
      </c>
      <c r="AS111">
        <v>0.20894986918716499</v>
      </c>
      <c r="AT111">
        <v>3.6791968666182201E-2</v>
      </c>
      <c r="AU111">
        <v>0.19989042831845</v>
      </c>
      <c r="AV111">
        <v>2.81971149528931E-2</v>
      </c>
      <c r="AW111">
        <v>5.5804024645778501E-2</v>
      </c>
      <c r="AX111">
        <v>0.88416756556661702</v>
      </c>
      <c r="AY111">
        <v>0.205613822492555</v>
      </c>
      <c r="BA111">
        <v>4.9243326112953303E-2</v>
      </c>
      <c r="BE111">
        <v>8.2535018845287675E-2</v>
      </c>
      <c r="BF111">
        <v>6872</v>
      </c>
      <c r="BG111">
        <v>174706.43406104899</v>
      </c>
      <c r="BH111">
        <v>105.0015335922</v>
      </c>
      <c r="BI111">
        <v>235.81939093625959</v>
      </c>
      <c r="BJ111">
        <v>1.266642531569748</v>
      </c>
      <c r="BK111">
        <v>105.0015335922</v>
      </c>
    </row>
    <row r="112" spans="1:63" x14ac:dyDescent="0.2">
      <c r="A112">
        <v>110</v>
      </c>
      <c r="B112" t="s">
        <v>69</v>
      </c>
      <c r="C112" t="s">
        <v>76</v>
      </c>
      <c r="D112" t="s">
        <v>71</v>
      </c>
      <c r="E112">
        <v>-155.29812000000001</v>
      </c>
      <c r="F112">
        <v>19.375624999999999</v>
      </c>
      <c r="G112" t="s">
        <v>77</v>
      </c>
      <c r="H112" t="s">
        <v>150</v>
      </c>
      <c r="I112" t="s">
        <v>344</v>
      </c>
      <c r="J112" t="s">
        <v>68</v>
      </c>
      <c r="K112">
        <v>9.2947718796874987</v>
      </c>
      <c r="L112">
        <v>9.0626611937499995</v>
      </c>
      <c r="M112">
        <v>264.63321459693998</v>
      </c>
      <c r="N112">
        <v>3238.6576839813001</v>
      </c>
      <c r="Q112">
        <v>11.896000000000001</v>
      </c>
      <c r="R112">
        <v>1324.9639999999999</v>
      </c>
      <c r="S112">
        <v>50</v>
      </c>
      <c r="T112">
        <v>102.95433537772131</v>
      </c>
      <c r="U112">
        <v>2.549992862507738E-2</v>
      </c>
      <c r="V112">
        <v>8.0864647481384111E-2</v>
      </c>
      <c r="W112">
        <v>1.079579598481465E-2</v>
      </c>
      <c r="X112">
        <v>0</v>
      </c>
      <c r="Y112">
        <v>0.1152206378638068</v>
      </c>
      <c r="Z112">
        <v>0.28001415449576939</v>
      </c>
      <c r="AA112">
        <v>4.4437379794615567E-2</v>
      </c>
      <c r="AB112">
        <v>1.213898325420234</v>
      </c>
      <c r="AC112">
        <v>0.1867201816022899</v>
      </c>
      <c r="AD112">
        <v>1265.708039305898</v>
      </c>
      <c r="AE112">
        <v>50</v>
      </c>
      <c r="AF112">
        <v>86.776821691827593</v>
      </c>
      <c r="AG112">
        <v>2.5039199999999999</v>
      </c>
      <c r="AH112">
        <v>14.096819999999999</v>
      </c>
      <c r="AI112">
        <v>0.27322000000000002</v>
      </c>
      <c r="AJ112">
        <v>10.95044</v>
      </c>
      <c r="AK112">
        <v>0.52094000000000007</v>
      </c>
      <c r="AL112">
        <v>2.9191400000000001</v>
      </c>
      <c r="AM112">
        <v>50.91704</v>
      </c>
      <c r="AN112">
        <v>6.4346599999999992</v>
      </c>
      <c r="AO112">
        <v>10.86684</v>
      </c>
      <c r="AP112">
        <v>0.19492000000000001</v>
      </c>
      <c r="AQ112">
        <v>99.70778</v>
      </c>
      <c r="AR112">
        <v>5.8797253337209539E-2</v>
      </c>
      <c r="AS112">
        <v>0.138496180452748</v>
      </c>
      <c r="AT112">
        <v>2.822688434808206E-2</v>
      </c>
      <c r="AU112">
        <v>7.1287502411011894E-2</v>
      </c>
      <c r="AV112">
        <v>1.2819243347405491E-2</v>
      </c>
      <c r="AW112">
        <v>2.3721045508155889E-2</v>
      </c>
      <c r="AX112">
        <v>0.39733328327740491</v>
      </c>
      <c r="AY112">
        <v>8.3972662218129629E-2</v>
      </c>
      <c r="AZ112">
        <v>5.8132675837260117E-2</v>
      </c>
      <c r="BA112">
        <v>1.931080008699795E-2</v>
      </c>
      <c r="BD112" t="s">
        <v>345</v>
      </c>
      <c r="BE112">
        <v>0.148538896248574</v>
      </c>
      <c r="BF112">
        <v>1926</v>
      </c>
      <c r="BG112">
        <v>160135.766902776</v>
      </c>
      <c r="BH112">
        <v>249.736549947155</v>
      </c>
      <c r="BI112">
        <v>225.77156095659299</v>
      </c>
      <c r="BJ112">
        <v>5.6905463669189</v>
      </c>
      <c r="BK112">
        <v>249.736549947155</v>
      </c>
    </row>
    <row r="113" spans="1:63" x14ac:dyDescent="0.2">
      <c r="A113">
        <v>111</v>
      </c>
      <c r="B113" t="s">
        <v>69</v>
      </c>
      <c r="C113" t="s">
        <v>321</v>
      </c>
      <c r="D113" t="s">
        <v>322</v>
      </c>
      <c r="E113">
        <v>-155.27718329999999</v>
      </c>
      <c r="F113">
        <v>19.40966667</v>
      </c>
      <c r="G113" t="s">
        <v>323</v>
      </c>
      <c r="H113" t="s">
        <v>346</v>
      </c>
      <c r="I113" t="s">
        <v>347</v>
      </c>
      <c r="J113" t="s">
        <v>68</v>
      </c>
      <c r="K113">
        <v>9.552685556250001</v>
      </c>
      <c r="L113">
        <v>8.6330181539062494</v>
      </c>
      <c r="M113">
        <v>259.08245833761919</v>
      </c>
      <c r="N113">
        <v>3141.064549217896</v>
      </c>
      <c r="Q113">
        <v>10.007</v>
      </c>
      <c r="R113">
        <v>1324.9639999999999</v>
      </c>
      <c r="S113">
        <v>50</v>
      </c>
      <c r="T113">
        <v>102.9545240781319</v>
      </c>
      <c r="U113">
        <v>5.7305607606964277E-3</v>
      </c>
      <c r="V113">
        <v>8.0939418159069021E-2</v>
      </c>
      <c r="W113">
        <v>4.4285719833843506E-3</v>
      </c>
      <c r="X113">
        <v>0</v>
      </c>
      <c r="Y113">
        <v>0.119867804160256</v>
      </c>
      <c r="Z113">
        <v>0.26715354186316048</v>
      </c>
      <c r="AA113">
        <v>2.5211650476615829E-2</v>
      </c>
      <c r="AB113">
        <v>1.1597379119800331</v>
      </c>
      <c r="AC113">
        <v>0.1062333755901511</v>
      </c>
      <c r="AD113">
        <v>1188.646483509528</v>
      </c>
      <c r="AE113">
        <v>50</v>
      </c>
      <c r="AF113">
        <v>82.04623022461665</v>
      </c>
      <c r="AG113">
        <v>2.3548666666666702</v>
      </c>
      <c r="AH113">
        <v>13.693199999999999</v>
      </c>
      <c r="AI113">
        <v>0.31578888888888901</v>
      </c>
      <c r="AJ113">
        <v>10.647211111111099</v>
      </c>
      <c r="AK113">
        <v>0.57640000000000002</v>
      </c>
      <c r="AL113">
        <v>2.9864222222222199</v>
      </c>
      <c r="AM113">
        <v>50.176744444444402</v>
      </c>
      <c r="AN113">
        <v>6.02064444444445</v>
      </c>
      <c r="AP113">
        <v>0.192211111111111</v>
      </c>
      <c r="AQ113">
        <v>98.596999999999909</v>
      </c>
      <c r="AR113">
        <v>0.13013498760902101</v>
      </c>
      <c r="AS113">
        <v>0.18486291542653999</v>
      </c>
      <c r="AT113">
        <v>3.2683881518435202E-2</v>
      </c>
      <c r="AU113">
        <v>0.25932300054393698</v>
      </c>
      <c r="AV113">
        <v>5.4947019937390602E-2</v>
      </c>
      <c r="AW113">
        <v>8.2598785974398195E-2</v>
      </c>
      <c r="AX113">
        <v>1.0616485472027799</v>
      </c>
      <c r="AY113">
        <v>0.12895273466575999</v>
      </c>
      <c r="BA113">
        <v>3.7379287193726803E-2</v>
      </c>
      <c r="BE113">
        <v>1.7316677593239</v>
      </c>
      <c r="BF113">
        <v>4231</v>
      </c>
      <c r="BG113">
        <v>234045.9470437167</v>
      </c>
      <c r="BH113">
        <v>842.23056009261506</v>
      </c>
      <c r="BI113">
        <v>272.94530361459408</v>
      </c>
      <c r="BJ113">
        <v>12.948202504073119</v>
      </c>
      <c r="BK113">
        <v>842.23056009261484</v>
      </c>
    </row>
    <row r="114" spans="1:63" x14ac:dyDescent="0.2">
      <c r="A114">
        <v>112</v>
      </c>
      <c r="B114" t="s">
        <v>69</v>
      </c>
      <c r="C114" t="s">
        <v>169</v>
      </c>
      <c r="D114" t="s">
        <v>64</v>
      </c>
      <c r="E114">
        <v>-155.29196300000001</v>
      </c>
      <c r="F114">
        <v>19.398634000000001</v>
      </c>
      <c r="G114" t="s">
        <v>170</v>
      </c>
      <c r="H114" t="s">
        <v>348</v>
      </c>
      <c r="I114" t="s">
        <v>349</v>
      </c>
      <c r="J114" t="s">
        <v>68</v>
      </c>
      <c r="K114">
        <v>4.7056170132812509</v>
      </c>
      <c r="L114">
        <v>3.8463309335937499</v>
      </c>
      <c r="M114">
        <v>56.860817289784769</v>
      </c>
      <c r="N114">
        <v>324.18049978600618</v>
      </c>
      <c r="Q114">
        <v>10.102</v>
      </c>
      <c r="R114">
        <v>1324.7670000000001</v>
      </c>
      <c r="S114">
        <v>50</v>
      </c>
      <c r="T114">
        <v>102.9547386280428</v>
      </c>
      <c r="U114">
        <v>7.253308626455836E-3</v>
      </c>
      <c r="V114">
        <v>8.1024431446451217E-2</v>
      </c>
      <c r="W114">
        <v>4.7661539520207552E-3</v>
      </c>
      <c r="X114">
        <v>8.9007936108249517</v>
      </c>
      <c r="Y114">
        <v>0.1185363665352288</v>
      </c>
      <c r="Z114">
        <v>0.27077610469574831</v>
      </c>
      <c r="AA114">
        <v>2.6850815443210271E-2</v>
      </c>
      <c r="AB114">
        <v>1.175008643209964</v>
      </c>
      <c r="AC114">
        <v>0.1130189759496369</v>
      </c>
      <c r="AD114">
        <v>1208.3005772216161</v>
      </c>
      <c r="AE114">
        <v>50</v>
      </c>
      <c r="AF114">
        <v>83.538337480111025</v>
      </c>
      <c r="AG114">
        <v>2.5390516666666669</v>
      </c>
      <c r="AH114">
        <v>13.89052597266207</v>
      </c>
      <c r="AI114">
        <v>0.24399675000000001</v>
      </c>
      <c r="AJ114">
        <v>11.205616666666669</v>
      </c>
      <c r="AK114">
        <v>0.47515841666666669</v>
      </c>
      <c r="AL114">
        <v>2.6323025000000002</v>
      </c>
      <c r="AM114">
        <v>50.778866165683027</v>
      </c>
      <c r="AN114">
        <v>6.7552275000000002</v>
      </c>
      <c r="AP114">
        <v>0.17074191666666669</v>
      </c>
      <c r="AR114">
        <v>5.5209421763999247E-2</v>
      </c>
      <c r="AS114">
        <v>0.23260322971847319</v>
      </c>
      <c r="AT114">
        <v>2.215836573857705E-2</v>
      </c>
      <c r="AU114">
        <v>0.13946342520423419</v>
      </c>
      <c r="AV114">
        <v>1.8188943372071519E-2</v>
      </c>
      <c r="AW114">
        <v>3.4278244127355022E-2</v>
      </c>
      <c r="AX114">
        <v>0.34681065155483992</v>
      </c>
      <c r="AY114">
        <v>0.48865100303376952</v>
      </c>
      <c r="BA114">
        <v>2.081601264087701E-2</v>
      </c>
      <c r="BE114">
        <v>0.15783971872108249</v>
      </c>
      <c r="BF114">
        <v>2201</v>
      </c>
      <c r="BG114">
        <v>56953.766835206421</v>
      </c>
      <c r="BH114">
        <v>156.5566181389336</v>
      </c>
      <c r="BI114">
        <v>134.64377831542279</v>
      </c>
      <c r="BJ114">
        <v>3.3370399817298781</v>
      </c>
      <c r="BK114">
        <v>156.55661813893369</v>
      </c>
    </row>
    <row r="115" spans="1:63" x14ac:dyDescent="0.2">
      <c r="A115">
        <v>113</v>
      </c>
      <c r="B115" t="s">
        <v>69</v>
      </c>
      <c r="C115" t="s">
        <v>143</v>
      </c>
      <c r="D115" t="s">
        <v>144</v>
      </c>
      <c r="E115">
        <v>-155.22516669999999</v>
      </c>
      <c r="F115">
        <v>19.371883329999999</v>
      </c>
      <c r="G115" t="s">
        <v>145</v>
      </c>
      <c r="H115" t="s">
        <v>248</v>
      </c>
      <c r="I115" t="s">
        <v>350</v>
      </c>
      <c r="J115" t="s">
        <v>68</v>
      </c>
      <c r="K115">
        <v>9.1240885835937515</v>
      </c>
      <c r="L115">
        <v>8.2514942046874999</v>
      </c>
      <c r="M115">
        <v>236.52222987227179</v>
      </c>
      <c r="N115">
        <v>2739.8077242763638</v>
      </c>
      <c r="Q115">
        <v>10.157</v>
      </c>
      <c r="R115">
        <v>1324.9639999999999</v>
      </c>
      <c r="S115">
        <v>50</v>
      </c>
      <c r="T115">
        <v>102.954943086781</v>
      </c>
      <c r="U115">
        <v>9.0991389800639394E-3</v>
      </c>
      <c r="V115">
        <v>8.1105446206130694E-2</v>
      </c>
      <c r="W115">
        <v>5.2397582810010512E-3</v>
      </c>
      <c r="X115">
        <v>0</v>
      </c>
      <c r="Y115">
        <v>0.11789794163673201</v>
      </c>
      <c r="Z115">
        <v>0.27253154394214191</v>
      </c>
      <c r="AA115">
        <v>2.741088518003303E-2</v>
      </c>
      <c r="AB115">
        <v>1.182404404392178</v>
      </c>
      <c r="AC115">
        <v>0.11537128076533169</v>
      </c>
      <c r="AD115">
        <v>1217.0747343059461</v>
      </c>
      <c r="AE115">
        <v>50</v>
      </c>
      <c r="AF115">
        <v>84.121421577092164</v>
      </c>
      <c r="AG115">
        <v>2.1961249999999999</v>
      </c>
      <c r="AH115">
        <v>13.214425</v>
      </c>
      <c r="AI115">
        <v>0.23326250000000001</v>
      </c>
      <c r="AJ115">
        <v>10.8680875</v>
      </c>
      <c r="AK115">
        <v>0.46184999999999998</v>
      </c>
      <c r="AL115">
        <v>2.5506250000000001</v>
      </c>
      <c r="AM115">
        <v>49.975887499999999</v>
      </c>
      <c r="AN115">
        <v>7.4385374999999998</v>
      </c>
      <c r="AP115">
        <v>0.2354</v>
      </c>
      <c r="AQ115">
        <v>98.48666249999998</v>
      </c>
      <c r="AR115">
        <v>5.6378814410075299E-2</v>
      </c>
      <c r="AS115">
        <v>0.24941022862516499</v>
      </c>
      <c r="AT115">
        <v>1.4003870638403601E-2</v>
      </c>
      <c r="AU115">
        <v>0.27584699401505702</v>
      </c>
      <c r="AV115">
        <v>3.1668731762237799E-2</v>
      </c>
      <c r="AW115">
        <v>4.2427543277585897E-2</v>
      </c>
      <c r="AX115">
        <v>0.67605985245919198</v>
      </c>
      <c r="AY115">
        <v>0.10614118545597701</v>
      </c>
      <c r="BA115">
        <v>4.3851209463691802E-2</v>
      </c>
      <c r="BE115">
        <v>0.1111456293597035</v>
      </c>
      <c r="BF115">
        <v>11351</v>
      </c>
      <c r="BG115">
        <v>105471.60245920809</v>
      </c>
      <c r="BH115">
        <v>95.682316300118003</v>
      </c>
      <c r="BI115">
        <v>183.2284196690365</v>
      </c>
      <c r="BJ115">
        <v>0.89807915952519723</v>
      </c>
      <c r="BK115">
        <v>95.682316300117989</v>
      </c>
    </row>
    <row r="116" spans="1:63" x14ac:dyDescent="0.2">
      <c r="A116">
        <v>114</v>
      </c>
      <c r="B116" t="s">
        <v>69</v>
      </c>
      <c r="C116" t="s">
        <v>143</v>
      </c>
      <c r="D116" t="s">
        <v>144</v>
      </c>
      <c r="E116">
        <v>-155.22516669999999</v>
      </c>
      <c r="F116">
        <v>19.371883329999999</v>
      </c>
      <c r="G116" t="s">
        <v>145</v>
      </c>
      <c r="H116" t="s">
        <v>351</v>
      </c>
      <c r="I116" t="s">
        <v>352</v>
      </c>
      <c r="J116" t="s">
        <v>68</v>
      </c>
      <c r="K116">
        <v>9.5213035406250022</v>
      </c>
      <c r="L116">
        <v>8.5178345335937493</v>
      </c>
      <c r="M116">
        <v>254.78595426450809</v>
      </c>
      <c r="N116">
        <v>3064.0793388993629</v>
      </c>
      <c r="Q116">
        <v>10.148</v>
      </c>
      <c r="R116">
        <v>1324.9639999999999</v>
      </c>
      <c r="S116">
        <v>50</v>
      </c>
      <c r="T116">
        <v>102.9563537652198</v>
      </c>
      <c r="U116">
        <v>2.3632470562659581E-2</v>
      </c>
      <c r="V116">
        <v>8.166441363248822E-2</v>
      </c>
      <c r="W116">
        <v>1.010650607079615E-2</v>
      </c>
      <c r="X116">
        <v>0</v>
      </c>
      <c r="Y116">
        <v>0.1148506359921416</v>
      </c>
      <c r="Z116">
        <v>0.2810790464063615</v>
      </c>
      <c r="AA116">
        <v>4.5491911061083627E-2</v>
      </c>
      <c r="AB116">
        <v>1.2183763610654299</v>
      </c>
      <c r="AC116">
        <v>0.19103947720469119</v>
      </c>
      <c r="AD116">
        <v>1256.4826859384921</v>
      </c>
      <c r="AE116">
        <v>100</v>
      </c>
      <c r="AG116">
        <v>2.1961249999999999</v>
      </c>
      <c r="AH116">
        <v>13.214425</v>
      </c>
      <c r="AI116">
        <v>0.23326250000000001</v>
      </c>
      <c r="AJ116">
        <v>10.8680875</v>
      </c>
      <c r="AK116">
        <v>0.46184999999999998</v>
      </c>
      <c r="AL116">
        <v>2.5506250000000001</v>
      </c>
      <c r="AM116">
        <v>49.975887499999999</v>
      </c>
      <c r="AN116">
        <v>7.4385374999999998</v>
      </c>
      <c r="AP116">
        <v>0.2354</v>
      </c>
      <c r="AQ116">
        <v>98.48666249999998</v>
      </c>
      <c r="AR116">
        <v>5.6378814410075299E-2</v>
      </c>
      <c r="AS116">
        <v>0.24941022862516499</v>
      </c>
      <c r="AT116">
        <v>1.4003870638403601E-2</v>
      </c>
      <c r="AU116">
        <v>0.27584699401505702</v>
      </c>
      <c r="AV116">
        <v>3.1668731762237799E-2</v>
      </c>
      <c r="AW116">
        <v>4.2427543277585897E-2</v>
      </c>
      <c r="AX116">
        <v>0.67605985245919198</v>
      </c>
      <c r="AY116">
        <v>0.10614118545597701</v>
      </c>
      <c r="BA116">
        <v>4.3851209463691802E-2</v>
      </c>
      <c r="BE116">
        <v>0.17743439730015539</v>
      </c>
      <c r="BF116">
        <v>4352</v>
      </c>
      <c r="BG116">
        <v>274270.3346733246</v>
      </c>
      <c r="BH116">
        <v>243.18393939498841</v>
      </c>
      <c r="BI116">
        <v>295.47074138306169</v>
      </c>
      <c r="BJ116">
        <v>3.686298046247579</v>
      </c>
      <c r="BK116">
        <v>243.1839393949885</v>
      </c>
    </row>
    <row r="117" spans="1:63" x14ac:dyDescent="0.2">
      <c r="A117">
        <v>115</v>
      </c>
      <c r="B117" t="s">
        <v>69</v>
      </c>
      <c r="C117" t="s">
        <v>70</v>
      </c>
      <c r="D117" t="s">
        <v>71</v>
      </c>
      <c r="E117">
        <v>-155.29347999999999</v>
      </c>
      <c r="F117">
        <v>19.377479999999998</v>
      </c>
      <c r="G117" t="s">
        <v>112</v>
      </c>
      <c r="H117" t="s">
        <v>353</v>
      </c>
      <c r="I117" t="s">
        <v>354</v>
      </c>
      <c r="J117" t="s">
        <v>68</v>
      </c>
      <c r="K117">
        <v>6.5953373874999999</v>
      </c>
      <c r="L117">
        <v>6.2291557570312497</v>
      </c>
      <c r="M117">
        <v>129.06725690947499</v>
      </c>
      <c r="N117">
        <v>1103.4814342793441</v>
      </c>
      <c r="Q117">
        <v>11.986000000000001</v>
      </c>
      <c r="R117">
        <v>1324.9639999999999</v>
      </c>
      <c r="S117">
        <v>50</v>
      </c>
      <c r="T117">
        <v>102.9569008615417</v>
      </c>
      <c r="U117">
        <v>1.059049716346685E-2</v>
      </c>
      <c r="V117">
        <v>8.188119515731529E-2</v>
      </c>
      <c r="W117">
        <v>5.6624708124498749E-3</v>
      </c>
      <c r="X117">
        <v>0</v>
      </c>
      <c r="Y117">
        <v>0.11454490100516999</v>
      </c>
      <c r="Z117">
        <v>0.28195491757176472</v>
      </c>
      <c r="AA117">
        <v>3.020933240722486E-2</v>
      </c>
      <c r="AB117">
        <v>1.222058781893</v>
      </c>
      <c r="AC117">
        <v>0.12687900348825751</v>
      </c>
      <c r="AD117">
        <v>1257.4352835822081</v>
      </c>
      <c r="AE117">
        <v>50</v>
      </c>
      <c r="AF117">
        <v>86.377811876076009</v>
      </c>
      <c r="AG117">
        <v>2.1280100000000002</v>
      </c>
      <c r="AH117">
        <v>12.511455</v>
      </c>
      <c r="AI117">
        <v>0.21128</v>
      </c>
      <c r="AJ117">
        <v>10.547185000000001</v>
      </c>
      <c r="AK117">
        <v>0.43435000000000001</v>
      </c>
      <c r="AL117">
        <v>2.4173399999999998</v>
      </c>
      <c r="AM117">
        <v>50.003889999999998</v>
      </c>
      <c r="AN117">
        <v>8.5805450000000008</v>
      </c>
      <c r="AO117">
        <v>11.0444</v>
      </c>
      <c r="AP117">
        <v>0.37786999999999998</v>
      </c>
      <c r="AQ117">
        <v>98.290260000000004</v>
      </c>
      <c r="AR117">
        <v>4.7093422517846893E-2</v>
      </c>
      <c r="AS117">
        <v>0.17423154844121161</v>
      </c>
      <c r="AT117">
        <v>2.1925114974993089E-2</v>
      </c>
      <c r="AU117">
        <v>0.1853741817244248</v>
      </c>
      <c r="AV117">
        <v>1.0520403456564249E-2</v>
      </c>
      <c r="AW117">
        <v>3.5166562401109248E-2</v>
      </c>
      <c r="AX117">
        <v>0.46106226248619608</v>
      </c>
      <c r="AY117">
        <v>0.4051107053427907</v>
      </c>
      <c r="AZ117">
        <v>0.14841023100402101</v>
      </c>
      <c r="BA117">
        <v>1.7068639208924791E-2</v>
      </c>
      <c r="BD117" t="s">
        <v>355</v>
      </c>
      <c r="BE117">
        <v>5.9497462290450019E-2</v>
      </c>
      <c r="BF117">
        <v>3619</v>
      </c>
      <c r="BG117">
        <v>177282.9714871863</v>
      </c>
      <c r="BH117">
        <v>63.481048290495579</v>
      </c>
      <c r="BI117">
        <v>237.55193637689101</v>
      </c>
      <c r="BJ117">
        <v>1.0552364842044111</v>
      </c>
      <c r="BK117">
        <v>63.481048290495593</v>
      </c>
    </row>
    <row r="118" spans="1:63" x14ac:dyDescent="0.2">
      <c r="A118">
        <v>116</v>
      </c>
      <c r="B118" t="s">
        <v>69</v>
      </c>
      <c r="C118" t="s">
        <v>308</v>
      </c>
      <c r="D118" t="s">
        <v>64</v>
      </c>
      <c r="E118">
        <v>-155.2774</v>
      </c>
      <c r="F118">
        <v>19.402283329999999</v>
      </c>
      <c r="G118" t="s">
        <v>309</v>
      </c>
      <c r="H118" t="s">
        <v>356</v>
      </c>
      <c r="I118" t="s">
        <v>357</v>
      </c>
      <c r="J118" t="s">
        <v>68</v>
      </c>
      <c r="K118">
        <v>9.6732738570312513</v>
      </c>
      <c r="L118">
        <v>8.5969869507812504</v>
      </c>
      <c r="M118">
        <v>261.25801531723181</v>
      </c>
      <c r="N118">
        <v>3182.1680519848651</v>
      </c>
      <c r="O118" t="s">
        <v>358</v>
      </c>
      <c r="Q118">
        <v>9.9870000000000001</v>
      </c>
      <c r="R118">
        <v>1324.9639999999999</v>
      </c>
      <c r="S118">
        <v>50</v>
      </c>
      <c r="T118">
        <v>102.9573943817754</v>
      </c>
      <c r="U118">
        <v>3.9258223205005252E-3</v>
      </c>
      <c r="V118">
        <v>8.2076747685313478E-2</v>
      </c>
      <c r="W118">
        <v>4.1077157341217743E-3</v>
      </c>
      <c r="X118">
        <v>0</v>
      </c>
      <c r="Y118">
        <v>0.1185420760554402</v>
      </c>
      <c r="Z118">
        <v>0.27077764314103159</v>
      </c>
      <c r="AA118">
        <v>2.3535660505504329E-2</v>
      </c>
      <c r="AB118">
        <v>1.175015125964807</v>
      </c>
      <c r="AC118">
        <v>9.9167885377972054E-2</v>
      </c>
      <c r="AD118">
        <v>1188.932723093621</v>
      </c>
      <c r="AE118">
        <v>50</v>
      </c>
      <c r="AF118">
        <v>82.070260168174912</v>
      </c>
      <c r="AG118">
        <v>2.3267000000000002</v>
      </c>
      <c r="AH118">
        <v>13.5229384615385</v>
      </c>
      <c r="AI118">
        <v>0.27728461538461502</v>
      </c>
      <c r="AJ118">
        <v>10.5531076923077</v>
      </c>
      <c r="AK118">
        <v>0.54219230769230797</v>
      </c>
      <c r="AL118">
        <v>2.8134692307692299</v>
      </c>
      <c r="AM118">
        <v>49.582307692307701</v>
      </c>
      <c r="AN118">
        <v>6.2924769230769204</v>
      </c>
      <c r="AP118">
        <v>0.17131538461538501</v>
      </c>
      <c r="AQ118">
        <v>97.508507692307774</v>
      </c>
      <c r="AR118">
        <v>0.15754459157119099</v>
      </c>
      <c r="AS118">
        <v>0.25828299253100101</v>
      </c>
      <c r="AT118">
        <v>3.3931029215008297E-2</v>
      </c>
      <c r="AU118">
        <v>0.14495579476480899</v>
      </c>
      <c r="AV118">
        <v>5.80211091118061E-2</v>
      </c>
      <c r="AW118">
        <v>5.1717153579436098E-2</v>
      </c>
      <c r="AX118">
        <v>0.58735311988266403</v>
      </c>
      <c r="AY118">
        <v>0.17920673421984901</v>
      </c>
      <c r="BA118">
        <v>4.0360043073850597E-2</v>
      </c>
      <c r="BE118">
        <v>6.8243575937036352E-2</v>
      </c>
      <c r="BF118">
        <v>3261</v>
      </c>
      <c r="BG118">
        <v>29324.924143069089</v>
      </c>
      <c r="BH118">
        <v>23.665249240264501</v>
      </c>
      <c r="BI118">
        <v>96.614767330510176</v>
      </c>
      <c r="BJ118">
        <v>0.41441520687988309</v>
      </c>
      <c r="BK118">
        <v>23.665249240264501</v>
      </c>
    </row>
    <row r="119" spans="1:63" x14ac:dyDescent="0.2">
      <c r="A119">
        <v>117</v>
      </c>
      <c r="B119" t="s">
        <v>69</v>
      </c>
      <c r="C119" t="s">
        <v>321</v>
      </c>
      <c r="D119" t="s">
        <v>322</v>
      </c>
      <c r="E119">
        <v>-155.27718329999999</v>
      </c>
      <c r="F119">
        <v>19.40966667</v>
      </c>
      <c r="G119" t="s">
        <v>323</v>
      </c>
      <c r="H119" t="s">
        <v>359</v>
      </c>
      <c r="I119" t="s">
        <v>360</v>
      </c>
      <c r="J119" t="s">
        <v>68</v>
      </c>
      <c r="K119">
        <v>8.6777084687499997</v>
      </c>
      <c r="L119">
        <v>7.8597420429687501</v>
      </c>
      <c r="M119">
        <v>214.2709134993041</v>
      </c>
      <c r="N119">
        <v>2362.3297520636729</v>
      </c>
      <c r="Q119">
        <v>10.073</v>
      </c>
      <c r="R119">
        <v>1324.9639999999999</v>
      </c>
      <c r="S119">
        <v>100</v>
      </c>
      <c r="T119">
        <v>102.95761966441469</v>
      </c>
      <c r="U119">
        <v>5.853584579986703E-2</v>
      </c>
      <c r="V119">
        <v>8.2166013710534003E-2</v>
      </c>
      <c r="W119">
        <v>2.3503758509609909E-2</v>
      </c>
      <c r="X119">
        <v>0</v>
      </c>
      <c r="Y119">
        <v>0.1183061893390825</v>
      </c>
      <c r="Z119">
        <v>0.27142582440635732</v>
      </c>
      <c r="AA119">
        <v>8.433585890100842E-2</v>
      </c>
      <c r="AB119">
        <v>1.177746267491147</v>
      </c>
      <c r="AC119">
        <v>0.3551138582833816</v>
      </c>
      <c r="AD119">
        <v>1191.053803301322</v>
      </c>
      <c r="AE119">
        <v>50</v>
      </c>
      <c r="AF119">
        <v>82.245883275201507</v>
      </c>
      <c r="AG119">
        <v>2.3548666666666702</v>
      </c>
      <c r="AH119">
        <v>13.693199999999999</v>
      </c>
      <c r="AI119">
        <v>0.31578888888888901</v>
      </c>
      <c r="AJ119">
        <v>10.647211111111099</v>
      </c>
      <c r="AK119">
        <v>0.57640000000000002</v>
      </c>
      <c r="AL119">
        <v>2.9864222222222199</v>
      </c>
      <c r="AM119">
        <v>50.176744444444402</v>
      </c>
      <c r="AN119">
        <v>6.02064444444445</v>
      </c>
      <c r="AP119">
        <v>0.192211111111111</v>
      </c>
      <c r="AQ119">
        <v>98.596999999999909</v>
      </c>
      <c r="AR119">
        <v>0.13013498760902101</v>
      </c>
      <c r="AS119">
        <v>0.18486291542653999</v>
      </c>
      <c r="AT119">
        <v>3.2683881518435202E-2</v>
      </c>
      <c r="AU119">
        <v>0.25932300054393698</v>
      </c>
      <c r="AV119">
        <v>5.4947019937390602E-2</v>
      </c>
      <c r="AW119">
        <v>8.2598785974398195E-2</v>
      </c>
      <c r="AX119">
        <v>1.0616485472027799</v>
      </c>
      <c r="AY119">
        <v>0.12895273466575999</v>
      </c>
      <c r="BA119">
        <v>3.7379287193726803E-2</v>
      </c>
      <c r="BE119">
        <v>8.7838143216651607E-2</v>
      </c>
      <c r="BF119">
        <v>13540</v>
      </c>
      <c r="BG119">
        <v>54278.341278151842</v>
      </c>
      <c r="BH119">
        <v>113.99945324160279</v>
      </c>
      <c r="BI119">
        <v>131.443267741233</v>
      </c>
      <c r="BJ119">
        <v>0.97970074031559096</v>
      </c>
      <c r="BK119">
        <v>113.99945324160279</v>
      </c>
    </row>
    <row r="120" spans="1:63" x14ac:dyDescent="0.2">
      <c r="A120">
        <v>118</v>
      </c>
      <c r="B120" t="s">
        <v>69</v>
      </c>
      <c r="C120" t="s">
        <v>70</v>
      </c>
      <c r="D120" t="s">
        <v>71</v>
      </c>
      <c r="E120">
        <v>-155.29347999999999</v>
      </c>
      <c r="F120">
        <v>19.377479999999998</v>
      </c>
      <c r="G120" t="s">
        <v>112</v>
      </c>
      <c r="H120" t="s">
        <v>361</v>
      </c>
      <c r="I120" t="s">
        <v>362</v>
      </c>
      <c r="J120" t="s">
        <v>68</v>
      </c>
      <c r="K120">
        <v>8.1949484617187505</v>
      </c>
      <c r="L120">
        <v>7.4858311382812506</v>
      </c>
      <c r="M120">
        <v>192.72414409373181</v>
      </c>
      <c r="N120">
        <v>2014.7098847549671</v>
      </c>
      <c r="Q120">
        <v>12.103</v>
      </c>
      <c r="R120">
        <v>1324.9639999999999</v>
      </c>
      <c r="S120">
        <v>50</v>
      </c>
      <c r="T120">
        <v>102.9577373098298</v>
      </c>
      <c r="U120">
        <v>6.9472151758547774E-3</v>
      </c>
      <c r="V120">
        <v>8.2212629546646099E-2</v>
      </c>
      <c r="W120">
        <v>4.6937150256912974E-3</v>
      </c>
      <c r="X120">
        <v>0</v>
      </c>
      <c r="Y120">
        <v>0.11098644102291309</v>
      </c>
      <c r="Z120">
        <v>0.29233689353120068</v>
      </c>
      <c r="AA120">
        <v>2.7704429963791809E-2</v>
      </c>
      <c r="AB120">
        <v>1.265655977707101</v>
      </c>
      <c r="AC120">
        <v>0.11608609742594141</v>
      </c>
      <c r="AD120">
        <v>1311.550393716554</v>
      </c>
      <c r="AE120">
        <v>50</v>
      </c>
      <c r="AF120">
        <v>88.728192433464955</v>
      </c>
      <c r="AG120">
        <v>2.1280100000000002</v>
      </c>
      <c r="AH120">
        <v>12.511455</v>
      </c>
      <c r="AI120">
        <v>0.21128</v>
      </c>
      <c r="AJ120">
        <v>10.547185000000001</v>
      </c>
      <c r="AK120">
        <v>0.43435000000000001</v>
      </c>
      <c r="AL120">
        <v>2.4173399999999998</v>
      </c>
      <c r="AM120">
        <v>50.003889999999998</v>
      </c>
      <c r="AN120">
        <v>8.5805450000000008</v>
      </c>
      <c r="AO120">
        <v>11.0444</v>
      </c>
      <c r="AP120">
        <v>0.37786999999999998</v>
      </c>
      <c r="AQ120">
        <v>98.290260000000004</v>
      </c>
      <c r="AR120">
        <v>4.7093422517846893E-2</v>
      </c>
      <c r="AS120">
        <v>0.17423154844121161</v>
      </c>
      <c r="AT120">
        <v>2.1925114974993089E-2</v>
      </c>
      <c r="AU120">
        <v>0.1853741817244248</v>
      </c>
      <c r="AV120">
        <v>1.0520403456564249E-2</v>
      </c>
      <c r="AW120">
        <v>3.5166562401109248E-2</v>
      </c>
      <c r="AX120">
        <v>0.46106226248619608</v>
      </c>
      <c r="AY120">
        <v>0.4051107053427907</v>
      </c>
      <c r="AZ120">
        <v>0.14841023100402101</v>
      </c>
      <c r="BA120">
        <v>1.7068639208924791E-2</v>
      </c>
      <c r="BD120" t="s">
        <v>363</v>
      </c>
      <c r="BE120">
        <v>9.6548718406864492E-2</v>
      </c>
      <c r="BF120">
        <v>3507</v>
      </c>
      <c r="BG120">
        <v>352920.05681528337</v>
      </c>
      <c r="BH120">
        <v>108.8507738618891</v>
      </c>
      <c r="BI120">
        <v>335.16852942489959</v>
      </c>
      <c r="BJ120">
        <v>1.8380767345832369</v>
      </c>
      <c r="BK120">
        <v>108.8507738618891</v>
      </c>
    </row>
    <row r="121" spans="1:63" x14ac:dyDescent="0.2">
      <c r="A121">
        <v>119</v>
      </c>
      <c r="B121" t="s">
        <v>69</v>
      </c>
      <c r="C121" t="s">
        <v>76</v>
      </c>
      <c r="D121" t="s">
        <v>71</v>
      </c>
      <c r="E121">
        <v>-155.29812000000001</v>
      </c>
      <c r="F121">
        <v>19.375624999999999</v>
      </c>
      <c r="G121" t="s">
        <v>77</v>
      </c>
      <c r="H121" t="s">
        <v>364</v>
      </c>
      <c r="I121" t="s">
        <v>365</v>
      </c>
      <c r="J121" t="s">
        <v>68</v>
      </c>
      <c r="K121">
        <v>7.6949283460937492</v>
      </c>
      <c r="L121">
        <v>6.6142828265625004</v>
      </c>
      <c r="M121">
        <v>159.89585815694551</v>
      </c>
      <c r="N121">
        <v>1525.3224000005489</v>
      </c>
      <c r="Q121">
        <v>11.964</v>
      </c>
      <c r="R121">
        <v>1324.9639999999999</v>
      </c>
      <c r="S121">
        <v>50</v>
      </c>
      <c r="T121">
        <v>102.959605469403</v>
      </c>
      <c r="U121">
        <v>4.6225294132832082E-3</v>
      </c>
      <c r="V121">
        <v>8.2952869363126069E-2</v>
      </c>
      <c r="W121">
        <v>4.2197925258252496E-3</v>
      </c>
      <c r="X121">
        <v>0</v>
      </c>
      <c r="Y121">
        <v>0.1137616766880258</v>
      </c>
      <c r="Z121">
        <v>0.28422073158361189</v>
      </c>
      <c r="AA121">
        <v>2.676501671848765E-2</v>
      </c>
      <c r="AB121">
        <v>1.2315817801847171</v>
      </c>
      <c r="AC121">
        <v>0.1122328561017152</v>
      </c>
      <c r="AD121">
        <v>1250.194765926974</v>
      </c>
      <c r="AE121">
        <v>50</v>
      </c>
      <c r="AF121">
        <v>86.01366034514632</v>
      </c>
      <c r="AG121">
        <v>2.5039199999999999</v>
      </c>
      <c r="AH121">
        <v>14.096819999999999</v>
      </c>
      <c r="AI121">
        <v>0.27322000000000002</v>
      </c>
      <c r="AJ121">
        <v>10.95044</v>
      </c>
      <c r="AK121">
        <v>0.52094000000000007</v>
      </c>
      <c r="AL121">
        <v>2.9191400000000001</v>
      </c>
      <c r="AM121">
        <v>50.91704</v>
      </c>
      <c r="AN121">
        <v>6.4346599999999992</v>
      </c>
      <c r="AO121">
        <v>10.86684</v>
      </c>
      <c r="AP121">
        <v>0.19492000000000001</v>
      </c>
      <c r="AQ121">
        <v>99.70778</v>
      </c>
      <c r="AR121">
        <v>5.8797253337209539E-2</v>
      </c>
      <c r="AS121">
        <v>0.138496180452748</v>
      </c>
      <c r="AT121">
        <v>2.822688434808206E-2</v>
      </c>
      <c r="AU121">
        <v>7.1287502411011894E-2</v>
      </c>
      <c r="AV121">
        <v>1.2819243347405491E-2</v>
      </c>
      <c r="AW121">
        <v>2.3721045508155889E-2</v>
      </c>
      <c r="AX121">
        <v>0.39733328327740491</v>
      </c>
      <c r="AY121">
        <v>8.3972662218129629E-2</v>
      </c>
      <c r="AZ121">
        <v>5.8132675837260117E-2</v>
      </c>
      <c r="BA121">
        <v>1.931080008699795E-2</v>
      </c>
      <c r="BD121" t="s">
        <v>366</v>
      </c>
      <c r="BE121">
        <v>0.10250371937118</v>
      </c>
      <c r="BF121">
        <v>2234</v>
      </c>
      <c r="BG121">
        <v>110454.948850453</v>
      </c>
      <c r="BH121">
        <v>20.920948977589401</v>
      </c>
      <c r="BI121">
        <v>187.507072392015</v>
      </c>
      <c r="BJ121">
        <v>0.442628930138315</v>
      </c>
      <c r="BK121">
        <v>20.920948977589401</v>
      </c>
    </row>
    <row r="122" spans="1:63" x14ac:dyDescent="0.2">
      <c r="A122">
        <v>120</v>
      </c>
      <c r="B122" t="s">
        <v>62</v>
      </c>
      <c r="C122" t="s">
        <v>63</v>
      </c>
      <c r="D122" t="s">
        <v>64</v>
      </c>
      <c r="E122">
        <v>-155.26785000000001</v>
      </c>
      <c r="F122">
        <v>19.407830000000001</v>
      </c>
      <c r="G122" t="s">
        <v>65</v>
      </c>
      <c r="H122" t="s">
        <v>367</v>
      </c>
      <c r="I122" t="s">
        <v>368</v>
      </c>
      <c r="J122" t="s">
        <v>68</v>
      </c>
      <c r="K122">
        <v>5.52271171640625</v>
      </c>
      <c r="L122">
        <v>4.9077404398437503</v>
      </c>
      <c r="M122">
        <v>85.149839212207496</v>
      </c>
      <c r="N122">
        <v>592.10088267687354</v>
      </c>
      <c r="Q122">
        <v>11.867000000000001</v>
      </c>
      <c r="R122">
        <v>1325.0039999999999</v>
      </c>
      <c r="S122">
        <v>50</v>
      </c>
      <c r="T122">
        <v>102.96042199999999</v>
      </c>
      <c r="U122">
        <v>7.1710942669999996E-3</v>
      </c>
      <c r="V122">
        <v>8.3276427680000001E-2</v>
      </c>
      <c r="W122">
        <v>4.7460701959999999E-3</v>
      </c>
      <c r="X122">
        <v>0</v>
      </c>
      <c r="Y122">
        <v>0.1145489574788533</v>
      </c>
      <c r="Z122">
        <v>0.28196624897430977</v>
      </c>
      <c r="AA122">
        <v>2.5596460617503099E-2</v>
      </c>
      <c r="AB122">
        <v>1.22210641799931</v>
      </c>
      <c r="AC122">
        <v>0.1074752848027369</v>
      </c>
      <c r="AD122">
        <v>1231.2363675068809</v>
      </c>
      <c r="AE122">
        <v>50</v>
      </c>
      <c r="AF122">
        <v>84.982456139999996</v>
      </c>
      <c r="BE122">
        <v>9.5414840259206629E-2</v>
      </c>
      <c r="BF122">
        <v>6544</v>
      </c>
      <c r="BG122">
        <v>419364.30101598159</v>
      </c>
      <c r="BH122">
        <v>0.14303186535835269</v>
      </c>
      <c r="BI122">
        <v>365.35982664483248</v>
      </c>
      <c r="BJ122">
        <v>1.768117640892983E-3</v>
      </c>
      <c r="BK122">
        <v>0.14303186535835269</v>
      </c>
    </row>
    <row r="123" spans="1:63" x14ac:dyDescent="0.2">
      <c r="A123">
        <v>121</v>
      </c>
      <c r="B123" t="s">
        <v>69</v>
      </c>
      <c r="C123" t="s">
        <v>236</v>
      </c>
      <c r="D123" t="s">
        <v>64</v>
      </c>
      <c r="E123">
        <v>-155.292979</v>
      </c>
      <c r="F123">
        <v>19.400748</v>
      </c>
      <c r="G123" t="s">
        <v>237</v>
      </c>
      <c r="H123" t="s">
        <v>328</v>
      </c>
      <c r="I123" t="s">
        <v>369</v>
      </c>
      <c r="J123" t="s">
        <v>68</v>
      </c>
      <c r="K123">
        <v>6.7821184953125</v>
      </c>
      <c r="L123">
        <v>6.5154294773437504</v>
      </c>
      <c r="M123">
        <v>138.82199919383939</v>
      </c>
      <c r="N123">
        <v>1230.661462626751</v>
      </c>
      <c r="Q123">
        <v>10.055999999999999</v>
      </c>
      <c r="R123">
        <v>1324.9639999999999</v>
      </c>
      <c r="S123">
        <v>50</v>
      </c>
      <c r="T123">
        <v>102.9627179425417</v>
      </c>
      <c r="U123">
        <v>7.9256867723255468E-3</v>
      </c>
      <c r="V123">
        <v>8.4186156164811621E-2</v>
      </c>
      <c r="W123">
        <v>4.9307594845853474E-3</v>
      </c>
      <c r="X123">
        <v>7.831995767982872</v>
      </c>
      <c r="Y123">
        <v>0.1159341435042387</v>
      </c>
      <c r="Z123">
        <v>0.27805235682395057</v>
      </c>
      <c r="AA123">
        <v>2.6422841456794979E-2</v>
      </c>
      <c r="AB123">
        <v>1.2056460291280089</v>
      </c>
      <c r="AC123">
        <v>0.1111022713843216</v>
      </c>
      <c r="AD123">
        <v>1192.535240462124</v>
      </c>
      <c r="AE123">
        <v>50</v>
      </c>
      <c r="AF123">
        <v>82.366080835448258</v>
      </c>
      <c r="AG123">
        <v>2.0274999999999999</v>
      </c>
      <c r="AH123">
        <v>12.7525</v>
      </c>
      <c r="AI123">
        <v>0.17249999999999999</v>
      </c>
      <c r="AJ123">
        <v>11.092499999999999</v>
      </c>
      <c r="AK123">
        <v>0.51750000000000007</v>
      </c>
      <c r="AL123">
        <v>2.5150000000000001</v>
      </c>
      <c r="AM123">
        <v>50.63</v>
      </c>
      <c r="AN123">
        <v>7.415</v>
      </c>
      <c r="AP123">
        <v>1685.75</v>
      </c>
      <c r="AR123">
        <v>0.17231270024773751</v>
      </c>
      <c r="AS123">
        <v>0.13450526631573459</v>
      </c>
      <c r="AT123">
        <v>4.9999999999999836E-3</v>
      </c>
      <c r="AU123">
        <v>0.29227555491350982</v>
      </c>
      <c r="AV123">
        <v>2.061552812808835E-2</v>
      </c>
      <c r="AW123">
        <v>6.2449979983983737E-2</v>
      </c>
      <c r="AX123">
        <v>0.21556128285632961</v>
      </c>
      <c r="AY123">
        <v>0.39770173078158311</v>
      </c>
      <c r="BA123">
        <v>51.951098801340748</v>
      </c>
      <c r="BE123">
        <v>9.8671190923331931E-2</v>
      </c>
      <c r="BF123">
        <v>3984</v>
      </c>
      <c r="BG123">
        <v>101706.6923903096</v>
      </c>
      <c r="BH123">
        <v>10.04091629284903</v>
      </c>
      <c r="BI123">
        <v>179.9284459969831</v>
      </c>
      <c r="BJ123">
        <v>0.1590793038066193</v>
      </c>
      <c r="BK123">
        <v>10.04091629284903</v>
      </c>
    </row>
    <row r="124" spans="1:63" x14ac:dyDescent="0.2">
      <c r="A124">
        <v>122</v>
      </c>
      <c r="B124" t="s">
        <v>69</v>
      </c>
      <c r="C124" t="s">
        <v>321</v>
      </c>
      <c r="D124" t="s">
        <v>322</v>
      </c>
      <c r="E124">
        <v>-155.27718329999999</v>
      </c>
      <c r="F124">
        <v>19.40966667</v>
      </c>
      <c r="G124" t="s">
        <v>323</v>
      </c>
      <c r="H124" t="s">
        <v>346</v>
      </c>
      <c r="I124" t="s">
        <v>370</v>
      </c>
      <c r="J124" t="s">
        <v>68</v>
      </c>
      <c r="K124">
        <v>13.44330000078125</v>
      </c>
      <c r="L124">
        <v>12.6986745078125</v>
      </c>
      <c r="M124">
        <v>536.30785102988682</v>
      </c>
      <c r="N124">
        <v>9346.7641135879967</v>
      </c>
      <c r="Q124">
        <v>10.054</v>
      </c>
      <c r="R124">
        <v>1324.9639999999999</v>
      </c>
      <c r="S124">
        <v>100</v>
      </c>
      <c r="T124">
        <v>102.9632043837947</v>
      </c>
      <c r="U124">
        <v>1.06948089516172E-2</v>
      </c>
      <c r="V124">
        <v>8.4378903716476827E-2</v>
      </c>
      <c r="W124">
        <v>5.6927812611363886E-3</v>
      </c>
      <c r="X124">
        <v>0</v>
      </c>
      <c r="Y124">
        <v>0.115965084358302</v>
      </c>
      <c r="Z124">
        <v>0.27796843224753792</v>
      </c>
      <c r="AA124">
        <v>2.9586804024047231E-2</v>
      </c>
      <c r="AB124">
        <v>1.2052929244748181</v>
      </c>
      <c r="AC124">
        <v>0.12432777163758379</v>
      </c>
      <c r="AD124">
        <v>1188.646483509528</v>
      </c>
      <c r="AE124">
        <v>50</v>
      </c>
      <c r="AF124">
        <v>82.04623022461665</v>
      </c>
      <c r="AG124">
        <v>2.3548666666666702</v>
      </c>
      <c r="AH124">
        <v>13.693199999999999</v>
      </c>
      <c r="AI124">
        <v>0.31578888888888901</v>
      </c>
      <c r="AJ124">
        <v>10.647211111111099</v>
      </c>
      <c r="AK124">
        <v>0.57640000000000002</v>
      </c>
      <c r="AL124">
        <v>2.9864222222222199</v>
      </c>
      <c r="AM124">
        <v>50.176744444444402</v>
      </c>
      <c r="AN124">
        <v>6.02064444444445</v>
      </c>
      <c r="AP124">
        <v>0.192211111111111</v>
      </c>
      <c r="AQ124">
        <v>98.596999999999909</v>
      </c>
      <c r="AR124">
        <v>0.13013498760902101</v>
      </c>
      <c r="AS124">
        <v>0.18486291542653999</v>
      </c>
      <c r="AT124">
        <v>3.2683881518435202E-2</v>
      </c>
      <c r="AU124">
        <v>0.25932300054393698</v>
      </c>
      <c r="AV124">
        <v>5.4947019937390602E-2</v>
      </c>
      <c r="AW124">
        <v>8.2598785974398195E-2</v>
      </c>
      <c r="AX124">
        <v>1.0616485472027799</v>
      </c>
      <c r="AY124">
        <v>0.12895273466575999</v>
      </c>
      <c r="BA124">
        <v>3.7379287193726803E-2</v>
      </c>
      <c r="BE124">
        <v>1.7316677593239</v>
      </c>
      <c r="BF124">
        <v>4231</v>
      </c>
      <c r="BG124">
        <v>234045.9470437167</v>
      </c>
      <c r="BH124">
        <v>842.23056009261506</v>
      </c>
      <c r="BI124">
        <v>272.94530361459408</v>
      </c>
      <c r="BJ124">
        <v>12.948202504073119</v>
      </c>
      <c r="BK124">
        <v>842.23056009261484</v>
      </c>
    </row>
    <row r="125" spans="1:63" x14ac:dyDescent="0.2">
      <c r="A125">
        <v>123</v>
      </c>
      <c r="B125" t="s">
        <v>69</v>
      </c>
      <c r="C125" t="s">
        <v>169</v>
      </c>
      <c r="D125" t="s">
        <v>64</v>
      </c>
      <c r="E125">
        <v>-155.29196300000001</v>
      </c>
      <c r="F125">
        <v>19.398634000000001</v>
      </c>
      <c r="G125" t="s">
        <v>170</v>
      </c>
      <c r="H125" t="s">
        <v>268</v>
      </c>
      <c r="I125" t="s">
        <v>371</v>
      </c>
      <c r="J125" t="s">
        <v>68</v>
      </c>
      <c r="K125">
        <v>4.9996200078125002</v>
      </c>
      <c r="L125">
        <v>4.8363172968749986</v>
      </c>
      <c r="M125">
        <v>75.962920949381498</v>
      </c>
      <c r="N125">
        <v>498.11101862603272</v>
      </c>
      <c r="Q125">
        <v>10.096</v>
      </c>
      <c r="R125">
        <v>1324.7670000000001</v>
      </c>
      <c r="S125">
        <v>50</v>
      </c>
      <c r="T125">
        <v>102.9635621513126</v>
      </c>
      <c r="U125">
        <v>7.3591915771056187E-3</v>
      </c>
      <c r="V125">
        <v>8.4520665568945219E-2</v>
      </c>
      <c r="W125">
        <v>4.7908736287107746E-3</v>
      </c>
      <c r="X125">
        <v>4.6273295916217636</v>
      </c>
      <c r="Y125">
        <v>0.1117855280986131</v>
      </c>
      <c r="Z125">
        <v>0.29000791632649742</v>
      </c>
      <c r="AA125">
        <v>2.64227085928679E-2</v>
      </c>
      <c r="AB125">
        <v>1.2558841507585079</v>
      </c>
      <c r="AC125">
        <v>0.1107391065391171</v>
      </c>
      <c r="AD125">
        <v>1253.865481604666</v>
      </c>
      <c r="AE125">
        <v>50</v>
      </c>
      <c r="AF125">
        <v>86.200108328039477</v>
      </c>
      <c r="AG125">
        <v>2.5390516666666669</v>
      </c>
      <c r="AH125">
        <v>13.89052597266207</v>
      </c>
      <c r="AI125">
        <v>0.24399675000000001</v>
      </c>
      <c r="AJ125">
        <v>11.205616666666669</v>
      </c>
      <c r="AK125">
        <v>0.47515841666666669</v>
      </c>
      <c r="AL125">
        <v>2.6323025000000002</v>
      </c>
      <c r="AM125">
        <v>50.778866165683027</v>
      </c>
      <c r="AN125">
        <v>6.7552275000000002</v>
      </c>
      <c r="AP125">
        <v>0.17074191666666669</v>
      </c>
      <c r="AR125">
        <v>5.5209421763999247E-2</v>
      </c>
      <c r="AS125">
        <v>0.23260322971847319</v>
      </c>
      <c r="AT125">
        <v>2.215836573857705E-2</v>
      </c>
      <c r="AU125">
        <v>0.13946342520423419</v>
      </c>
      <c r="AV125">
        <v>1.8188943372071519E-2</v>
      </c>
      <c r="AW125">
        <v>3.4278244127355022E-2</v>
      </c>
      <c r="AX125">
        <v>0.34681065155483992</v>
      </c>
      <c r="AY125">
        <v>0.48865100303376952</v>
      </c>
      <c r="BA125">
        <v>2.081601264087701E-2</v>
      </c>
      <c r="BE125">
        <v>0.20434685334941699</v>
      </c>
      <c r="BF125">
        <v>3556</v>
      </c>
      <c r="BG125">
        <v>179654.25921509089</v>
      </c>
      <c r="BH125">
        <v>534.8555013571455</v>
      </c>
      <c r="BI125">
        <v>239.1353733833387</v>
      </c>
      <c r="BJ125">
        <v>8.9692388838940289</v>
      </c>
      <c r="BK125">
        <v>534.85550135714607</v>
      </c>
    </row>
    <row r="126" spans="1:63" x14ac:dyDescent="0.2">
      <c r="A126">
        <v>124</v>
      </c>
      <c r="B126" t="s">
        <v>69</v>
      </c>
      <c r="C126" t="s">
        <v>143</v>
      </c>
      <c r="D126" t="s">
        <v>144</v>
      </c>
      <c r="E126">
        <v>-155.22516669999999</v>
      </c>
      <c r="F126">
        <v>19.371883329999999</v>
      </c>
      <c r="G126" t="s">
        <v>145</v>
      </c>
      <c r="H126" t="s">
        <v>372</v>
      </c>
      <c r="I126" t="s">
        <v>373</v>
      </c>
      <c r="J126" t="s">
        <v>68</v>
      </c>
      <c r="K126">
        <v>11.41823015546875</v>
      </c>
      <c r="L126">
        <v>10.096349919531249</v>
      </c>
      <c r="M126">
        <v>362.17048893289058</v>
      </c>
      <c r="N126">
        <v>5194.6306566323838</v>
      </c>
      <c r="Q126">
        <v>10.012</v>
      </c>
      <c r="R126">
        <v>1324.9639999999999</v>
      </c>
      <c r="S126">
        <v>50</v>
      </c>
      <c r="T126">
        <v>102.96436664360689</v>
      </c>
      <c r="U126">
        <v>9.1044363499017105E-3</v>
      </c>
      <c r="V126">
        <v>8.4839437710705567E-2</v>
      </c>
      <c r="W126">
        <v>5.2405505125877857E-3</v>
      </c>
      <c r="X126">
        <v>0</v>
      </c>
      <c r="Y126">
        <v>0.1099488791325232</v>
      </c>
      <c r="Z126">
        <v>0.29548706856325962</v>
      </c>
      <c r="AA126">
        <v>2.7730256979197929E-2</v>
      </c>
      <c r="AB126">
        <v>1.278865745207781</v>
      </c>
      <c r="AC126">
        <v>0.1160696860789082</v>
      </c>
      <c r="AD126">
        <v>1278.804299730818</v>
      </c>
      <c r="AE126">
        <v>50</v>
      </c>
      <c r="AF126">
        <v>87.375520892696244</v>
      </c>
      <c r="AG126">
        <v>2.1961249999999999</v>
      </c>
      <c r="AH126">
        <v>13.214425</v>
      </c>
      <c r="AI126">
        <v>0.23326250000000001</v>
      </c>
      <c r="AJ126">
        <v>10.8680875</v>
      </c>
      <c r="AK126">
        <v>0.46184999999999998</v>
      </c>
      <c r="AL126">
        <v>2.5506250000000001</v>
      </c>
      <c r="AM126">
        <v>49.975887499999999</v>
      </c>
      <c r="AN126">
        <v>7.4385374999999998</v>
      </c>
      <c r="AP126">
        <v>0.2354</v>
      </c>
      <c r="AQ126">
        <v>98.48666249999998</v>
      </c>
      <c r="AR126">
        <v>5.6378814410075299E-2</v>
      </c>
      <c r="AS126">
        <v>0.24941022862516499</v>
      </c>
      <c r="AT126">
        <v>1.4003870638403601E-2</v>
      </c>
      <c r="AU126">
        <v>0.27584699401505702</v>
      </c>
      <c r="AV126">
        <v>3.1668731762237799E-2</v>
      </c>
      <c r="AW126">
        <v>4.2427543277585897E-2</v>
      </c>
      <c r="AX126">
        <v>0.67605985245919198</v>
      </c>
      <c r="AY126">
        <v>0.10614118545597701</v>
      </c>
      <c r="BA126">
        <v>4.3851209463691802E-2</v>
      </c>
      <c r="BE126">
        <v>0.20417042272843711</v>
      </c>
      <c r="BF126">
        <v>5462</v>
      </c>
      <c r="BG126">
        <v>560850.27711975574</v>
      </c>
      <c r="BH126">
        <v>379.52115427163812</v>
      </c>
      <c r="BI126">
        <v>422.52122772250971</v>
      </c>
      <c r="BJ126">
        <v>5.1352328434635446</v>
      </c>
      <c r="BK126">
        <v>379.52115427163801</v>
      </c>
    </row>
    <row r="127" spans="1:63" x14ac:dyDescent="0.2">
      <c r="A127">
        <v>125</v>
      </c>
      <c r="B127" t="s">
        <v>69</v>
      </c>
      <c r="C127" t="s">
        <v>70</v>
      </c>
      <c r="D127" t="s">
        <v>71</v>
      </c>
      <c r="E127">
        <v>-155.29347999999999</v>
      </c>
      <c r="F127">
        <v>19.377479999999998</v>
      </c>
      <c r="G127" t="s">
        <v>112</v>
      </c>
      <c r="H127" t="s">
        <v>374</v>
      </c>
      <c r="I127" t="s">
        <v>375</v>
      </c>
      <c r="J127" t="s">
        <v>68</v>
      </c>
      <c r="K127">
        <v>4.5454525039062501</v>
      </c>
      <c r="L127">
        <v>4.1947294218750004</v>
      </c>
      <c r="M127">
        <v>59.900569166933671</v>
      </c>
      <c r="N127">
        <v>349.02791465122891</v>
      </c>
      <c r="Q127">
        <v>12.041</v>
      </c>
      <c r="R127">
        <v>1324.9639999999999</v>
      </c>
      <c r="S127">
        <v>50</v>
      </c>
      <c r="T127">
        <v>102.964445368056</v>
      </c>
      <c r="U127">
        <v>8.5439974511945654E-3</v>
      </c>
      <c r="V127">
        <v>8.4870631497651061E-2</v>
      </c>
      <c r="W127">
        <v>5.0902266472303732E-3</v>
      </c>
      <c r="X127">
        <v>0</v>
      </c>
      <c r="Y127">
        <v>0.1099613931396483</v>
      </c>
      <c r="Z127">
        <v>0.29544988439004899</v>
      </c>
      <c r="AA127">
        <v>2.8917347668925841E-2</v>
      </c>
      <c r="AB127">
        <v>1.2787098701551809</v>
      </c>
      <c r="AC127">
        <v>0.1211123313041807</v>
      </c>
      <c r="AD127">
        <v>1278.00823418288</v>
      </c>
      <c r="AE127">
        <v>50</v>
      </c>
      <c r="AF127">
        <v>87.340188881863241</v>
      </c>
      <c r="AG127">
        <v>2.1280100000000002</v>
      </c>
      <c r="AH127">
        <v>12.511455</v>
      </c>
      <c r="AI127">
        <v>0.21128</v>
      </c>
      <c r="AJ127">
        <v>10.547185000000001</v>
      </c>
      <c r="AK127">
        <v>0.43435000000000001</v>
      </c>
      <c r="AL127">
        <v>2.4173399999999998</v>
      </c>
      <c r="AM127">
        <v>50.003889999999998</v>
      </c>
      <c r="AN127">
        <v>8.5805450000000008</v>
      </c>
      <c r="AO127">
        <v>11.0444</v>
      </c>
      <c r="AP127">
        <v>0.37786999999999998</v>
      </c>
      <c r="AQ127">
        <v>98.290260000000004</v>
      </c>
      <c r="AR127">
        <v>4.7093422517846893E-2</v>
      </c>
      <c r="AS127">
        <v>0.17423154844121161</v>
      </c>
      <c r="AT127">
        <v>2.1925114974993089E-2</v>
      </c>
      <c r="AU127">
        <v>0.1853741817244248</v>
      </c>
      <c r="AV127">
        <v>1.0520403456564249E-2</v>
      </c>
      <c r="AW127">
        <v>3.5166562401109248E-2</v>
      </c>
      <c r="AX127">
        <v>0.46106226248619608</v>
      </c>
      <c r="AY127">
        <v>0.4051107053427907</v>
      </c>
      <c r="AZ127">
        <v>0.14841023100402101</v>
      </c>
      <c r="BA127">
        <v>1.7068639208924791E-2</v>
      </c>
      <c r="BD127" t="s">
        <v>376</v>
      </c>
      <c r="BE127">
        <v>0.14967336272414061</v>
      </c>
      <c r="BF127">
        <v>4618</v>
      </c>
      <c r="BG127">
        <v>227660.0917825615</v>
      </c>
      <c r="BH127">
        <v>189.02803071520279</v>
      </c>
      <c r="BI127">
        <v>269.19594704210999</v>
      </c>
      <c r="BJ127">
        <v>2.7816292571795951</v>
      </c>
      <c r="BK127">
        <v>189.0280307152029</v>
      </c>
    </row>
    <row r="128" spans="1:63" x14ac:dyDescent="0.2">
      <c r="A128">
        <v>126</v>
      </c>
      <c r="B128" t="s">
        <v>69</v>
      </c>
      <c r="C128" t="s">
        <v>81</v>
      </c>
      <c r="D128" t="s">
        <v>71</v>
      </c>
      <c r="E128">
        <v>-155.29106999999999</v>
      </c>
      <c r="F128">
        <v>19.383150000000001</v>
      </c>
      <c r="G128" t="s">
        <v>87</v>
      </c>
      <c r="H128" t="s">
        <v>377</v>
      </c>
      <c r="I128" t="s">
        <v>378</v>
      </c>
      <c r="J128" t="s">
        <v>68</v>
      </c>
      <c r="K128">
        <v>25.677230103125002</v>
      </c>
      <c r="L128">
        <v>24.908080146093749</v>
      </c>
      <c r="M128">
        <v>2009.2700010236049</v>
      </c>
      <c r="N128">
        <v>67759.697584151421</v>
      </c>
      <c r="O128" t="s">
        <v>379</v>
      </c>
      <c r="Q128">
        <v>12.089</v>
      </c>
      <c r="R128">
        <v>1325.0039999999999</v>
      </c>
      <c r="S128">
        <v>50</v>
      </c>
      <c r="T128">
        <v>102.96464741706779</v>
      </c>
      <c r="U128">
        <v>3.7559822833280222E-2</v>
      </c>
      <c r="V128">
        <v>8.4950691427010838E-2</v>
      </c>
      <c r="W128">
        <v>1.5360466344552921E-2</v>
      </c>
      <c r="X128">
        <v>0</v>
      </c>
      <c r="Y128">
        <v>0.1133884876028355</v>
      </c>
      <c r="Z128">
        <v>0.28533176000946359</v>
      </c>
      <c r="AA128">
        <v>5.8408021103327649E-2</v>
      </c>
      <c r="AB128">
        <v>1.2362496653927679</v>
      </c>
      <c r="AC128">
        <v>0.2452635619512632</v>
      </c>
      <c r="AD128">
        <v>1219.7391317957281</v>
      </c>
      <c r="AE128">
        <v>50</v>
      </c>
      <c r="AF128">
        <v>84.29042768869131</v>
      </c>
      <c r="AG128">
        <v>2.2102200000000001</v>
      </c>
      <c r="AH128">
        <v>12.516225</v>
      </c>
      <c r="AI128">
        <v>0.22873499999999999</v>
      </c>
      <c r="AJ128">
        <v>10.535360000000001</v>
      </c>
      <c r="AK128">
        <v>0.37534499999999998</v>
      </c>
      <c r="AL128">
        <v>2.4377900000000001</v>
      </c>
      <c r="AM128">
        <v>50.224780000000003</v>
      </c>
      <c r="AN128">
        <v>8.9844449999999991</v>
      </c>
      <c r="AP128">
        <v>0.178455</v>
      </c>
      <c r="AQ128">
        <v>99.610560000000007</v>
      </c>
      <c r="AR128">
        <v>1.7587090435884831E-2</v>
      </c>
      <c r="AS128">
        <v>0.12699126938494701</v>
      </c>
      <c r="AT128">
        <v>8.073250584491971E-3</v>
      </c>
      <c r="AU128">
        <v>6.9056800896073786E-2</v>
      </c>
      <c r="AV128">
        <v>2.248073063759274E-2</v>
      </c>
      <c r="AW128">
        <v>2.1205111412109991E-2</v>
      </c>
      <c r="AX128">
        <v>0.5052093298821787</v>
      </c>
      <c r="AY128">
        <v>0.13192220766421431</v>
      </c>
      <c r="BA128">
        <v>1.2962040734390541E-2</v>
      </c>
      <c r="BB128">
        <v>5</v>
      </c>
      <c r="BC128" t="s">
        <v>86</v>
      </c>
    </row>
    <row r="129" spans="1:63" x14ac:dyDescent="0.2">
      <c r="A129">
        <v>127</v>
      </c>
      <c r="B129" t="s">
        <v>62</v>
      </c>
      <c r="C129" t="s">
        <v>63</v>
      </c>
      <c r="D129" t="s">
        <v>64</v>
      </c>
      <c r="E129">
        <v>-155.26785000000001</v>
      </c>
      <c r="F129">
        <v>19.407830000000001</v>
      </c>
      <c r="G129" t="s">
        <v>65</v>
      </c>
      <c r="H129" t="s">
        <v>380</v>
      </c>
      <c r="I129" t="s">
        <v>381</v>
      </c>
      <c r="J129" t="s">
        <v>68</v>
      </c>
      <c r="K129">
        <v>4.8462549351562503</v>
      </c>
      <c r="L129">
        <v>4.6273363187499994</v>
      </c>
      <c r="M129">
        <v>70.451005277359499</v>
      </c>
      <c r="N129">
        <v>444.94935161633072</v>
      </c>
      <c r="Q129">
        <v>11.847</v>
      </c>
      <c r="R129">
        <v>1325.0039999999999</v>
      </c>
      <c r="S129">
        <v>50</v>
      </c>
      <c r="T129">
        <v>102.96645030000001</v>
      </c>
      <c r="U129">
        <v>1.700439212E-2</v>
      </c>
      <c r="V129">
        <v>8.5665054229999996E-2</v>
      </c>
      <c r="W129">
        <v>7.736050857E-3</v>
      </c>
      <c r="X129">
        <v>-0.30904354895413372</v>
      </c>
      <c r="Y129">
        <v>0.1082326586362089</v>
      </c>
      <c r="Z129">
        <v>0.3007251646216213</v>
      </c>
      <c r="AA129">
        <v>3.5554393230445631E-2</v>
      </c>
      <c r="AB129">
        <v>1.300811549779074</v>
      </c>
      <c r="AC129">
        <v>0.14857643562350811</v>
      </c>
      <c r="AD129">
        <v>1292.6555928325249</v>
      </c>
      <c r="AE129">
        <v>50</v>
      </c>
      <c r="AF129">
        <v>87.970453750000004</v>
      </c>
      <c r="BE129">
        <v>0.26571903315978301</v>
      </c>
      <c r="BF129">
        <v>7862</v>
      </c>
      <c r="BG129">
        <v>502904.59589343407</v>
      </c>
      <c r="BH129">
        <v>315.38209278756528</v>
      </c>
      <c r="BI129">
        <v>400.09936850755503</v>
      </c>
      <c r="BJ129">
        <v>3.556890626646291</v>
      </c>
      <c r="BK129">
        <v>315.38209278756523</v>
      </c>
    </row>
    <row r="130" spans="1:63" x14ac:dyDescent="0.2">
      <c r="A130">
        <v>128</v>
      </c>
      <c r="B130" t="s">
        <v>69</v>
      </c>
      <c r="C130" t="s">
        <v>76</v>
      </c>
      <c r="D130" t="s">
        <v>71</v>
      </c>
      <c r="E130">
        <v>-155.29812000000001</v>
      </c>
      <c r="F130">
        <v>19.375624999999999</v>
      </c>
      <c r="G130" t="s">
        <v>77</v>
      </c>
      <c r="H130" t="s">
        <v>382</v>
      </c>
      <c r="I130" t="s">
        <v>383</v>
      </c>
      <c r="J130" t="s">
        <v>68</v>
      </c>
      <c r="K130">
        <v>3.2996445984374998</v>
      </c>
      <c r="L130">
        <v>2.6911821843750001</v>
      </c>
      <c r="M130">
        <v>27.89716921628052</v>
      </c>
      <c r="N130">
        <v>111.41807233703049</v>
      </c>
      <c r="Q130">
        <v>11.887</v>
      </c>
      <c r="R130">
        <v>1324.9639999999999</v>
      </c>
      <c r="S130">
        <v>50</v>
      </c>
      <c r="T130">
        <v>102.9666581745403</v>
      </c>
      <c r="U130">
        <v>3.0086419845925229E-2</v>
      </c>
      <c r="V130">
        <v>8.5747434255523558E-2</v>
      </c>
      <c r="W130">
        <v>1.2512756305210711E-2</v>
      </c>
      <c r="X130">
        <v>0</v>
      </c>
      <c r="Y130">
        <v>0.1114035095782067</v>
      </c>
      <c r="Z130">
        <v>0.29115704539509801</v>
      </c>
      <c r="AA130">
        <v>4.9422132723512098E-2</v>
      </c>
      <c r="AB130">
        <v>1.2607062173095851</v>
      </c>
      <c r="AC130">
        <v>0.2071867685555378</v>
      </c>
      <c r="AD130">
        <v>1237.8484798710019</v>
      </c>
      <c r="AE130">
        <v>50</v>
      </c>
      <c r="AF130">
        <v>85.356159211371093</v>
      </c>
      <c r="AG130">
        <v>2.5039199999999999</v>
      </c>
      <c r="AH130">
        <v>14.096819999999999</v>
      </c>
      <c r="AI130">
        <v>0.27322000000000002</v>
      </c>
      <c r="AJ130">
        <v>10.95044</v>
      </c>
      <c r="AK130">
        <v>0.52094000000000007</v>
      </c>
      <c r="AL130">
        <v>2.9191400000000001</v>
      </c>
      <c r="AM130">
        <v>50.91704</v>
      </c>
      <c r="AN130">
        <v>6.4346599999999992</v>
      </c>
      <c r="AO130">
        <v>10.86684</v>
      </c>
      <c r="AP130">
        <v>0.19492000000000001</v>
      </c>
      <c r="AQ130">
        <v>99.70778</v>
      </c>
      <c r="AR130">
        <v>5.8797253337209539E-2</v>
      </c>
      <c r="AS130">
        <v>0.138496180452748</v>
      </c>
      <c r="AT130">
        <v>2.822688434808206E-2</v>
      </c>
      <c r="AU130">
        <v>7.1287502411011894E-2</v>
      </c>
      <c r="AV130">
        <v>1.2819243347405491E-2</v>
      </c>
      <c r="AW130">
        <v>2.3721045508155889E-2</v>
      </c>
      <c r="AX130">
        <v>0.39733328327740491</v>
      </c>
      <c r="AY130">
        <v>8.3972662218129629E-2</v>
      </c>
      <c r="AZ130">
        <v>5.8132675837260117E-2</v>
      </c>
      <c r="BA130">
        <v>1.931080008699795E-2</v>
      </c>
      <c r="BD130" t="s">
        <v>384</v>
      </c>
      <c r="BE130">
        <v>8.7174437318678702E-2</v>
      </c>
      <c r="BF130">
        <v>3004</v>
      </c>
      <c r="BG130">
        <v>148025.79724717201</v>
      </c>
      <c r="BH130">
        <v>31.3364909924302</v>
      </c>
      <c r="BI130">
        <v>217.06698199867299</v>
      </c>
      <c r="BJ130">
        <v>0.57174239835737894</v>
      </c>
      <c r="BK130">
        <v>31.3364909924302</v>
      </c>
    </row>
    <row r="131" spans="1:63" x14ac:dyDescent="0.2">
      <c r="A131">
        <v>129</v>
      </c>
      <c r="B131" t="s">
        <v>69</v>
      </c>
      <c r="C131" t="s">
        <v>308</v>
      </c>
      <c r="D131" t="s">
        <v>64</v>
      </c>
      <c r="E131">
        <v>-155.2774</v>
      </c>
      <c r="F131">
        <v>19.402283329999999</v>
      </c>
      <c r="G131" t="s">
        <v>309</v>
      </c>
      <c r="H131" t="s">
        <v>385</v>
      </c>
      <c r="I131" t="s">
        <v>386</v>
      </c>
      <c r="J131" t="s">
        <v>68</v>
      </c>
      <c r="K131">
        <v>7.3539685578124994</v>
      </c>
      <c r="L131">
        <v>6.7636960898437506</v>
      </c>
      <c r="M131">
        <v>156.26284491393599</v>
      </c>
      <c r="N131">
        <v>1470.7109609224431</v>
      </c>
      <c r="O131" t="s">
        <v>387</v>
      </c>
      <c r="Q131">
        <v>10.000999999999999</v>
      </c>
      <c r="R131">
        <v>1324.9639999999999</v>
      </c>
      <c r="S131">
        <v>50</v>
      </c>
      <c r="T131">
        <v>102.9683944287127</v>
      </c>
      <c r="U131">
        <v>1.3109409459693751E-2</v>
      </c>
      <c r="V131">
        <v>8.6435407857130997E-2</v>
      </c>
      <c r="W131">
        <v>6.4366379445363886E-3</v>
      </c>
      <c r="X131">
        <v>0</v>
      </c>
      <c r="Y131">
        <v>0.1138910912103042</v>
      </c>
      <c r="Z131">
        <v>0.28390515745470268</v>
      </c>
      <c r="AA131">
        <v>3.1421893049581873E-2</v>
      </c>
      <c r="AB131">
        <v>1.230255724912743</v>
      </c>
      <c r="AC131">
        <v>0.13181374894691231</v>
      </c>
      <c r="AD131">
        <v>1185.70000743436</v>
      </c>
      <c r="AE131">
        <v>50</v>
      </c>
      <c r="AF131">
        <v>81.794079715025291</v>
      </c>
      <c r="AG131">
        <v>2.3267000000000002</v>
      </c>
      <c r="AH131">
        <v>13.5229384615385</v>
      </c>
      <c r="AI131">
        <v>0.27728461538461502</v>
      </c>
      <c r="AJ131">
        <v>10.5531076923077</v>
      </c>
      <c r="AK131">
        <v>0.54219230769230797</v>
      </c>
      <c r="AL131">
        <v>2.8134692307692299</v>
      </c>
      <c r="AM131">
        <v>49.582307692307701</v>
      </c>
      <c r="AN131">
        <v>6.2924769230769204</v>
      </c>
      <c r="AP131">
        <v>0.17131538461538501</v>
      </c>
      <c r="AQ131">
        <v>97.508507692307774</v>
      </c>
      <c r="AR131">
        <v>0.15754459157119099</v>
      </c>
      <c r="AS131">
        <v>0.25828299253100101</v>
      </c>
      <c r="AT131">
        <v>3.3931029215008297E-2</v>
      </c>
      <c r="AU131">
        <v>0.14495579476480899</v>
      </c>
      <c r="AV131">
        <v>5.80211091118061E-2</v>
      </c>
      <c r="AW131">
        <v>5.1717153579436098E-2</v>
      </c>
      <c r="AX131">
        <v>0.58735311988266403</v>
      </c>
      <c r="AY131">
        <v>0.17920673421984901</v>
      </c>
      <c r="BA131">
        <v>4.0360043073850597E-2</v>
      </c>
      <c r="BE131">
        <v>7.5601626509141456E-2</v>
      </c>
      <c r="BF131">
        <v>22257</v>
      </c>
      <c r="BG131">
        <v>89536.551256157458</v>
      </c>
      <c r="BH131">
        <v>89.255504295937143</v>
      </c>
      <c r="BI131">
        <v>168.82052434356621</v>
      </c>
      <c r="BJ131">
        <v>0.59827615684341906</v>
      </c>
      <c r="BK131">
        <v>89.255504295937143</v>
      </c>
    </row>
    <row r="132" spans="1:63" x14ac:dyDescent="0.2">
      <c r="A132">
        <v>130</v>
      </c>
      <c r="B132" t="s">
        <v>69</v>
      </c>
      <c r="C132" t="s">
        <v>91</v>
      </c>
      <c r="D132" t="s">
        <v>92</v>
      </c>
      <c r="E132">
        <v>-155.28360000000001</v>
      </c>
      <c r="F132">
        <v>19.4285</v>
      </c>
      <c r="G132" t="s">
        <v>134</v>
      </c>
      <c r="H132" t="s">
        <v>388</v>
      </c>
      <c r="I132" t="s">
        <v>389</v>
      </c>
      <c r="J132" t="s">
        <v>68</v>
      </c>
      <c r="K132">
        <v>4.6444801976562502</v>
      </c>
      <c r="L132">
        <v>3.99876616875</v>
      </c>
      <c r="M132">
        <v>58.34625656299481</v>
      </c>
      <c r="N132">
        <v>336.20071335434119</v>
      </c>
      <c r="O132" t="s">
        <v>390</v>
      </c>
      <c r="Q132">
        <v>11.968</v>
      </c>
      <c r="R132">
        <v>1325.0039999999999</v>
      </c>
      <c r="S132">
        <v>50</v>
      </c>
      <c r="T132">
        <v>102.9687456905144</v>
      </c>
      <c r="U132">
        <v>4.1860278236712433E-3</v>
      </c>
      <c r="V132">
        <v>8.6574591883675112E-2</v>
      </c>
      <c r="W132">
        <v>4.1471528068431334E-3</v>
      </c>
      <c r="X132">
        <v>0</v>
      </c>
      <c r="Y132">
        <v>0.1051690106283896</v>
      </c>
      <c r="Z132">
        <v>0.31034740283646223</v>
      </c>
      <c r="AA132">
        <v>2.489696238232042E-2</v>
      </c>
      <c r="AB132">
        <v>1.3410626458137409</v>
      </c>
      <c r="AC132">
        <v>0.1039503260713423</v>
      </c>
      <c r="AD132">
        <v>1329.4031163078421</v>
      </c>
      <c r="AE132">
        <v>50</v>
      </c>
      <c r="AF132">
        <v>89.395780832372125</v>
      </c>
      <c r="AG132">
        <v>2.5157387096774189</v>
      </c>
      <c r="AH132">
        <v>13.241580645161291</v>
      </c>
      <c r="AJ132">
        <v>11.11674838709677</v>
      </c>
      <c r="AK132">
        <v>0.71593870967741935</v>
      </c>
      <c r="AL132">
        <v>3.0286258064516129</v>
      </c>
      <c r="AM132">
        <v>48.480519354838712</v>
      </c>
      <c r="AN132">
        <v>6.4584548387096774</v>
      </c>
      <c r="AP132">
        <v>1.553225806451613E-2</v>
      </c>
      <c r="AQ132">
        <v>96.565938709677425</v>
      </c>
      <c r="AR132">
        <v>0.13894562408227509</v>
      </c>
      <c r="AS132">
        <v>0.1729350637654776</v>
      </c>
      <c r="AU132">
        <v>0.21495337769071041</v>
      </c>
      <c r="AV132">
        <v>7.7865408140882678E-2</v>
      </c>
      <c r="AW132">
        <v>0.14998665711265111</v>
      </c>
      <c r="AX132">
        <v>0.66558597962965682</v>
      </c>
      <c r="AY132">
        <v>0.26837320636097978</v>
      </c>
      <c r="BA132">
        <v>5.6058533157628621E-3</v>
      </c>
      <c r="BB132">
        <v>31</v>
      </c>
      <c r="BC132" t="s">
        <v>86</v>
      </c>
    </row>
    <row r="133" spans="1:63" x14ac:dyDescent="0.2">
      <c r="A133">
        <v>131</v>
      </c>
      <c r="B133" t="s">
        <v>69</v>
      </c>
      <c r="C133" t="s">
        <v>236</v>
      </c>
      <c r="D133" t="s">
        <v>64</v>
      </c>
      <c r="E133">
        <v>-155.292979</v>
      </c>
      <c r="F133">
        <v>19.400748</v>
      </c>
      <c r="G133" t="s">
        <v>237</v>
      </c>
      <c r="H133" t="s">
        <v>238</v>
      </c>
      <c r="I133" t="s">
        <v>391</v>
      </c>
      <c r="J133" t="s">
        <v>68</v>
      </c>
      <c r="K133">
        <v>9.3305706234375005</v>
      </c>
      <c r="L133">
        <v>8.0688392507812488</v>
      </c>
      <c r="M133">
        <v>236.52069177364061</v>
      </c>
      <c r="N133">
        <v>2743.5469732688871</v>
      </c>
      <c r="Q133">
        <v>9.911999999999999</v>
      </c>
      <c r="R133">
        <v>1324.9639999999999</v>
      </c>
      <c r="S133">
        <v>50</v>
      </c>
      <c r="T133">
        <v>102.96896266106231</v>
      </c>
      <c r="U133">
        <v>1.5979107749520671E-2</v>
      </c>
      <c r="V133">
        <v>8.6660564324591391E-2</v>
      </c>
      <c r="W133">
        <v>7.5043406310159088E-3</v>
      </c>
      <c r="X133">
        <v>2.4036634768424778</v>
      </c>
      <c r="Y133">
        <v>0.1133324638135349</v>
      </c>
      <c r="Z133">
        <v>0.28552213911737229</v>
      </c>
      <c r="AA133">
        <v>3.6103051684170738E-2</v>
      </c>
      <c r="AB133">
        <v>1.237049416367535</v>
      </c>
      <c r="AC133">
        <v>0.15140217985404611</v>
      </c>
      <c r="AD133">
        <v>1190.672189489643</v>
      </c>
      <c r="AE133">
        <v>50</v>
      </c>
      <c r="AF133">
        <v>82.214597715722491</v>
      </c>
      <c r="AG133">
        <v>2.0274999999999999</v>
      </c>
      <c r="AH133">
        <v>12.7525</v>
      </c>
      <c r="AI133">
        <v>0.17249999999999999</v>
      </c>
      <c r="AJ133">
        <v>11.092499999999999</v>
      </c>
      <c r="AK133">
        <v>0.51750000000000007</v>
      </c>
      <c r="AL133">
        <v>2.5150000000000001</v>
      </c>
      <c r="AM133">
        <v>50.63</v>
      </c>
      <c r="AN133">
        <v>7.415</v>
      </c>
      <c r="AP133">
        <v>1685.75</v>
      </c>
      <c r="AR133">
        <v>0.17231270024773751</v>
      </c>
      <c r="AS133">
        <v>0.13450526631573459</v>
      </c>
      <c r="AT133">
        <v>4.9999999999999836E-3</v>
      </c>
      <c r="AU133">
        <v>0.29227555491350982</v>
      </c>
      <c r="AV133">
        <v>2.061552812808835E-2</v>
      </c>
      <c r="AW133">
        <v>6.2449979983983737E-2</v>
      </c>
      <c r="AX133">
        <v>0.21556128285632961</v>
      </c>
      <c r="AY133">
        <v>0.39770173078158311</v>
      </c>
      <c r="BA133">
        <v>51.951098801340748</v>
      </c>
      <c r="BE133">
        <v>7.2508869559464534E-2</v>
      </c>
      <c r="BF133">
        <v>9539</v>
      </c>
      <c r="BG133">
        <v>153437.1832708786</v>
      </c>
      <c r="BH133">
        <v>12.21782995968365</v>
      </c>
      <c r="BI133">
        <v>220.99903244882049</v>
      </c>
      <c r="BJ133">
        <v>0.12509577793000001</v>
      </c>
      <c r="BK133">
        <v>12.21782995968365</v>
      </c>
    </row>
    <row r="134" spans="1:63" x14ac:dyDescent="0.2">
      <c r="A134">
        <v>132</v>
      </c>
      <c r="B134" t="s">
        <v>69</v>
      </c>
      <c r="C134" t="s">
        <v>308</v>
      </c>
      <c r="D134" t="s">
        <v>64</v>
      </c>
      <c r="E134">
        <v>-155.2774</v>
      </c>
      <c r="F134">
        <v>19.402283329999999</v>
      </c>
      <c r="G134" t="s">
        <v>309</v>
      </c>
      <c r="H134" t="s">
        <v>392</v>
      </c>
      <c r="I134" t="s">
        <v>393</v>
      </c>
      <c r="J134" t="s">
        <v>68</v>
      </c>
      <c r="K134">
        <v>9.3365564523437516</v>
      </c>
      <c r="L134">
        <v>8.5008068843750006</v>
      </c>
      <c r="M134">
        <v>249.3427531201865</v>
      </c>
      <c r="N134">
        <v>2965.078188521687</v>
      </c>
      <c r="O134" t="s">
        <v>394</v>
      </c>
      <c r="Q134">
        <v>10.007999999999999</v>
      </c>
      <c r="R134">
        <v>1324.9639999999999</v>
      </c>
      <c r="S134">
        <v>50</v>
      </c>
      <c r="T134">
        <v>102.969509671842</v>
      </c>
      <c r="U134">
        <v>2.6744992827127212E-3</v>
      </c>
      <c r="V134">
        <v>8.6877311954211223E-2</v>
      </c>
      <c r="W134">
        <v>3.9459638298623432E-3</v>
      </c>
      <c r="X134">
        <v>0</v>
      </c>
      <c r="Y134">
        <v>0.11328939258480759</v>
      </c>
      <c r="Z134">
        <v>0.28565051129386942</v>
      </c>
      <c r="AA134">
        <v>2.3412924863318259E-2</v>
      </c>
      <c r="AB134">
        <v>1.237588668439475</v>
      </c>
      <c r="AC134">
        <v>9.8344952464587646E-2</v>
      </c>
      <c r="AD134">
        <v>1187.642249940403</v>
      </c>
      <c r="AE134">
        <v>50</v>
      </c>
      <c r="AF134">
        <v>81.961284416252838</v>
      </c>
      <c r="AG134">
        <v>2.3267000000000002</v>
      </c>
      <c r="AH134">
        <v>13.5229384615385</v>
      </c>
      <c r="AI134">
        <v>0.27728461538461502</v>
      </c>
      <c r="AJ134">
        <v>10.5531076923077</v>
      </c>
      <c r="AK134">
        <v>0.54219230769230797</v>
      </c>
      <c r="AL134">
        <v>2.8134692307692299</v>
      </c>
      <c r="AM134">
        <v>49.582307692307701</v>
      </c>
      <c r="AN134">
        <v>6.2924769230769204</v>
      </c>
      <c r="AP134">
        <v>0.17131538461538501</v>
      </c>
      <c r="AQ134">
        <v>97.508507692307774</v>
      </c>
      <c r="AR134">
        <v>0.15754459157119099</v>
      </c>
      <c r="AS134">
        <v>0.25828299253100101</v>
      </c>
      <c r="AT134">
        <v>3.3931029215008297E-2</v>
      </c>
      <c r="AU134">
        <v>0.14495579476480899</v>
      </c>
      <c r="AV134">
        <v>5.80211091118061E-2</v>
      </c>
      <c r="AW134">
        <v>5.1717153579436098E-2</v>
      </c>
      <c r="AX134">
        <v>0.58735311988266403</v>
      </c>
      <c r="AY134">
        <v>0.17920673421984901</v>
      </c>
      <c r="BA134">
        <v>4.0360043073850597E-2</v>
      </c>
      <c r="BE134">
        <v>8.326759184390653E-2</v>
      </c>
      <c r="BF134">
        <v>18960</v>
      </c>
      <c r="BG134">
        <v>170979.05127262839</v>
      </c>
      <c r="BH134">
        <v>44.671826270902727</v>
      </c>
      <c r="BI134">
        <v>233.29021057558941</v>
      </c>
      <c r="BJ134">
        <v>0.32442517019133538</v>
      </c>
      <c r="BK134">
        <v>44.671826270902727</v>
      </c>
    </row>
    <row r="135" spans="1:63" x14ac:dyDescent="0.2">
      <c r="A135">
        <v>133</v>
      </c>
      <c r="B135" t="s">
        <v>69</v>
      </c>
      <c r="C135" t="s">
        <v>321</v>
      </c>
      <c r="D135" t="s">
        <v>322</v>
      </c>
      <c r="E135">
        <v>-155.27718329999999</v>
      </c>
      <c r="F135">
        <v>19.40966667</v>
      </c>
      <c r="G135" t="s">
        <v>323</v>
      </c>
      <c r="H135" t="s">
        <v>324</v>
      </c>
      <c r="I135" t="s">
        <v>395</v>
      </c>
      <c r="J135" t="s">
        <v>68</v>
      </c>
      <c r="K135">
        <v>15.1836652265625</v>
      </c>
      <c r="L135">
        <v>7.8786293671875001</v>
      </c>
      <c r="M135">
        <v>375.81764170047541</v>
      </c>
      <c r="N135">
        <v>5778.1447776164987</v>
      </c>
      <c r="O135" t="s">
        <v>396</v>
      </c>
      <c r="Q135">
        <v>10.081</v>
      </c>
      <c r="R135">
        <v>1324.9639999999999</v>
      </c>
      <c r="S135">
        <v>50</v>
      </c>
      <c r="T135">
        <v>102.9696612751293</v>
      </c>
      <c r="U135">
        <v>2.6129213502735459E-2</v>
      </c>
      <c r="V135">
        <v>8.6937383262451817E-2</v>
      </c>
      <c r="W135">
        <v>1.102911346759715E-2</v>
      </c>
      <c r="X135">
        <v>0</v>
      </c>
      <c r="Y135">
        <v>0.1132017677065331</v>
      </c>
      <c r="Z135">
        <v>0.2859055968807247</v>
      </c>
      <c r="AA135">
        <v>4.5971764717994593E-2</v>
      </c>
      <c r="AB135">
        <v>1.2386601613652191</v>
      </c>
      <c r="AC135">
        <v>0.1927629453150709</v>
      </c>
      <c r="AD135">
        <v>1188.001796421624</v>
      </c>
      <c r="AE135">
        <v>50</v>
      </c>
      <c r="AF135">
        <v>81.991813098819151</v>
      </c>
      <c r="AG135">
        <v>2.3548666666666702</v>
      </c>
      <c r="AH135">
        <v>13.693199999999999</v>
      </c>
      <c r="AI135">
        <v>0.31578888888888901</v>
      </c>
      <c r="AJ135">
        <v>10.647211111111099</v>
      </c>
      <c r="AK135">
        <v>0.57640000000000002</v>
      </c>
      <c r="AL135">
        <v>2.9864222222222199</v>
      </c>
      <c r="AM135">
        <v>50.176744444444402</v>
      </c>
      <c r="AN135">
        <v>6.02064444444445</v>
      </c>
      <c r="AP135">
        <v>0.192211111111111</v>
      </c>
      <c r="AQ135">
        <v>98.596999999999909</v>
      </c>
      <c r="AR135">
        <v>0.13013498760902101</v>
      </c>
      <c r="AS135">
        <v>0.18486291542653999</v>
      </c>
      <c r="AT135">
        <v>3.2683881518435202E-2</v>
      </c>
      <c r="AU135">
        <v>0.25932300054393698</v>
      </c>
      <c r="AV135">
        <v>5.4947019937390602E-2</v>
      </c>
      <c r="AW135">
        <v>8.2598785974398195E-2</v>
      </c>
      <c r="AX135">
        <v>1.0616485472027799</v>
      </c>
      <c r="AY135">
        <v>0.12895273466575999</v>
      </c>
      <c r="BA135">
        <v>3.7379287193726803E-2</v>
      </c>
      <c r="BE135">
        <v>8.6883593079223873E-2</v>
      </c>
      <c r="BF135">
        <v>11086</v>
      </c>
      <c r="BG135">
        <v>178116.17961338701</v>
      </c>
      <c r="BH135">
        <v>191.49012603043391</v>
      </c>
      <c r="BI135">
        <v>238.10951442609101</v>
      </c>
      <c r="BJ135">
        <v>1.8186911264968459</v>
      </c>
      <c r="BK135">
        <v>191.49012603043391</v>
      </c>
    </row>
    <row r="136" spans="1:63" x14ac:dyDescent="0.2">
      <c r="A136">
        <v>134</v>
      </c>
      <c r="B136" t="s">
        <v>69</v>
      </c>
      <c r="C136" t="s">
        <v>157</v>
      </c>
      <c r="D136" t="s">
        <v>64</v>
      </c>
      <c r="G136" t="s">
        <v>158</v>
      </c>
      <c r="H136" t="s">
        <v>301</v>
      </c>
      <c r="I136" t="s">
        <v>397</v>
      </c>
      <c r="J136" t="s">
        <v>68</v>
      </c>
      <c r="K136">
        <v>6.6210822632812496</v>
      </c>
      <c r="L136">
        <v>6.5355372132812501</v>
      </c>
      <c r="M136">
        <v>135.94403253591</v>
      </c>
      <c r="N136">
        <v>1192.375937456266</v>
      </c>
      <c r="Q136">
        <v>10.164</v>
      </c>
      <c r="R136">
        <v>1324.9639999999999</v>
      </c>
      <c r="S136">
        <v>50</v>
      </c>
      <c r="T136">
        <v>102.9697775058403</v>
      </c>
      <c r="U136">
        <v>2.0833483432447401E-2</v>
      </c>
      <c r="V136">
        <v>8.6983438536002211E-2</v>
      </c>
      <c r="W136">
        <v>9.0881020860767853E-3</v>
      </c>
      <c r="X136">
        <v>0.81191074998400026</v>
      </c>
      <c r="Y136">
        <v>0.1132737352846938</v>
      </c>
      <c r="Z136">
        <v>0.2856976427859122</v>
      </c>
      <c r="AA136">
        <v>3.7959979875907129E-2</v>
      </c>
      <c r="AB136">
        <v>1.2377866496990131</v>
      </c>
      <c r="AC136">
        <v>0.15920182854578371</v>
      </c>
      <c r="AD136">
        <v>1186.078769574839</v>
      </c>
      <c r="AE136">
        <v>50</v>
      </c>
      <c r="AF136">
        <v>81.826995948338407</v>
      </c>
      <c r="AG136">
        <v>2.4084062500000001</v>
      </c>
      <c r="AH136">
        <v>13.3720625</v>
      </c>
      <c r="AI136">
        <v>0.31026874999999998</v>
      </c>
      <c r="AJ136">
        <v>10.387225000000001</v>
      </c>
      <c r="AK136">
        <v>0.59164375000000002</v>
      </c>
      <c r="AL136">
        <v>3.0521875000000001</v>
      </c>
      <c r="AM136">
        <v>49.819099999999999</v>
      </c>
      <c r="AN136">
        <v>5.8739499999999998</v>
      </c>
      <c r="AP136">
        <v>0.19186249999999999</v>
      </c>
      <c r="AQ136">
        <v>97.820293750000005</v>
      </c>
      <c r="AR136">
        <v>8.7457962997469094E-2</v>
      </c>
      <c r="AS136">
        <v>0.20894986918716499</v>
      </c>
      <c r="AT136">
        <v>3.6791968666182201E-2</v>
      </c>
      <c r="AU136">
        <v>0.19989042831845</v>
      </c>
      <c r="AV136">
        <v>2.81971149528931E-2</v>
      </c>
      <c r="AW136">
        <v>5.5804024645778501E-2</v>
      </c>
      <c r="AX136">
        <v>0.88416756556661702</v>
      </c>
      <c r="AY136">
        <v>0.205613822492555</v>
      </c>
      <c r="BA136">
        <v>4.9243326112953303E-2</v>
      </c>
      <c r="BE136">
        <v>0.19787431028529701</v>
      </c>
      <c r="BF136">
        <v>2579</v>
      </c>
      <c r="BG136">
        <v>64735.699940791732</v>
      </c>
      <c r="BH136">
        <v>479.2230280550271</v>
      </c>
      <c r="BI136">
        <v>143.54794766969479</v>
      </c>
      <c r="BJ136">
        <v>9.4365231120602466</v>
      </c>
      <c r="BK136">
        <v>479.22302805502721</v>
      </c>
    </row>
    <row r="137" spans="1:63" x14ac:dyDescent="0.2">
      <c r="A137">
        <v>135</v>
      </c>
      <c r="B137" t="s">
        <v>62</v>
      </c>
      <c r="C137" t="s">
        <v>63</v>
      </c>
      <c r="D137" t="s">
        <v>64</v>
      </c>
      <c r="E137">
        <v>-155.26785000000001</v>
      </c>
      <c r="F137">
        <v>19.407830000000001</v>
      </c>
      <c r="G137" t="s">
        <v>65</v>
      </c>
      <c r="H137" t="s">
        <v>398</v>
      </c>
      <c r="I137" t="s">
        <v>399</v>
      </c>
      <c r="J137" t="s">
        <v>68</v>
      </c>
      <c r="K137">
        <v>3.85330471484375</v>
      </c>
      <c r="L137">
        <v>3.1380853328125</v>
      </c>
      <c r="M137">
        <v>37.988135252345138</v>
      </c>
      <c r="N137">
        <v>177.05991382151021</v>
      </c>
      <c r="Q137">
        <v>15.9275</v>
      </c>
      <c r="R137">
        <v>1325.0039999999999</v>
      </c>
      <c r="S137">
        <v>50</v>
      </c>
      <c r="T137">
        <v>102.9708638</v>
      </c>
      <c r="U137">
        <v>1.3375763860000001E-2</v>
      </c>
      <c r="V137">
        <v>8.7413885730000002E-2</v>
      </c>
      <c r="W137">
        <v>6.5444735270000004E-3</v>
      </c>
      <c r="X137">
        <v>0</v>
      </c>
      <c r="Y137">
        <v>0.1128679236191414</v>
      </c>
      <c r="Z137">
        <v>0.2868838450099222</v>
      </c>
      <c r="AA137">
        <v>3.7403068597760783E-2</v>
      </c>
      <c r="AB137">
        <v>1.2427687819523181</v>
      </c>
      <c r="AC137">
        <v>0.1569131055178955</v>
      </c>
      <c r="AD137">
        <v>1185.169403763917</v>
      </c>
      <c r="AE137">
        <v>50</v>
      </c>
      <c r="AF137">
        <v>81.747709650000004</v>
      </c>
      <c r="BE137">
        <v>8.8218145935499329E-2</v>
      </c>
      <c r="BF137">
        <v>1494</v>
      </c>
      <c r="BG137">
        <v>95302.665534155283</v>
      </c>
      <c r="BH137">
        <v>55.478751611619771</v>
      </c>
      <c r="BI137">
        <v>174.1716986745804</v>
      </c>
      <c r="BJ137">
        <v>1.435328740962992</v>
      </c>
      <c r="BK137">
        <v>55.478751611619771</v>
      </c>
    </row>
    <row r="138" spans="1:63" x14ac:dyDescent="0.2">
      <c r="A138">
        <v>136</v>
      </c>
      <c r="B138" t="s">
        <v>69</v>
      </c>
      <c r="C138" t="s">
        <v>143</v>
      </c>
      <c r="D138" t="s">
        <v>144</v>
      </c>
      <c r="E138">
        <v>-155.22516669999999</v>
      </c>
      <c r="F138">
        <v>19.371883329999999</v>
      </c>
      <c r="G138" t="s">
        <v>145</v>
      </c>
      <c r="H138" t="s">
        <v>273</v>
      </c>
      <c r="I138" t="s">
        <v>400</v>
      </c>
      <c r="J138" t="s">
        <v>68</v>
      </c>
      <c r="K138">
        <v>7.4294597398437494</v>
      </c>
      <c r="L138">
        <v>6.9397840664062498</v>
      </c>
      <c r="M138">
        <v>161.976892840848</v>
      </c>
      <c r="N138">
        <v>1551.6569761393159</v>
      </c>
      <c r="Q138">
        <v>10.1</v>
      </c>
      <c r="R138">
        <v>1324.9639999999999</v>
      </c>
      <c r="S138">
        <v>100</v>
      </c>
      <c r="T138">
        <v>102.97117703634891</v>
      </c>
      <c r="U138">
        <v>1.9698328800301111E-2</v>
      </c>
      <c r="V138">
        <v>8.7537988704902148E-2</v>
      </c>
      <c r="W138">
        <v>8.6815711336662733E-3</v>
      </c>
      <c r="X138">
        <v>0</v>
      </c>
      <c r="Y138">
        <v>0.1093757767903998</v>
      </c>
      <c r="Z138">
        <v>0.29726428465626298</v>
      </c>
      <c r="AA138">
        <v>3.9549900495058028E-2</v>
      </c>
      <c r="AB138">
        <v>1.28631436823559</v>
      </c>
      <c r="AC138">
        <v>0.1654552295145022</v>
      </c>
      <c r="AD138">
        <v>1239.361203480009</v>
      </c>
      <c r="AE138">
        <v>50</v>
      </c>
      <c r="AF138">
        <v>85.439421931851385</v>
      </c>
      <c r="AG138">
        <v>2.1961249999999999</v>
      </c>
      <c r="AH138">
        <v>13.214425</v>
      </c>
      <c r="AI138">
        <v>0.23326250000000001</v>
      </c>
      <c r="AJ138">
        <v>10.8680875</v>
      </c>
      <c r="AK138">
        <v>0.46184999999999998</v>
      </c>
      <c r="AL138">
        <v>2.5506250000000001</v>
      </c>
      <c r="AM138">
        <v>49.975887499999999</v>
      </c>
      <c r="AN138">
        <v>7.4385374999999998</v>
      </c>
      <c r="AP138">
        <v>0.2354</v>
      </c>
      <c r="AQ138">
        <v>98.48666249999998</v>
      </c>
      <c r="AR138">
        <v>5.6378814410075299E-2</v>
      </c>
      <c r="AS138">
        <v>0.24941022862516499</v>
      </c>
      <c r="AT138">
        <v>1.4003870638403601E-2</v>
      </c>
      <c r="AU138">
        <v>0.27584699401505702</v>
      </c>
      <c r="AV138">
        <v>3.1668731762237799E-2</v>
      </c>
      <c r="AW138">
        <v>4.2427543277585897E-2</v>
      </c>
      <c r="AX138">
        <v>0.67605985245919198</v>
      </c>
      <c r="AY138">
        <v>0.10614118545597701</v>
      </c>
      <c r="BA138">
        <v>4.3851209463691802E-2</v>
      </c>
      <c r="BE138">
        <v>4.7669582437716643E-2</v>
      </c>
      <c r="BF138">
        <v>2303</v>
      </c>
      <c r="BG138">
        <v>147609.85934366379</v>
      </c>
      <c r="BH138">
        <v>0</v>
      </c>
      <c r="BI138">
        <v>216.76179904975641</v>
      </c>
      <c r="BJ138">
        <v>0</v>
      </c>
      <c r="BK138">
        <v>0</v>
      </c>
    </row>
    <row r="139" spans="1:63" x14ac:dyDescent="0.2">
      <c r="A139">
        <v>137</v>
      </c>
      <c r="B139" t="s">
        <v>69</v>
      </c>
      <c r="C139" t="s">
        <v>76</v>
      </c>
      <c r="D139" t="s">
        <v>71</v>
      </c>
      <c r="E139">
        <v>-155.29812000000001</v>
      </c>
      <c r="F139">
        <v>19.375624999999999</v>
      </c>
      <c r="G139" t="s">
        <v>77</v>
      </c>
      <c r="H139" t="s">
        <v>401</v>
      </c>
      <c r="I139" t="s">
        <v>402</v>
      </c>
      <c r="J139" t="s">
        <v>68</v>
      </c>
      <c r="K139">
        <v>3.5899863578125002</v>
      </c>
      <c r="L139">
        <v>3.5826638874999999</v>
      </c>
      <c r="M139">
        <v>40.406267725301497</v>
      </c>
      <c r="N139">
        <v>193.21335074136431</v>
      </c>
      <c r="Q139">
        <v>12.195</v>
      </c>
      <c r="R139">
        <v>1324.9639999999999</v>
      </c>
      <c r="S139">
        <v>50</v>
      </c>
      <c r="T139">
        <v>102.9717762844684</v>
      </c>
      <c r="U139">
        <v>1.6926435679362559E-2</v>
      </c>
      <c r="V139">
        <v>8.7775434865463353E-2</v>
      </c>
      <c r="W139">
        <v>7.7091124030473687E-3</v>
      </c>
      <c r="X139">
        <v>0</v>
      </c>
      <c r="Y139">
        <v>0.1054618302710896</v>
      </c>
      <c r="Z139">
        <v>0.309432771527683</v>
      </c>
      <c r="AA139">
        <v>3.5027499236477987E-2</v>
      </c>
      <c r="AB139">
        <v>1.3372401090369239</v>
      </c>
      <c r="AC139">
        <v>0.14608533668864301</v>
      </c>
      <c r="AD139">
        <v>1301.3281726985699</v>
      </c>
      <c r="AE139">
        <v>50</v>
      </c>
      <c r="AF139">
        <v>88.325380472007936</v>
      </c>
      <c r="AG139">
        <v>2.5039199999999999</v>
      </c>
      <c r="AH139">
        <v>14.096819999999999</v>
      </c>
      <c r="AI139">
        <v>0.27322000000000002</v>
      </c>
      <c r="AJ139">
        <v>10.95044</v>
      </c>
      <c r="AK139">
        <v>0.52094000000000007</v>
      </c>
      <c r="AL139">
        <v>2.9191400000000001</v>
      </c>
      <c r="AM139">
        <v>50.91704</v>
      </c>
      <c r="AN139">
        <v>6.4346599999999992</v>
      </c>
      <c r="AO139">
        <v>10.86684</v>
      </c>
      <c r="AP139">
        <v>0.19492000000000001</v>
      </c>
      <c r="AQ139">
        <v>99.70778</v>
      </c>
      <c r="AR139">
        <v>5.8797253337209539E-2</v>
      </c>
      <c r="AS139">
        <v>0.138496180452748</v>
      </c>
      <c r="AT139">
        <v>2.822688434808206E-2</v>
      </c>
      <c r="AU139">
        <v>7.1287502411011894E-2</v>
      </c>
      <c r="AV139">
        <v>1.2819243347405491E-2</v>
      </c>
      <c r="AW139">
        <v>2.3721045508155889E-2</v>
      </c>
      <c r="AX139">
        <v>0.39733328327740491</v>
      </c>
      <c r="AY139">
        <v>8.3972662218129629E-2</v>
      </c>
      <c r="AZ139">
        <v>5.8132675837260117E-2</v>
      </c>
      <c r="BA139">
        <v>1.931080008699795E-2</v>
      </c>
    </row>
    <row r="140" spans="1:63" x14ac:dyDescent="0.2">
      <c r="A140">
        <v>138</v>
      </c>
      <c r="B140" t="s">
        <v>69</v>
      </c>
      <c r="C140" t="s">
        <v>177</v>
      </c>
      <c r="D140" t="s">
        <v>144</v>
      </c>
      <c r="E140">
        <v>-155.2086333</v>
      </c>
      <c r="F140">
        <v>19.347316670000001</v>
      </c>
      <c r="G140" t="s">
        <v>178</v>
      </c>
      <c r="H140" t="s">
        <v>403</v>
      </c>
      <c r="I140" t="s">
        <v>404</v>
      </c>
      <c r="J140" t="s">
        <v>68</v>
      </c>
      <c r="K140">
        <v>8.1543843007812509</v>
      </c>
      <c r="L140">
        <v>7.2647041578125</v>
      </c>
      <c r="M140">
        <v>186.1054026455279</v>
      </c>
      <c r="N140">
        <v>1913.0504440090681</v>
      </c>
      <c r="Q140">
        <v>9.875</v>
      </c>
      <c r="R140">
        <v>1324.9639999999999</v>
      </c>
      <c r="S140">
        <v>50</v>
      </c>
      <c r="T140">
        <v>102.97208620718619</v>
      </c>
      <c r="U140">
        <v>2.3014643944745349E-2</v>
      </c>
      <c r="V140">
        <v>8.7898238687493802E-2</v>
      </c>
      <c r="W140">
        <v>9.8797556682072001E-3</v>
      </c>
      <c r="X140">
        <v>0</v>
      </c>
      <c r="Y140">
        <v>0.10579078187759131</v>
      </c>
      <c r="Z140">
        <v>0.30838917891382772</v>
      </c>
      <c r="AA140">
        <v>4.3204834707097607E-2</v>
      </c>
      <c r="AB140">
        <v>1.3328777080309131</v>
      </c>
      <c r="AC140">
        <v>0.1803303128164592</v>
      </c>
      <c r="AD140">
        <v>1293.3714203688601</v>
      </c>
      <c r="AE140">
        <v>50</v>
      </c>
      <c r="AF140">
        <v>88.000235533194925</v>
      </c>
      <c r="AG140">
        <v>2.1216818181818198</v>
      </c>
      <c r="AH140">
        <v>12.5470545454545</v>
      </c>
      <c r="AI140">
        <v>0.27337272727272699</v>
      </c>
      <c r="AJ140">
        <v>10.3521727272727</v>
      </c>
      <c r="AK140">
        <v>0.49205454545454502</v>
      </c>
      <c r="AL140">
        <v>2.5642454545454498</v>
      </c>
      <c r="AM140">
        <v>49.0749</v>
      </c>
      <c r="AN140">
        <v>9.1371454545454505</v>
      </c>
      <c r="AP140">
        <v>0.18198181818181799</v>
      </c>
      <c r="AQ140">
        <v>98.157727272727257</v>
      </c>
      <c r="AR140">
        <v>0.12055145638424999</v>
      </c>
      <c r="AS140">
        <v>0.28907753411026699</v>
      </c>
      <c r="AT140">
        <v>2.8655229571898099E-2</v>
      </c>
      <c r="AU140">
        <v>0.23406218443357801</v>
      </c>
      <c r="AV140">
        <v>5.2241982420968003E-2</v>
      </c>
      <c r="AW140">
        <v>6.6675218239408293E-2</v>
      </c>
      <c r="AX140">
        <v>0.92934608408278196</v>
      </c>
      <c r="AY140">
        <v>0.68994549402635696</v>
      </c>
      <c r="BA140">
        <v>4.8246177427477499E-2</v>
      </c>
      <c r="BE140">
        <v>0.14508650853709429</v>
      </c>
      <c r="BF140">
        <v>5206</v>
      </c>
      <c r="BG140">
        <v>520917.80156520742</v>
      </c>
      <c r="BH140">
        <v>267.79465072438148</v>
      </c>
      <c r="BI140">
        <v>407.20177569275359</v>
      </c>
      <c r="BJ140">
        <v>3.711502998204971</v>
      </c>
      <c r="BK140">
        <v>267.79465072438143</v>
      </c>
    </row>
    <row r="141" spans="1:63" x14ac:dyDescent="0.2">
      <c r="A141">
        <v>139</v>
      </c>
      <c r="B141" t="s">
        <v>69</v>
      </c>
      <c r="C141" t="s">
        <v>70</v>
      </c>
      <c r="D141" t="s">
        <v>71</v>
      </c>
      <c r="E141">
        <v>-155.29347999999999</v>
      </c>
      <c r="F141">
        <v>19.377479999999998</v>
      </c>
      <c r="G141" t="s">
        <v>112</v>
      </c>
      <c r="H141" t="s">
        <v>361</v>
      </c>
      <c r="I141" t="s">
        <v>405</v>
      </c>
      <c r="J141" t="s">
        <v>68</v>
      </c>
      <c r="K141">
        <v>10.680810903125</v>
      </c>
      <c r="L141">
        <v>7.8455620210937509</v>
      </c>
      <c r="M141">
        <v>263.25592767689773</v>
      </c>
      <c r="N141">
        <v>3251.451660435579</v>
      </c>
      <c r="Q141">
        <v>12.089</v>
      </c>
      <c r="R141">
        <v>1324.9639999999999</v>
      </c>
      <c r="S141">
        <v>50</v>
      </c>
      <c r="T141">
        <v>102.9725969299121</v>
      </c>
      <c r="U141">
        <v>8.2869040469479727E-3</v>
      </c>
      <c r="V141">
        <v>8.8100607533490916E-2</v>
      </c>
      <c r="W141">
        <v>5.0229027624220683E-3</v>
      </c>
      <c r="X141">
        <v>0</v>
      </c>
      <c r="Y141">
        <v>0.1045338798186386</v>
      </c>
      <c r="Z141">
        <v>0.31241201775819688</v>
      </c>
      <c r="AA141">
        <v>2.8874351285812928E-2</v>
      </c>
      <c r="AB141">
        <v>1.349688643702639</v>
      </c>
      <c r="AC141">
        <v>0.12048509878127921</v>
      </c>
      <c r="AD141">
        <v>1311.550393716554</v>
      </c>
      <c r="AE141">
        <v>50</v>
      </c>
      <c r="AF141">
        <v>88.728192433464955</v>
      </c>
      <c r="AG141">
        <v>2.1280100000000002</v>
      </c>
      <c r="AH141">
        <v>12.511455</v>
      </c>
      <c r="AI141">
        <v>0.21128</v>
      </c>
      <c r="AJ141">
        <v>10.547185000000001</v>
      </c>
      <c r="AK141">
        <v>0.43435000000000001</v>
      </c>
      <c r="AL141">
        <v>2.4173399999999998</v>
      </c>
      <c r="AM141">
        <v>50.003889999999998</v>
      </c>
      <c r="AN141">
        <v>8.5805450000000008</v>
      </c>
      <c r="AO141">
        <v>11.0444</v>
      </c>
      <c r="AP141">
        <v>0.37786999999999998</v>
      </c>
      <c r="AQ141">
        <v>98.290260000000004</v>
      </c>
      <c r="AR141">
        <v>4.7093422517846893E-2</v>
      </c>
      <c r="AS141">
        <v>0.17423154844121161</v>
      </c>
      <c r="AT141">
        <v>2.1925114974993089E-2</v>
      </c>
      <c r="AU141">
        <v>0.1853741817244248</v>
      </c>
      <c r="AV141">
        <v>1.0520403456564249E-2</v>
      </c>
      <c r="AW141">
        <v>3.5166562401109248E-2</v>
      </c>
      <c r="AX141">
        <v>0.46106226248619608</v>
      </c>
      <c r="AY141">
        <v>0.4051107053427907</v>
      </c>
      <c r="AZ141">
        <v>0.14841023100402101</v>
      </c>
      <c r="BA141">
        <v>1.7068639208924791E-2</v>
      </c>
      <c r="BD141" t="s">
        <v>363</v>
      </c>
      <c r="BE141">
        <v>9.6548718406864492E-2</v>
      </c>
      <c r="BF141">
        <v>3507</v>
      </c>
      <c r="BG141">
        <v>352920.05681528337</v>
      </c>
      <c r="BH141">
        <v>108.8507738618891</v>
      </c>
      <c r="BI141">
        <v>335.16852942489959</v>
      </c>
      <c r="BJ141">
        <v>1.8380767345832369</v>
      </c>
      <c r="BK141">
        <v>108.8507738618891</v>
      </c>
    </row>
    <row r="142" spans="1:63" x14ac:dyDescent="0.2">
      <c r="A142">
        <v>140</v>
      </c>
      <c r="B142" t="s">
        <v>69</v>
      </c>
      <c r="C142" t="s">
        <v>236</v>
      </c>
      <c r="D142" t="s">
        <v>64</v>
      </c>
      <c r="E142">
        <v>-155.292979</v>
      </c>
      <c r="F142">
        <v>19.400748</v>
      </c>
      <c r="G142" t="s">
        <v>237</v>
      </c>
      <c r="H142" t="s">
        <v>406</v>
      </c>
      <c r="I142" t="s">
        <v>407</v>
      </c>
      <c r="J142" t="s">
        <v>68</v>
      </c>
      <c r="K142">
        <v>14.498781792968749</v>
      </c>
      <c r="L142">
        <v>13.94320388671875</v>
      </c>
      <c r="M142">
        <v>635.10270784264287</v>
      </c>
      <c r="N142">
        <v>12042.388081060801</v>
      </c>
      <c r="Q142">
        <v>9.9269999999999996</v>
      </c>
      <c r="R142">
        <v>1324.9639999999999</v>
      </c>
      <c r="S142">
        <v>50</v>
      </c>
      <c r="T142">
        <v>102.97347902446241</v>
      </c>
      <c r="U142">
        <v>3.307174425039105E-3</v>
      </c>
      <c r="V142">
        <v>8.8450128804247186E-2</v>
      </c>
      <c r="W142">
        <v>4.0205500825096357E-3</v>
      </c>
      <c r="X142">
        <v>11.495700755155809</v>
      </c>
      <c r="Y142">
        <v>0.111176802902786</v>
      </c>
      <c r="Z142">
        <v>0.29187395743315969</v>
      </c>
      <c r="AA142">
        <v>3.0444299539120218E-2</v>
      </c>
      <c r="AB142">
        <v>1.2637139903951951</v>
      </c>
      <c r="AC142">
        <v>0.12759971095836339</v>
      </c>
      <c r="AD142">
        <v>1194.443915391151</v>
      </c>
      <c r="AE142">
        <v>100</v>
      </c>
      <c r="AG142">
        <v>2.0274999999999999</v>
      </c>
      <c r="AH142">
        <v>12.7525</v>
      </c>
      <c r="AI142">
        <v>0.17249999999999999</v>
      </c>
      <c r="AJ142">
        <v>11.092499999999999</v>
      </c>
      <c r="AK142">
        <v>0.51750000000000007</v>
      </c>
      <c r="AL142">
        <v>2.5150000000000001</v>
      </c>
      <c r="AM142">
        <v>50.63</v>
      </c>
      <c r="AN142">
        <v>7.415</v>
      </c>
      <c r="AP142">
        <v>1685.75</v>
      </c>
      <c r="AR142">
        <v>0.17231270024773751</v>
      </c>
      <c r="AS142">
        <v>0.13450526631573459</v>
      </c>
      <c r="AT142">
        <v>4.9999999999999836E-3</v>
      </c>
      <c r="AU142">
        <v>0.29227555491350982</v>
      </c>
      <c r="AV142">
        <v>2.061552812808835E-2</v>
      </c>
      <c r="AW142">
        <v>6.2449979983983737E-2</v>
      </c>
      <c r="AX142">
        <v>0.21556128285632961</v>
      </c>
      <c r="AY142">
        <v>0.39770173078158311</v>
      </c>
      <c r="BA142">
        <v>51.951098801340748</v>
      </c>
      <c r="BE142">
        <v>6.7124479268020981E-2</v>
      </c>
      <c r="BF142">
        <v>1628</v>
      </c>
      <c r="BG142">
        <v>40883.307436597723</v>
      </c>
      <c r="BH142">
        <v>49.230057587073361</v>
      </c>
      <c r="BI142">
        <v>114.0769956518857</v>
      </c>
      <c r="BJ142">
        <v>1.220121678495929</v>
      </c>
      <c r="BK142">
        <v>49.230057587073361</v>
      </c>
    </row>
    <row r="143" spans="1:63" x14ac:dyDescent="0.2">
      <c r="A143">
        <v>141</v>
      </c>
      <c r="B143" t="s">
        <v>69</v>
      </c>
      <c r="C143" t="s">
        <v>169</v>
      </c>
      <c r="D143" t="s">
        <v>64</v>
      </c>
      <c r="E143">
        <v>-155.29196300000001</v>
      </c>
      <c r="F143">
        <v>19.398634000000001</v>
      </c>
      <c r="G143" t="s">
        <v>170</v>
      </c>
      <c r="H143" t="s">
        <v>348</v>
      </c>
      <c r="I143" t="s">
        <v>408</v>
      </c>
      <c r="J143" t="s">
        <v>68</v>
      </c>
      <c r="K143">
        <v>10.78477835859375</v>
      </c>
      <c r="L143">
        <v>8.8014349710937516</v>
      </c>
      <c r="M143">
        <v>298.20476686675971</v>
      </c>
      <c r="N143">
        <v>3893.801453188054</v>
      </c>
      <c r="Q143">
        <v>10.086</v>
      </c>
      <c r="R143">
        <v>1324.7670000000001</v>
      </c>
      <c r="S143">
        <v>50</v>
      </c>
      <c r="T143">
        <v>102.97412011978329</v>
      </c>
      <c r="U143">
        <v>3.3702627035393251E-3</v>
      </c>
      <c r="V143">
        <v>8.8704156505905019E-2</v>
      </c>
      <c r="W143">
        <v>4.0287786000903526E-3</v>
      </c>
      <c r="X143">
        <v>10.332923001342371</v>
      </c>
      <c r="Y143">
        <v>0.10963364341025079</v>
      </c>
      <c r="Z143">
        <v>0.29650251540815892</v>
      </c>
      <c r="AA143">
        <v>2.5552200271476609E-2</v>
      </c>
      <c r="AB143">
        <v>1.283122000614149</v>
      </c>
      <c r="AC143">
        <v>0.10697926871520939</v>
      </c>
      <c r="AD143">
        <v>1214.8971144405059</v>
      </c>
      <c r="AE143">
        <v>50</v>
      </c>
      <c r="AF143">
        <v>83.980626635994156</v>
      </c>
      <c r="AG143">
        <v>2.5390516666666669</v>
      </c>
      <c r="AH143">
        <v>13.89052597266207</v>
      </c>
      <c r="AI143">
        <v>0.24399675000000001</v>
      </c>
      <c r="AJ143">
        <v>11.205616666666669</v>
      </c>
      <c r="AK143">
        <v>0.47515841666666669</v>
      </c>
      <c r="AL143">
        <v>2.6323025000000002</v>
      </c>
      <c r="AM143">
        <v>50.778866165683027</v>
      </c>
      <c r="AN143">
        <v>6.7552275000000002</v>
      </c>
      <c r="AP143">
        <v>0.17074191666666669</v>
      </c>
      <c r="AR143">
        <v>5.5209421763999247E-2</v>
      </c>
      <c r="AS143">
        <v>0.23260322971847319</v>
      </c>
      <c r="AT143">
        <v>2.215836573857705E-2</v>
      </c>
      <c r="AU143">
        <v>0.13946342520423419</v>
      </c>
      <c r="AV143">
        <v>1.8188943372071519E-2</v>
      </c>
      <c r="AW143">
        <v>3.4278244127355022E-2</v>
      </c>
      <c r="AX143">
        <v>0.34681065155483992</v>
      </c>
      <c r="AY143">
        <v>0.48865100303376952</v>
      </c>
      <c r="BA143">
        <v>2.081601264087701E-2</v>
      </c>
      <c r="BE143">
        <v>0.15783971872108249</v>
      </c>
      <c r="BF143">
        <v>2201</v>
      </c>
      <c r="BG143">
        <v>56953.766835206421</v>
      </c>
      <c r="BH143">
        <v>156.5566181389336</v>
      </c>
      <c r="BI143">
        <v>134.64377831542279</v>
      </c>
      <c r="BJ143">
        <v>3.3370399817298781</v>
      </c>
      <c r="BK143">
        <v>156.55661813893369</v>
      </c>
    </row>
    <row r="144" spans="1:63" x14ac:dyDescent="0.2">
      <c r="A144">
        <v>142</v>
      </c>
      <c r="B144" t="s">
        <v>69</v>
      </c>
      <c r="C144" t="s">
        <v>169</v>
      </c>
      <c r="D144" t="s">
        <v>64</v>
      </c>
      <c r="E144">
        <v>-155.29196300000001</v>
      </c>
      <c r="F144">
        <v>19.398634000000001</v>
      </c>
      <c r="G144" t="s">
        <v>170</v>
      </c>
      <c r="H144" t="s">
        <v>409</v>
      </c>
      <c r="I144" t="s">
        <v>410</v>
      </c>
      <c r="J144" t="s">
        <v>68</v>
      </c>
      <c r="K144">
        <v>14.93266721640625</v>
      </c>
      <c r="L144">
        <v>13.301034863281251</v>
      </c>
      <c r="M144">
        <v>623.98290429633187</v>
      </c>
      <c r="N144">
        <v>11744.898281813859</v>
      </c>
      <c r="Q144">
        <v>10.102</v>
      </c>
      <c r="R144">
        <v>1324.7670000000001</v>
      </c>
      <c r="S144">
        <v>50</v>
      </c>
      <c r="T144">
        <v>102.97514378007899</v>
      </c>
      <c r="U144">
        <v>4.090537053106847E-3</v>
      </c>
      <c r="V144">
        <v>8.9109771807891036E-2</v>
      </c>
      <c r="W144">
        <v>4.1321883518378412E-3</v>
      </c>
      <c r="X144">
        <v>0.6697717974168963</v>
      </c>
      <c r="Y144">
        <v>0.1100668408298472</v>
      </c>
      <c r="Z144">
        <v>0.29520251131547992</v>
      </c>
      <c r="AA144">
        <v>2.5717655048886859E-2</v>
      </c>
      <c r="AB144">
        <v>1.2776728579035721</v>
      </c>
      <c r="AC144">
        <v>0.1077014816045942</v>
      </c>
      <c r="AD144">
        <v>1201.0401378605379</v>
      </c>
      <c r="AE144">
        <v>50</v>
      </c>
      <c r="AF144">
        <v>83.020813992736919</v>
      </c>
      <c r="AG144">
        <v>2.5390516666666669</v>
      </c>
      <c r="AH144">
        <v>13.89052597266207</v>
      </c>
      <c r="AI144">
        <v>0.24399675000000001</v>
      </c>
      <c r="AJ144">
        <v>11.205616666666669</v>
      </c>
      <c r="AK144">
        <v>0.47515841666666669</v>
      </c>
      <c r="AL144">
        <v>2.6323025000000002</v>
      </c>
      <c r="AM144">
        <v>50.778866165683027</v>
      </c>
      <c r="AN144">
        <v>6.7552275000000002</v>
      </c>
      <c r="AP144">
        <v>0.17074191666666669</v>
      </c>
      <c r="AR144">
        <v>5.5209421763999247E-2</v>
      </c>
      <c r="AS144">
        <v>0.23260322971847319</v>
      </c>
      <c r="AT144">
        <v>2.215836573857705E-2</v>
      </c>
      <c r="AU144">
        <v>0.13946342520423419</v>
      </c>
      <c r="AV144">
        <v>1.8188943372071519E-2</v>
      </c>
      <c r="AW144">
        <v>3.4278244127355022E-2</v>
      </c>
      <c r="AX144">
        <v>0.34681065155483992</v>
      </c>
      <c r="AY144">
        <v>0.48865100303376952</v>
      </c>
      <c r="BA144">
        <v>2.081601264087701E-2</v>
      </c>
      <c r="BE144">
        <v>0.24409672619935169</v>
      </c>
      <c r="BF144">
        <v>28953</v>
      </c>
      <c r="BG144">
        <v>466918.62724073231</v>
      </c>
      <c r="BH144">
        <v>547.0967427008494</v>
      </c>
      <c r="BI144">
        <v>385.51889070976699</v>
      </c>
      <c r="BJ144">
        <v>3.2152692267565599</v>
      </c>
      <c r="BK144">
        <v>547.0967427008494</v>
      </c>
    </row>
    <row r="145" spans="1:63" x14ac:dyDescent="0.2">
      <c r="A145">
        <v>143</v>
      </c>
      <c r="B145" t="s">
        <v>69</v>
      </c>
      <c r="C145" t="s">
        <v>236</v>
      </c>
      <c r="D145" t="s">
        <v>64</v>
      </c>
      <c r="E145">
        <v>-155.292979</v>
      </c>
      <c r="F145">
        <v>19.400748</v>
      </c>
      <c r="G145" t="s">
        <v>237</v>
      </c>
      <c r="H145" t="s">
        <v>411</v>
      </c>
      <c r="I145" t="s">
        <v>412</v>
      </c>
      <c r="J145" t="s">
        <v>68</v>
      </c>
      <c r="K145">
        <v>13.40122485390625</v>
      </c>
      <c r="L145">
        <v>12.919859603124999</v>
      </c>
      <c r="M145">
        <v>543.94145811232113</v>
      </c>
      <c r="N145">
        <v>9544.7527057700863</v>
      </c>
      <c r="O145" t="s">
        <v>413</v>
      </c>
      <c r="Q145">
        <v>9.9049999999999994</v>
      </c>
      <c r="R145">
        <v>1324.9639999999999</v>
      </c>
      <c r="S145">
        <v>50</v>
      </c>
      <c r="T145">
        <v>102.97551472635909</v>
      </c>
      <c r="U145">
        <v>4.899756489517979E-3</v>
      </c>
      <c r="V145">
        <v>8.9256755614989913E-2</v>
      </c>
      <c r="W145">
        <v>4.268173885919253E-3</v>
      </c>
      <c r="X145">
        <v>5.5332380668209131</v>
      </c>
      <c r="Y145">
        <v>0.11080328690531641</v>
      </c>
      <c r="Z145">
        <v>0.29299886570457478</v>
      </c>
      <c r="AA145">
        <v>2.542566470844574E-2</v>
      </c>
      <c r="AB145">
        <v>1.2684325803760079</v>
      </c>
      <c r="AC145">
        <v>0.106573335092411</v>
      </c>
      <c r="AD145">
        <v>1186.856966157985</v>
      </c>
      <c r="AE145">
        <v>50</v>
      </c>
      <c r="AF145">
        <v>81.894151292563592</v>
      </c>
      <c r="AG145">
        <v>2.0274999999999999</v>
      </c>
      <c r="AH145">
        <v>12.7525</v>
      </c>
      <c r="AI145">
        <v>0.17249999999999999</v>
      </c>
      <c r="AJ145">
        <v>11.092499999999999</v>
      </c>
      <c r="AK145">
        <v>0.51750000000000007</v>
      </c>
      <c r="AL145">
        <v>2.5150000000000001</v>
      </c>
      <c r="AM145">
        <v>50.63</v>
      </c>
      <c r="AN145">
        <v>7.415</v>
      </c>
      <c r="AP145">
        <v>1685.75</v>
      </c>
      <c r="AR145">
        <v>0.17231270024773751</v>
      </c>
      <c r="AS145">
        <v>0.13450526631573459</v>
      </c>
      <c r="AT145">
        <v>4.9999999999999836E-3</v>
      </c>
      <c r="AU145">
        <v>0.29227555491350982</v>
      </c>
      <c r="AV145">
        <v>2.061552812808835E-2</v>
      </c>
      <c r="AW145">
        <v>6.2449979983983737E-2</v>
      </c>
      <c r="AX145">
        <v>0.21556128285632961</v>
      </c>
      <c r="AY145">
        <v>0.39770173078158311</v>
      </c>
      <c r="BA145">
        <v>51.951098801340748</v>
      </c>
      <c r="BE145">
        <v>0.17245393018094601</v>
      </c>
      <c r="BF145">
        <v>656</v>
      </c>
      <c r="BG145">
        <v>11733.120874761949</v>
      </c>
      <c r="BH145">
        <v>91.954585656421514</v>
      </c>
      <c r="BI145">
        <v>61.11275128994059</v>
      </c>
      <c r="BJ145">
        <v>3.5902233912178518</v>
      </c>
      <c r="BK145">
        <v>91.954585656421528</v>
      </c>
    </row>
    <row r="146" spans="1:63" x14ac:dyDescent="0.2">
      <c r="A146">
        <v>144</v>
      </c>
      <c r="B146" t="s">
        <v>69</v>
      </c>
      <c r="C146" t="s">
        <v>70</v>
      </c>
      <c r="D146" t="s">
        <v>71</v>
      </c>
      <c r="E146">
        <v>-155.29347999999999</v>
      </c>
      <c r="F146">
        <v>19.377479999999998</v>
      </c>
      <c r="G146" t="s">
        <v>112</v>
      </c>
      <c r="H146" t="s">
        <v>374</v>
      </c>
      <c r="I146" t="s">
        <v>414</v>
      </c>
      <c r="J146" t="s">
        <v>68</v>
      </c>
      <c r="K146">
        <v>4.2476139296875006</v>
      </c>
      <c r="L146">
        <v>3.9147902195312501</v>
      </c>
      <c r="M146">
        <v>52.240028318454733</v>
      </c>
      <c r="N146">
        <v>284.26948260123999</v>
      </c>
      <c r="Q146">
        <v>12.131</v>
      </c>
      <c r="R146">
        <v>1324.9639999999999</v>
      </c>
      <c r="S146">
        <v>50</v>
      </c>
      <c r="T146">
        <v>102.9775668110278</v>
      </c>
      <c r="U146">
        <v>3.9277231992572914E-3</v>
      </c>
      <c r="V146">
        <v>9.0069873937608236E-2</v>
      </c>
      <c r="W146">
        <v>4.1074007750025497E-3</v>
      </c>
      <c r="X146">
        <v>0</v>
      </c>
      <c r="Y146">
        <v>0.10452757486119491</v>
      </c>
      <c r="Z146">
        <v>0.31246509943082451</v>
      </c>
      <c r="AA146">
        <v>2.6628657603216789E-2</v>
      </c>
      <c r="AB146">
        <v>1.3499103707711051</v>
      </c>
      <c r="AC146">
        <v>0.1111288926142505</v>
      </c>
      <c r="AD146">
        <v>1276.0589379786361</v>
      </c>
      <c r="AE146">
        <v>50</v>
      </c>
      <c r="AF146">
        <v>87.253116481429544</v>
      </c>
      <c r="AG146">
        <v>2.1280100000000002</v>
      </c>
      <c r="AH146">
        <v>12.511455</v>
      </c>
      <c r="AI146">
        <v>0.21128</v>
      </c>
      <c r="AJ146">
        <v>10.547185000000001</v>
      </c>
      <c r="AK146">
        <v>0.43435000000000001</v>
      </c>
      <c r="AL146">
        <v>2.4173399999999998</v>
      </c>
      <c r="AM146">
        <v>50.003889999999998</v>
      </c>
      <c r="AN146">
        <v>8.5805450000000008</v>
      </c>
      <c r="AO146">
        <v>11.0444</v>
      </c>
      <c r="AP146">
        <v>0.37786999999999998</v>
      </c>
      <c r="AQ146">
        <v>98.290260000000004</v>
      </c>
      <c r="AR146">
        <v>4.7093422517846893E-2</v>
      </c>
      <c r="AS146">
        <v>0.17423154844121161</v>
      </c>
      <c r="AT146">
        <v>2.1925114974993089E-2</v>
      </c>
      <c r="AU146">
        <v>0.1853741817244248</v>
      </c>
      <c r="AV146">
        <v>1.0520403456564249E-2</v>
      </c>
      <c r="AW146">
        <v>3.5166562401109248E-2</v>
      </c>
      <c r="AX146">
        <v>0.46106226248619608</v>
      </c>
      <c r="AY146">
        <v>0.4051107053427907</v>
      </c>
      <c r="AZ146">
        <v>0.14841023100402101</v>
      </c>
      <c r="BA146">
        <v>1.7068639208924791E-2</v>
      </c>
      <c r="BD146" t="s">
        <v>376</v>
      </c>
      <c r="BE146">
        <v>0.14967336272414061</v>
      </c>
      <c r="BF146">
        <v>4618</v>
      </c>
      <c r="BG146">
        <v>227660.0917825615</v>
      </c>
      <c r="BH146">
        <v>189.02803071520279</v>
      </c>
      <c r="BI146">
        <v>269.19594704210999</v>
      </c>
      <c r="BJ146">
        <v>2.7816292571795951</v>
      </c>
      <c r="BK146">
        <v>189.0280307152029</v>
      </c>
    </row>
    <row r="147" spans="1:63" x14ac:dyDescent="0.2">
      <c r="A147">
        <v>145</v>
      </c>
      <c r="B147" t="s">
        <v>69</v>
      </c>
      <c r="C147" t="s">
        <v>169</v>
      </c>
      <c r="D147" t="s">
        <v>64</v>
      </c>
      <c r="E147">
        <v>-155.29196300000001</v>
      </c>
      <c r="F147">
        <v>19.398634000000001</v>
      </c>
      <c r="G147" t="s">
        <v>170</v>
      </c>
      <c r="H147" t="s">
        <v>415</v>
      </c>
      <c r="I147" t="s">
        <v>416</v>
      </c>
      <c r="J147" t="s">
        <v>68</v>
      </c>
      <c r="K147">
        <v>8.0888888718749996</v>
      </c>
      <c r="L147">
        <v>6.8945126031249986</v>
      </c>
      <c r="M147">
        <v>175.20331190787769</v>
      </c>
      <c r="N147">
        <v>1750.094374710254</v>
      </c>
      <c r="Q147">
        <v>10.093999999999999</v>
      </c>
      <c r="R147">
        <v>1324.7670000000001</v>
      </c>
      <c r="S147">
        <v>50</v>
      </c>
      <c r="T147">
        <v>102.9779641333737</v>
      </c>
      <c r="U147">
        <v>4.7524687716783316E-3</v>
      </c>
      <c r="V147">
        <v>9.0227309000766809E-2</v>
      </c>
      <c r="W147">
        <v>4.2420390270273547E-3</v>
      </c>
      <c r="X147">
        <v>6.8067578227653698</v>
      </c>
      <c r="Y147">
        <v>0.1101733460018315</v>
      </c>
      <c r="Z147">
        <v>0.29490073533990191</v>
      </c>
      <c r="AA147">
        <v>2.4863561917622169E-2</v>
      </c>
      <c r="AB147">
        <v>1.2764077103871481</v>
      </c>
      <c r="AC147">
        <v>0.1041067882174869</v>
      </c>
      <c r="AD147">
        <v>1180.785307948534</v>
      </c>
      <c r="AE147">
        <v>50</v>
      </c>
      <c r="AF147">
        <v>81.352414912435577</v>
      </c>
      <c r="AG147">
        <v>2.5390516666666669</v>
      </c>
      <c r="AH147">
        <v>13.89052597266207</v>
      </c>
      <c r="AI147">
        <v>0.24399675000000001</v>
      </c>
      <c r="AJ147">
        <v>11.205616666666669</v>
      </c>
      <c r="AK147">
        <v>0.47515841666666669</v>
      </c>
      <c r="AL147">
        <v>2.6323025000000002</v>
      </c>
      <c r="AM147">
        <v>50.778866165683027</v>
      </c>
      <c r="AN147">
        <v>6.7552275000000002</v>
      </c>
      <c r="AP147">
        <v>0.17074191666666669</v>
      </c>
      <c r="AR147">
        <v>5.5209421763999247E-2</v>
      </c>
      <c r="AS147">
        <v>0.23260322971847319</v>
      </c>
      <c r="AT147">
        <v>2.215836573857705E-2</v>
      </c>
      <c r="AU147">
        <v>0.13946342520423419</v>
      </c>
      <c r="AV147">
        <v>1.8188943372071519E-2</v>
      </c>
      <c r="AW147">
        <v>3.4278244127355022E-2</v>
      </c>
      <c r="AX147">
        <v>0.34681065155483992</v>
      </c>
      <c r="AY147">
        <v>0.48865100303376952</v>
      </c>
      <c r="BA147">
        <v>2.081601264087701E-2</v>
      </c>
      <c r="BE147">
        <v>0.3537747197877989</v>
      </c>
      <c r="BF147">
        <v>13923</v>
      </c>
      <c r="BG147">
        <v>223141.76017876019</v>
      </c>
      <c r="BH147">
        <v>1236.012073102685</v>
      </c>
      <c r="BI147">
        <v>266.51121605919678</v>
      </c>
      <c r="BJ147">
        <v>10.475054743430739</v>
      </c>
      <c r="BK147">
        <v>1236.0120731026841</v>
      </c>
    </row>
    <row r="148" spans="1:63" x14ac:dyDescent="0.2">
      <c r="A148">
        <v>146</v>
      </c>
      <c r="B148" t="s">
        <v>69</v>
      </c>
      <c r="C148" t="s">
        <v>321</v>
      </c>
      <c r="D148" t="s">
        <v>322</v>
      </c>
      <c r="E148">
        <v>-155.27718329999999</v>
      </c>
      <c r="F148">
        <v>19.40966667</v>
      </c>
      <c r="G148" t="s">
        <v>323</v>
      </c>
      <c r="H148" t="s">
        <v>417</v>
      </c>
      <c r="I148" t="s">
        <v>418</v>
      </c>
      <c r="J148" t="s">
        <v>68</v>
      </c>
      <c r="K148">
        <v>4.5655602398437507</v>
      </c>
      <c r="L148">
        <v>4.0839625296874997</v>
      </c>
      <c r="M148">
        <v>58.576807557233963</v>
      </c>
      <c r="N148">
        <v>337.77428715516362</v>
      </c>
      <c r="Q148">
        <v>10.015000000000001</v>
      </c>
      <c r="R148">
        <v>1324.9639999999999</v>
      </c>
      <c r="S148">
        <v>50</v>
      </c>
      <c r="T148">
        <v>102.9783457698541</v>
      </c>
      <c r="U148">
        <v>2.0771419450992461E-2</v>
      </c>
      <c r="V148">
        <v>9.0378528694380122E-2</v>
      </c>
      <c r="W148">
        <v>9.0658455420409064E-3</v>
      </c>
      <c r="X148">
        <v>0</v>
      </c>
      <c r="Y148">
        <v>0.10947421509971959</v>
      </c>
      <c r="Z148">
        <v>0.29701281383971229</v>
      </c>
      <c r="AA148">
        <v>3.8075756943645192E-2</v>
      </c>
      <c r="AB148">
        <v>1.285260578921698</v>
      </c>
      <c r="AC148">
        <v>0.15947098465088089</v>
      </c>
      <c r="AD148">
        <v>1189.3614620569499</v>
      </c>
      <c r="AE148">
        <v>50</v>
      </c>
      <c r="AF148">
        <v>82.106104059475925</v>
      </c>
      <c r="AG148">
        <v>2.3548666666666702</v>
      </c>
      <c r="AH148">
        <v>13.693199999999999</v>
      </c>
      <c r="AI148">
        <v>0.31578888888888901</v>
      </c>
      <c r="AJ148">
        <v>10.647211111111099</v>
      </c>
      <c r="AK148">
        <v>0.57640000000000002</v>
      </c>
      <c r="AL148">
        <v>2.9864222222222199</v>
      </c>
      <c r="AM148">
        <v>50.176744444444402</v>
      </c>
      <c r="AN148">
        <v>6.02064444444445</v>
      </c>
      <c r="AP148">
        <v>0.192211111111111</v>
      </c>
      <c r="AQ148">
        <v>98.596999999999909</v>
      </c>
      <c r="AR148">
        <v>0.13013498760902101</v>
      </c>
      <c r="AS148">
        <v>0.18486291542653999</v>
      </c>
      <c r="AT148">
        <v>3.2683881518435202E-2</v>
      </c>
      <c r="AU148">
        <v>0.25932300054393698</v>
      </c>
      <c r="AV148">
        <v>5.4947019937390602E-2</v>
      </c>
      <c r="AW148">
        <v>8.2598785974398195E-2</v>
      </c>
      <c r="AX148">
        <v>1.0616485472027799</v>
      </c>
      <c r="AY148">
        <v>0.12895273466575999</v>
      </c>
      <c r="BA148">
        <v>3.7379287193726803E-2</v>
      </c>
      <c r="BE148">
        <v>0.38698326531462962</v>
      </c>
      <c r="BF148">
        <v>26389</v>
      </c>
      <c r="BG148">
        <v>428413.37385793403</v>
      </c>
      <c r="BH148">
        <v>953.50531445290835</v>
      </c>
      <c r="BI148">
        <v>369.28066869568568</v>
      </c>
      <c r="BJ148">
        <v>5.8696425102318708</v>
      </c>
      <c r="BK148">
        <v>953.50531445290846</v>
      </c>
    </row>
    <row r="149" spans="1:63" x14ac:dyDescent="0.2">
      <c r="A149">
        <v>147</v>
      </c>
      <c r="B149" t="s">
        <v>69</v>
      </c>
      <c r="C149" t="s">
        <v>70</v>
      </c>
      <c r="D149" t="s">
        <v>71</v>
      </c>
      <c r="E149">
        <v>-155.29347999999999</v>
      </c>
      <c r="F149">
        <v>19.377479999999998</v>
      </c>
      <c r="G149" t="s">
        <v>112</v>
      </c>
      <c r="H149" t="s">
        <v>419</v>
      </c>
      <c r="I149" t="s">
        <v>420</v>
      </c>
      <c r="J149" t="s">
        <v>68</v>
      </c>
      <c r="K149">
        <v>7.4951295132812508</v>
      </c>
      <c r="L149">
        <v>6.7711347898437504</v>
      </c>
      <c r="M149">
        <v>159.4374991308319</v>
      </c>
      <c r="N149">
        <v>1516.3850016198071</v>
      </c>
      <c r="Q149">
        <v>11.965999999999999</v>
      </c>
      <c r="R149">
        <v>1324.9639999999999</v>
      </c>
      <c r="S149">
        <v>50</v>
      </c>
      <c r="T149">
        <v>102.97843171862139</v>
      </c>
      <c r="U149">
        <v>7.6576922821910906E-3</v>
      </c>
      <c r="V149">
        <v>9.041258504620231E-2</v>
      </c>
      <c r="W149">
        <v>4.8637267655528942E-3</v>
      </c>
      <c r="X149">
        <v>0</v>
      </c>
      <c r="Y149">
        <v>0.10216266085544359</v>
      </c>
      <c r="Z149">
        <v>0.32021834426868467</v>
      </c>
      <c r="AA149">
        <v>2.771042264461775E-2</v>
      </c>
      <c r="AB149">
        <v>1.382269995333298</v>
      </c>
      <c r="AC149">
        <v>0.11535399933115</v>
      </c>
      <c r="AD149">
        <v>1311.014317211537</v>
      </c>
      <c r="AE149">
        <v>50</v>
      </c>
      <c r="AF149">
        <v>88.707461317224912</v>
      </c>
      <c r="AG149">
        <v>2.1280100000000002</v>
      </c>
      <c r="AH149">
        <v>12.511455</v>
      </c>
      <c r="AI149">
        <v>0.21128</v>
      </c>
      <c r="AJ149">
        <v>10.547185000000001</v>
      </c>
      <c r="AK149">
        <v>0.43435000000000001</v>
      </c>
      <c r="AL149">
        <v>2.4173399999999998</v>
      </c>
      <c r="AM149">
        <v>50.003889999999998</v>
      </c>
      <c r="AN149">
        <v>8.5805450000000008</v>
      </c>
      <c r="AO149">
        <v>11.0444</v>
      </c>
      <c r="AP149">
        <v>0.37786999999999998</v>
      </c>
      <c r="AQ149">
        <v>98.290260000000004</v>
      </c>
      <c r="AR149">
        <v>4.7093422517846893E-2</v>
      </c>
      <c r="AS149">
        <v>0.17423154844121161</v>
      </c>
      <c r="AT149">
        <v>2.1925114974993089E-2</v>
      </c>
      <c r="AU149">
        <v>0.1853741817244248</v>
      </c>
      <c r="AV149">
        <v>1.0520403456564249E-2</v>
      </c>
      <c r="AW149">
        <v>3.5166562401109248E-2</v>
      </c>
      <c r="AX149">
        <v>0.46106226248619608</v>
      </c>
      <c r="AY149">
        <v>0.4051107053427907</v>
      </c>
      <c r="AZ149">
        <v>0.14841023100402101</v>
      </c>
      <c r="BA149">
        <v>1.7068639208924791E-2</v>
      </c>
    </row>
    <row r="150" spans="1:63" x14ac:dyDescent="0.2">
      <c r="A150">
        <v>148</v>
      </c>
      <c r="B150" t="s">
        <v>69</v>
      </c>
      <c r="C150" t="s">
        <v>157</v>
      </c>
      <c r="D150" t="s">
        <v>64</v>
      </c>
      <c r="G150" t="s">
        <v>158</v>
      </c>
      <c r="H150" t="s">
        <v>421</v>
      </c>
      <c r="I150" t="s">
        <v>422</v>
      </c>
      <c r="J150" t="s">
        <v>68</v>
      </c>
      <c r="K150">
        <v>3.3795525085937501</v>
      </c>
      <c r="L150">
        <v>3.1542993742187502</v>
      </c>
      <c r="M150">
        <v>33.489755818773297</v>
      </c>
      <c r="N150">
        <v>145.87806940761519</v>
      </c>
      <c r="Q150">
        <v>10.071</v>
      </c>
      <c r="R150">
        <v>1324.9639999999999</v>
      </c>
      <c r="S150">
        <v>100</v>
      </c>
      <c r="T150">
        <v>102.9786444154188</v>
      </c>
      <c r="U150">
        <v>1.34572205209355E-2</v>
      </c>
      <c r="V150">
        <v>9.0496864055644721E-2</v>
      </c>
      <c r="W150">
        <v>6.5484633162705913E-3</v>
      </c>
      <c r="X150">
        <v>0.42729830049337358</v>
      </c>
      <c r="Y150">
        <v>0.11043117670488931</v>
      </c>
      <c r="Z150">
        <v>0.29413162153222128</v>
      </c>
      <c r="AA150">
        <v>3.3563525819550563E-2</v>
      </c>
      <c r="AB150">
        <v>1.273182961086033</v>
      </c>
      <c r="AC150">
        <v>0.14056846620335109</v>
      </c>
      <c r="AD150">
        <v>1172.3403815301051</v>
      </c>
      <c r="AE150">
        <v>100</v>
      </c>
      <c r="AG150">
        <v>2.4084062500000001</v>
      </c>
      <c r="AH150">
        <v>13.3720625</v>
      </c>
      <c r="AI150">
        <v>0.31026874999999998</v>
      </c>
      <c r="AJ150">
        <v>10.387225000000001</v>
      </c>
      <c r="AK150">
        <v>0.59164375000000002</v>
      </c>
      <c r="AL150">
        <v>3.0521875000000001</v>
      </c>
      <c r="AM150">
        <v>49.819099999999999</v>
      </c>
      <c r="AN150">
        <v>5.8739499999999998</v>
      </c>
      <c r="AP150">
        <v>0.19186249999999999</v>
      </c>
      <c r="AQ150">
        <v>97.820293750000005</v>
      </c>
      <c r="AR150">
        <v>8.7457962997469094E-2</v>
      </c>
      <c r="AS150">
        <v>0.20894986918716499</v>
      </c>
      <c r="AT150">
        <v>3.6791968666182201E-2</v>
      </c>
      <c r="AU150">
        <v>0.19989042831845</v>
      </c>
      <c r="AV150">
        <v>2.81971149528931E-2</v>
      </c>
      <c r="AW150">
        <v>5.5804024645778501E-2</v>
      </c>
      <c r="AX150">
        <v>0.88416756556661702</v>
      </c>
      <c r="AY150">
        <v>0.205613822492555</v>
      </c>
      <c r="BA150">
        <v>4.9243326112953303E-2</v>
      </c>
      <c r="BE150">
        <v>0.13704954154022911</v>
      </c>
      <c r="BF150">
        <v>3128</v>
      </c>
      <c r="BG150">
        <v>155958.85463627009</v>
      </c>
      <c r="BH150">
        <v>61.415113730287857</v>
      </c>
      <c r="BI150">
        <v>222.8076418541911</v>
      </c>
      <c r="BJ150">
        <v>1.098099991618892</v>
      </c>
      <c r="BK150">
        <v>61.415113730287857</v>
      </c>
    </row>
    <row r="151" spans="1:63" x14ac:dyDescent="0.2">
      <c r="A151">
        <v>149</v>
      </c>
      <c r="B151" t="s">
        <v>69</v>
      </c>
      <c r="C151" t="s">
        <v>236</v>
      </c>
      <c r="D151" t="s">
        <v>64</v>
      </c>
      <c r="E151">
        <v>-155.292979</v>
      </c>
      <c r="F151">
        <v>19.400748</v>
      </c>
      <c r="G151" t="s">
        <v>237</v>
      </c>
      <c r="H151" t="s">
        <v>339</v>
      </c>
      <c r="I151" t="s">
        <v>423</v>
      </c>
      <c r="J151" t="s">
        <v>68</v>
      </c>
      <c r="K151">
        <v>5.0129283070312498</v>
      </c>
      <c r="L151">
        <v>4.3490824468750002</v>
      </c>
      <c r="M151">
        <v>68.491867371547031</v>
      </c>
      <c r="N151">
        <v>427.48106592502933</v>
      </c>
      <c r="Q151">
        <v>10.023</v>
      </c>
      <c r="R151">
        <v>1324.9639999999999</v>
      </c>
      <c r="S151">
        <v>50</v>
      </c>
      <c r="T151">
        <v>102.98031306415361</v>
      </c>
      <c r="U151">
        <v>1.2315184975034209E-2</v>
      </c>
      <c r="V151">
        <v>9.1158049668997876E-2</v>
      </c>
      <c r="W151">
        <v>6.1856308747853927E-3</v>
      </c>
      <c r="X151">
        <v>0</v>
      </c>
      <c r="Y151">
        <v>0.1086862268839037</v>
      </c>
      <c r="Z151">
        <v>0.29942477882445362</v>
      </c>
      <c r="AA151">
        <v>2.9591228498514779E-2</v>
      </c>
      <c r="AB151">
        <v>1.295365635270979</v>
      </c>
      <c r="AC151">
        <v>0.1238959973265182</v>
      </c>
      <c r="AD151">
        <v>1189.0969918246701</v>
      </c>
      <c r="AE151">
        <v>50</v>
      </c>
      <c r="AF151">
        <v>82.084014557190145</v>
      </c>
      <c r="AG151">
        <v>2.0274999999999999</v>
      </c>
      <c r="AH151">
        <v>12.7525</v>
      </c>
      <c r="AI151">
        <v>0.17249999999999999</v>
      </c>
      <c r="AJ151">
        <v>11.092499999999999</v>
      </c>
      <c r="AK151">
        <v>0.51750000000000007</v>
      </c>
      <c r="AL151">
        <v>2.5150000000000001</v>
      </c>
      <c r="AM151">
        <v>50.63</v>
      </c>
      <c r="AN151">
        <v>7.415</v>
      </c>
      <c r="AP151">
        <v>1685.75</v>
      </c>
      <c r="AR151">
        <v>0.17231270024773751</v>
      </c>
      <c r="AS151">
        <v>0.13450526631573459</v>
      </c>
      <c r="AT151">
        <v>4.9999999999999836E-3</v>
      </c>
      <c r="AU151">
        <v>0.29227555491350982</v>
      </c>
      <c r="AV151">
        <v>2.061552812808835E-2</v>
      </c>
      <c r="AW151">
        <v>6.2449979983983737E-2</v>
      </c>
      <c r="AX151">
        <v>0.21556128285632961</v>
      </c>
      <c r="AY151">
        <v>0.39770173078158311</v>
      </c>
      <c r="BA151">
        <v>51.951098801340748</v>
      </c>
      <c r="BE151">
        <v>6.2263779105705089E-2</v>
      </c>
      <c r="BF151">
        <v>3213</v>
      </c>
      <c r="BG151">
        <v>51820.856424337428</v>
      </c>
      <c r="BH151">
        <v>10.3137064323417</v>
      </c>
      <c r="BI151">
        <v>128.43321575969901</v>
      </c>
      <c r="BJ151">
        <v>0.1819530763570833</v>
      </c>
      <c r="BK151">
        <v>10.3137064323417</v>
      </c>
    </row>
    <row r="152" spans="1:63" x14ac:dyDescent="0.2">
      <c r="A152">
        <v>150</v>
      </c>
      <c r="B152" t="s">
        <v>69</v>
      </c>
      <c r="C152" t="s">
        <v>236</v>
      </c>
      <c r="D152" t="s">
        <v>64</v>
      </c>
      <c r="E152">
        <v>-155.292979</v>
      </c>
      <c r="F152">
        <v>19.400748</v>
      </c>
      <c r="G152" t="s">
        <v>237</v>
      </c>
      <c r="H152" t="s">
        <v>424</v>
      </c>
      <c r="I152" t="s">
        <v>425</v>
      </c>
      <c r="J152" t="s">
        <v>68</v>
      </c>
      <c r="K152">
        <v>8.5456134289062504</v>
      </c>
      <c r="L152">
        <v>5.7183843953125004</v>
      </c>
      <c r="M152">
        <v>153.5205301541115</v>
      </c>
      <c r="N152">
        <v>1459.87767206077</v>
      </c>
      <c r="Q152">
        <v>10.054</v>
      </c>
      <c r="R152">
        <v>1324.9639999999999</v>
      </c>
      <c r="S152">
        <v>50</v>
      </c>
      <c r="T152">
        <v>102.98039490957071</v>
      </c>
      <c r="U152">
        <v>1.487862950806936E-2</v>
      </c>
      <c r="V152">
        <v>9.119048010877151E-2</v>
      </c>
      <c r="W152">
        <v>7.0147668434311691E-3</v>
      </c>
      <c r="X152">
        <v>5.2737808912348054</v>
      </c>
      <c r="Y152">
        <v>0.1086110035925798</v>
      </c>
      <c r="Z152">
        <v>0.29965553817729013</v>
      </c>
      <c r="AA152">
        <v>3.1069264486726571E-2</v>
      </c>
      <c r="AB152">
        <v>1.296332145899677</v>
      </c>
      <c r="AC152">
        <v>0.12987221307961419</v>
      </c>
      <c r="AD152">
        <v>1189.7630707023429</v>
      </c>
      <c r="AE152">
        <v>50</v>
      </c>
      <c r="AF152">
        <v>82.139519423432091</v>
      </c>
      <c r="AG152">
        <v>2.0274999999999999</v>
      </c>
      <c r="AH152">
        <v>12.7525</v>
      </c>
      <c r="AI152">
        <v>0.17249999999999999</v>
      </c>
      <c r="AJ152">
        <v>11.092499999999999</v>
      </c>
      <c r="AK152">
        <v>0.51750000000000007</v>
      </c>
      <c r="AL152">
        <v>2.5150000000000001</v>
      </c>
      <c r="AM152">
        <v>50.63</v>
      </c>
      <c r="AN152">
        <v>7.415</v>
      </c>
      <c r="AP152">
        <v>1685.75</v>
      </c>
      <c r="AR152">
        <v>0.17231270024773751</v>
      </c>
      <c r="AS152">
        <v>0.13450526631573459</v>
      </c>
      <c r="AT152">
        <v>4.9999999999999836E-3</v>
      </c>
      <c r="AU152">
        <v>0.29227555491350982</v>
      </c>
      <c r="AV152">
        <v>2.061552812808835E-2</v>
      </c>
      <c r="AW152">
        <v>6.2449979983983737E-2</v>
      </c>
      <c r="AX152">
        <v>0.21556128285632961</v>
      </c>
      <c r="AY152">
        <v>0.39770173078158311</v>
      </c>
      <c r="BA152">
        <v>51.951098801340748</v>
      </c>
    </row>
    <row r="153" spans="1:63" x14ac:dyDescent="0.2">
      <c r="A153">
        <v>151</v>
      </c>
      <c r="B153" t="s">
        <v>62</v>
      </c>
      <c r="C153" t="s">
        <v>63</v>
      </c>
      <c r="D153" t="s">
        <v>64</v>
      </c>
      <c r="E153">
        <v>-155.26785000000001</v>
      </c>
      <c r="F153">
        <v>19.407830000000001</v>
      </c>
      <c r="G153" t="s">
        <v>65</v>
      </c>
      <c r="H153" t="s">
        <v>426</v>
      </c>
      <c r="I153" t="s">
        <v>427</v>
      </c>
      <c r="J153" t="s">
        <v>68</v>
      </c>
      <c r="K153">
        <v>6.1275710101562497</v>
      </c>
      <c r="L153">
        <v>4.6983526578125003</v>
      </c>
      <c r="M153">
        <v>90.44484884418425</v>
      </c>
      <c r="N153">
        <v>652.76601983207354</v>
      </c>
      <c r="Q153">
        <v>19.957999999999998</v>
      </c>
      <c r="R153">
        <v>1325.0039999999999</v>
      </c>
      <c r="S153">
        <v>50</v>
      </c>
      <c r="T153">
        <v>102.9804074</v>
      </c>
      <c r="U153">
        <v>1.5148127149999999E-2</v>
      </c>
      <c r="V153">
        <v>9.1195428980000007E-2</v>
      </c>
      <c r="W153">
        <v>7.1047503360000003E-3</v>
      </c>
      <c r="X153">
        <v>0.95653838761417698</v>
      </c>
      <c r="Y153">
        <v>0.1056134669073158</v>
      </c>
      <c r="Z153">
        <v>0.30900704128359568</v>
      </c>
      <c r="AA153">
        <v>3.1455610213579947E-2</v>
      </c>
      <c r="AB153">
        <v>1.335460596659511</v>
      </c>
      <c r="AC153">
        <v>0.1313061510689168</v>
      </c>
      <c r="AD153">
        <v>1238.3320176251971</v>
      </c>
      <c r="AE153">
        <v>50</v>
      </c>
      <c r="BE153">
        <v>0.21822480597578239</v>
      </c>
      <c r="BF153">
        <v>121</v>
      </c>
      <c r="BG153">
        <v>7686.5105560563006</v>
      </c>
      <c r="BH153">
        <v>105.1875604369552</v>
      </c>
      <c r="BI153">
        <v>49.464050584730593</v>
      </c>
      <c r="BJ153">
        <v>9.5625054942686525</v>
      </c>
      <c r="BK153">
        <v>105.1875604369552</v>
      </c>
    </row>
    <row r="154" spans="1:63" x14ac:dyDescent="0.2">
      <c r="A154">
        <v>152</v>
      </c>
      <c r="B154" t="s">
        <v>69</v>
      </c>
      <c r="C154" t="s">
        <v>91</v>
      </c>
      <c r="D154" t="s">
        <v>92</v>
      </c>
      <c r="E154">
        <v>-155.272412745889</v>
      </c>
      <c r="F154">
        <v>19.3454197541963</v>
      </c>
      <c r="G154" t="s">
        <v>124</v>
      </c>
      <c r="H154" t="s">
        <v>428</v>
      </c>
      <c r="I154" t="s">
        <v>429</v>
      </c>
      <c r="J154" t="s">
        <v>68</v>
      </c>
      <c r="K154">
        <v>9.1386172945312509</v>
      </c>
      <c r="L154">
        <v>7.7913408718750006</v>
      </c>
      <c r="M154">
        <v>223.68793911161569</v>
      </c>
      <c r="N154">
        <v>2524.6849676595211</v>
      </c>
      <c r="O154" t="s">
        <v>430</v>
      </c>
      <c r="Q154">
        <v>12.039</v>
      </c>
      <c r="R154">
        <v>1325.0039999999999</v>
      </c>
      <c r="S154">
        <v>50</v>
      </c>
      <c r="T154">
        <v>102.98226039640861</v>
      </c>
      <c r="U154">
        <v>4.0121508664116698E-3</v>
      </c>
      <c r="V154">
        <v>9.1929660880254005E-2</v>
      </c>
      <c r="W154">
        <v>4.1204890199685804E-3</v>
      </c>
      <c r="X154">
        <v>3.7911106378112192</v>
      </c>
      <c r="Y154">
        <v>9.9060675201839699E-2</v>
      </c>
      <c r="Z154">
        <v>0.33079869993862332</v>
      </c>
      <c r="AA154">
        <v>2.589028312997517E-2</v>
      </c>
      <c r="AB154">
        <v>1.4263447385660131</v>
      </c>
      <c r="AC154">
        <v>0.1076484399272687</v>
      </c>
      <c r="AD154">
        <v>1339.515746731267</v>
      </c>
      <c r="AE154">
        <v>50</v>
      </c>
      <c r="AF154">
        <v>89.755851079007783</v>
      </c>
      <c r="AG154">
        <v>2.4452269230769228</v>
      </c>
      <c r="AH154">
        <v>12.97811153846154</v>
      </c>
      <c r="AJ154">
        <v>10.30404615384615</v>
      </c>
      <c r="AK154">
        <v>0.55342692307692309</v>
      </c>
      <c r="AL154">
        <v>2.900669230769231</v>
      </c>
      <c r="AM154">
        <v>50.451046153846157</v>
      </c>
      <c r="AN154">
        <v>6.0883423076923071</v>
      </c>
      <c r="AP154">
        <v>1.6526923076923071E-2</v>
      </c>
      <c r="AQ154">
        <v>97.170811538461535</v>
      </c>
      <c r="AR154">
        <v>0.14452695958247319</v>
      </c>
      <c r="AS154">
        <v>0.56238533005541524</v>
      </c>
      <c r="AU154">
        <v>0.81302815263963402</v>
      </c>
      <c r="AV154">
        <v>0.1071919159552335</v>
      </c>
      <c r="AW154">
        <v>0.48878923864523122</v>
      </c>
      <c r="AX154">
        <v>0.42567582898799372</v>
      </c>
      <c r="AY154">
        <v>0.85490953915514445</v>
      </c>
      <c r="BA154">
        <v>4.3609684880592933E-3</v>
      </c>
      <c r="BB154">
        <v>26</v>
      </c>
      <c r="BC154" t="s">
        <v>86</v>
      </c>
    </row>
    <row r="155" spans="1:63" x14ac:dyDescent="0.2">
      <c r="A155">
        <v>153</v>
      </c>
      <c r="B155" t="s">
        <v>69</v>
      </c>
      <c r="C155" t="s">
        <v>91</v>
      </c>
      <c r="D155" t="s">
        <v>92</v>
      </c>
      <c r="E155">
        <v>-155.28360000000001</v>
      </c>
      <c r="F155">
        <v>19.4285</v>
      </c>
      <c r="G155" t="s">
        <v>93</v>
      </c>
      <c r="H155" t="s">
        <v>260</v>
      </c>
      <c r="I155" t="s">
        <v>431</v>
      </c>
      <c r="J155" t="s">
        <v>68</v>
      </c>
      <c r="K155">
        <v>7.5201770109374992</v>
      </c>
      <c r="L155">
        <v>7.2140280140625004</v>
      </c>
      <c r="M155">
        <v>170.4338130305126</v>
      </c>
      <c r="N155">
        <v>1674.1378295893919</v>
      </c>
      <c r="O155" t="s">
        <v>432</v>
      </c>
      <c r="Q155">
        <v>12.003</v>
      </c>
      <c r="R155">
        <v>1325.0039999999999</v>
      </c>
      <c r="S155">
        <v>50</v>
      </c>
      <c r="T155">
        <v>102.9825844786418</v>
      </c>
      <c r="U155">
        <v>2.2603955005047549E-3</v>
      </c>
      <c r="V155">
        <v>9.2058075270664119E-2</v>
      </c>
      <c r="W155">
        <v>3.9055689437279E-3</v>
      </c>
      <c r="X155">
        <v>0</v>
      </c>
      <c r="Y155">
        <v>0.1055982433639313</v>
      </c>
      <c r="Z155">
        <v>0.30906977800359881</v>
      </c>
      <c r="AA155">
        <v>3.049810094052164E-2</v>
      </c>
      <c r="AB155">
        <v>1.335722840208273</v>
      </c>
      <c r="AC155">
        <v>0.1273509568823985</v>
      </c>
      <c r="AD155">
        <v>1224.111391455303</v>
      </c>
      <c r="AE155">
        <v>100</v>
      </c>
      <c r="AG155">
        <v>2.1005484848484852</v>
      </c>
      <c r="AH155">
        <v>12.543751515151509</v>
      </c>
      <c r="AJ155">
        <v>10.35766363636364</v>
      </c>
      <c r="AK155">
        <v>0.36914545454545461</v>
      </c>
      <c r="AL155">
        <v>2.199157575757575</v>
      </c>
      <c r="AM155">
        <v>49.88770303030303</v>
      </c>
      <c r="AN155">
        <v>8.5799181818181811</v>
      </c>
      <c r="AP155">
        <v>1.6854545454545459E-2</v>
      </c>
      <c r="AQ155">
        <v>97.165912121212131</v>
      </c>
      <c r="AR155">
        <v>0.12875285220435931</v>
      </c>
      <c r="AS155">
        <v>0.27438160598108169</v>
      </c>
      <c r="AU155">
        <v>0.23223845883350949</v>
      </c>
      <c r="AV155">
        <v>3.2777460728649822E-2</v>
      </c>
      <c r="AW155">
        <v>6.9021124620940399E-2</v>
      </c>
      <c r="AX155">
        <v>0.52796007335122563</v>
      </c>
      <c r="AY155">
        <v>0.70241800520351916</v>
      </c>
      <c r="BA155">
        <v>4.4618585609790254E-3</v>
      </c>
      <c r="BB155">
        <v>33</v>
      </c>
      <c r="BC155" t="s">
        <v>86</v>
      </c>
    </row>
    <row r="156" spans="1:63" x14ac:dyDescent="0.2">
      <c r="A156">
        <v>154</v>
      </c>
      <c r="B156" t="s">
        <v>69</v>
      </c>
      <c r="C156" t="s">
        <v>236</v>
      </c>
      <c r="D156" t="s">
        <v>64</v>
      </c>
      <c r="E156">
        <v>-155.292979</v>
      </c>
      <c r="F156">
        <v>19.400748</v>
      </c>
      <c r="G156" t="s">
        <v>237</v>
      </c>
      <c r="H156" t="s">
        <v>433</v>
      </c>
      <c r="I156" t="s">
        <v>434</v>
      </c>
      <c r="J156" t="s">
        <v>68</v>
      </c>
      <c r="K156">
        <v>6.6624019171874993</v>
      </c>
      <c r="L156">
        <v>6.19231094609375</v>
      </c>
      <c r="M156">
        <v>129.60849194377619</v>
      </c>
      <c r="N156">
        <v>1110.7199657200961</v>
      </c>
      <c r="Q156">
        <v>9.8849999999999998</v>
      </c>
      <c r="R156">
        <v>1324.9639999999999</v>
      </c>
      <c r="S156">
        <v>50</v>
      </c>
      <c r="T156">
        <v>102.98360016579259</v>
      </c>
      <c r="U156">
        <v>1.8225019539752731E-2</v>
      </c>
      <c r="V156">
        <v>9.24605312926019E-2</v>
      </c>
      <c r="W156">
        <v>8.1609941611231283E-3</v>
      </c>
      <c r="X156">
        <v>0</v>
      </c>
      <c r="Y156">
        <v>0.1073462604354638</v>
      </c>
      <c r="Z156">
        <v>0.3035794420130361</v>
      </c>
      <c r="AA156">
        <v>3.5511252968301987E-2</v>
      </c>
      <c r="AB156">
        <v>1.3127598356133741</v>
      </c>
      <c r="AC156">
        <v>0.14848606836798789</v>
      </c>
      <c r="AD156">
        <v>1189.287852048883</v>
      </c>
      <c r="AE156">
        <v>50</v>
      </c>
      <c r="AF156">
        <v>82.099962662577227</v>
      </c>
      <c r="AG156">
        <v>2.0274999999999999</v>
      </c>
      <c r="AH156">
        <v>12.7525</v>
      </c>
      <c r="AI156">
        <v>0.17249999999999999</v>
      </c>
      <c r="AJ156">
        <v>11.092499999999999</v>
      </c>
      <c r="AK156">
        <v>0.51750000000000007</v>
      </c>
      <c r="AL156">
        <v>2.5150000000000001</v>
      </c>
      <c r="AM156">
        <v>50.63</v>
      </c>
      <c r="AN156">
        <v>7.415</v>
      </c>
      <c r="AP156">
        <v>1685.75</v>
      </c>
      <c r="AR156">
        <v>0.17231270024773751</v>
      </c>
      <c r="AS156">
        <v>0.13450526631573459</v>
      </c>
      <c r="AT156">
        <v>4.9999999999999836E-3</v>
      </c>
      <c r="AU156">
        <v>0.29227555491350982</v>
      </c>
      <c r="AV156">
        <v>2.061552812808835E-2</v>
      </c>
      <c r="AW156">
        <v>6.2449979983983737E-2</v>
      </c>
      <c r="AX156">
        <v>0.21556128285632961</v>
      </c>
      <c r="AY156">
        <v>0.39770173078158311</v>
      </c>
      <c r="BA156">
        <v>51.951098801340748</v>
      </c>
      <c r="BE156">
        <v>9.7665700853245635E-2</v>
      </c>
      <c r="BF156">
        <v>8368</v>
      </c>
      <c r="BG156">
        <v>134764.98509122129</v>
      </c>
      <c r="BH156">
        <v>79.883151036211316</v>
      </c>
      <c r="BI156">
        <v>207.11597491730791</v>
      </c>
      <c r="BJ156">
        <v>0.87326157678322081</v>
      </c>
      <c r="BK156">
        <v>79.883151036211345</v>
      </c>
    </row>
    <row r="157" spans="1:63" x14ac:dyDescent="0.2">
      <c r="A157">
        <v>155</v>
      </c>
      <c r="B157" t="s">
        <v>62</v>
      </c>
      <c r="C157" t="s">
        <v>63</v>
      </c>
      <c r="D157" t="s">
        <v>64</v>
      </c>
      <c r="E157">
        <v>-155.26785000000001</v>
      </c>
      <c r="F157">
        <v>19.407830000000001</v>
      </c>
      <c r="G157" t="s">
        <v>65</v>
      </c>
      <c r="H157" t="s">
        <v>435</v>
      </c>
      <c r="I157" t="s">
        <v>436</v>
      </c>
      <c r="J157" t="s">
        <v>68</v>
      </c>
      <c r="K157">
        <v>11.9575940203125</v>
      </c>
      <c r="L157">
        <v>8.6466170273437495</v>
      </c>
      <c r="M157">
        <v>324.81786004723517</v>
      </c>
      <c r="N157">
        <v>4461.7438269742033</v>
      </c>
      <c r="Q157">
        <v>12.007999999999999</v>
      </c>
      <c r="R157">
        <v>1325.0039999999999</v>
      </c>
      <c r="S157">
        <v>50</v>
      </c>
      <c r="T157">
        <v>102.9840592</v>
      </c>
      <c r="U157">
        <v>3.2806470669999997E-2</v>
      </c>
      <c r="V157">
        <v>9.2642419439999998E-2</v>
      </c>
      <c r="W157">
        <v>1.354372901E-2</v>
      </c>
      <c r="X157">
        <v>0</v>
      </c>
      <c r="Y157">
        <v>0.1074824467017101</v>
      </c>
      <c r="Z157">
        <v>0.30315925375145591</v>
      </c>
      <c r="AA157">
        <v>5.4380601244841689E-2</v>
      </c>
      <c r="AB157">
        <v>1.3110013349532459</v>
      </c>
      <c r="AC157">
        <v>0.22734438090796041</v>
      </c>
      <c r="AD157">
        <v>1184.2034319433401</v>
      </c>
      <c r="AE157">
        <v>50</v>
      </c>
      <c r="AF157">
        <v>81.662504459999994</v>
      </c>
      <c r="BE157">
        <v>5.7290723551771332E-2</v>
      </c>
      <c r="BF157">
        <v>7434</v>
      </c>
      <c r="BG157">
        <v>476788.62450311327</v>
      </c>
      <c r="BH157">
        <v>124.390858939343</v>
      </c>
      <c r="BI157">
        <v>389.57224336355398</v>
      </c>
      <c r="BJ157">
        <v>1.442703841932562</v>
      </c>
      <c r="BK157">
        <v>124.390858939343</v>
      </c>
    </row>
    <row r="158" spans="1:63" x14ac:dyDescent="0.2">
      <c r="A158">
        <v>156</v>
      </c>
      <c r="B158" t="s">
        <v>69</v>
      </c>
      <c r="C158" t="s">
        <v>177</v>
      </c>
      <c r="D158" t="s">
        <v>144</v>
      </c>
      <c r="E158">
        <v>-155.2086333</v>
      </c>
      <c r="F158">
        <v>19.347316670000001</v>
      </c>
      <c r="G158" t="s">
        <v>178</v>
      </c>
      <c r="H158" t="s">
        <v>403</v>
      </c>
      <c r="I158" t="s">
        <v>437</v>
      </c>
      <c r="J158" t="s">
        <v>68</v>
      </c>
      <c r="K158">
        <v>6.5989405078125003</v>
      </c>
      <c r="L158">
        <v>6.4949149374999999</v>
      </c>
      <c r="M158">
        <v>134.64727027396921</v>
      </c>
      <c r="N158">
        <v>1175.3679287155171</v>
      </c>
      <c r="Q158">
        <v>9.891</v>
      </c>
      <c r="R158">
        <v>1324.9639999999999</v>
      </c>
      <c r="S158">
        <v>50</v>
      </c>
      <c r="T158">
        <v>102.9841294148904</v>
      </c>
      <c r="U158">
        <v>2.1931915973392661E-2</v>
      </c>
      <c r="V158">
        <v>9.2670241030816669E-2</v>
      </c>
      <c r="W158">
        <v>9.4854521875842052E-3</v>
      </c>
      <c r="X158">
        <v>0</v>
      </c>
      <c r="Y158">
        <v>0.1008880694866616</v>
      </c>
      <c r="Z158">
        <v>0.32453680845114402</v>
      </c>
      <c r="AA158">
        <v>4.2095389598798542E-2</v>
      </c>
      <c r="AB158">
        <v>1.4002712231666301</v>
      </c>
      <c r="AC158">
        <v>0.1751184977674686</v>
      </c>
      <c r="AD158">
        <v>1293.3714203688601</v>
      </c>
      <c r="AE158">
        <v>50</v>
      </c>
      <c r="AF158">
        <v>88.000235533194925</v>
      </c>
      <c r="AG158">
        <v>2.1216818181818198</v>
      </c>
      <c r="AH158">
        <v>12.5470545454545</v>
      </c>
      <c r="AI158">
        <v>0.27337272727272699</v>
      </c>
      <c r="AJ158">
        <v>10.3521727272727</v>
      </c>
      <c r="AK158">
        <v>0.49205454545454502</v>
      </c>
      <c r="AL158">
        <v>2.5642454545454498</v>
      </c>
      <c r="AM158">
        <v>49.0749</v>
      </c>
      <c r="AN158">
        <v>9.1371454545454505</v>
      </c>
      <c r="AP158">
        <v>0.18198181818181799</v>
      </c>
      <c r="AQ158">
        <v>98.157727272727257</v>
      </c>
      <c r="AR158">
        <v>0.12055145638424999</v>
      </c>
      <c r="AS158">
        <v>0.28907753411026699</v>
      </c>
      <c r="AT158">
        <v>2.8655229571898099E-2</v>
      </c>
      <c r="AU158">
        <v>0.23406218443357801</v>
      </c>
      <c r="AV158">
        <v>5.2241982420968003E-2</v>
      </c>
      <c r="AW158">
        <v>6.6675218239408293E-2</v>
      </c>
      <c r="AX158">
        <v>0.92934608408278196</v>
      </c>
      <c r="AY158">
        <v>0.68994549402635696</v>
      </c>
      <c r="BA158">
        <v>4.8246177427477499E-2</v>
      </c>
      <c r="BE158">
        <v>0.14508650853709429</v>
      </c>
      <c r="BF158">
        <v>5206</v>
      </c>
      <c r="BG158">
        <v>520917.80156520742</v>
      </c>
      <c r="BH158">
        <v>267.79465072438148</v>
      </c>
      <c r="BI158">
        <v>407.20177569275359</v>
      </c>
      <c r="BJ158">
        <v>3.711502998204971</v>
      </c>
      <c r="BK158">
        <v>267.79465072438143</v>
      </c>
    </row>
    <row r="159" spans="1:63" x14ac:dyDescent="0.2">
      <c r="A159">
        <v>157</v>
      </c>
      <c r="B159" t="s">
        <v>69</v>
      </c>
      <c r="C159" t="s">
        <v>236</v>
      </c>
      <c r="D159" t="s">
        <v>64</v>
      </c>
      <c r="E159">
        <v>-155.292979</v>
      </c>
      <c r="F159">
        <v>19.400748</v>
      </c>
      <c r="G159" t="s">
        <v>237</v>
      </c>
      <c r="H159" t="s">
        <v>438</v>
      </c>
      <c r="I159" t="s">
        <v>439</v>
      </c>
      <c r="J159" t="s">
        <v>68</v>
      </c>
      <c r="K159">
        <v>12.365792682812501</v>
      </c>
      <c r="L159">
        <v>11.086161938281251</v>
      </c>
      <c r="M159">
        <v>430.67836133031079</v>
      </c>
      <c r="N159">
        <v>6733.4995908036426</v>
      </c>
      <c r="Q159">
        <v>10.042</v>
      </c>
      <c r="R159">
        <v>1324.9639999999999</v>
      </c>
      <c r="S159">
        <v>50</v>
      </c>
      <c r="T159">
        <v>102.9847311082856</v>
      </c>
      <c r="U159">
        <v>4.5836240514357694E-3</v>
      </c>
      <c r="V159">
        <v>9.2908656107759668E-2</v>
      </c>
      <c r="W159">
        <v>4.2132544477525378E-3</v>
      </c>
      <c r="X159">
        <v>0.74594525151362123</v>
      </c>
      <c r="Y159">
        <v>0.10674977716400939</v>
      </c>
      <c r="Z159">
        <v>0.30544898260820691</v>
      </c>
      <c r="AA159">
        <v>2.525219625164531E-2</v>
      </c>
      <c r="AB159">
        <v>1.3205820431861059</v>
      </c>
      <c r="AC159">
        <v>0.10560171022730649</v>
      </c>
      <c r="AD159">
        <v>1191.58945313343</v>
      </c>
      <c r="AE159">
        <v>50</v>
      </c>
      <c r="AF159">
        <v>82.289571922058443</v>
      </c>
      <c r="AG159">
        <v>2.0274999999999999</v>
      </c>
      <c r="AH159">
        <v>12.7525</v>
      </c>
      <c r="AI159">
        <v>0.17249999999999999</v>
      </c>
      <c r="AJ159">
        <v>11.092499999999999</v>
      </c>
      <c r="AK159">
        <v>0.51750000000000007</v>
      </c>
      <c r="AL159">
        <v>2.5150000000000001</v>
      </c>
      <c r="AM159">
        <v>50.63</v>
      </c>
      <c r="AN159">
        <v>7.415</v>
      </c>
      <c r="AP159">
        <v>1685.75</v>
      </c>
      <c r="AR159">
        <v>0.17231270024773751</v>
      </c>
      <c r="AS159">
        <v>0.13450526631573459</v>
      </c>
      <c r="AT159">
        <v>4.9999999999999836E-3</v>
      </c>
      <c r="AU159">
        <v>0.29227555491350982</v>
      </c>
      <c r="AV159">
        <v>2.061552812808835E-2</v>
      </c>
      <c r="AW159">
        <v>6.2449979983983737E-2</v>
      </c>
      <c r="AX159">
        <v>0.21556128285632961</v>
      </c>
      <c r="AY159">
        <v>0.39770173078158311</v>
      </c>
      <c r="BA159">
        <v>51.951098801340748</v>
      </c>
      <c r="BE159">
        <v>8.6792328845504904E-2</v>
      </c>
      <c r="BF159">
        <v>13981</v>
      </c>
      <c r="BG159">
        <v>224551.37747300559</v>
      </c>
      <c r="BH159">
        <v>375.53398268528213</v>
      </c>
      <c r="BI159">
        <v>267.35168487564431</v>
      </c>
      <c r="BJ159">
        <v>3.1759973053499051</v>
      </c>
      <c r="BK159">
        <v>375.53398268528213</v>
      </c>
    </row>
    <row r="160" spans="1:63" x14ac:dyDescent="0.2">
      <c r="A160">
        <v>158</v>
      </c>
      <c r="B160" t="s">
        <v>69</v>
      </c>
      <c r="C160" t="s">
        <v>81</v>
      </c>
      <c r="D160" t="s">
        <v>71</v>
      </c>
      <c r="E160">
        <v>-155.29106999999999</v>
      </c>
      <c r="F160">
        <v>19.383150000000001</v>
      </c>
      <c r="G160" t="s">
        <v>87</v>
      </c>
      <c r="H160" t="s">
        <v>440</v>
      </c>
      <c r="I160" t="s">
        <v>441</v>
      </c>
      <c r="J160" t="s">
        <v>68</v>
      </c>
      <c r="K160">
        <v>17.543825260937499</v>
      </c>
      <c r="L160">
        <v>14.994559525</v>
      </c>
      <c r="M160">
        <v>826.43343354857438</v>
      </c>
      <c r="N160">
        <v>17927.206040511352</v>
      </c>
      <c r="Q160">
        <v>12.074999999999999</v>
      </c>
      <c r="R160">
        <v>1325.0039999999999</v>
      </c>
      <c r="S160">
        <v>50</v>
      </c>
      <c r="T160">
        <v>102.9855164540315</v>
      </c>
      <c r="U160">
        <v>2.7085090544469921E-3</v>
      </c>
      <c r="V160">
        <v>9.3219841618463306E-2</v>
      </c>
      <c r="W160">
        <v>3.9503587387017857E-3</v>
      </c>
      <c r="X160">
        <v>0</v>
      </c>
      <c r="Y160">
        <v>0.10432948083896761</v>
      </c>
      <c r="Z160">
        <v>0.31315709737129249</v>
      </c>
      <c r="AA160">
        <v>2.6752953114268039E-2</v>
      </c>
      <c r="AB160">
        <v>1.352800685204709</v>
      </c>
      <c r="AC160">
        <v>0.11155729409775759</v>
      </c>
      <c r="AD160">
        <v>1225.7595452367309</v>
      </c>
      <c r="AE160">
        <v>50</v>
      </c>
      <c r="AF160">
        <v>84.659957738339259</v>
      </c>
      <c r="AG160">
        <v>2.2102200000000001</v>
      </c>
      <c r="AH160">
        <v>12.516225</v>
      </c>
      <c r="AI160">
        <v>0.22873499999999999</v>
      </c>
      <c r="AJ160">
        <v>10.535360000000001</v>
      </c>
      <c r="AK160">
        <v>0.37534499999999998</v>
      </c>
      <c r="AL160">
        <v>2.4377900000000001</v>
      </c>
      <c r="AM160">
        <v>50.224780000000003</v>
      </c>
      <c r="AN160">
        <v>8.9844449999999991</v>
      </c>
      <c r="AP160">
        <v>0.178455</v>
      </c>
      <c r="AQ160">
        <v>99.610560000000007</v>
      </c>
      <c r="AR160">
        <v>1.7587090435884831E-2</v>
      </c>
      <c r="AS160">
        <v>0.12699126938494701</v>
      </c>
      <c r="AT160">
        <v>8.073250584491971E-3</v>
      </c>
      <c r="AU160">
        <v>6.9056800896073786E-2</v>
      </c>
      <c r="AV160">
        <v>2.248073063759274E-2</v>
      </c>
      <c r="AW160">
        <v>2.1205111412109991E-2</v>
      </c>
      <c r="AX160">
        <v>0.5052093298821787</v>
      </c>
      <c r="AY160">
        <v>0.13192220766421431</v>
      </c>
      <c r="BA160">
        <v>1.2962040734390541E-2</v>
      </c>
      <c r="BB160">
        <v>5</v>
      </c>
      <c r="BC160" t="s">
        <v>86</v>
      </c>
    </row>
    <row r="161" spans="1:63" x14ac:dyDescent="0.2">
      <c r="A161">
        <v>159</v>
      </c>
      <c r="B161" t="s">
        <v>69</v>
      </c>
      <c r="C161" t="s">
        <v>236</v>
      </c>
      <c r="D161" t="s">
        <v>64</v>
      </c>
      <c r="E161">
        <v>-155.292979</v>
      </c>
      <c r="F161">
        <v>19.400748</v>
      </c>
      <c r="G161" t="s">
        <v>237</v>
      </c>
      <c r="H161" t="s">
        <v>424</v>
      </c>
      <c r="I161" t="s">
        <v>442</v>
      </c>
      <c r="J161" t="s">
        <v>68</v>
      </c>
      <c r="K161">
        <v>5.5005118460937501</v>
      </c>
      <c r="L161">
        <v>5.5005118460937501</v>
      </c>
      <c r="M161">
        <v>95.050866725352705</v>
      </c>
      <c r="N161">
        <v>697.10455787237436</v>
      </c>
      <c r="Q161">
        <v>10.023999999999999</v>
      </c>
      <c r="R161">
        <v>1324.9639999999999</v>
      </c>
      <c r="S161">
        <v>100</v>
      </c>
      <c r="T161">
        <v>102.9856601940986</v>
      </c>
      <c r="U161">
        <v>1.4446821735993841E-2</v>
      </c>
      <c r="V161">
        <v>9.3276797203209583E-2</v>
      </c>
      <c r="W161">
        <v>6.8718655219787662E-3</v>
      </c>
      <c r="X161">
        <v>0.63461953149800499</v>
      </c>
      <c r="Y161">
        <v>0.10658034358239921</v>
      </c>
      <c r="Z161">
        <v>0.30598658481213697</v>
      </c>
      <c r="AA161">
        <v>3.076401709494915E-2</v>
      </c>
      <c r="AB161">
        <v>1.322830818020529</v>
      </c>
      <c r="AC161">
        <v>0.1284306566750745</v>
      </c>
      <c r="AD161">
        <v>1188.397551129025</v>
      </c>
      <c r="AE161">
        <v>50</v>
      </c>
      <c r="AF161">
        <v>82.025266921175373</v>
      </c>
      <c r="AG161">
        <v>2.0274999999999999</v>
      </c>
      <c r="AH161">
        <v>12.7525</v>
      </c>
      <c r="AI161">
        <v>0.17249999999999999</v>
      </c>
      <c r="AJ161">
        <v>11.092499999999999</v>
      </c>
      <c r="AK161">
        <v>0.51750000000000007</v>
      </c>
      <c r="AL161">
        <v>2.5150000000000001</v>
      </c>
      <c r="AM161">
        <v>50.63</v>
      </c>
      <c r="AN161">
        <v>7.415</v>
      </c>
      <c r="AP161">
        <v>1685.75</v>
      </c>
      <c r="AR161">
        <v>0.17231270024773751</v>
      </c>
      <c r="AS161">
        <v>0.13450526631573459</v>
      </c>
      <c r="AT161">
        <v>4.9999999999999836E-3</v>
      </c>
      <c r="AU161">
        <v>0.29227555491350982</v>
      </c>
      <c r="AV161">
        <v>2.061552812808835E-2</v>
      </c>
      <c r="AW161">
        <v>6.2449979983983737E-2</v>
      </c>
      <c r="AX161">
        <v>0.21556128285632961</v>
      </c>
      <c r="AY161">
        <v>0.39770173078158311</v>
      </c>
      <c r="BA161">
        <v>51.951098801340748</v>
      </c>
    </row>
    <row r="162" spans="1:63" x14ac:dyDescent="0.2">
      <c r="A162">
        <v>160</v>
      </c>
      <c r="B162" t="s">
        <v>69</v>
      </c>
      <c r="C162" t="s">
        <v>70</v>
      </c>
      <c r="D162" t="s">
        <v>71</v>
      </c>
      <c r="E162">
        <v>-155.29347999999999</v>
      </c>
      <c r="F162">
        <v>19.377479999999998</v>
      </c>
      <c r="G162" t="s">
        <v>112</v>
      </c>
      <c r="H162" t="s">
        <v>443</v>
      </c>
      <c r="I162" t="s">
        <v>444</v>
      </c>
      <c r="J162" t="s">
        <v>68</v>
      </c>
      <c r="K162">
        <v>4.2587719796874994</v>
      </c>
      <c r="L162">
        <v>3.7258588625</v>
      </c>
      <c r="M162">
        <v>49.849483200542089</v>
      </c>
      <c r="N162">
        <v>265.35314735343729</v>
      </c>
      <c r="Q162">
        <v>12.122</v>
      </c>
      <c r="R162">
        <v>1324.9639999999999</v>
      </c>
      <c r="S162">
        <v>50</v>
      </c>
      <c r="T162">
        <v>102.9857655496419</v>
      </c>
      <c r="U162">
        <v>3.5433938351628329E-2</v>
      </c>
      <c r="V162">
        <v>9.3318543298771317E-2</v>
      </c>
      <c r="W162">
        <v>1.4545966607447461E-2</v>
      </c>
      <c r="X162">
        <v>0</v>
      </c>
      <c r="Y162">
        <v>9.9089971881516359E-2</v>
      </c>
      <c r="Z162">
        <v>0.33071996914475599</v>
      </c>
      <c r="AA162">
        <v>5.7046608214391281E-2</v>
      </c>
      <c r="AB162">
        <v>1.426017127081705</v>
      </c>
      <c r="AC162">
        <v>0.237149739711566</v>
      </c>
      <c r="AD162">
        <v>1313.8184730374419</v>
      </c>
      <c r="AE162">
        <v>50</v>
      </c>
      <c r="AF162">
        <v>88.815440469376966</v>
      </c>
      <c r="AG162">
        <v>2.1280100000000002</v>
      </c>
      <c r="AH162">
        <v>12.511455</v>
      </c>
      <c r="AI162">
        <v>0.21128</v>
      </c>
      <c r="AJ162">
        <v>10.547185000000001</v>
      </c>
      <c r="AK162">
        <v>0.43435000000000001</v>
      </c>
      <c r="AL162">
        <v>2.4173399999999998</v>
      </c>
      <c r="AM162">
        <v>50.003889999999998</v>
      </c>
      <c r="AN162">
        <v>8.5805450000000008</v>
      </c>
      <c r="AO162">
        <v>11.0444</v>
      </c>
      <c r="AP162">
        <v>0.37786999999999998</v>
      </c>
      <c r="AQ162">
        <v>98.290260000000004</v>
      </c>
      <c r="AR162">
        <v>4.7093422517846893E-2</v>
      </c>
      <c r="AS162">
        <v>0.17423154844121161</v>
      </c>
      <c r="AT162">
        <v>2.1925114974993089E-2</v>
      </c>
      <c r="AU162">
        <v>0.1853741817244248</v>
      </c>
      <c r="AV162">
        <v>1.0520403456564249E-2</v>
      </c>
      <c r="AW162">
        <v>3.5166562401109248E-2</v>
      </c>
      <c r="AX162">
        <v>0.46106226248619608</v>
      </c>
      <c r="AY162">
        <v>0.4051107053427907</v>
      </c>
      <c r="AZ162">
        <v>0.14841023100402101</v>
      </c>
      <c r="BA162">
        <v>1.7068639208924791E-2</v>
      </c>
      <c r="BD162" t="s">
        <v>445</v>
      </c>
      <c r="BE162">
        <v>9.2402056878923097E-2</v>
      </c>
      <c r="BF162">
        <v>872</v>
      </c>
      <c r="BG162">
        <v>42731.013113990201</v>
      </c>
      <c r="BH162">
        <v>7.4936288407806204</v>
      </c>
      <c r="BI162">
        <v>116.626343168395</v>
      </c>
      <c r="BJ162">
        <v>0.25376629337887102</v>
      </c>
      <c r="BK162">
        <v>7.4936288407806204</v>
      </c>
    </row>
    <row r="163" spans="1:63" x14ac:dyDescent="0.2">
      <c r="A163">
        <v>161</v>
      </c>
      <c r="B163" t="s">
        <v>69</v>
      </c>
      <c r="C163" t="s">
        <v>76</v>
      </c>
      <c r="D163" t="s">
        <v>71</v>
      </c>
      <c r="E163">
        <v>-155.29812000000001</v>
      </c>
      <c r="F163">
        <v>19.375624999999999</v>
      </c>
      <c r="G163" t="s">
        <v>77</v>
      </c>
      <c r="H163" t="s">
        <v>446</v>
      </c>
      <c r="I163" t="s">
        <v>447</v>
      </c>
      <c r="J163" t="s">
        <v>68</v>
      </c>
      <c r="K163">
        <v>4.8285299078124986</v>
      </c>
      <c r="L163">
        <v>4.7628020195312502</v>
      </c>
      <c r="M163">
        <v>72.2482492517303</v>
      </c>
      <c r="N163">
        <v>461.97129316187329</v>
      </c>
      <c r="Q163">
        <v>12.164</v>
      </c>
      <c r="R163">
        <v>1324.9639999999999</v>
      </c>
      <c r="S163">
        <v>50</v>
      </c>
      <c r="T163">
        <v>102.98673259163699</v>
      </c>
      <c r="U163">
        <v>1.203598777911217E-2</v>
      </c>
      <c r="V163">
        <v>9.3701724157199351E-2</v>
      </c>
      <c r="W163">
        <v>6.099126195729776E-3</v>
      </c>
      <c r="X163">
        <v>0</v>
      </c>
      <c r="Y163">
        <v>0.1044623752964107</v>
      </c>
      <c r="Z163">
        <v>0.31273583775015401</v>
      </c>
      <c r="AA163">
        <v>3.2001340032485767E-2</v>
      </c>
      <c r="AB163">
        <v>1.3510412315518321</v>
      </c>
      <c r="AC163">
        <v>0.13352637767109049</v>
      </c>
      <c r="AD163">
        <v>1215.7125744075299</v>
      </c>
      <c r="AE163">
        <v>50</v>
      </c>
      <c r="AF163">
        <v>84.033638726531521</v>
      </c>
      <c r="AG163">
        <v>2.5039199999999999</v>
      </c>
      <c r="AH163">
        <v>14.096819999999999</v>
      </c>
      <c r="AI163">
        <v>0.27322000000000002</v>
      </c>
      <c r="AJ163">
        <v>10.95044</v>
      </c>
      <c r="AK163">
        <v>0.52094000000000007</v>
      </c>
      <c r="AL163">
        <v>2.9191400000000001</v>
      </c>
      <c r="AM163">
        <v>50.91704</v>
      </c>
      <c r="AN163">
        <v>6.4346599999999992</v>
      </c>
      <c r="AO163">
        <v>10.86684</v>
      </c>
      <c r="AP163">
        <v>0.19492000000000001</v>
      </c>
      <c r="AQ163">
        <v>99.70778</v>
      </c>
      <c r="AR163">
        <v>5.8797253337209539E-2</v>
      </c>
      <c r="AS163">
        <v>0.138496180452748</v>
      </c>
      <c r="AT163">
        <v>2.822688434808206E-2</v>
      </c>
      <c r="AU163">
        <v>7.1287502411011894E-2</v>
      </c>
      <c r="AV163">
        <v>1.2819243347405491E-2</v>
      </c>
      <c r="AW163">
        <v>2.3721045508155889E-2</v>
      </c>
      <c r="AX163">
        <v>0.39733328327740491</v>
      </c>
      <c r="AY163">
        <v>8.3972662218129629E-2</v>
      </c>
      <c r="AZ163">
        <v>5.8132675837260117E-2</v>
      </c>
      <c r="BA163">
        <v>1.931080008699795E-2</v>
      </c>
    </row>
    <row r="164" spans="1:63" x14ac:dyDescent="0.2">
      <c r="A164">
        <v>162</v>
      </c>
      <c r="B164" t="s">
        <v>69</v>
      </c>
      <c r="C164" t="s">
        <v>70</v>
      </c>
      <c r="D164" t="s">
        <v>71</v>
      </c>
      <c r="E164">
        <v>-155.29347999999999</v>
      </c>
      <c r="F164">
        <v>19.377479999999998</v>
      </c>
      <c r="G164" t="s">
        <v>112</v>
      </c>
      <c r="H164" t="s">
        <v>448</v>
      </c>
      <c r="I164" t="s">
        <v>449</v>
      </c>
      <c r="J164" t="s">
        <v>68</v>
      </c>
      <c r="K164">
        <v>8.6605645898437498</v>
      </c>
      <c r="L164">
        <v>8.1424707578125002</v>
      </c>
      <c r="M164">
        <v>221.5400682787218</v>
      </c>
      <c r="N164">
        <v>2481.6970654730271</v>
      </c>
      <c r="Q164">
        <v>12.004</v>
      </c>
      <c r="R164">
        <v>1324.9639999999999</v>
      </c>
      <c r="S164">
        <v>50</v>
      </c>
      <c r="T164">
        <v>102.98735408735141</v>
      </c>
      <c r="U164">
        <v>4.2411798921154799E-3</v>
      </c>
      <c r="V164">
        <v>9.3947985707977466E-2</v>
      </c>
      <c r="W164">
        <v>4.1568487791976919E-3</v>
      </c>
      <c r="X164">
        <v>0</v>
      </c>
      <c r="Y164">
        <v>9.9803018023946088E-2</v>
      </c>
      <c r="Z164">
        <v>0.32826362856835889</v>
      </c>
      <c r="AA164">
        <v>2.6511686152092009E-2</v>
      </c>
      <c r="AB164">
        <v>1.415793202334755</v>
      </c>
      <c r="AC164">
        <v>0.1102671108711943</v>
      </c>
      <c r="AD164">
        <v>1290.280872466953</v>
      </c>
      <c r="AE164">
        <v>50</v>
      </c>
      <c r="AF164">
        <v>87.871003306222335</v>
      </c>
      <c r="AG164">
        <v>2.1280100000000002</v>
      </c>
      <c r="AH164">
        <v>12.511455</v>
      </c>
      <c r="AI164">
        <v>0.21128</v>
      </c>
      <c r="AJ164">
        <v>10.547185000000001</v>
      </c>
      <c r="AK164">
        <v>0.43435000000000001</v>
      </c>
      <c r="AL164">
        <v>2.4173399999999998</v>
      </c>
      <c r="AM164">
        <v>50.003889999999998</v>
      </c>
      <c r="AN164">
        <v>8.5805450000000008</v>
      </c>
      <c r="AO164">
        <v>11.0444</v>
      </c>
      <c r="AP164">
        <v>0.37786999999999998</v>
      </c>
      <c r="AQ164">
        <v>98.290260000000004</v>
      </c>
      <c r="AR164">
        <v>4.7093422517846893E-2</v>
      </c>
      <c r="AS164">
        <v>0.17423154844121161</v>
      </c>
      <c r="AT164">
        <v>2.1925114974993089E-2</v>
      </c>
      <c r="AU164">
        <v>0.1853741817244248</v>
      </c>
      <c r="AV164">
        <v>1.0520403456564249E-2</v>
      </c>
      <c r="AW164">
        <v>3.5166562401109248E-2</v>
      </c>
      <c r="AX164">
        <v>0.46106226248619608</v>
      </c>
      <c r="AY164">
        <v>0.4051107053427907</v>
      </c>
      <c r="AZ164">
        <v>0.14841023100402101</v>
      </c>
      <c r="BA164">
        <v>1.7068639208924791E-2</v>
      </c>
      <c r="BD164" t="s">
        <v>450</v>
      </c>
      <c r="BE164">
        <v>7.6264027551919217E-2</v>
      </c>
      <c r="BF164">
        <v>6965</v>
      </c>
      <c r="BG164">
        <v>354497.53282994783</v>
      </c>
      <c r="BH164">
        <v>44.850971621444231</v>
      </c>
      <c r="BI164">
        <v>335.91675952166378</v>
      </c>
      <c r="BJ164">
        <v>0.53741687019890405</v>
      </c>
      <c r="BK164">
        <v>44.850971621444231</v>
      </c>
    </row>
    <row r="165" spans="1:63" x14ac:dyDescent="0.2">
      <c r="A165">
        <v>163</v>
      </c>
      <c r="B165" t="s">
        <v>69</v>
      </c>
      <c r="C165" t="s">
        <v>81</v>
      </c>
      <c r="D165" t="s">
        <v>71</v>
      </c>
      <c r="E165">
        <v>-155.29106999999999</v>
      </c>
      <c r="F165">
        <v>19.383150000000001</v>
      </c>
      <c r="G165" t="s">
        <v>82</v>
      </c>
      <c r="H165" t="s">
        <v>451</v>
      </c>
      <c r="I165" t="s">
        <v>452</v>
      </c>
      <c r="J165" t="s">
        <v>68</v>
      </c>
      <c r="K165">
        <v>4.10354723203125</v>
      </c>
      <c r="L165">
        <v>3.1688862000000002</v>
      </c>
      <c r="M165">
        <v>40.852247319531138</v>
      </c>
      <c r="N165">
        <v>198.0634994534449</v>
      </c>
      <c r="Q165">
        <v>10.019</v>
      </c>
      <c r="R165">
        <v>1324.9639999999999</v>
      </c>
      <c r="S165">
        <v>50</v>
      </c>
      <c r="T165">
        <v>102.9874166110845</v>
      </c>
      <c r="U165">
        <v>6.8362323827677041E-3</v>
      </c>
      <c r="V165">
        <v>9.397276012093414E-2</v>
      </c>
      <c r="W165">
        <v>4.6682789016410219E-3</v>
      </c>
      <c r="X165">
        <v>0</v>
      </c>
      <c r="Y165">
        <v>0.10452655766733</v>
      </c>
      <c r="Z165">
        <v>0.31253329387863871</v>
      </c>
      <c r="AA165">
        <v>2.6439725254461179E-2</v>
      </c>
      <c r="AB165">
        <v>1.350195221691322</v>
      </c>
      <c r="AC165">
        <v>0.11036421421684919</v>
      </c>
      <c r="AD165">
        <v>1210.2842106018561</v>
      </c>
      <c r="AE165">
        <v>50</v>
      </c>
      <c r="AF165">
        <v>83.673950008766738</v>
      </c>
      <c r="AG165">
        <v>2.2102200000000001</v>
      </c>
      <c r="AH165">
        <v>12.516225</v>
      </c>
      <c r="AI165">
        <v>0.22873499999999999</v>
      </c>
      <c r="AJ165">
        <v>10.535360000000001</v>
      </c>
      <c r="AK165">
        <v>0.37534499999999998</v>
      </c>
      <c r="AL165">
        <v>2.4377900000000001</v>
      </c>
      <c r="AM165">
        <v>50.224780000000003</v>
      </c>
      <c r="AN165">
        <v>8.9844449999999991</v>
      </c>
      <c r="AP165">
        <v>0.178455</v>
      </c>
      <c r="AQ165">
        <v>99.610560000000007</v>
      </c>
      <c r="AR165">
        <v>1.7587090435884831E-2</v>
      </c>
      <c r="AS165">
        <v>0.12699126938494701</v>
      </c>
      <c r="AT165">
        <v>8.073250584491971E-3</v>
      </c>
      <c r="AU165">
        <v>6.9056800896073786E-2</v>
      </c>
      <c r="AV165">
        <v>2.248073063759274E-2</v>
      </c>
      <c r="AW165">
        <v>2.1205111412109991E-2</v>
      </c>
      <c r="AX165">
        <v>0.5052093298821787</v>
      </c>
      <c r="AY165">
        <v>0.13192220766421431</v>
      </c>
      <c r="BA165">
        <v>1.2962040734390541E-2</v>
      </c>
      <c r="BB165">
        <v>5</v>
      </c>
      <c r="BC165" t="s">
        <v>86</v>
      </c>
      <c r="BE165">
        <v>7.7615382653226345E-2</v>
      </c>
      <c r="BF165">
        <v>15270</v>
      </c>
      <c r="BG165">
        <v>137744.6967805654</v>
      </c>
      <c r="BH165">
        <v>7.7352798242562777</v>
      </c>
      <c r="BI165">
        <v>209.39316787957179</v>
      </c>
      <c r="BJ165">
        <v>6.2597431043543844E-2</v>
      </c>
      <c r="BK165">
        <v>7.7352798242562786</v>
      </c>
    </row>
    <row r="166" spans="1:63" x14ac:dyDescent="0.2">
      <c r="A166">
        <v>164</v>
      </c>
      <c r="B166" t="s">
        <v>69</v>
      </c>
      <c r="C166" t="s">
        <v>76</v>
      </c>
      <c r="D166" t="s">
        <v>71</v>
      </c>
      <c r="E166">
        <v>-155.29812000000001</v>
      </c>
      <c r="F166">
        <v>19.375624999999999</v>
      </c>
      <c r="G166" t="s">
        <v>77</v>
      </c>
      <c r="H166" t="s">
        <v>453</v>
      </c>
      <c r="I166" t="s">
        <v>454</v>
      </c>
      <c r="J166" t="s">
        <v>68</v>
      </c>
      <c r="K166">
        <v>4.9329041671875</v>
      </c>
      <c r="L166">
        <v>4.2836451328124996</v>
      </c>
      <c r="M166">
        <v>66.384400370783325</v>
      </c>
      <c r="N166">
        <v>407.89006584550839</v>
      </c>
      <c r="Q166">
        <v>11.84</v>
      </c>
      <c r="R166">
        <v>1324.9639999999999</v>
      </c>
      <c r="S166">
        <v>50</v>
      </c>
      <c r="T166">
        <v>102.9878388892913</v>
      </c>
      <c r="U166">
        <v>5.0243597404416931E-3</v>
      </c>
      <c r="V166">
        <v>9.4140083698000865E-2</v>
      </c>
      <c r="W166">
        <v>4.2917597608576252E-3</v>
      </c>
      <c r="X166">
        <v>0</v>
      </c>
      <c r="Y166">
        <v>0.1037905308522248</v>
      </c>
      <c r="Z166">
        <v>0.31492108982631722</v>
      </c>
      <c r="AA166">
        <v>2.7220054216651239E-2</v>
      </c>
      <c r="AB166">
        <v>1.3601665804454619</v>
      </c>
      <c r="AC166">
        <v>0.1134264385418014</v>
      </c>
      <c r="AD166">
        <v>1219.5988891706729</v>
      </c>
      <c r="AE166">
        <v>50</v>
      </c>
      <c r="AF166">
        <v>84.281618762295409</v>
      </c>
      <c r="AG166">
        <v>2.5039199999999999</v>
      </c>
      <c r="AH166">
        <v>14.096819999999999</v>
      </c>
      <c r="AI166">
        <v>0.27322000000000002</v>
      </c>
      <c r="AJ166">
        <v>10.95044</v>
      </c>
      <c r="AK166">
        <v>0.52094000000000007</v>
      </c>
      <c r="AL166">
        <v>2.9191400000000001</v>
      </c>
      <c r="AM166">
        <v>50.91704</v>
      </c>
      <c r="AN166">
        <v>6.4346599999999992</v>
      </c>
      <c r="AO166">
        <v>10.86684</v>
      </c>
      <c r="AP166">
        <v>0.19492000000000001</v>
      </c>
      <c r="AQ166">
        <v>99.70778</v>
      </c>
      <c r="AR166">
        <v>5.8797253337209539E-2</v>
      </c>
      <c r="AS166">
        <v>0.138496180452748</v>
      </c>
      <c r="AT166">
        <v>2.822688434808206E-2</v>
      </c>
      <c r="AU166">
        <v>7.1287502411011894E-2</v>
      </c>
      <c r="AV166">
        <v>1.2819243347405491E-2</v>
      </c>
      <c r="AW166">
        <v>2.3721045508155889E-2</v>
      </c>
      <c r="AX166">
        <v>0.39733328327740491</v>
      </c>
      <c r="AY166">
        <v>8.3972662218129629E-2</v>
      </c>
      <c r="AZ166">
        <v>5.8132675837260117E-2</v>
      </c>
      <c r="BA166">
        <v>1.931080008699795E-2</v>
      </c>
      <c r="BD166" t="s">
        <v>455</v>
      </c>
      <c r="BE166">
        <v>0.1139141094354669</v>
      </c>
      <c r="BF166">
        <v>3675</v>
      </c>
      <c r="BG166">
        <v>181294.82642332319</v>
      </c>
      <c r="BH166">
        <v>51.140567323517843</v>
      </c>
      <c r="BI166">
        <v>240.2247605150603</v>
      </c>
      <c r="BJ166">
        <v>0.84360058030694862</v>
      </c>
      <c r="BK166">
        <v>51.140567323517843</v>
      </c>
    </row>
    <row r="167" spans="1:63" x14ac:dyDescent="0.2">
      <c r="A167">
        <v>165</v>
      </c>
      <c r="B167" t="s">
        <v>69</v>
      </c>
      <c r="C167" t="s">
        <v>297</v>
      </c>
      <c r="D167" t="s">
        <v>64</v>
      </c>
      <c r="E167">
        <v>-155.27754999999999</v>
      </c>
      <c r="F167">
        <v>19.401</v>
      </c>
      <c r="G167" t="s">
        <v>298</v>
      </c>
      <c r="H167" t="s">
        <v>299</v>
      </c>
      <c r="I167" t="s">
        <v>456</v>
      </c>
      <c r="J167" t="s">
        <v>68</v>
      </c>
      <c r="K167">
        <v>10.09111958359375</v>
      </c>
      <c r="L167">
        <v>8.7727843531249992</v>
      </c>
      <c r="M167">
        <v>278.11645139211703</v>
      </c>
      <c r="N167">
        <v>3497.5746815213361</v>
      </c>
      <c r="Q167">
        <v>9.9909999999999997</v>
      </c>
      <c r="R167">
        <v>1324.9639999999999</v>
      </c>
      <c r="S167">
        <v>50</v>
      </c>
      <c r="T167">
        <v>102.98999143986561</v>
      </c>
      <c r="U167">
        <v>4.9179415115707557E-3</v>
      </c>
      <c r="V167">
        <v>9.4993010645445963E-2</v>
      </c>
      <c r="W167">
        <v>4.2726330237632983E-3</v>
      </c>
      <c r="X167">
        <v>0</v>
      </c>
      <c r="Y167">
        <v>0.1052308245867577</v>
      </c>
      <c r="Z167">
        <v>0.31028967532523971</v>
      </c>
      <c r="AA167">
        <v>2.4526962592609339E-2</v>
      </c>
      <c r="AB167">
        <v>1.340821405706774</v>
      </c>
      <c r="AC167">
        <v>0.10249889060931409</v>
      </c>
      <c r="AD167">
        <v>1182.780346286537</v>
      </c>
      <c r="AE167">
        <v>50</v>
      </c>
      <c r="AF167">
        <v>81.535070557138695</v>
      </c>
      <c r="AG167">
        <v>2.321825</v>
      </c>
      <c r="AH167">
        <v>13.7706416666667</v>
      </c>
      <c r="AI167">
        <v>0.268625</v>
      </c>
      <c r="AJ167">
        <v>10.802308333333301</v>
      </c>
      <c r="AK167">
        <v>0.55051666666666699</v>
      </c>
      <c r="AL167">
        <v>2.808325</v>
      </c>
      <c r="AM167">
        <v>50.309224999999998</v>
      </c>
      <c r="AN167">
        <v>6.0358333333333301</v>
      </c>
      <c r="AP167">
        <v>0.19646666666666701</v>
      </c>
      <c r="AQ167">
        <v>98.455249999999964</v>
      </c>
      <c r="AR167">
        <v>0.116299942351272</v>
      </c>
      <c r="AS167">
        <v>0.28611493068451699</v>
      </c>
      <c r="AT167">
        <v>2.3686019082994898E-2</v>
      </c>
      <c r="AU167">
        <v>0.25896941012171298</v>
      </c>
      <c r="AV167">
        <v>2.1496673456536702E-2</v>
      </c>
      <c r="AW167">
        <v>4.2624494131895597E-2</v>
      </c>
      <c r="AX167">
        <v>0.80521115370159502</v>
      </c>
      <c r="AY167">
        <v>0.14527452591142001</v>
      </c>
      <c r="BA167">
        <v>2.9538244341664601E-2</v>
      </c>
      <c r="BE167">
        <v>1.275286722729412</v>
      </c>
      <c r="BF167">
        <v>5414</v>
      </c>
      <c r="BG167">
        <v>194734.65014956149</v>
      </c>
      <c r="BH167">
        <v>467.10564239884269</v>
      </c>
      <c r="BI167">
        <v>248.96980605114999</v>
      </c>
      <c r="BJ167">
        <v>6.348278742493644</v>
      </c>
      <c r="BK167">
        <v>467.1056423988428</v>
      </c>
    </row>
    <row r="168" spans="1:63" x14ac:dyDescent="0.2">
      <c r="A168">
        <v>166</v>
      </c>
      <c r="B168" t="s">
        <v>69</v>
      </c>
      <c r="C168" t="s">
        <v>236</v>
      </c>
      <c r="D168" t="s">
        <v>64</v>
      </c>
      <c r="E168">
        <v>-155.292979</v>
      </c>
      <c r="F168">
        <v>19.400748</v>
      </c>
      <c r="G168" t="s">
        <v>237</v>
      </c>
      <c r="H168" t="s">
        <v>339</v>
      </c>
      <c r="I168" t="s">
        <v>457</v>
      </c>
      <c r="J168" t="s">
        <v>68</v>
      </c>
      <c r="K168">
        <v>17.619548902343752</v>
      </c>
      <c r="L168">
        <v>7.3765752320312492</v>
      </c>
      <c r="M168">
        <v>408.31885428009332</v>
      </c>
      <c r="N168">
        <v>6804.259178660659</v>
      </c>
      <c r="O168" t="s">
        <v>458</v>
      </c>
      <c r="Q168">
        <v>10.127000000000001</v>
      </c>
      <c r="R168">
        <v>1324.9639999999999</v>
      </c>
      <c r="S168">
        <v>50</v>
      </c>
      <c r="T168">
        <v>102.9899934651343</v>
      </c>
      <c r="U168">
        <v>1.454279271633805E-2</v>
      </c>
      <c r="V168">
        <v>9.4993813138209759E-2</v>
      </c>
      <c r="W168">
        <v>6.9038911909704674E-3</v>
      </c>
      <c r="X168">
        <v>5.6354148056400781</v>
      </c>
      <c r="Y168">
        <v>0.1048896588322807</v>
      </c>
      <c r="Z168">
        <v>0.31138217553938241</v>
      </c>
      <c r="AA168">
        <v>3.1640255345691953E-2</v>
      </c>
      <c r="AB168">
        <v>1.3453864101720161</v>
      </c>
      <c r="AC168">
        <v>0.1321437740090744</v>
      </c>
      <c r="AD168">
        <v>1188.2037321745679</v>
      </c>
      <c r="AE168">
        <v>50</v>
      </c>
      <c r="AF168">
        <v>82.008902513016594</v>
      </c>
      <c r="AG168">
        <v>2.0274999999999999</v>
      </c>
      <c r="AH168">
        <v>12.7525</v>
      </c>
      <c r="AI168">
        <v>0.17249999999999999</v>
      </c>
      <c r="AJ168">
        <v>11.092499999999999</v>
      </c>
      <c r="AK168">
        <v>0.51750000000000007</v>
      </c>
      <c r="AL168">
        <v>2.5150000000000001</v>
      </c>
      <c r="AM168">
        <v>50.63</v>
      </c>
      <c r="AN168">
        <v>7.415</v>
      </c>
      <c r="AP168">
        <v>1685.75</v>
      </c>
      <c r="AR168">
        <v>0.17231270024773751</v>
      </c>
      <c r="AS168">
        <v>0.13450526631573459</v>
      </c>
      <c r="AT168">
        <v>4.9999999999999836E-3</v>
      </c>
      <c r="AU168">
        <v>0.29227555491350982</v>
      </c>
      <c r="AV168">
        <v>2.061552812808835E-2</v>
      </c>
      <c r="AW168">
        <v>6.2449979983983737E-2</v>
      </c>
      <c r="AX168">
        <v>0.21556128285632961</v>
      </c>
      <c r="AY168">
        <v>0.39770173078158311</v>
      </c>
      <c r="BA168">
        <v>51.951098801340748</v>
      </c>
      <c r="BE168">
        <v>6.2263779105705089E-2</v>
      </c>
      <c r="BF168">
        <v>3213</v>
      </c>
      <c r="BG168">
        <v>51820.856424337428</v>
      </c>
      <c r="BH168">
        <v>10.3137064323417</v>
      </c>
      <c r="BI168">
        <v>128.43321575969901</v>
      </c>
      <c r="BJ168">
        <v>0.1819530763570833</v>
      </c>
      <c r="BK168">
        <v>10.3137064323417</v>
      </c>
    </row>
    <row r="169" spans="1:63" x14ac:dyDescent="0.2">
      <c r="A169">
        <v>167</v>
      </c>
      <c r="B169" t="s">
        <v>69</v>
      </c>
      <c r="C169" t="s">
        <v>169</v>
      </c>
      <c r="D169" t="s">
        <v>64</v>
      </c>
      <c r="E169">
        <v>-155.29196300000001</v>
      </c>
      <c r="F169">
        <v>19.398634000000001</v>
      </c>
      <c r="G169" t="s">
        <v>170</v>
      </c>
      <c r="H169" t="s">
        <v>268</v>
      </c>
      <c r="I169" t="s">
        <v>459</v>
      </c>
      <c r="J169" t="s">
        <v>68</v>
      </c>
      <c r="K169">
        <v>11.5249871234375</v>
      </c>
      <c r="L169">
        <v>11.15433065</v>
      </c>
      <c r="M169">
        <v>403.86278495160542</v>
      </c>
      <c r="N169">
        <v>6106.2216245219406</v>
      </c>
      <c r="Q169">
        <v>10.099</v>
      </c>
      <c r="R169">
        <v>1324.7670000000001</v>
      </c>
      <c r="S169">
        <v>50</v>
      </c>
      <c r="T169">
        <v>102.99073761619211</v>
      </c>
      <c r="U169">
        <v>3.4862881992775581E-3</v>
      </c>
      <c r="V169">
        <v>9.5288675659801925E-2</v>
      </c>
      <c r="W169">
        <v>4.0456359209310438E-3</v>
      </c>
      <c r="X169">
        <v>1.452805805034715</v>
      </c>
      <c r="Y169">
        <v>0.10169180655003469</v>
      </c>
      <c r="Z169">
        <v>0.32187220020879848</v>
      </c>
      <c r="AA169">
        <v>2.492540238070565E-2</v>
      </c>
      <c r="AB169">
        <v>1.3891658983084889</v>
      </c>
      <c r="AC169">
        <v>0.1037857403390067</v>
      </c>
      <c r="AD169">
        <v>1235.698107431703</v>
      </c>
      <c r="AE169">
        <v>50</v>
      </c>
      <c r="AF169">
        <v>85.236401912197238</v>
      </c>
      <c r="AG169">
        <v>2.5390516666666669</v>
      </c>
      <c r="AH169">
        <v>13.89052597266207</v>
      </c>
      <c r="AI169">
        <v>0.24399675000000001</v>
      </c>
      <c r="AJ169">
        <v>11.205616666666669</v>
      </c>
      <c r="AK169">
        <v>0.47515841666666669</v>
      </c>
      <c r="AL169">
        <v>2.6323025000000002</v>
      </c>
      <c r="AM169">
        <v>50.778866165683027</v>
      </c>
      <c r="AN169">
        <v>6.7552275000000002</v>
      </c>
      <c r="AP169">
        <v>0.17074191666666669</v>
      </c>
      <c r="AR169">
        <v>5.5209421763999247E-2</v>
      </c>
      <c r="AS169">
        <v>0.23260322971847319</v>
      </c>
      <c r="AT169">
        <v>2.215836573857705E-2</v>
      </c>
      <c r="AU169">
        <v>0.13946342520423419</v>
      </c>
      <c r="AV169">
        <v>1.8188943372071519E-2</v>
      </c>
      <c r="AW169">
        <v>3.4278244127355022E-2</v>
      </c>
      <c r="AX169">
        <v>0.34681065155483992</v>
      </c>
      <c r="AY169">
        <v>0.48865100303376952</v>
      </c>
      <c r="BA169">
        <v>2.081601264087701E-2</v>
      </c>
      <c r="BE169">
        <v>0.20434685334941699</v>
      </c>
      <c r="BF169">
        <v>3556</v>
      </c>
      <c r="BG169">
        <v>179654.25921509089</v>
      </c>
      <c r="BH169">
        <v>534.8555013571455</v>
      </c>
      <c r="BI169">
        <v>239.1353733833387</v>
      </c>
      <c r="BJ169">
        <v>8.9692388838940289</v>
      </c>
      <c r="BK169">
        <v>534.85550135714607</v>
      </c>
    </row>
    <row r="170" spans="1:63" x14ac:dyDescent="0.2">
      <c r="A170">
        <v>168</v>
      </c>
      <c r="B170" t="s">
        <v>69</v>
      </c>
      <c r="C170" t="s">
        <v>177</v>
      </c>
      <c r="D170" t="s">
        <v>144</v>
      </c>
      <c r="E170">
        <v>-155.2086333</v>
      </c>
      <c r="F170">
        <v>19.347316670000001</v>
      </c>
      <c r="G170" t="s">
        <v>178</v>
      </c>
      <c r="H170" t="s">
        <v>460</v>
      </c>
      <c r="I170" t="s">
        <v>461</v>
      </c>
      <c r="Q170">
        <v>10.005000000000001</v>
      </c>
      <c r="R170">
        <v>1324.9639999999999</v>
      </c>
      <c r="S170">
        <v>50</v>
      </c>
      <c r="T170">
        <v>102.9908901658429</v>
      </c>
      <c r="U170">
        <v>1.8425966123177599E-2</v>
      </c>
      <c r="V170">
        <v>9.5349121955251803E-2</v>
      </c>
      <c r="W170">
        <v>8.2319642459818491E-3</v>
      </c>
      <c r="X170">
        <v>0.61085465433834274</v>
      </c>
      <c r="Y170">
        <v>9.8316076195560598E-2</v>
      </c>
      <c r="Z170">
        <v>0.33346069578255011</v>
      </c>
      <c r="AA170">
        <v>3.8183201925295313E-2</v>
      </c>
      <c r="AB170">
        <v>1.4374185738104479</v>
      </c>
      <c r="AC170">
        <v>0.15855628892899939</v>
      </c>
      <c r="AD170">
        <v>1292.514798714257</v>
      </c>
      <c r="AE170">
        <v>50</v>
      </c>
      <c r="AF170">
        <v>87.964585440362384</v>
      </c>
      <c r="AG170">
        <v>2.1216818181818198</v>
      </c>
      <c r="AH170">
        <v>12.5470545454545</v>
      </c>
      <c r="AI170">
        <v>0.27337272727272699</v>
      </c>
      <c r="AJ170">
        <v>10.3521727272727</v>
      </c>
      <c r="AK170">
        <v>0.49205454545454502</v>
      </c>
      <c r="AL170">
        <v>2.5642454545454498</v>
      </c>
      <c r="AM170">
        <v>49.0749</v>
      </c>
      <c r="AN170">
        <v>9.1371454545454505</v>
      </c>
      <c r="AP170">
        <v>0.18198181818181799</v>
      </c>
      <c r="AQ170">
        <v>98.157727272727257</v>
      </c>
      <c r="AR170">
        <v>0.12055145638424999</v>
      </c>
      <c r="AS170">
        <v>0.28907753411026699</v>
      </c>
      <c r="AT170">
        <v>2.8655229571898099E-2</v>
      </c>
      <c r="AU170">
        <v>0.23406218443357801</v>
      </c>
      <c r="AV170">
        <v>5.2241982420968003E-2</v>
      </c>
      <c r="AW170">
        <v>6.6675218239408293E-2</v>
      </c>
      <c r="AX170">
        <v>0.92934608408278196</v>
      </c>
      <c r="AY170">
        <v>0.68994549402635696</v>
      </c>
      <c r="BA170">
        <v>4.8246177427477499E-2</v>
      </c>
      <c r="BE170">
        <v>0.4755144486339184</v>
      </c>
      <c r="BF170">
        <v>9656</v>
      </c>
      <c r="BG170">
        <v>5274849.7527919039</v>
      </c>
      <c r="BH170">
        <v>8081.9564495219893</v>
      </c>
      <c r="BI170">
        <v>1295.7765333759471</v>
      </c>
      <c r="BJ170">
        <v>82.246585545434996</v>
      </c>
      <c r="BK170">
        <v>8081.956449521982</v>
      </c>
    </row>
    <row r="171" spans="1:63" x14ac:dyDescent="0.2">
      <c r="A171">
        <v>169</v>
      </c>
      <c r="B171" t="s">
        <v>69</v>
      </c>
      <c r="C171" t="s">
        <v>236</v>
      </c>
      <c r="D171" t="s">
        <v>64</v>
      </c>
      <c r="E171">
        <v>-155.292979</v>
      </c>
      <c r="F171">
        <v>19.400748</v>
      </c>
      <c r="G171" t="s">
        <v>237</v>
      </c>
      <c r="H171" t="s">
        <v>462</v>
      </c>
      <c r="I171" t="s">
        <v>463</v>
      </c>
      <c r="J171" t="s">
        <v>68</v>
      </c>
      <c r="K171">
        <v>4.5707905757812499</v>
      </c>
      <c r="L171">
        <v>4.17049553203125</v>
      </c>
      <c r="M171">
        <v>59.886489554834839</v>
      </c>
      <c r="N171">
        <v>348.9899594608907</v>
      </c>
      <c r="Q171">
        <v>9.859</v>
      </c>
      <c r="R171">
        <v>1324.9639999999999</v>
      </c>
      <c r="S171">
        <v>50</v>
      </c>
      <c r="T171">
        <v>102.9912020067861</v>
      </c>
      <c r="U171">
        <v>6.0961195307608698E-3</v>
      </c>
      <c r="V171">
        <v>9.5472685855177986E-2</v>
      </c>
      <c r="W171">
        <v>4.5049098643648328E-3</v>
      </c>
      <c r="X171">
        <v>5.64492279713199</v>
      </c>
      <c r="Y171">
        <v>0.1044838217148009</v>
      </c>
      <c r="Z171">
        <v>0.31269607904504743</v>
      </c>
      <c r="AA171">
        <v>2.6719925348564551E-2</v>
      </c>
      <c r="AB171">
        <v>1.3508751653859259</v>
      </c>
      <c r="AC171">
        <v>0.11146493134832471</v>
      </c>
      <c r="AD171">
        <v>1187.199296682576</v>
      </c>
      <c r="AE171">
        <v>50</v>
      </c>
      <c r="AF171">
        <v>81.923494219770703</v>
      </c>
      <c r="AG171">
        <v>2.0274999999999999</v>
      </c>
      <c r="AH171">
        <v>12.7525</v>
      </c>
      <c r="AI171">
        <v>0.17249999999999999</v>
      </c>
      <c r="AJ171">
        <v>11.092499999999999</v>
      </c>
      <c r="AK171">
        <v>0.51750000000000007</v>
      </c>
      <c r="AL171">
        <v>2.5150000000000001</v>
      </c>
      <c r="AM171">
        <v>50.63</v>
      </c>
      <c r="AN171">
        <v>7.415</v>
      </c>
      <c r="AP171">
        <v>1685.75</v>
      </c>
      <c r="AR171">
        <v>0.17231270024773751</v>
      </c>
      <c r="AS171">
        <v>0.13450526631573459</v>
      </c>
      <c r="AT171">
        <v>4.9999999999999836E-3</v>
      </c>
      <c r="AU171">
        <v>0.29227555491350982</v>
      </c>
      <c r="AV171">
        <v>2.061552812808835E-2</v>
      </c>
      <c r="AW171">
        <v>6.2449979983983737E-2</v>
      </c>
      <c r="AX171">
        <v>0.21556128285632961</v>
      </c>
      <c r="AY171">
        <v>0.39770173078158311</v>
      </c>
      <c r="BA171">
        <v>51.951098801340748</v>
      </c>
      <c r="BE171">
        <v>0.99159199734645076</v>
      </c>
      <c r="BF171">
        <v>3750</v>
      </c>
      <c r="BG171">
        <v>93956.454543412197</v>
      </c>
      <c r="BH171">
        <v>261.21715821620882</v>
      </c>
      <c r="BI171">
        <v>172.9371803631193</v>
      </c>
      <c r="BJ171">
        <v>4.2656583312638272</v>
      </c>
      <c r="BK171">
        <v>261.21715821620882</v>
      </c>
    </row>
    <row r="172" spans="1:63" x14ac:dyDescent="0.2">
      <c r="A172">
        <v>170</v>
      </c>
      <c r="B172" t="s">
        <v>69</v>
      </c>
      <c r="C172" t="s">
        <v>76</v>
      </c>
      <c r="D172" t="s">
        <v>71</v>
      </c>
      <c r="E172">
        <v>-155.29812000000001</v>
      </c>
      <c r="F172">
        <v>19.375624999999999</v>
      </c>
      <c r="G172" t="s">
        <v>77</v>
      </c>
      <c r="H172" t="s">
        <v>453</v>
      </c>
      <c r="I172" t="s">
        <v>464</v>
      </c>
      <c r="J172" t="s">
        <v>68</v>
      </c>
      <c r="K172">
        <v>4.9523145250000002</v>
      </c>
      <c r="L172">
        <v>4.4631037703125003</v>
      </c>
      <c r="M172">
        <v>69.437659927215904</v>
      </c>
      <c r="N172">
        <v>435.85640910826419</v>
      </c>
      <c r="Q172">
        <v>11.827999999999999</v>
      </c>
      <c r="R172">
        <v>1324.9639999999999</v>
      </c>
      <c r="S172">
        <v>50</v>
      </c>
      <c r="T172">
        <v>102.9913206305114</v>
      </c>
      <c r="U172">
        <v>2.8782818174836869E-2</v>
      </c>
      <c r="V172">
        <v>9.5519689337052682E-2</v>
      </c>
      <c r="W172">
        <v>1.2022125917289571E-2</v>
      </c>
      <c r="X172">
        <v>0</v>
      </c>
      <c r="Y172">
        <v>0.1024391721213469</v>
      </c>
      <c r="Z172">
        <v>0.31938473130099748</v>
      </c>
      <c r="AA172">
        <v>4.8274273750449279E-2</v>
      </c>
      <c r="AB172">
        <v>1.3787932680563919</v>
      </c>
      <c r="AC172">
        <v>0.2012153753991956</v>
      </c>
      <c r="AD172">
        <v>1219.5988891706729</v>
      </c>
      <c r="AE172">
        <v>50</v>
      </c>
      <c r="AF172">
        <v>84.281618762295409</v>
      </c>
      <c r="AG172">
        <v>2.5039199999999999</v>
      </c>
      <c r="AH172">
        <v>14.096819999999999</v>
      </c>
      <c r="AI172">
        <v>0.27322000000000002</v>
      </c>
      <c r="AJ172">
        <v>10.95044</v>
      </c>
      <c r="AK172">
        <v>0.52094000000000007</v>
      </c>
      <c r="AL172">
        <v>2.9191400000000001</v>
      </c>
      <c r="AM172">
        <v>50.91704</v>
      </c>
      <c r="AN172">
        <v>6.4346599999999992</v>
      </c>
      <c r="AO172">
        <v>10.86684</v>
      </c>
      <c r="AP172">
        <v>0.19492000000000001</v>
      </c>
      <c r="AQ172">
        <v>99.70778</v>
      </c>
      <c r="AR172">
        <v>5.8797253337209539E-2</v>
      </c>
      <c r="AS172">
        <v>0.138496180452748</v>
      </c>
      <c r="AT172">
        <v>2.822688434808206E-2</v>
      </c>
      <c r="AU172">
        <v>7.1287502411011894E-2</v>
      </c>
      <c r="AV172">
        <v>1.2819243347405491E-2</v>
      </c>
      <c r="AW172">
        <v>2.3721045508155889E-2</v>
      </c>
      <c r="AX172">
        <v>0.39733328327740491</v>
      </c>
      <c r="AY172">
        <v>8.3972662218129629E-2</v>
      </c>
      <c r="AZ172">
        <v>5.8132675837260117E-2</v>
      </c>
      <c r="BA172">
        <v>1.931080008699795E-2</v>
      </c>
      <c r="BD172" t="s">
        <v>455</v>
      </c>
      <c r="BE172">
        <v>0.1139141094354669</v>
      </c>
      <c r="BF172">
        <v>3675</v>
      </c>
      <c r="BG172">
        <v>181294.82642332319</v>
      </c>
      <c r="BH172">
        <v>51.140567323517843</v>
      </c>
      <c r="BI172">
        <v>240.2247605150603</v>
      </c>
      <c r="BJ172">
        <v>0.84360058030694862</v>
      </c>
      <c r="BK172">
        <v>51.140567323517843</v>
      </c>
    </row>
    <row r="173" spans="1:63" x14ac:dyDescent="0.2">
      <c r="A173">
        <v>171</v>
      </c>
      <c r="B173" t="s">
        <v>69</v>
      </c>
      <c r="C173" t="s">
        <v>177</v>
      </c>
      <c r="D173" t="s">
        <v>144</v>
      </c>
      <c r="E173">
        <v>-155.2086333</v>
      </c>
      <c r="F173">
        <v>19.347316670000001</v>
      </c>
      <c r="G173" t="s">
        <v>178</v>
      </c>
      <c r="H173" t="s">
        <v>465</v>
      </c>
      <c r="I173" t="s">
        <v>466</v>
      </c>
      <c r="J173" t="s">
        <v>68</v>
      </c>
      <c r="K173">
        <v>6.7539909109374996</v>
      </c>
      <c r="L173">
        <v>5.8950535203125014</v>
      </c>
      <c r="M173">
        <v>125.08294471473521</v>
      </c>
      <c r="N173">
        <v>1054.786483525515</v>
      </c>
      <c r="Q173">
        <v>9.9870000000000001</v>
      </c>
      <c r="R173">
        <v>1324.9639999999999</v>
      </c>
      <c r="S173">
        <v>50</v>
      </c>
      <c r="T173">
        <v>102.9917967835997</v>
      </c>
      <c r="U173">
        <v>9.1127693812285658E-3</v>
      </c>
      <c r="V173">
        <v>9.5708360304875839E-2</v>
      </c>
      <c r="W173">
        <v>5.2438893642074444E-3</v>
      </c>
      <c r="X173">
        <v>0</v>
      </c>
      <c r="Y173">
        <v>9.9200166023255543E-2</v>
      </c>
      <c r="Z173">
        <v>0.33037700222352667</v>
      </c>
      <c r="AA173">
        <v>2.9444698221079271E-2</v>
      </c>
      <c r="AB173">
        <v>1.4245899239946169</v>
      </c>
      <c r="AC173">
        <v>0.1223487109931346</v>
      </c>
      <c r="AD173">
        <v>1271.0942915806229</v>
      </c>
      <c r="AE173">
        <v>50</v>
      </c>
      <c r="AF173">
        <v>87.027676393806701</v>
      </c>
      <c r="AG173">
        <v>2.1216818181818198</v>
      </c>
      <c r="AH173">
        <v>12.5470545454545</v>
      </c>
      <c r="AI173">
        <v>0.27337272727272699</v>
      </c>
      <c r="AJ173">
        <v>10.3521727272727</v>
      </c>
      <c r="AK173">
        <v>0.49205454545454502</v>
      </c>
      <c r="AL173">
        <v>2.5642454545454498</v>
      </c>
      <c r="AM173">
        <v>49.0749</v>
      </c>
      <c r="AN173">
        <v>9.1371454545454505</v>
      </c>
      <c r="AP173">
        <v>0.18198181818181799</v>
      </c>
      <c r="AQ173">
        <v>98.157727272727257</v>
      </c>
      <c r="AR173">
        <v>0.12055145638424999</v>
      </c>
      <c r="AS173">
        <v>0.28907753411026699</v>
      </c>
      <c r="AT173">
        <v>2.8655229571898099E-2</v>
      </c>
      <c r="AU173">
        <v>0.23406218443357801</v>
      </c>
      <c r="AV173">
        <v>5.2241982420968003E-2</v>
      </c>
      <c r="AW173">
        <v>6.6675218239408293E-2</v>
      </c>
      <c r="AX173">
        <v>0.92934608408278196</v>
      </c>
      <c r="AY173">
        <v>0.68994549402635696</v>
      </c>
      <c r="BA173">
        <v>4.8246177427477499E-2</v>
      </c>
      <c r="BE173">
        <v>0.11470364024746781</v>
      </c>
      <c r="BF173">
        <v>322</v>
      </c>
      <c r="BG173">
        <v>192287.09119623291</v>
      </c>
      <c r="BH173">
        <v>51.220553766915607</v>
      </c>
      <c r="BI173">
        <v>247.40024679309661</v>
      </c>
      <c r="BJ173">
        <v>2.8544098650346492</v>
      </c>
      <c r="BK173">
        <v>51.220553766915607</v>
      </c>
    </row>
    <row r="174" spans="1:63" x14ac:dyDescent="0.2">
      <c r="A174">
        <v>172</v>
      </c>
      <c r="B174" t="s">
        <v>69</v>
      </c>
      <c r="C174" t="s">
        <v>236</v>
      </c>
      <c r="D174" t="s">
        <v>64</v>
      </c>
      <c r="E174">
        <v>-155.292979</v>
      </c>
      <c r="F174">
        <v>19.400748</v>
      </c>
      <c r="G174" t="s">
        <v>237</v>
      </c>
      <c r="H174" t="s">
        <v>467</v>
      </c>
      <c r="I174" t="s">
        <v>468</v>
      </c>
      <c r="J174" t="s">
        <v>68</v>
      </c>
      <c r="K174">
        <v>14.543181533593749</v>
      </c>
      <c r="L174">
        <v>14.541670547656249</v>
      </c>
      <c r="M174">
        <v>664.39078318217753</v>
      </c>
      <c r="N174">
        <v>12882.471768666321</v>
      </c>
      <c r="Q174">
        <v>9.8480000000000008</v>
      </c>
      <c r="R174">
        <v>1324.9639999999999</v>
      </c>
      <c r="S174">
        <v>50</v>
      </c>
      <c r="T174">
        <v>102.99202274602661</v>
      </c>
      <c r="U174">
        <v>7.3482827744949892E-3</v>
      </c>
      <c r="V174">
        <v>9.5797895689230472E-2</v>
      </c>
      <c r="W174">
        <v>4.7894013380980838E-3</v>
      </c>
      <c r="X174">
        <v>1.8838820058021399</v>
      </c>
      <c r="Y174">
        <v>0.1037152348164414</v>
      </c>
      <c r="Z174">
        <v>0.31519398375475749</v>
      </c>
      <c r="AA174">
        <v>3.3997639431086572E-2</v>
      </c>
      <c r="AB174">
        <v>1.3613058598684711</v>
      </c>
      <c r="AC174">
        <v>0.14168777941972541</v>
      </c>
      <c r="AD174">
        <v>1194.443915391151</v>
      </c>
      <c r="AE174">
        <v>100</v>
      </c>
      <c r="AG174">
        <v>2.0274999999999999</v>
      </c>
      <c r="AH174">
        <v>12.7525</v>
      </c>
      <c r="AI174">
        <v>0.17249999999999999</v>
      </c>
      <c r="AJ174">
        <v>11.092499999999999</v>
      </c>
      <c r="AK174">
        <v>0.51750000000000007</v>
      </c>
      <c r="AL174">
        <v>2.5150000000000001</v>
      </c>
      <c r="AM174">
        <v>50.63</v>
      </c>
      <c r="AN174">
        <v>7.415</v>
      </c>
      <c r="AP174">
        <v>1685.75</v>
      </c>
      <c r="AR174">
        <v>0.17231270024773751</v>
      </c>
      <c r="AS174">
        <v>0.13450526631573459</v>
      </c>
      <c r="AT174">
        <v>4.9999999999999836E-3</v>
      </c>
      <c r="AU174">
        <v>0.29227555491350982</v>
      </c>
      <c r="AV174">
        <v>2.061552812808835E-2</v>
      </c>
      <c r="AW174">
        <v>6.2449979983983737E-2</v>
      </c>
      <c r="AX174">
        <v>0.21556128285632961</v>
      </c>
      <c r="AY174">
        <v>0.39770173078158311</v>
      </c>
      <c r="BA174">
        <v>51.951098801340748</v>
      </c>
    </row>
    <row r="175" spans="1:63" x14ac:dyDescent="0.2">
      <c r="A175">
        <v>173</v>
      </c>
      <c r="B175" t="s">
        <v>69</v>
      </c>
      <c r="C175" t="s">
        <v>81</v>
      </c>
      <c r="D175" t="s">
        <v>71</v>
      </c>
      <c r="E175">
        <v>-155.29106999999999</v>
      </c>
      <c r="F175">
        <v>19.383150000000001</v>
      </c>
      <c r="G175" t="s">
        <v>87</v>
      </c>
      <c r="H175" t="s">
        <v>440</v>
      </c>
      <c r="I175" t="s">
        <v>469</v>
      </c>
      <c r="J175" t="s">
        <v>68</v>
      </c>
      <c r="K175">
        <v>20.470605021874999</v>
      </c>
      <c r="L175">
        <v>18.44350115703125</v>
      </c>
      <c r="M175">
        <v>1186.107135824509</v>
      </c>
      <c r="N175">
        <v>30770.866015355539</v>
      </c>
      <c r="Q175">
        <v>12.018000000000001</v>
      </c>
      <c r="R175">
        <v>1325.0039999999999</v>
      </c>
      <c r="S175">
        <v>50</v>
      </c>
      <c r="T175">
        <v>102.9922251570776</v>
      </c>
      <c r="U175">
        <v>2.1113565001611568E-3</v>
      </c>
      <c r="V175">
        <v>9.5878099073033241E-2</v>
      </c>
      <c r="W175">
        <v>3.893664303717998E-3</v>
      </c>
      <c r="X175">
        <v>0</v>
      </c>
      <c r="Y175">
        <v>0.10179926979760499</v>
      </c>
      <c r="Z175">
        <v>0.32152221531033343</v>
      </c>
      <c r="AA175">
        <v>2.6780647563766288E-2</v>
      </c>
      <c r="AB175">
        <v>1.3877068028528761</v>
      </c>
      <c r="AC175">
        <v>0.11148171791165359</v>
      </c>
      <c r="AD175">
        <v>1224.4272052491949</v>
      </c>
      <c r="AE175">
        <v>50</v>
      </c>
      <c r="AF175">
        <v>84.579589676929928</v>
      </c>
      <c r="AG175">
        <v>2.2102200000000001</v>
      </c>
      <c r="AH175">
        <v>12.516225</v>
      </c>
      <c r="AI175">
        <v>0.22873499999999999</v>
      </c>
      <c r="AJ175">
        <v>10.535360000000001</v>
      </c>
      <c r="AK175">
        <v>0.37534499999999998</v>
      </c>
      <c r="AL175">
        <v>2.4377900000000001</v>
      </c>
      <c r="AM175">
        <v>50.224780000000003</v>
      </c>
      <c r="AN175">
        <v>8.9844449999999991</v>
      </c>
      <c r="AP175">
        <v>0.178455</v>
      </c>
      <c r="AQ175">
        <v>99.610560000000007</v>
      </c>
      <c r="AR175">
        <v>1.7587090435884831E-2</v>
      </c>
      <c r="AS175">
        <v>0.12699126938494701</v>
      </c>
      <c r="AT175">
        <v>8.073250584491971E-3</v>
      </c>
      <c r="AU175">
        <v>6.9056800896073786E-2</v>
      </c>
      <c r="AV175">
        <v>2.248073063759274E-2</v>
      </c>
      <c r="AW175">
        <v>2.1205111412109991E-2</v>
      </c>
      <c r="AX175">
        <v>0.5052093298821787</v>
      </c>
      <c r="AY175">
        <v>0.13192220766421431</v>
      </c>
      <c r="BA175">
        <v>1.2962040734390541E-2</v>
      </c>
      <c r="BB175">
        <v>5</v>
      </c>
      <c r="BC175" t="s">
        <v>86</v>
      </c>
    </row>
    <row r="176" spans="1:63" x14ac:dyDescent="0.2">
      <c r="A176">
        <v>174</v>
      </c>
      <c r="B176" t="s">
        <v>62</v>
      </c>
      <c r="C176" t="s">
        <v>63</v>
      </c>
      <c r="D176" t="s">
        <v>64</v>
      </c>
      <c r="E176">
        <v>-155.26785000000001</v>
      </c>
      <c r="F176">
        <v>19.407830000000001</v>
      </c>
      <c r="G176" t="s">
        <v>65</v>
      </c>
      <c r="H176" t="s">
        <v>470</v>
      </c>
      <c r="I176" t="s">
        <v>471</v>
      </c>
      <c r="J176" t="s">
        <v>68</v>
      </c>
      <c r="K176">
        <v>3.1130610585937499</v>
      </c>
      <c r="L176">
        <v>2.4780464414062502</v>
      </c>
      <c r="M176">
        <v>24.235219240644039</v>
      </c>
      <c r="N176">
        <v>90.334477373672783</v>
      </c>
      <c r="Q176">
        <v>19.98</v>
      </c>
      <c r="R176">
        <v>1325.0039999999999</v>
      </c>
      <c r="S176">
        <v>100</v>
      </c>
      <c r="T176">
        <v>102.99244330000001</v>
      </c>
      <c r="U176">
        <v>1.11035131E-2</v>
      </c>
      <c r="V176">
        <v>9.5964522669999996E-2</v>
      </c>
      <c r="W176">
        <v>5.8153230459999997E-3</v>
      </c>
      <c r="X176">
        <v>0</v>
      </c>
      <c r="Y176">
        <v>0.1040931519241584</v>
      </c>
      <c r="Z176">
        <v>0.31396800723440921</v>
      </c>
      <c r="AA176">
        <v>3.0469175018974871E-2</v>
      </c>
      <c r="AB176">
        <v>1.3561871350679211</v>
      </c>
      <c r="AC176">
        <v>0.12711927585713981</v>
      </c>
      <c r="AD176">
        <v>1185.7937896167909</v>
      </c>
      <c r="AE176">
        <v>50</v>
      </c>
      <c r="AF176">
        <v>81.802244040000005</v>
      </c>
      <c r="BE176">
        <v>0.11746984183827119</v>
      </c>
      <c r="BF176">
        <v>2738</v>
      </c>
      <c r="BG176">
        <v>174736.41761296941</v>
      </c>
      <c r="BH176">
        <v>384.04720968997037</v>
      </c>
      <c r="BI176">
        <v>235.83962602274369</v>
      </c>
      <c r="BJ176">
        <v>7.3395239531770278</v>
      </c>
      <c r="BK176">
        <v>384.04720968997037</v>
      </c>
    </row>
    <row r="177" spans="1:63" x14ac:dyDescent="0.2">
      <c r="A177">
        <v>175</v>
      </c>
      <c r="B177" t="s">
        <v>69</v>
      </c>
      <c r="C177" t="s">
        <v>70</v>
      </c>
      <c r="D177" t="s">
        <v>71</v>
      </c>
      <c r="E177">
        <v>-155.29347999999999</v>
      </c>
      <c r="F177">
        <v>19.377479999999998</v>
      </c>
      <c r="G177" t="s">
        <v>112</v>
      </c>
      <c r="H177" t="s">
        <v>472</v>
      </c>
      <c r="I177" t="s">
        <v>473</v>
      </c>
      <c r="J177" t="s">
        <v>68</v>
      </c>
      <c r="K177">
        <v>8.546659496093751</v>
      </c>
      <c r="L177">
        <v>8.5447998210937506</v>
      </c>
      <c r="M177">
        <v>229.42892352078621</v>
      </c>
      <c r="N177">
        <v>2614.1834083610929</v>
      </c>
      <c r="Q177">
        <v>12.131</v>
      </c>
      <c r="R177">
        <v>1324.9639999999999</v>
      </c>
      <c r="S177">
        <v>50</v>
      </c>
      <c r="T177">
        <v>102.99495068787471</v>
      </c>
      <c r="U177">
        <v>3.1051021224667462E-3</v>
      </c>
      <c r="V177">
        <v>9.6958063785919535E-2</v>
      </c>
      <c r="W177">
        <v>3.997277084202824E-3</v>
      </c>
      <c r="X177">
        <v>0</v>
      </c>
      <c r="Y177">
        <v>9.7699905811173826E-2</v>
      </c>
      <c r="Z177">
        <v>0.33566519317889387</v>
      </c>
      <c r="AA177">
        <v>2.6446580345779989E-2</v>
      </c>
      <c r="AB177">
        <v>1.4465845881911259</v>
      </c>
      <c r="AC177">
        <v>0.109817200866472</v>
      </c>
      <c r="AD177">
        <v>1276.4752902323039</v>
      </c>
      <c r="AE177">
        <v>50</v>
      </c>
      <c r="AF177">
        <v>87.271781298994284</v>
      </c>
      <c r="AG177">
        <v>2.1280100000000002</v>
      </c>
      <c r="AH177">
        <v>12.511455</v>
      </c>
      <c r="AI177">
        <v>0.21128</v>
      </c>
      <c r="AJ177">
        <v>10.547185000000001</v>
      </c>
      <c r="AK177">
        <v>0.43435000000000001</v>
      </c>
      <c r="AL177">
        <v>2.4173399999999998</v>
      </c>
      <c r="AM177">
        <v>50.003889999999998</v>
      </c>
      <c r="AN177">
        <v>8.5805450000000008</v>
      </c>
      <c r="AO177">
        <v>11.0444</v>
      </c>
      <c r="AP177">
        <v>0.37786999999999998</v>
      </c>
      <c r="AQ177">
        <v>98.290260000000004</v>
      </c>
      <c r="AR177">
        <v>4.7093422517846893E-2</v>
      </c>
      <c r="AS177">
        <v>0.17423154844121161</v>
      </c>
      <c r="AT177">
        <v>2.1925114974993089E-2</v>
      </c>
      <c r="AU177">
        <v>0.1853741817244248</v>
      </c>
      <c r="AV177">
        <v>1.0520403456564249E-2</v>
      </c>
      <c r="AW177">
        <v>3.5166562401109248E-2</v>
      </c>
      <c r="AX177">
        <v>0.46106226248619608</v>
      </c>
      <c r="AY177">
        <v>0.4051107053427907</v>
      </c>
      <c r="AZ177">
        <v>0.14841023100402101</v>
      </c>
      <c r="BA177">
        <v>1.7068639208924791E-2</v>
      </c>
      <c r="BD177" t="s">
        <v>474</v>
      </c>
      <c r="BE177">
        <v>0.41683358744612908</v>
      </c>
      <c r="BF177">
        <v>3852</v>
      </c>
      <c r="BG177">
        <v>385892.67256599112</v>
      </c>
      <c r="BH177">
        <v>2124.5162264239748</v>
      </c>
      <c r="BI177">
        <v>350.47603724597133</v>
      </c>
      <c r="BJ177">
        <v>34.230789294227598</v>
      </c>
      <c r="BK177">
        <v>2124.5162264239748</v>
      </c>
    </row>
    <row r="178" spans="1:63" x14ac:dyDescent="0.2">
      <c r="A178">
        <v>176</v>
      </c>
      <c r="B178" t="s">
        <v>69</v>
      </c>
      <c r="C178" t="s">
        <v>81</v>
      </c>
      <c r="D178" t="s">
        <v>71</v>
      </c>
      <c r="E178">
        <v>-155.29106999999999</v>
      </c>
      <c r="F178">
        <v>19.383150000000001</v>
      </c>
      <c r="G178" t="s">
        <v>87</v>
      </c>
      <c r="H178" t="s">
        <v>104</v>
      </c>
      <c r="I178" t="s">
        <v>475</v>
      </c>
      <c r="J178" t="s">
        <v>68</v>
      </c>
      <c r="K178">
        <v>4.1579427257812496</v>
      </c>
      <c r="L178">
        <v>3.77275754140625</v>
      </c>
      <c r="M178">
        <v>49.281880508005713</v>
      </c>
      <c r="N178">
        <v>260.5598819415622</v>
      </c>
      <c r="O178" t="s">
        <v>106</v>
      </c>
      <c r="Q178">
        <v>12.054</v>
      </c>
      <c r="R178">
        <v>1325.0039999999999</v>
      </c>
      <c r="S178">
        <v>50</v>
      </c>
      <c r="T178">
        <v>102.9961444021405</v>
      </c>
      <c r="U178">
        <v>7.4641682971853937E-3</v>
      </c>
      <c r="V178">
        <v>9.7431061297307053E-2</v>
      </c>
      <c r="W178">
        <v>4.8180501790409253E-3</v>
      </c>
      <c r="X178">
        <v>0</v>
      </c>
      <c r="Y178">
        <v>0.1002527380047096</v>
      </c>
      <c r="Z178">
        <v>0.32677899482854922</v>
      </c>
      <c r="AA178">
        <v>2.6814960952162039E-2</v>
      </c>
      <c r="AB178">
        <v>1.409611237119655</v>
      </c>
      <c r="AC178">
        <v>0.11154860951827091</v>
      </c>
      <c r="AD178">
        <v>1225.4359762272759</v>
      </c>
      <c r="AE178">
        <v>50</v>
      </c>
      <c r="AF178">
        <v>84.640510948381561</v>
      </c>
      <c r="AG178">
        <v>2.2102200000000001</v>
      </c>
      <c r="AH178">
        <v>12.516225</v>
      </c>
      <c r="AI178">
        <v>0.22873499999999999</v>
      </c>
      <c r="AJ178">
        <v>10.535360000000001</v>
      </c>
      <c r="AK178">
        <v>0.37534499999999998</v>
      </c>
      <c r="AL178">
        <v>2.4377900000000001</v>
      </c>
      <c r="AM178">
        <v>50.224780000000003</v>
      </c>
      <c r="AN178">
        <v>8.9844449999999991</v>
      </c>
      <c r="AP178">
        <v>0.178455</v>
      </c>
      <c r="AQ178">
        <v>99.610560000000007</v>
      </c>
      <c r="AR178">
        <v>1.7587090435884831E-2</v>
      </c>
      <c r="AS178">
        <v>0.12699126938494701</v>
      </c>
      <c r="AT178">
        <v>8.073250584491971E-3</v>
      </c>
      <c r="AU178">
        <v>6.9056800896073786E-2</v>
      </c>
      <c r="AV178">
        <v>2.248073063759274E-2</v>
      </c>
      <c r="AW178">
        <v>2.1205111412109991E-2</v>
      </c>
      <c r="AX178">
        <v>0.5052093298821787</v>
      </c>
      <c r="AY178">
        <v>0.13192220766421431</v>
      </c>
      <c r="BA178">
        <v>1.2962040734390541E-2</v>
      </c>
      <c r="BB178">
        <v>5</v>
      </c>
      <c r="BC178" t="s">
        <v>86</v>
      </c>
    </row>
    <row r="179" spans="1:63" x14ac:dyDescent="0.2">
      <c r="A179">
        <v>177</v>
      </c>
      <c r="B179" t="s">
        <v>69</v>
      </c>
      <c r="C179" t="s">
        <v>236</v>
      </c>
      <c r="D179" t="s">
        <v>64</v>
      </c>
      <c r="E179">
        <v>-155.292979</v>
      </c>
      <c r="F179">
        <v>19.400748</v>
      </c>
      <c r="G179" t="s">
        <v>237</v>
      </c>
      <c r="H179" t="s">
        <v>406</v>
      </c>
      <c r="I179" t="s">
        <v>476</v>
      </c>
      <c r="J179" t="s">
        <v>68</v>
      </c>
      <c r="K179">
        <v>14.8465991328125</v>
      </c>
      <c r="L179">
        <v>14.288231714062499</v>
      </c>
      <c r="M179">
        <v>666.43122875844495</v>
      </c>
      <c r="N179">
        <v>12944.24074730157</v>
      </c>
      <c r="Q179">
        <v>9.9039999999999999</v>
      </c>
      <c r="R179">
        <v>1324.9639999999999</v>
      </c>
      <c r="S179">
        <v>50</v>
      </c>
      <c r="T179">
        <v>102.996391636398</v>
      </c>
      <c r="U179">
        <v>2.942774171826236E-3</v>
      </c>
      <c r="V179">
        <v>9.7529025434880623E-2</v>
      </c>
      <c r="W179">
        <v>3.9782194426534606E-3</v>
      </c>
      <c r="X179">
        <v>4.1395167926692258</v>
      </c>
      <c r="Y179">
        <v>0.1020513940406564</v>
      </c>
      <c r="Z179">
        <v>0.32070765880428992</v>
      </c>
      <c r="AA179">
        <v>3.1975564080170778E-2</v>
      </c>
      <c r="AB179">
        <v>1.384310484699373</v>
      </c>
      <c r="AC179">
        <v>0.13322281128783461</v>
      </c>
      <c r="AD179">
        <v>1194.443915391151</v>
      </c>
      <c r="AE179">
        <v>100</v>
      </c>
      <c r="AG179">
        <v>2.0274999999999999</v>
      </c>
      <c r="AH179">
        <v>12.7525</v>
      </c>
      <c r="AI179">
        <v>0.17249999999999999</v>
      </c>
      <c r="AJ179">
        <v>11.092499999999999</v>
      </c>
      <c r="AK179">
        <v>0.51750000000000007</v>
      </c>
      <c r="AL179">
        <v>2.5150000000000001</v>
      </c>
      <c r="AM179">
        <v>50.63</v>
      </c>
      <c r="AN179">
        <v>7.415</v>
      </c>
      <c r="AP179">
        <v>1685.75</v>
      </c>
      <c r="AR179">
        <v>0.17231270024773751</v>
      </c>
      <c r="AS179">
        <v>0.13450526631573459</v>
      </c>
      <c r="AT179">
        <v>4.9999999999999836E-3</v>
      </c>
      <c r="AU179">
        <v>0.29227555491350982</v>
      </c>
      <c r="AV179">
        <v>2.061552812808835E-2</v>
      </c>
      <c r="AW179">
        <v>6.2449979983983737E-2</v>
      </c>
      <c r="AX179">
        <v>0.21556128285632961</v>
      </c>
      <c r="AY179">
        <v>0.39770173078158311</v>
      </c>
      <c r="BA179">
        <v>51.951098801340748</v>
      </c>
      <c r="BE179">
        <v>6.7124479268020981E-2</v>
      </c>
      <c r="BF179">
        <v>1628</v>
      </c>
      <c r="BG179">
        <v>40883.307436597723</v>
      </c>
      <c r="BH179">
        <v>49.230057587073361</v>
      </c>
      <c r="BI179">
        <v>114.0769956518857</v>
      </c>
      <c r="BJ179">
        <v>1.220121678495929</v>
      </c>
      <c r="BK179">
        <v>49.230057587073361</v>
      </c>
    </row>
    <row r="180" spans="1:63" x14ac:dyDescent="0.2">
      <c r="A180">
        <v>178</v>
      </c>
      <c r="B180" t="s">
        <v>69</v>
      </c>
      <c r="C180" t="s">
        <v>81</v>
      </c>
      <c r="D180" t="s">
        <v>71</v>
      </c>
      <c r="E180">
        <v>-155.29106999999999</v>
      </c>
      <c r="F180">
        <v>19.383150000000001</v>
      </c>
      <c r="G180" t="s">
        <v>87</v>
      </c>
      <c r="H180" t="s">
        <v>477</v>
      </c>
      <c r="I180" t="s">
        <v>478</v>
      </c>
      <c r="J180" t="s">
        <v>68</v>
      </c>
      <c r="K180">
        <v>13.5672589625</v>
      </c>
      <c r="L180">
        <v>12.851109742968751</v>
      </c>
      <c r="M180">
        <v>547.75029430814618</v>
      </c>
      <c r="N180">
        <v>9647.1128223744163</v>
      </c>
      <c r="O180" t="s">
        <v>479</v>
      </c>
      <c r="Q180">
        <v>12.022</v>
      </c>
      <c r="R180">
        <v>1325.0039999999999</v>
      </c>
      <c r="S180">
        <v>50</v>
      </c>
      <c r="T180">
        <v>102.9994161584015</v>
      </c>
      <c r="U180">
        <v>5.3266948298916943E-3</v>
      </c>
      <c r="V180">
        <v>9.872746246616515E-2</v>
      </c>
      <c r="W180">
        <v>4.3504403051295966E-3</v>
      </c>
      <c r="X180">
        <v>0</v>
      </c>
      <c r="Y180">
        <v>9.8228830315590709E-2</v>
      </c>
      <c r="Z180">
        <v>0.33382431103993959</v>
      </c>
      <c r="AA180">
        <v>2.59047762765287E-2</v>
      </c>
      <c r="AB180">
        <v>1.438930728212954</v>
      </c>
      <c r="AC180">
        <v>0.1076115655973596</v>
      </c>
      <c r="AD180">
        <v>1238.9684815005189</v>
      </c>
      <c r="AE180">
        <v>50</v>
      </c>
      <c r="AF180">
        <v>85.417882592542867</v>
      </c>
      <c r="AG180">
        <v>2.2102200000000001</v>
      </c>
      <c r="AH180">
        <v>12.516225</v>
      </c>
      <c r="AI180">
        <v>0.22873499999999999</v>
      </c>
      <c r="AJ180">
        <v>10.535360000000001</v>
      </c>
      <c r="AK180">
        <v>0.37534499999999998</v>
      </c>
      <c r="AL180">
        <v>2.4377900000000001</v>
      </c>
      <c r="AM180">
        <v>50.224780000000003</v>
      </c>
      <c r="AN180">
        <v>8.9844449999999991</v>
      </c>
      <c r="AP180">
        <v>0.178455</v>
      </c>
      <c r="AQ180">
        <v>99.610560000000007</v>
      </c>
      <c r="AR180">
        <v>1.7587090435884831E-2</v>
      </c>
      <c r="AS180">
        <v>0.12699126938494701</v>
      </c>
      <c r="AT180">
        <v>8.073250584491971E-3</v>
      </c>
      <c r="AU180">
        <v>6.9056800896073786E-2</v>
      </c>
      <c r="AV180">
        <v>2.248073063759274E-2</v>
      </c>
      <c r="AW180">
        <v>2.1205111412109991E-2</v>
      </c>
      <c r="AX180">
        <v>0.5052093298821787</v>
      </c>
      <c r="AY180">
        <v>0.13192220766421431</v>
      </c>
      <c r="BA180">
        <v>1.2962040734390541E-2</v>
      </c>
      <c r="BB180">
        <v>5</v>
      </c>
      <c r="BC180" t="s">
        <v>86</v>
      </c>
    </row>
    <row r="181" spans="1:63" x14ac:dyDescent="0.2">
      <c r="A181">
        <v>179</v>
      </c>
      <c r="B181" t="s">
        <v>69</v>
      </c>
      <c r="C181" t="s">
        <v>143</v>
      </c>
      <c r="D181" t="s">
        <v>144</v>
      </c>
      <c r="E181">
        <v>-155.22516669999999</v>
      </c>
      <c r="F181">
        <v>19.371883329999999</v>
      </c>
      <c r="G181" t="s">
        <v>145</v>
      </c>
      <c r="H181" t="s">
        <v>480</v>
      </c>
      <c r="I181" t="s">
        <v>481</v>
      </c>
      <c r="J181" t="s">
        <v>68</v>
      </c>
      <c r="K181">
        <v>25.39740713046875</v>
      </c>
      <c r="L181">
        <v>23.30666751171875</v>
      </c>
      <c r="M181">
        <v>1859.5995579848659</v>
      </c>
      <c r="N181">
        <v>60380.050451115872</v>
      </c>
      <c r="Q181">
        <v>9.9930000000000003</v>
      </c>
      <c r="R181">
        <v>1324.9639999999999</v>
      </c>
      <c r="S181">
        <v>50</v>
      </c>
      <c r="T181">
        <v>102.9995584676054</v>
      </c>
      <c r="U181">
        <v>5.7899882605937699E-3</v>
      </c>
      <c r="V181">
        <v>9.8783851085478602E-2</v>
      </c>
      <c r="W181">
        <v>4.4424321200438894E-3</v>
      </c>
      <c r="X181">
        <v>0</v>
      </c>
      <c r="Y181">
        <v>9.4884365635327761E-2</v>
      </c>
      <c r="Z181">
        <v>0.34591294518830362</v>
      </c>
      <c r="AA181">
        <v>2.6391035612203181E-2</v>
      </c>
      <c r="AB181">
        <v>1.4891383662707931</v>
      </c>
      <c r="AC181">
        <v>0.1093360573724346</v>
      </c>
      <c r="AD181">
        <v>1296.1843304849899</v>
      </c>
      <c r="AE181">
        <v>50</v>
      </c>
      <c r="AF181">
        <v>88.116403233544233</v>
      </c>
      <c r="AG181">
        <v>2.1961249999999999</v>
      </c>
      <c r="AH181">
        <v>13.214425</v>
      </c>
      <c r="AI181">
        <v>0.23326250000000001</v>
      </c>
      <c r="AJ181">
        <v>10.8680875</v>
      </c>
      <c r="AK181">
        <v>0.46184999999999998</v>
      </c>
      <c r="AL181">
        <v>2.5506250000000001</v>
      </c>
      <c r="AM181">
        <v>49.975887499999999</v>
      </c>
      <c r="AN181">
        <v>7.4385374999999998</v>
      </c>
      <c r="AP181">
        <v>0.2354</v>
      </c>
      <c r="AQ181">
        <v>98.48666249999998</v>
      </c>
      <c r="AR181">
        <v>5.6378814410075299E-2</v>
      </c>
      <c r="AS181">
        <v>0.24941022862516499</v>
      </c>
      <c r="AT181">
        <v>1.4003870638403601E-2</v>
      </c>
      <c r="AU181">
        <v>0.27584699401505702</v>
      </c>
      <c r="AV181">
        <v>3.1668731762237799E-2</v>
      </c>
      <c r="AW181">
        <v>4.2427543277585897E-2</v>
      </c>
      <c r="AX181">
        <v>0.67605985245919198</v>
      </c>
      <c r="AY181">
        <v>0.10614118545597701</v>
      </c>
      <c r="BA181">
        <v>4.3851209463691802E-2</v>
      </c>
      <c r="BE181">
        <v>1.1012340893344841</v>
      </c>
      <c r="BF181">
        <v>1491</v>
      </c>
      <c r="BG181">
        <v>150734.71954555719</v>
      </c>
      <c r="BH181">
        <v>359.60991868382712</v>
      </c>
      <c r="BI181">
        <v>219.04417687419109</v>
      </c>
      <c r="BJ181">
        <v>9.3130694178890572</v>
      </c>
      <c r="BK181">
        <v>359.60991868382717</v>
      </c>
    </row>
    <row r="182" spans="1:63" x14ac:dyDescent="0.2">
      <c r="A182">
        <v>180</v>
      </c>
      <c r="B182" t="s">
        <v>69</v>
      </c>
      <c r="C182" t="s">
        <v>76</v>
      </c>
      <c r="D182" t="s">
        <v>71</v>
      </c>
      <c r="E182">
        <v>-155.29812000000001</v>
      </c>
      <c r="F182">
        <v>19.375624999999999</v>
      </c>
      <c r="G182" t="s">
        <v>77</v>
      </c>
      <c r="H182" t="s">
        <v>453</v>
      </c>
      <c r="I182" t="s">
        <v>482</v>
      </c>
      <c r="J182" t="s">
        <v>68</v>
      </c>
      <c r="K182">
        <v>5.9205659367187504</v>
      </c>
      <c r="L182">
        <v>5.5286394304687496</v>
      </c>
      <c r="M182">
        <v>102.83272907689</v>
      </c>
      <c r="N182">
        <v>784.90202244644422</v>
      </c>
      <c r="Q182">
        <v>11.821999999999999</v>
      </c>
      <c r="R182">
        <v>1324.9639999999999</v>
      </c>
      <c r="S182">
        <v>50</v>
      </c>
      <c r="T182">
        <v>102.9999475493253</v>
      </c>
      <c r="U182">
        <v>1.1910507173320241E-2</v>
      </c>
      <c r="V182">
        <v>9.8938020881824684E-2</v>
      </c>
      <c r="W182">
        <v>6.061793733569249E-3</v>
      </c>
      <c r="X182">
        <v>0</v>
      </c>
      <c r="Y182">
        <v>9.9189391772987467E-2</v>
      </c>
      <c r="Z182">
        <v>0.33046838723072652</v>
      </c>
      <c r="AA182">
        <v>2.995942879488658E-2</v>
      </c>
      <c r="AB182">
        <v>1.424970218333159</v>
      </c>
      <c r="AC182">
        <v>0.1245799075225533</v>
      </c>
      <c r="AD182">
        <v>1219.5988891706729</v>
      </c>
      <c r="AE182">
        <v>50</v>
      </c>
      <c r="AF182">
        <v>84.281618762295409</v>
      </c>
      <c r="AG182">
        <v>2.5039199999999999</v>
      </c>
      <c r="AH182">
        <v>14.096819999999999</v>
      </c>
      <c r="AI182">
        <v>0.27322000000000002</v>
      </c>
      <c r="AJ182">
        <v>10.95044</v>
      </c>
      <c r="AK182">
        <v>0.52094000000000007</v>
      </c>
      <c r="AL182">
        <v>2.9191400000000001</v>
      </c>
      <c r="AM182">
        <v>50.91704</v>
      </c>
      <c r="AN182">
        <v>6.4346599999999992</v>
      </c>
      <c r="AO182">
        <v>10.86684</v>
      </c>
      <c r="AP182">
        <v>0.19492000000000001</v>
      </c>
      <c r="AQ182">
        <v>99.70778</v>
      </c>
      <c r="AR182">
        <v>5.8797253337209539E-2</v>
      </c>
      <c r="AS182">
        <v>0.138496180452748</v>
      </c>
      <c r="AT182">
        <v>2.822688434808206E-2</v>
      </c>
      <c r="AU182">
        <v>7.1287502411011894E-2</v>
      </c>
      <c r="AV182">
        <v>1.2819243347405491E-2</v>
      </c>
      <c r="AW182">
        <v>2.3721045508155889E-2</v>
      </c>
      <c r="AX182">
        <v>0.39733328327740491</v>
      </c>
      <c r="AY182">
        <v>8.3972662218129629E-2</v>
      </c>
      <c r="AZ182">
        <v>5.8132675837260117E-2</v>
      </c>
      <c r="BA182">
        <v>1.931080008699795E-2</v>
      </c>
      <c r="BD182" t="s">
        <v>455</v>
      </c>
      <c r="BE182">
        <v>0.1139141094354669</v>
      </c>
      <c r="BF182">
        <v>3675</v>
      </c>
      <c r="BG182">
        <v>181294.82642332319</v>
      </c>
      <c r="BH182">
        <v>51.140567323517843</v>
      </c>
      <c r="BI182">
        <v>240.2247605150603</v>
      </c>
      <c r="BJ182">
        <v>0.84360058030694862</v>
      </c>
      <c r="BK182">
        <v>51.140567323517843</v>
      </c>
    </row>
    <row r="183" spans="1:63" x14ac:dyDescent="0.2">
      <c r="A183">
        <v>181</v>
      </c>
      <c r="B183" t="s">
        <v>69</v>
      </c>
      <c r="C183" t="s">
        <v>308</v>
      </c>
      <c r="D183" t="s">
        <v>64</v>
      </c>
      <c r="E183">
        <v>-155.2774</v>
      </c>
      <c r="F183">
        <v>19.402283329999999</v>
      </c>
      <c r="G183" t="s">
        <v>309</v>
      </c>
      <c r="H183" t="s">
        <v>385</v>
      </c>
      <c r="I183" t="s">
        <v>483</v>
      </c>
      <c r="J183" t="s">
        <v>68</v>
      </c>
      <c r="K183">
        <v>11.5540445453125</v>
      </c>
      <c r="L183">
        <v>11.512201857812499</v>
      </c>
      <c r="M183">
        <v>417.87107109514699</v>
      </c>
      <c r="N183">
        <v>6425.8113937456174</v>
      </c>
      <c r="Q183">
        <v>10.022</v>
      </c>
      <c r="R183">
        <v>1324.9639999999999</v>
      </c>
      <c r="S183">
        <v>50</v>
      </c>
      <c r="T183">
        <v>103.0002541270367</v>
      </c>
      <c r="U183">
        <v>5.5397066514063587E-3</v>
      </c>
      <c r="V183">
        <v>9.905949927803448E-2</v>
      </c>
      <c r="W183">
        <v>4.3921760772564758E-3</v>
      </c>
      <c r="X183">
        <v>0</v>
      </c>
      <c r="Y183">
        <v>0.1011510558352141</v>
      </c>
      <c r="Z183">
        <v>0.32375387637810321</v>
      </c>
      <c r="AA183">
        <v>2.601468780197572E-2</v>
      </c>
      <c r="AB183">
        <v>1.3970088262977931</v>
      </c>
      <c r="AC183">
        <v>0.10827978340445001</v>
      </c>
      <c r="AD183">
        <v>1185.70000743436</v>
      </c>
      <c r="AE183">
        <v>50</v>
      </c>
      <c r="AF183">
        <v>81.794079715025291</v>
      </c>
      <c r="AG183">
        <v>2.3267000000000002</v>
      </c>
      <c r="AH183">
        <v>13.5229384615385</v>
      </c>
      <c r="AI183">
        <v>0.27728461538461502</v>
      </c>
      <c r="AJ183">
        <v>10.5531076923077</v>
      </c>
      <c r="AK183">
        <v>0.54219230769230797</v>
      </c>
      <c r="AL183">
        <v>2.8134692307692299</v>
      </c>
      <c r="AM183">
        <v>49.582307692307701</v>
      </c>
      <c r="AN183">
        <v>6.2924769230769204</v>
      </c>
      <c r="AP183">
        <v>0.17131538461538501</v>
      </c>
      <c r="AQ183">
        <v>97.508507692307774</v>
      </c>
      <c r="AR183">
        <v>0.15754459157119099</v>
      </c>
      <c r="AS183">
        <v>0.25828299253100101</v>
      </c>
      <c r="AT183">
        <v>3.3931029215008297E-2</v>
      </c>
      <c r="AU183">
        <v>0.14495579476480899</v>
      </c>
      <c r="AV183">
        <v>5.80211091118061E-2</v>
      </c>
      <c r="AW183">
        <v>5.1717153579436098E-2</v>
      </c>
      <c r="AX183">
        <v>0.58735311988266403</v>
      </c>
      <c r="AY183">
        <v>0.17920673421984901</v>
      </c>
      <c r="BA183">
        <v>4.0360043073850597E-2</v>
      </c>
      <c r="BE183">
        <v>7.5601626509141456E-2</v>
      </c>
      <c r="BF183">
        <v>22257</v>
      </c>
      <c r="BG183">
        <v>89536.551256157458</v>
      </c>
      <c r="BH183">
        <v>89.255504295937143</v>
      </c>
      <c r="BI183">
        <v>168.82052434356621</v>
      </c>
      <c r="BJ183">
        <v>0.59827615684341906</v>
      </c>
      <c r="BK183">
        <v>89.255504295937143</v>
      </c>
    </row>
    <row r="184" spans="1:63" x14ac:dyDescent="0.2">
      <c r="A184">
        <v>182</v>
      </c>
      <c r="B184" t="s">
        <v>69</v>
      </c>
      <c r="C184" t="s">
        <v>81</v>
      </c>
      <c r="D184" t="s">
        <v>71</v>
      </c>
      <c r="E184">
        <v>-155.29106999999999</v>
      </c>
      <c r="F184">
        <v>19.383150000000001</v>
      </c>
      <c r="G184" t="s">
        <v>87</v>
      </c>
      <c r="H184" t="s">
        <v>484</v>
      </c>
      <c r="I184" t="s">
        <v>485</v>
      </c>
      <c r="J184" t="s">
        <v>68</v>
      </c>
      <c r="K184">
        <v>29.574643984375001</v>
      </c>
      <c r="L184">
        <v>22.308603185156251</v>
      </c>
      <c r="M184">
        <v>2072.7254340091172</v>
      </c>
      <c r="N184">
        <v>71693.150671512616</v>
      </c>
      <c r="O184" t="s">
        <v>486</v>
      </c>
      <c r="Q184">
        <v>16.011500000000002</v>
      </c>
      <c r="R184">
        <v>1325.0039999999999</v>
      </c>
      <c r="S184">
        <v>50</v>
      </c>
      <c r="T184">
        <v>103.0006237425756</v>
      </c>
      <c r="U184">
        <v>1.274878449229395E-2</v>
      </c>
      <c r="V184">
        <v>9.9205955792019324E-2</v>
      </c>
      <c r="W184">
        <v>6.418813467521647E-3</v>
      </c>
      <c r="X184">
        <v>0</v>
      </c>
      <c r="Y184">
        <v>9.8926077176497484E-2</v>
      </c>
      <c r="Z184">
        <v>0.33138903817787152</v>
      </c>
      <c r="AA184">
        <v>3.3952373868241272E-2</v>
      </c>
      <c r="AB184">
        <v>1.4288010598596099</v>
      </c>
      <c r="AC184">
        <v>0.1411313678593851</v>
      </c>
      <c r="AD184">
        <v>1219.8390239717639</v>
      </c>
      <c r="AE184">
        <v>50</v>
      </c>
      <c r="AF184">
        <v>84.296696338095913</v>
      </c>
      <c r="AG184">
        <v>2.2102200000000001</v>
      </c>
      <c r="AH184">
        <v>12.516225</v>
      </c>
      <c r="AI184">
        <v>0.22873499999999999</v>
      </c>
      <c r="AJ184">
        <v>10.535360000000001</v>
      </c>
      <c r="AK184">
        <v>0.37534499999999998</v>
      </c>
      <c r="AL184">
        <v>2.4377900000000001</v>
      </c>
      <c r="AM184">
        <v>50.224780000000003</v>
      </c>
      <c r="AN184">
        <v>8.9844449999999991</v>
      </c>
      <c r="AP184">
        <v>0.178455</v>
      </c>
      <c r="AQ184">
        <v>99.610560000000007</v>
      </c>
      <c r="AR184">
        <v>1.7587090435884831E-2</v>
      </c>
      <c r="AS184">
        <v>0.12699126938494701</v>
      </c>
      <c r="AT184">
        <v>8.073250584491971E-3</v>
      </c>
      <c r="AU184">
        <v>6.9056800896073786E-2</v>
      </c>
      <c r="AV184">
        <v>2.248073063759274E-2</v>
      </c>
      <c r="AW184">
        <v>2.1205111412109991E-2</v>
      </c>
      <c r="AX184">
        <v>0.5052093298821787</v>
      </c>
      <c r="AY184">
        <v>0.13192220766421431</v>
      </c>
      <c r="BA184">
        <v>1.2962040734390541E-2</v>
      </c>
      <c r="BB184">
        <v>5</v>
      </c>
      <c r="BC184" t="s">
        <v>86</v>
      </c>
    </row>
    <row r="185" spans="1:63" x14ac:dyDescent="0.2">
      <c r="A185">
        <v>183</v>
      </c>
      <c r="B185" t="s">
        <v>69</v>
      </c>
      <c r="C185" t="s">
        <v>236</v>
      </c>
      <c r="D185" t="s">
        <v>64</v>
      </c>
      <c r="E185">
        <v>-155.292979</v>
      </c>
      <c r="F185">
        <v>19.400748</v>
      </c>
      <c r="G185" t="s">
        <v>237</v>
      </c>
      <c r="H185" t="s">
        <v>487</v>
      </c>
      <c r="I185" t="s">
        <v>488</v>
      </c>
      <c r="J185" t="s">
        <v>68</v>
      </c>
      <c r="K185">
        <v>6.2869219117187498</v>
      </c>
      <c r="L185">
        <v>6.0012874546875006</v>
      </c>
      <c r="M185">
        <v>118.531114599478</v>
      </c>
      <c r="N185">
        <v>971.02343508791864</v>
      </c>
      <c r="Q185">
        <v>9.8759999999999994</v>
      </c>
      <c r="R185">
        <v>1324.9639999999999</v>
      </c>
      <c r="S185">
        <v>50</v>
      </c>
      <c r="T185">
        <v>103.0009703000144</v>
      </c>
      <c r="U185">
        <v>6.2262748064134781E-3</v>
      </c>
      <c r="V185">
        <v>9.9343275761150096E-2</v>
      </c>
      <c r="W185">
        <v>4.5344034017487274E-3</v>
      </c>
      <c r="X185">
        <v>0</v>
      </c>
      <c r="Y185">
        <v>0.1006674540168256</v>
      </c>
      <c r="Z185">
        <v>0.32539695464694463</v>
      </c>
      <c r="AA185">
        <v>2.6456098737884098E-2</v>
      </c>
      <c r="AB185">
        <v>1.403854749639692</v>
      </c>
      <c r="AC185">
        <v>0.1101558172773854</v>
      </c>
      <c r="AD185">
        <v>1189.226922303867</v>
      </c>
      <c r="AE185">
        <v>50</v>
      </c>
      <c r="AF185">
        <v>82.094875251361515</v>
      </c>
      <c r="AG185">
        <v>2.0274999999999999</v>
      </c>
      <c r="AH185">
        <v>12.7525</v>
      </c>
      <c r="AI185">
        <v>0.17249999999999999</v>
      </c>
      <c r="AJ185">
        <v>11.092499999999999</v>
      </c>
      <c r="AK185">
        <v>0.51750000000000007</v>
      </c>
      <c r="AL185">
        <v>2.5150000000000001</v>
      </c>
      <c r="AM185">
        <v>50.63</v>
      </c>
      <c r="AN185">
        <v>7.415</v>
      </c>
      <c r="AP185">
        <v>1685.75</v>
      </c>
      <c r="AR185">
        <v>0.17231270024773751</v>
      </c>
      <c r="AS185">
        <v>0.13450526631573459</v>
      </c>
      <c r="AT185">
        <v>4.9999999999999836E-3</v>
      </c>
      <c r="AU185">
        <v>0.29227555491350982</v>
      </c>
      <c r="AV185">
        <v>2.061552812808835E-2</v>
      </c>
      <c r="AW185">
        <v>6.2449979983983737E-2</v>
      </c>
      <c r="AX185">
        <v>0.21556128285632961</v>
      </c>
      <c r="AY185">
        <v>0.39770173078158311</v>
      </c>
      <c r="BA185">
        <v>51.951098801340748</v>
      </c>
      <c r="BE185">
        <v>0.12756082583783479</v>
      </c>
      <c r="BF185">
        <v>1586</v>
      </c>
      <c r="BG185">
        <v>29303.839448787741</v>
      </c>
      <c r="BH185">
        <v>78.469312327103609</v>
      </c>
      <c r="BI185">
        <v>96.580027954498433</v>
      </c>
      <c r="BJ185">
        <v>1.970372126260634</v>
      </c>
      <c r="BK185">
        <v>78.469312327103609</v>
      </c>
    </row>
    <row r="186" spans="1:63" x14ac:dyDescent="0.2">
      <c r="A186">
        <v>184</v>
      </c>
      <c r="B186" t="s">
        <v>69</v>
      </c>
      <c r="C186" t="s">
        <v>91</v>
      </c>
      <c r="D186" t="s">
        <v>92</v>
      </c>
      <c r="E186">
        <v>-155.28360000000001</v>
      </c>
      <c r="F186">
        <v>19.4285</v>
      </c>
      <c r="G186" t="s">
        <v>93</v>
      </c>
      <c r="H186" t="s">
        <v>489</v>
      </c>
      <c r="I186" t="s">
        <v>490</v>
      </c>
      <c r="J186" t="s">
        <v>68</v>
      </c>
      <c r="K186">
        <v>6.5150807882812503</v>
      </c>
      <c r="L186">
        <v>6.4452267460937502</v>
      </c>
      <c r="M186">
        <v>131.91916045405631</v>
      </c>
      <c r="N186">
        <v>1139.808592774086</v>
      </c>
      <c r="O186" t="s">
        <v>491</v>
      </c>
      <c r="Q186">
        <v>11.968999999999999</v>
      </c>
      <c r="R186">
        <v>1325.0039999999999</v>
      </c>
      <c r="S186">
        <v>50</v>
      </c>
      <c r="T186">
        <v>103.0019864051946</v>
      </c>
      <c r="U186">
        <v>3.3763870980389118E-3</v>
      </c>
      <c r="V186">
        <v>9.9745897423090923E-2</v>
      </c>
      <c r="W186">
        <v>4.0331100596943583E-3</v>
      </c>
      <c r="X186">
        <v>0</v>
      </c>
      <c r="Y186">
        <v>0.10132743414025749</v>
      </c>
      <c r="Z186">
        <v>0.32317056028321339</v>
      </c>
      <c r="AA186">
        <v>2.650225901295216E-2</v>
      </c>
      <c r="AB186">
        <v>1.3945778623790741</v>
      </c>
      <c r="AC186">
        <v>0.11038270183983739</v>
      </c>
      <c r="AD186">
        <v>1172.650329820121</v>
      </c>
      <c r="AE186">
        <v>50</v>
      </c>
      <c r="AF186">
        <v>80.552579673479286</v>
      </c>
      <c r="AG186">
        <v>2.1005484848484852</v>
      </c>
      <c r="AH186">
        <v>12.543751515151509</v>
      </c>
      <c r="AJ186">
        <v>10.35766363636364</v>
      </c>
      <c r="AK186">
        <v>0.36914545454545461</v>
      </c>
      <c r="AL186">
        <v>2.199157575757575</v>
      </c>
      <c r="AM186">
        <v>49.88770303030303</v>
      </c>
      <c r="AN186">
        <v>8.5799181818181811</v>
      </c>
      <c r="AP186">
        <v>1.6854545454545459E-2</v>
      </c>
      <c r="AQ186">
        <v>97.165912121212131</v>
      </c>
      <c r="AR186">
        <v>0.12875285220435931</v>
      </c>
      <c r="AS186">
        <v>0.27438160598108169</v>
      </c>
      <c r="AU186">
        <v>0.23223845883350949</v>
      </c>
      <c r="AV186">
        <v>3.2777460728649822E-2</v>
      </c>
      <c r="AW186">
        <v>6.9021124620940399E-2</v>
      </c>
      <c r="AX186">
        <v>0.52796007335122563</v>
      </c>
      <c r="AY186">
        <v>0.70241800520351916</v>
      </c>
      <c r="BA186">
        <v>4.4618585609790254E-3</v>
      </c>
      <c r="BB186">
        <v>33</v>
      </c>
      <c r="BC186" t="s">
        <v>86</v>
      </c>
    </row>
    <row r="187" spans="1:63" x14ac:dyDescent="0.2">
      <c r="A187">
        <v>185</v>
      </c>
      <c r="B187" t="s">
        <v>69</v>
      </c>
      <c r="C187" t="s">
        <v>143</v>
      </c>
      <c r="D187" t="s">
        <v>144</v>
      </c>
      <c r="E187">
        <v>-155.22516669999999</v>
      </c>
      <c r="F187">
        <v>19.371883329999999</v>
      </c>
      <c r="G187" t="s">
        <v>145</v>
      </c>
      <c r="H187" t="s">
        <v>492</v>
      </c>
      <c r="I187" t="s">
        <v>493</v>
      </c>
      <c r="J187" t="s">
        <v>68</v>
      </c>
      <c r="K187">
        <v>3.6211940289062499</v>
      </c>
      <c r="L187">
        <v>3.3986141773437502</v>
      </c>
      <c r="M187">
        <v>38.663710741447993</v>
      </c>
      <c r="N187">
        <v>180.94122263126201</v>
      </c>
      <c r="O187" t="s">
        <v>494</v>
      </c>
      <c r="Q187">
        <v>9.952</v>
      </c>
      <c r="R187">
        <v>1324.9639999999999</v>
      </c>
      <c r="S187">
        <v>50</v>
      </c>
      <c r="T187">
        <v>103.00210030120419</v>
      </c>
      <c r="U187">
        <v>1.6431024909525461E-2</v>
      </c>
      <c r="V187">
        <v>9.979102759423597E-2</v>
      </c>
      <c r="W187">
        <v>7.5408650562975004E-3</v>
      </c>
      <c r="X187">
        <v>0</v>
      </c>
      <c r="Y187">
        <v>9.8727269616443958E-2</v>
      </c>
      <c r="Z187">
        <v>0.33209290291184812</v>
      </c>
      <c r="AA187">
        <v>3.5014899760222838E-2</v>
      </c>
      <c r="AB187">
        <v>1.431729356010861</v>
      </c>
      <c r="AC187">
        <v>0.14545895609388701</v>
      </c>
      <c r="AD187">
        <v>1214.166500303088</v>
      </c>
      <c r="AE187">
        <v>50</v>
      </c>
      <c r="AF187">
        <v>83.932831584355441</v>
      </c>
      <c r="AG187">
        <v>2.1961249999999999</v>
      </c>
      <c r="AH187">
        <v>13.214425</v>
      </c>
      <c r="AI187">
        <v>0.23326250000000001</v>
      </c>
      <c r="AJ187">
        <v>10.8680875</v>
      </c>
      <c r="AK187">
        <v>0.46184999999999998</v>
      </c>
      <c r="AL187">
        <v>2.5506250000000001</v>
      </c>
      <c r="AM187">
        <v>49.975887499999999</v>
      </c>
      <c r="AN187">
        <v>7.4385374999999998</v>
      </c>
      <c r="AP187">
        <v>0.2354</v>
      </c>
      <c r="AQ187">
        <v>98.48666249999998</v>
      </c>
      <c r="AR187">
        <v>5.6378814410075299E-2</v>
      </c>
      <c r="AS187">
        <v>0.24941022862516499</v>
      </c>
      <c r="AT187">
        <v>1.4003870638403601E-2</v>
      </c>
      <c r="AU187">
        <v>0.27584699401505702</v>
      </c>
      <c r="AV187">
        <v>3.1668731762237799E-2</v>
      </c>
      <c r="AW187">
        <v>4.2427543277585897E-2</v>
      </c>
      <c r="AX187">
        <v>0.67605985245919198</v>
      </c>
      <c r="AY187">
        <v>0.10614118545597701</v>
      </c>
      <c r="BA187">
        <v>4.3851209463691802E-2</v>
      </c>
      <c r="BE187">
        <v>6.3983754919004501E-2</v>
      </c>
      <c r="BF187">
        <v>3774</v>
      </c>
      <c r="BG187">
        <v>34135.075459266263</v>
      </c>
      <c r="BH187">
        <v>3.0237023035038249</v>
      </c>
      <c r="BI187">
        <v>104.23786252755831</v>
      </c>
      <c r="BJ187">
        <v>4.9219600331174528E-2</v>
      </c>
      <c r="BK187">
        <v>3.0237023035038249</v>
      </c>
    </row>
    <row r="188" spans="1:63" x14ac:dyDescent="0.2">
      <c r="A188">
        <v>186</v>
      </c>
      <c r="B188" t="s">
        <v>69</v>
      </c>
      <c r="C188" t="s">
        <v>236</v>
      </c>
      <c r="D188" t="s">
        <v>64</v>
      </c>
      <c r="E188">
        <v>-155.292979</v>
      </c>
      <c r="F188">
        <v>19.400748</v>
      </c>
      <c r="G188" t="s">
        <v>237</v>
      </c>
      <c r="H188" t="s">
        <v>438</v>
      </c>
      <c r="I188" t="s">
        <v>495</v>
      </c>
      <c r="J188" t="s">
        <v>68</v>
      </c>
      <c r="K188">
        <v>5.4878428101562502</v>
      </c>
      <c r="L188">
        <v>4.9279062906250006</v>
      </c>
      <c r="M188">
        <v>84.959896880222345</v>
      </c>
      <c r="N188">
        <v>589.9473130217624</v>
      </c>
      <c r="Q188">
        <v>10.044</v>
      </c>
      <c r="R188">
        <v>1324.9639999999999</v>
      </c>
      <c r="S188">
        <v>50</v>
      </c>
      <c r="T188">
        <v>103.0023135984146</v>
      </c>
      <c r="U188">
        <v>5.208593430606305E-3</v>
      </c>
      <c r="V188">
        <v>9.9875544511363046E-2</v>
      </c>
      <c r="W188">
        <v>4.3285351958687992E-3</v>
      </c>
      <c r="X188">
        <v>0</v>
      </c>
      <c r="Y188">
        <v>0.100027641061791</v>
      </c>
      <c r="Z188">
        <v>0.32759078429985949</v>
      </c>
      <c r="AA188">
        <v>2.5301280748162919E-2</v>
      </c>
      <c r="AB188">
        <v>1.4129917381439481</v>
      </c>
      <c r="AC188">
        <v>0.1051962423295761</v>
      </c>
      <c r="AD188">
        <v>1191.58945313343</v>
      </c>
      <c r="AE188">
        <v>50</v>
      </c>
      <c r="AF188">
        <v>82.289571922058443</v>
      </c>
      <c r="AG188">
        <v>2.0274999999999999</v>
      </c>
      <c r="AH188">
        <v>12.7525</v>
      </c>
      <c r="AI188">
        <v>0.17249999999999999</v>
      </c>
      <c r="AJ188">
        <v>11.092499999999999</v>
      </c>
      <c r="AK188">
        <v>0.51750000000000007</v>
      </c>
      <c r="AL188">
        <v>2.5150000000000001</v>
      </c>
      <c r="AM188">
        <v>50.63</v>
      </c>
      <c r="AN188">
        <v>7.415</v>
      </c>
      <c r="AP188">
        <v>1685.75</v>
      </c>
      <c r="AR188">
        <v>0.17231270024773751</v>
      </c>
      <c r="AS188">
        <v>0.13450526631573459</v>
      </c>
      <c r="AT188">
        <v>4.9999999999999836E-3</v>
      </c>
      <c r="AU188">
        <v>0.29227555491350982</v>
      </c>
      <c r="AV188">
        <v>2.061552812808835E-2</v>
      </c>
      <c r="AW188">
        <v>6.2449979983983737E-2</v>
      </c>
      <c r="AX188">
        <v>0.21556128285632961</v>
      </c>
      <c r="AY188">
        <v>0.39770173078158311</v>
      </c>
      <c r="BA188">
        <v>51.951098801340748</v>
      </c>
      <c r="BE188">
        <v>8.6792328845504904E-2</v>
      </c>
      <c r="BF188">
        <v>13981</v>
      </c>
      <c r="BG188">
        <v>224551.37747300559</v>
      </c>
      <c r="BH188">
        <v>375.53398268528213</v>
      </c>
      <c r="BI188">
        <v>267.35168487564431</v>
      </c>
      <c r="BJ188">
        <v>3.1759973053499051</v>
      </c>
      <c r="BK188">
        <v>375.53398268528213</v>
      </c>
    </row>
    <row r="189" spans="1:63" x14ac:dyDescent="0.2">
      <c r="A189">
        <v>187</v>
      </c>
      <c r="B189" t="s">
        <v>69</v>
      </c>
      <c r="C189" t="s">
        <v>236</v>
      </c>
      <c r="D189" t="s">
        <v>64</v>
      </c>
      <c r="E189">
        <v>-155.292979</v>
      </c>
      <c r="F189">
        <v>19.400748</v>
      </c>
      <c r="G189" t="s">
        <v>237</v>
      </c>
      <c r="H189" t="s">
        <v>462</v>
      </c>
      <c r="I189" t="s">
        <v>496</v>
      </c>
      <c r="J189" t="s">
        <v>68</v>
      </c>
      <c r="K189">
        <v>5.1606562398437497</v>
      </c>
      <c r="L189">
        <v>4.0438051726562501</v>
      </c>
      <c r="M189">
        <v>65.560918158009784</v>
      </c>
      <c r="N189">
        <v>402.30196090231419</v>
      </c>
      <c r="Q189">
        <v>9.8800000000000008</v>
      </c>
      <c r="R189">
        <v>1324.9639999999999</v>
      </c>
      <c r="S189">
        <v>50</v>
      </c>
      <c r="T189">
        <v>103.00239590791681</v>
      </c>
      <c r="U189">
        <v>5.8749335211291604E-3</v>
      </c>
      <c r="V189">
        <v>9.9908158840300132E-2</v>
      </c>
      <c r="W189">
        <v>4.4604850632267478E-3</v>
      </c>
      <c r="X189">
        <v>2.8646781349360602</v>
      </c>
      <c r="Y189">
        <v>0.10023939753780391</v>
      </c>
      <c r="Z189">
        <v>0.32686596832629777</v>
      </c>
      <c r="AA189">
        <v>2.5534929303768411E-2</v>
      </c>
      <c r="AB189">
        <v>1.40997344456676</v>
      </c>
      <c r="AC189">
        <v>0.1062503104357491</v>
      </c>
      <c r="AD189">
        <v>1187.676629895177</v>
      </c>
      <c r="AE189">
        <v>50</v>
      </c>
      <c r="AF189">
        <v>81.964209199688028</v>
      </c>
      <c r="AG189">
        <v>2.0274999999999999</v>
      </c>
      <c r="AH189">
        <v>12.7525</v>
      </c>
      <c r="AI189">
        <v>0.17249999999999999</v>
      </c>
      <c r="AJ189">
        <v>11.092499999999999</v>
      </c>
      <c r="AK189">
        <v>0.51750000000000007</v>
      </c>
      <c r="AL189">
        <v>2.5150000000000001</v>
      </c>
      <c r="AM189">
        <v>50.63</v>
      </c>
      <c r="AN189">
        <v>7.415</v>
      </c>
      <c r="AP189">
        <v>1685.75</v>
      </c>
      <c r="AR189">
        <v>0.17231270024773751</v>
      </c>
      <c r="AS189">
        <v>0.13450526631573459</v>
      </c>
      <c r="AT189">
        <v>4.9999999999999836E-3</v>
      </c>
      <c r="AU189">
        <v>0.29227555491350982</v>
      </c>
      <c r="AV189">
        <v>2.061552812808835E-2</v>
      </c>
      <c r="AW189">
        <v>6.2449979983983737E-2</v>
      </c>
      <c r="AX189">
        <v>0.21556128285632961</v>
      </c>
      <c r="AY189">
        <v>0.39770173078158311</v>
      </c>
      <c r="BA189">
        <v>51.951098801340748</v>
      </c>
      <c r="BE189">
        <v>0.99159199734645076</v>
      </c>
      <c r="BF189">
        <v>3750</v>
      </c>
      <c r="BG189">
        <v>93956.454543412197</v>
      </c>
      <c r="BH189">
        <v>261.21715821620882</v>
      </c>
      <c r="BI189">
        <v>172.9371803631193</v>
      </c>
      <c r="BJ189">
        <v>4.2656583312638272</v>
      </c>
      <c r="BK189">
        <v>261.21715821620882</v>
      </c>
    </row>
    <row r="190" spans="1:63" x14ac:dyDescent="0.2">
      <c r="A190">
        <v>188</v>
      </c>
      <c r="B190" t="s">
        <v>69</v>
      </c>
      <c r="C190" t="s">
        <v>81</v>
      </c>
      <c r="D190" t="s">
        <v>71</v>
      </c>
      <c r="E190">
        <v>-155.29106999999999</v>
      </c>
      <c r="F190">
        <v>19.383150000000001</v>
      </c>
      <c r="G190" t="s">
        <v>87</v>
      </c>
      <c r="H190" t="s">
        <v>497</v>
      </c>
      <c r="I190" t="s">
        <v>498</v>
      </c>
      <c r="J190" t="s">
        <v>68</v>
      </c>
      <c r="K190">
        <v>8.2741589937499995</v>
      </c>
      <c r="L190">
        <v>7.0701356609374999</v>
      </c>
      <c r="M190">
        <v>183.781368738894</v>
      </c>
      <c r="N190">
        <v>1879.9969826475749</v>
      </c>
      <c r="O190" t="s">
        <v>499</v>
      </c>
      <c r="Q190">
        <v>12.039</v>
      </c>
      <c r="R190">
        <v>1325.0039999999999</v>
      </c>
      <c r="S190">
        <v>50</v>
      </c>
      <c r="T190">
        <v>103.0024423465261</v>
      </c>
      <c r="U190">
        <v>7.4881337322439019E-3</v>
      </c>
      <c r="V190">
        <v>9.9926559681478011E-2</v>
      </c>
      <c r="W190">
        <v>4.8250022573934877E-3</v>
      </c>
      <c r="X190">
        <v>0</v>
      </c>
      <c r="Y190">
        <v>9.7839833659191688E-2</v>
      </c>
      <c r="Z190">
        <v>0.33521857061190208</v>
      </c>
      <c r="AA190">
        <v>2.6961629431945619E-2</v>
      </c>
      <c r="AB190">
        <v>1.4447279287049619</v>
      </c>
      <c r="AC190">
        <v>0.11196383016862591</v>
      </c>
      <c r="AD190">
        <v>1226.8773425485031</v>
      </c>
      <c r="AE190">
        <v>50</v>
      </c>
      <c r="AF190">
        <v>84.726791885534738</v>
      </c>
      <c r="AG190">
        <v>2.2102200000000001</v>
      </c>
      <c r="AH190">
        <v>12.516225</v>
      </c>
      <c r="AI190">
        <v>0.22873499999999999</v>
      </c>
      <c r="AJ190">
        <v>10.535360000000001</v>
      </c>
      <c r="AK190">
        <v>0.37534499999999998</v>
      </c>
      <c r="AL190">
        <v>2.4377900000000001</v>
      </c>
      <c r="AM190">
        <v>50.224780000000003</v>
      </c>
      <c r="AN190">
        <v>8.9844449999999991</v>
      </c>
      <c r="AP190">
        <v>0.178455</v>
      </c>
      <c r="AQ190">
        <v>99.610560000000007</v>
      </c>
      <c r="AR190">
        <v>1.7587090435884831E-2</v>
      </c>
      <c r="AS190">
        <v>0.12699126938494701</v>
      </c>
      <c r="AT190">
        <v>8.073250584491971E-3</v>
      </c>
      <c r="AU190">
        <v>6.9056800896073786E-2</v>
      </c>
      <c r="AV190">
        <v>2.248073063759274E-2</v>
      </c>
      <c r="AW190">
        <v>2.1205111412109991E-2</v>
      </c>
      <c r="AX190">
        <v>0.5052093298821787</v>
      </c>
      <c r="AY190">
        <v>0.13192220766421431</v>
      </c>
      <c r="BA190">
        <v>1.2962040734390541E-2</v>
      </c>
      <c r="BB190">
        <v>5</v>
      </c>
      <c r="BC190" t="s">
        <v>86</v>
      </c>
    </row>
    <row r="191" spans="1:63" x14ac:dyDescent="0.2">
      <c r="A191">
        <v>189</v>
      </c>
      <c r="B191" t="s">
        <v>69</v>
      </c>
      <c r="C191" t="s">
        <v>70</v>
      </c>
      <c r="D191" t="s">
        <v>71</v>
      </c>
      <c r="E191">
        <v>-155.29347999999999</v>
      </c>
      <c r="F191">
        <v>19.377479999999998</v>
      </c>
      <c r="G191" t="s">
        <v>112</v>
      </c>
      <c r="H191" t="s">
        <v>500</v>
      </c>
      <c r="I191" t="s">
        <v>501</v>
      </c>
      <c r="J191" t="s">
        <v>68</v>
      </c>
      <c r="K191">
        <v>9.5464091531250013</v>
      </c>
      <c r="L191">
        <v>8.3477323859374994</v>
      </c>
      <c r="M191">
        <v>250.35624815918729</v>
      </c>
      <c r="N191">
        <v>2986.6067598327681</v>
      </c>
      <c r="Q191">
        <v>12.135999999999999</v>
      </c>
      <c r="R191">
        <v>1324.9639999999999</v>
      </c>
      <c r="S191">
        <v>50</v>
      </c>
      <c r="T191">
        <v>103.00260011622289</v>
      </c>
      <c r="U191">
        <v>2.2921436702900179E-3</v>
      </c>
      <c r="V191">
        <v>9.9989074368728836E-2</v>
      </c>
      <c r="W191">
        <v>3.9117987105172104E-3</v>
      </c>
      <c r="X191">
        <v>0</v>
      </c>
      <c r="Y191">
        <v>9.5771591490309893E-2</v>
      </c>
      <c r="Z191">
        <v>0.34266474251067031</v>
      </c>
      <c r="AA191">
        <v>2.6350061349856971E-2</v>
      </c>
      <c r="AB191">
        <v>1.4756600018255499</v>
      </c>
      <c r="AC191">
        <v>0.109257084908188</v>
      </c>
      <c r="AD191">
        <v>1261.175223905647</v>
      </c>
      <c r="AE191">
        <v>50</v>
      </c>
      <c r="AF191">
        <v>86.560341586133489</v>
      </c>
      <c r="AG191">
        <v>2.1280100000000002</v>
      </c>
      <c r="AH191">
        <v>12.511455</v>
      </c>
      <c r="AI191">
        <v>0.21128</v>
      </c>
      <c r="AJ191">
        <v>10.547185000000001</v>
      </c>
      <c r="AK191">
        <v>0.43435000000000001</v>
      </c>
      <c r="AL191">
        <v>2.4173399999999998</v>
      </c>
      <c r="AM191">
        <v>50.003889999999998</v>
      </c>
      <c r="AN191">
        <v>8.5805450000000008</v>
      </c>
      <c r="AO191">
        <v>11.0444</v>
      </c>
      <c r="AP191">
        <v>0.37786999999999998</v>
      </c>
      <c r="AQ191">
        <v>98.290260000000004</v>
      </c>
      <c r="AR191">
        <v>4.7093422517846893E-2</v>
      </c>
      <c r="AS191">
        <v>0.17423154844121161</v>
      </c>
      <c r="AT191">
        <v>2.1925114974993089E-2</v>
      </c>
      <c r="AU191">
        <v>0.1853741817244248</v>
      </c>
      <c r="AV191">
        <v>1.0520403456564249E-2</v>
      </c>
      <c r="AW191">
        <v>3.5166562401109248E-2</v>
      </c>
      <c r="AX191">
        <v>0.46106226248619608</v>
      </c>
      <c r="AY191">
        <v>0.4051107053427907</v>
      </c>
      <c r="AZ191">
        <v>0.14841023100402101</v>
      </c>
      <c r="BA191">
        <v>1.7068639208924791E-2</v>
      </c>
    </row>
    <row r="192" spans="1:63" x14ac:dyDescent="0.2">
      <c r="A192">
        <v>190</v>
      </c>
      <c r="B192" t="s">
        <v>62</v>
      </c>
      <c r="C192" t="s">
        <v>63</v>
      </c>
      <c r="D192" t="s">
        <v>64</v>
      </c>
      <c r="E192">
        <v>-155.26785000000001</v>
      </c>
      <c r="F192">
        <v>19.407830000000001</v>
      </c>
      <c r="G192" t="s">
        <v>65</v>
      </c>
      <c r="H192" t="s">
        <v>380</v>
      </c>
      <c r="I192" t="s">
        <v>502</v>
      </c>
      <c r="J192" t="s">
        <v>68</v>
      </c>
      <c r="K192">
        <v>9.3407988359375</v>
      </c>
      <c r="L192">
        <v>7.7221260929687503</v>
      </c>
      <c r="M192">
        <v>226.60567437895119</v>
      </c>
      <c r="N192">
        <v>2577.7037402614792</v>
      </c>
      <c r="Q192">
        <v>11.85</v>
      </c>
      <c r="R192">
        <v>1325.0039999999999</v>
      </c>
      <c r="S192">
        <v>50</v>
      </c>
      <c r="T192">
        <v>103.0029736</v>
      </c>
      <c r="U192">
        <v>8.3308753989999994E-3</v>
      </c>
      <c r="V192">
        <v>0.1001370685</v>
      </c>
      <c r="W192">
        <v>5.0373376720000002E-3</v>
      </c>
      <c r="X192">
        <v>1.69999243276277</v>
      </c>
      <c r="Y192">
        <v>9.3851692537806231E-2</v>
      </c>
      <c r="Z192">
        <v>0.34979925318860372</v>
      </c>
      <c r="AA192">
        <v>2.8339549072272659E-2</v>
      </c>
      <c r="AB192">
        <v>1.5052526220945239</v>
      </c>
      <c r="AC192">
        <v>0.11725463146068819</v>
      </c>
      <c r="AD192">
        <v>1292.6555928325249</v>
      </c>
      <c r="AE192">
        <v>50</v>
      </c>
      <c r="AF192">
        <v>87.970453750000004</v>
      </c>
      <c r="BE192">
        <v>0.26571903315978301</v>
      </c>
      <c r="BF192">
        <v>7862</v>
      </c>
      <c r="BG192">
        <v>502904.59589343407</v>
      </c>
      <c r="BH192">
        <v>315.38209278756528</v>
      </c>
      <c r="BI192">
        <v>400.09936850755503</v>
      </c>
      <c r="BJ192">
        <v>3.556890626646291</v>
      </c>
      <c r="BK192">
        <v>315.38209278756523</v>
      </c>
    </row>
    <row r="193" spans="1:63" x14ac:dyDescent="0.2">
      <c r="A193">
        <v>191</v>
      </c>
      <c r="B193" t="s">
        <v>69</v>
      </c>
      <c r="C193" t="s">
        <v>81</v>
      </c>
      <c r="D193" t="s">
        <v>71</v>
      </c>
      <c r="E193">
        <v>-155.29106999999999</v>
      </c>
      <c r="F193">
        <v>19.383150000000001</v>
      </c>
      <c r="G193" t="s">
        <v>87</v>
      </c>
      <c r="H193" t="s">
        <v>440</v>
      </c>
      <c r="I193" t="s">
        <v>503</v>
      </c>
      <c r="J193" t="s">
        <v>68</v>
      </c>
      <c r="K193">
        <v>18.749069005468751</v>
      </c>
      <c r="L193">
        <v>18.576700378906249</v>
      </c>
      <c r="M193">
        <v>1094.2036437313991</v>
      </c>
      <c r="N193">
        <v>27227.995243640671</v>
      </c>
      <c r="Q193">
        <v>12.02</v>
      </c>
      <c r="R193">
        <v>1325.0039999999999</v>
      </c>
      <c r="S193">
        <v>50</v>
      </c>
      <c r="T193">
        <v>103.0034346248987</v>
      </c>
      <c r="U193">
        <v>2.057291825605467E-3</v>
      </c>
      <c r="V193">
        <v>0.1003197402057978</v>
      </c>
      <c r="W193">
        <v>3.891453554884159E-3</v>
      </c>
      <c r="X193">
        <v>0</v>
      </c>
      <c r="Y193">
        <v>9.7623053503585355E-2</v>
      </c>
      <c r="Z193">
        <v>0.33599446670186872</v>
      </c>
      <c r="AA193">
        <v>2.702108169510388E-2</v>
      </c>
      <c r="AB193">
        <v>1.4479533043515851</v>
      </c>
      <c r="AC193">
        <v>0.1121497739959651</v>
      </c>
      <c r="AD193">
        <v>1224.478651972528</v>
      </c>
      <c r="AE193">
        <v>50</v>
      </c>
      <c r="AF193">
        <v>84.582707452391858</v>
      </c>
      <c r="AG193">
        <v>2.2102200000000001</v>
      </c>
      <c r="AH193">
        <v>12.516225</v>
      </c>
      <c r="AI193">
        <v>0.22873499999999999</v>
      </c>
      <c r="AJ193">
        <v>10.535360000000001</v>
      </c>
      <c r="AK193">
        <v>0.37534499999999998</v>
      </c>
      <c r="AL193">
        <v>2.4377900000000001</v>
      </c>
      <c r="AM193">
        <v>50.224780000000003</v>
      </c>
      <c r="AN193">
        <v>8.9844449999999991</v>
      </c>
      <c r="AP193">
        <v>0.178455</v>
      </c>
      <c r="AQ193">
        <v>99.610560000000007</v>
      </c>
      <c r="AR193">
        <v>1.7587090435884831E-2</v>
      </c>
      <c r="AS193">
        <v>0.12699126938494701</v>
      </c>
      <c r="AT193">
        <v>8.073250584491971E-3</v>
      </c>
      <c r="AU193">
        <v>6.9056800896073786E-2</v>
      </c>
      <c r="AV193">
        <v>2.248073063759274E-2</v>
      </c>
      <c r="AW193">
        <v>2.1205111412109991E-2</v>
      </c>
      <c r="AX193">
        <v>0.5052093298821787</v>
      </c>
      <c r="AY193">
        <v>0.13192220766421431</v>
      </c>
      <c r="BA193">
        <v>1.2962040734390541E-2</v>
      </c>
      <c r="BB193">
        <v>5</v>
      </c>
      <c r="BC193" t="s">
        <v>86</v>
      </c>
    </row>
    <row r="194" spans="1:63" x14ac:dyDescent="0.2">
      <c r="A194">
        <v>192</v>
      </c>
      <c r="B194" t="s">
        <v>69</v>
      </c>
      <c r="C194" t="s">
        <v>81</v>
      </c>
      <c r="D194" t="s">
        <v>71</v>
      </c>
      <c r="E194">
        <v>-155.29106999999999</v>
      </c>
      <c r="F194">
        <v>19.383150000000001</v>
      </c>
      <c r="G194" t="s">
        <v>87</v>
      </c>
      <c r="H194" t="s">
        <v>504</v>
      </c>
      <c r="I194" t="s">
        <v>505</v>
      </c>
      <c r="J194" t="s">
        <v>68</v>
      </c>
      <c r="K194">
        <v>9.271700286718751</v>
      </c>
      <c r="L194">
        <v>8.6265674062499986</v>
      </c>
      <c r="M194">
        <v>251.2738402593784</v>
      </c>
      <c r="N194">
        <v>2998.244304801749</v>
      </c>
      <c r="O194" t="s">
        <v>506</v>
      </c>
      <c r="Q194">
        <v>12.061</v>
      </c>
      <c r="R194">
        <v>1325.0039999999999</v>
      </c>
      <c r="S194">
        <v>50</v>
      </c>
      <c r="T194">
        <v>103.00351651253629</v>
      </c>
      <c r="U194">
        <v>5.523994758930624E-3</v>
      </c>
      <c r="V194">
        <v>0.1003521873750302</v>
      </c>
      <c r="W194">
        <v>4.38976320482926E-3</v>
      </c>
      <c r="X194">
        <v>0</v>
      </c>
      <c r="Y194">
        <v>9.6305077123719496E-2</v>
      </c>
      <c r="Z194">
        <v>0.3407275335723331</v>
      </c>
      <c r="AA194">
        <v>2.717498529270607E-2</v>
      </c>
      <c r="AB194">
        <v>1.46761726126555</v>
      </c>
      <c r="AC194">
        <v>0.1127216478207274</v>
      </c>
      <c r="AD194">
        <v>1246.2948134678229</v>
      </c>
      <c r="AE194">
        <v>50</v>
      </c>
      <c r="AF194">
        <v>85.811216319152038</v>
      </c>
      <c r="AG194">
        <v>2.2102200000000001</v>
      </c>
      <c r="AH194">
        <v>12.516225</v>
      </c>
      <c r="AI194">
        <v>0.22873499999999999</v>
      </c>
      <c r="AJ194">
        <v>10.535360000000001</v>
      </c>
      <c r="AK194">
        <v>0.37534499999999998</v>
      </c>
      <c r="AL194">
        <v>2.4377900000000001</v>
      </c>
      <c r="AM194">
        <v>50.224780000000003</v>
      </c>
      <c r="AN194">
        <v>8.9844449999999991</v>
      </c>
      <c r="AP194">
        <v>0.178455</v>
      </c>
      <c r="AQ194">
        <v>99.610560000000007</v>
      </c>
      <c r="AR194">
        <v>1.7587090435884831E-2</v>
      </c>
      <c r="AS194">
        <v>0.12699126938494701</v>
      </c>
      <c r="AT194">
        <v>8.073250584491971E-3</v>
      </c>
      <c r="AU194">
        <v>6.9056800896073786E-2</v>
      </c>
      <c r="AV194">
        <v>2.248073063759274E-2</v>
      </c>
      <c r="AW194">
        <v>2.1205111412109991E-2</v>
      </c>
      <c r="AX194">
        <v>0.5052093298821787</v>
      </c>
      <c r="AY194">
        <v>0.13192220766421431</v>
      </c>
      <c r="BA194">
        <v>1.2962040734390541E-2</v>
      </c>
      <c r="BB194">
        <v>5</v>
      </c>
      <c r="BC194" t="s">
        <v>86</v>
      </c>
    </row>
    <row r="195" spans="1:63" x14ac:dyDescent="0.2">
      <c r="A195">
        <v>193</v>
      </c>
      <c r="B195" t="s">
        <v>69</v>
      </c>
      <c r="C195" t="s">
        <v>81</v>
      </c>
      <c r="D195" t="s">
        <v>71</v>
      </c>
      <c r="E195">
        <v>-155.29106999999999</v>
      </c>
      <c r="F195">
        <v>19.383150000000001</v>
      </c>
      <c r="G195" t="s">
        <v>82</v>
      </c>
      <c r="H195" t="s">
        <v>451</v>
      </c>
      <c r="I195" t="s">
        <v>507</v>
      </c>
      <c r="J195" t="s">
        <v>68</v>
      </c>
      <c r="K195">
        <v>4.8833903203125004</v>
      </c>
      <c r="L195">
        <v>4.5199982023437508</v>
      </c>
      <c r="M195">
        <v>69.344109081207037</v>
      </c>
      <c r="N195">
        <v>434.71306629869679</v>
      </c>
      <c r="Q195">
        <v>10.057</v>
      </c>
      <c r="R195">
        <v>1324.9639999999999</v>
      </c>
      <c r="S195">
        <v>50</v>
      </c>
      <c r="T195">
        <v>103.0036247812387</v>
      </c>
      <c r="U195">
        <v>6.6008442575027264E-3</v>
      </c>
      <c r="V195">
        <v>0.1003950877811306</v>
      </c>
      <c r="W195">
        <v>4.6173809348289086E-3</v>
      </c>
      <c r="X195">
        <v>0</v>
      </c>
      <c r="Y195">
        <v>9.8407300577129875E-2</v>
      </c>
      <c r="Z195">
        <v>0.33322439173798402</v>
      </c>
      <c r="AA195">
        <v>2.814068032354846E-2</v>
      </c>
      <c r="AB195">
        <v>1.4364358029246751</v>
      </c>
      <c r="AC195">
        <v>0.1169403350757017</v>
      </c>
      <c r="AD195">
        <v>1210.2842106018561</v>
      </c>
      <c r="AE195">
        <v>50</v>
      </c>
      <c r="AF195">
        <v>83.673950008766738</v>
      </c>
      <c r="AG195">
        <v>2.2102200000000001</v>
      </c>
      <c r="AH195">
        <v>12.516225</v>
      </c>
      <c r="AI195">
        <v>0.22873499999999999</v>
      </c>
      <c r="AJ195">
        <v>10.535360000000001</v>
      </c>
      <c r="AK195">
        <v>0.37534499999999998</v>
      </c>
      <c r="AL195">
        <v>2.4377900000000001</v>
      </c>
      <c r="AM195">
        <v>50.224780000000003</v>
      </c>
      <c r="AN195">
        <v>8.9844449999999991</v>
      </c>
      <c r="AP195">
        <v>0.178455</v>
      </c>
      <c r="AQ195">
        <v>99.610560000000007</v>
      </c>
      <c r="AR195">
        <v>1.7587090435884831E-2</v>
      </c>
      <c r="AS195">
        <v>0.12699126938494701</v>
      </c>
      <c r="AT195">
        <v>8.073250584491971E-3</v>
      </c>
      <c r="AU195">
        <v>6.9056800896073786E-2</v>
      </c>
      <c r="AV195">
        <v>2.248073063759274E-2</v>
      </c>
      <c r="AW195">
        <v>2.1205111412109991E-2</v>
      </c>
      <c r="AX195">
        <v>0.5052093298821787</v>
      </c>
      <c r="AY195">
        <v>0.13192220766421431</v>
      </c>
      <c r="BA195">
        <v>1.2962040734390541E-2</v>
      </c>
      <c r="BB195">
        <v>5</v>
      </c>
      <c r="BC195" t="s">
        <v>86</v>
      </c>
      <c r="BE195">
        <v>7.7615382653226345E-2</v>
      </c>
      <c r="BF195">
        <v>15270</v>
      </c>
      <c r="BG195">
        <v>137744.6967805654</v>
      </c>
      <c r="BH195">
        <v>7.7352798242562777</v>
      </c>
      <c r="BI195">
        <v>209.39316787957179</v>
      </c>
      <c r="BJ195">
        <v>6.2597431043543844E-2</v>
      </c>
      <c r="BK195">
        <v>7.7352798242562786</v>
      </c>
    </row>
    <row r="196" spans="1:63" x14ac:dyDescent="0.2">
      <c r="A196">
        <v>194</v>
      </c>
      <c r="B196" t="s">
        <v>69</v>
      </c>
      <c r="C196" t="s">
        <v>177</v>
      </c>
      <c r="D196" t="s">
        <v>144</v>
      </c>
      <c r="E196">
        <v>-155.2086333</v>
      </c>
      <c r="F196">
        <v>19.347316670000001</v>
      </c>
      <c r="G196" t="s">
        <v>178</v>
      </c>
      <c r="H196" t="s">
        <v>508</v>
      </c>
      <c r="I196" t="s">
        <v>509</v>
      </c>
      <c r="J196" t="s">
        <v>68</v>
      </c>
      <c r="K196">
        <v>11.416079906249999</v>
      </c>
      <c r="L196">
        <v>10.2421600625</v>
      </c>
      <c r="M196">
        <v>367.33171906131241</v>
      </c>
      <c r="N196">
        <v>5303.8390130422413</v>
      </c>
      <c r="O196" t="s">
        <v>510</v>
      </c>
      <c r="Q196">
        <v>9.9589999999999996</v>
      </c>
      <c r="R196">
        <v>1324.9639999999999</v>
      </c>
      <c r="S196">
        <v>50</v>
      </c>
      <c r="T196">
        <v>103.00369589142019</v>
      </c>
      <c r="U196">
        <v>8.9486967416493972E-3</v>
      </c>
      <c r="V196">
        <v>0.1004232644896277</v>
      </c>
      <c r="W196">
        <v>5.2011860339898318E-3</v>
      </c>
      <c r="X196">
        <v>0</v>
      </c>
      <c r="Y196">
        <v>9.3742765455001376E-2</v>
      </c>
      <c r="Z196">
        <v>0.35021541867060518</v>
      </c>
      <c r="AA196">
        <v>2.9700966095769658E-2</v>
      </c>
      <c r="AB196">
        <v>1.5069774493613399</v>
      </c>
      <c r="AC196">
        <v>0.1229152760064932</v>
      </c>
      <c r="AD196">
        <v>1289.997421040167</v>
      </c>
      <c r="AE196">
        <v>50</v>
      </c>
      <c r="AF196">
        <v>87.859065079872295</v>
      </c>
      <c r="AG196">
        <v>2.1216818181818198</v>
      </c>
      <c r="AH196">
        <v>12.5470545454545</v>
      </c>
      <c r="AI196">
        <v>0.27337272727272699</v>
      </c>
      <c r="AJ196">
        <v>10.3521727272727</v>
      </c>
      <c r="AK196">
        <v>0.49205454545454502</v>
      </c>
      <c r="AL196">
        <v>2.5642454545454498</v>
      </c>
      <c r="AM196">
        <v>49.0749</v>
      </c>
      <c r="AN196">
        <v>9.1371454545454505</v>
      </c>
      <c r="AP196">
        <v>0.18198181818181799</v>
      </c>
      <c r="AQ196">
        <v>98.157727272727257</v>
      </c>
      <c r="AR196">
        <v>0.12055145638424999</v>
      </c>
      <c r="AS196">
        <v>0.28907753411026699</v>
      </c>
      <c r="AT196">
        <v>2.8655229571898099E-2</v>
      </c>
      <c r="AU196">
        <v>0.23406218443357801</v>
      </c>
      <c r="AV196">
        <v>5.2241982420968003E-2</v>
      </c>
      <c r="AW196">
        <v>6.6675218239408293E-2</v>
      </c>
      <c r="AX196">
        <v>0.92934608408278196</v>
      </c>
      <c r="AY196">
        <v>0.68994549402635696</v>
      </c>
      <c r="BA196">
        <v>4.8246177427477499E-2</v>
      </c>
      <c r="BE196">
        <v>0.20805434958052399</v>
      </c>
      <c r="BF196">
        <v>1838</v>
      </c>
      <c r="BG196">
        <v>251843.92187378879</v>
      </c>
      <c r="BH196">
        <v>82.715476598938906</v>
      </c>
      <c r="BI196">
        <v>283.13320205819241</v>
      </c>
      <c r="BJ196">
        <v>1.929363343236016</v>
      </c>
      <c r="BK196">
        <v>82.715476598938906</v>
      </c>
    </row>
    <row r="197" spans="1:63" x14ac:dyDescent="0.2">
      <c r="A197">
        <v>195</v>
      </c>
      <c r="B197" t="s">
        <v>62</v>
      </c>
      <c r="C197" t="s">
        <v>63</v>
      </c>
      <c r="D197" t="s">
        <v>64</v>
      </c>
      <c r="E197">
        <v>-155.26785000000001</v>
      </c>
      <c r="F197">
        <v>19.407830000000001</v>
      </c>
      <c r="G197" t="s">
        <v>65</v>
      </c>
      <c r="H197" t="s">
        <v>511</v>
      </c>
      <c r="I197" t="s">
        <v>512</v>
      </c>
      <c r="J197" t="s">
        <v>68</v>
      </c>
      <c r="K197">
        <v>7.1575403859374997</v>
      </c>
      <c r="L197">
        <v>6.3550906234375004</v>
      </c>
      <c r="M197">
        <v>142.90105261538361</v>
      </c>
      <c r="N197">
        <v>1287.312796561974</v>
      </c>
      <c r="Q197">
        <v>12.028</v>
      </c>
      <c r="R197">
        <v>1325.0039999999999</v>
      </c>
      <c r="S197">
        <v>50</v>
      </c>
      <c r="T197">
        <v>103.00447459999999</v>
      </c>
      <c r="U197">
        <v>3.5521207740000001E-3</v>
      </c>
      <c r="V197">
        <v>0.10073183619999999</v>
      </c>
      <c r="W197">
        <v>4.0573394719999999E-3</v>
      </c>
      <c r="X197">
        <v>0</v>
      </c>
      <c r="Y197">
        <v>9.8759833791703056E-2</v>
      </c>
      <c r="Z197">
        <v>0.33199479846547669</v>
      </c>
      <c r="AA197">
        <v>2.6187812245913131E-2</v>
      </c>
      <c r="AB197">
        <v>1.431321236724566</v>
      </c>
      <c r="AC197">
        <v>0.1088374618980304</v>
      </c>
      <c r="AD197">
        <v>1199.4232821437311</v>
      </c>
      <c r="AE197">
        <v>50</v>
      </c>
      <c r="AF197">
        <v>82.900657670000001</v>
      </c>
      <c r="BE197">
        <v>0.56172113113426181</v>
      </c>
      <c r="BF197">
        <v>10593</v>
      </c>
      <c r="BG197">
        <v>677907.80968383979</v>
      </c>
      <c r="BH197">
        <v>1771.778723727552</v>
      </c>
      <c r="BI197">
        <v>464.52638002977392</v>
      </c>
      <c r="BJ197">
        <v>17.214721300633229</v>
      </c>
      <c r="BK197">
        <v>1771.7787237275511</v>
      </c>
    </row>
    <row r="198" spans="1:63" x14ac:dyDescent="0.2">
      <c r="A198">
        <v>196</v>
      </c>
      <c r="B198" t="s">
        <v>69</v>
      </c>
      <c r="C198" t="s">
        <v>91</v>
      </c>
      <c r="D198" t="s">
        <v>92</v>
      </c>
      <c r="E198">
        <v>-155.28360000000001</v>
      </c>
      <c r="F198">
        <v>19.4285</v>
      </c>
      <c r="G198" t="s">
        <v>134</v>
      </c>
      <c r="H198" t="s">
        <v>513</v>
      </c>
      <c r="I198" t="s">
        <v>514</v>
      </c>
      <c r="J198" t="s">
        <v>68</v>
      </c>
      <c r="K198">
        <v>18.183611575781249</v>
      </c>
      <c r="L198">
        <v>13.497869839062499</v>
      </c>
      <c r="M198">
        <v>771.07257080997329</v>
      </c>
      <c r="N198">
        <v>16285.81421440797</v>
      </c>
      <c r="O198" t="s">
        <v>515</v>
      </c>
      <c r="Q198">
        <v>12.013999999999999</v>
      </c>
      <c r="R198">
        <v>1325.0039999999999</v>
      </c>
      <c r="S198">
        <v>50</v>
      </c>
      <c r="T198">
        <v>103.0051965849148</v>
      </c>
      <c r="U198">
        <v>6.1153660363072616E-3</v>
      </c>
      <c r="V198">
        <v>0.1010178994945647</v>
      </c>
      <c r="W198">
        <v>4.5115542758742732E-3</v>
      </c>
      <c r="X198">
        <v>0</v>
      </c>
      <c r="Y198">
        <v>9.7534250593162453E-2</v>
      </c>
      <c r="Z198">
        <v>0.33632202575515557</v>
      </c>
      <c r="AA198">
        <v>3.2634767300102223E-2</v>
      </c>
      <c r="AB198">
        <v>1.449314800932175</v>
      </c>
      <c r="AC198">
        <v>0.13548537148168921</v>
      </c>
      <c r="AD198">
        <v>1215.3527753610961</v>
      </c>
      <c r="AE198">
        <v>100</v>
      </c>
      <c r="AG198">
        <v>2.5157387096774189</v>
      </c>
      <c r="AH198">
        <v>13.241580645161291</v>
      </c>
      <c r="AJ198">
        <v>11.11674838709677</v>
      </c>
      <c r="AK198">
        <v>0.71593870967741935</v>
      </c>
      <c r="AL198">
        <v>3.0286258064516129</v>
      </c>
      <c r="AM198">
        <v>48.480519354838712</v>
      </c>
      <c r="AN198">
        <v>6.4584548387096774</v>
      </c>
      <c r="AP198">
        <v>1.553225806451613E-2</v>
      </c>
      <c r="AQ198">
        <v>96.565938709677425</v>
      </c>
      <c r="AR198">
        <v>0.13894562408227509</v>
      </c>
      <c r="AS198">
        <v>0.1729350637654776</v>
      </c>
      <c r="AU198">
        <v>0.21495337769071041</v>
      </c>
      <c r="AV198">
        <v>7.7865408140882678E-2</v>
      </c>
      <c r="AW198">
        <v>0.14998665711265111</v>
      </c>
      <c r="AX198">
        <v>0.66558597962965682</v>
      </c>
      <c r="AY198">
        <v>0.26837320636097978</v>
      </c>
      <c r="BA198">
        <v>5.6058533157628621E-3</v>
      </c>
      <c r="BB198">
        <v>31</v>
      </c>
      <c r="BC198" t="s">
        <v>86</v>
      </c>
    </row>
    <row r="199" spans="1:63" x14ac:dyDescent="0.2">
      <c r="A199">
        <v>197</v>
      </c>
      <c r="B199" t="s">
        <v>62</v>
      </c>
      <c r="C199" t="s">
        <v>63</v>
      </c>
      <c r="D199" t="s">
        <v>64</v>
      </c>
      <c r="E199">
        <v>-155.26785000000001</v>
      </c>
      <c r="F199">
        <v>19.407830000000001</v>
      </c>
      <c r="G199" t="s">
        <v>65</v>
      </c>
      <c r="H199" t="s">
        <v>189</v>
      </c>
      <c r="I199" t="s">
        <v>516</v>
      </c>
      <c r="J199" t="s">
        <v>68</v>
      </c>
      <c r="K199">
        <v>4.9731196390625003</v>
      </c>
      <c r="L199">
        <v>4.5741612367187514</v>
      </c>
      <c r="M199">
        <v>71.464481833372673</v>
      </c>
      <c r="N199">
        <v>454.86098713691689</v>
      </c>
      <c r="Q199">
        <v>12.028</v>
      </c>
      <c r="R199">
        <v>1325.0039999999999</v>
      </c>
      <c r="S199">
        <v>50</v>
      </c>
      <c r="T199">
        <v>103.0053717</v>
      </c>
      <c r="U199">
        <v>3.0509961059999998E-3</v>
      </c>
      <c r="V199">
        <v>0.1010872911</v>
      </c>
      <c r="W199">
        <v>3.9930336799999999E-3</v>
      </c>
      <c r="X199">
        <v>0</v>
      </c>
      <c r="Y199">
        <v>9.6106279478313184E-2</v>
      </c>
      <c r="Z199">
        <v>0.34146209689626539</v>
      </c>
      <c r="AA199">
        <v>2.6501751306872729E-2</v>
      </c>
      <c r="AB199">
        <v>1.4706673397616929</v>
      </c>
      <c r="AC199">
        <v>0.1099120139632753</v>
      </c>
      <c r="AD199">
        <v>1238.3320176251971</v>
      </c>
      <c r="AE199">
        <v>50</v>
      </c>
      <c r="BE199">
        <v>0.23704505799347089</v>
      </c>
      <c r="BF199">
        <v>2857</v>
      </c>
      <c r="BG199">
        <v>182717.670624247</v>
      </c>
      <c r="BH199">
        <v>445.10160057316091</v>
      </c>
      <c r="BI199">
        <v>241.1655882172484</v>
      </c>
      <c r="BJ199">
        <v>8.3272966432657807</v>
      </c>
      <c r="BK199">
        <v>445.10160057316062</v>
      </c>
    </row>
    <row r="200" spans="1:63" x14ac:dyDescent="0.2">
      <c r="A200">
        <v>198</v>
      </c>
      <c r="B200" t="s">
        <v>69</v>
      </c>
      <c r="C200" t="s">
        <v>143</v>
      </c>
      <c r="D200" t="s">
        <v>144</v>
      </c>
      <c r="E200">
        <v>-155.22516669999999</v>
      </c>
      <c r="F200">
        <v>19.371883329999999</v>
      </c>
      <c r="G200" t="s">
        <v>145</v>
      </c>
      <c r="H200" t="s">
        <v>273</v>
      </c>
      <c r="I200" t="s">
        <v>517</v>
      </c>
      <c r="J200" t="s">
        <v>68</v>
      </c>
      <c r="K200">
        <v>6.9412369374999994</v>
      </c>
      <c r="L200">
        <v>6.4912537023437507</v>
      </c>
      <c r="M200">
        <v>141.5517768222133</v>
      </c>
      <c r="N200">
        <v>1267.5952781450881</v>
      </c>
      <c r="Q200">
        <v>10.058999999999999</v>
      </c>
      <c r="R200">
        <v>1324.9639999999999</v>
      </c>
      <c r="S200">
        <v>100</v>
      </c>
      <c r="T200">
        <v>103.0056250777383</v>
      </c>
      <c r="U200">
        <v>3.120770995059631E-2</v>
      </c>
      <c r="V200">
        <v>0.10118768555223311</v>
      </c>
      <c r="W200">
        <v>1.2938124033860189E-2</v>
      </c>
      <c r="X200">
        <v>0</v>
      </c>
      <c r="Y200">
        <v>9.5955445689281271E-2</v>
      </c>
      <c r="Z200">
        <v>0.34201327189903108</v>
      </c>
      <c r="AA200">
        <v>5.1829062191201133E-2</v>
      </c>
      <c r="AB200">
        <v>1.4729556418591849</v>
      </c>
      <c r="AC200">
        <v>0.21474834198530621</v>
      </c>
      <c r="AD200">
        <v>1239.361203480009</v>
      </c>
      <c r="AE200">
        <v>50</v>
      </c>
      <c r="AF200">
        <v>85.439421931851385</v>
      </c>
      <c r="AG200">
        <v>2.1961249999999999</v>
      </c>
      <c r="AH200">
        <v>13.214425</v>
      </c>
      <c r="AI200">
        <v>0.23326250000000001</v>
      </c>
      <c r="AJ200">
        <v>10.8680875</v>
      </c>
      <c r="AK200">
        <v>0.46184999999999998</v>
      </c>
      <c r="AL200">
        <v>2.5506250000000001</v>
      </c>
      <c r="AM200">
        <v>49.975887499999999</v>
      </c>
      <c r="AN200">
        <v>7.4385374999999998</v>
      </c>
      <c r="AP200">
        <v>0.2354</v>
      </c>
      <c r="AQ200">
        <v>98.48666249999998</v>
      </c>
      <c r="AR200">
        <v>5.6378814410075299E-2</v>
      </c>
      <c r="AS200">
        <v>0.24941022862516499</v>
      </c>
      <c r="AT200">
        <v>1.4003870638403601E-2</v>
      </c>
      <c r="AU200">
        <v>0.27584699401505702</v>
      </c>
      <c r="AV200">
        <v>3.1668731762237799E-2</v>
      </c>
      <c r="AW200">
        <v>4.2427543277585897E-2</v>
      </c>
      <c r="AX200">
        <v>0.67605985245919198</v>
      </c>
      <c r="AY200">
        <v>0.10614118545597701</v>
      </c>
      <c r="BA200">
        <v>4.3851209463691802E-2</v>
      </c>
      <c r="BE200">
        <v>4.7669582437716643E-2</v>
      </c>
      <c r="BF200">
        <v>2303</v>
      </c>
      <c r="BG200">
        <v>147609.85934366379</v>
      </c>
      <c r="BH200">
        <v>0</v>
      </c>
      <c r="BI200">
        <v>216.76179904975641</v>
      </c>
      <c r="BJ200">
        <v>0</v>
      </c>
      <c r="BK200">
        <v>0</v>
      </c>
    </row>
    <row r="201" spans="1:63" x14ac:dyDescent="0.2">
      <c r="A201">
        <v>199</v>
      </c>
      <c r="B201" t="s">
        <v>69</v>
      </c>
      <c r="C201" t="s">
        <v>76</v>
      </c>
      <c r="D201" t="s">
        <v>71</v>
      </c>
      <c r="E201">
        <v>-155.29812000000001</v>
      </c>
      <c r="F201">
        <v>19.375624999999999</v>
      </c>
      <c r="G201" t="s">
        <v>77</v>
      </c>
      <c r="H201" t="s">
        <v>453</v>
      </c>
      <c r="I201" t="s">
        <v>518</v>
      </c>
      <c r="J201" t="s">
        <v>68</v>
      </c>
      <c r="K201">
        <v>7.4578778984375012</v>
      </c>
      <c r="L201">
        <v>6.0023335218750002</v>
      </c>
      <c r="M201">
        <v>140.63236002037081</v>
      </c>
      <c r="N201">
        <v>1261.960865607796</v>
      </c>
      <c r="Q201">
        <v>11.839</v>
      </c>
      <c r="R201">
        <v>1324.9639999999999</v>
      </c>
      <c r="S201">
        <v>50</v>
      </c>
      <c r="T201">
        <v>103.005676251878</v>
      </c>
      <c r="U201">
        <v>3.409565321493579E-3</v>
      </c>
      <c r="V201">
        <v>0.1012079628006788</v>
      </c>
      <c r="W201">
        <v>4.0383994295056982E-3</v>
      </c>
      <c r="X201">
        <v>0</v>
      </c>
      <c r="Y201">
        <v>9.7107608533255951E-2</v>
      </c>
      <c r="Z201">
        <v>0.33784877082139853</v>
      </c>
      <c r="AA201">
        <v>2.5244575507302941E-2</v>
      </c>
      <c r="AB201">
        <v>1.4556594823903271</v>
      </c>
      <c r="AC201">
        <v>0.1048167421287491</v>
      </c>
      <c r="AD201">
        <v>1219.5988891706729</v>
      </c>
      <c r="AE201">
        <v>50</v>
      </c>
      <c r="AF201">
        <v>84.281618762295409</v>
      </c>
      <c r="AG201">
        <v>2.5039199999999999</v>
      </c>
      <c r="AH201">
        <v>14.096819999999999</v>
      </c>
      <c r="AI201">
        <v>0.27322000000000002</v>
      </c>
      <c r="AJ201">
        <v>10.95044</v>
      </c>
      <c r="AK201">
        <v>0.52094000000000007</v>
      </c>
      <c r="AL201">
        <v>2.9191400000000001</v>
      </c>
      <c r="AM201">
        <v>50.91704</v>
      </c>
      <c r="AN201">
        <v>6.4346599999999992</v>
      </c>
      <c r="AO201">
        <v>10.86684</v>
      </c>
      <c r="AP201">
        <v>0.19492000000000001</v>
      </c>
      <c r="AQ201">
        <v>99.70778</v>
      </c>
      <c r="AR201">
        <v>5.8797253337209539E-2</v>
      </c>
      <c r="AS201">
        <v>0.138496180452748</v>
      </c>
      <c r="AT201">
        <v>2.822688434808206E-2</v>
      </c>
      <c r="AU201">
        <v>7.1287502411011894E-2</v>
      </c>
      <c r="AV201">
        <v>1.2819243347405491E-2</v>
      </c>
      <c r="AW201">
        <v>2.3721045508155889E-2</v>
      </c>
      <c r="AX201">
        <v>0.39733328327740491</v>
      </c>
      <c r="AY201">
        <v>8.3972662218129629E-2</v>
      </c>
      <c r="AZ201">
        <v>5.8132675837260117E-2</v>
      </c>
      <c r="BA201">
        <v>1.931080008699795E-2</v>
      </c>
      <c r="BD201" t="s">
        <v>455</v>
      </c>
      <c r="BE201">
        <v>0.1139141094354669</v>
      </c>
      <c r="BF201">
        <v>3675</v>
      </c>
      <c r="BG201">
        <v>181294.82642332319</v>
      </c>
      <c r="BH201">
        <v>51.140567323517843</v>
      </c>
      <c r="BI201">
        <v>240.2247605150603</v>
      </c>
      <c r="BJ201">
        <v>0.84360058030694862</v>
      </c>
      <c r="BK201">
        <v>51.140567323517843</v>
      </c>
    </row>
    <row r="202" spans="1:63" x14ac:dyDescent="0.2">
      <c r="A202">
        <v>200</v>
      </c>
      <c r="B202" t="s">
        <v>62</v>
      </c>
      <c r="C202" t="s">
        <v>63</v>
      </c>
      <c r="D202" t="s">
        <v>64</v>
      </c>
      <c r="E202">
        <v>-155.26785000000001</v>
      </c>
      <c r="F202">
        <v>19.407830000000001</v>
      </c>
      <c r="G202" t="s">
        <v>65</v>
      </c>
      <c r="H202" t="s">
        <v>519</v>
      </c>
      <c r="I202" t="s">
        <v>520</v>
      </c>
      <c r="J202" t="s">
        <v>68</v>
      </c>
      <c r="K202">
        <v>4.0874494203124998</v>
      </c>
      <c r="L202">
        <v>3.9525067531250002</v>
      </c>
      <c r="M202">
        <v>50.754538699793358</v>
      </c>
      <c r="N202">
        <v>272.04284449958402</v>
      </c>
      <c r="Q202">
        <v>16.026</v>
      </c>
      <c r="R202">
        <v>1325.0039999999999</v>
      </c>
      <c r="S202">
        <v>75</v>
      </c>
      <c r="T202">
        <v>103.0062843</v>
      </c>
      <c r="U202">
        <v>9.5052036590000007E-3</v>
      </c>
      <c r="V202">
        <v>0.1014488886</v>
      </c>
      <c r="W202">
        <v>5.406657889E-3</v>
      </c>
      <c r="X202">
        <v>0</v>
      </c>
      <c r="Y202">
        <v>9.5781085616979622E-2</v>
      </c>
      <c r="Z202">
        <v>0.34265447659446202</v>
      </c>
      <c r="AA202">
        <v>6.2772108657340717E-2</v>
      </c>
      <c r="AB202">
        <v>1.475617389179553</v>
      </c>
      <c r="AC202">
        <v>0.26031692925239253</v>
      </c>
      <c r="AD202">
        <v>1238.3320176251971</v>
      </c>
      <c r="AE202">
        <v>50</v>
      </c>
      <c r="BE202">
        <v>0.85440880204964142</v>
      </c>
      <c r="BF202">
        <v>6396</v>
      </c>
      <c r="BG202">
        <v>409092.15072014579</v>
      </c>
      <c r="BH202">
        <v>3182.10406048202</v>
      </c>
      <c r="BI202">
        <v>360.8574177350547</v>
      </c>
      <c r="BJ202">
        <v>39.788736679654413</v>
      </c>
      <c r="BK202">
        <v>3182.10406048202</v>
      </c>
    </row>
    <row r="203" spans="1:63" x14ac:dyDescent="0.2">
      <c r="A203">
        <v>201</v>
      </c>
      <c r="B203" t="s">
        <v>69</v>
      </c>
      <c r="C203" t="s">
        <v>236</v>
      </c>
      <c r="D203" t="s">
        <v>64</v>
      </c>
      <c r="E203">
        <v>-155.292979</v>
      </c>
      <c r="F203">
        <v>19.400748</v>
      </c>
      <c r="G203" t="s">
        <v>237</v>
      </c>
      <c r="H203" t="s">
        <v>433</v>
      </c>
      <c r="I203" t="s">
        <v>521</v>
      </c>
      <c r="J203" t="s">
        <v>68</v>
      </c>
      <c r="K203">
        <v>16.673671705468749</v>
      </c>
      <c r="L203">
        <v>15.4898142234375</v>
      </c>
      <c r="M203">
        <v>811.38566017133405</v>
      </c>
      <c r="N203">
        <v>17397.994175891341</v>
      </c>
      <c r="Q203">
        <v>9.8889999999999993</v>
      </c>
      <c r="R203">
        <v>1324.9639999999999</v>
      </c>
      <c r="S203">
        <v>50</v>
      </c>
      <c r="T203">
        <v>103.0065862870841</v>
      </c>
      <c r="U203">
        <v>7.2983242186470667E-3</v>
      </c>
      <c r="V203">
        <v>0.1015685552809131</v>
      </c>
      <c r="W203">
        <v>4.7800013776643372E-3</v>
      </c>
      <c r="X203">
        <v>0</v>
      </c>
      <c r="Y203">
        <v>9.8620441864409325E-2</v>
      </c>
      <c r="Z203">
        <v>0.33249642003303959</v>
      </c>
      <c r="AA203">
        <v>2.710154194746767E-2</v>
      </c>
      <c r="AB203">
        <v>1.433407919363809</v>
      </c>
      <c r="AC203">
        <v>0.1126779363550416</v>
      </c>
      <c r="AD203">
        <v>1189.287852048883</v>
      </c>
      <c r="AE203">
        <v>50</v>
      </c>
      <c r="AF203">
        <v>82.099962662577227</v>
      </c>
      <c r="AG203">
        <v>2.0274999999999999</v>
      </c>
      <c r="AH203">
        <v>12.7525</v>
      </c>
      <c r="AI203">
        <v>0.17249999999999999</v>
      </c>
      <c r="AJ203">
        <v>11.092499999999999</v>
      </c>
      <c r="AK203">
        <v>0.51750000000000007</v>
      </c>
      <c r="AL203">
        <v>2.5150000000000001</v>
      </c>
      <c r="AM203">
        <v>50.63</v>
      </c>
      <c r="AN203">
        <v>7.415</v>
      </c>
      <c r="AP203">
        <v>1685.75</v>
      </c>
      <c r="AR203">
        <v>0.17231270024773751</v>
      </c>
      <c r="AS203">
        <v>0.13450526631573459</v>
      </c>
      <c r="AT203">
        <v>4.9999999999999836E-3</v>
      </c>
      <c r="AU203">
        <v>0.29227555491350982</v>
      </c>
      <c r="AV203">
        <v>2.061552812808835E-2</v>
      </c>
      <c r="AW203">
        <v>6.2449979983983737E-2</v>
      </c>
      <c r="AX203">
        <v>0.21556128285632961</v>
      </c>
      <c r="AY203">
        <v>0.39770173078158311</v>
      </c>
      <c r="BA203">
        <v>51.951098801340748</v>
      </c>
      <c r="BE203">
        <v>9.7665700853245635E-2</v>
      </c>
      <c r="BF203">
        <v>8368</v>
      </c>
      <c r="BG203">
        <v>134764.98509122129</v>
      </c>
      <c r="BH203">
        <v>79.883151036211316</v>
      </c>
      <c r="BI203">
        <v>207.11597491730791</v>
      </c>
      <c r="BJ203">
        <v>0.87326157678322081</v>
      </c>
      <c r="BK203">
        <v>79.883151036211345</v>
      </c>
    </row>
    <row r="204" spans="1:63" x14ac:dyDescent="0.2">
      <c r="A204">
        <v>202</v>
      </c>
      <c r="B204" t="s">
        <v>69</v>
      </c>
      <c r="C204" t="s">
        <v>236</v>
      </c>
      <c r="D204" t="s">
        <v>64</v>
      </c>
      <c r="E204">
        <v>-155.292979</v>
      </c>
      <c r="F204">
        <v>19.400748</v>
      </c>
      <c r="G204" t="s">
        <v>237</v>
      </c>
      <c r="H204" t="s">
        <v>238</v>
      </c>
      <c r="I204" t="s">
        <v>522</v>
      </c>
      <c r="J204" t="s">
        <v>68</v>
      </c>
      <c r="K204">
        <v>3.7985605320312499</v>
      </c>
      <c r="L204">
        <v>3.7968752015625</v>
      </c>
      <c r="M204">
        <v>45.31012359878742</v>
      </c>
      <c r="N204">
        <v>229.43342125051959</v>
      </c>
      <c r="Q204">
        <v>9.8360000000000003</v>
      </c>
      <c r="R204">
        <v>1324.9639999999999</v>
      </c>
      <c r="S204">
        <v>50</v>
      </c>
      <c r="T204">
        <v>103.0067805100302</v>
      </c>
      <c r="U204">
        <v>2.0940092459844701E-2</v>
      </c>
      <c r="V204">
        <v>0.10164551420885461</v>
      </c>
      <c r="W204">
        <v>9.1285861797783096E-3</v>
      </c>
      <c r="X204">
        <v>12.18585978146799</v>
      </c>
      <c r="Y204">
        <v>9.8465651856376901E-2</v>
      </c>
      <c r="Z204">
        <v>0.33304039531842389</v>
      </c>
      <c r="AA204">
        <v>3.8753494115451689E-2</v>
      </c>
      <c r="AB204">
        <v>1.4356705421069591</v>
      </c>
      <c r="AC204">
        <v>0.16091034568224241</v>
      </c>
      <c r="AD204">
        <v>1190.672189489643</v>
      </c>
      <c r="AE204">
        <v>50</v>
      </c>
      <c r="AF204">
        <v>82.214597715722491</v>
      </c>
      <c r="AG204">
        <v>2.0274999999999999</v>
      </c>
      <c r="AH204">
        <v>12.7525</v>
      </c>
      <c r="AI204">
        <v>0.17249999999999999</v>
      </c>
      <c r="AJ204">
        <v>11.092499999999999</v>
      </c>
      <c r="AK204">
        <v>0.51750000000000007</v>
      </c>
      <c r="AL204">
        <v>2.5150000000000001</v>
      </c>
      <c r="AM204">
        <v>50.63</v>
      </c>
      <c r="AN204">
        <v>7.415</v>
      </c>
      <c r="AP204">
        <v>1685.75</v>
      </c>
      <c r="AR204">
        <v>0.17231270024773751</v>
      </c>
      <c r="AS204">
        <v>0.13450526631573459</v>
      </c>
      <c r="AT204">
        <v>4.9999999999999836E-3</v>
      </c>
      <c r="AU204">
        <v>0.29227555491350982</v>
      </c>
      <c r="AV204">
        <v>2.061552812808835E-2</v>
      </c>
      <c r="AW204">
        <v>6.2449979983983737E-2</v>
      </c>
      <c r="AX204">
        <v>0.21556128285632961</v>
      </c>
      <c r="AY204">
        <v>0.39770173078158311</v>
      </c>
      <c r="BA204">
        <v>51.951098801340748</v>
      </c>
      <c r="BE204">
        <v>7.2508869559464534E-2</v>
      </c>
      <c r="BF204">
        <v>9539</v>
      </c>
      <c r="BG204">
        <v>153437.1832708786</v>
      </c>
      <c r="BH204">
        <v>12.21782995968365</v>
      </c>
      <c r="BI204">
        <v>220.99903244882049</v>
      </c>
      <c r="BJ204">
        <v>0.12509577793000001</v>
      </c>
      <c r="BK204">
        <v>12.21782995968365</v>
      </c>
    </row>
    <row r="205" spans="1:63" x14ac:dyDescent="0.2">
      <c r="A205">
        <v>203</v>
      </c>
      <c r="B205" t="s">
        <v>62</v>
      </c>
      <c r="C205" t="s">
        <v>63</v>
      </c>
      <c r="D205" t="s">
        <v>64</v>
      </c>
      <c r="E205">
        <v>-155.26785000000001</v>
      </c>
      <c r="F205">
        <v>19.407830000000001</v>
      </c>
      <c r="G205" t="s">
        <v>65</v>
      </c>
      <c r="H205" t="s">
        <v>523</v>
      </c>
      <c r="I205" t="s">
        <v>524</v>
      </c>
      <c r="J205" t="s">
        <v>68</v>
      </c>
      <c r="K205">
        <v>5.766154796875</v>
      </c>
      <c r="L205">
        <v>5.5514785640625002</v>
      </c>
      <c r="M205">
        <v>100.5645320530035</v>
      </c>
      <c r="N205">
        <v>758.76833526009409</v>
      </c>
      <c r="Q205">
        <v>16.006499999999999</v>
      </c>
      <c r="R205">
        <v>1325.0039999999999</v>
      </c>
      <c r="S205">
        <v>50</v>
      </c>
      <c r="T205">
        <v>103.0068452</v>
      </c>
      <c r="U205">
        <v>2.592656E-3</v>
      </c>
      <c r="V205">
        <v>0.10167114469999999</v>
      </c>
      <c r="W205">
        <v>3.9422917240000003E-3</v>
      </c>
      <c r="X205">
        <v>0</v>
      </c>
      <c r="Y205">
        <v>9.3244344752963837E-2</v>
      </c>
      <c r="Z205">
        <v>0.35212817743748831</v>
      </c>
      <c r="AA205">
        <v>2.2421580701386602E-2</v>
      </c>
      <c r="AB205">
        <v>1.514903103008491</v>
      </c>
      <c r="AC205">
        <v>9.282645035176694E-2</v>
      </c>
      <c r="AD205">
        <v>1279.0437891989629</v>
      </c>
      <c r="AE205">
        <v>50</v>
      </c>
      <c r="AF205">
        <v>87.38612474</v>
      </c>
      <c r="BE205">
        <v>0.19474585457106791</v>
      </c>
      <c r="BF205">
        <v>4470</v>
      </c>
      <c r="BG205">
        <v>285654.49188394629</v>
      </c>
      <c r="BH205">
        <v>325.29545802921888</v>
      </c>
      <c r="BI205">
        <v>301.54045963927882</v>
      </c>
      <c r="BJ205">
        <v>4.865463712709774</v>
      </c>
      <c r="BK205">
        <v>325.29545802921882</v>
      </c>
    </row>
    <row r="206" spans="1:63" x14ac:dyDescent="0.2">
      <c r="A206">
        <v>204</v>
      </c>
      <c r="B206" t="s">
        <v>69</v>
      </c>
      <c r="C206" t="s">
        <v>236</v>
      </c>
      <c r="D206" t="s">
        <v>64</v>
      </c>
      <c r="E206">
        <v>-155.292979</v>
      </c>
      <c r="F206">
        <v>19.400748</v>
      </c>
      <c r="G206" t="s">
        <v>237</v>
      </c>
      <c r="H206" t="s">
        <v>525</v>
      </c>
      <c r="I206" t="s">
        <v>526</v>
      </c>
      <c r="J206" t="s">
        <v>68</v>
      </c>
      <c r="K206">
        <v>11.365171303125001</v>
      </c>
      <c r="L206">
        <v>9.6308500210937495</v>
      </c>
      <c r="M206">
        <v>343.86698319899477</v>
      </c>
      <c r="N206">
        <v>4813.2256746272433</v>
      </c>
      <c r="Q206">
        <v>10.037000000000001</v>
      </c>
      <c r="R206">
        <v>1324.9639999999999</v>
      </c>
      <c r="S206">
        <v>50</v>
      </c>
      <c r="T206">
        <v>103.00774115067679</v>
      </c>
      <c r="U206">
        <v>1.6313315426522972E-2</v>
      </c>
      <c r="V206">
        <v>0.1020261585960824</v>
      </c>
      <c r="W206">
        <v>7.5014064309591282E-3</v>
      </c>
      <c r="X206">
        <v>6.7481453333560477</v>
      </c>
      <c r="Y206">
        <v>9.7891102173273126E-2</v>
      </c>
      <c r="Z206">
        <v>0.33507211142490839</v>
      </c>
      <c r="AA206">
        <v>4.0049154644262223E-2</v>
      </c>
      <c r="AB206">
        <v>1.4441190441165681</v>
      </c>
      <c r="AC206">
        <v>0.16643654296011179</v>
      </c>
      <c r="AD206">
        <v>1194.443915391151</v>
      </c>
      <c r="AE206">
        <v>100</v>
      </c>
      <c r="AG206">
        <v>2.0274999999999999</v>
      </c>
      <c r="AH206">
        <v>12.7525</v>
      </c>
      <c r="AI206">
        <v>0.17249999999999999</v>
      </c>
      <c r="AJ206">
        <v>11.092499999999999</v>
      </c>
      <c r="AK206">
        <v>0.51750000000000007</v>
      </c>
      <c r="AL206">
        <v>2.5150000000000001</v>
      </c>
      <c r="AM206">
        <v>50.63</v>
      </c>
      <c r="AN206">
        <v>7.415</v>
      </c>
      <c r="AP206">
        <v>1685.75</v>
      </c>
      <c r="AR206">
        <v>0.17231270024773751</v>
      </c>
      <c r="AS206">
        <v>0.13450526631573459</v>
      </c>
      <c r="AT206">
        <v>4.9999999999999836E-3</v>
      </c>
      <c r="AU206">
        <v>0.29227555491350982</v>
      </c>
      <c r="AV206">
        <v>2.061552812808835E-2</v>
      </c>
      <c r="AW206">
        <v>6.2449979983983737E-2</v>
      </c>
      <c r="AX206">
        <v>0.21556128285632961</v>
      </c>
      <c r="AY206">
        <v>0.39770173078158311</v>
      </c>
      <c r="BA206">
        <v>51.951098801340748</v>
      </c>
      <c r="BE206">
        <v>0.1027002116085827</v>
      </c>
      <c r="BF206">
        <v>1060</v>
      </c>
      <c r="BG206">
        <v>26837.180605161051</v>
      </c>
      <c r="BH206">
        <v>0</v>
      </c>
      <c r="BI206">
        <v>92.425861661780843</v>
      </c>
      <c r="BJ206">
        <v>0</v>
      </c>
      <c r="BK206">
        <v>0</v>
      </c>
    </row>
    <row r="207" spans="1:63" x14ac:dyDescent="0.2">
      <c r="A207">
        <v>205</v>
      </c>
      <c r="B207" t="s">
        <v>69</v>
      </c>
      <c r="C207" t="s">
        <v>236</v>
      </c>
      <c r="D207" t="s">
        <v>64</v>
      </c>
      <c r="E207">
        <v>-155.292979</v>
      </c>
      <c r="F207">
        <v>19.400748</v>
      </c>
      <c r="G207" t="s">
        <v>237</v>
      </c>
      <c r="H207" t="s">
        <v>527</v>
      </c>
      <c r="I207" t="s">
        <v>528</v>
      </c>
      <c r="J207" t="s">
        <v>68</v>
      </c>
      <c r="K207">
        <v>5.148433812239583</v>
      </c>
      <c r="L207">
        <v>4.7221131549479169</v>
      </c>
      <c r="M207">
        <v>76.376789058062272</v>
      </c>
      <c r="N207">
        <v>502.58712240038392</v>
      </c>
      <c r="Q207">
        <v>9.891</v>
      </c>
      <c r="R207">
        <v>1324.9639999999999</v>
      </c>
      <c r="S207">
        <v>50</v>
      </c>
      <c r="T207">
        <v>103.0083203754571</v>
      </c>
      <c r="U207">
        <v>3.777254680853302E-3</v>
      </c>
      <c r="V207">
        <v>0.1022556707058513</v>
      </c>
      <c r="W207">
        <v>4.090151481110694E-3</v>
      </c>
      <c r="X207">
        <v>4.5279350957696929</v>
      </c>
      <c r="Y207">
        <v>9.8115747554035293E-2</v>
      </c>
      <c r="Z207">
        <v>0.33428197362320372</v>
      </c>
      <c r="AA207">
        <v>2.4906114235788129E-2</v>
      </c>
      <c r="AB207">
        <v>1.440833831545451</v>
      </c>
      <c r="AC207">
        <v>0.10348007757098041</v>
      </c>
      <c r="AD207">
        <v>1187.418870245071</v>
      </c>
      <c r="AE207">
        <v>50</v>
      </c>
      <c r="AF207">
        <v>81.942251870978538</v>
      </c>
      <c r="AG207">
        <v>2.0274999999999999</v>
      </c>
      <c r="AH207">
        <v>12.7525</v>
      </c>
      <c r="AI207">
        <v>0.17249999999999999</v>
      </c>
      <c r="AJ207">
        <v>11.092499999999999</v>
      </c>
      <c r="AK207">
        <v>0.51750000000000007</v>
      </c>
      <c r="AL207">
        <v>2.5150000000000001</v>
      </c>
      <c r="AM207">
        <v>50.63</v>
      </c>
      <c r="AN207">
        <v>7.415</v>
      </c>
      <c r="AP207">
        <v>1685.75</v>
      </c>
      <c r="AR207">
        <v>0.17231270024773751</v>
      </c>
      <c r="AS207">
        <v>0.13450526631573459</v>
      </c>
      <c r="AT207">
        <v>4.9999999999999836E-3</v>
      </c>
      <c r="AU207">
        <v>0.29227555491350982</v>
      </c>
      <c r="AV207">
        <v>2.061552812808835E-2</v>
      </c>
      <c r="AW207">
        <v>6.2449979983983737E-2</v>
      </c>
      <c r="AX207">
        <v>0.21556128285632961</v>
      </c>
      <c r="AY207">
        <v>0.39770173078158311</v>
      </c>
      <c r="BA207">
        <v>51.951098801340748</v>
      </c>
      <c r="BE207">
        <v>6.7979511510087978E-2</v>
      </c>
      <c r="BF207">
        <v>124</v>
      </c>
      <c r="BG207">
        <v>8714.6804200868464</v>
      </c>
      <c r="BH207">
        <v>0</v>
      </c>
      <c r="BI207">
        <v>52.66848139680841</v>
      </c>
      <c r="BJ207">
        <v>0</v>
      </c>
      <c r="BK207">
        <v>0</v>
      </c>
    </row>
    <row r="208" spans="1:63" x14ac:dyDescent="0.2">
      <c r="A208">
        <v>206</v>
      </c>
      <c r="B208" t="s">
        <v>69</v>
      </c>
      <c r="C208" t="s">
        <v>81</v>
      </c>
      <c r="D208" t="s">
        <v>71</v>
      </c>
      <c r="E208">
        <v>-155.29106999999999</v>
      </c>
      <c r="F208">
        <v>19.383150000000001</v>
      </c>
      <c r="G208" t="s">
        <v>87</v>
      </c>
      <c r="H208" t="s">
        <v>271</v>
      </c>
      <c r="I208" t="s">
        <v>529</v>
      </c>
      <c r="J208" t="s">
        <v>90</v>
      </c>
      <c r="K208">
        <v>5.1695478109374999</v>
      </c>
      <c r="L208">
        <v>4.4652540195312493</v>
      </c>
      <c r="M208">
        <v>72.518464376627691</v>
      </c>
      <c r="N208">
        <v>465.80068887914359</v>
      </c>
      <c r="O208" t="s">
        <v>530</v>
      </c>
      <c r="Q208">
        <v>11.984</v>
      </c>
      <c r="R208">
        <v>1325.0039999999999</v>
      </c>
      <c r="S208">
        <v>50</v>
      </c>
      <c r="T208">
        <v>103.0087951538989</v>
      </c>
      <c r="U208">
        <v>6.6968847077477174E-3</v>
      </c>
      <c r="V208">
        <v>0.1024437969835503</v>
      </c>
      <c r="W208">
        <v>4.640233760796841E-3</v>
      </c>
      <c r="X208">
        <v>0</v>
      </c>
      <c r="Y208">
        <v>9.5802543559805775E-2</v>
      </c>
      <c r="Z208">
        <v>0.34259267781224162</v>
      </c>
      <c r="AA208">
        <v>2.7708620562948899E-2</v>
      </c>
      <c r="AB208">
        <v>1.4753608675736789</v>
      </c>
      <c r="AC208">
        <v>0.1148910277594066</v>
      </c>
      <c r="AD208">
        <v>1222.9093706546121</v>
      </c>
      <c r="AE208">
        <v>50</v>
      </c>
      <c r="AF208">
        <v>84.487074286066317</v>
      </c>
      <c r="AG208">
        <v>2.2102200000000001</v>
      </c>
      <c r="AH208">
        <v>12.516225</v>
      </c>
      <c r="AI208">
        <v>0.22873499999999999</v>
      </c>
      <c r="AJ208">
        <v>10.535360000000001</v>
      </c>
      <c r="AK208">
        <v>0.37534499999999998</v>
      </c>
      <c r="AL208">
        <v>2.4377900000000001</v>
      </c>
      <c r="AM208">
        <v>50.224780000000003</v>
      </c>
      <c r="AN208">
        <v>8.9844449999999991</v>
      </c>
      <c r="AP208">
        <v>0.178455</v>
      </c>
      <c r="AQ208">
        <v>99.610560000000007</v>
      </c>
      <c r="AR208">
        <v>1.7587090435884831E-2</v>
      </c>
      <c r="AS208">
        <v>0.12699126938494701</v>
      </c>
      <c r="AT208">
        <v>8.073250584491971E-3</v>
      </c>
      <c r="AU208">
        <v>6.9056800896073786E-2</v>
      </c>
      <c r="AV208">
        <v>2.248073063759274E-2</v>
      </c>
      <c r="AW208">
        <v>2.1205111412109991E-2</v>
      </c>
      <c r="AX208">
        <v>0.5052093298821787</v>
      </c>
      <c r="AY208">
        <v>0.13192220766421431</v>
      </c>
      <c r="BA208">
        <v>1.2962040734390541E-2</v>
      </c>
      <c r="BB208">
        <v>5</v>
      </c>
      <c r="BC208" t="s">
        <v>86</v>
      </c>
    </row>
    <row r="209" spans="1:63" x14ac:dyDescent="0.2">
      <c r="A209">
        <v>207</v>
      </c>
      <c r="B209" t="s">
        <v>69</v>
      </c>
      <c r="C209" t="s">
        <v>236</v>
      </c>
      <c r="D209" t="s">
        <v>64</v>
      </c>
      <c r="E209">
        <v>-155.292979</v>
      </c>
      <c r="F209">
        <v>19.400748</v>
      </c>
      <c r="G209" t="s">
        <v>237</v>
      </c>
      <c r="H209" t="s">
        <v>330</v>
      </c>
      <c r="I209" t="s">
        <v>531</v>
      </c>
      <c r="J209" t="s">
        <v>68</v>
      </c>
      <c r="K209">
        <v>7.8396343070312504</v>
      </c>
      <c r="L209">
        <v>6.6425266406249994</v>
      </c>
      <c r="M209">
        <v>163.598373778265</v>
      </c>
      <c r="N209">
        <v>1579.5053198877731</v>
      </c>
      <c r="Q209">
        <v>10.048</v>
      </c>
      <c r="R209">
        <v>1324.9639999999999</v>
      </c>
      <c r="S209">
        <v>50</v>
      </c>
      <c r="T209">
        <v>103.0093241616993</v>
      </c>
      <c r="U209">
        <v>4.4627851871736736E-3</v>
      </c>
      <c r="V209">
        <v>0.1026534111100332</v>
      </c>
      <c r="W209">
        <v>4.197444662574234E-3</v>
      </c>
      <c r="X209">
        <v>8.775609156071555</v>
      </c>
      <c r="Y209">
        <v>9.7175041684706476E-2</v>
      </c>
      <c r="Z209">
        <v>0.3376314914068877</v>
      </c>
      <c r="AA209">
        <v>2.609069226762438E-2</v>
      </c>
      <c r="AB209">
        <v>1.454756658976218</v>
      </c>
      <c r="AC209">
        <v>0.1083643704289021</v>
      </c>
      <c r="AD209">
        <v>1196.9716907051541</v>
      </c>
      <c r="AE209">
        <v>50</v>
      </c>
      <c r="AF209">
        <v>82.714746094341592</v>
      </c>
      <c r="AG209">
        <v>2.0274999999999999</v>
      </c>
      <c r="AH209">
        <v>12.7525</v>
      </c>
      <c r="AI209">
        <v>0.17249999999999999</v>
      </c>
      <c r="AJ209">
        <v>11.092499999999999</v>
      </c>
      <c r="AK209">
        <v>0.51750000000000007</v>
      </c>
      <c r="AL209">
        <v>2.5150000000000001</v>
      </c>
      <c r="AM209">
        <v>50.63</v>
      </c>
      <c r="AN209">
        <v>7.415</v>
      </c>
      <c r="AP209">
        <v>1685.75</v>
      </c>
      <c r="AR209">
        <v>0.17231270024773751</v>
      </c>
      <c r="AS209">
        <v>0.13450526631573459</v>
      </c>
      <c r="AT209">
        <v>4.9999999999999836E-3</v>
      </c>
      <c r="AU209">
        <v>0.29227555491350982</v>
      </c>
      <c r="AV209">
        <v>2.061552812808835E-2</v>
      </c>
      <c r="AW209">
        <v>6.2449979983983737E-2</v>
      </c>
      <c r="AX209">
        <v>0.21556128285632961</v>
      </c>
      <c r="AY209">
        <v>0.39770173078158311</v>
      </c>
      <c r="BA209">
        <v>51.951098801340748</v>
      </c>
      <c r="BE209">
        <v>6.9298234779495621E-2</v>
      </c>
      <c r="BF209">
        <v>1338</v>
      </c>
      <c r="BG209">
        <v>33711.31938261661</v>
      </c>
      <c r="BH209">
        <v>20.550976809628661</v>
      </c>
      <c r="BI209">
        <v>103.5888325824078</v>
      </c>
      <c r="BJ209">
        <v>0.56182933633030985</v>
      </c>
      <c r="BK209">
        <v>20.550976809628661</v>
      </c>
    </row>
    <row r="210" spans="1:63" x14ac:dyDescent="0.2">
      <c r="A210">
        <v>208</v>
      </c>
      <c r="B210" t="s">
        <v>69</v>
      </c>
      <c r="C210" t="s">
        <v>236</v>
      </c>
      <c r="D210" t="s">
        <v>64</v>
      </c>
      <c r="E210">
        <v>-155.292979</v>
      </c>
      <c r="F210">
        <v>19.400748</v>
      </c>
      <c r="G210" t="s">
        <v>237</v>
      </c>
      <c r="H210" t="s">
        <v>532</v>
      </c>
      <c r="I210" t="s">
        <v>533</v>
      </c>
      <c r="J210" t="s">
        <v>68</v>
      </c>
      <c r="K210">
        <v>7.9021658789062492</v>
      </c>
      <c r="L210">
        <v>5.9108026429687497</v>
      </c>
      <c r="M210">
        <v>146.73795879292121</v>
      </c>
      <c r="N210">
        <v>1351.257870513874</v>
      </c>
      <c r="Q210">
        <v>10.050000000000001</v>
      </c>
      <c r="R210">
        <v>1324.9639999999999</v>
      </c>
      <c r="S210">
        <v>100</v>
      </c>
      <c r="T210">
        <v>103.0096038120259</v>
      </c>
      <c r="U210">
        <v>5.1804315456357129E-3</v>
      </c>
      <c r="V210">
        <v>0.10276421979544639</v>
      </c>
      <c r="W210">
        <v>4.3250137835841446E-3</v>
      </c>
      <c r="X210">
        <v>10.03401024023287</v>
      </c>
      <c r="Y210">
        <v>9.7518997227677873E-2</v>
      </c>
      <c r="Z210">
        <v>0.33640554147385721</v>
      </c>
      <c r="AA210">
        <v>2.6307590217433469E-2</v>
      </c>
      <c r="AB210">
        <v>1.4496619185235009</v>
      </c>
      <c r="AC210">
        <v>0.1092929656904453</v>
      </c>
      <c r="AD210">
        <v>1189.722947284796</v>
      </c>
      <c r="AE210">
        <v>50</v>
      </c>
      <c r="AF210">
        <v>82.136187925912921</v>
      </c>
      <c r="AG210">
        <v>2.0274999999999999</v>
      </c>
      <c r="AH210">
        <v>12.7525</v>
      </c>
      <c r="AI210">
        <v>0.17249999999999999</v>
      </c>
      <c r="AJ210">
        <v>11.092499999999999</v>
      </c>
      <c r="AK210">
        <v>0.51750000000000007</v>
      </c>
      <c r="AL210">
        <v>2.5150000000000001</v>
      </c>
      <c r="AM210">
        <v>50.63</v>
      </c>
      <c r="AN210">
        <v>7.415</v>
      </c>
      <c r="AP210">
        <v>1685.75</v>
      </c>
      <c r="AR210">
        <v>0.17231270024773751</v>
      </c>
      <c r="AS210">
        <v>0.13450526631573459</v>
      </c>
      <c r="AT210">
        <v>4.9999999999999836E-3</v>
      </c>
      <c r="AU210">
        <v>0.29227555491350982</v>
      </c>
      <c r="AV210">
        <v>2.061552812808835E-2</v>
      </c>
      <c r="AW210">
        <v>6.2449979983983737E-2</v>
      </c>
      <c r="AX210">
        <v>0.21556128285632961</v>
      </c>
      <c r="AY210">
        <v>0.39770173078158311</v>
      </c>
      <c r="BA210">
        <v>51.951098801340748</v>
      </c>
      <c r="BE210">
        <v>8.8637510523642077E-2</v>
      </c>
      <c r="BF210">
        <v>23296</v>
      </c>
      <c r="BG210">
        <v>93566.581104554003</v>
      </c>
      <c r="BH210">
        <v>10.88216268122571</v>
      </c>
      <c r="BI210">
        <v>172.5780049195059</v>
      </c>
      <c r="BJ210">
        <v>7.1297538309187794E-2</v>
      </c>
      <c r="BK210">
        <v>10.88216268122571</v>
      </c>
    </row>
    <row r="211" spans="1:63" x14ac:dyDescent="0.2">
      <c r="A211">
        <v>209</v>
      </c>
      <c r="B211" t="s">
        <v>69</v>
      </c>
      <c r="C211" t="s">
        <v>157</v>
      </c>
      <c r="D211" t="s">
        <v>64</v>
      </c>
      <c r="G211" t="s">
        <v>158</v>
      </c>
      <c r="H211" t="s">
        <v>301</v>
      </c>
      <c r="I211" t="s">
        <v>534</v>
      </c>
      <c r="J211" t="s">
        <v>68</v>
      </c>
      <c r="K211">
        <v>4.6319855062499986</v>
      </c>
      <c r="L211">
        <v>3.5407630851562502</v>
      </c>
      <c r="M211">
        <v>51.524517469869153</v>
      </c>
      <c r="N211">
        <v>280.73128504983993</v>
      </c>
      <c r="O211" t="s">
        <v>535</v>
      </c>
      <c r="Q211">
        <v>10.06</v>
      </c>
      <c r="R211">
        <v>1324.9639999999999</v>
      </c>
      <c r="S211">
        <v>50</v>
      </c>
      <c r="T211">
        <v>103.0105910740444</v>
      </c>
      <c r="U211">
        <v>1.2352046599785071E-2</v>
      </c>
      <c r="V211">
        <v>0.10315541263889121</v>
      </c>
      <c r="W211">
        <v>6.2007625666035109E-3</v>
      </c>
      <c r="X211">
        <v>0</v>
      </c>
      <c r="Y211">
        <v>9.7341866421454926E-2</v>
      </c>
      <c r="Z211">
        <v>0.33704357889176312</v>
      </c>
      <c r="AA211">
        <v>3.0495776391567489E-2</v>
      </c>
      <c r="AB211">
        <v>1.4523136039255029</v>
      </c>
      <c r="AC211">
        <v>0.12657382036604181</v>
      </c>
      <c r="AD211">
        <v>1186.9336338699411</v>
      </c>
      <c r="AE211">
        <v>50</v>
      </c>
      <c r="AF211">
        <v>81.900733352375639</v>
      </c>
      <c r="AG211">
        <v>2.4084062500000001</v>
      </c>
      <c r="AH211">
        <v>13.3720625</v>
      </c>
      <c r="AI211">
        <v>0.31026874999999998</v>
      </c>
      <c r="AJ211">
        <v>10.387225000000001</v>
      </c>
      <c r="AK211">
        <v>0.59164375000000002</v>
      </c>
      <c r="AL211">
        <v>3.0521875000000001</v>
      </c>
      <c r="AM211">
        <v>49.819099999999999</v>
      </c>
      <c r="AN211">
        <v>5.8739499999999998</v>
      </c>
      <c r="AP211">
        <v>0.19186249999999999</v>
      </c>
      <c r="AQ211">
        <v>97.820293750000005</v>
      </c>
      <c r="AR211">
        <v>8.7457962997469094E-2</v>
      </c>
      <c r="AS211">
        <v>0.20894986918716499</v>
      </c>
      <c r="AT211">
        <v>3.6791968666182201E-2</v>
      </c>
      <c r="AU211">
        <v>0.19989042831845</v>
      </c>
      <c r="AV211">
        <v>2.81971149528931E-2</v>
      </c>
      <c r="AW211">
        <v>5.5804024645778501E-2</v>
      </c>
      <c r="AX211">
        <v>0.88416756556661702</v>
      </c>
      <c r="AY211">
        <v>0.205613822492555</v>
      </c>
      <c r="BA211">
        <v>4.9243326112953303E-2</v>
      </c>
      <c r="BE211">
        <v>1.3278859816653381</v>
      </c>
      <c r="BF211">
        <v>4874</v>
      </c>
      <c r="BG211">
        <v>122779.5638883918</v>
      </c>
      <c r="BH211">
        <v>106.8090936766522</v>
      </c>
      <c r="BI211">
        <v>197.69155016593271</v>
      </c>
      <c r="BJ211">
        <v>1.529908535034018</v>
      </c>
      <c r="BK211">
        <v>106.8090936766522</v>
      </c>
    </row>
    <row r="212" spans="1:63" x14ac:dyDescent="0.2">
      <c r="A212">
        <v>210</v>
      </c>
      <c r="B212" t="s">
        <v>69</v>
      </c>
      <c r="C212" t="s">
        <v>308</v>
      </c>
      <c r="D212" t="s">
        <v>64</v>
      </c>
      <c r="E212">
        <v>-155.2774</v>
      </c>
      <c r="F212">
        <v>19.402283329999999</v>
      </c>
      <c r="G212" t="s">
        <v>309</v>
      </c>
      <c r="H212" t="s">
        <v>536</v>
      </c>
      <c r="I212" t="s">
        <v>537</v>
      </c>
      <c r="J212" t="s">
        <v>68</v>
      </c>
      <c r="K212">
        <v>3.7927490476562502</v>
      </c>
      <c r="L212">
        <v>3.7845548546874999</v>
      </c>
      <c r="M212">
        <v>45.094002555204952</v>
      </c>
      <c r="N212">
        <v>227.79397435590229</v>
      </c>
      <c r="O212" t="s">
        <v>538</v>
      </c>
      <c r="Q212">
        <v>10.009</v>
      </c>
      <c r="R212">
        <v>1324.9639999999999</v>
      </c>
      <c r="S212">
        <v>50</v>
      </c>
      <c r="T212">
        <v>103.0110932729422</v>
      </c>
      <c r="U212">
        <v>1.6706678936408599E-2</v>
      </c>
      <c r="V212">
        <v>0.10335440400196209</v>
      </c>
      <c r="W212">
        <v>7.636638903153318E-3</v>
      </c>
      <c r="X212">
        <v>0</v>
      </c>
      <c r="Y212">
        <v>9.7072675206514969E-2</v>
      </c>
      <c r="Z212">
        <v>0.33800988182714542</v>
      </c>
      <c r="AA212">
        <v>3.4393079798752772E-2</v>
      </c>
      <c r="AB212">
        <v>1.4563288926667191</v>
      </c>
      <c r="AC212">
        <v>0.1427098446378742</v>
      </c>
      <c r="AD212">
        <v>1188.44484045732</v>
      </c>
      <c r="AE212">
        <v>50</v>
      </c>
      <c r="AF212">
        <v>82.029253986593687</v>
      </c>
      <c r="AG212">
        <v>2.3267000000000002</v>
      </c>
      <c r="AH212">
        <v>13.5229384615385</v>
      </c>
      <c r="AI212">
        <v>0.27728461538461502</v>
      </c>
      <c r="AJ212">
        <v>10.5531076923077</v>
      </c>
      <c r="AK212">
        <v>0.54219230769230797</v>
      </c>
      <c r="AL212">
        <v>2.8134692307692299</v>
      </c>
      <c r="AM212">
        <v>49.582307692307701</v>
      </c>
      <c r="AN212">
        <v>6.2924769230769204</v>
      </c>
      <c r="AP212">
        <v>0.17131538461538501</v>
      </c>
      <c r="AQ212">
        <v>97.508507692307774</v>
      </c>
      <c r="AR212">
        <v>0.15754459157119099</v>
      </c>
      <c r="AS212">
        <v>0.25828299253100101</v>
      </c>
      <c r="AT212">
        <v>3.3931029215008297E-2</v>
      </c>
      <c r="AU212">
        <v>0.14495579476480899</v>
      </c>
      <c r="AV212">
        <v>5.80211091118061E-2</v>
      </c>
      <c r="AW212">
        <v>5.1717153579436098E-2</v>
      </c>
      <c r="AX212">
        <v>0.58735311988266403</v>
      </c>
      <c r="AY212">
        <v>0.17920673421984901</v>
      </c>
      <c r="BA212">
        <v>4.0360043073850597E-2</v>
      </c>
      <c r="BE212">
        <v>0.174199218376246</v>
      </c>
      <c r="BF212">
        <v>45612</v>
      </c>
      <c r="BG212">
        <v>411534.14861353108</v>
      </c>
      <c r="BH212">
        <v>606.59642089811825</v>
      </c>
      <c r="BI212">
        <v>361.93285013371792</v>
      </c>
      <c r="BJ212">
        <v>2.840274310126738</v>
      </c>
      <c r="BK212">
        <v>606.59642089811837</v>
      </c>
    </row>
    <row r="213" spans="1:63" x14ac:dyDescent="0.2">
      <c r="A213">
        <v>211</v>
      </c>
      <c r="B213" t="s">
        <v>69</v>
      </c>
      <c r="C213" t="s">
        <v>308</v>
      </c>
      <c r="D213" t="s">
        <v>64</v>
      </c>
      <c r="E213">
        <v>-155.2774</v>
      </c>
      <c r="F213">
        <v>19.402283329999999</v>
      </c>
      <c r="G213" t="s">
        <v>309</v>
      </c>
      <c r="H213" t="s">
        <v>385</v>
      </c>
      <c r="I213" t="s">
        <v>539</v>
      </c>
      <c r="J213" t="s">
        <v>68</v>
      </c>
      <c r="K213">
        <v>12.708670260937501</v>
      </c>
      <c r="L213">
        <v>11.555846105468749</v>
      </c>
      <c r="M213">
        <v>461.37253071601168</v>
      </c>
      <c r="N213">
        <v>7463.3208817126242</v>
      </c>
      <c r="O213" t="s">
        <v>540</v>
      </c>
      <c r="Q213">
        <v>10.016</v>
      </c>
      <c r="R213">
        <v>1324.9639999999999</v>
      </c>
      <c r="S213">
        <v>50</v>
      </c>
      <c r="T213">
        <v>103.01137461579479</v>
      </c>
      <c r="U213">
        <v>3.2881444125978362E-2</v>
      </c>
      <c r="V213">
        <v>0.103465883334124</v>
      </c>
      <c r="W213">
        <v>1.357386924252833E-2</v>
      </c>
      <c r="X213">
        <v>0</v>
      </c>
      <c r="Y213">
        <v>9.7142316305544707E-2</v>
      </c>
      <c r="Z213">
        <v>0.33776224115456033</v>
      </c>
      <c r="AA213">
        <v>5.2722839617645428E-2</v>
      </c>
      <c r="AB213">
        <v>1.4552999455759641</v>
      </c>
      <c r="AC213">
        <v>0.21904023190989511</v>
      </c>
      <c r="AD213">
        <v>1185.70000743436</v>
      </c>
      <c r="AE213">
        <v>50</v>
      </c>
      <c r="AF213">
        <v>81.794079715025291</v>
      </c>
      <c r="AG213">
        <v>2.3267000000000002</v>
      </c>
      <c r="AH213">
        <v>13.5229384615385</v>
      </c>
      <c r="AI213">
        <v>0.27728461538461502</v>
      </c>
      <c r="AJ213">
        <v>10.5531076923077</v>
      </c>
      <c r="AK213">
        <v>0.54219230769230797</v>
      </c>
      <c r="AL213">
        <v>2.8134692307692299</v>
      </c>
      <c r="AM213">
        <v>49.582307692307701</v>
      </c>
      <c r="AN213">
        <v>6.2924769230769204</v>
      </c>
      <c r="AP213">
        <v>0.17131538461538501</v>
      </c>
      <c r="AQ213">
        <v>97.508507692307774</v>
      </c>
      <c r="AR213">
        <v>0.15754459157119099</v>
      </c>
      <c r="AS213">
        <v>0.25828299253100101</v>
      </c>
      <c r="AT213">
        <v>3.3931029215008297E-2</v>
      </c>
      <c r="AU213">
        <v>0.14495579476480899</v>
      </c>
      <c r="AV213">
        <v>5.80211091118061E-2</v>
      </c>
      <c r="AW213">
        <v>5.1717153579436098E-2</v>
      </c>
      <c r="AX213">
        <v>0.58735311988266403</v>
      </c>
      <c r="AY213">
        <v>0.17920673421984901</v>
      </c>
      <c r="BA213">
        <v>4.0360043073850597E-2</v>
      </c>
      <c r="BE213">
        <v>7.5601626509141456E-2</v>
      </c>
      <c r="BF213">
        <v>22257</v>
      </c>
      <c r="BG213">
        <v>89536.551256157458</v>
      </c>
      <c r="BH213">
        <v>89.255504295937143</v>
      </c>
      <c r="BI213">
        <v>168.82052434356621</v>
      </c>
      <c r="BJ213">
        <v>0.59827615684341906</v>
      </c>
      <c r="BK213">
        <v>89.255504295937143</v>
      </c>
    </row>
    <row r="214" spans="1:63" x14ac:dyDescent="0.2">
      <c r="A214">
        <v>212</v>
      </c>
      <c r="B214" t="s">
        <v>69</v>
      </c>
      <c r="C214" t="s">
        <v>236</v>
      </c>
      <c r="D214" t="s">
        <v>64</v>
      </c>
      <c r="E214">
        <v>-155.292979</v>
      </c>
      <c r="F214">
        <v>19.400748</v>
      </c>
      <c r="G214" t="s">
        <v>237</v>
      </c>
      <c r="H214" t="s">
        <v>541</v>
      </c>
      <c r="I214" t="s">
        <v>542</v>
      </c>
      <c r="J214" t="s">
        <v>68</v>
      </c>
      <c r="K214">
        <v>4.0024274039062497</v>
      </c>
      <c r="L214">
        <v>3.4348197250000001</v>
      </c>
      <c r="M214">
        <v>43.189411298648487</v>
      </c>
      <c r="N214">
        <v>214.14021678668311</v>
      </c>
      <c r="Q214">
        <v>9.9459999999999997</v>
      </c>
      <c r="R214">
        <v>1324.9639999999999</v>
      </c>
      <c r="S214">
        <v>50</v>
      </c>
      <c r="T214">
        <v>103.0117537873771</v>
      </c>
      <c r="U214">
        <v>1.794055068784095E-2</v>
      </c>
      <c r="V214">
        <v>0.1036161263361421</v>
      </c>
      <c r="W214">
        <v>8.0642378019873395E-3</v>
      </c>
      <c r="X214">
        <v>0</v>
      </c>
      <c r="Y214">
        <v>9.684955797086936E-2</v>
      </c>
      <c r="Z214">
        <v>0.33881543474001602</v>
      </c>
      <c r="AA214">
        <v>3.5292213364660541E-2</v>
      </c>
      <c r="AB214">
        <v>1.4596755993295101</v>
      </c>
      <c r="AC214">
        <v>0.14655628556006939</v>
      </c>
      <c r="AD214">
        <v>1188.3086932497949</v>
      </c>
      <c r="AE214">
        <v>50</v>
      </c>
      <c r="AF214">
        <v>82.017769143795448</v>
      </c>
      <c r="AG214">
        <v>2.0274999999999999</v>
      </c>
      <c r="AH214">
        <v>12.7525</v>
      </c>
      <c r="AI214">
        <v>0.17249999999999999</v>
      </c>
      <c r="AJ214">
        <v>11.092499999999999</v>
      </c>
      <c r="AK214">
        <v>0.51750000000000007</v>
      </c>
      <c r="AL214">
        <v>2.5150000000000001</v>
      </c>
      <c r="AM214">
        <v>50.63</v>
      </c>
      <c r="AN214">
        <v>7.415</v>
      </c>
      <c r="AP214">
        <v>1685.75</v>
      </c>
      <c r="AR214">
        <v>0.17231270024773751</v>
      </c>
      <c r="AS214">
        <v>0.13450526631573459</v>
      </c>
      <c r="AT214">
        <v>4.9999999999999836E-3</v>
      </c>
      <c r="AU214">
        <v>0.29227555491350982</v>
      </c>
      <c r="AV214">
        <v>2.061552812808835E-2</v>
      </c>
      <c r="AW214">
        <v>6.2449979983983737E-2</v>
      </c>
      <c r="AX214">
        <v>0.21556128285632961</v>
      </c>
      <c r="AY214">
        <v>0.39770173078158311</v>
      </c>
      <c r="BA214">
        <v>51.951098801340748</v>
      </c>
      <c r="BE214">
        <v>0.16421565104783911</v>
      </c>
      <c r="BF214">
        <v>2698</v>
      </c>
      <c r="BG214">
        <v>24350.494948168081</v>
      </c>
      <c r="BH214">
        <v>237.6044689707866</v>
      </c>
      <c r="BI214">
        <v>88.039782345655269</v>
      </c>
      <c r="BJ214">
        <v>4.5743946714741659</v>
      </c>
      <c r="BK214">
        <v>237.60446897078671</v>
      </c>
    </row>
    <row r="215" spans="1:63" x14ac:dyDescent="0.2">
      <c r="A215">
        <v>213</v>
      </c>
      <c r="B215" t="s">
        <v>69</v>
      </c>
      <c r="C215" t="s">
        <v>236</v>
      </c>
      <c r="D215" t="s">
        <v>64</v>
      </c>
      <c r="E215">
        <v>-155.292979</v>
      </c>
      <c r="F215">
        <v>19.400748</v>
      </c>
      <c r="G215" t="s">
        <v>237</v>
      </c>
      <c r="H215" t="s">
        <v>541</v>
      </c>
      <c r="I215" t="s">
        <v>543</v>
      </c>
      <c r="J215" t="s">
        <v>68</v>
      </c>
      <c r="K215">
        <v>4.3621582867187509</v>
      </c>
      <c r="L215">
        <v>3.747942503125</v>
      </c>
      <c r="M215">
        <v>51.362270409384116</v>
      </c>
      <c r="N215">
        <v>277.70212654354299</v>
      </c>
      <c r="Q215">
        <v>9.91</v>
      </c>
      <c r="R215">
        <v>1324.9639999999999</v>
      </c>
      <c r="S215">
        <v>50</v>
      </c>
      <c r="T215">
        <v>103.01221620045111</v>
      </c>
      <c r="U215">
        <v>2.388094980377058E-2</v>
      </c>
      <c r="V215">
        <v>0.10379935295873111</v>
      </c>
      <c r="W215">
        <v>1.019995842879287E-2</v>
      </c>
      <c r="X215">
        <v>6.0044190680085681</v>
      </c>
      <c r="Y215">
        <v>9.6687970196794204E-2</v>
      </c>
      <c r="Z215">
        <v>0.33940045409901948</v>
      </c>
      <c r="AA215">
        <v>4.1495322942763757E-2</v>
      </c>
      <c r="AB215">
        <v>1.4621057383301861</v>
      </c>
      <c r="AC215">
        <v>0.17227532902634399</v>
      </c>
      <c r="AD215">
        <v>1188.3086932497949</v>
      </c>
      <c r="AE215">
        <v>50</v>
      </c>
      <c r="AF215">
        <v>82.017769143795448</v>
      </c>
      <c r="AG215">
        <v>2.0274999999999999</v>
      </c>
      <c r="AH215">
        <v>12.7525</v>
      </c>
      <c r="AI215">
        <v>0.17249999999999999</v>
      </c>
      <c r="AJ215">
        <v>11.092499999999999</v>
      </c>
      <c r="AK215">
        <v>0.51750000000000007</v>
      </c>
      <c r="AL215">
        <v>2.5150000000000001</v>
      </c>
      <c r="AM215">
        <v>50.63</v>
      </c>
      <c r="AN215">
        <v>7.415</v>
      </c>
      <c r="AP215">
        <v>1685.75</v>
      </c>
      <c r="AR215">
        <v>0.17231270024773751</v>
      </c>
      <c r="AS215">
        <v>0.13450526631573459</v>
      </c>
      <c r="AT215">
        <v>4.9999999999999836E-3</v>
      </c>
      <c r="AU215">
        <v>0.29227555491350982</v>
      </c>
      <c r="AV215">
        <v>2.061552812808835E-2</v>
      </c>
      <c r="AW215">
        <v>6.2449979983983737E-2</v>
      </c>
      <c r="AX215">
        <v>0.21556128285632961</v>
      </c>
      <c r="AY215">
        <v>0.39770173078158311</v>
      </c>
      <c r="BA215">
        <v>51.951098801340748</v>
      </c>
      <c r="BE215">
        <v>0.16421565104783911</v>
      </c>
      <c r="BF215">
        <v>2698</v>
      </c>
      <c r="BG215">
        <v>24350.494948168081</v>
      </c>
      <c r="BH215">
        <v>237.6044689707866</v>
      </c>
      <c r="BI215">
        <v>88.039782345655269</v>
      </c>
      <c r="BJ215">
        <v>4.5743946714741659</v>
      </c>
      <c r="BK215">
        <v>237.60446897078671</v>
      </c>
    </row>
    <row r="216" spans="1:63" x14ac:dyDescent="0.2">
      <c r="A216">
        <v>214</v>
      </c>
      <c r="B216" t="s">
        <v>69</v>
      </c>
      <c r="C216" t="s">
        <v>157</v>
      </c>
      <c r="D216" t="s">
        <v>64</v>
      </c>
      <c r="G216" t="s">
        <v>158</v>
      </c>
      <c r="H216" t="s">
        <v>159</v>
      </c>
      <c r="I216" t="s">
        <v>544</v>
      </c>
      <c r="J216" t="s">
        <v>68</v>
      </c>
      <c r="K216">
        <v>7.9865486320312504</v>
      </c>
      <c r="L216">
        <v>5.0590133781250008</v>
      </c>
      <c r="M216">
        <v>126.933086681332</v>
      </c>
      <c r="N216">
        <v>1103.94230229457</v>
      </c>
      <c r="O216" t="s">
        <v>545</v>
      </c>
      <c r="Q216">
        <v>10.125</v>
      </c>
      <c r="R216">
        <v>1324.9639999999999</v>
      </c>
      <c r="S216">
        <v>50</v>
      </c>
      <c r="T216">
        <v>103.0124642637265</v>
      </c>
      <c r="U216">
        <v>1.309100489685551E-2</v>
      </c>
      <c r="V216">
        <v>0.1038976455864358</v>
      </c>
      <c r="W216">
        <v>6.4347494955174578E-3</v>
      </c>
      <c r="X216">
        <v>0</v>
      </c>
      <c r="Y216">
        <v>0.1000757751082855</v>
      </c>
      <c r="Z216">
        <v>0.32749282448111761</v>
      </c>
      <c r="AA216">
        <v>3.0570872608657901E-2</v>
      </c>
      <c r="AB216">
        <v>1.412583838481057</v>
      </c>
      <c r="AC216">
        <v>0.1271339842278931</v>
      </c>
      <c r="AD216">
        <v>1133.073417696794</v>
      </c>
      <c r="AE216">
        <v>50</v>
      </c>
      <c r="AF216">
        <v>73.368727603519829</v>
      </c>
      <c r="AG216">
        <v>2.4084062500000001</v>
      </c>
      <c r="AH216">
        <v>13.3720625</v>
      </c>
      <c r="AI216">
        <v>0.31026874999999998</v>
      </c>
      <c r="AJ216">
        <v>10.387225000000001</v>
      </c>
      <c r="AK216">
        <v>0.59164375000000002</v>
      </c>
      <c r="AL216">
        <v>3.0521875000000001</v>
      </c>
      <c r="AM216">
        <v>49.819099999999999</v>
      </c>
      <c r="AN216">
        <v>5.8739499999999998</v>
      </c>
      <c r="AP216">
        <v>0.19186249999999999</v>
      </c>
      <c r="AQ216">
        <v>97.820293750000005</v>
      </c>
      <c r="AR216">
        <v>8.7457962997469094E-2</v>
      </c>
      <c r="AS216">
        <v>0.20894986918716499</v>
      </c>
      <c r="AT216">
        <v>3.6791968666182201E-2</v>
      </c>
      <c r="AU216">
        <v>0.19989042831845</v>
      </c>
      <c r="AV216">
        <v>2.81971149528931E-2</v>
      </c>
      <c r="AW216">
        <v>5.5804024645778501E-2</v>
      </c>
      <c r="AX216">
        <v>0.88416756556661702</v>
      </c>
      <c r="AY216">
        <v>0.205613822492555</v>
      </c>
      <c r="BA216">
        <v>4.9243326112953303E-2</v>
      </c>
      <c r="BE216">
        <v>5.9982228027338401E-2</v>
      </c>
      <c r="BF216">
        <v>2303</v>
      </c>
      <c r="BG216">
        <v>84166.305027425115</v>
      </c>
      <c r="BH216">
        <v>162.01153901297781</v>
      </c>
      <c r="BI216">
        <v>163.67946411749369</v>
      </c>
      <c r="BJ216">
        <v>3.375973108669831</v>
      </c>
      <c r="BK216">
        <v>162.01153901297781</v>
      </c>
    </row>
    <row r="217" spans="1:63" x14ac:dyDescent="0.2">
      <c r="A217">
        <v>215</v>
      </c>
      <c r="B217" t="s">
        <v>69</v>
      </c>
      <c r="C217" t="s">
        <v>91</v>
      </c>
      <c r="D217" t="s">
        <v>92</v>
      </c>
      <c r="E217">
        <v>-155.272412745889</v>
      </c>
      <c r="F217">
        <v>19.3454197541963</v>
      </c>
      <c r="G217" t="s">
        <v>124</v>
      </c>
      <c r="H217" t="s">
        <v>546</v>
      </c>
      <c r="I217" t="s">
        <v>547</v>
      </c>
      <c r="J217" t="s">
        <v>68</v>
      </c>
      <c r="K217">
        <v>7.6748206101562504</v>
      </c>
      <c r="L217">
        <v>7.4283555578125</v>
      </c>
      <c r="M217">
        <v>179.106269736624</v>
      </c>
      <c r="N217">
        <v>1803.382363079975</v>
      </c>
      <c r="Q217">
        <v>12.028</v>
      </c>
      <c r="R217">
        <v>1325.0039999999999</v>
      </c>
      <c r="S217">
        <v>50</v>
      </c>
      <c r="T217">
        <v>103.0127365654445</v>
      </c>
      <c r="U217">
        <v>5.8885189163972859E-3</v>
      </c>
      <c r="V217">
        <v>0.10400554245812541</v>
      </c>
      <c r="W217">
        <v>4.4658676654150912E-3</v>
      </c>
      <c r="X217">
        <v>1.888402280130197</v>
      </c>
      <c r="Y217">
        <v>8.7905157220995234E-2</v>
      </c>
      <c r="Z217">
        <v>0.37349998624985908</v>
      </c>
      <c r="AA217">
        <v>2.865138086108493E-2</v>
      </c>
      <c r="AB217">
        <v>1.6032461362688051</v>
      </c>
      <c r="AC217">
        <v>0.11811032187439011</v>
      </c>
      <c r="AD217">
        <v>1340.8764812509751</v>
      </c>
      <c r="AE217">
        <v>50</v>
      </c>
      <c r="AF217">
        <v>89.803383381494669</v>
      </c>
      <c r="AG217">
        <v>2.4452269230769228</v>
      </c>
      <c r="AH217">
        <v>12.97811153846154</v>
      </c>
      <c r="AJ217">
        <v>10.30404615384615</v>
      </c>
      <c r="AK217">
        <v>0.55342692307692309</v>
      </c>
      <c r="AL217">
        <v>2.900669230769231</v>
      </c>
      <c r="AM217">
        <v>50.451046153846157</v>
      </c>
      <c r="AN217">
        <v>6.0883423076923071</v>
      </c>
      <c r="AP217">
        <v>1.6526923076923071E-2</v>
      </c>
      <c r="AQ217">
        <v>97.170811538461535</v>
      </c>
      <c r="AR217">
        <v>0.14452695958247319</v>
      </c>
      <c r="AS217">
        <v>0.56238533005541524</v>
      </c>
      <c r="AU217">
        <v>0.81302815263963402</v>
      </c>
      <c r="AV217">
        <v>0.1071919159552335</v>
      </c>
      <c r="AW217">
        <v>0.48878923864523122</v>
      </c>
      <c r="AX217">
        <v>0.42567582898799372</v>
      </c>
      <c r="AY217">
        <v>0.85490953915514445</v>
      </c>
      <c r="BA217">
        <v>4.3609684880592933E-3</v>
      </c>
      <c r="BB217">
        <v>26</v>
      </c>
      <c r="BC217" t="s">
        <v>86</v>
      </c>
    </row>
    <row r="218" spans="1:63" x14ac:dyDescent="0.2">
      <c r="A218">
        <v>216</v>
      </c>
      <c r="B218" t="s">
        <v>69</v>
      </c>
      <c r="C218" t="s">
        <v>70</v>
      </c>
      <c r="D218" t="s">
        <v>71</v>
      </c>
      <c r="E218">
        <v>-155.29347999999999</v>
      </c>
      <c r="F218">
        <v>19.377479999999998</v>
      </c>
      <c r="G218" t="s">
        <v>112</v>
      </c>
      <c r="H218" t="s">
        <v>448</v>
      </c>
      <c r="I218" t="s">
        <v>548</v>
      </c>
      <c r="J218" t="s">
        <v>68</v>
      </c>
      <c r="K218">
        <v>8.0548916882812502</v>
      </c>
      <c r="L218">
        <v>5.2776995351562492</v>
      </c>
      <c r="M218">
        <v>133.55318186514029</v>
      </c>
      <c r="N218">
        <v>1187.073320264881</v>
      </c>
      <c r="Q218">
        <v>11.997</v>
      </c>
      <c r="R218">
        <v>1324.9639999999999</v>
      </c>
      <c r="S218">
        <v>50</v>
      </c>
      <c r="T218">
        <v>103.0129999767216</v>
      </c>
      <c r="U218">
        <v>3.5148522214144022E-3</v>
      </c>
      <c r="V218">
        <v>0.1041099165802635</v>
      </c>
      <c r="W218">
        <v>4.0546505896861436E-3</v>
      </c>
      <c r="X218">
        <v>0</v>
      </c>
      <c r="Y218">
        <v>9.0560776021344713E-2</v>
      </c>
      <c r="Z218">
        <v>0.3626361347719162</v>
      </c>
      <c r="AA218">
        <v>2.6771599152095399E-2</v>
      </c>
      <c r="AB218">
        <v>1.5583877254983549</v>
      </c>
      <c r="AC218">
        <v>0.11056760779056191</v>
      </c>
      <c r="AD218">
        <v>1289.173647867296</v>
      </c>
      <c r="AE218">
        <v>50</v>
      </c>
      <c r="AF218">
        <v>87.824287061308254</v>
      </c>
      <c r="AG218">
        <v>2.1280100000000002</v>
      </c>
      <c r="AH218">
        <v>12.511455</v>
      </c>
      <c r="AI218">
        <v>0.21128</v>
      </c>
      <c r="AJ218">
        <v>10.547185000000001</v>
      </c>
      <c r="AK218">
        <v>0.43435000000000001</v>
      </c>
      <c r="AL218">
        <v>2.4173399999999998</v>
      </c>
      <c r="AM218">
        <v>50.003889999999998</v>
      </c>
      <c r="AN218">
        <v>8.5805450000000008</v>
      </c>
      <c r="AO218">
        <v>11.0444</v>
      </c>
      <c r="AP218">
        <v>0.37786999999999998</v>
      </c>
      <c r="AQ218">
        <v>98.290260000000004</v>
      </c>
      <c r="AR218">
        <v>4.7093422517846893E-2</v>
      </c>
      <c r="AS218">
        <v>0.17423154844121161</v>
      </c>
      <c r="AT218">
        <v>2.1925114974993089E-2</v>
      </c>
      <c r="AU218">
        <v>0.1853741817244248</v>
      </c>
      <c r="AV218">
        <v>1.0520403456564249E-2</v>
      </c>
      <c r="AW218">
        <v>3.5166562401109248E-2</v>
      </c>
      <c r="AX218">
        <v>0.46106226248619608</v>
      </c>
      <c r="AY218">
        <v>0.4051107053427907</v>
      </c>
      <c r="AZ218">
        <v>0.14841023100402101</v>
      </c>
      <c r="BA218">
        <v>1.7068639208924791E-2</v>
      </c>
      <c r="BD218" t="s">
        <v>450</v>
      </c>
      <c r="BE218">
        <v>7.6264027551919217E-2</v>
      </c>
      <c r="BF218">
        <v>6965</v>
      </c>
      <c r="BG218">
        <v>354497.53282994783</v>
      </c>
      <c r="BH218">
        <v>44.850971621444231</v>
      </c>
      <c r="BI218">
        <v>335.91675952166378</v>
      </c>
      <c r="BJ218">
        <v>0.53741687019890405</v>
      </c>
      <c r="BK218">
        <v>44.850971621444231</v>
      </c>
    </row>
    <row r="219" spans="1:63" x14ac:dyDescent="0.2">
      <c r="A219">
        <v>217</v>
      </c>
      <c r="B219" t="s">
        <v>69</v>
      </c>
      <c r="C219" t="s">
        <v>278</v>
      </c>
      <c r="D219" t="s">
        <v>144</v>
      </c>
      <c r="E219">
        <v>-154.873789449106</v>
      </c>
      <c r="F219">
        <v>19.5537282409346</v>
      </c>
      <c r="G219" t="s">
        <v>279</v>
      </c>
      <c r="H219" t="s">
        <v>549</v>
      </c>
      <c r="I219" t="s">
        <v>550</v>
      </c>
      <c r="J219" t="s">
        <v>68</v>
      </c>
      <c r="K219">
        <v>9.40112204375</v>
      </c>
      <c r="L219">
        <v>8.8380473226562497</v>
      </c>
      <c r="M219">
        <v>261.02727284051417</v>
      </c>
      <c r="N219">
        <v>3173.9470923928479</v>
      </c>
      <c r="O219" t="s">
        <v>551</v>
      </c>
      <c r="Q219">
        <v>11.984999999999999</v>
      </c>
      <c r="R219">
        <v>1325.0039999999999</v>
      </c>
      <c r="S219">
        <v>50</v>
      </c>
      <c r="T219">
        <v>103.0131503071179</v>
      </c>
      <c r="U219">
        <v>1.8168330896824951E-2</v>
      </c>
      <c r="V219">
        <v>0.1041694835179854</v>
      </c>
      <c r="W219">
        <v>8.1441273261825941E-3</v>
      </c>
      <c r="X219">
        <v>0</v>
      </c>
      <c r="Y219">
        <v>8.9463751351823495E-2</v>
      </c>
      <c r="Z219">
        <v>0.3670610453664982</v>
      </c>
      <c r="AA219">
        <v>3.9414923084453317E-2</v>
      </c>
      <c r="AB219">
        <v>1.576670938719507</v>
      </c>
      <c r="AC219">
        <v>0.16252429944108601</v>
      </c>
      <c r="AD219">
        <v>1308.409942070612</v>
      </c>
      <c r="AE219">
        <v>50</v>
      </c>
      <c r="AF219">
        <v>88.606139566023614</v>
      </c>
    </row>
    <row r="220" spans="1:63" x14ac:dyDescent="0.2">
      <c r="A220">
        <v>218</v>
      </c>
      <c r="B220" t="s">
        <v>69</v>
      </c>
      <c r="C220" t="s">
        <v>308</v>
      </c>
      <c r="D220" t="s">
        <v>64</v>
      </c>
      <c r="E220">
        <v>-155.2774</v>
      </c>
      <c r="F220">
        <v>19.402283329999999</v>
      </c>
      <c r="G220" t="s">
        <v>309</v>
      </c>
      <c r="H220" t="s">
        <v>552</v>
      </c>
      <c r="I220" t="s">
        <v>553</v>
      </c>
      <c r="J220" t="s">
        <v>68</v>
      </c>
      <c r="K220">
        <v>7.4495093609375003</v>
      </c>
      <c r="L220">
        <v>6.3502089765624996</v>
      </c>
      <c r="M220">
        <v>148.615997391603</v>
      </c>
      <c r="N220">
        <v>1367.239269633837</v>
      </c>
      <c r="O220" t="s">
        <v>554</v>
      </c>
      <c r="Q220">
        <v>10.042999999999999</v>
      </c>
      <c r="R220">
        <v>1324.9639999999999</v>
      </c>
      <c r="S220">
        <v>50</v>
      </c>
      <c r="T220">
        <v>103.0135899266336</v>
      </c>
      <c r="U220">
        <v>6.796875646795284E-3</v>
      </c>
      <c r="V220">
        <v>0.10434367841776999</v>
      </c>
      <c r="W220">
        <v>4.6642602384850797E-3</v>
      </c>
      <c r="X220">
        <v>0</v>
      </c>
      <c r="Y220">
        <v>9.6056684653086588E-2</v>
      </c>
      <c r="Z220">
        <v>0.34169717103341363</v>
      </c>
      <c r="AA220">
        <v>2.68874476738684E-2</v>
      </c>
      <c r="AB220">
        <v>1.4716433242990199</v>
      </c>
      <c r="AC220">
        <v>0.11150088836281311</v>
      </c>
      <c r="AD220">
        <v>1190.82457545848</v>
      </c>
      <c r="AE220">
        <v>50</v>
      </c>
      <c r="AF220">
        <v>82.227106777339372</v>
      </c>
      <c r="AG220">
        <v>2.3267000000000002</v>
      </c>
      <c r="AH220">
        <v>13.5229384615385</v>
      </c>
      <c r="AI220">
        <v>0.27728461538461502</v>
      </c>
      <c r="AJ220">
        <v>10.5531076923077</v>
      </c>
      <c r="AK220">
        <v>0.54219230769230797</v>
      </c>
      <c r="AL220">
        <v>2.8134692307692299</v>
      </c>
      <c r="AM220">
        <v>49.582307692307701</v>
      </c>
      <c r="AN220">
        <v>6.2924769230769204</v>
      </c>
      <c r="AP220">
        <v>0.17131538461538501</v>
      </c>
      <c r="AQ220">
        <v>97.508507692307774</v>
      </c>
      <c r="AR220">
        <v>0.15754459157119099</v>
      </c>
      <c r="AS220">
        <v>0.25828299253100101</v>
      </c>
      <c r="AT220">
        <v>3.3931029215008297E-2</v>
      </c>
      <c r="AU220">
        <v>0.14495579476480899</v>
      </c>
      <c r="AV220">
        <v>5.80211091118061E-2</v>
      </c>
      <c r="AW220">
        <v>5.1717153579436098E-2</v>
      </c>
      <c r="AX220">
        <v>0.58735311988266403</v>
      </c>
      <c r="AY220">
        <v>0.17920673421984901</v>
      </c>
      <c r="BA220">
        <v>4.0360043073850597E-2</v>
      </c>
      <c r="BE220">
        <v>1.2771594399174671</v>
      </c>
      <c r="BF220">
        <v>19035</v>
      </c>
      <c r="BG220">
        <v>173837.7728398265</v>
      </c>
      <c r="BH220">
        <v>310.14553192077909</v>
      </c>
      <c r="BI220">
        <v>235.23239931414389</v>
      </c>
      <c r="BJ220">
        <v>2.2479626356001861</v>
      </c>
      <c r="BK220">
        <v>310.14553192077921</v>
      </c>
    </row>
    <row r="221" spans="1:63" x14ac:dyDescent="0.2">
      <c r="A221">
        <v>219</v>
      </c>
      <c r="B221" t="s">
        <v>69</v>
      </c>
      <c r="C221" t="s">
        <v>236</v>
      </c>
      <c r="D221" t="s">
        <v>64</v>
      </c>
      <c r="E221">
        <v>-155.292979</v>
      </c>
      <c r="F221">
        <v>19.400748</v>
      </c>
      <c r="G221" t="s">
        <v>237</v>
      </c>
      <c r="H221" t="s">
        <v>462</v>
      </c>
      <c r="I221" t="s">
        <v>555</v>
      </c>
      <c r="J221" t="s">
        <v>68</v>
      </c>
      <c r="K221">
        <v>6.2719863968749996</v>
      </c>
      <c r="L221">
        <v>6.2719863968749996</v>
      </c>
      <c r="M221">
        <v>123.58338546818359</v>
      </c>
      <c r="N221">
        <v>1033.484416714942</v>
      </c>
      <c r="Q221">
        <v>9.86</v>
      </c>
      <c r="R221">
        <v>1324.9639999999999</v>
      </c>
      <c r="S221">
        <v>50</v>
      </c>
      <c r="T221">
        <v>103.0136311327647</v>
      </c>
      <c r="U221">
        <v>6.4336934245693136E-3</v>
      </c>
      <c r="V221">
        <v>0.1043600059410394</v>
      </c>
      <c r="W221">
        <v>4.5826846333508068E-3</v>
      </c>
      <c r="X221">
        <v>3.2829152208008949</v>
      </c>
      <c r="Y221">
        <v>9.6263618356931979E-2</v>
      </c>
      <c r="Z221">
        <v>0.34094509154847402</v>
      </c>
      <c r="AA221">
        <v>2.737729959903577E-2</v>
      </c>
      <c r="AB221">
        <v>1.468520661256232</v>
      </c>
      <c r="AC221">
        <v>0.1135402974587835</v>
      </c>
      <c r="AD221">
        <v>1187.199296682576</v>
      </c>
      <c r="AE221">
        <v>50</v>
      </c>
      <c r="AF221">
        <v>81.923494219770703</v>
      </c>
      <c r="AG221">
        <v>2.0274999999999999</v>
      </c>
      <c r="AH221">
        <v>12.7525</v>
      </c>
      <c r="AI221">
        <v>0.17249999999999999</v>
      </c>
      <c r="AJ221">
        <v>11.092499999999999</v>
      </c>
      <c r="AK221">
        <v>0.51750000000000007</v>
      </c>
      <c r="AL221">
        <v>2.5150000000000001</v>
      </c>
      <c r="AM221">
        <v>50.63</v>
      </c>
      <c r="AN221">
        <v>7.415</v>
      </c>
      <c r="AP221">
        <v>1685.75</v>
      </c>
      <c r="AR221">
        <v>0.17231270024773751</v>
      </c>
      <c r="AS221">
        <v>0.13450526631573459</v>
      </c>
      <c r="AT221">
        <v>4.9999999999999836E-3</v>
      </c>
      <c r="AU221">
        <v>0.29227555491350982</v>
      </c>
      <c r="AV221">
        <v>2.061552812808835E-2</v>
      </c>
      <c r="AW221">
        <v>6.2449979983983737E-2</v>
      </c>
      <c r="AX221">
        <v>0.21556128285632961</v>
      </c>
      <c r="AY221">
        <v>0.39770173078158311</v>
      </c>
      <c r="BA221">
        <v>51.951098801340748</v>
      </c>
      <c r="BE221">
        <v>0.99159199734645076</v>
      </c>
      <c r="BF221">
        <v>3750</v>
      </c>
      <c r="BG221">
        <v>93956.454543412197</v>
      </c>
      <c r="BH221">
        <v>261.21715821620882</v>
      </c>
      <c r="BI221">
        <v>172.9371803631193</v>
      </c>
      <c r="BJ221">
        <v>4.2656583312638272</v>
      </c>
      <c r="BK221">
        <v>261.21715821620882</v>
      </c>
    </row>
    <row r="222" spans="1:63" x14ac:dyDescent="0.2">
      <c r="A222">
        <v>220</v>
      </c>
      <c r="B222" t="s">
        <v>69</v>
      </c>
      <c r="C222" t="s">
        <v>76</v>
      </c>
      <c r="D222" t="s">
        <v>71</v>
      </c>
      <c r="E222">
        <v>-155.29812000000001</v>
      </c>
      <c r="F222">
        <v>19.375624999999999</v>
      </c>
      <c r="G222" t="s">
        <v>77</v>
      </c>
      <c r="H222" t="s">
        <v>232</v>
      </c>
      <c r="I222" t="s">
        <v>556</v>
      </c>
      <c r="J222" t="s">
        <v>68</v>
      </c>
      <c r="K222">
        <v>5.35673572265625</v>
      </c>
      <c r="L222">
        <v>4.7884887804687502</v>
      </c>
      <c r="M222">
        <v>80.583953000646162</v>
      </c>
      <c r="N222">
        <v>545.02819636055244</v>
      </c>
      <c r="Q222">
        <v>11.852</v>
      </c>
      <c r="R222">
        <v>1324.9639999999999</v>
      </c>
      <c r="S222">
        <v>50</v>
      </c>
      <c r="T222">
        <v>103.0136868388923</v>
      </c>
      <c r="U222">
        <v>9.527194809633939E-3</v>
      </c>
      <c r="V222">
        <v>0.1043820789450223</v>
      </c>
      <c r="W222">
        <v>5.3622132844020169E-3</v>
      </c>
      <c r="X222">
        <v>0</v>
      </c>
      <c r="Y222">
        <v>9.3598170018678317E-2</v>
      </c>
      <c r="Z222">
        <v>0.35082906595683561</v>
      </c>
      <c r="AA222">
        <v>2.8522938375806151E-2</v>
      </c>
      <c r="AB222">
        <v>1.5095204828756039</v>
      </c>
      <c r="AC222">
        <v>0.1181120270614469</v>
      </c>
      <c r="AD222">
        <v>1231.4817699697419</v>
      </c>
      <c r="AE222">
        <v>50</v>
      </c>
      <c r="AF222">
        <v>84.996621911364784</v>
      </c>
      <c r="AG222">
        <v>2.5039199999999999</v>
      </c>
      <c r="AH222">
        <v>14.096819999999999</v>
      </c>
      <c r="AI222">
        <v>0.27322000000000002</v>
      </c>
      <c r="AJ222">
        <v>10.95044</v>
      </c>
      <c r="AK222">
        <v>0.52094000000000007</v>
      </c>
      <c r="AL222">
        <v>2.9191400000000001</v>
      </c>
      <c r="AM222">
        <v>50.91704</v>
      </c>
      <c r="AN222">
        <v>6.4346599999999992</v>
      </c>
      <c r="AO222">
        <v>10.86684</v>
      </c>
      <c r="AP222">
        <v>0.19492000000000001</v>
      </c>
      <c r="AQ222">
        <v>99.70778</v>
      </c>
      <c r="AR222">
        <v>5.8797253337209539E-2</v>
      </c>
      <c r="AS222">
        <v>0.138496180452748</v>
      </c>
      <c r="AT222">
        <v>2.822688434808206E-2</v>
      </c>
      <c r="AU222">
        <v>7.1287502411011894E-2</v>
      </c>
      <c r="AV222">
        <v>1.2819243347405491E-2</v>
      </c>
      <c r="AW222">
        <v>2.3721045508155889E-2</v>
      </c>
      <c r="AX222">
        <v>0.39733328327740491</v>
      </c>
      <c r="AY222">
        <v>8.3972662218129629E-2</v>
      </c>
      <c r="AZ222">
        <v>5.8132675837260117E-2</v>
      </c>
      <c r="BA222">
        <v>1.931080008699795E-2</v>
      </c>
      <c r="BD222" t="s">
        <v>234</v>
      </c>
      <c r="BE222">
        <v>0.27958494164250619</v>
      </c>
      <c r="BF222">
        <v>4550</v>
      </c>
      <c r="BG222">
        <v>244015.56957536191</v>
      </c>
      <c r="BH222">
        <v>346.35957222817399</v>
      </c>
      <c r="BI222">
        <v>278.69798739604539</v>
      </c>
      <c r="BJ222">
        <v>5.1347759246633027</v>
      </c>
      <c r="BK222">
        <v>346.35957222817382</v>
      </c>
    </row>
    <row r="223" spans="1:63" x14ac:dyDescent="0.2">
      <c r="A223">
        <v>221</v>
      </c>
      <c r="B223" t="s">
        <v>69</v>
      </c>
      <c r="C223" t="s">
        <v>91</v>
      </c>
      <c r="D223" t="s">
        <v>92</v>
      </c>
      <c r="E223">
        <v>-155.28360000000001</v>
      </c>
      <c r="F223">
        <v>19.4285</v>
      </c>
      <c r="G223" t="s">
        <v>212</v>
      </c>
      <c r="H223" t="s">
        <v>557</v>
      </c>
      <c r="I223" t="s">
        <v>558</v>
      </c>
      <c r="J223" t="s">
        <v>68</v>
      </c>
      <c r="K223">
        <v>5.7458146015624996</v>
      </c>
      <c r="L223">
        <v>5.0030487835937496</v>
      </c>
      <c r="M223">
        <v>90.310078325699024</v>
      </c>
      <c r="N223">
        <v>647.15379615046618</v>
      </c>
      <c r="O223" t="s">
        <v>559</v>
      </c>
      <c r="Q223">
        <v>12.144</v>
      </c>
      <c r="R223">
        <v>1325.0039999999999</v>
      </c>
      <c r="S223">
        <v>50</v>
      </c>
      <c r="T223">
        <v>103.0143975355425</v>
      </c>
      <c r="U223">
        <v>5.0962029064661003E-3</v>
      </c>
      <c r="V223">
        <v>0.10466368548733131</v>
      </c>
      <c r="W223">
        <v>4.3106600848385034E-3</v>
      </c>
      <c r="X223">
        <v>0</v>
      </c>
      <c r="Y223">
        <v>9.4018106333487395E-2</v>
      </c>
      <c r="Z223">
        <v>0.34924815540535159</v>
      </c>
      <c r="AA223">
        <v>3.4172565642948891E-2</v>
      </c>
      <c r="AB223">
        <v>1.502968329666726</v>
      </c>
      <c r="AC223">
        <v>0.1416859706558119</v>
      </c>
      <c r="AD223">
        <v>1220.1822987351841</v>
      </c>
      <c r="AE223">
        <v>100</v>
      </c>
      <c r="AG223">
        <v>2.1021777777777779</v>
      </c>
      <c r="AH223">
        <v>12.18196296296296</v>
      </c>
      <c r="AJ223">
        <v>10.35145925925926</v>
      </c>
      <c r="AK223">
        <v>0.4553962962962963</v>
      </c>
      <c r="AL223">
        <v>2.3345296296296301</v>
      </c>
      <c r="AM223">
        <v>49.209007407407412</v>
      </c>
      <c r="AN223">
        <v>9.4706370370370365</v>
      </c>
      <c r="AP223">
        <v>1.7722222222222219E-2</v>
      </c>
      <c r="AQ223">
        <v>97.341288888888897</v>
      </c>
      <c r="AR223">
        <v>3.1603703937420069E-2</v>
      </c>
      <c r="AS223">
        <v>0.1308813941885143</v>
      </c>
      <c r="AU223">
        <v>0.12790190128874709</v>
      </c>
      <c r="AV223">
        <v>3.4622563579722238E-2</v>
      </c>
      <c r="AW223">
        <v>4.9585767303615608E-2</v>
      </c>
      <c r="AX223">
        <v>0.4308268757472053</v>
      </c>
      <c r="AY223">
        <v>0.20483483806030409</v>
      </c>
      <c r="BA223">
        <v>4.922736366426028E-3</v>
      </c>
      <c r="BB223">
        <v>27</v>
      </c>
      <c r="BC223" t="s">
        <v>86</v>
      </c>
    </row>
    <row r="224" spans="1:63" x14ac:dyDescent="0.2">
      <c r="A224">
        <v>222</v>
      </c>
      <c r="B224" t="s">
        <v>69</v>
      </c>
      <c r="C224" t="s">
        <v>236</v>
      </c>
      <c r="D224" t="s">
        <v>64</v>
      </c>
      <c r="E224">
        <v>-155.292979</v>
      </c>
      <c r="F224">
        <v>19.400748</v>
      </c>
      <c r="G224" t="s">
        <v>237</v>
      </c>
      <c r="H224" t="s">
        <v>532</v>
      </c>
      <c r="I224" t="s">
        <v>560</v>
      </c>
      <c r="J224" t="s">
        <v>68</v>
      </c>
      <c r="K224">
        <v>5.6152305476562514</v>
      </c>
      <c r="L224">
        <v>5.6056997132812496</v>
      </c>
      <c r="M224">
        <v>98.888842719857948</v>
      </c>
      <c r="N224">
        <v>739.74987182956193</v>
      </c>
      <c r="Q224">
        <v>10.045</v>
      </c>
      <c r="R224">
        <v>1324.9639999999999</v>
      </c>
      <c r="S224">
        <v>100</v>
      </c>
      <c r="T224">
        <v>103.0150460710539</v>
      </c>
      <c r="U224">
        <v>5.7702767023920278E-3</v>
      </c>
      <c r="V224">
        <v>0.1049206612911462</v>
      </c>
      <c r="W224">
        <v>4.4422467421720889E-3</v>
      </c>
      <c r="X224">
        <v>2.4380039266164268</v>
      </c>
      <c r="Y224">
        <v>9.5621042566257142E-2</v>
      </c>
      <c r="Z224">
        <v>0.3432987293078929</v>
      </c>
      <c r="AA224">
        <v>2.667032137638075E-2</v>
      </c>
      <c r="AB224">
        <v>1.47829143281757</v>
      </c>
      <c r="AC224">
        <v>0.11064404797407559</v>
      </c>
      <c r="AD224">
        <v>1189.722947284796</v>
      </c>
      <c r="AE224">
        <v>50</v>
      </c>
      <c r="AF224">
        <v>82.136187925912921</v>
      </c>
      <c r="AG224">
        <v>2.0274999999999999</v>
      </c>
      <c r="AH224">
        <v>12.7525</v>
      </c>
      <c r="AI224">
        <v>0.17249999999999999</v>
      </c>
      <c r="AJ224">
        <v>11.092499999999999</v>
      </c>
      <c r="AK224">
        <v>0.51750000000000007</v>
      </c>
      <c r="AL224">
        <v>2.5150000000000001</v>
      </c>
      <c r="AM224">
        <v>50.63</v>
      </c>
      <c r="AN224">
        <v>7.415</v>
      </c>
      <c r="AP224">
        <v>1685.75</v>
      </c>
      <c r="AR224">
        <v>0.17231270024773751</v>
      </c>
      <c r="AS224">
        <v>0.13450526631573459</v>
      </c>
      <c r="AT224">
        <v>4.9999999999999836E-3</v>
      </c>
      <c r="AU224">
        <v>0.29227555491350982</v>
      </c>
      <c r="AV224">
        <v>2.061552812808835E-2</v>
      </c>
      <c r="AW224">
        <v>6.2449979983983737E-2</v>
      </c>
      <c r="AX224">
        <v>0.21556128285632961</v>
      </c>
      <c r="AY224">
        <v>0.39770173078158311</v>
      </c>
      <c r="BA224">
        <v>51.951098801340748</v>
      </c>
      <c r="BE224">
        <v>8.8637510523642077E-2</v>
      </c>
      <c r="BF224">
        <v>23296</v>
      </c>
      <c r="BG224">
        <v>93566.581104554003</v>
      </c>
      <c r="BH224">
        <v>10.88216268122571</v>
      </c>
      <c r="BI224">
        <v>172.5780049195059</v>
      </c>
      <c r="BJ224">
        <v>7.1297538309187794E-2</v>
      </c>
      <c r="BK224">
        <v>10.88216268122571</v>
      </c>
    </row>
    <row r="225" spans="1:63" x14ac:dyDescent="0.2">
      <c r="A225">
        <v>223</v>
      </c>
      <c r="B225" t="s">
        <v>69</v>
      </c>
      <c r="C225" t="s">
        <v>236</v>
      </c>
      <c r="D225" t="s">
        <v>64</v>
      </c>
      <c r="E225">
        <v>-155.292979</v>
      </c>
      <c r="F225">
        <v>19.400748</v>
      </c>
      <c r="G225" t="s">
        <v>237</v>
      </c>
      <c r="H225" t="s">
        <v>561</v>
      </c>
      <c r="I225" t="s">
        <v>562</v>
      </c>
      <c r="J225" t="s">
        <v>68</v>
      </c>
      <c r="K225">
        <v>12.8211805984375</v>
      </c>
      <c r="L225">
        <v>11.102899013281251</v>
      </c>
      <c r="M225">
        <v>447.21285638391657</v>
      </c>
      <c r="N225">
        <v>7132.7706530086434</v>
      </c>
      <c r="Q225">
        <v>10.019</v>
      </c>
      <c r="R225">
        <v>1324.9639999999999</v>
      </c>
      <c r="S225">
        <v>50</v>
      </c>
      <c r="T225">
        <v>103.0151339817242</v>
      </c>
      <c r="U225">
        <v>4.7741183356096832E-2</v>
      </c>
      <c r="V225">
        <v>0.10495549502769561</v>
      </c>
      <c r="W225">
        <v>1.9296579407219929E-2</v>
      </c>
      <c r="X225">
        <v>2.6319936335122618</v>
      </c>
      <c r="Y225">
        <v>9.5389230887180765E-2</v>
      </c>
      <c r="Z225">
        <v>0.34415086656893362</v>
      </c>
      <c r="AA225">
        <v>7.1073449667118024E-2</v>
      </c>
      <c r="AB225">
        <v>1.481827776004959</v>
      </c>
      <c r="AC225">
        <v>0.29460178078423838</v>
      </c>
      <c r="AD225">
        <v>1193.04145805802</v>
      </c>
      <c r="AE225">
        <v>50</v>
      </c>
      <c r="AF225">
        <v>82.406705623951865</v>
      </c>
      <c r="AG225">
        <v>2.0274999999999999</v>
      </c>
      <c r="AH225">
        <v>12.7525</v>
      </c>
      <c r="AI225">
        <v>0.17249999999999999</v>
      </c>
      <c r="AJ225">
        <v>11.092499999999999</v>
      </c>
      <c r="AK225">
        <v>0.51750000000000007</v>
      </c>
      <c r="AL225">
        <v>2.5150000000000001</v>
      </c>
      <c r="AM225">
        <v>50.63</v>
      </c>
      <c r="AN225">
        <v>7.415</v>
      </c>
      <c r="AP225">
        <v>1685.75</v>
      </c>
      <c r="AR225">
        <v>0.17231270024773751</v>
      </c>
      <c r="AS225">
        <v>0.13450526631573459</v>
      </c>
      <c r="AT225">
        <v>4.9999999999999836E-3</v>
      </c>
      <c r="AU225">
        <v>0.29227555491350982</v>
      </c>
      <c r="AV225">
        <v>2.061552812808835E-2</v>
      </c>
      <c r="AW225">
        <v>6.2449979983983737E-2</v>
      </c>
      <c r="AX225">
        <v>0.21556128285632961</v>
      </c>
      <c r="AY225">
        <v>0.39770173078158311</v>
      </c>
      <c r="BA225">
        <v>51.951098801340748</v>
      </c>
      <c r="BE225">
        <v>8.6708389499212959E-2</v>
      </c>
      <c r="BF225">
        <v>2458</v>
      </c>
      <c r="BG225">
        <v>22100.035436034341</v>
      </c>
      <c r="BH225">
        <v>3.1717134708853272</v>
      </c>
      <c r="BI225">
        <v>83.872878597922423</v>
      </c>
      <c r="BJ225">
        <v>6.397392656118904E-2</v>
      </c>
      <c r="BK225">
        <v>3.1717134708853281</v>
      </c>
    </row>
    <row r="226" spans="1:63" x14ac:dyDescent="0.2">
      <c r="A226">
        <v>224</v>
      </c>
      <c r="B226" t="s">
        <v>62</v>
      </c>
      <c r="C226" t="s">
        <v>63</v>
      </c>
      <c r="D226" t="s">
        <v>64</v>
      </c>
      <c r="E226">
        <v>-155.26785000000001</v>
      </c>
      <c r="F226">
        <v>19.407830000000001</v>
      </c>
      <c r="G226" t="s">
        <v>65</v>
      </c>
      <c r="H226" t="s">
        <v>563</v>
      </c>
      <c r="I226" t="s">
        <v>564</v>
      </c>
      <c r="J226" t="s">
        <v>68</v>
      </c>
      <c r="K226">
        <v>20.354375334375</v>
      </c>
      <c r="L226">
        <v>19.960879727343752</v>
      </c>
      <c r="M226">
        <v>1276.4015684391311</v>
      </c>
      <c r="N226">
        <v>34305.636528534284</v>
      </c>
      <c r="Q226">
        <v>12.002000000000001</v>
      </c>
      <c r="R226">
        <v>1325.0039999999999</v>
      </c>
      <c r="S226">
        <v>50</v>
      </c>
      <c r="T226">
        <v>103.01516669999999</v>
      </c>
      <c r="U226">
        <v>3.5180384520000002E-3</v>
      </c>
      <c r="V226">
        <v>0.1049684457</v>
      </c>
      <c r="W226">
        <v>4.0557844710000001E-3</v>
      </c>
      <c r="X226">
        <v>6.598181442649441</v>
      </c>
      <c r="Y226">
        <v>9.6022115093144844E-2</v>
      </c>
      <c r="Z226">
        <v>0.34183355585030573</v>
      </c>
      <c r="AA226">
        <v>2.6336413354908609E-2</v>
      </c>
      <c r="AB226">
        <v>1.472209547129226</v>
      </c>
      <c r="AC226">
        <v>0.10923415453312579</v>
      </c>
      <c r="AD226">
        <v>1182.476653808731</v>
      </c>
      <c r="AE226">
        <v>50</v>
      </c>
      <c r="AF226">
        <v>81.507573089999994</v>
      </c>
      <c r="BE226">
        <v>0.29104576403289678</v>
      </c>
      <c r="BF226">
        <v>3120</v>
      </c>
      <c r="BG226">
        <v>199709.93517971699</v>
      </c>
      <c r="BH226">
        <v>60.337392241759183</v>
      </c>
      <c r="BI226">
        <v>252.1302178177537</v>
      </c>
      <c r="BJ226">
        <v>1.0802126011268809</v>
      </c>
      <c r="BK226">
        <v>60.337392241759183</v>
      </c>
    </row>
    <row r="227" spans="1:63" x14ac:dyDescent="0.2">
      <c r="A227">
        <v>225</v>
      </c>
      <c r="B227" t="s">
        <v>69</v>
      </c>
      <c r="C227" t="s">
        <v>70</v>
      </c>
      <c r="D227" t="s">
        <v>71</v>
      </c>
      <c r="E227">
        <v>-155.29347999999999</v>
      </c>
      <c r="F227">
        <v>19.377479999999998</v>
      </c>
      <c r="G227" t="s">
        <v>112</v>
      </c>
      <c r="H227" t="s">
        <v>565</v>
      </c>
      <c r="I227" t="s">
        <v>566</v>
      </c>
      <c r="J227" t="s">
        <v>68</v>
      </c>
      <c r="K227">
        <v>11.260855158593751</v>
      </c>
      <c r="L227">
        <v>9.109850446874999</v>
      </c>
      <c r="M227">
        <v>322.2793599928529</v>
      </c>
      <c r="N227">
        <v>4376.7053100888606</v>
      </c>
      <c r="Q227">
        <v>11.994999999999999</v>
      </c>
      <c r="R227">
        <v>1324.9639999999999</v>
      </c>
      <c r="S227">
        <v>50</v>
      </c>
      <c r="T227">
        <v>103.0155404868586</v>
      </c>
      <c r="U227">
        <v>1.7451797822620599E-3</v>
      </c>
      <c r="V227">
        <v>0.1051165686803017</v>
      </c>
      <c r="W227">
        <v>3.871095486630781E-3</v>
      </c>
      <c r="X227">
        <v>2.7959732494476439</v>
      </c>
      <c r="Y227">
        <v>8.852342838784566E-2</v>
      </c>
      <c r="Z227">
        <v>0.37094072484359208</v>
      </c>
      <c r="AA227">
        <v>2.4352354133913071E-2</v>
      </c>
      <c r="AB227">
        <v>1.592687610936345</v>
      </c>
      <c r="AC227">
        <v>0.10037095249186941</v>
      </c>
      <c r="AD227">
        <v>1311.095822974389</v>
      </c>
      <c r="AE227">
        <v>50</v>
      </c>
      <c r="AF227">
        <v>88.71061602282235</v>
      </c>
      <c r="AG227">
        <v>2.1280100000000002</v>
      </c>
      <c r="AH227">
        <v>12.511455</v>
      </c>
      <c r="AI227">
        <v>0.21128</v>
      </c>
      <c r="AJ227">
        <v>10.547185000000001</v>
      </c>
      <c r="AK227">
        <v>0.43435000000000001</v>
      </c>
      <c r="AL227">
        <v>2.4173399999999998</v>
      </c>
      <c r="AM227">
        <v>50.003889999999998</v>
      </c>
      <c r="AN227">
        <v>8.5805450000000008</v>
      </c>
      <c r="AO227">
        <v>11.0444</v>
      </c>
      <c r="AP227">
        <v>0.37786999999999998</v>
      </c>
      <c r="AQ227">
        <v>98.290260000000004</v>
      </c>
      <c r="AR227">
        <v>4.7093422517846893E-2</v>
      </c>
      <c r="AS227">
        <v>0.17423154844121161</v>
      </c>
      <c r="AT227">
        <v>2.1925114974993089E-2</v>
      </c>
      <c r="AU227">
        <v>0.1853741817244248</v>
      </c>
      <c r="AV227">
        <v>1.0520403456564249E-2</v>
      </c>
      <c r="AW227">
        <v>3.5166562401109248E-2</v>
      </c>
      <c r="AX227">
        <v>0.46106226248619608</v>
      </c>
      <c r="AY227">
        <v>0.4051107053427907</v>
      </c>
      <c r="AZ227">
        <v>0.14841023100402101</v>
      </c>
      <c r="BA227">
        <v>1.7068639208924791E-2</v>
      </c>
      <c r="BD227" t="s">
        <v>567</v>
      </c>
      <c r="BE227">
        <v>0.75433373434652995</v>
      </c>
      <c r="BF227">
        <v>9298</v>
      </c>
      <c r="BG227">
        <v>931194.43528250197</v>
      </c>
      <c r="BH227">
        <v>3856.1120049074402</v>
      </c>
      <c r="BI227">
        <v>544.43401318226995</v>
      </c>
      <c r="BJ227">
        <v>39.9903190511071</v>
      </c>
      <c r="BK227">
        <v>3856.1120049074402</v>
      </c>
    </row>
    <row r="228" spans="1:63" x14ac:dyDescent="0.2">
      <c r="A228">
        <v>226</v>
      </c>
      <c r="B228" t="s">
        <v>69</v>
      </c>
      <c r="C228" t="s">
        <v>70</v>
      </c>
      <c r="D228" t="s">
        <v>71</v>
      </c>
      <c r="E228">
        <v>-155.29347999999999</v>
      </c>
      <c r="F228">
        <v>19.377479999999998</v>
      </c>
      <c r="G228" t="s">
        <v>112</v>
      </c>
      <c r="H228" t="s">
        <v>419</v>
      </c>
      <c r="I228" t="s">
        <v>568</v>
      </c>
      <c r="J228" t="s">
        <v>68</v>
      </c>
      <c r="K228">
        <v>8.0763941804687498</v>
      </c>
      <c r="L228">
        <v>6.1975412820312501</v>
      </c>
      <c r="M228">
        <v>157.24860746081629</v>
      </c>
      <c r="N228">
        <v>1496.370982975792</v>
      </c>
      <c r="Q228">
        <v>11.965</v>
      </c>
      <c r="R228">
        <v>1324.9639999999999</v>
      </c>
      <c r="S228">
        <v>50</v>
      </c>
      <c r="T228">
        <v>103.0157281534987</v>
      </c>
      <c r="U228">
        <v>1.8086645578594629E-2</v>
      </c>
      <c r="V228">
        <v>0.1051909297366365</v>
      </c>
      <c r="W228">
        <v>8.1159502103361827E-3</v>
      </c>
      <c r="X228">
        <v>0</v>
      </c>
      <c r="Y228">
        <v>8.8465696493639112E-2</v>
      </c>
      <c r="Z228">
        <v>0.37118142073163918</v>
      </c>
      <c r="AA228">
        <v>3.7522308830965231E-2</v>
      </c>
      <c r="AB228">
        <v>1.5936808662180819</v>
      </c>
      <c r="AC228">
        <v>0.15454217891907851</v>
      </c>
      <c r="AD228">
        <v>1311.014317211537</v>
      </c>
      <c r="AE228">
        <v>50</v>
      </c>
      <c r="AF228">
        <v>88.707461317224912</v>
      </c>
      <c r="AG228">
        <v>2.1280100000000002</v>
      </c>
      <c r="AH228">
        <v>12.511455</v>
      </c>
      <c r="AI228">
        <v>0.21128</v>
      </c>
      <c r="AJ228">
        <v>10.547185000000001</v>
      </c>
      <c r="AK228">
        <v>0.43435000000000001</v>
      </c>
      <c r="AL228">
        <v>2.4173399999999998</v>
      </c>
      <c r="AM228">
        <v>50.003889999999998</v>
      </c>
      <c r="AN228">
        <v>8.5805450000000008</v>
      </c>
      <c r="AO228">
        <v>11.0444</v>
      </c>
      <c r="AP228">
        <v>0.37786999999999998</v>
      </c>
      <c r="AQ228">
        <v>98.290260000000004</v>
      </c>
      <c r="AR228">
        <v>4.7093422517846893E-2</v>
      </c>
      <c r="AS228">
        <v>0.17423154844121161</v>
      </c>
      <c r="AT228">
        <v>2.1925114974993089E-2</v>
      </c>
      <c r="AU228">
        <v>0.1853741817244248</v>
      </c>
      <c r="AV228">
        <v>1.0520403456564249E-2</v>
      </c>
      <c r="AW228">
        <v>3.5166562401109248E-2</v>
      </c>
      <c r="AX228">
        <v>0.46106226248619608</v>
      </c>
      <c r="AY228">
        <v>0.4051107053427907</v>
      </c>
      <c r="AZ228">
        <v>0.14841023100402101</v>
      </c>
      <c r="BA228">
        <v>1.7068639208924791E-2</v>
      </c>
    </row>
    <row r="229" spans="1:63" x14ac:dyDescent="0.2">
      <c r="A229">
        <v>227</v>
      </c>
      <c r="B229" t="s">
        <v>69</v>
      </c>
      <c r="C229" t="s">
        <v>76</v>
      </c>
      <c r="D229" t="s">
        <v>71</v>
      </c>
      <c r="E229">
        <v>-155.29812000000001</v>
      </c>
      <c r="F229">
        <v>19.375624999999999</v>
      </c>
      <c r="G229" t="s">
        <v>77</v>
      </c>
      <c r="H229" t="s">
        <v>569</v>
      </c>
      <c r="I229" t="s">
        <v>570</v>
      </c>
      <c r="J229" t="s">
        <v>68</v>
      </c>
      <c r="K229">
        <v>11.853975253906251</v>
      </c>
      <c r="L229">
        <v>9.7111066203125009</v>
      </c>
      <c r="M229">
        <v>361.64512181931582</v>
      </c>
      <c r="N229">
        <v>5199.2711076302376</v>
      </c>
      <c r="Q229">
        <v>11.875999999999999</v>
      </c>
      <c r="R229">
        <v>1324.9639999999999</v>
      </c>
      <c r="S229">
        <v>50</v>
      </c>
      <c r="T229">
        <v>103.01769739635409</v>
      </c>
      <c r="U229">
        <v>2.1674560588710919E-3</v>
      </c>
      <c r="V229">
        <v>0.1059712228073124</v>
      </c>
      <c r="W229">
        <v>3.905224282092821E-3</v>
      </c>
      <c r="X229">
        <v>5.9235428255365479</v>
      </c>
      <c r="Y229">
        <v>9.0573666330882374E-2</v>
      </c>
      <c r="Z229">
        <v>0.3626159686974339</v>
      </c>
      <c r="AA229">
        <v>2.6563763316424811E-2</v>
      </c>
      <c r="AB229">
        <v>1.5583043634421681</v>
      </c>
      <c r="AC229">
        <v>0.1095957984044858</v>
      </c>
      <c r="AD229">
        <v>1260.624890062099</v>
      </c>
      <c r="AE229">
        <v>50</v>
      </c>
      <c r="AF229">
        <v>86.533709306402642</v>
      </c>
      <c r="AG229">
        <v>2.5039199999999999</v>
      </c>
      <c r="AH229">
        <v>14.096819999999999</v>
      </c>
      <c r="AI229">
        <v>0.27322000000000002</v>
      </c>
      <c r="AJ229">
        <v>10.95044</v>
      </c>
      <c r="AK229">
        <v>0.52094000000000007</v>
      </c>
      <c r="AL229">
        <v>2.9191400000000001</v>
      </c>
      <c r="AM229">
        <v>50.91704</v>
      </c>
      <c r="AN229">
        <v>6.4346599999999992</v>
      </c>
      <c r="AO229">
        <v>10.86684</v>
      </c>
      <c r="AP229">
        <v>0.19492000000000001</v>
      </c>
      <c r="AQ229">
        <v>99.70778</v>
      </c>
      <c r="AR229">
        <v>5.8797253337209539E-2</v>
      </c>
      <c r="AS229">
        <v>0.138496180452748</v>
      </c>
      <c r="AT229">
        <v>2.822688434808206E-2</v>
      </c>
      <c r="AU229">
        <v>7.1287502411011894E-2</v>
      </c>
      <c r="AV229">
        <v>1.2819243347405491E-2</v>
      </c>
      <c r="AW229">
        <v>2.3721045508155889E-2</v>
      </c>
      <c r="AX229">
        <v>0.39733328327740491</v>
      </c>
      <c r="AY229">
        <v>8.3972662218129629E-2</v>
      </c>
      <c r="AZ229">
        <v>5.8132675837260117E-2</v>
      </c>
      <c r="BA229">
        <v>1.931080008699795E-2</v>
      </c>
      <c r="BD229" t="s">
        <v>571</v>
      </c>
      <c r="BE229">
        <v>9.8929799086193704E-2</v>
      </c>
      <c r="BF229">
        <v>5176</v>
      </c>
      <c r="BG229">
        <v>519972.26806923602</v>
      </c>
      <c r="BH229">
        <v>57.732519363309002</v>
      </c>
      <c r="BI229">
        <v>406.83204577300199</v>
      </c>
      <c r="BJ229">
        <v>0.80245996785305895</v>
      </c>
      <c r="BK229">
        <v>57.732519363309002</v>
      </c>
    </row>
    <row r="230" spans="1:63" x14ac:dyDescent="0.2">
      <c r="A230">
        <v>228</v>
      </c>
      <c r="B230" t="s">
        <v>69</v>
      </c>
      <c r="C230" t="s">
        <v>70</v>
      </c>
      <c r="D230" t="s">
        <v>71</v>
      </c>
      <c r="E230">
        <v>-155.29347999999999</v>
      </c>
      <c r="F230">
        <v>19.377479999999998</v>
      </c>
      <c r="G230" t="s">
        <v>112</v>
      </c>
      <c r="H230" t="s">
        <v>572</v>
      </c>
      <c r="I230" t="s">
        <v>573</v>
      </c>
      <c r="J230" t="s">
        <v>85</v>
      </c>
      <c r="K230">
        <v>5.8487941046874994</v>
      </c>
      <c r="L230">
        <v>5.1185810929687499</v>
      </c>
      <c r="M230">
        <v>94.051514641410563</v>
      </c>
      <c r="N230">
        <v>687.66549932013982</v>
      </c>
      <c r="Q230">
        <v>12.12</v>
      </c>
      <c r="R230">
        <v>1324.9639999999999</v>
      </c>
      <c r="S230">
        <v>50</v>
      </c>
      <c r="T230">
        <v>103.01778472898221</v>
      </c>
      <c r="U230">
        <v>2.5543692802798578E-3</v>
      </c>
      <c r="V230">
        <v>0.10600582750038259</v>
      </c>
      <c r="W230">
        <v>3.9418099484737632E-3</v>
      </c>
      <c r="X230">
        <v>0</v>
      </c>
      <c r="Y230">
        <v>8.9057468796122752E-2</v>
      </c>
      <c r="Z230">
        <v>0.36875303372038137</v>
      </c>
      <c r="AA230">
        <v>2.687182680529478E-2</v>
      </c>
      <c r="AB230">
        <v>1.5836576312476141</v>
      </c>
      <c r="AC230">
        <v>0.1108261260399743</v>
      </c>
      <c r="AD230">
        <v>1287.4657298484619</v>
      </c>
      <c r="AE230">
        <v>50</v>
      </c>
      <c r="AF230">
        <v>87.751785472316683</v>
      </c>
      <c r="AG230">
        <v>2.1280100000000002</v>
      </c>
      <c r="AH230">
        <v>12.511455</v>
      </c>
      <c r="AI230">
        <v>0.21128</v>
      </c>
      <c r="AJ230">
        <v>10.547185000000001</v>
      </c>
      <c r="AK230">
        <v>0.43435000000000001</v>
      </c>
      <c r="AL230">
        <v>2.4173399999999998</v>
      </c>
      <c r="AM230">
        <v>50.003889999999998</v>
      </c>
      <c r="AN230">
        <v>8.5805450000000008</v>
      </c>
      <c r="AO230">
        <v>11.0444</v>
      </c>
      <c r="AP230">
        <v>0.37786999999999998</v>
      </c>
      <c r="AQ230">
        <v>98.290260000000004</v>
      </c>
      <c r="AR230">
        <v>4.7093422517846893E-2</v>
      </c>
      <c r="AS230">
        <v>0.17423154844121161</v>
      </c>
      <c r="AT230">
        <v>2.1925114974993089E-2</v>
      </c>
      <c r="AU230">
        <v>0.1853741817244248</v>
      </c>
      <c r="AV230">
        <v>1.0520403456564249E-2</v>
      </c>
      <c r="AW230">
        <v>3.5166562401109248E-2</v>
      </c>
      <c r="AX230">
        <v>0.46106226248619608</v>
      </c>
      <c r="AY230">
        <v>0.4051107053427907</v>
      </c>
      <c r="AZ230">
        <v>0.14841023100402101</v>
      </c>
      <c r="BA230">
        <v>1.7068639208924791E-2</v>
      </c>
      <c r="BD230" t="s">
        <v>574</v>
      </c>
      <c r="BE230">
        <v>0.10042616720186739</v>
      </c>
      <c r="BF230">
        <v>6368</v>
      </c>
      <c r="BG230">
        <v>637795.07250067522</v>
      </c>
      <c r="BH230">
        <v>177.4936613056681</v>
      </c>
      <c r="BI230">
        <v>450.57349781836092</v>
      </c>
      <c r="BJ230">
        <v>2.2242383303227959</v>
      </c>
      <c r="BK230">
        <v>177.4936613056681</v>
      </c>
    </row>
    <row r="231" spans="1:63" x14ac:dyDescent="0.2">
      <c r="A231">
        <v>229</v>
      </c>
      <c r="B231" t="s">
        <v>69</v>
      </c>
      <c r="C231" t="s">
        <v>76</v>
      </c>
      <c r="D231" t="s">
        <v>71</v>
      </c>
      <c r="E231">
        <v>-155.29812000000001</v>
      </c>
      <c r="F231">
        <v>19.375624999999999</v>
      </c>
      <c r="G231" t="s">
        <v>77</v>
      </c>
      <c r="H231" t="s">
        <v>575</v>
      </c>
      <c r="I231" t="s">
        <v>576</v>
      </c>
      <c r="J231" t="s">
        <v>68</v>
      </c>
      <c r="K231">
        <v>4.3220009296875004</v>
      </c>
      <c r="L231">
        <v>4.3220009296875004</v>
      </c>
      <c r="M231">
        <v>58.683983272307323</v>
      </c>
      <c r="N231">
        <v>338.17630701423718</v>
      </c>
      <c r="Q231">
        <v>12.003</v>
      </c>
      <c r="R231">
        <v>1324.9639999999999</v>
      </c>
      <c r="S231">
        <v>100</v>
      </c>
      <c r="T231">
        <v>103.0181638372942</v>
      </c>
      <c r="U231">
        <v>4.0448347497839951E-3</v>
      </c>
      <c r="V231">
        <v>0.1061560454321437</v>
      </c>
      <c r="W231">
        <v>4.1331882836711867E-3</v>
      </c>
      <c r="X231">
        <v>0</v>
      </c>
      <c r="Y231">
        <v>9.127645127106554E-2</v>
      </c>
      <c r="Z231">
        <v>0.35983111139763918</v>
      </c>
      <c r="AA231">
        <v>2.6592013350184539E-2</v>
      </c>
      <c r="AB231">
        <v>1.546789051936402</v>
      </c>
      <c r="AC231">
        <v>0.1098865115446479</v>
      </c>
      <c r="AD231">
        <v>1245.4825200258249</v>
      </c>
      <c r="AE231">
        <v>50</v>
      </c>
      <c r="AF231">
        <v>85.768463646771821</v>
      </c>
      <c r="AG231">
        <v>2.5039199999999999</v>
      </c>
      <c r="AH231">
        <v>14.096819999999999</v>
      </c>
      <c r="AI231">
        <v>0.27322000000000002</v>
      </c>
      <c r="AJ231">
        <v>10.95044</v>
      </c>
      <c r="AK231">
        <v>0.52094000000000007</v>
      </c>
      <c r="AL231">
        <v>2.9191400000000001</v>
      </c>
      <c r="AM231">
        <v>50.91704</v>
      </c>
      <c r="AN231">
        <v>6.4346599999999992</v>
      </c>
      <c r="AO231">
        <v>10.86684</v>
      </c>
      <c r="AP231">
        <v>0.19492000000000001</v>
      </c>
      <c r="AQ231">
        <v>99.70778</v>
      </c>
      <c r="AR231">
        <v>5.8797253337209539E-2</v>
      </c>
      <c r="AS231">
        <v>0.138496180452748</v>
      </c>
      <c r="AT231">
        <v>2.822688434808206E-2</v>
      </c>
      <c r="AU231">
        <v>7.1287502411011894E-2</v>
      </c>
      <c r="AV231">
        <v>1.2819243347405491E-2</v>
      </c>
      <c r="AW231">
        <v>2.3721045508155889E-2</v>
      </c>
      <c r="AX231">
        <v>0.39733328327740491</v>
      </c>
      <c r="AY231">
        <v>8.3972662218129629E-2</v>
      </c>
      <c r="AZ231">
        <v>5.8132675837260117E-2</v>
      </c>
      <c r="BA231">
        <v>1.931080008699795E-2</v>
      </c>
    </row>
    <row r="232" spans="1:63" x14ac:dyDescent="0.2">
      <c r="A232">
        <v>230</v>
      </c>
      <c r="B232" t="s">
        <v>69</v>
      </c>
      <c r="C232" t="s">
        <v>308</v>
      </c>
      <c r="D232" t="s">
        <v>64</v>
      </c>
      <c r="E232">
        <v>-155.2774</v>
      </c>
      <c r="F232">
        <v>19.402283329999999</v>
      </c>
      <c r="G232" t="s">
        <v>309</v>
      </c>
      <c r="H232" t="s">
        <v>577</v>
      </c>
      <c r="I232" t="s">
        <v>578</v>
      </c>
      <c r="J232" t="s">
        <v>68</v>
      </c>
      <c r="K232">
        <v>5.0480877875000001</v>
      </c>
      <c r="L232">
        <v>4.5309237929687498</v>
      </c>
      <c r="M232">
        <v>71.856081316218507</v>
      </c>
      <c r="N232">
        <v>458.87349003677417</v>
      </c>
      <c r="O232" t="s">
        <v>579</v>
      </c>
      <c r="Q232">
        <v>10.058999999999999</v>
      </c>
      <c r="R232">
        <v>1324.9639999999999</v>
      </c>
      <c r="S232">
        <v>50</v>
      </c>
      <c r="T232">
        <v>103.0183860613017</v>
      </c>
      <c r="U232">
        <v>4.937187784422716E-3</v>
      </c>
      <c r="V232">
        <v>0.106244099504643</v>
      </c>
      <c r="W232">
        <v>4.2827924675507556E-3</v>
      </c>
      <c r="X232">
        <v>0</v>
      </c>
      <c r="Y232">
        <v>9.4418500591696763E-2</v>
      </c>
      <c r="Z232">
        <v>0.34777297544475683</v>
      </c>
      <c r="AA232">
        <v>2.5213244845474589E-2</v>
      </c>
      <c r="AB232">
        <v>1.4968524469087421</v>
      </c>
      <c r="AC232">
        <v>0.1045545327354932</v>
      </c>
      <c r="AD232">
        <v>1190.7656333499999</v>
      </c>
      <c r="AE232">
        <v>50</v>
      </c>
      <c r="AF232">
        <v>82.222270884564921</v>
      </c>
      <c r="AG232">
        <v>2.3267000000000002</v>
      </c>
      <c r="AH232">
        <v>13.5229384615385</v>
      </c>
      <c r="AI232">
        <v>0.27728461538461502</v>
      </c>
      <c r="AJ232">
        <v>10.5531076923077</v>
      </c>
      <c r="AK232">
        <v>0.54219230769230797</v>
      </c>
      <c r="AL232">
        <v>2.8134692307692299</v>
      </c>
      <c r="AM232">
        <v>49.582307692307701</v>
      </c>
      <c r="AN232">
        <v>6.2924769230769204</v>
      </c>
      <c r="AP232">
        <v>0.17131538461538501</v>
      </c>
      <c r="AQ232">
        <v>97.508507692307774</v>
      </c>
      <c r="AR232">
        <v>0.15754459157119099</v>
      </c>
      <c r="AS232">
        <v>0.25828299253100101</v>
      </c>
      <c r="AT232">
        <v>3.3931029215008297E-2</v>
      </c>
      <c r="AU232">
        <v>0.14495579476480899</v>
      </c>
      <c r="AV232">
        <v>5.80211091118061E-2</v>
      </c>
      <c r="AW232">
        <v>5.1717153579436098E-2</v>
      </c>
      <c r="AX232">
        <v>0.58735311988266403</v>
      </c>
      <c r="AY232">
        <v>0.17920673421984901</v>
      </c>
      <c r="BA232">
        <v>4.0360043073850597E-2</v>
      </c>
      <c r="BE232">
        <v>1.440911286241948</v>
      </c>
      <c r="BF232">
        <v>20867</v>
      </c>
      <c r="BG232">
        <v>188327.74600657579</v>
      </c>
      <c r="BH232">
        <v>421.06907534676878</v>
      </c>
      <c r="BI232">
        <v>244.83991381431861</v>
      </c>
      <c r="BJ232">
        <v>2.9148978412787359</v>
      </c>
      <c r="BK232">
        <v>421.06907534676901</v>
      </c>
    </row>
    <row r="233" spans="1:63" x14ac:dyDescent="0.2">
      <c r="A233">
        <v>231</v>
      </c>
      <c r="B233" t="s">
        <v>69</v>
      </c>
      <c r="C233" t="s">
        <v>321</v>
      </c>
      <c r="D233" t="s">
        <v>322</v>
      </c>
      <c r="E233">
        <v>-155.27718329999999</v>
      </c>
      <c r="F233">
        <v>19.40966667</v>
      </c>
      <c r="G233" t="s">
        <v>323</v>
      </c>
      <c r="H233" t="s">
        <v>580</v>
      </c>
      <c r="I233" t="s">
        <v>581</v>
      </c>
      <c r="J233" t="s">
        <v>68</v>
      </c>
      <c r="K233">
        <v>14.900181018750001</v>
      </c>
      <c r="L233">
        <v>14.1545675734375</v>
      </c>
      <c r="M233">
        <v>662.57954352247714</v>
      </c>
      <c r="N233">
        <v>12834.054706247951</v>
      </c>
      <c r="O233" t="s">
        <v>582</v>
      </c>
      <c r="Q233">
        <v>14.93</v>
      </c>
      <c r="R233">
        <v>1324.9639999999999</v>
      </c>
      <c r="S233">
        <v>100</v>
      </c>
      <c r="T233">
        <v>103.0184012894594</v>
      </c>
      <c r="U233">
        <v>1.118148779005333E-2</v>
      </c>
      <c r="V233">
        <v>0.1062501335120274</v>
      </c>
      <c r="W233">
        <v>5.8433731900694036E-3</v>
      </c>
      <c r="X233">
        <v>0</v>
      </c>
      <c r="Y233">
        <v>9.468775138699026E-2</v>
      </c>
      <c r="Z233">
        <v>0.34676874408827663</v>
      </c>
      <c r="AA233">
        <v>3.0955429652743539E-2</v>
      </c>
      <c r="AB233">
        <v>1.4926879797729911</v>
      </c>
      <c r="AC233">
        <v>0.12824827427545779</v>
      </c>
      <c r="AD233">
        <v>1186.240373693508</v>
      </c>
      <c r="AE233">
        <v>50</v>
      </c>
      <c r="AF233">
        <v>81.840993899101122</v>
      </c>
      <c r="AG233">
        <v>2.3548666666666702</v>
      </c>
      <c r="AH233">
        <v>13.693199999999999</v>
      </c>
      <c r="AI233">
        <v>0.31578888888888901</v>
      </c>
      <c r="AJ233">
        <v>10.647211111111099</v>
      </c>
      <c r="AK233">
        <v>0.57640000000000002</v>
      </c>
      <c r="AL233">
        <v>2.9864222222222199</v>
      </c>
      <c r="AM233">
        <v>50.176744444444402</v>
      </c>
      <c r="AN233">
        <v>6.02064444444445</v>
      </c>
      <c r="AP233">
        <v>0.192211111111111</v>
      </c>
      <c r="AQ233">
        <v>98.596999999999909</v>
      </c>
      <c r="AR233">
        <v>0.13013498760902101</v>
      </c>
      <c r="AS233">
        <v>0.18486291542653999</v>
      </c>
      <c r="AT233">
        <v>3.2683881518435202E-2</v>
      </c>
      <c r="AU233">
        <v>0.25932300054393698</v>
      </c>
      <c r="AV233">
        <v>5.4947019937390602E-2</v>
      </c>
      <c r="AW233">
        <v>8.2598785974398195E-2</v>
      </c>
      <c r="AX233">
        <v>1.0616485472027799</v>
      </c>
      <c r="AY233">
        <v>0.12895273466575999</v>
      </c>
      <c r="BA233">
        <v>3.7379287193726803E-2</v>
      </c>
      <c r="BE233">
        <v>0.35750415964733739</v>
      </c>
      <c r="BF233">
        <v>9131</v>
      </c>
      <c r="BG233">
        <v>327407.4032342796</v>
      </c>
      <c r="BH233">
        <v>1307.1573593491851</v>
      </c>
      <c r="BI233">
        <v>322.82659936757688</v>
      </c>
      <c r="BJ233">
        <v>13.67945203441894</v>
      </c>
      <c r="BK233">
        <v>1307.1573593491851</v>
      </c>
    </row>
    <row r="234" spans="1:63" x14ac:dyDescent="0.2">
      <c r="A234">
        <v>232</v>
      </c>
      <c r="B234" t="s">
        <v>69</v>
      </c>
      <c r="C234" t="s">
        <v>157</v>
      </c>
      <c r="D234" t="s">
        <v>64</v>
      </c>
      <c r="G234" t="s">
        <v>158</v>
      </c>
      <c r="H234" t="s">
        <v>421</v>
      </c>
      <c r="I234" t="s">
        <v>583</v>
      </c>
      <c r="J234" t="s">
        <v>68</v>
      </c>
      <c r="K234">
        <v>4.3659357515625006</v>
      </c>
      <c r="L234">
        <v>4.0234649773437514</v>
      </c>
      <c r="M234">
        <v>55.185812166707407</v>
      </c>
      <c r="N234">
        <v>308.65059521110572</v>
      </c>
      <c r="O234" t="s">
        <v>584</v>
      </c>
      <c r="Q234">
        <v>10.021000000000001</v>
      </c>
      <c r="R234">
        <v>1324.9639999999999</v>
      </c>
      <c r="S234">
        <v>100</v>
      </c>
      <c r="T234">
        <v>103.0185379456405</v>
      </c>
      <c r="U234">
        <v>7.1381982451770689E-3</v>
      </c>
      <c r="V234">
        <v>0.1063042821768008</v>
      </c>
      <c r="W234">
        <v>4.7450680051549527E-3</v>
      </c>
      <c r="X234">
        <v>0.19946032941359301</v>
      </c>
      <c r="Y234">
        <v>9.5492395270782016E-2</v>
      </c>
      <c r="Z234">
        <v>0.34379410142379963</v>
      </c>
      <c r="AA234">
        <v>3.4060631198195898E-2</v>
      </c>
      <c r="AB234">
        <v>1.480347287765811</v>
      </c>
      <c r="AC234">
        <v>0.14127486724685981</v>
      </c>
      <c r="AD234">
        <v>1172.3403815301051</v>
      </c>
      <c r="AE234">
        <v>100</v>
      </c>
      <c r="AG234">
        <v>2.4084062500000001</v>
      </c>
      <c r="AH234">
        <v>13.3720625</v>
      </c>
      <c r="AI234">
        <v>0.31026874999999998</v>
      </c>
      <c r="AJ234">
        <v>10.387225000000001</v>
      </c>
      <c r="AK234">
        <v>0.59164375000000002</v>
      </c>
      <c r="AL234">
        <v>3.0521875000000001</v>
      </c>
      <c r="AM234">
        <v>49.819099999999999</v>
      </c>
      <c r="AN234">
        <v>5.8739499999999998</v>
      </c>
      <c r="AP234">
        <v>0.19186249999999999</v>
      </c>
      <c r="AQ234">
        <v>97.820293750000005</v>
      </c>
      <c r="AR234">
        <v>8.7457962997469094E-2</v>
      </c>
      <c r="AS234">
        <v>0.20894986918716499</v>
      </c>
      <c r="AT234">
        <v>3.6791968666182201E-2</v>
      </c>
      <c r="AU234">
        <v>0.19989042831845</v>
      </c>
      <c r="AV234">
        <v>2.81971149528931E-2</v>
      </c>
      <c r="AW234">
        <v>5.5804024645778501E-2</v>
      </c>
      <c r="AX234">
        <v>0.88416756556661702</v>
      </c>
      <c r="AY234">
        <v>0.205613822492555</v>
      </c>
      <c r="BA234">
        <v>4.9243326112953303E-2</v>
      </c>
      <c r="BE234">
        <v>0.13704954154022911</v>
      </c>
      <c r="BF234">
        <v>3128</v>
      </c>
      <c r="BG234">
        <v>155958.85463627009</v>
      </c>
      <c r="BH234">
        <v>61.415113730287857</v>
      </c>
      <c r="BI234">
        <v>222.8076418541911</v>
      </c>
      <c r="BJ234">
        <v>1.098099991618892</v>
      </c>
      <c r="BK234">
        <v>61.415113730287857</v>
      </c>
    </row>
    <row r="235" spans="1:63" x14ac:dyDescent="0.2">
      <c r="A235">
        <v>233</v>
      </c>
      <c r="B235" t="s">
        <v>69</v>
      </c>
      <c r="C235" t="s">
        <v>76</v>
      </c>
      <c r="D235" t="s">
        <v>71</v>
      </c>
      <c r="E235">
        <v>-155.29812000000001</v>
      </c>
      <c r="F235">
        <v>19.375624999999999</v>
      </c>
      <c r="G235" t="s">
        <v>77</v>
      </c>
      <c r="H235" t="s">
        <v>569</v>
      </c>
      <c r="I235" t="s">
        <v>585</v>
      </c>
      <c r="J235" t="s">
        <v>68</v>
      </c>
      <c r="K235">
        <v>13.994170604687501</v>
      </c>
      <c r="L235">
        <v>12.148094478125</v>
      </c>
      <c r="M235">
        <v>534.07862597954215</v>
      </c>
      <c r="N235">
        <v>9308.0166769476418</v>
      </c>
      <c r="Q235">
        <v>11.862</v>
      </c>
      <c r="R235">
        <v>1324.9639999999999</v>
      </c>
      <c r="S235">
        <v>50</v>
      </c>
      <c r="T235">
        <v>103.0189930871891</v>
      </c>
      <c r="U235">
        <v>2.7435060206066702E-3</v>
      </c>
      <c r="V235">
        <v>0.1064846275290918</v>
      </c>
      <c r="W235">
        <v>3.9621554727068227E-3</v>
      </c>
      <c r="X235">
        <v>1.1191693055823659</v>
      </c>
      <c r="Y235">
        <v>9.0417053959436444E-2</v>
      </c>
      <c r="Z235">
        <v>0.36325065716764648</v>
      </c>
      <c r="AA235">
        <v>2.6697063695953791E-2</v>
      </c>
      <c r="AB235">
        <v>1.560927857795785</v>
      </c>
      <c r="AC235">
        <v>0.110131198959556</v>
      </c>
      <c r="AD235">
        <v>1255.776092487293</v>
      </c>
      <c r="AE235">
        <v>50</v>
      </c>
      <c r="AF235">
        <v>86.29565055220597</v>
      </c>
      <c r="AG235">
        <v>2.5039199999999999</v>
      </c>
      <c r="AH235">
        <v>14.096819999999999</v>
      </c>
      <c r="AI235">
        <v>0.27322000000000002</v>
      </c>
      <c r="AJ235">
        <v>10.95044</v>
      </c>
      <c r="AK235">
        <v>0.52094000000000007</v>
      </c>
      <c r="AL235">
        <v>2.9191400000000001</v>
      </c>
      <c r="AM235">
        <v>50.91704</v>
      </c>
      <c r="AN235">
        <v>6.4346599999999992</v>
      </c>
      <c r="AO235">
        <v>10.86684</v>
      </c>
      <c r="AP235">
        <v>0.19492000000000001</v>
      </c>
      <c r="AQ235">
        <v>99.70778</v>
      </c>
      <c r="AR235">
        <v>5.8797253337209539E-2</v>
      </c>
      <c r="AS235">
        <v>0.138496180452748</v>
      </c>
      <c r="AT235">
        <v>2.822688434808206E-2</v>
      </c>
      <c r="AU235">
        <v>7.1287502411011894E-2</v>
      </c>
      <c r="AV235">
        <v>1.2819243347405491E-2</v>
      </c>
      <c r="AW235">
        <v>2.3721045508155889E-2</v>
      </c>
      <c r="AX235">
        <v>0.39733328327740491</v>
      </c>
      <c r="AY235">
        <v>8.3972662218129629E-2</v>
      </c>
      <c r="AZ235">
        <v>5.8132675837260117E-2</v>
      </c>
      <c r="BA235">
        <v>1.931080008699795E-2</v>
      </c>
      <c r="BD235" t="s">
        <v>571</v>
      </c>
      <c r="BE235">
        <v>9.8929799086193704E-2</v>
      </c>
      <c r="BF235">
        <v>5176</v>
      </c>
      <c r="BG235">
        <v>519972.26806923602</v>
      </c>
      <c r="BH235">
        <v>57.732519363309002</v>
      </c>
      <c r="BI235">
        <v>406.83204577300199</v>
      </c>
      <c r="BJ235">
        <v>0.80245996785305895</v>
      </c>
      <c r="BK235">
        <v>57.732519363309002</v>
      </c>
    </row>
    <row r="236" spans="1:63" x14ac:dyDescent="0.2">
      <c r="A236">
        <v>234</v>
      </c>
      <c r="B236" t="s">
        <v>62</v>
      </c>
      <c r="C236" t="s">
        <v>63</v>
      </c>
      <c r="D236" t="s">
        <v>64</v>
      </c>
      <c r="E236">
        <v>-155.26785000000001</v>
      </c>
      <c r="F236">
        <v>19.407830000000001</v>
      </c>
      <c r="G236" t="s">
        <v>65</v>
      </c>
      <c r="H236" t="s">
        <v>470</v>
      </c>
      <c r="I236" t="s">
        <v>586</v>
      </c>
      <c r="J236" t="s">
        <v>68</v>
      </c>
      <c r="K236">
        <v>3.1192765828125002</v>
      </c>
      <c r="L236">
        <v>3.1130610585937499</v>
      </c>
      <c r="M236">
        <v>30.506430627574609</v>
      </c>
      <c r="N236">
        <v>126.75091727012111</v>
      </c>
      <c r="Q236">
        <v>20.003</v>
      </c>
      <c r="R236">
        <v>1325.0039999999999</v>
      </c>
      <c r="S236">
        <v>100</v>
      </c>
      <c r="T236">
        <v>103.0189989</v>
      </c>
      <c r="U236">
        <v>2.110902647E-2</v>
      </c>
      <c r="V236">
        <v>0.106486946</v>
      </c>
      <c r="W236">
        <v>9.1911645959999993E-3</v>
      </c>
      <c r="X236">
        <v>0</v>
      </c>
      <c r="Y236">
        <v>9.4512836905956354E-2</v>
      </c>
      <c r="Z236">
        <v>0.34742466186387561</v>
      </c>
      <c r="AA236">
        <v>4.0636987504347313E-2</v>
      </c>
      <c r="AB236">
        <v>1.4954081164728961</v>
      </c>
      <c r="AC236">
        <v>0.16837150732287409</v>
      </c>
      <c r="AD236">
        <v>1185.7937896167909</v>
      </c>
      <c r="AE236">
        <v>50</v>
      </c>
      <c r="AF236">
        <v>81.802244040000005</v>
      </c>
      <c r="BE236">
        <v>0.11746984183827119</v>
      </c>
      <c r="BF236">
        <v>2738</v>
      </c>
      <c r="BG236">
        <v>174736.41761296941</v>
      </c>
      <c r="BH236">
        <v>384.04720968997037</v>
      </c>
      <c r="BI236">
        <v>235.83962602274369</v>
      </c>
      <c r="BJ236">
        <v>7.3395239531770278</v>
      </c>
      <c r="BK236">
        <v>384.04720968997037</v>
      </c>
    </row>
    <row r="237" spans="1:63" x14ac:dyDescent="0.2">
      <c r="A237">
        <v>235</v>
      </c>
      <c r="B237" t="s">
        <v>69</v>
      </c>
      <c r="C237" t="s">
        <v>177</v>
      </c>
      <c r="D237" t="s">
        <v>144</v>
      </c>
      <c r="E237">
        <v>-155.2086333</v>
      </c>
      <c r="F237">
        <v>19.347316670000001</v>
      </c>
      <c r="G237" t="s">
        <v>178</v>
      </c>
      <c r="H237" t="s">
        <v>587</v>
      </c>
      <c r="I237" t="s">
        <v>588</v>
      </c>
      <c r="J237" t="s">
        <v>68</v>
      </c>
      <c r="K237">
        <v>5.7719081664062504</v>
      </c>
      <c r="L237">
        <v>5.1868079195312502</v>
      </c>
      <c r="M237">
        <v>94.052306534510507</v>
      </c>
      <c r="N237">
        <v>687.12834969284336</v>
      </c>
      <c r="O237" t="s">
        <v>589</v>
      </c>
      <c r="Q237">
        <v>9.8780000000000001</v>
      </c>
      <c r="R237">
        <v>1324.9639999999999</v>
      </c>
      <c r="S237">
        <v>50</v>
      </c>
      <c r="T237">
        <v>103.0190309833166</v>
      </c>
      <c r="U237">
        <v>6.9171319844196794E-3</v>
      </c>
      <c r="V237">
        <v>0.10649964349608609</v>
      </c>
      <c r="W237">
        <v>4.6935340084691916E-3</v>
      </c>
      <c r="X237">
        <v>0</v>
      </c>
      <c r="Y237">
        <v>8.9512096714893907E-2</v>
      </c>
      <c r="Z237">
        <v>0.36690341997006082</v>
      </c>
      <c r="AA237">
        <v>2.7291942773700381E-2</v>
      </c>
      <c r="AB237">
        <v>1.57601993541271</v>
      </c>
      <c r="AC237">
        <v>0.11262741873504389</v>
      </c>
      <c r="AD237">
        <v>1271.742054026324</v>
      </c>
      <c r="AE237">
        <v>50</v>
      </c>
      <c r="AF237">
        <v>87.057397594925263</v>
      </c>
      <c r="AG237">
        <v>2.1216818181818198</v>
      </c>
      <c r="AH237">
        <v>12.5470545454545</v>
      </c>
      <c r="AI237">
        <v>0.27337272727272699</v>
      </c>
      <c r="AJ237">
        <v>10.3521727272727</v>
      </c>
      <c r="AK237">
        <v>0.49205454545454502</v>
      </c>
      <c r="AL237">
        <v>2.5642454545454498</v>
      </c>
      <c r="AM237">
        <v>49.0749</v>
      </c>
      <c r="AN237">
        <v>9.1371454545454505</v>
      </c>
      <c r="AP237">
        <v>0.18198181818181799</v>
      </c>
      <c r="AQ237">
        <v>98.157727272727257</v>
      </c>
      <c r="AR237">
        <v>0.12055145638424999</v>
      </c>
      <c r="AS237">
        <v>0.28907753411026699</v>
      </c>
      <c r="AT237">
        <v>2.8655229571898099E-2</v>
      </c>
      <c r="AU237">
        <v>0.23406218443357801</v>
      </c>
      <c r="AV237">
        <v>5.2241982420968003E-2</v>
      </c>
      <c r="AW237">
        <v>6.6675218239408293E-2</v>
      </c>
      <c r="AX237">
        <v>0.92934608408278196</v>
      </c>
      <c r="AY237">
        <v>0.68994549402635696</v>
      </c>
      <c r="BA237">
        <v>4.8246177427477499E-2</v>
      </c>
      <c r="BE237">
        <v>0.44885523308773911</v>
      </c>
      <c r="BF237">
        <v>18937</v>
      </c>
      <c r="BG237">
        <v>1214344.3631701299</v>
      </c>
      <c r="BH237">
        <v>1446.3954940357539</v>
      </c>
      <c r="BI237">
        <v>621.72165478501063</v>
      </c>
      <c r="BJ237">
        <v>10.51069588821027</v>
      </c>
      <c r="BK237">
        <v>1446.395494035756</v>
      </c>
    </row>
    <row r="238" spans="1:63" x14ac:dyDescent="0.2">
      <c r="A238">
        <v>236</v>
      </c>
      <c r="B238" t="s">
        <v>69</v>
      </c>
      <c r="C238" t="s">
        <v>76</v>
      </c>
      <c r="D238" t="s">
        <v>71</v>
      </c>
      <c r="E238">
        <v>-155.29812000000001</v>
      </c>
      <c r="F238">
        <v>19.375624999999999</v>
      </c>
      <c r="G238" t="s">
        <v>77</v>
      </c>
      <c r="H238" t="s">
        <v>227</v>
      </c>
      <c r="I238" t="s">
        <v>590</v>
      </c>
      <c r="J238" t="s">
        <v>68</v>
      </c>
      <c r="K238">
        <v>8.5065602539062493</v>
      </c>
      <c r="L238">
        <v>7.2601130851562514</v>
      </c>
      <c r="M238">
        <v>194.0203307835551</v>
      </c>
      <c r="N238">
        <v>2039.37011773411</v>
      </c>
      <c r="Q238">
        <v>11.961</v>
      </c>
      <c r="R238">
        <v>1324.9639999999999</v>
      </c>
      <c r="S238">
        <v>50</v>
      </c>
      <c r="T238">
        <v>103.0191329324969</v>
      </c>
      <c r="U238">
        <v>3.2938554341032898E-3</v>
      </c>
      <c r="V238">
        <v>0.1065400398538543</v>
      </c>
      <c r="W238">
        <v>4.0275008887027779E-3</v>
      </c>
      <c r="X238">
        <v>0</v>
      </c>
      <c r="Y238">
        <v>9.0786973141843141E-2</v>
      </c>
      <c r="Z238">
        <v>0.361775656978161</v>
      </c>
      <c r="AA238">
        <v>3.4021908883962913E-2</v>
      </c>
      <c r="AB238">
        <v>1.554830393778462</v>
      </c>
      <c r="AC238">
        <v>0.1405003210898049</v>
      </c>
      <c r="AD238">
        <v>1248.4232153852381</v>
      </c>
      <c r="AE238">
        <v>100</v>
      </c>
      <c r="AG238">
        <v>2.5039199999999999</v>
      </c>
      <c r="AH238">
        <v>14.096819999999999</v>
      </c>
      <c r="AI238">
        <v>0.27322000000000002</v>
      </c>
      <c r="AJ238">
        <v>10.95044</v>
      </c>
      <c r="AK238">
        <v>0.52094000000000007</v>
      </c>
      <c r="AL238">
        <v>2.9191400000000001</v>
      </c>
      <c r="AM238">
        <v>50.91704</v>
      </c>
      <c r="AN238">
        <v>6.4346599999999992</v>
      </c>
      <c r="AO238">
        <v>10.86684</v>
      </c>
      <c r="AP238">
        <v>0.19492000000000001</v>
      </c>
      <c r="AQ238">
        <v>99.70778</v>
      </c>
      <c r="AR238">
        <v>5.8797253337209539E-2</v>
      </c>
      <c r="AS238">
        <v>0.138496180452748</v>
      </c>
      <c r="AT238">
        <v>2.822688434808206E-2</v>
      </c>
      <c r="AU238">
        <v>7.1287502411011894E-2</v>
      </c>
      <c r="AV238">
        <v>1.2819243347405491E-2</v>
      </c>
      <c r="AW238">
        <v>2.3721045508155889E-2</v>
      </c>
      <c r="AX238">
        <v>0.39733328327740491</v>
      </c>
      <c r="AY238">
        <v>8.3972662218129629E-2</v>
      </c>
      <c r="AZ238">
        <v>5.8132675837260117E-2</v>
      </c>
      <c r="BA238">
        <v>1.931080008699795E-2</v>
      </c>
    </row>
    <row r="239" spans="1:63" x14ac:dyDescent="0.2">
      <c r="A239">
        <v>237</v>
      </c>
      <c r="B239" t="s">
        <v>62</v>
      </c>
      <c r="C239" t="s">
        <v>63</v>
      </c>
      <c r="D239" t="s">
        <v>64</v>
      </c>
      <c r="E239">
        <v>-155.26785000000001</v>
      </c>
      <c r="F239">
        <v>19.407830000000001</v>
      </c>
      <c r="G239" t="s">
        <v>65</v>
      </c>
      <c r="H239" t="s">
        <v>523</v>
      </c>
      <c r="I239" t="s">
        <v>591</v>
      </c>
      <c r="J239" t="s">
        <v>68</v>
      </c>
      <c r="K239">
        <v>7.2413435015624996</v>
      </c>
      <c r="L239">
        <v>7.1499151453125007</v>
      </c>
      <c r="M239">
        <v>162.65593316928059</v>
      </c>
      <c r="N239">
        <v>1560.549069791954</v>
      </c>
      <c r="Q239">
        <v>20.010999999999999</v>
      </c>
      <c r="R239">
        <v>1325.0039999999999</v>
      </c>
      <c r="S239">
        <v>100</v>
      </c>
      <c r="T239">
        <v>103.02018510000001</v>
      </c>
      <c r="U239">
        <v>4.6236334120000003E-3</v>
      </c>
      <c r="V239">
        <v>0.1069569702</v>
      </c>
      <c r="W239">
        <v>4.2281109490000003E-3</v>
      </c>
      <c r="X239">
        <v>0</v>
      </c>
      <c r="Y239">
        <v>8.8798167464793631E-2</v>
      </c>
      <c r="Z239">
        <v>0.36983578194349448</v>
      </c>
      <c r="AA239">
        <v>2.728670486169972E-2</v>
      </c>
      <c r="AB239">
        <v>1.5881273237333029</v>
      </c>
      <c r="AC239">
        <v>0.11252762427822011</v>
      </c>
      <c r="AD239">
        <v>1277.8329671634169</v>
      </c>
      <c r="AE239">
        <v>50</v>
      </c>
      <c r="AF239">
        <v>87.332392380000002</v>
      </c>
      <c r="BE239">
        <v>0.19474585457106791</v>
      </c>
      <c r="BF239">
        <v>4470</v>
      </c>
      <c r="BG239">
        <v>285654.49188394629</v>
      </c>
      <c r="BH239">
        <v>325.29545802921888</v>
      </c>
      <c r="BI239">
        <v>301.54045963927882</v>
      </c>
      <c r="BJ239">
        <v>4.865463712709774</v>
      </c>
      <c r="BK239">
        <v>325.29545802921882</v>
      </c>
    </row>
    <row r="240" spans="1:63" x14ac:dyDescent="0.2">
      <c r="A240">
        <v>238</v>
      </c>
      <c r="B240" t="s">
        <v>69</v>
      </c>
      <c r="C240" t="s">
        <v>91</v>
      </c>
      <c r="D240" t="s">
        <v>92</v>
      </c>
      <c r="E240">
        <v>-155.28360000000001</v>
      </c>
      <c r="F240">
        <v>19.4285</v>
      </c>
      <c r="G240" t="s">
        <v>93</v>
      </c>
      <c r="H240" t="s">
        <v>592</v>
      </c>
      <c r="I240" t="s">
        <v>593</v>
      </c>
      <c r="J240" t="s">
        <v>68</v>
      </c>
      <c r="K240">
        <v>7.7051565585937496</v>
      </c>
      <c r="L240">
        <v>7.32659646640625</v>
      </c>
      <c r="M240">
        <v>177.3509880327891</v>
      </c>
      <c r="N240">
        <v>1777.264167232411</v>
      </c>
      <c r="Q240">
        <v>11.945</v>
      </c>
      <c r="R240">
        <v>1325.0039999999999</v>
      </c>
      <c r="S240">
        <v>50</v>
      </c>
      <c r="T240">
        <v>103.0203558599281</v>
      </c>
      <c r="U240">
        <v>3.528140791520589E-3</v>
      </c>
      <c r="V240">
        <v>0.1070246127941132</v>
      </c>
      <c r="W240">
        <v>4.0589821409714099E-3</v>
      </c>
      <c r="X240">
        <v>0</v>
      </c>
      <c r="Y240">
        <v>8.8310232305235381E-2</v>
      </c>
      <c r="Z240">
        <v>0.37185839144080912</v>
      </c>
      <c r="AA240">
        <v>2.5750725021371771E-2</v>
      </c>
      <c r="AB240">
        <v>1.596474188728217</v>
      </c>
      <c r="AC240">
        <v>0.1061531291905639</v>
      </c>
      <c r="AD240">
        <v>1285.743894332024</v>
      </c>
      <c r="AE240">
        <v>50</v>
      </c>
      <c r="AF240">
        <v>87.678142859021307</v>
      </c>
      <c r="AG240">
        <v>2.1005484848484852</v>
      </c>
      <c r="AH240">
        <v>12.543751515151509</v>
      </c>
      <c r="AJ240">
        <v>10.35766363636364</v>
      </c>
      <c r="AK240">
        <v>0.36914545454545461</v>
      </c>
      <c r="AL240">
        <v>2.199157575757575</v>
      </c>
      <c r="AM240">
        <v>49.88770303030303</v>
      </c>
      <c r="AN240">
        <v>8.5799181818181811</v>
      </c>
      <c r="AP240">
        <v>1.6854545454545459E-2</v>
      </c>
      <c r="AQ240">
        <v>97.165912121212131</v>
      </c>
      <c r="AR240">
        <v>0.12875285220435931</v>
      </c>
      <c r="AS240">
        <v>0.27438160598108169</v>
      </c>
      <c r="AU240">
        <v>0.23223845883350949</v>
      </c>
      <c r="AV240">
        <v>3.2777460728649822E-2</v>
      </c>
      <c r="AW240">
        <v>6.9021124620940399E-2</v>
      </c>
      <c r="AX240">
        <v>0.52796007335122563</v>
      </c>
      <c r="AY240">
        <v>0.70241800520351916</v>
      </c>
      <c r="BA240">
        <v>4.4618585609790254E-3</v>
      </c>
      <c r="BB240">
        <v>33</v>
      </c>
      <c r="BC240" t="s">
        <v>86</v>
      </c>
    </row>
    <row r="241" spans="1:63" x14ac:dyDescent="0.2">
      <c r="A241">
        <v>239</v>
      </c>
      <c r="B241" t="s">
        <v>69</v>
      </c>
      <c r="C241" t="s">
        <v>594</v>
      </c>
      <c r="D241" t="s">
        <v>64</v>
      </c>
      <c r="E241">
        <v>-155.2816</v>
      </c>
      <c r="F241">
        <v>19.402366669999999</v>
      </c>
      <c r="G241" t="s">
        <v>595</v>
      </c>
      <c r="H241" t="s">
        <v>596</v>
      </c>
      <c r="I241" t="s">
        <v>597</v>
      </c>
      <c r="J241" t="s">
        <v>68</v>
      </c>
      <c r="K241">
        <v>7.5791054624999994</v>
      </c>
      <c r="L241">
        <v>6.8333757875000014</v>
      </c>
      <c r="M241">
        <v>162.70583480543439</v>
      </c>
      <c r="N241">
        <v>1563.329862265947</v>
      </c>
      <c r="Q241">
        <v>10.016999999999999</v>
      </c>
      <c r="R241">
        <v>1324.9639999999999</v>
      </c>
      <c r="S241">
        <v>50</v>
      </c>
      <c r="T241">
        <v>103.0209960679001</v>
      </c>
      <c r="U241">
        <v>1.0395546080403511E-2</v>
      </c>
      <c r="V241">
        <v>0.1072782888925374</v>
      </c>
      <c r="W241">
        <v>5.6116083429896477E-3</v>
      </c>
      <c r="X241">
        <v>0</v>
      </c>
      <c r="Y241">
        <v>9.0330179100278629E-2</v>
      </c>
      <c r="Z241">
        <v>0.36361204542654357</v>
      </c>
      <c r="AA241">
        <v>3.0928788957679729E-2</v>
      </c>
      <c r="AB241">
        <v>1.56242150816041</v>
      </c>
      <c r="AC241">
        <v>0.12769999597691159</v>
      </c>
      <c r="AD241">
        <v>1245.651038142855</v>
      </c>
      <c r="AE241">
        <v>50</v>
      </c>
      <c r="AF241">
        <v>85.777350106424024</v>
      </c>
      <c r="AG241">
        <v>2.3161749999999999</v>
      </c>
      <c r="AH241">
        <v>13.236525</v>
      </c>
      <c r="AI241">
        <v>0.23727500000000001</v>
      </c>
      <c r="AJ241">
        <v>11.119225</v>
      </c>
      <c r="AK241">
        <v>0.45182499999999998</v>
      </c>
      <c r="AL241">
        <v>2.5776249999999998</v>
      </c>
      <c r="AM241">
        <v>50.469949999999997</v>
      </c>
      <c r="AN241">
        <v>7.2425499999999996</v>
      </c>
      <c r="AP241">
        <v>0.19814999999999999</v>
      </c>
      <c r="AQ241">
        <v>99.444850000000002</v>
      </c>
      <c r="AR241">
        <v>1.8066578259316259E-2</v>
      </c>
      <c r="AS241">
        <v>1.4495689014328119E-3</v>
      </c>
      <c r="AT241">
        <v>1.4884597743976821E-2</v>
      </c>
      <c r="AU241">
        <v>2.1177848096536729E-2</v>
      </c>
      <c r="AV241">
        <v>1.0217692988145609E-2</v>
      </c>
      <c r="AW241">
        <v>2.5809397513306929E-3</v>
      </c>
      <c r="AX241">
        <v>0.1291884089227876</v>
      </c>
      <c r="AY241">
        <v>4.9073210614347267E-2</v>
      </c>
      <c r="BA241">
        <v>2.2273863607376258E-2</v>
      </c>
      <c r="BB241">
        <v>2</v>
      </c>
      <c r="BC241" t="s">
        <v>86</v>
      </c>
      <c r="BE241">
        <v>0.20961286995401551</v>
      </c>
      <c r="BF241">
        <v>3715</v>
      </c>
      <c r="BG241">
        <v>60352.514574390021</v>
      </c>
      <c r="BH241">
        <v>181.08915755632341</v>
      </c>
      <c r="BI241">
        <v>138.603037647375</v>
      </c>
      <c r="BJ241">
        <v>2.9710710615672942</v>
      </c>
      <c r="BK241">
        <v>181.0891575563233</v>
      </c>
    </row>
    <row r="242" spans="1:63" x14ac:dyDescent="0.2">
      <c r="A242">
        <v>240</v>
      </c>
      <c r="B242" t="s">
        <v>69</v>
      </c>
      <c r="C242" t="s">
        <v>157</v>
      </c>
      <c r="D242" t="s">
        <v>64</v>
      </c>
      <c r="G242" t="s">
        <v>158</v>
      </c>
      <c r="H242" t="s">
        <v>301</v>
      </c>
      <c r="I242" t="s">
        <v>598</v>
      </c>
      <c r="J242" t="s">
        <v>68</v>
      </c>
      <c r="K242">
        <v>4.0651914351562493</v>
      </c>
      <c r="L242">
        <v>3.78054493046875</v>
      </c>
      <c r="M242">
        <v>48.282002974582937</v>
      </c>
      <c r="N242">
        <v>252.5385776952665</v>
      </c>
      <c r="Q242">
        <v>10.148999999999999</v>
      </c>
      <c r="R242">
        <v>1324.9639999999999</v>
      </c>
      <c r="S242">
        <v>50</v>
      </c>
      <c r="T242">
        <v>103.02119759507541</v>
      </c>
      <c r="U242">
        <v>1.7215256418514999E-2</v>
      </c>
      <c r="V242">
        <v>0.1073581420493142</v>
      </c>
      <c r="W242">
        <v>7.8137491169661486E-3</v>
      </c>
      <c r="X242">
        <v>0.88006936126238089</v>
      </c>
      <c r="Y242">
        <v>9.3757441229819216E-2</v>
      </c>
      <c r="Z242">
        <v>0.35027630402052501</v>
      </c>
      <c r="AA242">
        <v>3.3390749739024603E-2</v>
      </c>
      <c r="AB242">
        <v>1.5072297805399071</v>
      </c>
      <c r="AC242">
        <v>0.1382413738371347</v>
      </c>
      <c r="AD242">
        <v>1186.078769574839</v>
      </c>
      <c r="AE242">
        <v>50</v>
      </c>
      <c r="AF242">
        <v>81.826995948338407</v>
      </c>
      <c r="AG242">
        <v>2.4084062500000001</v>
      </c>
      <c r="AH242">
        <v>13.3720625</v>
      </c>
      <c r="AI242">
        <v>0.31026874999999998</v>
      </c>
      <c r="AJ242">
        <v>10.387225000000001</v>
      </c>
      <c r="AK242">
        <v>0.59164375000000002</v>
      </c>
      <c r="AL242">
        <v>3.0521875000000001</v>
      </c>
      <c r="AM242">
        <v>49.819099999999999</v>
      </c>
      <c r="AN242">
        <v>5.8739499999999998</v>
      </c>
      <c r="AP242">
        <v>0.19186249999999999</v>
      </c>
      <c r="AQ242">
        <v>97.820293750000005</v>
      </c>
      <c r="AR242">
        <v>8.7457962997469094E-2</v>
      </c>
      <c r="AS242">
        <v>0.20894986918716499</v>
      </c>
      <c r="AT242">
        <v>3.6791968666182201E-2</v>
      </c>
      <c r="AU242">
        <v>0.19989042831845</v>
      </c>
      <c r="AV242">
        <v>2.81971149528931E-2</v>
      </c>
      <c r="AW242">
        <v>5.5804024645778501E-2</v>
      </c>
      <c r="AX242">
        <v>0.88416756556661702</v>
      </c>
      <c r="AY242">
        <v>0.205613822492555</v>
      </c>
      <c r="BA242">
        <v>4.9243326112953303E-2</v>
      </c>
      <c r="BE242">
        <v>0.19787431028529701</v>
      </c>
      <c r="BF242">
        <v>2579</v>
      </c>
      <c r="BG242">
        <v>64735.699940791732</v>
      </c>
      <c r="BH242">
        <v>479.2230280550271</v>
      </c>
      <c r="BI242">
        <v>143.54794766969479</v>
      </c>
      <c r="BJ242">
        <v>9.4365231120602466</v>
      </c>
      <c r="BK242">
        <v>479.22302805502721</v>
      </c>
    </row>
    <row r="243" spans="1:63" x14ac:dyDescent="0.2">
      <c r="A243">
        <v>241</v>
      </c>
      <c r="B243" t="s">
        <v>69</v>
      </c>
      <c r="C243" t="s">
        <v>91</v>
      </c>
      <c r="D243" t="s">
        <v>92</v>
      </c>
      <c r="E243">
        <v>-155.272412745889</v>
      </c>
      <c r="F243">
        <v>19.3454197541963</v>
      </c>
      <c r="G243" t="s">
        <v>124</v>
      </c>
      <c r="H243" t="s">
        <v>217</v>
      </c>
      <c r="I243" t="s">
        <v>599</v>
      </c>
      <c r="J243" t="s">
        <v>68</v>
      </c>
      <c r="K243">
        <v>4.7745993328124996</v>
      </c>
      <c r="L243">
        <v>4.2401752296874999</v>
      </c>
      <c r="M243">
        <v>63.601976254625583</v>
      </c>
      <c r="N243">
        <v>382.23831844328521</v>
      </c>
      <c r="O243" t="s">
        <v>600</v>
      </c>
      <c r="Q243">
        <v>12.154</v>
      </c>
      <c r="R243">
        <v>1325.0039999999999</v>
      </c>
      <c r="S243">
        <v>50</v>
      </c>
      <c r="T243">
        <v>103.0212810881267</v>
      </c>
      <c r="U243">
        <v>1.7202625404907482E-2</v>
      </c>
      <c r="V243">
        <v>0.1073912253478824</v>
      </c>
      <c r="W243">
        <v>7.8093965911024757E-3</v>
      </c>
      <c r="X243">
        <v>9.5429858178932871</v>
      </c>
      <c r="Y243">
        <v>8.9119823459408387E-2</v>
      </c>
      <c r="Z243">
        <v>0.36852059622456629</v>
      </c>
      <c r="AA243">
        <v>4.5513363737657409E-2</v>
      </c>
      <c r="AB243">
        <v>1.582697976174245</v>
      </c>
      <c r="AC243">
        <v>0.18766735100846821</v>
      </c>
      <c r="AD243">
        <v>1265.5426736382669</v>
      </c>
      <c r="AE243">
        <v>100</v>
      </c>
      <c r="AG243">
        <v>2.4452269230769228</v>
      </c>
      <c r="AH243">
        <v>12.97811153846154</v>
      </c>
      <c r="AJ243">
        <v>10.30404615384615</v>
      </c>
      <c r="AK243">
        <v>0.55342692307692309</v>
      </c>
      <c r="AL243">
        <v>2.900669230769231</v>
      </c>
      <c r="AM243">
        <v>50.451046153846157</v>
      </c>
      <c r="AN243">
        <v>6.0883423076923071</v>
      </c>
      <c r="AP243">
        <v>1.6526923076923071E-2</v>
      </c>
      <c r="AQ243">
        <v>97.170811538461535</v>
      </c>
      <c r="AR243">
        <v>0.14452695958247319</v>
      </c>
      <c r="AS243">
        <v>0.56238533005541524</v>
      </c>
      <c r="AU243">
        <v>0.81302815263963402</v>
      </c>
      <c r="AV243">
        <v>0.1071919159552335</v>
      </c>
      <c r="AW243">
        <v>0.48878923864523122</v>
      </c>
      <c r="AX243">
        <v>0.42567582898799372</v>
      </c>
      <c r="AY243">
        <v>0.85490953915514445</v>
      </c>
      <c r="BA243">
        <v>4.3609684880592933E-3</v>
      </c>
      <c r="BB243">
        <v>26</v>
      </c>
      <c r="BC243" t="s">
        <v>86</v>
      </c>
    </row>
    <row r="244" spans="1:63" x14ac:dyDescent="0.2">
      <c r="A244">
        <v>242</v>
      </c>
      <c r="B244" t="s">
        <v>69</v>
      </c>
      <c r="C244" t="s">
        <v>81</v>
      </c>
      <c r="D244" t="s">
        <v>71</v>
      </c>
      <c r="E244">
        <v>-155.29106999999999</v>
      </c>
      <c r="F244">
        <v>19.383150000000001</v>
      </c>
      <c r="G244" t="s">
        <v>87</v>
      </c>
      <c r="H244" t="s">
        <v>601</v>
      </c>
      <c r="I244" t="s">
        <v>602</v>
      </c>
      <c r="J244" t="s">
        <v>68</v>
      </c>
      <c r="K244">
        <v>5.5299760718750006</v>
      </c>
      <c r="L244">
        <v>5.2519546593750004</v>
      </c>
      <c r="M244">
        <v>91.241852224931421</v>
      </c>
      <c r="N244">
        <v>655.84222032010621</v>
      </c>
      <c r="O244" t="s">
        <v>603</v>
      </c>
      <c r="Q244">
        <v>12.06</v>
      </c>
      <c r="R244">
        <v>1325.0039999999999</v>
      </c>
      <c r="S244">
        <v>50</v>
      </c>
      <c r="T244">
        <v>103.0216451835809</v>
      </c>
      <c r="U244">
        <v>2.1396580285877138E-3</v>
      </c>
      <c r="V244">
        <v>0.1075354945827343</v>
      </c>
      <c r="W244">
        <v>3.9043155971664411E-3</v>
      </c>
      <c r="X244">
        <v>0</v>
      </c>
      <c r="Y244">
        <v>9.090581466611769E-2</v>
      </c>
      <c r="Z244">
        <v>0.3613202894173263</v>
      </c>
      <c r="AA244">
        <v>2.5264311498242011E-2</v>
      </c>
      <c r="AB244">
        <v>1.5529475870414871</v>
      </c>
      <c r="AC244">
        <v>0.10438228322369569</v>
      </c>
      <c r="AD244">
        <v>1231.858099933117</v>
      </c>
      <c r="AE244">
        <v>50</v>
      </c>
      <c r="AF244">
        <v>85.018299621542425</v>
      </c>
      <c r="AG244">
        <v>2.2102200000000001</v>
      </c>
      <c r="AH244">
        <v>12.516225</v>
      </c>
      <c r="AI244">
        <v>0.22873499999999999</v>
      </c>
      <c r="AJ244">
        <v>10.535360000000001</v>
      </c>
      <c r="AK244">
        <v>0.37534499999999998</v>
      </c>
      <c r="AL244">
        <v>2.4377900000000001</v>
      </c>
      <c r="AM244">
        <v>50.224780000000003</v>
      </c>
      <c r="AN244">
        <v>8.9844449999999991</v>
      </c>
      <c r="AP244">
        <v>0.178455</v>
      </c>
      <c r="AQ244">
        <v>99.610560000000007</v>
      </c>
      <c r="AR244">
        <v>1.7587090435884831E-2</v>
      </c>
      <c r="AS244">
        <v>0.12699126938494701</v>
      </c>
      <c r="AT244">
        <v>8.073250584491971E-3</v>
      </c>
      <c r="AU244">
        <v>6.9056800896073786E-2</v>
      </c>
      <c r="AV244">
        <v>2.248073063759274E-2</v>
      </c>
      <c r="AW244">
        <v>2.1205111412109991E-2</v>
      </c>
      <c r="AX244">
        <v>0.5052093298821787</v>
      </c>
      <c r="AY244">
        <v>0.13192220766421431</v>
      </c>
      <c r="BA244">
        <v>1.2962040734390541E-2</v>
      </c>
      <c r="BB244">
        <v>5</v>
      </c>
      <c r="BC244" t="s">
        <v>86</v>
      </c>
    </row>
    <row r="245" spans="1:63" x14ac:dyDescent="0.2">
      <c r="A245">
        <v>243</v>
      </c>
      <c r="B245" t="s">
        <v>69</v>
      </c>
      <c r="C245" t="s">
        <v>236</v>
      </c>
      <c r="D245" t="s">
        <v>64</v>
      </c>
      <c r="E245">
        <v>-155.292979</v>
      </c>
      <c r="F245">
        <v>19.400748</v>
      </c>
      <c r="G245" t="s">
        <v>237</v>
      </c>
      <c r="H245" t="s">
        <v>604</v>
      </c>
      <c r="I245" t="s">
        <v>605</v>
      </c>
      <c r="J245" t="s">
        <v>68</v>
      </c>
      <c r="K245">
        <v>6.8200674882812509</v>
      </c>
      <c r="L245">
        <v>6.1866156914062493</v>
      </c>
      <c r="M245">
        <v>132.5536477842484</v>
      </c>
      <c r="N245">
        <v>1149.38886736107</v>
      </c>
      <c r="Q245">
        <v>9.8810000000000002</v>
      </c>
      <c r="R245">
        <v>1324.9639999999999</v>
      </c>
      <c r="S245">
        <v>50</v>
      </c>
      <c r="T245">
        <v>103.0217615514499</v>
      </c>
      <c r="U245">
        <v>1.5737006229292229E-2</v>
      </c>
      <c r="V245">
        <v>0.1075816042037729</v>
      </c>
      <c r="W245">
        <v>7.3081030377452503E-3</v>
      </c>
      <c r="X245">
        <v>4.0721478674904716</v>
      </c>
      <c r="Y245">
        <v>9.001038232642955E-2</v>
      </c>
      <c r="Z245">
        <v>0.36490304833793341</v>
      </c>
      <c r="AA245">
        <v>3.3984484709261041E-2</v>
      </c>
      <c r="AB245">
        <v>1.567756430951367</v>
      </c>
      <c r="AC245">
        <v>0.14026442694653959</v>
      </c>
      <c r="AD245">
        <v>1246.87020398815</v>
      </c>
      <c r="AE245">
        <v>50</v>
      </c>
      <c r="AF245">
        <v>85.841375886853953</v>
      </c>
      <c r="AG245">
        <v>2.0274999999999999</v>
      </c>
      <c r="AH245">
        <v>12.7525</v>
      </c>
      <c r="AI245">
        <v>0.17249999999999999</v>
      </c>
      <c r="AJ245">
        <v>11.092499999999999</v>
      </c>
      <c r="AK245">
        <v>0.51750000000000007</v>
      </c>
      <c r="AL245">
        <v>2.5150000000000001</v>
      </c>
      <c r="AM245">
        <v>50.63</v>
      </c>
      <c r="AN245">
        <v>7.415</v>
      </c>
      <c r="AP245">
        <v>1685.75</v>
      </c>
      <c r="AR245">
        <v>0.17231270024773751</v>
      </c>
      <c r="AS245">
        <v>0.13450526631573459</v>
      </c>
      <c r="AT245">
        <v>4.9999999999999836E-3</v>
      </c>
      <c r="AU245">
        <v>0.29227555491350982</v>
      </c>
      <c r="AV245">
        <v>2.061552812808835E-2</v>
      </c>
      <c r="AW245">
        <v>6.2449979983983737E-2</v>
      </c>
      <c r="AX245">
        <v>0.21556128285632961</v>
      </c>
      <c r="AY245">
        <v>0.39770173078158311</v>
      </c>
      <c r="BA245">
        <v>51.951098801340748</v>
      </c>
      <c r="BE245">
        <v>0.11981957579896139</v>
      </c>
      <c r="BF245">
        <v>11941</v>
      </c>
      <c r="BG245">
        <v>770030.05358050019</v>
      </c>
      <c r="BH245">
        <v>36.97502050461533</v>
      </c>
      <c r="BI245">
        <v>495.08401177305979</v>
      </c>
      <c r="BJ245">
        <v>0.33836705722437371</v>
      </c>
      <c r="BK245">
        <v>36.975020504615337</v>
      </c>
    </row>
    <row r="246" spans="1:63" x14ac:dyDescent="0.2">
      <c r="A246">
        <v>244</v>
      </c>
      <c r="B246" t="s">
        <v>62</v>
      </c>
      <c r="C246" t="s">
        <v>63</v>
      </c>
      <c r="D246" t="s">
        <v>64</v>
      </c>
      <c r="E246">
        <v>-155.26785000000001</v>
      </c>
      <c r="F246">
        <v>19.407830000000001</v>
      </c>
      <c r="G246" t="s">
        <v>65</v>
      </c>
      <c r="H246" t="s">
        <v>606</v>
      </c>
      <c r="I246" t="s">
        <v>607</v>
      </c>
      <c r="J246" t="s">
        <v>68</v>
      </c>
      <c r="K246">
        <v>5.81363462421875</v>
      </c>
      <c r="L246">
        <v>5.2723529695312514</v>
      </c>
      <c r="M246">
        <v>96.294633328075037</v>
      </c>
      <c r="N246">
        <v>711.68074027983016</v>
      </c>
      <c r="Q246">
        <v>11.984</v>
      </c>
      <c r="R246">
        <v>1325.0039999999999</v>
      </c>
      <c r="S246">
        <v>50</v>
      </c>
      <c r="T246">
        <v>103.0223472</v>
      </c>
      <c r="U246">
        <v>3.769554218E-3</v>
      </c>
      <c r="V246">
        <v>0.10781367410000001</v>
      </c>
      <c r="W246">
        <v>4.0936599650000004E-3</v>
      </c>
      <c r="X246">
        <v>0</v>
      </c>
      <c r="Y246">
        <v>9.350125860045988E-2</v>
      </c>
      <c r="Z246">
        <v>0.35125414003776972</v>
      </c>
      <c r="AA246">
        <v>2.6967167112553331E-2</v>
      </c>
      <c r="AB246">
        <v>1.5112818553616589</v>
      </c>
      <c r="AC246">
        <v>0.1116388889311761</v>
      </c>
      <c r="AD246">
        <v>1183.987952994363</v>
      </c>
      <c r="AE246">
        <v>50</v>
      </c>
      <c r="AF246">
        <v>81.643356639999993</v>
      </c>
      <c r="BE246">
        <v>8.2498328872011042E-2</v>
      </c>
      <c r="BF246">
        <v>618</v>
      </c>
      <c r="BG246">
        <v>39410.033792754133</v>
      </c>
      <c r="BH246">
        <v>0.14254358410835269</v>
      </c>
      <c r="BI246">
        <v>112.00269358846199</v>
      </c>
      <c r="BJ246">
        <v>5.7339438652577691E-3</v>
      </c>
      <c r="BK246">
        <v>0.14254358410835269</v>
      </c>
    </row>
    <row r="247" spans="1:63" x14ac:dyDescent="0.2">
      <c r="A247">
        <v>245</v>
      </c>
      <c r="B247" t="s">
        <v>69</v>
      </c>
      <c r="C247" t="s">
        <v>321</v>
      </c>
      <c r="D247" t="s">
        <v>322</v>
      </c>
      <c r="E247">
        <v>-155.27718329999999</v>
      </c>
      <c r="F247">
        <v>19.40966667</v>
      </c>
      <c r="G247" t="s">
        <v>323</v>
      </c>
      <c r="H247" t="s">
        <v>417</v>
      </c>
      <c r="I247" t="s">
        <v>608</v>
      </c>
      <c r="J247" t="s">
        <v>68</v>
      </c>
      <c r="K247">
        <v>14.173919816406251</v>
      </c>
      <c r="L247">
        <v>7.4844944968749996</v>
      </c>
      <c r="M247">
        <v>333.27467813483912</v>
      </c>
      <c r="N247">
        <v>4812.1340394465333</v>
      </c>
      <c r="Q247">
        <v>10.029</v>
      </c>
      <c r="R247">
        <v>1324.9639999999999</v>
      </c>
      <c r="S247">
        <v>50</v>
      </c>
      <c r="T247">
        <v>103.022505313713</v>
      </c>
      <c r="U247">
        <v>8.9024226303222615E-3</v>
      </c>
      <c r="V247">
        <v>0.1078763126692905</v>
      </c>
      <c r="W247">
        <v>5.1933416437596903E-3</v>
      </c>
      <c r="X247">
        <v>0</v>
      </c>
      <c r="Y247">
        <v>9.3124354727976311E-2</v>
      </c>
      <c r="Z247">
        <v>0.35269012390076659</v>
      </c>
      <c r="AA247">
        <v>2.9360521524280519E-2</v>
      </c>
      <c r="AB247">
        <v>1.5172309725497279</v>
      </c>
      <c r="AC247">
        <v>0.12150079342531279</v>
      </c>
      <c r="AD247">
        <v>1189.3614620569499</v>
      </c>
      <c r="AE247">
        <v>50</v>
      </c>
      <c r="AF247">
        <v>82.106104059475925</v>
      </c>
      <c r="AG247">
        <v>2.3548666666666702</v>
      </c>
      <c r="AH247">
        <v>13.693199999999999</v>
      </c>
      <c r="AI247">
        <v>0.31578888888888901</v>
      </c>
      <c r="AJ247">
        <v>10.647211111111099</v>
      </c>
      <c r="AK247">
        <v>0.57640000000000002</v>
      </c>
      <c r="AL247">
        <v>2.9864222222222199</v>
      </c>
      <c r="AM247">
        <v>50.176744444444402</v>
      </c>
      <c r="AN247">
        <v>6.02064444444445</v>
      </c>
      <c r="AP247">
        <v>0.192211111111111</v>
      </c>
      <c r="AQ247">
        <v>98.596999999999909</v>
      </c>
      <c r="AR247">
        <v>0.13013498760902101</v>
      </c>
      <c r="AS247">
        <v>0.18486291542653999</v>
      </c>
      <c r="AT247">
        <v>3.2683881518435202E-2</v>
      </c>
      <c r="AU247">
        <v>0.25932300054393698</v>
      </c>
      <c r="AV247">
        <v>5.4947019937390602E-2</v>
      </c>
      <c r="AW247">
        <v>8.2598785974398195E-2</v>
      </c>
      <c r="AX247">
        <v>1.0616485472027799</v>
      </c>
      <c r="AY247">
        <v>0.12895273466575999</v>
      </c>
      <c r="BA247">
        <v>3.7379287193726803E-2</v>
      </c>
      <c r="BE247">
        <v>0.38698326531462962</v>
      </c>
      <c r="BF247">
        <v>26389</v>
      </c>
      <c r="BG247">
        <v>428413.37385793403</v>
      </c>
      <c r="BH247">
        <v>953.50531445290835</v>
      </c>
      <c r="BI247">
        <v>369.28066869568568</v>
      </c>
      <c r="BJ247">
        <v>5.8696425102318708</v>
      </c>
      <c r="BK247">
        <v>953.50531445290846</v>
      </c>
    </row>
    <row r="248" spans="1:63" x14ac:dyDescent="0.2">
      <c r="A248">
        <v>246</v>
      </c>
      <c r="B248" t="s">
        <v>69</v>
      </c>
      <c r="C248" t="s">
        <v>236</v>
      </c>
      <c r="D248" t="s">
        <v>64</v>
      </c>
      <c r="E248">
        <v>-155.292979</v>
      </c>
      <c r="F248">
        <v>19.400748</v>
      </c>
      <c r="G248" t="s">
        <v>237</v>
      </c>
      <c r="H248" t="s">
        <v>462</v>
      </c>
      <c r="I248" t="s">
        <v>609</v>
      </c>
      <c r="J248" t="s">
        <v>68</v>
      </c>
      <c r="K248">
        <v>6.4104159546874993</v>
      </c>
      <c r="L248">
        <v>5.7635396289062486</v>
      </c>
      <c r="M248">
        <v>116.07143854552299</v>
      </c>
      <c r="N248">
        <v>942.03235825135243</v>
      </c>
      <c r="Q248">
        <v>9.8580000000000005</v>
      </c>
      <c r="R248">
        <v>1324.9639999999999</v>
      </c>
      <c r="S248">
        <v>50</v>
      </c>
      <c r="T248">
        <v>103.02279708629951</v>
      </c>
      <c r="U248">
        <v>1.0906175044659801E-2</v>
      </c>
      <c r="V248">
        <v>0.1079919246806966</v>
      </c>
      <c r="W248">
        <v>5.7622507176886741E-3</v>
      </c>
      <c r="X248">
        <v>8.1032115944212162</v>
      </c>
      <c r="Y248">
        <v>9.315801424502701E-2</v>
      </c>
      <c r="Z248">
        <v>0.3525635470252495</v>
      </c>
      <c r="AA248">
        <v>3.0232899970758769E-2</v>
      </c>
      <c r="AB248">
        <v>1.5167066500322739</v>
      </c>
      <c r="AC248">
        <v>0.12507044700574951</v>
      </c>
      <c r="AD248">
        <v>1187.199296682576</v>
      </c>
      <c r="AE248">
        <v>50</v>
      </c>
      <c r="AF248">
        <v>81.923494219770703</v>
      </c>
      <c r="AG248">
        <v>2.0274999999999999</v>
      </c>
      <c r="AH248">
        <v>12.7525</v>
      </c>
      <c r="AI248">
        <v>0.17249999999999999</v>
      </c>
      <c r="AJ248">
        <v>11.092499999999999</v>
      </c>
      <c r="AK248">
        <v>0.51750000000000007</v>
      </c>
      <c r="AL248">
        <v>2.5150000000000001</v>
      </c>
      <c r="AM248">
        <v>50.63</v>
      </c>
      <c r="AN248">
        <v>7.415</v>
      </c>
      <c r="AP248">
        <v>1685.75</v>
      </c>
      <c r="AR248">
        <v>0.17231270024773751</v>
      </c>
      <c r="AS248">
        <v>0.13450526631573459</v>
      </c>
      <c r="AT248">
        <v>4.9999999999999836E-3</v>
      </c>
      <c r="AU248">
        <v>0.29227555491350982</v>
      </c>
      <c r="AV248">
        <v>2.061552812808835E-2</v>
      </c>
      <c r="AW248">
        <v>6.2449979983983737E-2</v>
      </c>
      <c r="AX248">
        <v>0.21556128285632961</v>
      </c>
      <c r="AY248">
        <v>0.39770173078158311</v>
      </c>
      <c r="BA248">
        <v>51.951098801340748</v>
      </c>
      <c r="BE248">
        <v>0.99159199734645076</v>
      </c>
      <c r="BF248">
        <v>3750</v>
      </c>
      <c r="BG248">
        <v>93956.454543412197</v>
      </c>
      <c r="BH248">
        <v>261.21715821620882</v>
      </c>
      <c r="BI248">
        <v>172.9371803631193</v>
      </c>
      <c r="BJ248">
        <v>4.2656583312638272</v>
      </c>
      <c r="BK248">
        <v>261.21715821620882</v>
      </c>
    </row>
    <row r="249" spans="1:63" x14ac:dyDescent="0.2">
      <c r="A249">
        <v>247</v>
      </c>
      <c r="B249" t="s">
        <v>62</v>
      </c>
      <c r="C249" t="s">
        <v>63</v>
      </c>
      <c r="D249" t="s">
        <v>64</v>
      </c>
      <c r="E249">
        <v>-155.26785000000001</v>
      </c>
      <c r="F249">
        <v>19.407830000000001</v>
      </c>
      <c r="G249" t="s">
        <v>65</v>
      </c>
      <c r="H249" t="s">
        <v>161</v>
      </c>
      <c r="I249" t="s">
        <v>610</v>
      </c>
      <c r="J249" t="s">
        <v>68</v>
      </c>
      <c r="O249" t="s">
        <v>296</v>
      </c>
      <c r="Q249">
        <v>19.946000000000002</v>
      </c>
      <c r="R249">
        <v>1325.0039999999999</v>
      </c>
      <c r="S249">
        <v>50</v>
      </c>
      <c r="T249">
        <v>103.02312670000001</v>
      </c>
      <c r="U249">
        <v>5.7582105229999998E-3</v>
      </c>
      <c r="V249">
        <v>0.10812251859999999</v>
      </c>
      <c r="W249">
        <v>4.4424517070000002E-3</v>
      </c>
      <c r="X249">
        <v>0.25405944243113149</v>
      </c>
      <c r="Y249">
        <v>8.7166555768106058E-2</v>
      </c>
      <c r="Z249">
        <v>0.37668960361194032</v>
      </c>
      <c r="AA249">
        <v>2.7937689079444109E-2</v>
      </c>
      <c r="AB249">
        <v>1.6163974902426961</v>
      </c>
      <c r="AC249">
        <v>0.11504911645653119</v>
      </c>
      <c r="AD249">
        <v>1290.39037710252</v>
      </c>
      <c r="AE249">
        <v>50</v>
      </c>
      <c r="AF249">
        <v>87.875611460000002</v>
      </c>
      <c r="BE249">
        <v>0.37873432347698349</v>
      </c>
      <c r="BF249">
        <v>2912</v>
      </c>
      <c r="BG249">
        <v>186237.86243962811</v>
      </c>
      <c r="BH249">
        <v>313.98690323248218</v>
      </c>
      <c r="BI249">
        <v>243.47762278343049</v>
      </c>
      <c r="BJ249">
        <v>5.8185644365403197</v>
      </c>
      <c r="BK249">
        <v>313.98690323248229</v>
      </c>
    </row>
    <row r="250" spans="1:63" x14ac:dyDescent="0.2">
      <c r="A250">
        <v>248</v>
      </c>
      <c r="B250" t="s">
        <v>69</v>
      </c>
      <c r="C250" t="s">
        <v>76</v>
      </c>
      <c r="D250" t="s">
        <v>71</v>
      </c>
      <c r="E250">
        <v>-155.29812000000001</v>
      </c>
      <c r="F250">
        <v>19.375624999999999</v>
      </c>
      <c r="G250" t="s">
        <v>77</v>
      </c>
      <c r="H250" t="s">
        <v>313</v>
      </c>
      <c r="I250" t="s">
        <v>611</v>
      </c>
      <c r="J250" t="s">
        <v>68</v>
      </c>
      <c r="K250">
        <v>10.57457696875</v>
      </c>
      <c r="L250">
        <v>10.57457696875</v>
      </c>
      <c r="M250">
        <v>351.298162330568</v>
      </c>
      <c r="N250">
        <v>4953.1059420600313</v>
      </c>
      <c r="Q250">
        <v>11.813000000000001</v>
      </c>
      <c r="R250">
        <v>1324.9639999999999</v>
      </c>
      <c r="S250">
        <v>50</v>
      </c>
      <c r="T250">
        <v>103.0234384742355</v>
      </c>
      <c r="U250">
        <v>5.9080314400587891E-3</v>
      </c>
      <c r="V250">
        <v>0.10824606832819229</v>
      </c>
      <c r="W250">
        <v>4.4733425467798878E-3</v>
      </c>
      <c r="X250">
        <v>0</v>
      </c>
      <c r="Y250">
        <v>9.0536746713284821E-2</v>
      </c>
      <c r="Z250">
        <v>0.36280164224297129</v>
      </c>
      <c r="AA250">
        <v>2.8316334459311539E-2</v>
      </c>
      <c r="AB250">
        <v>1.5590718833835779</v>
      </c>
      <c r="AC250">
        <v>0.1168477101609139</v>
      </c>
      <c r="AD250">
        <v>1228.0807300695119</v>
      </c>
      <c r="AE250">
        <v>50</v>
      </c>
      <c r="AF250">
        <v>84.798152013154208</v>
      </c>
      <c r="AG250">
        <v>2.5039199999999999</v>
      </c>
      <c r="AH250">
        <v>14.096819999999999</v>
      </c>
      <c r="AI250">
        <v>0.27322000000000002</v>
      </c>
      <c r="AJ250">
        <v>10.95044</v>
      </c>
      <c r="AK250">
        <v>0.52094000000000007</v>
      </c>
      <c r="AL250">
        <v>2.9191400000000001</v>
      </c>
      <c r="AM250">
        <v>50.91704</v>
      </c>
      <c r="AN250">
        <v>6.4346599999999992</v>
      </c>
      <c r="AO250">
        <v>10.86684</v>
      </c>
      <c r="AP250">
        <v>0.19492000000000001</v>
      </c>
      <c r="AQ250">
        <v>99.70778</v>
      </c>
      <c r="AR250">
        <v>5.8797253337209539E-2</v>
      </c>
      <c r="AS250">
        <v>0.138496180452748</v>
      </c>
      <c r="AT250">
        <v>2.822688434808206E-2</v>
      </c>
      <c r="AU250">
        <v>7.1287502411011894E-2</v>
      </c>
      <c r="AV250">
        <v>1.2819243347405491E-2</v>
      </c>
      <c r="AW250">
        <v>2.3721045508155889E-2</v>
      </c>
      <c r="AX250">
        <v>0.39733328327740491</v>
      </c>
      <c r="AY250">
        <v>8.3972662218129629E-2</v>
      </c>
      <c r="AZ250">
        <v>5.8132675837260117E-2</v>
      </c>
      <c r="BA250">
        <v>1.931080008699795E-2</v>
      </c>
      <c r="BD250" t="s">
        <v>315</v>
      </c>
      <c r="BE250">
        <v>0.11135448793799339</v>
      </c>
      <c r="BF250">
        <v>6459</v>
      </c>
      <c r="BG250">
        <v>318472.10157445102</v>
      </c>
      <c r="BH250">
        <v>14.098292130671011</v>
      </c>
      <c r="BI250">
        <v>318.39098354833499</v>
      </c>
      <c r="BJ250">
        <v>0.17542192121144429</v>
      </c>
      <c r="BK250">
        <v>14.098292130671011</v>
      </c>
    </row>
    <row r="251" spans="1:63" x14ac:dyDescent="0.2">
      <c r="A251">
        <v>249</v>
      </c>
      <c r="B251" t="s">
        <v>69</v>
      </c>
      <c r="C251" t="s">
        <v>70</v>
      </c>
      <c r="D251" t="s">
        <v>71</v>
      </c>
      <c r="E251">
        <v>-155.29347999999999</v>
      </c>
      <c r="F251">
        <v>19.377479999999998</v>
      </c>
      <c r="G251" t="s">
        <v>112</v>
      </c>
      <c r="H251" t="s">
        <v>612</v>
      </c>
      <c r="I251" t="s">
        <v>613</v>
      </c>
      <c r="J251" t="s">
        <v>68</v>
      </c>
      <c r="K251">
        <v>5.9493327843750006</v>
      </c>
      <c r="L251">
        <v>4.30067278203125</v>
      </c>
      <c r="M251">
        <v>80.381209279294708</v>
      </c>
      <c r="N251">
        <v>549.271895031491</v>
      </c>
      <c r="Q251">
        <v>12.007999999999999</v>
      </c>
      <c r="R251">
        <v>1324.9639999999999</v>
      </c>
      <c r="S251">
        <v>50</v>
      </c>
      <c r="T251">
        <v>103.0234737131744</v>
      </c>
      <c r="U251">
        <v>5.3938837123109918E-3</v>
      </c>
      <c r="V251">
        <v>0.10826003141040989</v>
      </c>
      <c r="W251">
        <v>4.3701905899637137E-3</v>
      </c>
      <c r="X251">
        <v>0</v>
      </c>
      <c r="Y251">
        <v>8.740645501406763E-2</v>
      </c>
      <c r="Z251">
        <v>0.37567354323519098</v>
      </c>
      <c r="AA251">
        <v>2.7732914808982281E-2</v>
      </c>
      <c r="AB251">
        <v>1.6122090303410479</v>
      </c>
      <c r="AC251">
        <v>0.1142302503978177</v>
      </c>
      <c r="AD251">
        <v>1283.891706336663</v>
      </c>
      <c r="AE251">
        <v>50</v>
      </c>
      <c r="AF251">
        <v>87.598296445524966</v>
      </c>
      <c r="AG251">
        <v>2.1280100000000002</v>
      </c>
      <c r="AH251">
        <v>12.511455</v>
      </c>
      <c r="AI251">
        <v>0.21128</v>
      </c>
      <c r="AJ251">
        <v>10.547185000000001</v>
      </c>
      <c r="AK251">
        <v>0.43435000000000001</v>
      </c>
      <c r="AL251">
        <v>2.4173399999999998</v>
      </c>
      <c r="AM251">
        <v>50.003889999999998</v>
      </c>
      <c r="AN251">
        <v>8.5805450000000008</v>
      </c>
      <c r="AO251">
        <v>11.0444</v>
      </c>
      <c r="AP251">
        <v>0.37786999999999998</v>
      </c>
      <c r="AQ251">
        <v>98.290260000000004</v>
      </c>
      <c r="AR251">
        <v>4.7093422517846893E-2</v>
      </c>
      <c r="AS251">
        <v>0.17423154844121161</v>
      </c>
      <c r="AT251">
        <v>2.1925114974993089E-2</v>
      </c>
      <c r="AU251">
        <v>0.1853741817244248</v>
      </c>
      <c r="AV251">
        <v>1.0520403456564249E-2</v>
      </c>
      <c r="AW251">
        <v>3.5166562401109248E-2</v>
      </c>
      <c r="AX251">
        <v>0.46106226248619608</v>
      </c>
      <c r="AY251">
        <v>0.4051107053427907</v>
      </c>
      <c r="AZ251">
        <v>0.14841023100402101</v>
      </c>
      <c r="BA251">
        <v>1.7068639208924791E-2</v>
      </c>
      <c r="BD251" t="s">
        <v>614</v>
      </c>
      <c r="BE251">
        <v>6.1393428295223797E-2</v>
      </c>
      <c r="BF251">
        <v>1155</v>
      </c>
      <c r="BG251">
        <v>60872.883678942919</v>
      </c>
      <c r="BH251">
        <v>64.878242552234141</v>
      </c>
      <c r="BI251">
        <v>139.19928403380331</v>
      </c>
      <c r="BJ251">
        <v>1.909009479263807</v>
      </c>
      <c r="BK251">
        <v>64.878242552234155</v>
      </c>
    </row>
    <row r="252" spans="1:63" x14ac:dyDescent="0.2">
      <c r="A252">
        <v>250</v>
      </c>
      <c r="B252" t="s">
        <v>69</v>
      </c>
      <c r="C252" t="s">
        <v>76</v>
      </c>
      <c r="D252" t="s">
        <v>71</v>
      </c>
      <c r="E252">
        <v>-155.29812000000001</v>
      </c>
      <c r="F252">
        <v>19.375624999999999</v>
      </c>
      <c r="G252" t="s">
        <v>77</v>
      </c>
      <c r="H252" t="s">
        <v>313</v>
      </c>
      <c r="I252" t="s">
        <v>615</v>
      </c>
      <c r="J252" t="s">
        <v>68</v>
      </c>
      <c r="K252">
        <v>5.748255425</v>
      </c>
      <c r="L252">
        <v>5.1407809632812498</v>
      </c>
      <c r="M252">
        <v>92.835703016323649</v>
      </c>
      <c r="N252">
        <v>673.92756551761295</v>
      </c>
      <c r="Q252">
        <v>11.824999999999999</v>
      </c>
      <c r="R252">
        <v>1324.9639999999999</v>
      </c>
      <c r="S252">
        <v>50</v>
      </c>
      <c r="T252">
        <v>103.0236379050817</v>
      </c>
      <c r="U252">
        <v>9.5619247008203838E-3</v>
      </c>
      <c r="V252">
        <v>0.1083250908352156</v>
      </c>
      <c r="W252">
        <v>5.3745976297475632E-3</v>
      </c>
      <c r="X252">
        <v>0</v>
      </c>
      <c r="Y252">
        <v>9.044760117138928E-2</v>
      </c>
      <c r="Z252">
        <v>0.3631593524857592</v>
      </c>
      <c r="AA252">
        <v>3.044837375338915E-2</v>
      </c>
      <c r="AB252">
        <v>1.5605504696683949</v>
      </c>
      <c r="AC252">
        <v>0.12561524113526709</v>
      </c>
      <c r="AD252">
        <v>1228.501065597309</v>
      </c>
      <c r="AE252">
        <v>50</v>
      </c>
      <c r="AF252">
        <v>84.822935383539217</v>
      </c>
      <c r="AG252">
        <v>2.5039199999999999</v>
      </c>
      <c r="AH252">
        <v>14.096819999999999</v>
      </c>
      <c r="AI252">
        <v>0.27322000000000002</v>
      </c>
      <c r="AJ252">
        <v>10.95044</v>
      </c>
      <c r="AK252">
        <v>0.52094000000000007</v>
      </c>
      <c r="AL252">
        <v>2.9191400000000001</v>
      </c>
      <c r="AM252">
        <v>50.91704</v>
      </c>
      <c r="AN252">
        <v>6.4346599999999992</v>
      </c>
      <c r="AO252">
        <v>10.86684</v>
      </c>
      <c r="AP252">
        <v>0.19492000000000001</v>
      </c>
      <c r="AQ252">
        <v>99.70778</v>
      </c>
      <c r="AR252">
        <v>5.8797253337209539E-2</v>
      </c>
      <c r="AS252">
        <v>0.138496180452748</v>
      </c>
      <c r="AT252">
        <v>2.822688434808206E-2</v>
      </c>
      <c r="AU252">
        <v>7.1287502411011894E-2</v>
      </c>
      <c r="AV252">
        <v>1.2819243347405491E-2</v>
      </c>
      <c r="AW252">
        <v>2.3721045508155889E-2</v>
      </c>
      <c r="AX252">
        <v>0.39733328327740491</v>
      </c>
      <c r="AY252">
        <v>8.3972662218129629E-2</v>
      </c>
      <c r="AZ252">
        <v>5.8132675837260117E-2</v>
      </c>
      <c r="BA252">
        <v>1.931080008699795E-2</v>
      </c>
      <c r="BD252" t="s">
        <v>315</v>
      </c>
      <c r="BE252">
        <v>0.11135448793799339</v>
      </c>
      <c r="BF252">
        <v>6459</v>
      </c>
      <c r="BG252">
        <v>318472.10157445102</v>
      </c>
      <c r="BH252">
        <v>14.098292130671011</v>
      </c>
      <c r="BI252">
        <v>318.39098354833499</v>
      </c>
      <c r="BJ252">
        <v>0.17542192121144429</v>
      </c>
      <c r="BK252">
        <v>14.098292130671011</v>
      </c>
    </row>
    <row r="253" spans="1:63" x14ac:dyDescent="0.2">
      <c r="A253">
        <v>251</v>
      </c>
      <c r="B253" t="s">
        <v>69</v>
      </c>
      <c r="C253" t="s">
        <v>157</v>
      </c>
      <c r="D253" t="s">
        <v>64</v>
      </c>
      <c r="G253" t="s">
        <v>158</v>
      </c>
      <c r="H253" t="s">
        <v>284</v>
      </c>
      <c r="I253" t="s">
        <v>616</v>
      </c>
      <c r="J253" t="s">
        <v>68</v>
      </c>
      <c r="K253">
        <v>6.0195936304687496</v>
      </c>
      <c r="L253">
        <v>5.4791255835937509</v>
      </c>
      <c r="M253">
        <v>103.6163527905495</v>
      </c>
      <c r="N253">
        <v>794.30356448251337</v>
      </c>
      <c r="O253" t="s">
        <v>617</v>
      </c>
      <c r="Q253">
        <v>10.137</v>
      </c>
      <c r="R253">
        <v>1324.9639999999999</v>
      </c>
      <c r="S253">
        <v>50</v>
      </c>
      <c r="T253">
        <v>103.0239643455002</v>
      </c>
      <c r="U253">
        <v>1.416637662001112E-2</v>
      </c>
      <c r="V253">
        <v>0.1084544396333342</v>
      </c>
      <c r="W253">
        <v>6.7853664064219284E-3</v>
      </c>
      <c r="X253">
        <v>3.0279225100734148</v>
      </c>
      <c r="Y253">
        <v>9.2723076733057574E-2</v>
      </c>
      <c r="Z253">
        <v>0.35423757810957351</v>
      </c>
      <c r="AA253">
        <v>3.2289241065119698E-2</v>
      </c>
      <c r="AB253">
        <v>1.523639920750373</v>
      </c>
      <c r="AC253">
        <v>0.1335436409907613</v>
      </c>
      <c r="AD253">
        <v>1188.025098497304</v>
      </c>
      <c r="AE253">
        <v>50</v>
      </c>
      <c r="AF253">
        <v>81.993787181097588</v>
      </c>
      <c r="AG253">
        <v>2.4084062500000001</v>
      </c>
      <c r="AH253">
        <v>13.3720625</v>
      </c>
      <c r="AI253">
        <v>0.31026874999999998</v>
      </c>
      <c r="AJ253">
        <v>10.387225000000001</v>
      </c>
      <c r="AK253">
        <v>0.59164375000000002</v>
      </c>
      <c r="AL253">
        <v>3.0521875000000001</v>
      </c>
      <c r="AM253">
        <v>49.819099999999999</v>
      </c>
      <c r="AN253">
        <v>5.8739499999999998</v>
      </c>
      <c r="AP253">
        <v>0.19186249999999999</v>
      </c>
      <c r="AQ253">
        <v>97.820293750000005</v>
      </c>
      <c r="AR253">
        <v>8.7457962997469094E-2</v>
      </c>
      <c r="AS253">
        <v>0.20894986918716499</v>
      </c>
      <c r="AT253">
        <v>3.6791968666182201E-2</v>
      </c>
      <c r="AU253">
        <v>0.19989042831845</v>
      </c>
      <c r="AV253">
        <v>2.81971149528931E-2</v>
      </c>
      <c r="AW253">
        <v>5.5804024645778501E-2</v>
      </c>
      <c r="AX253">
        <v>0.88416756556661702</v>
      </c>
      <c r="AY253">
        <v>0.205613822492555</v>
      </c>
      <c r="BA253">
        <v>4.9243326112953303E-2</v>
      </c>
      <c r="BE253">
        <v>0.42222830556228019</v>
      </c>
      <c r="BF253">
        <v>13739</v>
      </c>
      <c r="BG253">
        <v>124754.6457802691</v>
      </c>
      <c r="BH253">
        <v>609.36232926853404</v>
      </c>
      <c r="BI253">
        <v>199.27527969925561</v>
      </c>
      <c r="BJ253">
        <v>5.1987393165992213</v>
      </c>
      <c r="BK253">
        <v>609.36232926853415</v>
      </c>
    </row>
    <row r="254" spans="1:63" x14ac:dyDescent="0.2">
      <c r="A254">
        <v>252</v>
      </c>
      <c r="B254" t="s">
        <v>62</v>
      </c>
      <c r="C254" t="s">
        <v>63</v>
      </c>
      <c r="D254" t="s">
        <v>64</v>
      </c>
      <c r="E254">
        <v>-155.26785000000001</v>
      </c>
      <c r="F254">
        <v>19.407830000000001</v>
      </c>
      <c r="G254" t="s">
        <v>65</v>
      </c>
      <c r="H254" t="s">
        <v>618</v>
      </c>
      <c r="I254" t="s">
        <v>619</v>
      </c>
      <c r="J254" t="s">
        <v>68</v>
      </c>
      <c r="K254">
        <v>13.76037458828125</v>
      </c>
      <c r="L254">
        <v>9.866040793749999</v>
      </c>
      <c r="M254">
        <v>426.50392877485501</v>
      </c>
      <c r="N254">
        <v>6717.8393222019959</v>
      </c>
      <c r="Q254">
        <v>16.021000000000001</v>
      </c>
      <c r="R254">
        <v>1325.0039999999999</v>
      </c>
      <c r="S254">
        <v>50</v>
      </c>
      <c r="T254">
        <v>103.0243486</v>
      </c>
      <c r="U254">
        <v>2.1277727330000001E-3</v>
      </c>
      <c r="V254">
        <v>0.10860667910000001</v>
      </c>
      <c r="W254">
        <v>3.905695825E-3</v>
      </c>
      <c r="X254">
        <v>3.8450699634088399</v>
      </c>
      <c r="Y254">
        <v>8.9654528836637937E-2</v>
      </c>
      <c r="Z254">
        <v>0.36635998911555517</v>
      </c>
      <c r="AA254">
        <v>2.5171999215895201E-2</v>
      </c>
      <c r="AB254">
        <v>1.5737753679416771</v>
      </c>
      <c r="AC254">
        <v>0.1038797405349203</v>
      </c>
      <c r="AD254">
        <v>1238.3320176251971</v>
      </c>
      <c r="AE254">
        <v>50</v>
      </c>
      <c r="BE254">
        <v>0.14030346217609249</v>
      </c>
      <c r="BF254">
        <v>729</v>
      </c>
      <c r="BG254">
        <v>46512.68184482737</v>
      </c>
      <c r="BH254">
        <v>0.14254358410835269</v>
      </c>
      <c r="BI254">
        <v>121.67763337659829</v>
      </c>
      <c r="BJ254">
        <v>5.2793920040130624E-3</v>
      </c>
      <c r="BK254">
        <v>0.14254358410835269</v>
      </c>
    </row>
    <row r="255" spans="1:63" x14ac:dyDescent="0.2">
      <c r="A255">
        <v>253</v>
      </c>
      <c r="B255" t="s">
        <v>69</v>
      </c>
      <c r="C255" t="s">
        <v>321</v>
      </c>
      <c r="D255" t="s">
        <v>322</v>
      </c>
      <c r="E255">
        <v>-155.27718329999999</v>
      </c>
      <c r="F255">
        <v>19.40966667</v>
      </c>
      <c r="G255" t="s">
        <v>323</v>
      </c>
      <c r="H255" t="s">
        <v>346</v>
      </c>
      <c r="I255" t="s">
        <v>620</v>
      </c>
      <c r="J255" t="s">
        <v>68</v>
      </c>
      <c r="K255">
        <v>5.2684011601562499</v>
      </c>
      <c r="L255">
        <v>4.6157133500000009</v>
      </c>
      <c r="M255">
        <v>76.395458085294663</v>
      </c>
      <c r="N255">
        <v>503.40097051392979</v>
      </c>
      <c r="Q255">
        <v>10.076000000000001</v>
      </c>
      <c r="R255">
        <v>1324.9639999999999</v>
      </c>
      <c r="S255">
        <v>100</v>
      </c>
      <c r="T255">
        <v>103.0245882007642</v>
      </c>
      <c r="U255">
        <v>2.4595695249704799E-2</v>
      </c>
      <c r="V255">
        <v>0.10870163613237339</v>
      </c>
      <c r="W255">
        <v>1.0464935920800941E-2</v>
      </c>
      <c r="X255">
        <v>0</v>
      </c>
      <c r="Y255">
        <v>9.2480844020641606E-2</v>
      </c>
      <c r="Z255">
        <v>0.35517507240760537</v>
      </c>
      <c r="AA255">
        <v>4.2927321986384902E-2</v>
      </c>
      <c r="AB255">
        <v>1.5275216568798311</v>
      </c>
      <c r="AC255">
        <v>0.1776488217099057</v>
      </c>
      <c r="AD255">
        <v>1188.646483509528</v>
      </c>
      <c r="AE255">
        <v>50</v>
      </c>
      <c r="AF255">
        <v>82.04623022461665</v>
      </c>
      <c r="AG255">
        <v>2.3548666666666702</v>
      </c>
      <c r="AH255">
        <v>13.693199999999999</v>
      </c>
      <c r="AI255">
        <v>0.31578888888888901</v>
      </c>
      <c r="AJ255">
        <v>10.647211111111099</v>
      </c>
      <c r="AK255">
        <v>0.57640000000000002</v>
      </c>
      <c r="AL255">
        <v>2.9864222222222199</v>
      </c>
      <c r="AM255">
        <v>50.176744444444402</v>
      </c>
      <c r="AN255">
        <v>6.02064444444445</v>
      </c>
      <c r="AP255">
        <v>0.192211111111111</v>
      </c>
      <c r="AQ255">
        <v>98.596999999999909</v>
      </c>
      <c r="AR255">
        <v>0.13013498760902101</v>
      </c>
      <c r="AS255">
        <v>0.18486291542653999</v>
      </c>
      <c r="AT255">
        <v>3.2683881518435202E-2</v>
      </c>
      <c r="AU255">
        <v>0.25932300054393698</v>
      </c>
      <c r="AV255">
        <v>5.4947019937390602E-2</v>
      </c>
      <c r="AW255">
        <v>8.2598785974398195E-2</v>
      </c>
      <c r="AX255">
        <v>1.0616485472027799</v>
      </c>
      <c r="AY255">
        <v>0.12895273466575999</v>
      </c>
      <c r="BA255">
        <v>3.7379287193726803E-2</v>
      </c>
      <c r="BE255">
        <v>1.7316677593239</v>
      </c>
      <c r="BF255">
        <v>4231</v>
      </c>
      <c r="BG255">
        <v>234045.9470437167</v>
      </c>
      <c r="BH255">
        <v>842.23056009261506</v>
      </c>
      <c r="BI255">
        <v>272.94530361459408</v>
      </c>
      <c r="BJ255">
        <v>12.948202504073119</v>
      </c>
      <c r="BK255">
        <v>842.23056009261484</v>
      </c>
    </row>
    <row r="256" spans="1:63" x14ac:dyDescent="0.2">
      <c r="A256">
        <v>254</v>
      </c>
      <c r="B256" t="s">
        <v>69</v>
      </c>
      <c r="C256" t="s">
        <v>169</v>
      </c>
      <c r="D256" t="s">
        <v>64</v>
      </c>
      <c r="E256">
        <v>-155.29196300000001</v>
      </c>
      <c r="F256">
        <v>19.398634000000001</v>
      </c>
      <c r="G256" t="s">
        <v>170</v>
      </c>
      <c r="H256" t="s">
        <v>621</v>
      </c>
      <c r="I256" t="s">
        <v>622</v>
      </c>
      <c r="J256" t="s">
        <v>68</v>
      </c>
      <c r="K256">
        <v>4.2608641140625014</v>
      </c>
      <c r="L256">
        <v>4.1216790632812499</v>
      </c>
      <c r="M256">
        <v>55.172381294741349</v>
      </c>
      <c r="N256">
        <v>308.32324560002797</v>
      </c>
      <c r="Q256">
        <v>9.9190000000000005</v>
      </c>
      <c r="R256">
        <v>1324.9639999999999</v>
      </c>
      <c r="S256">
        <v>50</v>
      </c>
      <c r="T256">
        <v>103.0246848680105</v>
      </c>
      <c r="U256">
        <v>4.5131706670648586E-3</v>
      </c>
      <c r="V256">
        <v>0.1087399395758766</v>
      </c>
      <c r="W256">
        <v>4.2110048422713082E-3</v>
      </c>
      <c r="X256">
        <v>4.1162817379965668</v>
      </c>
      <c r="Y256">
        <v>9.255949561990473E-2</v>
      </c>
      <c r="Z256">
        <v>0.35487224165761488</v>
      </c>
      <c r="AA256">
        <v>2.5734518213339191E-2</v>
      </c>
      <c r="AB256">
        <v>1.5262678551796389</v>
      </c>
      <c r="AC256">
        <v>0.10651300359068799</v>
      </c>
      <c r="AD256">
        <v>1186.8104275375999</v>
      </c>
      <c r="AE256">
        <v>50</v>
      </c>
      <c r="AF256">
        <v>81.890152909854351</v>
      </c>
      <c r="AG256">
        <v>2.5390516666666669</v>
      </c>
      <c r="AH256">
        <v>13.89052597266207</v>
      </c>
      <c r="AI256">
        <v>0.24399675000000001</v>
      </c>
      <c r="AJ256">
        <v>11.205616666666669</v>
      </c>
      <c r="AK256">
        <v>0.47515841666666669</v>
      </c>
      <c r="AL256">
        <v>2.6323025000000002</v>
      </c>
      <c r="AM256">
        <v>50.778866165683027</v>
      </c>
      <c r="AN256">
        <v>6.7552275000000002</v>
      </c>
      <c r="AP256">
        <v>0.17074191666666669</v>
      </c>
      <c r="AR256">
        <v>5.5209421763999247E-2</v>
      </c>
      <c r="AS256">
        <v>0.23260322971847319</v>
      </c>
      <c r="AT256">
        <v>2.215836573857705E-2</v>
      </c>
      <c r="AU256">
        <v>0.13946342520423419</v>
      </c>
      <c r="AV256">
        <v>1.8188943372071519E-2</v>
      </c>
      <c r="AW256">
        <v>3.4278244127355022E-2</v>
      </c>
      <c r="AX256">
        <v>0.34681065155483992</v>
      </c>
      <c r="AY256">
        <v>0.48865100303376952</v>
      </c>
      <c r="BA256">
        <v>2.081601264087701E-2</v>
      </c>
      <c r="BE256">
        <v>0.21867938739930581</v>
      </c>
      <c r="BF256">
        <v>6279</v>
      </c>
      <c r="BG256">
        <v>159211.91386936331</v>
      </c>
      <c r="BH256">
        <v>279.49217707106112</v>
      </c>
      <c r="BI256">
        <v>225.11935985796629</v>
      </c>
      <c r="BJ256">
        <v>3.5271539441424249</v>
      </c>
      <c r="BK256">
        <v>279.49217707106112</v>
      </c>
    </row>
    <row r="257" spans="1:63" x14ac:dyDescent="0.2">
      <c r="A257">
        <v>255</v>
      </c>
      <c r="B257" t="s">
        <v>69</v>
      </c>
      <c r="C257" t="s">
        <v>81</v>
      </c>
      <c r="D257" t="s">
        <v>71</v>
      </c>
      <c r="E257">
        <v>-155.29106999999999</v>
      </c>
      <c r="F257">
        <v>19.383150000000001</v>
      </c>
      <c r="G257" t="s">
        <v>87</v>
      </c>
      <c r="H257" t="s">
        <v>497</v>
      </c>
      <c r="I257" t="s">
        <v>623</v>
      </c>
      <c r="J257" t="s">
        <v>68</v>
      </c>
      <c r="K257">
        <v>5.87570127734375</v>
      </c>
      <c r="L257">
        <v>4.9846844929687499</v>
      </c>
      <c r="M257">
        <v>92.01258997523253</v>
      </c>
      <c r="N257">
        <v>666.19481523774255</v>
      </c>
      <c r="O257" t="s">
        <v>499</v>
      </c>
      <c r="Q257">
        <v>12.093</v>
      </c>
      <c r="R257">
        <v>1325.0039999999999</v>
      </c>
      <c r="S257">
        <v>50</v>
      </c>
      <c r="T257">
        <v>103.0249537698806</v>
      </c>
      <c r="U257">
        <v>2.2232399689474509E-2</v>
      </c>
      <c r="V257">
        <v>0.1088464892913521</v>
      </c>
      <c r="W257">
        <v>9.5989799247873063E-3</v>
      </c>
      <c r="X257">
        <v>0</v>
      </c>
      <c r="Y257">
        <v>8.9984598822365758E-2</v>
      </c>
      <c r="Z257">
        <v>0.36502832230084231</v>
      </c>
      <c r="AA257">
        <v>4.0589418609933023E-2</v>
      </c>
      <c r="AB257">
        <v>1.5682740357816429</v>
      </c>
      <c r="AC257">
        <v>0.1674321184885956</v>
      </c>
      <c r="AD257">
        <v>1229.1339001261999</v>
      </c>
      <c r="AE257">
        <v>50</v>
      </c>
      <c r="AF257">
        <v>84.860110752691767</v>
      </c>
      <c r="AG257">
        <v>2.2102200000000001</v>
      </c>
      <c r="AH257">
        <v>12.516225</v>
      </c>
      <c r="AI257">
        <v>0.22873499999999999</v>
      </c>
      <c r="AJ257">
        <v>10.535360000000001</v>
      </c>
      <c r="AK257">
        <v>0.37534499999999998</v>
      </c>
      <c r="AL257">
        <v>2.4377900000000001</v>
      </c>
      <c r="AM257">
        <v>50.224780000000003</v>
      </c>
      <c r="AN257">
        <v>8.9844449999999991</v>
      </c>
      <c r="AP257">
        <v>0.178455</v>
      </c>
      <c r="AQ257">
        <v>99.610560000000007</v>
      </c>
      <c r="AR257">
        <v>1.7587090435884831E-2</v>
      </c>
      <c r="AS257">
        <v>0.12699126938494701</v>
      </c>
      <c r="AT257">
        <v>8.073250584491971E-3</v>
      </c>
      <c r="AU257">
        <v>6.9056800896073786E-2</v>
      </c>
      <c r="AV257">
        <v>2.248073063759274E-2</v>
      </c>
      <c r="AW257">
        <v>2.1205111412109991E-2</v>
      </c>
      <c r="AX257">
        <v>0.5052093298821787</v>
      </c>
      <c r="AY257">
        <v>0.13192220766421431</v>
      </c>
      <c r="BA257">
        <v>1.2962040734390541E-2</v>
      </c>
      <c r="BB257">
        <v>5</v>
      </c>
      <c r="BC257" t="s">
        <v>86</v>
      </c>
    </row>
    <row r="258" spans="1:63" x14ac:dyDescent="0.2">
      <c r="A258">
        <v>256</v>
      </c>
      <c r="B258" t="s">
        <v>69</v>
      </c>
      <c r="C258" t="s">
        <v>308</v>
      </c>
      <c r="D258" t="s">
        <v>64</v>
      </c>
      <c r="E258">
        <v>-155.2774</v>
      </c>
      <c r="F258">
        <v>19.402283329999999</v>
      </c>
      <c r="G258" t="s">
        <v>309</v>
      </c>
      <c r="H258" t="s">
        <v>624</v>
      </c>
      <c r="I258" t="s">
        <v>625</v>
      </c>
      <c r="J258" t="s">
        <v>68</v>
      </c>
      <c r="K258">
        <v>6.1447730039062503</v>
      </c>
      <c r="L258">
        <v>4.3968528484375007</v>
      </c>
      <c r="M258">
        <v>84.878490609076408</v>
      </c>
      <c r="N258">
        <v>596.50486060837068</v>
      </c>
      <c r="O258" t="s">
        <v>626</v>
      </c>
      <c r="Q258">
        <v>11.33566666666667</v>
      </c>
      <c r="R258">
        <v>1324.9639999999999</v>
      </c>
      <c r="S258">
        <v>100</v>
      </c>
      <c r="T258">
        <v>103.0252404147756</v>
      </c>
      <c r="U258">
        <v>4.1958934014397258E-2</v>
      </c>
      <c r="V258">
        <v>0.1089600695055661</v>
      </c>
      <c r="W258">
        <v>1.7060978654549201E-2</v>
      </c>
      <c r="X258">
        <v>0</v>
      </c>
      <c r="Y258">
        <v>9.2340291155434073E-2</v>
      </c>
      <c r="Z258">
        <v>0.35572274437705281</v>
      </c>
      <c r="AA258">
        <v>6.309880672094148E-2</v>
      </c>
      <c r="AB258">
        <v>1.5297889685308761</v>
      </c>
      <c r="AC258">
        <v>0.26114797182676758</v>
      </c>
      <c r="AD258">
        <v>1187.4313449381591</v>
      </c>
      <c r="AE258">
        <v>50</v>
      </c>
      <c r="AF258">
        <v>81.943316081363577</v>
      </c>
      <c r="AG258">
        <v>2.3267000000000002</v>
      </c>
      <c r="AH258">
        <v>13.5229384615385</v>
      </c>
      <c r="AI258">
        <v>0.27728461538461502</v>
      </c>
      <c r="AJ258">
        <v>10.5531076923077</v>
      </c>
      <c r="AK258">
        <v>0.54219230769230797</v>
      </c>
      <c r="AL258">
        <v>2.8134692307692299</v>
      </c>
      <c r="AM258">
        <v>49.582307692307701</v>
      </c>
      <c r="AN258">
        <v>6.2924769230769204</v>
      </c>
      <c r="AP258">
        <v>0.17131538461538501</v>
      </c>
      <c r="AQ258">
        <v>97.508507692307774</v>
      </c>
      <c r="AR258">
        <v>0.15754459157119099</v>
      </c>
      <c r="AS258">
        <v>0.25828299253100101</v>
      </c>
      <c r="AT258">
        <v>3.3931029215008297E-2</v>
      </c>
      <c r="AU258">
        <v>0.14495579476480899</v>
      </c>
      <c r="AV258">
        <v>5.80211091118061E-2</v>
      </c>
      <c r="AW258">
        <v>5.1717153579436098E-2</v>
      </c>
      <c r="AX258">
        <v>0.58735311988266403</v>
      </c>
      <c r="AY258">
        <v>0.17920673421984901</v>
      </c>
      <c r="BA258">
        <v>4.0360043073850597E-2</v>
      </c>
      <c r="BE258">
        <v>0.111634300509274</v>
      </c>
      <c r="BF258">
        <v>21846</v>
      </c>
      <c r="BG258">
        <v>87675.408892385545</v>
      </c>
      <c r="BH258">
        <v>180.1309916938047</v>
      </c>
      <c r="BI258">
        <v>167.05672517337501</v>
      </c>
      <c r="BJ258">
        <v>1.2187158947609109</v>
      </c>
      <c r="BK258">
        <v>180.1309916938047</v>
      </c>
    </row>
    <row r="259" spans="1:63" x14ac:dyDescent="0.2">
      <c r="A259">
        <v>257</v>
      </c>
      <c r="B259" t="s">
        <v>62</v>
      </c>
      <c r="C259" t="s">
        <v>63</v>
      </c>
      <c r="D259" t="s">
        <v>64</v>
      </c>
      <c r="E259">
        <v>-155.26785000000001</v>
      </c>
      <c r="F259">
        <v>19.407830000000001</v>
      </c>
      <c r="G259" t="s">
        <v>65</v>
      </c>
      <c r="H259" t="s">
        <v>435</v>
      </c>
      <c r="I259" t="s">
        <v>627</v>
      </c>
      <c r="J259" t="s">
        <v>68</v>
      </c>
      <c r="K259">
        <v>6.9584970460937496</v>
      </c>
      <c r="L259">
        <v>6.5838887632812497</v>
      </c>
      <c r="M259">
        <v>143.92883318945869</v>
      </c>
      <c r="N259">
        <v>1299.426525429885</v>
      </c>
      <c r="Q259">
        <v>19.995000000000001</v>
      </c>
      <c r="R259">
        <v>1325.0039999999999</v>
      </c>
      <c r="S259">
        <v>50</v>
      </c>
      <c r="T259">
        <v>103.0253842</v>
      </c>
      <c r="U259">
        <v>3.0917482950000002E-3</v>
      </c>
      <c r="V259">
        <v>0.10901705320000001</v>
      </c>
      <c r="W259">
        <v>4.0047045939999998E-3</v>
      </c>
      <c r="X259">
        <v>1.4282194706875411</v>
      </c>
      <c r="Y259">
        <v>9.2640620847292632E-2</v>
      </c>
      <c r="Z259">
        <v>0.35456430118193533</v>
      </c>
      <c r="AA259">
        <v>2.6837691693165591E-2</v>
      </c>
      <c r="AB259">
        <v>1.5249928173297309</v>
      </c>
      <c r="AC259">
        <v>0.1110266199961617</v>
      </c>
      <c r="AD259">
        <v>1181.6652152233451</v>
      </c>
      <c r="AE259">
        <v>50</v>
      </c>
      <c r="AF259">
        <v>81.433566429999999</v>
      </c>
      <c r="BE259">
        <v>5.7290723551771332E-2</v>
      </c>
      <c r="BF259">
        <v>7434</v>
      </c>
      <c r="BG259">
        <v>476788.62450311327</v>
      </c>
      <c r="BH259">
        <v>124.390858939343</v>
      </c>
      <c r="BI259">
        <v>389.57224336355398</v>
      </c>
      <c r="BJ259">
        <v>1.442703841932562</v>
      </c>
      <c r="BK259">
        <v>124.390858939343</v>
      </c>
    </row>
    <row r="260" spans="1:63" x14ac:dyDescent="0.2">
      <c r="A260">
        <v>258</v>
      </c>
      <c r="B260" t="s">
        <v>69</v>
      </c>
      <c r="C260" t="s">
        <v>177</v>
      </c>
      <c r="D260" t="s">
        <v>144</v>
      </c>
      <c r="E260">
        <v>-155.2086333</v>
      </c>
      <c r="F260">
        <v>19.347316670000001</v>
      </c>
      <c r="G260" t="s">
        <v>178</v>
      </c>
      <c r="H260" t="s">
        <v>628</v>
      </c>
      <c r="I260" t="s">
        <v>629</v>
      </c>
      <c r="J260" t="s">
        <v>68</v>
      </c>
      <c r="K260">
        <v>3.8805605765625</v>
      </c>
      <c r="L260">
        <v>3.5936475929687499</v>
      </c>
      <c r="M260">
        <v>43.810663069639197</v>
      </c>
      <c r="N260">
        <v>218.3000105517855</v>
      </c>
      <c r="Q260">
        <v>9.8699999999999992</v>
      </c>
      <c r="R260">
        <v>1324.9639999999999</v>
      </c>
      <c r="S260">
        <v>100</v>
      </c>
      <c r="T260">
        <v>103.02575081151311</v>
      </c>
      <c r="U260">
        <v>1.1490181240247459E-2</v>
      </c>
      <c r="V260">
        <v>0.1091623091818263</v>
      </c>
      <c r="W260">
        <v>5.9385776930809151E-3</v>
      </c>
      <c r="X260">
        <v>0</v>
      </c>
      <c r="Y260">
        <v>8.6129474668677375E-2</v>
      </c>
      <c r="Z260">
        <v>0.38116554186010992</v>
      </c>
      <c r="AA260">
        <v>3.066576018947648E-2</v>
      </c>
      <c r="AB260">
        <v>1.6348380440964361</v>
      </c>
      <c r="AC260">
        <v>0.12618191464114031</v>
      </c>
      <c r="AD260">
        <v>1294.2454652131089</v>
      </c>
      <c r="AE260">
        <v>50</v>
      </c>
      <c r="AF260">
        <v>88.036478336959092</v>
      </c>
      <c r="AG260">
        <v>2.1216818181818198</v>
      </c>
      <c r="AH260">
        <v>12.5470545454545</v>
      </c>
      <c r="AI260">
        <v>0.27337272727272699</v>
      </c>
      <c r="AJ260">
        <v>10.3521727272727</v>
      </c>
      <c r="AK260">
        <v>0.49205454545454502</v>
      </c>
      <c r="AL260">
        <v>2.5642454545454498</v>
      </c>
      <c r="AM260">
        <v>49.0749</v>
      </c>
      <c r="AN260">
        <v>9.1371454545454505</v>
      </c>
      <c r="AP260">
        <v>0.18198181818181799</v>
      </c>
      <c r="AQ260">
        <v>98.157727272727257</v>
      </c>
      <c r="AR260">
        <v>0.12055145638424999</v>
      </c>
      <c r="AS260">
        <v>0.28907753411026699</v>
      </c>
      <c r="AT260">
        <v>2.8655229571898099E-2</v>
      </c>
      <c r="AU260">
        <v>0.23406218443357801</v>
      </c>
      <c r="AV260">
        <v>5.2241982420968003E-2</v>
      </c>
      <c r="AW260">
        <v>6.6675218239408293E-2</v>
      </c>
      <c r="AX260">
        <v>0.92934608408278196</v>
      </c>
      <c r="AY260">
        <v>0.68994549402635696</v>
      </c>
      <c r="BA260">
        <v>4.8246177427477499E-2</v>
      </c>
      <c r="BE260">
        <v>9.2036166577395745E-2</v>
      </c>
      <c r="BF260">
        <v>3279</v>
      </c>
      <c r="BG260">
        <v>329616.80437651271</v>
      </c>
      <c r="BH260">
        <v>27.603600215404239</v>
      </c>
      <c r="BI260">
        <v>323.91401248688288</v>
      </c>
      <c r="BJ260">
        <v>0.48205325589853038</v>
      </c>
      <c r="BK260">
        <v>27.603600215404231</v>
      </c>
    </row>
    <row r="261" spans="1:63" x14ac:dyDescent="0.2">
      <c r="A261">
        <v>259</v>
      </c>
      <c r="B261" t="s">
        <v>69</v>
      </c>
      <c r="C261" t="s">
        <v>236</v>
      </c>
      <c r="D261" t="s">
        <v>64</v>
      </c>
      <c r="E261">
        <v>-155.292979</v>
      </c>
      <c r="F261">
        <v>19.400748</v>
      </c>
      <c r="G261" t="s">
        <v>237</v>
      </c>
      <c r="H261" t="s">
        <v>630</v>
      </c>
      <c r="I261" t="s">
        <v>631</v>
      </c>
      <c r="J261" t="s">
        <v>68</v>
      </c>
      <c r="K261">
        <v>7.0936140578125002</v>
      </c>
      <c r="L261">
        <v>6.0498714640625009</v>
      </c>
      <c r="M261">
        <v>134.8228727041587</v>
      </c>
      <c r="N261">
        <v>1181.3616502698039</v>
      </c>
      <c r="Q261">
        <v>10.038</v>
      </c>
      <c r="R261">
        <v>1324.9639999999999</v>
      </c>
      <c r="S261">
        <v>50</v>
      </c>
      <c r="T261">
        <v>103.02580756881039</v>
      </c>
      <c r="U261">
        <v>4.6358011656449944E-3</v>
      </c>
      <c r="V261">
        <v>0.1091847987014276</v>
      </c>
      <c r="W261">
        <v>4.2323074634040966E-3</v>
      </c>
      <c r="X261">
        <v>4.7909107284818946</v>
      </c>
      <c r="Y261">
        <v>9.1735994815038691E-2</v>
      </c>
      <c r="Z261">
        <v>0.35807755307420919</v>
      </c>
      <c r="AA261">
        <v>3.3682345846923457E-2</v>
      </c>
      <c r="AB261">
        <v>1.539534737137265</v>
      </c>
      <c r="AC261">
        <v>0.1391324924185228</v>
      </c>
      <c r="AD261">
        <v>1194.443915391151</v>
      </c>
      <c r="AE261">
        <v>100</v>
      </c>
      <c r="AG261">
        <v>2.0274999999999999</v>
      </c>
      <c r="AH261">
        <v>12.7525</v>
      </c>
      <c r="AI261">
        <v>0.17249999999999999</v>
      </c>
      <c r="AJ261">
        <v>11.092499999999999</v>
      </c>
      <c r="AK261">
        <v>0.51750000000000007</v>
      </c>
      <c r="AL261">
        <v>2.5150000000000001</v>
      </c>
      <c r="AM261">
        <v>50.63</v>
      </c>
      <c r="AN261">
        <v>7.415</v>
      </c>
      <c r="AP261">
        <v>1685.75</v>
      </c>
      <c r="AR261">
        <v>0.17231270024773751</v>
      </c>
      <c r="AS261">
        <v>0.13450526631573459</v>
      </c>
      <c r="AT261">
        <v>4.9999999999999836E-3</v>
      </c>
      <c r="AU261">
        <v>0.29227555491350982</v>
      </c>
      <c r="AV261">
        <v>2.061552812808835E-2</v>
      </c>
      <c r="AW261">
        <v>6.2449979983983737E-2</v>
      </c>
      <c r="AX261">
        <v>0.21556128285632961</v>
      </c>
      <c r="AY261">
        <v>0.39770173078158311</v>
      </c>
      <c r="BA261">
        <v>51.951098801340748</v>
      </c>
    </row>
    <row r="262" spans="1:63" x14ac:dyDescent="0.2">
      <c r="A262">
        <v>260</v>
      </c>
      <c r="B262" t="s">
        <v>69</v>
      </c>
      <c r="C262" t="s">
        <v>76</v>
      </c>
      <c r="D262" t="s">
        <v>71</v>
      </c>
      <c r="E262">
        <v>-155.29812000000001</v>
      </c>
      <c r="F262">
        <v>19.375624999999999</v>
      </c>
      <c r="G262" t="s">
        <v>77</v>
      </c>
      <c r="H262" t="s">
        <v>632</v>
      </c>
      <c r="I262" t="s">
        <v>633</v>
      </c>
      <c r="J262" t="s">
        <v>68</v>
      </c>
      <c r="K262">
        <v>4.589096751562499</v>
      </c>
      <c r="L262">
        <v>4.0854735156249999</v>
      </c>
      <c r="M262">
        <v>58.900568448960883</v>
      </c>
      <c r="N262">
        <v>340.6247465251987</v>
      </c>
      <c r="Q262">
        <v>11.875</v>
      </c>
      <c r="R262">
        <v>1324.9639999999999</v>
      </c>
      <c r="S262">
        <v>50</v>
      </c>
      <c r="T262">
        <v>103.026966350089</v>
      </c>
      <c r="U262">
        <v>2.075366187638367E-2</v>
      </c>
      <c r="V262">
        <v>0.10964395436101169</v>
      </c>
      <c r="W262">
        <v>9.064603622413802E-3</v>
      </c>
      <c r="X262">
        <v>0</v>
      </c>
      <c r="Y262">
        <v>8.9773818027204078E-2</v>
      </c>
      <c r="Z262">
        <v>0.36589377684225188</v>
      </c>
      <c r="AA262">
        <v>3.9507994726109323E-2</v>
      </c>
      <c r="AB262">
        <v>1.571849541010055</v>
      </c>
      <c r="AC262">
        <v>0.16293923539032579</v>
      </c>
      <c r="AD262">
        <v>1221.543257868411</v>
      </c>
      <c r="AE262">
        <v>50</v>
      </c>
      <c r="AF262">
        <v>84.40291178378186</v>
      </c>
      <c r="AG262">
        <v>2.5039199999999999</v>
      </c>
      <c r="AH262">
        <v>14.096819999999999</v>
      </c>
      <c r="AI262">
        <v>0.27322000000000002</v>
      </c>
      <c r="AJ262">
        <v>10.95044</v>
      </c>
      <c r="AK262">
        <v>0.52094000000000007</v>
      </c>
      <c r="AL262">
        <v>2.9191400000000001</v>
      </c>
      <c r="AM262">
        <v>50.91704</v>
      </c>
      <c r="AN262">
        <v>6.4346599999999992</v>
      </c>
      <c r="AO262">
        <v>10.86684</v>
      </c>
      <c r="AP262">
        <v>0.19492000000000001</v>
      </c>
      <c r="AQ262">
        <v>99.70778</v>
      </c>
      <c r="AR262">
        <v>5.8797253337209539E-2</v>
      </c>
      <c r="AS262">
        <v>0.138496180452748</v>
      </c>
      <c r="AT262">
        <v>2.822688434808206E-2</v>
      </c>
      <c r="AU262">
        <v>7.1287502411011894E-2</v>
      </c>
      <c r="AV262">
        <v>1.2819243347405491E-2</v>
      </c>
      <c r="AW262">
        <v>2.3721045508155889E-2</v>
      </c>
      <c r="AX262">
        <v>0.39733328327740491</v>
      </c>
      <c r="AY262">
        <v>8.3972662218129629E-2</v>
      </c>
      <c r="AZ262">
        <v>5.8132675837260117E-2</v>
      </c>
      <c r="BA262">
        <v>1.931080008699795E-2</v>
      </c>
      <c r="BD262" t="s">
        <v>634</v>
      </c>
      <c r="BE262">
        <v>0.13194722331170811</v>
      </c>
      <c r="BF262">
        <v>2571</v>
      </c>
      <c r="BG262">
        <v>126721.4440419718</v>
      </c>
      <c r="BH262">
        <v>103.891063842596</v>
      </c>
      <c r="BI262">
        <v>200.8399572546401</v>
      </c>
      <c r="BJ262">
        <v>2.0489301594411988</v>
      </c>
      <c r="BK262">
        <v>103.891063842596</v>
      </c>
    </row>
    <row r="263" spans="1:63" x14ac:dyDescent="0.2">
      <c r="A263">
        <v>261</v>
      </c>
      <c r="B263" t="s">
        <v>69</v>
      </c>
      <c r="C263" t="s">
        <v>76</v>
      </c>
      <c r="D263" t="s">
        <v>71</v>
      </c>
      <c r="E263">
        <v>-155.29812000000001</v>
      </c>
      <c r="F263">
        <v>19.375624999999999</v>
      </c>
      <c r="G263" t="s">
        <v>77</v>
      </c>
      <c r="H263" t="s">
        <v>635</v>
      </c>
      <c r="I263" t="s">
        <v>636</v>
      </c>
      <c r="J263" t="s">
        <v>68</v>
      </c>
      <c r="K263">
        <v>4.6156552351562503</v>
      </c>
      <c r="L263">
        <v>3.4685263343749999</v>
      </c>
      <c r="M263">
        <v>50.295395865560593</v>
      </c>
      <c r="N263">
        <v>271.06474152576209</v>
      </c>
      <c r="Q263">
        <v>12.162000000000001</v>
      </c>
      <c r="R263">
        <v>1324.9639999999999</v>
      </c>
      <c r="S263">
        <v>50</v>
      </c>
      <c r="T263">
        <v>103.0275962306405</v>
      </c>
      <c r="U263">
        <v>3.2032830987843279E-3</v>
      </c>
      <c r="V263">
        <v>0.1098935383208044</v>
      </c>
      <c r="W263">
        <v>4.0193754892859854E-3</v>
      </c>
      <c r="X263">
        <v>3.0063495205279098</v>
      </c>
      <c r="Y263">
        <v>8.5244714232222685E-2</v>
      </c>
      <c r="Z263">
        <v>0.38505589837643972</v>
      </c>
      <c r="AA263">
        <v>2.612270319118944E-2</v>
      </c>
      <c r="AB263">
        <v>1.6508522864585671</v>
      </c>
      <c r="AC263">
        <v>0.10732353571217911</v>
      </c>
      <c r="AD263">
        <v>1300.08759971468</v>
      </c>
      <c r="AE263">
        <v>50</v>
      </c>
      <c r="AF263">
        <v>88.275379512658418</v>
      </c>
      <c r="AG263">
        <v>2.5039199999999999</v>
      </c>
      <c r="AH263">
        <v>14.096819999999999</v>
      </c>
      <c r="AI263">
        <v>0.27322000000000002</v>
      </c>
      <c r="AJ263">
        <v>10.95044</v>
      </c>
      <c r="AK263">
        <v>0.52094000000000007</v>
      </c>
      <c r="AL263">
        <v>2.9191400000000001</v>
      </c>
      <c r="AM263">
        <v>50.91704</v>
      </c>
      <c r="AN263">
        <v>6.4346599999999992</v>
      </c>
      <c r="AO263">
        <v>10.86684</v>
      </c>
      <c r="AP263">
        <v>0.19492000000000001</v>
      </c>
      <c r="AQ263">
        <v>99.70778</v>
      </c>
      <c r="AR263">
        <v>5.8797253337209539E-2</v>
      </c>
      <c r="AS263">
        <v>0.138496180452748</v>
      </c>
      <c r="AT263">
        <v>2.822688434808206E-2</v>
      </c>
      <c r="AU263">
        <v>7.1287502411011894E-2</v>
      </c>
      <c r="AV263">
        <v>1.2819243347405491E-2</v>
      </c>
      <c r="AW263">
        <v>2.3721045508155889E-2</v>
      </c>
      <c r="AX263">
        <v>0.39733328327740491</v>
      </c>
      <c r="AY263">
        <v>8.3972662218129629E-2</v>
      </c>
      <c r="AZ263">
        <v>5.8132675837260117E-2</v>
      </c>
      <c r="BA263">
        <v>1.931080008699795E-2</v>
      </c>
      <c r="BD263" t="s">
        <v>637</v>
      </c>
      <c r="BE263">
        <v>0.100534761146199</v>
      </c>
      <c r="BF263">
        <v>11699</v>
      </c>
      <c r="BG263">
        <v>574935.58355887001</v>
      </c>
      <c r="BH263">
        <v>98.400831748104395</v>
      </c>
      <c r="BI263">
        <v>427.79396929554201</v>
      </c>
      <c r="BJ263">
        <v>0.90975489056821801</v>
      </c>
      <c r="BK263">
        <v>98.400831748104295</v>
      </c>
    </row>
    <row r="264" spans="1:63" x14ac:dyDescent="0.2">
      <c r="A264">
        <v>262</v>
      </c>
      <c r="B264" t="s">
        <v>69</v>
      </c>
      <c r="C264" t="s">
        <v>76</v>
      </c>
      <c r="D264" t="s">
        <v>71</v>
      </c>
      <c r="E264">
        <v>-155.29812000000001</v>
      </c>
      <c r="F264">
        <v>19.375624999999999</v>
      </c>
      <c r="G264" t="s">
        <v>77</v>
      </c>
      <c r="H264" t="s">
        <v>638</v>
      </c>
      <c r="I264" t="s">
        <v>639</v>
      </c>
      <c r="J264" t="s">
        <v>68</v>
      </c>
      <c r="K264">
        <v>26.225311194531251</v>
      </c>
      <c r="L264">
        <v>25.717038771093751</v>
      </c>
      <c r="M264">
        <v>2118.8074076478479</v>
      </c>
      <c r="N264">
        <v>73370.557251868784</v>
      </c>
      <c r="Q264">
        <v>11.842000000000001</v>
      </c>
      <c r="R264">
        <v>1324.9639999999999</v>
      </c>
      <c r="S264">
        <v>50</v>
      </c>
      <c r="T264">
        <v>103.0277429258186</v>
      </c>
      <c r="U264">
        <v>2.6636483459075619E-3</v>
      </c>
      <c r="V264">
        <v>0.1099516648391656</v>
      </c>
      <c r="W264">
        <v>3.9571207303157113E-3</v>
      </c>
      <c r="X264">
        <v>3.048305659087593</v>
      </c>
      <c r="Y264">
        <v>8.5106535304108388E-2</v>
      </c>
      <c r="Z264">
        <v>0.3856689362355909</v>
      </c>
      <c r="AA264">
        <v>2.58922965763408E-2</v>
      </c>
      <c r="AB264">
        <v>1.653374627094478</v>
      </c>
      <c r="AC264">
        <v>0.1064631720738419</v>
      </c>
      <c r="AD264">
        <v>1301.8534516357849</v>
      </c>
      <c r="AE264">
        <v>50</v>
      </c>
      <c r="AF264">
        <v>88.346476623870558</v>
      </c>
      <c r="AG264">
        <v>2.5039199999999999</v>
      </c>
      <c r="AH264">
        <v>14.096819999999999</v>
      </c>
      <c r="AI264">
        <v>0.27322000000000002</v>
      </c>
      <c r="AJ264">
        <v>10.95044</v>
      </c>
      <c r="AK264">
        <v>0.52094000000000007</v>
      </c>
      <c r="AL264">
        <v>2.9191400000000001</v>
      </c>
      <c r="AM264">
        <v>50.91704</v>
      </c>
      <c r="AN264">
        <v>6.4346599999999992</v>
      </c>
      <c r="AO264">
        <v>10.86684</v>
      </c>
      <c r="AP264">
        <v>0.19492000000000001</v>
      </c>
      <c r="AQ264">
        <v>99.70778</v>
      </c>
      <c r="AR264">
        <v>5.8797253337209539E-2</v>
      </c>
      <c r="AS264">
        <v>0.138496180452748</v>
      </c>
      <c r="AT264">
        <v>2.822688434808206E-2</v>
      </c>
      <c r="AU264">
        <v>7.1287502411011894E-2</v>
      </c>
      <c r="AV264">
        <v>1.2819243347405491E-2</v>
      </c>
      <c r="AW264">
        <v>2.3721045508155889E-2</v>
      </c>
      <c r="AX264">
        <v>0.39733328327740491</v>
      </c>
      <c r="AY264">
        <v>8.3972662218129629E-2</v>
      </c>
      <c r="AZ264">
        <v>5.8132675837260117E-2</v>
      </c>
      <c r="BA264">
        <v>1.931080008699795E-2</v>
      </c>
      <c r="BD264" t="s">
        <v>640</v>
      </c>
      <c r="BE264">
        <v>0.14486975630450311</v>
      </c>
      <c r="BF264">
        <v>14196</v>
      </c>
      <c r="BG264">
        <v>911112.7803444108</v>
      </c>
      <c r="BH264">
        <v>960.96439080893242</v>
      </c>
      <c r="BI264">
        <v>538.53152685058888</v>
      </c>
      <c r="BJ264">
        <v>8.0653700751631145</v>
      </c>
      <c r="BK264">
        <v>960.96439080893265</v>
      </c>
    </row>
    <row r="265" spans="1:63" x14ac:dyDescent="0.2">
      <c r="A265">
        <v>263</v>
      </c>
      <c r="B265" t="s">
        <v>69</v>
      </c>
      <c r="C265" t="s">
        <v>308</v>
      </c>
      <c r="D265" t="s">
        <v>64</v>
      </c>
      <c r="E265">
        <v>-155.2774</v>
      </c>
      <c r="F265">
        <v>19.402283329999999</v>
      </c>
      <c r="G265" t="s">
        <v>309</v>
      </c>
      <c r="H265" t="s">
        <v>641</v>
      </c>
      <c r="I265" t="s">
        <v>642</v>
      </c>
      <c r="J265" t="s">
        <v>68</v>
      </c>
      <c r="K265">
        <v>6.5615726632812503</v>
      </c>
      <c r="L265">
        <v>5.231033315625</v>
      </c>
      <c r="M265">
        <v>107.83141427376241</v>
      </c>
      <c r="N265">
        <v>847.74225378579126</v>
      </c>
      <c r="O265" t="s">
        <v>643</v>
      </c>
      <c r="Q265">
        <v>10.003</v>
      </c>
      <c r="R265">
        <v>1324.9639999999999</v>
      </c>
      <c r="S265">
        <v>100</v>
      </c>
      <c r="T265">
        <v>103.0279082697531</v>
      </c>
      <c r="U265">
        <v>3.1116876515436438E-3</v>
      </c>
      <c r="V265">
        <v>0.1100171807434123</v>
      </c>
      <c r="W265">
        <v>4.0081970150290256E-3</v>
      </c>
      <c r="X265">
        <v>0</v>
      </c>
      <c r="Y265">
        <v>9.132286142430468E-2</v>
      </c>
      <c r="Z265">
        <v>0.35971309841714411</v>
      </c>
      <c r="AA265">
        <v>2.6536744759740029E-2</v>
      </c>
      <c r="AB265">
        <v>1.5463009251688971</v>
      </c>
      <c r="AC265">
        <v>0.10964008616481399</v>
      </c>
      <c r="AD265">
        <v>1189.964772566045</v>
      </c>
      <c r="AE265">
        <v>50</v>
      </c>
      <c r="AF265">
        <v>82.15624382857014</v>
      </c>
      <c r="AG265">
        <v>2.3267000000000002</v>
      </c>
      <c r="AH265">
        <v>13.5229384615385</v>
      </c>
      <c r="AI265">
        <v>0.27728461538461502</v>
      </c>
      <c r="AJ265">
        <v>10.5531076923077</v>
      </c>
      <c r="AK265">
        <v>0.54219230769230797</v>
      </c>
      <c r="AL265">
        <v>2.8134692307692299</v>
      </c>
      <c r="AM265">
        <v>49.582307692307701</v>
      </c>
      <c r="AN265">
        <v>6.2924769230769204</v>
      </c>
      <c r="AP265">
        <v>0.17131538461538501</v>
      </c>
      <c r="AQ265">
        <v>97.508507692307774</v>
      </c>
      <c r="AR265">
        <v>0.15754459157119099</v>
      </c>
      <c r="AS265">
        <v>0.25828299253100101</v>
      </c>
      <c r="AT265">
        <v>3.3931029215008297E-2</v>
      </c>
      <c r="AU265">
        <v>0.14495579476480899</v>
      </c>
      <c r="AV265">
        <v>5.80211091118061E-2</v>
      </c>
      <c r="AW265">
        <v>5.1717153579436098E-2</v>
      </c>
      <c r="AX265">
        <v>0.58735311988266403</v>
      </c>
      <c r="AY265">
        <v>0.17920673421984901</v>
      </c>
      <c r="BA265">
        <v>4.0360043073850597E-2</v>
      </c>
      <c r="BE265">
        <v>0.31586850845221309</v>
      </c>
      <c r="BF265">
        <v>12457</v>
      </c>
      <c r="BG265">
        <v>201683.08333209579</v>
      </c>
      <c r="BH265">
        <v>191.1883469662788</v>
      </c>
      <c r="BI265">
        <v>253.37268854522449</v>
      </c>
      <c r="BJ265">
        <v>1.712989441350387</v>
      </c>
      <c r="BK265">
        <v>191.1883469662788</v>
      </c>
    </row>
    <row r="266" spans="1:63" x14ac:dyDescent="0.2">
      <c r="A266">
        <v>264</v>
      </c>
      <c r="B266" t="s">
        <v>62</v>
      </c>
      <c r="C266" t="s">
        <v>63</v>
      </c>
      <c r="D266" t="s">
        <v>64</v>
      </c>
      <c r="E266">
        <v>-155.26785000000001</v>
      </c>
      <c r="F266">
        <v>19.407830000000001</v>
      </c>
      <c r="G266" t="s">
        <v>65</v>
      </c>
      <c r="H266" t="s">
        <v>511</v>
      </c>
      <c r="I266" t="s">
        <v>644</v>
      </c>
      <c r="J266" t="s">
        <v>68</v>
      </c>
      <c r="K266">
        <v>3.7126667929687498</v>
      </c>
      <c r="L266">
        <v>3.3808891499999998</v>
      </c>
      <c r="M266">
        <v>39.433631887467698</v>
      </c>
      <c r="N266">
        <v>186.483115885459</v>
      </c>
      <c r="Q266">
        <v>12.03</v>
      </c>
      <c r="R266">
        <v>1325.0039999999999</v>
      </c>
      <c r="S266">
        <v>50</v>
      </c>
      <c r="T266">
        <v>103.0285399</v>
      </c>
      <c r="U266">
        <v>2.9474075020000001E-3</v>
      </c>
      <c r="V266">
        <v>0.1102674726</v>
      </c>
      <c r="W266">
        <v>3.9889303689999997E-3</v>
      </c>
      <c r="X266">
        <v>0</v>
      </c>
      <c r="Y266">
        <v>8.9862872589221654E-2</v>
      </c>
      <c r="Z266">
        <v>0.36554387771832653</v>
      </c>
      <c r="AA266">
        <v>2.5151054518993091E-2</v>
      </c>
      <c r="AB266">
        <v>1.570404058191041</v>
      </c>
      <c r="AC266">
        <v>0.1038762658918093</v>
      </c>
      <c r="AD266">
        <v>1211.3199222610519</v>
      </c>
      <c r="AE266">
        <v>50</v>
      </c>
      <c r="AF266">
        <v>83.743842360000002</v>
      </c>
      <c r="BE266">
        <v>0.56172113113426181</v>
      </c>
      <c r="BF266">
        <v>10593</v>
      </c>
      <c r="BG266">
        <v>677907.80968383979</v>
      </c>
      <c r="BH266">
        <v>1771.778723727552</v>
      </c>
      <c r="BI266">
        <v>464.52638002977392</v>
      </c>
      <c r="BJ266">
        <v>17.214721300633229</v>
      </c>
      <c r="BK266">
        <v>1771.7787237275511</v>
      </c>
    </row>
    <row r="267" spans="1:63" x14ac:dyDescent="0.2">
      <c r="A267">
        <v>265</v>
      </c>
      <c r="B267" t="s">
        <v>69</v>
      </c>
      <c r="C267" t="s">
        <v>308</v>
      </c>
      <c r="D267" t="s">
        <v>64</v>
      </c>
      <c r="E267">
        <v>-155.2774</v>
      </c>
      <c r="F267">
        <v>19.402283329999999</v>
      </c>
      <c r="G267" t="s">
        <v>309</v>
      </c>
      <c r="H267" t="s">
        <v>645</v>
      </c>
      <c r="I267" t="s">
        <v>646</v>
      </c>
      <c r="J267" t="s">
        <v>68</v>
      </c>
      <c r="K267">
        <v>5.4831936226562492</v>
      </c>
      <c r="L267">
        <v>5.4795323874999999</v>
      </c>
      <c r="M267">
        <v>94.390210126651013</v>
      </c>
      <c r="N267">
        <v>689.84934110636721</v>
      </c>
      <c r="O267" t="s">
        <v>647</v>
      </c>
      <c r="Q267">
        <v>9.9990000000000006</v>
      </c>
      <c r="R267">
        <v>1324.9639999999999</v>
      </c>
      <c r="S267">
        <v>50</v>
      </c>
      <c r="T267">
        <v>103.028903425748</v>
      </c>
      <c r="U267">
        <v>6.1494433909842954E-3</v>
      </c>
      <c r="V267">
        <v>0.11041150149717539</v>
      </c>
      <c r="W267">
        <v>4.5261675621093558E-3</v>
      </c>
      <c r="X267">
        <v>0</v>
      </c>
      <c r="Y267">
        <v>9.0916080606270988E-2</v>
      </c>
      <c r="Z267">
        <v>0.36132789289841938</v>
      </c>
      <c r="AA267">
        <v>2.6020899869784501E-2</v>
      </c>
      <c r="AB267">
        <v>1.5529790265819099</v>
      </c>
      <c r="AC267">
        <v>0.10760380032007751</v>
      </c>
      <c r="AD267">
        <v>1191.4273958386671</v>
      </c>
      <c r="AE267">
        <v>50</v>
      </c>
      <c r="AF267">
        <v>82.27638176507719</v>
      </c>
      <c r="AG267">
        <v>2.3267000000000002</v>
      </c>
      <c r="AH267">
        <v>13.5229384615385</v>
      </c>
      <c r="AI267">
        <v>0.27728461538461502</v>
      </c>
      <c r="AJ267">
        <v>10.5531076923077</v>
      </c>
      <c r="AK267">
        <v>0.54219230769230797</v>
      </c>
      <c r="AL267">
        <v>2.8134692307692299</v>
      </c>
      <c r="AM267">
        <v>49.582307692307701</v>
      </c>
      <c r="AN267">
        <v>6.2924769230769204</v>
      </c>
      <c r="AP267">
        <v>0.17131538461538501</v>
      </c>
      <c r="AQ267">
        <v>97.508507692307774</v>
      </c>
      <c r="AR267">
        <v>0.15754459157119099</v>
      </c>
      <c r="AS267">
        <v>0.25828299253100101</v>
      </c>
      <c r="AT267">
        <v>3.3931029215008297E-2</v>
      </c>
      <c r="AU267">
        <v>0.14495579476480899</v>
      </c>
      <c r="AV267">
        <v>5.80211091118061E-2</v>
      </c>
      <c r="AW267">
        <v>5.1717153579436098E-2</v>
      </c>
      <c r="AX267">
        <v>0.58735311988266403</v>
      </c>
      <c r="AY267">
        <v>0.17920673421984901</v>
      </c>
      <c r="BA267">
        <v>4.0360043073850597E-2</v>
      </c>
      <c r="BE267">
        <v>7.5748493459782448E-2</v>
      </c>
      <c r="BF267">
        <v>11720</v>
      </c>
      <c r="BG267">
        <v>105951.19934484499</v>
      </c>
      <c r="BH267">
        <v>43.655871387981037</v>
      </c>
      <c r="BI267">
        <v>183.6445321932938</v>
      </c>
      <c r="BJ267">
        <v>0.40325415924592978</v>
      </c>
      <c r="BK267">
        <v>43.65587138798103</v>
      </c>
    </row>
    <row r="268" spans="1:63" x14ac:dyDescent="0.2">
      <c r="A268">
        <v>266</v>
      </c>
      <c r="B268" t="s">
        <v>69</v>
      </c>
      <c r="C268" t="s">
        <v>594</v>
      </c>
      <c r="D268" t="s">
        <v>64</v>
      </c>
      <c r="E268">
        <v>-155.2816</v>
      </c>
      <c r="F268">
        <v>19.402366669999999</v>
      </c>
      <c r="G268" t="s">
        <v>595</v>
      </c>
      <c r="H268" t="s">
        <v>596</v>
      </c>
      <c r="I268" t="s">
        <v>648</v>
      </c>
      <c r="J268" t="s">
        <v>68</v>
      </c>
      <c r="K268">
        <v>6.4601041460937507</v>
      </c>
      <c r="L268">
        <v>5.7092603648437494</v>
      </c>
      <c r="M268">
        <v>115.8695288928604</v>
      </c>
      <c r="N268">
        <v>940.03902187188123</v>
      </c>
      <c r="O268" t="s">
        <v>649</v>
      </c>
      <c r="Q268">
        <v>10.000999999999999</v>
      </c>
      <c r="R268">
        <v>1324.9639999999999</v>
      </c>
      <c r="S268">
        <v>100</v>
      </c>
      <c r="T268">
        <v>103.0295521614584</v>
      </c>
      <c r="U268">
        <v>3.337438392466792E-3</v>
      </c>
      <c r="V268">
        <v>0.1106685566278713</v>
      </c>
      <c r="W268">
        <v>4.037327849059703E-3</v>
      </c>
      <c r="X268">
        <v>0</v>
      </c>
      <c r="Y268">
        <v>8.7586643964895683E-2</v>
      </c>
      <c r="Z268">
        <v>0.37495233202509681</v>
      </c>
      <c r="AA268">
        <v>2.605616981687417E-2</v>
      </c>
      <c r="AB268">
        <v>1.609235483011461</v>
      </c>
      <c r="AC268">
        <v>0.1073809959101476</v>
      </c>
      <c r="AD268">
        <v>1245.651038142855</v>
      </c>
      <c r="AE268">
        <v>50</v>
      </c>
      <c r="AF268">
        <v>85.777350106424024</v>
      </c>
      <c r="AG268">
        <v>2.3161749999999999</v>
      </c>
      <c r="AH268">
        <v>13.236525</v>
      </c>
      <c r="AI268">
        <v>0.23727500000000001</v>
      </c>
      <c r="AJ268">
        <v>11.119225</v>
      </c>
      <c r="AK268">
        <v>0.45182499999999998</v>
      </c>
      <c r="AL268">
        <v>2.5776249999999998</v>
      </c>
      <c r="AM268">
        <v>50.469949999999997</v>
      </c>
      <c r="AN268">
        <v>7.2425499999999996</v>
      </c>
      <c r="AP268">
        <v>0.19814999999999999</v>
      </c>
      <c r="AQ268">
        <v>99.444850000000002</v>
      </c>
      <c r="AR268">
        <v>1.8066578259316259E-2</v>
      </c>
      <c r="AS268">
        <v>1.4495689014328119E-3</v>
      </c>
      <c r="AT268">
        <v>1.4884597743976821E-2</v>
      </c>
      <c r="AU268">
        <v>2.1177848096536729E-2</v>
      </c>
      <c r="AV268">
        <v>1.0217692988145609E-2</v>
      </c>
      <c r="AW268">
        <v>2.5809397513306929E-3</v>
      </c>
      <c r="AX268">
        <v>0.1291884089227876</v>
      </c>
      <c r="AY268">
        <v>4.9073210614347267E-2</v>
      </c>
      <c r="BA268">
        <v>2.2273863607376258E-2</v>
      </c>
      <c r="BB268">
        <v>2</v>
      </c>
      <c r="BC268" t="s">
        <v>86</v>
      </c>
      <c r="BE268">
        <v>0.20961286995401551</v>
      </c>
      <c r="BF268">
        <v>3715</v>
      </c>
      <c r="BG268">
        <v>60352.514574390021</v>
      </c>
      <c r="BH268">
        <v>181.08915755632341</v>
      </c>
      <c r="BI268">
        <v>138.603037647375</v>
      </c>
      <c r="BJ268">
        <v>2.9710710615672942</v>
      </c>
      <c r="BK268">
        <v>181.0891575563233</v>
      </c>
    </row>
    <row r="269" spans="1:63" x14ac:dyDescent="0.2">
      <c r="A269">
        <v>267</v>
      </c>
      <c r="B269" t="s">
        <v>69</v>
      </c>
      <c r="C269" t="s">
        <v>143</v>
      </c>
      <c r="D269" t="s">
        <v>144</v>
      </c>
      <c r="E269">
        <v>-155.22516669999999</v>
      </c>
      <c r="F269">
        <v>19.371883329999999</v>
      </c>
      <c r="G269" t="s">
        <v>145</v>
      </c>
      <c r="H269" t="s">
        <v>650</v>
      </c>
      <c r="I269" t="s">
        <v>651</v>
      </c>
      <c r="J269" t="s">
        <v>68</v>
      </c>
      <c r="K269">
        <v>8.6952591515625013</v>
      </c>
      <c r="L269">
        <v>7.9665571257812502</v>
      </c>
      <c r="M269">
        <v>217.62214043957769</v>
      </c>
      <c r="N269">
        <v>2417.3200812576952</v>
      </c>
      <c r="Q269">
        <v>6.0259999999999998</v>
      </c>
      <c r="R269">
        <v>1324.9639999999999</v>
      </c>
      <c r="S269">
        <v>50</v>
      </c>
      <c r="T269">
        <v>103.0297819330476</v>
      </c>
      <c r="U269">
        <v>7.344924604087282E-3</v>
      </c>
      <c r="V269">
        <v>0.1107596013552339</v>
      </c>
      <c r="W269">
        <v>4.7981439486781529E-3</v>
      </c>
      <c r="X269">
        <v>0</v>
      </c>
      <c r="Y269">
        <v>8.8188486818982614E-2</v>
      </c>
      <c r="Z269">
        <v>0.37242857875116381</v>
      </c>
      <c r="AA269">
        <v>2.9619191989560891E-2</v>
      </c>
      <c r="AB269">
        <v>1.5988265987673249</v>
      </c>
      <c r="AC269">
        <v>0.1220293359558281</v>
      </c>
      <c r="AD269">
        <v>1233.6578890224559</v>
      </c>
      <c r="AE269">
        <v>50</v>
      </c>
      <c r="AF269">
        <v>85.121216155295869</v>
      </c>
      <c r="AG269">
        <v>2.1961249999999999</v>
      </c>
      <c r="AH269">
        <v>13.214425</v>
      </c>
      <c r="AI269">
        <v>0.23326250000000001</v>
      </c>
      <c r="AJ269">
        <v>10.8680875</v>
      </c>
      <c r="AK269">
        <v>0.46184999999999998</v>
      </c>
      <c r="AL269">
        <v>2.5506250000000001</v>
      </c>
      <c r="AM269">
        <v>49.975887499999999</v>
      </c>
      <c r="AN269">
        <v>7.4385374999999998</v>
      </c>
      <c r="AP269">
        <v>0.2354</v>
      </c>
      <c r="AQ269">
        <v>98.48666249999998</v>
      </c>
      <c r="AR269">
        <v>5.6378814410075299E-2</v>
      </c>
      <c r="AS269">
        <v>0.24941022862516499</v>
      </c>
      <c r="AT269">
        <v>1.4003870638403601E-2</v>
      </c>
      <c r="AU269">
        <v>0.27584699401505702</v>
      </c>
      <c r="AV269">
        <v>3.1668731762237799E-2</v>
      </c>
      <c r="AW269">
        <v>4.2427543277585897E-2</v>
      </c>
      <c r="AX269">
        <v>0.67605985245919198</v>
      </c>
      <c r="AY269">
        <v>0.10614118545597701</v>
      </c>
      <c r="BA269">
        <v>4.3851209463691802E-2</v>
      </c>
      <c r="BE269">
        <v>0.12435975189570909</v>
      </c>
      <c r="BF269">
        <v>38821</v>
      </c>
      <c r="BG269">
        <v>2493909.823056608</v>
      </c>
      <c r="BH269">
        <v>489.90482325080978</v>
      </c>
      <c r="BI269">
        <v>890.97483237731615</v>
      </c>
      <c r="BJ269">
        <v>2.4864421314818448</v>
      </c>
      <c r="BK269">
        <v>489.90482325080961</v>
      </c>
    </row>
    <row r="270" spans="1:63" x14ac:dyDescent="0.2">
      <c r="A270">
        <v>268</v>
      </c>
      <c r="B270" t="s">
        <v>69</v>
      </c>
      <c r="C270" t="s">
        <v>157</v>
      </c>
      <c r="D270" t="s">
        <v>64</v>
      </c>
      <c r="G270" t="s">
        <v>158</v>
      </c>
      <c r="H270" t="s">
        <v>159</v>
      </c>
      <c r="I270" t="s">
        <v>652</v>
      </c>
      <c r="J270" t="s">
        <v>68</v>
      </c>
      <c r="K270">
        <v>7.621761757812501</v>
      </c>
      <c r="L270">
        <v>6.4673685015625004</v>
      </c>
      <c r="M270">
        <v>154.8577158876831</v>
      </c>
      <c r="N270">
        <v>1454.5403538739019</v>
      </c>
      <c r="Q270">
        <v>10.132</v>
      </c>
      <c r="R270">
        <v>1324.9639999999999</v>
      </c>
      <c r="S270">
        <v>100</v>
      </c>
      <c r="T270">
        <v>103.029951308939</v>
      </c>
      <c r="U270">
        <v>6.911604310908483E-3</v>
      </c>
      <c r="V270">
        <v>0.11082671488266981</v>
      </c>
      <c r="W270">
        <v>4.6960478016294651E-3</v>
      </c>
      <c r="X270">
        <v>0</v>
      </c>
      <c r="Y270">
        <v>9.4157468690195589E-2</v>
      </c>
      <c r="Z270">
        <v>0.34882768803071768</v>
      </c>
      <c r="AA270">
        <v>2.544929106049967E-2</v>
      </c>
      <c r="AB270">
        <v>1.501225323111286</v>
      </c>
      <c r="AC270">
        <v>0.105410555389838</v>
      </c>
      <c r="AD270">
        <v>1133.073417696794</v>
      </c>
      <c r="AE270">
        <v>50</v>
      </c>
      <c r="AF270">
        <v>73.368727603519829</v>
      </c>
      <c r="AG270">
        <v>2.4084062500000001</v>
      </c>
      <c r="AH270">
        <v>13.3720625</v>
      </c>
      <c r="AI270">
        <v>0.31026874999999998</v>
      </c>
      <c r="AJ270">
        <v>10.387225000000001</v>
      </c>
      <c r="AK270">
        <v>0.59164375000000002</v>
      </c>
      <c r="AL270">
        <v>3.0521875000000001</v>
      </c>
      <c r="AM270">
        <v>49.819099999999999</v>
      </c>
      <c r="AN270">
        <v>5.8739499999999998</v>
      </c>
      <c r="AP270">
        <v>0.19186249999999999</v>
      </c>
      <c r="AQ270">
        <v>97.820293750000005</v>
      </c>
      <c r="AR270">
        <v>8.7457962997469094E-2</v>
      </c>
      <c r="AS270">
        <v>0.20894986918716499</v>
      </c>
      <c r="AT270">
        <v>3.6791968666182201E-2</v>
      </c>
      <c r="AU270">
        <v>0.19989042831845</v>
      </c>
      <c r="AV270">
        <v>2.81971149528931E-2</v>
      </c>
      <c r="AW270">
        <v>5.5804024645778501E-2</v>
      </c>
      <c r="AX270">
        <v>0.88416756556661702</v>
      </c>
      <c r="AY270">
        <v>0.205613822492555</v>
      </c>
      <c r="BA270">
        <v>4.9243326112953303E-2</v>
      </c>
      <c r="BE270">
        <v>5.9982228027338401E-2</v>
      </c>
      <c r="BF270">
        <v>2303</v>
      </c>
      <c r="BG270">
        <v>84166.305027425115</v>
      </c>
      <c r="BH270">
        <v>162.01153901297781</v>
      </c>
      <c r="BI270">
        <v>163.67946411749369</v>
      </c>
      <c r="BJ270">
        <v>3.375973108669831</v>
      </c>
      <c r="BK270">
        <v>162.01153901297781</v>
      </c>
    </row>
    <row r="271" spans="1:63" x14ac:dyDescent="0.2">
      <c r="A271">
        <v>269</v>
      </c>
      <c r="B271" t="s">
        <v>62</v>
      </c>
      <c r="C271" t="s">
        <v>63</v>
      </c>
      <c r="D271" t="s">
        <v>64</v>
      </c>
      <c r="E271">
        <v>-155.26785000000001</v>
      </c>
      <c r="F271">
        <v>19.407830000000001</v>
      </c>
      <c r="G271" t="s">
        <v>65</v>
      </c>
      <c r="H271" t="s">
        <v>519</v>
      </c>
      <c r="I271" t="s">
        <v>653</v>
      </c>
      <c r="J271" t="s">
        <v>68</v>
      </c>
      <c r="K271">
        <v>7.4755448109374987</v>
      </c>
      <c r="L271">
        <v>6.1561053984375009</v>
      </c>
      <c r="M271">
        <v>144.57685345123679</v>
      </c>
      <c r="N271">
        <v>1313.880729746221</v>
      </c>
      <c r="Q271">
        <v>12.028</v>
      </c>
      <c r="R271">
        <v>1325.0039999999999</v>
      </c>
      <c r="S271">
        <v>100</v>
      </c>
      <c r="T271">
        <v>103.03149019999999</v>
      </c>
      <c r="U271">
        <v>1.3601831559999999E-2</v>
      </c>
      <c r="V271">
        <v>0.11143649160000001</v>
      </c>
      <c r="W271">
        <v>6.6034792889999999E-3</v>
      </c>
      <c r="X271">
        <v>0</v>
      </c>
      <c r="Y271">
        <v>8.7391513332121029E-2</v>
      </c>
      <c r="Z271">
        <v>0.37579034210163709</v>
      </c>
      <c r="AA271">
        <v>3.3941275091049092E-2</v>
      </c>
      <c r="AB271">
        <v>1.612690549540047</v>
      </c>
      <c r="AC271">
        <v>0.1397861146987687</v>
      </c>
      <c r="AD271">
        <v>1238.3320176251971</v>
      </c>
      <c r="AE271">
        <v>50</v>
      </c>
      <c r="BE271">
        <v>0.85440880204964142</v>
      </c>
      <c r="BF271">
        <v>6396</v>
      </c>
      <c r="BG271">
        <v>409092.15072014579</v>
      </c>
      <c r="BH271">
        <v>3182.10406048202</v>
      </c>
      <c r="BI271">
        <v>360.8574177350547</v>
      </c>
      <c r="BJ271">
        <v>39.788736679654413</v>
      </c>
      <c r="BK271">
        <v>3182.10406048202</v>
      </c>
    </row>
    <row r="272" spans="1:63" x14ac:dyDescent="0.2">
      <c r="A272">
        <v>270</v>
      </c>
      <c r="B272" t="s">
        <v>69</v>
      </c>
      <c r="C272" t="s">
        <v>76</v>
      </c>
      <c r="D272" t="s">
        <v>71</v>
      </c>
      <c r="E272">
        <v>-155.29812000000001</v>
      </c>
      <c r="F272">
        <v>19.375624999999999</v>
      </c>
      <c r="G272" t="s">
        <v>77</v>
      </c>
      <c r="H272" t="s">
        <v>575</v>
      </c>
      <c r="I272" t="s">
        <v>654</v>
      </c>
      <c r="J272" t="s">
        <v>68</v>
      </c>
      <c r="K272">
        <v>6.5534365851562493</v>
      </c>
      <c r="L272">
        <v>5.4960370031250001</v>
      </c>
      <c r="M272">
        <v>113.15366419017001</v>
      </c>
      <c r="N272">
        <v>908.96139205113275</v>
      </c>
      <c r="Q272">
        <v>11.999000000000001</v>
      </c>
      <c r="R272">
        <v>1324.9639999999999</v>
      </c>
      <c r="S272">
        <v>100</v>
      </c>
      <c r="T272">
        <v>103.0319044009068</v>
      </c>
      <c r="U272">
        <v>4.4810854809015843E-3</v>
      </c>
      <c r="V272">
        <v>0.11160060832335721</v>
      </c>
      <c r="W272">
        <v>4.2086196788111568E-3</v>
      </c>
      <c r="X272">
        <v>0</v>
      </c>
      <c r="Y272">
        <v>8.6864120685262836E-2</v>
      </c>
      <c r="Z272">
        <v>0.37803890885879798</v>
      </c>
      <c r="AA272">
        <v>2.8430470724269311E-2</v>
      </c>
      <c r="AB272">
        <v>1.621958318874027</v>
      </c>
      <c r="AC272">
        <v>0.1170745853543628</v>
      </c>
      <c r="AD272">
        <v>1245.4825200258249</v>
      </c>
      <c r="AE272">
        <v>50</v>
      </c>
      <c r="AF272">
        <v>85.768463646771821</v>
      </c>
      <c r="AG272">
        <v>2.5039199999999999</v>
      </c>
      <c r="AH272">
        <v>14.096819999999999</v>
      </c>
      <c r="AI272">
        <v>0.27322000000000002</v>
      </c>
      <c r="AJ272">
        <v>10.95044</v>
      </c>
      <c r="AK272">
        <v>0.52094000000000007</v>
      </c>
      <c r="AL272">
        <v>2.9191400000000001</v>
      </c>
      <c r="AM272">
        <v>50.91704</v>
      </c>
      <c r="AN272">
        <v>6.4346599999999992</v>
      </c>
      <c r="AO272">
        <v>10.86684</v>
      </c>
      <c r="AP272">
        <v>0.19492000000000001</v>
      </c>
      <c r="AQ272">
        <v>99.70778</v>
      </c>
      <c r="AR272">
        <v>5.8797253337209539E-2</v>
      </c>
      <c r="AS272">
        <v>0.138496180452748</v>
      </c>
      <c r="AT272">
        <v>2.822688434808206E-2</v>
      </c>
      <c r="AU272">
        <v>7.1287502411011894E-2</v>
      </c>
      <c r="AV272">
        <v>1.2819243347405491E-2</v>
      </c>
      <c r="AW272">
        <v>2.3721045508155889E-2</v>
      </c>
      <c r="AX272">
        <v>0.39733328327740491</v>
      </c>
      <c r="AY272">
        <v>8.3972662218129629E-2</v>
      </c>
      <c r="AZ272">
        <v>5.8132675837260117E-2</v>
      </c>
      <c r="BA272">
        <v>1.931080008699795E-2</v>
      </c>
    </row>
    <row r="273" spans="1:63" x14ac:dyDescent="0.2">
      <c r="A273">
        <v>271</v>
      </c>
      <c r="B273" t="s">
        <v>69</v>
      </c>
      <c r="C273" t="s">
        <v>297</v>
      </c>
      <c r="D273" t="s">
        <v>64</v>
      </c>
      <c r="E273">
        <v>-155.27754999999999</v>
      </c>
      <c r="F273">
        <v>19.401</v>
      </c>
      <c r="G273" t="s">
        <v>298</v>
      </c>
      <c r="H273" t="s">
        <v>655</v>
      </c>
      <c r="I273" t="s">
        <v>656</v>
      </c>
      <c r="J273" t="s">
        <v>68</v>
      </c>
      <c r="K273">
        <v>3.9125237406250002</v>
      </c>
      <c r="L273">
        <v>3.568716325</v>
      </c>
      <c r="M273">
        <v>43.865075987795457</v>
      </c>
      <c r="N273">
        <v>218.77677597438699</v>
      </c>
      <c r="O273" t="s">
        <v>657</v>
      </c>
      <c r="Q273">
        <v>10.039999999999999</v>
      </c>
      <c r="R273">
        <v>1324.9639999999999</v>
      </c>
      <c r="S273">
        <v>50</v>
      </c>
      <c r="T273">
        <v>103.0319500521201</v>
      </c>
      <c r="U273">
        <v>8.1668418712000992E-3</v>
      </c>
      <c r="V273">
        <v>0.11161869716663381</v>
      </c>
      <c r="W273">
        <v>5.0031827698409029E-3</v>
      </c>
      <c r="X273">
        <v>0</v>
      </c>
      <c r="Y273">
        <v>9.0226552250863845E-2</v>
      </c>
      <c r="Z273">
        <v>0.36410089810924712</v>
      </c>
      <c r="AA273">
        <v>2.7844560499210819E-2</v>
      </c>
      <c r="AB273">
        <v>1.5644418033811009</v>
      </c>
      <c r="AC273">
        <v>0.1150213578312876</v>
      </c>
      <c r="AD273">
        <v>1186.7216228541149</v>
      </c>
      <c r="AE273">
        <v>50</v>
      </c>
      <c r="AF273">
        <v>81.882517007149985</v>
      </c>
      <c r="AG273">
        <v>2.321825</v>
      </c>
      <c r="AH273">
        <v>13.7706416666667</v>
      </c>
      <c r="AI273">
        <v>0.268625</v>
      </c>
      <c r="AJ273">
        <v>10.802308333333301</v>
      </c>
      <c r="AK273">
        <v>0.55051666666666699</v>
      </c>
      <c r="AL273">
        <v>2.808325</v>
      </c>
      <c r="AM273">
        <v>50.309224999999998</v>
      </c>
      <c r="AN273">
        <v>6.0358333333333301</v>
      </c>
      <c r="AP273">
        <v>0.19646666666666701</v>
      </c>
      <c r="AQ273">
        <v>98.455249999999964</v>
      </c>
      <c r="AR273">
        <v>0.116299942351272</v>
      </c>
      <c r="AS273">
        <v>0.28611493068451699</v>
      </c>
      <c r="AT273">
        <v>2.3686019082994898E-2</v>
      </c>
      <c r="AU273">
        <v>0.25896941012171298</v>
      </c>
      <c r="AV273">
        <v>2.1496673456536702E-2</v>
      </c>
      <c r="AW273">
        <v>4.2624494131895597E-2</v>
      </c>
      <c r="AX273">
        <v>0.80521115370159502</v>
      </c>
      <c r="AY273">
        <v>0.14527452591142001</v>
      </c>
      <c r="BA273">
        <v>2.9538244341664601E-2</v>
      </c>
      <c r="BE273">
        <v>0.29176291793463383</v>
      </c>
      <c r="BF273">
        <v>6155</v>
      </c>
      <c r="BG273">
        <v>405787.7797902606</v>
      </c>
      <c r="BH273">
        <v>864.72899806957309</v>
      </c>
      <c r="BI273">
        <v>359.39708123440698</v>
      </c>
      <c r="BJ273">
        <v>11.022141810453601</v>
      </c>
      <c r="BK273">
        <v>864.72899806957275</v>
      </c>
    </row>
    <row r="274" spans="1:63" x14ac:dyDescent="0.2">
      <c r="A274">
        <v>272</v>
      </c>
      <c r="B274" t="s">
        <v>69</v>
      </c>
      <c r="C274" t="s">
        <v>236</v>
      </c>
      <c r="D274" t="s">
        <v>64</v>
      </c>
      <c r="E274">
        <v>-155.292979</v>
      </c>
      <c r="F274">
        <v>19.400748</v>
      </c>
      <c r="G274" t="s">
        <v>237</v>
      </c>
      <c r="H274" t="s">
        <v>658</v>
      </c>
      <c r="I274" t="s">
        <v>659</v>
      </c>
      <c r="J274" t="s">
        <v>68</v>
      </c>
      <c r="K274">
        <v>6.3669460515624996</v>
      </c>
      <c r="L274">
        <v>6.16156819375</v>
      </c>
      <c r="M274">
        <v>123.2458493607019</v>
      </c>
      <c r="N274">
        <v>1029.3915862607951</v>
      </c>
      <c r="Q274">
        <v>9.8689999999999998</v>
      </c>
      <c r="R274">
        <v>1324.9639999999999</v>
      </c>
      <c r="S274">
        <v>50</v>
      </c>
      <c r="T274">
        <v>103.03241500709539</v>
      </c>
      <c r="U274">
        <v>3.2419961772779259E-3</v>
      </c>
      <c r="V274">
        <v>0.1118029309925745</v>
      </c>
      <c r="W274">
        <v>4.0264003890296664E-3</v>
      </c>
      <c r="X274">
        <v>0</v>
      </c>
      <c r="Y274">
        <v>8.9819646538187858E-2</v>
      </c>
      <c r="Z274">
        <v>0.36574455565014119</v>
      </c>
      <c r="AA274">
        <v>2.613629230536875E-2</v>
      </c>
      <c r="AB274">
        <v>1.5712330998883179</v>
      </c>
      <c r="AC274">
        <v>0.10795266423672591</v>
      </c>
      <c r="AD274">
        <v>1191.1165309600101</v>
      </c>
      <c r="AE274">
        <v>50</v>
      </c>
      <c r="AF274">
        <v>82.251013003853529</v>
      </c>
      <c r="AG274">
        <v>2.0274999999999999</v>
      </c>
      <c r="AH274">
        <v>12.7525</v>
      </c>
      <c r="AI274">
        <v>0.17249999999999999</v>
      </c>
      <c r="AJ274">
        <v>11.092499999999999</v>
      </c>
      <c r="AK274">
        <v>0.51750000000000007</v>
      </c>
      <c r="AL274">
        <v>2.5150000000000001</v>
      </c>
      <c r="AM274">
        <v>50.63</v>
      </c>
      <c r="AN274">
        <v>7.415</v>
      </c>
      <c r="AP274">
        <v>1685.75</v>
      </c>
      <c r="AR274">
        <v>0.17231270024773751</v>
      </c>
      <c r="AS274">
        <v>0.13450526631573459</v>
      </c>
      <c r="AT274">
        <v>4.9999999999999836E-3</v>
      </c>
      <c r="AU274">
        <v>0.29227555491350982</v>
      </c>
      <c r="AV274">
        <v>2.061552812808835E-2</v>
      </c>
      <c r="AW274">
        <v>6.2449979983983737E-2</v>
      </c>
      <c r="AX274">
        <v>0.21556128285632961</v>
      </c>
      <c r="AY274">
        <v>0.39770173078158311</v>
      </c>
      <c r="BA274">
        <v>51.951098801340748</v>
      </c>
      <c r="BE274">
        <v>0.46557337373704122</v>
      </c>
      <c r="BF274">
        <v>27226</v>
      </c>
      <c r="BG274">
        <v>438862.62498777732</v>
      </c>
      <c r="BH274">
        <v>484.29688429926767</v>
      </c>
      <c r="BI274">
        <v>373.75702295766843</v>
      </c>
      <c r="BJ274">
        <v>2.935078728502873</v>
      </c>
      <c r="BK274">
        <v>484.29688429926779</v>
      </c>
    </row>
    <row r="275" spans="1:63" x14ac:dyDescent="0.2">
      <c r="A275">
        <v>273</v>
      </c>
      <c r="B275" t="s">
        <v>69</v>
      </c>
      <c r="C275" t="s">
        <v>76</v>
      </c>
      <c r="D275" t="s">
        <v>71</v>
      </c>
      <c r="E275">
        <v>-155.29812000000001</v>
      </c>
      <c r="F275">
        <v>19.375624999999999</v>
      </c>
      <c r="G275" t="s">
        <v>77</v>
      </c>
      <c r="H275" t="s">
        <v>453</v>
      </c>
      <c r="I275" t="s">
        <v>660</v>
      </c>
      <c r="J275" t="s">
        <v>68</v>
      </c>
      <c r="K275">
        <v>6.5455910812500004</v>
      </c>
      <c r="L275">
        <v>5.86791388828125</v>
      </c>
      <c r="M275">
        <v>120.6653216874942</v>
      </c>
      <c r="N275">
        <v>998.58638027853056</v>
      </c>
      <c r="Q275">
        <v>11.829000000000001</v>
      </c>
      <c r="R275">
        <v>1324.9639999999999</v>
      </c>
      <c r="S275">
        <v>50</v>
      </c>
      <c r="T275">
        <v>103.03313355882619</v>
      </c>
      <c r="U275">
        <v>6.289542868870868E-3</v>
      </c>
      <c r="V275">
        <v>0.1120876500331391</v>
      </c>
      <c r="W275">
        <v>4.5579925971232461E-3</v>
      </c>
      <c r="X275">
        <v>0</v>
      </c>
      <c r="Y275">
        <v>8.7941120179201637E-2</v>
      </c>
      <c r="Z275">
        <v>0.37348534102325848</v>
      </c>
      <c r="AA275">
        <v>2.6977944190036369E-2</v>
      </c>
      <c r="AB275">
        <v>1.603185731526646</v>
      </c>
      <c r="AC275">
        <v>0.1111988206013393</v>
      </c>
      <c r="AD275">
        <v>1219.5988891706729</v>
      </c>
      <c r="AE275">
        <v>50</v>
      </c>
      <c r="AF275">
        <v>84.281618762295409</v>
      </c>
      <c r="AG275">
        <v>2.5039199999999999</v>
      </c>
      <c r="AH275">
        <v>14.096819999999999</v>
      </c>
      <c r="AI275">
        <v>0.27322000000000002</v>
      </c>
      <c r="AJ275">
        <v>10.95044</v>
      </c>
      <c r="AK275">
        <v>0.52094000000000007</v>
      </c>
      <c r="AL275">
        <v>2.9191400000000001</v>
      </c>
      <c r="AM275">
        <v>50.91704</v>
      </c>
      <c r="AN275">
        <v>6.4346599999999992</v>
      </c>
      <c r="AO275">
        <v>10.86684</v>
      </c>
      <c r="AP275">
        <v>0.19492000000000001</v>
      </c>
      <c r="AQ275">
        <v>99.70778</v>
      </c>
      <c r="AR275">
        <v>5.8797253337209539E-2</v>
      </c>
      <c r="AS275">
        <v>0.138496180452748</v>
      </c>
      <c r="AT275">
        <v>2.822688434808206E-2</v>
      </c>
      <c r="AU275">
        <v>7.1287502411011894E-2</v>
      </c>
      <c r="AV275">
        <v>1.2819243347405491E-2</v>
      </c>
      <c r="AW275">
        <v>2.3721045508155889E-2</v>
      </c>
      <c r="AX275">
        <v>0.39733328327740491</v>
      </c>
      <c r="AY275">
        <v>8.3972662218129629E-2</v>
      </c>
      <c r="AZ275">
        <v>5.8132675837260117E-2</v>
      </c>
      <c r="BA275">
        <v>1.931080008699795E-2</v>
      </c>
      <c r="BD275" t="s">
        <v>455</v>
      </c>
      <c r="BE275">
        <v>0.1139141094354669</v>
      </c>
      <c r="BF275">
        <v>3675</v>
      </c>
      <c r="BG275">
        <v>181294.82642332319</v>
      </c>
      <c r="BH275">
        <v>51.140567323517843</v>
      </c>
      <c r="BI275">
        <v>240.2247605150603</v>
      </c>
      <c r="BJ275">
        <v>0.84360058030694862</v>
      </c>
      <c r="BK275">
        <v>51.140567323517843</v>
      </c>
    </row>
    <row r="276" spans="1:63" x14ac:dyDescent="0.2">
      <c r="A276">
        <v>274</v>
      </c>
      <c r="B276" t="s">
        <v>69</v>
      </c>
      <c r="C276" t="s">
        <v>143</v>
      </c>
      <c r="D276" t="s">
        <v>144</v>
      </c>
      <c r="E276">
        <v>-155.22516669999999</v>
      </c>
      <c r="F276">
        <v>19.371883329999999</v>
      </c>
      <c r="G276" t="s">
        <v>145</v>
      </c>
      <c r="H276" t="s">
        <v>661</v>
      </c>
      <c r="I276" t="s">
        <v>662</v>
      </c>
      <c r="J276" t="s">
        <v>68</v>
      </c>
      <c r="K276">
        <v>13.212642185937501</v>
      </c>
      <c r="L276">
        <v>11.554741923437501</v>
      </c>
      <c r="M276">
        <v>479.62277394388161</v>
      </c>
      <c r="N276">
        <v>7919.3343132480341</v>
      </c>
      <c r="O276" t="s">
        <v>663</v>
      </c>
      <c r="Q276">
        <v>9.89</v>
      </c>
      <c r="R276">
        <v>1324.9639999999999</v>
      </c>
      <c r="S276">
        <v>50</v>
      </c>
      <c r="T276">
        <v>103.0333883299818</v>
      </c>
      <c r="U276">
        <v>2.6175598984534E-3</v>
      </c>
      <c r="V276">
        <v>0.11218860059229741</v>
      </c>
      <c r="W276">
        <v>3.9548835047186759E-3</v>
      </c>
      <c r="X276">
        <v>0.92069110506765106</v>
      </c>
      <c r="Y276">
        <v>8.3715273955169089E-2</v>
      </c>
      <c r="Z276">
        <v>0.39196958320381481</v>
      </c>
      <c r="AA276">
        <v>2.596226831035435E-2</v>
      </c>
      <c r="AB276">
        <v>1.6792802507949181</v>
      </c>
      <c r="AC276">
        <v>0.1065637189798725</v>
      </c>
      <c r="AD276">
        <v>1295.5624691923861</v>
      </c>
      <c r="AE276">
        <v>50</v>
      </c>
      <c r="AF276">
        <v>88.09083879835751</v>
      </c>
      <c r="AG276">
        <v>2.1961249999999999</v>
      </c>
      <c r="AH276">
        <v>13.214425</v>
      </c>
      <c r="AI276">
        <v>0.23326250000000001</v>
      </c>
      <c r="AJ276">
        <v>10.8680875</v>
      </c>
      <c r="AK276">
        <v>0.46184999999999998</v>
      </c>
      <c r="AL276">
        <v>2.5506250000000001</v>
      </c>
      <c r="AM276">
        <v>49.975887499999999</v>
      </c>
      <c r="AN276">
        <v>7.4385374999999998</v>
      </c>
      <c r="AP276">
        <v>0.2354</v>
      </c>
      <c r="AQ276">
        <v>98.48666249999998</v>
      </c>
      <c r="AR276">
        <v>5.6378814410075299E-2</v>
      </c>
      <c r="AS276">
        <v>0.24941022862516499</v>
      </c>
      <c r="AT276">
        <v>1.4003870638403601E-2</v>
      </c>
      <c r="AU276">
        <v>0.27584699401505702</v>
      </c>
      <c r="AV276">
        <v>3.1668731762237799E-2</v>
      </c>
      <c r="AW276">
        <v>4.2427543277585897E-2</v>
      </c>
      <c r="AX276">
        <v>0.67605985245919198</v>
      </c>
      <c r="AY276">
        <v>0.10614118545597701</v>
      </c>
      <c r="BA276">
        <v>4.3851209463691802E-2</v>
      </c>
      <c r="BE276">
        <v>1.083457352252881</v>
      </c>
      <c r="BF276">
        <v>34094</v>
      </c>
      <c r="BG276">
        <v>1674783.8525150381</v>
      </c>
      <c r="BH276">
        <v>7072.9794109558088</v>
      </c>
      <c r="BI276">
        <v>730.13714977154268</v>
      </c>
      <c r="BJ276">
        <v>38.305701094112713</v>
      </c>
      <c r="BK276">
        <v>7072.9794109557934</v>
      </c>
    </row>
    <row r="277" spans="1:63" x14ac:dyDescent="0.2">
      <c r="A277">
        <v>275</v>
      </c>
      <c r="B277" t="s">
        <v>62</v>
      </c>
      <c r="C277" t="s">
        <v>63</v>
      </c>
      <c r="D277" t="s">
        <v>64</v>
      </c>
      <c r="E277">
        <v>-155.26785000000001</v>
      </c>
      <c r="F277">
        <v>19.407830000000001</v>
      </c>
      <c r="G277" t="s">
        <v>65</v>
      </c>
      <c r="H277" t="s">
        <v>664</v>
      </c>
      <c r="I277" t="s">
        <v>665</v>
      </c>
      <c r="J277" t="s">
        <v>68</v>
      </c>
      <c r="K277">
        <v>6.3516618476562501</v>
      </c>
      <c r="L277">
        <v>5.7234985015625002</v>
      </c>
      <c r="M277">
        <v>114.2086018858421</v>
      </c>
      <c r="N277">
        <v>919.39145402108647</v>
      </c>
      <c r="Q277">
        <v>11.853999999999999</v>
      </c>
      <c r="R277">
        <v>1325.0039999999999</v>
      </c>
      <c r="S277">
        <v>50</v>
      </c>
      <c r="T277">
        <v>103.0340578</v>
      </c>
      <c r="U277">
        <v>5.9310682400000002E-3</v>
      </c>
      <c r="V277">
        <v>0.11245386440000001</v>
      </c>
      <c r="W277">
        <v>4.4823004719999997E-3</v>
      </c>
      <c r="X277">
        <v>0</v>
      </c>
      <c r="Y277">
        <v>8.3755723517400793E-2</v>
      </c>
      <c r="Z277">
        <v>0.39178933101077462</v>
      </c>
      <c r="AA277">
        <v>2.7480387205713681E-2</v>
      </c>
      <c r="AB277">
        <v>1.678539593452286</v>
      </c>
      <c r="AC277">
        <v>0.1127310606015271</v>
      </c>
      <c r="AD277">
        <v>1290.9465491687261</v>
      </c>
      <c r="AE277">
        <v>50</v>
      </c>
      <c r="AF277">
        <v>87.898982810000007</v>
      </c>
      <c r="BE277">
        <v>0.83078701554097623</v>
      </c>
      <c r="BF277">
        <v>8735</v>
      </c>
      <c r="BG277">
        <v>559030.49458277063</v>
      </c>
      <c r="BH277">
        <v>1784.8339073356281</v>
      </c>
      <c r="BI277">
        <v>421.83519661582278</v>
      </c>
      <c r="BJ277">
        <v>19.097052991104281</v>
      </c>
      <c r="BK277">
        <v>1784.833907335629</v>
      </c>
    </row>
    <row r="278" spans="1:63" x14ac:dyDescent="0.2">
      <c r="A278">
        <v>276</v>
      </c>
      <c r="B278" t="s">
        <v>69</v>
      </c>
      <c r="C278" t="s">
        <v>81</v>
      </c>
      <c r="D278" t="s">
        <v>71</v>
      </c>
      <c r="E278">
        <v>-155.29106999999999</v>
      </c>
      <c r="F278">
        <v>19.383150000000001</v>
      </c>
      <c r="G278" t="s">
        <v>87</v>
      </c>
      <c r="H278" t="s">
        <v>666</v>
      </c>
      <c r="I278" t="s">
        <v>667</v>
      </c>
      <c r="J278" t="s">
        <v>68</v>
      </c>
      <c r="K278">
        <v>56.535863445312508</v>
      </c>
      <c r="L278">
        <v>46.287659439062502</v>
      </c>
      <c r="M278">
        <v>8221.2740063592464</v>
      </c>
      <c r="N278">
        <v>563560.23728773149</v>
      </c>
      <c r="O278" t="s">
        <v>668</v>
      </c>
      <c r="Q278">
        <v>12.04</v>
      </c>
      <c r="R278">
        <v>1325.0039999999999</v>
      </c>
      <c r="S278">
        <v>50</v>
      </c>
      <c r="T278">
        <v>103.0341310195893</v>
      </c>
      <c r="U278">
        <v>1.1254237219284551E-2</v>
      </c>
      <c r="V278">
        <v>0.1124828840285801</v>
      </c>
      <c r="W278">
        <v>5.869776502929306E-3</v>
      </c>
      <c r="X278">
        <v>3.4733458667726329</v>
      </c>
      <c r="Y278">
        <v>8.7114085832016408E-2</v>
      </c>
      <c r="Z278">
        <v>0.376986444748587</v>
      </c>
      <c r="AA278">
        <v>3.2145400245362242E-2</v>
      </c>
      <c r="AB278">
        <v>1.617620980014733</v>
      </c>
      <c r="AC278">
        <v>0.13228545860698859</v>
      </c>
      <c r="AD278">
        <v>1228.749011646551</v>
      </c>
      <c r="AE278">
        <v>50</v>
      </c>
      <c r="AF278">
        <v>84.837520341854656</v>
      </c>
      <c r="AG278">
        <v>2.2102200000000001</v>
      </c>
      <c r="AH278">
        <v>12.516225</v>
      </c>
      <c r="AI278">
        <v>0.22873499999999999</v>
      </c>
      <c r="AJ278">
        <v>10.535360000000001</v>
      </c>
      <c r="AK278">
        <v>0.37534499999999998</v>
      </c>
      <c r="AL278">
        <v>2.4377900000000001</v>
      </c>
      <c r="AM278">
        <v>50.224780000000003</v>
      </c>
      <c r="AN278">
        <v>8.9844449999999991</v>
      </c>
      <c r="AP278">
        <v>0.178455</v>
      </c>
      <c r="AQ278">
        <v>99.610560000000007</v>
      </c>
      <c r="AR278">
        <v>1.7587090435884831E-2</v>
      </c>
      <c r="AS278">
        <v>0.12699126938494701</v>
      </c>
      <c r="AT278">
        <v>8.073250584491971E-3</v>
      </c>
      <c r="AU278">
        <v>6.9056800896073786E-2</v>
      </c>
      <c r="AV278">
        <v>2.248073063759274E-2</v>
      </c>
      <c r="AW278">
        <v>2.1205111412109991E-2</v>
      </c>
      <c r="AX278">
        <v>0.5052093298821787</v>
      </c>
      <c r="AY278">
        <v>0.13192220766421431</v>
      </c>
      <c r="BA278">
        <v>1.2962040734390541E-2</v>
      </c>
      <c r="BB278">
        <v>5</v>
      </c>
      <c r="BC278" t="s">
        <v>86</v>
      </c>
    </row>
    <row r="279" spans="1:63" x14ac:dyDescent="0.2">
      <c r="A279">
        <v>277</v>
      </c>
      <c r="B279" t="s">
        <v>69</v>
      </c>
      <c r="C279" t="s">
        <v>236</v>
      </c>
      <c r="D279" t="s">
        <v>64</v>
      </c>
      <c r="E279">
        <v>-155.292979</v>
      </c>
      <c r="F279">
        <v>19.400748</v>
      </c>
      <c r="G279" t="s">
        <v>237</v>
      </c>
      <c r="H279" t="s">
        <v>604</v>
      </c>
      <c r="I279" t="s">
        <v>669</v>
      </c>
      <c r="J279" t="s">
        <v>68</v>
      </c>
      <c r="K279">
        <v>9.3732850335937492</v>
      </c>
      <c r="L279">
        <v>7.3357204968750001</v>
      </c>
      <c r="M279">
        <v>216.0152798530541</v>
      </c>
      <c r="N279">
        <v>2406.26700382029</v>
      </c>
      <c r="Q279">
        <v>9.8930000000000007</v>
      </c>
      <c r="R279">
        <v>1324.9639999999999</v>
      </c>
      <c r="S279">
        <v>50</v>
      </c>
      <c r="T279">
        <v>103.0341768086729</v>
      </c>
      <c r="U279">
        <v>1.8198197161670569E-2</v>
      </c>
      <c r="V279">
        <v>0.11250102750162939</v>
      </c>
      <c r="W279">
        <v>8.1587269464539012E-3</v>
      </c>
      <c r="X279">
        <v>4.87541339522034</v>
      </c>
      <c r="Y279">
        <v>8.6089446742905418E-2</v>
      </c>
      <c r="Z279">
        <v>0.381395771551156</v>
      </c>
      <c r="AA279">
        <v>3.6881231178862051E-2</v>
      </c>
      <c r="AB279">
        <v>1.63578611620395</v>
      </c>
      <c r="AC279">
        <v>0.15169580381150791</v>
      </c>
      <c r="AD279">
        <v>1246.87020398815</v>
      </c>
      <c r="AE279">
        <v>50</v>
      </c>
      <c r="AF279">
        <v>85.841375886853953</v>
      </c>
      <c r="AG279">
        <v>2.0274999999999999</v>
      </c>
      <c r="AH279">
        <v>12.7525</v>
      </c>
      <c r="AI279">
        <v>0.17249999999999999</v>
      </c>
      <c r="AJ279">
        <v>11.092499999999999</v>
      </c>
      <c r="AK279">
        <v>0.51750000000000007</v>
      </c>
      <c r="AL279">
        <v>2.5150000000000001</v>
      </c>
      <c r="AM279">
        <v>50.63</v>
      </c>
      <c r="AN279">
        <v>7.415</v>
      </c>
      <c r="AP279">
        <v>1685.75</v>
      </c>
      <c r="AR279">
        <v>0.17231270024773751</v>
      </c>
      <c r="AS279">
        <v>0.13450526631573459</v>
      </c>
      <c r="AT279">
        <v>4.9999999999999836E-3</v>
      </c>
      <c r="AU279">
        <v>0.29227555491350982</v>
      </c>
      <c r="AV279">
        <v>2.061552812808835E-2</v>
      </c>
      <c r="AW279">
        <v>6.2449979983983737E-2</v>
      </c>
      <c r="AX279">
        <v>0.21556128285632961</v>
      </c>
      <c r="AY279">
        <v>0.39770173078158311</v>
      </c>
      <c r="BA279">
        <v>51.951098801340748</v>
      </c>
      <c r="BE279">
        <v>0.11981957579896139</v>
      </c>
      <c r="BF279">
        <v>11941</v>
      </c>
      <c r="BG279">
        <v>770030.05358050019</v>
      </c>
      <c r="BH279">
        <v>36.97502050461533</v>
      </c>
      <c r="BI279">
        <v>495.08401177305979</v>
      </c>
      <c r="BJ279">
        <v>0.33836705722437371</v>
      </c>
      <c r="BK279">
        <v>36.975020504615337</v>
      </c>
    </row>
    <row r="280" spans="1:63" x14ac:dyDescent="0.2">
      <c r="A280">
        <v>278</v>
      </c>
      <c r="B280" t="s">
        <v>62</v>
      </c>
      <c r="C280" t="s">
        <v>63</v>
      </c>
      <c r="D280" t="s">
        <v>64</v>
      </c>
      <c r="E280">
        <v>-155.26785000000001</v>
      </c>
      <c r="F280">
        <v>19.407830000000001</v>
      </c>
      <c r="G280" t="s">
        <v>65</v>
      </c>
      <c r="H280" t="s">
        <v>519</v>
      </c>
      <c r="I280" t="s">
        <v>670</v>
      </c>
      <c r="J280" t="s">
        <v>68</v>
      </c>
      <c r="K280">
        <v>4.5176736085937499</v>
      </c>
      <c r="L280">
        <v>4.3700037906250007</v>
      </c>
      <c r="M280">
        <v>62.022110060892437</v>
      </c>
      <c r="N280">
        <v>367.48833722670111</v>
      </c>
      <c r="Q280">
        <v>12.037000000000001</v>
      </c>
      <c r="R280">
        <v>1325.0039999999999</v>
      </c>
      <c r="S280">
        <v>100</v>
      </c>
      <c r="T280">
        <v>103.0343592</v>
      </c>
      <c r="U280">
        <v>1.4479113429999999E-2</v>
      </c>
      <c r="V280">
        <v>0.1125733164</v>
      </c>
      <c r="W280">
        <v>6.8909081039999999E-3</v>
      </c>
      <c r="X280">
        <v>0</v>
      </c>
      <c r="Y280">
        <v>8.6507106280962809E-2</v>
      </c>
      <c r="Z280">
        <v>0.37958891513007459</v>
      </c>
      <c r="AA280">
        <v>3.4858868451862972E-2</v>
      </c>
      <c r="AB280">
        <v>1.6283443853570501</v>
      </c>
      <c r="AC280">
        <v>0.143454486261478</v>
      </c>
      <c r="AD280">
        <v>1238.3320176251971</v>
      </c>
      <c r="AE280">
        <v>50</v>
      </c>
      <c r="BE280">
        <v>0.85440880204964142</v>
      </c>
      <c r="BF280">
        <v>6396</v>
      </c>
      <c r="BG280">
        <v>409092.15072014579</v>
      </c>
      <c r="BH280">
        <v>3182.10406048202</v>
      </c>
      <c r="BI280">
        <v>360.8574177350547</v>
      </c>
      <c r="BJ280">
        <v>39.788736679654413</v>
      </c>
      <c r="BK280">
        <v>3182.10406048202</v>
      </c>
    </row>
    <row r="281" spans="1:63" x14ac:dyDescent="0.2">
      <c r="A281">
        <v>279</v>
      </c>
      <c r="B281" t="s">
        <v>69</v>
      </c>
      <c r="C281" t="s">
        <v>671</v>
      </c>
      <c r="D281" t="s">
        <v>144</v>
      </c>
      <c r="E281">
        <v>-155.21461669999999</v>
      </c>
      <c r="F281">
        <v>19.36376667</v>
      </c>
      <c r="G281" t="s">
        <v>672</v>
      </c>
      <c r="H281" t="s">
        <v>673</v>
      </c>
      <c r="I281" t="s">
        <v>674</v>
      </c>
      <c r="J281" t="s">
        <v>68</v>
      </c>
      <c r="K281">
        <v>6.5068284804687506</v>
      </c>
      <c r="L281">
        <v>5.70135674609375</v>
      </c>
      <c r="M281">
        <v>116.5460202872096</v>
      </c>
      <c r="N281">
        <v>948.54360205664386</v>
      </c>
      <c r="Q281">
        <v>10.004</v>
      </c>
      <c r="R281">
        <v>1324.9639999999999</v>
      </c>
      <c r="S281">
        <v>50</v>
      </c>
      <c r="T281">
        <v>103.03456714575761</v>
      </c>
      <c r="U281">
        <v>4.7612554507556956E-3</v>
      </c>
      <c r="V281">
        <v>0.11265569472391231</v>
      </c>
      <c r="W281">
        <v>4.2578338352401643E-3</v>
      </c>
      <c r="X281">
        <v>0</v>
      </c>
      <c r="Y281">
        <v>8.4247825663726128E-2</v>
      </c>
      <c r="Z281">
        <v>0.38955819555177129</v>
      </c>
      <c r="AA281">
        <v>2.7323100831875741E-2</v>
      </c>
      <c r="AB281">
        <v>1.6693695818770351</v>
      </c>
      <c r="AC281">
        <v>0.11221460862624121</v>
      </c>
      <c r="AD281">
        <v>1278.7132046642471</v>
      </c>
      <c r="AE281">
        <v>50</v>
      </c>
      <c r="AF281">
        <v>87.371484400856588</v>
      </c>
      <c r="AG281">
        <v>2.1139333333333301</v>
      </c>
      <c r="AH281">
        <v>13.587583333333299</v>
      </c>
      <c r="AI281">
        <v>0.29523333333333301</v>
      </c>
      <c r="AJ281">
        <v>10.4225166666667</v>
      </c>
      <c r="AK281">
        <v>0.52931666666666699</v>
      </c>
      <c r="AL281">
        <v>2.6979166666666701</v>
      </c>
      <c r="AM281">
        <v>50.566133333333298</v>
      </c>
      <c r="AN281">
        <v>7.4192666666666698</v>
      </c>
      <c r="AP281">
        <v>0.115333333333333</v>
      </c>
      <c r="AQ281">
        <v>98.28573333333334</v>
      </c>
      <c r="AR281">
        <v>0.57645847609924805</v>
      </c>
      <c r="AS281">
        <v>1.26245867483521</v>
      </c>
      <c r="AT281">
        <v>5.29901751899979E-2</v>
      </c>
      <c r="AU281">
        <v>1.9081872417733701</v>
      </c>
      <c r="AV281">
        <v>0.16521048897290599</v>
      </c>
      <c r="AW281">
        <v>0.109080345006177</v>
      </c>
      <c r="AX281">
        <v>2.5946244064732502</v>
      </c>
      <c r="AY281">
        <v>1.98528395920248</v>
      </c>
      <c r="BA281">
        <v>4.7953505259435099E-2</v>
      </c>
      <c r="BE281">
        <v>0.68543944743196561</v>
      </c>
      <c r="BF281">
        <v>24373</v>
      </c>
      <c r="BG281">
        <v>389733.97430499498</v>
      </c>
      <c r="BH281">
        <v>2706.4827872194942</v>
      </c>
      <c r="BI281">
        <v>352.21609418506051</v>
      </c>
      <c r="BJ281">
        <v>17.336074919084389</v>
      </c>
      <c r="BK281">
        <v>2706.4827872194942</v>
      </c>
    </row>
    <row r="282" spans="1:63" x14ac:dyDescent="0.2">
      <c r="A282">
        <v>280</v>
      </c>
      <c r="B282" t="s">
        <v>69</v>
      </c>
      <c r="C282" t="s">
        <v>70</v>
      </c>
      <c r="D282" t="s">
        <v>71</v>
      </c>
      <c r="E282">
        <v>-155.29347999999999</v>
      </c>
      <c r="F282">
        <v>19.377479999999998</v>
      </c>
      <c r="G282" t="s">
        <v>112</v>
      </c>
      <c r="H282" t="s">
        <v>612</v>
      </c>
      <c r="I282" t="s">
        <v>675</v>
      </c>
      <c r="J282" t="s">
        <v>68</v>
      </c>
      <c r="K282">
        <v>8.6208721515625015</v>
      </c>
      <c r="L282">
        <v>7.8672388578124997</v>
      </c>
      <c r="M282">
        <v>213.07054327507049</v>
      </c>
      <c r="N282">
        <v>2342.0871802314691</v>
      </c>
      <c r="Q282">
        <v>12.009</v>
      </c>
      <c r="R282">
        <v>1324.9639999999999</v>
      </c>
      <c r="S282">
        <v>50</v>
      </c>
      <c r="T282">
        <v>103.03459512353</v>
      </c>
      <c r="U282">
        <v>2.7323239237538842E-3</v>
      </c>
      <c r="V282">
        <v>0.1126667806404384</v>
      </c>
      <c r="W282">
        <v>3.9676366859617181E-3</v>
      </c>
      <c r="X282">
        <v>0</v>
      </c>
      <c r="Y282">
        <v>8.396546516335246E-2</v>
      </c>
      <c r="Z282">
        <v>0.39083763352547951</v>
      </c>
      <c r="AA282">
        <v>2.704305925349933E-2</v>
      </c>
      <c r="AB282">
        <v>1.6746286098275629</v>
      </c>
      <c r="AC282">
        <v>0.1110499380521022</v>
      </c>
      <c r="AD282">
        <v>1283.891706336663</v>
      </c>
      <c r="AE282">
        <v>50</v>
      </c>
      <c r="AF282">
        <v>87.598296445524966</v>
      </c>
      <c r="AG282">
        <v>2.1280100000000002</v>
      </c>
      <c r="AH282">
        <v>12.511455</v>
      </c>
      <c r="AI282">
        <v>0.21128</v>
      </c>
      <c r="AJ282">
        <v>10.547185000000001</v>
      </c>
      <c r="AK282">
        <v>0.43435000000000001</v>
      </c>
      <c r="AL282">
        <v>2.4173399999999998</v>
      </c>
      <c r="AM282">
        <v>50.003889999999998</v>
      </c>
      <c r="AN282">
        <v>8.5805450000000008</v>
      </c>
      <c r="AO282">
        <v>11.0444</v>
      </c>
      <c r="AP282">
        <v>0.37786999999999998</v>
      </c>
      <c r="AQ282">
        <v>98.290260000000004</v>
      </c>
      <c r="AR282">
        <v>4.7093422517846893E-2</v>
      </c>
      <c r="AS282">
        <v>0.17423154844121161</v>
      </c>
      <c r="AT282">
        <v>2.1925114974993089E-2</v>
      </c>
      <c r="AU282">
        <v>0.1853741817244248</v>
      </c>
      <c r="AV282">
        <v>1.0520403456564249E-2</v>
      </c>
      <c r="AW282">
        <v>3.5166562401109248E-2</v>
      </c>
      <c r="AX282">
        <v>0.46106226248619608</v>
      </c>
      <c r="AY282">
        <v>0.4051107053427907</v>
      </c>
      <c r="AZ282">
        <v>0.14841023100402101</v>
      </c>
      <c r="BA282">
        <v>1.7068639208924791E-2</v>
      </c>
      <c r="BD282" t="s">
        <v>614</v>
      </c>
      <c r="BE282">
        <v>6.1393428295223797E-2</v>
      </c>
      <c r="BF282">
        <v>1155</v>
      </c>
      <c r="BG282">
        <v>60872.883678942919</v>
      </c>
      <c r="BH282">
        <v>64.878242552234141</v>
      </c>
      <c r="BI282">
        <v>139.19928403380331</v>
      </c>
      <c r="BJ282">
        <v>1.909009479263807</v>
      </c>
      <c r="BK282">
        <v>64.878242552234155</v>
      </c>
    </row>
    <row r="283" spans="1:63" x14ac:dyDescent="0.2">
      <c r="A283">
        <v>281</v>
      </c>
      <c r="B283" t="s">
        <v>69</v>
      </c>
      <c r="C283" t="s">
        <v>70</v>
      </c>
      <c r="D283" t="s">
        <v>71</v>
      </c>
      <c r="E283">
        <v>-155.29347999999999</v>
      </c>
      <c r="F283">
        <v>19.377479999999998</v>
      </c>
      <c r="G283" t="s">
        <v>112</v>
      </c>
      <c r="H283" t="s">
        <v>676</v>
      </c>
      <c r="I283" t="s">
        <v>677</v>
      </c>
      <c r="J283" t="s">
        <v>68</v>
      </c>
      <c r="K283">
        <v>12.83344283046875</v>
      </c>
      <c r="L283">
        <v>11.911218375000001</v>
      </c>
      <c r="M283">
        <v>480.22994789589922</v>
      </c>
      <c r="N283">
        <v>7922.0849076026234</v>
      </c>
      <c r="Q283">
        <v>12.006</v>
      </c>
      <c r="R283">
        <v>1324.9639999999999</v>
      </c>
      <c r="S283">
        <v>50</v>
      </c>
      <c r="T283">
        <v>103.0348697894417</v>
      </c>
      <c r="U283">
        <v>6.480354420865247E-3</v>
      </c>
      <c r="V283">
        <v>0.1127756143005527</v>
      </c>
      <c r="W283">
        <v>4.600493548134201E-3</v>
      </c>
      <c r="X283">
        <v>0</v>
      </c>
      <c r="Y283">
        <v>8.3211628005152805E-2</v>
      </c>
      <c r="Z283">
        <v>0.39429332122169952</v>
      </c>
      <c r="AA283">
        <v>2.6327595667533121E-2</v>
      </c>
      <c r="AB283">
        <v>1.6888260591452939</v>
      </c>
      <c r="AC283">
        <v>0.10799534925433869</v>
      </c>
      <c r="AD283">
        <v>1296.738349095097</v>
      </c>
      <c r="AE283">
        <v>50</v>
      </c>
      <c r="AF283">
        <v>88.139123281359616</v>
      </c>
      <c r="AG283">
        <v>2.1280100000000002</v>
      </c>
      <c r="AH283">
        <v>12.511455</v>
      </c>
      <c r="AI283">
        <v>0.21128</v>
      </c>
      <c r="AJ283">
        <v>10.547185000000001</v>
      </c>
      <c r="AK283">
        <v>0.43435000000000001</v>
      </c>
      <c r="AL283">
        <v>2.4173399999999998</v>
      </c>
      <c r="AM283">
        <v>50.003889999999998</v>
      </c>
      <c r="AN283">
        <v>8.5805450000000008</v>
      </c>
      <c r="AO283">
        <v>11.0444</v>
      </c>
      <c r="AP283">
        <v>0.37786999999999998</v>
      </c>
      <c r="AQ283">
        <v>98.290260000000004</v>
      </c>
      <c r="AR283">
        <v>4.7093422517846893E-2</v>
      </c>
      <c r="AS283">
        <v>0.17423154844121161</v>
      </c>
      <c r="AT283">
        <v>2.1925114974993089E-2</v>
      </c>
      <c r="AU283">
        <v>0.1853741817244248</v>
      </c>
      <c r="AV283">
        <v>1.0520403456564249E-2</v>
      </c>
      <c r="AW283">
        <v>3.5166562401109248E-2</v>
      </c>
      <c r="AX283">
        <v>0.46106226248619608</v>
      </c>
      <c r="AY283">
        <v>0.4051107053427907</v>
      </c>
      <c r="AZ283">
        <v>0.14841023100402101</v>
      </c>
      <c r="BA283">
        <v>1.7068639208924791E-2</v>
      </c>
      <c r="BD283" t="s">
        <v>678</v>
      </c>
      <c r="BE283">
        <v>0.34374737148897633</v>
      </c>
      <c r="BF283">
        <v>30484</v>
      </c>
      <c r="BG283">
        <v>1500023.284671454</v>
      </c>
      <c r="BH283">
        <v>1860.9641112887041</v>
      </c>
      <c r="BI283">
        <v>690.99366206703098</v>
      </c>
      <c r="BJ283">
        <v>10.658645580480931</v>
      </c>
      <c r="BK283">
        <v>1860.9641112887041</v>
      </c>
    </row>
    <row r="284" spans="1:63" x14ac:dyDescent="0.2">
      <c r="A284">
        <v>282</v>
      </c>
      <c r="B284" t="s">
        <v>62</v>
      </c>
      <c r="C284" t="s">
        <v>63</v>
      </c>
      <c r="D284" t="s">
        <v>64</v>
      </c>
      <c r="E284">
        <v>-155.26785000000001</v>
      </c>
      <c r="F284">
        <v>19.407830000000001</v>
      </c>
      <c r="G284" t="s">
        <v>65</v>
      </c>
      <c r="H284" t="s">
        <v>679</v>
      </c>
      <c r="I284" t="s">
        <v>680</v>
      </c>
      <c r="J284" t="s">
        <v>68</v>
      </c>
      <c r="K284">
        <v>13.363392090625</v>
      </c>
      <c r="L284">
        <v>6.8103041945312501</v>
      </c>
      <c r="M284">
        <v>285.91246818957148</v>
      </c>
      <c r="N284">
        <v>3845.2741982638759</v>
      </c>
      <c r="O284" t="s">
        <v>681</v>
      </c>
      <c r="Q284">
        <v>11.904</v>
      </c>
      <c r="R284">
        <v>1325.0039999999999</v>
      </c>
      <c r="S284">
        <v>50</v>
      </c>
      <c r="T284">
        <v>103.03516140000001</v>
      </c>
      <c r="U284">
        <v>3.5080146990000001E-3</v>
      </c>
      <c r="V284">
        <v>0.1128911673</v>
      </c>
      <c r="W284">
        <v>4.0625545029999996E-3</v>
      </c>
      <c r="X284">
        <v>7.8779494622179316</v>
      </c>
      <c r="Y284">
        <v>8.9382431689797426E-2</v>
      </c>
      <c r="Z284">
        <v>0.36753926238693269</v>
      </c>
      <c r="AA284">
        <v>2.5525716138787121E-2</v>
      </c>
      <c r="AB284">
        <v>1.5786458772564389</v>
      </c>
      <c r="AC284">
        <v>0.1052872131121175</v>
      </c>
      <c r="AD284">
        <v>1183.987952994363</v>
      </c>
      <c r="AE284">
        <v>50</v>
      </c>
      <c r="AF284">
        <v>81.643356639999993</v>
      </c>
      <c r="BE284">
        <v>0.1248786102292074</v>
      </c>
      <c r="BF284">
        <v>2277</v>
      </c>
      <c r="BG284">
        <v>146366.1971485884</v>
      </c>
      <c r="BH284">
        <v>110.36786040635241</v>
      </c>
      <c r="BI284">
        <v>215.84672236455529</v>
      </c>
      <c r="BJ284">
        <v>2.3129226445597371</v>
      </c>
      <c r="BK284">
        <v>110.36786040635241</v>
      </c>
    </row>
    <row r="285" spans="1:63" x14ac:dyDescent="0.2">
      <c r="A285">
        <v>283</v>
      </c>
      <c r="B285" t="s">
        <v>69</v>
      </c>
      <c r="C285" t="s">
        <v>70</v>
      </c>
      <c r="D285" t="s">
        <v>71</v>
      </c>
      <c r="E285">
        <v>-155.29347999999999</v>
      </c>
      <c r="F285">
        <v>19.377479999999998</v>
      </c>
      <c r="G285" t="s">
        <v>112</v>
      </c>
      <c r="H285" t="s">
        <v>565</v>
      </c>
      <c r="I285" t="s">
        <v>682</v>
      </c>
      <c r="J285" t="s">
        <v>68</v>
      </c>
      <c r="K285">
        <v>14.20483691328125</v>
      </c>
      <c r="L285">
        <v>13.18550255390625</v>
      </c>
      <c r="M285">
        <v>588.41374876351392</v>
      </c>
      <c r="N285">
        <v>10744.56821719535</v>
      </c>
      <c r="Q285">
        <v>12.006</v>
      </c>
      <c r="R285">
        <v>1324.9639999999999</v>
      </c>
      <c r="S285">
        <v>50</v>
      </c>
      <c r="T285">
        <v>103.0353512154572</v>
      </c>
      <c r="U285">
        <v>2.3094694982012391E-3</v>
      </c>
      <c r="V285">
        <v>0.112966374613805</v>
      </c>
      <c r="W285">
        <v>3.925603732971945E-3</v>
      </c>
      <c r="X285">
        <v>0</v>
      </c>
      <c r="Y285">
        <v>8.2150166944559011E-2</v>
      </c>
      <c r="Z285">
        <v>0.39925851224709102</v>
      </c>
      <c r="AA285">
        <v>2.4890908876249292E-2</v>
      </c>
      <c r="AB285">
        <v>1.7092076446300659</v>
      </c>
      <c r="AC285">
        <v>0.10200213902615581</v>
      </c>
      <c r="AD285">
        <v>1314.7116742405869</v>
      </c>
      <c r="AE285">
        <v>50</v>
      </c>
      <c r="AF285">
        <v>88.8495967476034</v>
      </c>
      <c r="AG285">
        <v>2.1280100000000002</v>
      </c>
      <c r="AH285">
        <v>12.511455</v>
      </c>
      <c r="AI285">
        <v>0.21128</v>
      </c>
      <c r="AJ285">
        <v>10.547185000000001</v>
      </c>
      <c r="AK285">
        <v>0.43435000000000001</v>
      </c>
      <c r="AL285">
        <v>2.4173399999999998</v>
      </c>
      <c r="AM285">
        <v>50.003889999999998</v>
      </c>
      <c r="AN285">
        <v>8.5805450000000008</v>
      </c>
      <c r="AO285">
        <v>11.0444</v>
      </c>
      <c r="AP285">
        <v>0.37786999999999998</v>
      </c>
      <c r="AQ285">
        <v>98.290260000000004</v>
      </c>
      <c r="AR285">
        <v>4.7093422517846893E-2</v>
      </c>
      <c r="AS285">
        <v>0.17423154844121161</v>
      </c>
      <c r="AT285">
        <v>2.1925114974993089E-2</v>
      </c>
      <c r="AU285">
        <v>0.1853741817244248</v>
      </c>
      <c r="AV285">
        <v>1.0520403456564249E-2</v>
      </c>
      <c r="AW285">
        <v>3.5166562401109248E-2</v>
      </c>
      <c r="AX285">
        <v>0.46106226248619608</v>
      </c>
      <c r="AY285">
        <v>0.4051107053427907</v>
      </c>
      <c r="AZ285">
        <v>0.14841023100402101</v>
      </c>
      <c r="BA285">
        <v>1.7068639208924791E-2</v>
      </c>
      <c r="BD285" t="s">
        <v>567</v>
      </c>
      <c r="BE285">
        <v>0.75433373434652995</v>
      </c>
      <c r="BF285">
        <v>9298</v>
      </c>
      <c r="BG285">
        <v>931194.43528250197</v>
      </c>
      <c r="BH285">
        <v>3856.1120049074402</v>
      </c>
      <c r="BI285">
        <v>544.43401318226995</v>
      </c>
      <c r="BJ285">
        <v>39.9903190511071</v>
      </c>
      <c r="BK285">
        <v>3856.1120049074402</v>
      </c>
    </row>
    <row r="286" spans="1:63" x14ac:dyDescent="0.2">
      <c r="A286">
        <v>284</v>
      </c>
      <c r="B286" t="s">
        <v>69</v>
      </c>
      <c r="C286" t="s">
        <v>143</v>
      </c>
      <c r="D286" t="s">
        <v>144</v>
      </c>
      <c r="E286">
        <v>-155.22516669999999</v>
      </c>
      <c r="F286">
        <v>19.371883329999999</v>
      </c>
      <c r="G286" t="s">
        <v>145</v>
      </c>
      <c r="H286" t="s">
        <v>683</v>
      </c>
      <c r="I286" t="s">
        <v>684</v>
      </c>
      <c r="J286" t="s">
        <v>68</v>
      </c>
      <c r="K286">
        <v>7.3829678648437502</v>
      </c>
      <c r="L286">
        <v>6.6555443656250004</v>
      </c>
      <c r="M286">
        <v>154.3705436345744</v>
      </c>
      <c r="N286">
        <v>1444.7551765587209</v>
      </c>
      <c r="O286" t="s">
        <v>685</v>
      </c>
      <c r="Q286">
        <v>9.9160000000000004</v>
      </c>
      <c r="R286">
        <v>1324.9639999999999</v>
      </c>
      <c r="S286">
        <v>50</v>
      </c>
      <c r="T286">
        <v>103.03642010690579</v>
      </c>
      <c r="U286">
        <v>4.5226468592113236E-3</v>
      </c>
      <c r="V286">
        <v>0.1133899123142967</v>
      </c>
      <c r="W286">
        <v>4.2176581900885898E-3</v>
      </c>
      <c r="X286">
        <v>0</v>
      </c>
      <c r="Y286">
        <v>8.3325258808057079E-2</v>
      </c>
      <c r="Z286">
        <v>0.39377942700680058</v>
      </c>
      <c r="AA286">
        <v>2.7623465033540271E-2</v>
      </c>
      <c r="AB286">
        <v>1.686715396175793</v>
      </c>
      <c r="AC286">
        <v>0.1134054939730349</v>
      </c>
      <c r="AD286">
        <v>1285.7321986890181</v>
      </c>
      <c r="AE286">
        <v>50</v>
      </c>
      <c r="AF286">
        <v>87.677640725814271</v>
      </c>
      <c r="AG286">
        <v>2.1961249999999999</v>
      </c>
      <c r="AH286">
        <v>13.214425</v>
      </c>
      <c r="AI286">
        <v>0.23326250000000001</v>
      </c>
      <c r="AJ286">
        <v>10.8680875</v>
      </c>
      <c r="AK286">
        <v>0.46184999999999998</v>
      </c>
      <c r="AL286">
        <v>2.5506250000000001</v>
      </c>
      <c r="AM286">
        <v>49.975887499999999</v>
      </c>
      <c r="AN286">
        <v>7.4385374999999998</v>
      </c>
      <c r="AP286">
        <v>0.2354</v>
      </c>
      <c r="AQ286">
        <v>98.48666249999998</v>
      </c>
      <c r="AR286">
        <v>5.6378814410075299E-2</v>
      </c>
      <c r="AS286">
        <v>0.24941022862516499</v>
      </c>
      <c r="AT286">
        <v>1.4003870638403601E-2</v>
      </c>
      <c r="AU286">
        <v>0.27584699401505702</v>
      </c>
      <c r="AV286">
        <v>3.1668731762237799E-2</v>
      </c>
      <c r="AW286">
        <v>4.2427543277585897E-2</v>
      </c>
      <c r="AX286">
        <v>0.67605985245919198</v>
      </c>
      <c r="AY286">
        <v>0.10614118545597701</v>
      </c>
      <c r="BA286">
        <v>4.3851209463691802E-2</v>
      </c>
      <c r="BE286">
        <v>0.29544876772216838</v>
      </c>
      <c r="BF286">
        <v>7367</v>
      </c>
      <c r="BG286">
        <v>362896.23610570561</v>
      </c>
      <c r="BH286">
        <v>125.9145806253504</v>
      </c>
      <c r="BI286">
        <v>339.87271089531907</v>
      </c>
      <c r="BJ286">
        <v>1.4670019408494559</v>
      </c>
      <c r="BK286">
        <v>125.9145806253504</v>
      </c>
    </row>
    <row r="287" spans="1:63" x14ac:dyDescent="0.2">
      <c r="A287">
        <v>285</v>
      </c>
      <c r="B287" t="s">
        <v>69</v>
      </c>
      <c r="C287" t="s">
        <v>76</v>
      </c>
      <c r="D287" t="s">
        <v>71</v>
      </c>
      <c r="E287">
        <v>-155.29812000000001</v>
      </c>
      <c r="F287">
        <v>19.375624999999999</v>
      </c>
      <c r="G287" t="s">
        <v>77</v>
      </c>
      <c r="H287" t="s">
        <v>313</v>
      </c>
      <c r="I287" t="s">
        <v>686</v>
      </c>
      <c r="J287" t="s">
        <v>68</v>
      </c>
      <c r="K287">
        <v>9.0807349101562505</v>
      </c>
      <c r="L287">
        <v>9.0807349101562505</v>
      </c>
      <c r="M287">
        <v>259.05493384807579</v>
      </c>
      <c r="N287">
        <v>3136.5455752565872</v>
      </c>
      <c r="Q287">
        <v>11.811</v>
      </c>
      <c r="R287">
        <v>1324.9639999999999</v>
      </c>
      <c r="S287">
        <v>50</v>
      </c>
      <c r="T287">
        <v>103.0365154618307</v>
      </c>
      <c r="U287">
        <v>1.3772708102261239E-2</v>
      </c>
      <c r="V287">
        <v>0.1134276957633915</v>
      </c>
      <c r="W287">
        <v>6.6603066552370386E-3</v>
      </c>
      <c r="X287">
        <v>6.3008323246437348</v>
      </c>
      <c r="Y287">
        <v>8.6323769383609195E-2</v>
      </c>
      <c r="Z287">
        <v>0.3803951254719477</v>
      </c>
      <c r="AA287">
        <v>3.4065523599547412E-2</v>
      </c>
      <c r="AB287">
        <v>1.63166518965061</v>
      </c>
      <c r="AC287">
        <v>0.14001659500403221</v>
      </c>
      <c r="AD287">
        <v>1229.858813118419</v>
      </c>
      <c r="AE287">
        <v>50</v>
      </c>
      <c r="AF287">
        <v>84.902494711123353</v>
      </c>
      <c r="AG287">
        <v>2.5039199999999999</v>
      </c>
      <c r="AH287">
        <v>14.096819999999999</v>
      </c>
      <c r="AI287">
        <v>0.27322000000000002</v>
      </c>
      <c r="AJ287">
        <v>10.95044</v>
      </c>
      <c r="AK287">
        <v>0.52094000000000007</v>
      </c>
      <c r="AL287">
        <v>2.9191400000000001</v>
      </c>
      <c r="AM287">
        <v>50.91704</v>
      </c>
      <c r="AN287">
        <v>6.4346599999999992</v>
      </c>
      <c r="AO287">
        <v>10.86684</v>
      </c>
      <c r="AP287">
        <v>0.19492000000000001</v>
      </c>
      <c r="AQ287">
        <v>99.70778</v>
      </c>
      <c r="AR287">
        <v>5.8797253337209539E-2</v>
      </c>
      <c r="AS287">
        <v>0.138496180452748</v>
      </c>
      <c r="AT287">
        <v>2.822688434808206E-2</v>
      </c>
      <c r="AU287">
        <v>7.1287502411011894E-2</v>
      </c>
      <c r="AV287">
        <v>1.2819243347405491E-2</v>
      </c>
      <c r="AW287">
        <v>2.3721045508155889E-2</v>
      </c>
      <c r="AX287">
        <v>0.39733328327740491</v>
      </c>
      <c r="AY287">
        <v>8.3972662218129629E-2</v>
      </c>
      <c r="AZ287">
        <v>5.8132675837260117E-2</v>
      </c>
      <c r="BA287">
        <v>1.931080008699795E-2</v>
      </c>
      <c r="BD287" t="s">
        <v>315</v>
      </c>
      <c r="BE287">
        <v>0.11135448793799339</v>
      </c>
      <c r="BF287">
        <v>6459</v>
      </c>
      <c r="BG287">
        <v>318472.10157445102</v>
      </c>
      <c r="BH287">
        <v>14.098292130671011</v>
      </c>
      <c r="BI287">
        <v>318.39098354833499</v>
      </c>
      <c r="BJ287">
        <v>0.17542192121144429</v>
      </c>
      <c r="BK287">
        <v>14.098292130671011</v>
      </c>
    </row>
    <row r="288" spans="1:63" x14ac:dyDescent="0.2">
      <c r="A288">
        <v>286</v>
      </c>
      <c r="B288" t="s">
        <v>69</v>
      </c>
      <c r="C288" t="s">
        <v>76</v>
      </c>
      <c r="D288" t="s">
        <v>71</v>
      </c>
      <c r="E288">
        <v>-155.29812000000001</v>
      </c>
      <c r="F288">
        <v>19.375624999999999</v>
      </c>
      <c r="G288" t="s">
        <v>77</v>
      </c>
      <c r="H288" t="s">
        <v>446</v>
      </c>
      <c r="I288" t="s">
        <v>687</v>
      </c>
      <c r="J288" t="s">
        <v>68</v>
      </c>
      <c r="K288">
        <v>4.3529761414062502</v>
      </c>
      <c r="L288">
        <v>4.3021837679687502</v>
      </c>
      <c r="M288">
        <v>58.833558462272052</v>
      </c>
      <c r="N288">
        <v>339.47590435235162</v>
      </c>
      <c r="Q288">
        <v>12.151999999999999</v>
      </c>
      <c r="R288">
        <v>1324.9639999999999</v>
      </c>
      <c r="S288">
        <v>50</v>
      </c>
      <c r="T288">
        <v>103.0367082196359</v>
      </c>
      <c r="U288">
        <v>2.5499502672496001E-3</v>
      </c>
      <c r="V288">
        <v>0.1135040741436697</v>
      </c>
      <c r="W288">
        <v>3.9495858974094907E-3</v>
      </c>
      <c r="X288">
        <v>0</v>
      </c>
      <c r="Y288">
        <v>8.7063837197782989E-2</v>
      </c>
      <c r="Z288">
        <v>0.37721778561217101</v>
      </c>
      <c r="AA288">
        <v>2.7851547231220661E-2</v>
      </c>
      <c r="AB288">
        <v>1.6185744456454989</v>
      </c>
      <c r="AC288">
        <v>0.1147118439165033</v>
      </c>
      <c r="AD288">
        <v>1215.7125744075299</v>
      </c>
      <c r="AE288">
        <v>50</v>
      </c>
      <c r="AF288">
        <v>84.033638726531521</v>
      </c>
      <c r="AG288">
        <v>2.5039199999999999</v>
      </c>
      <c r="AH288">
        <v>14.096819999999999</v>
      </c>
      <c r="AI288">
        <v>0.27322000000000002</v>
      </c>
      <c r="AJ288">
        <v>10.95044</v>
      </c>
      <c r="AK288">
        <v>0.52094000000000007</v>
      </c>
      <c r="AL288">
        <v>2.9191400000000001</v>
      </c>
      <c r="AM288">
        <v>50.91704</v>
      </c>
      <c r="AN288">
        <v>6.4346599999999992</v>
      </c>
      <c r="AO288">
        <v>10.86684</v>
      </c>
      <c r="AP288">
        <v>0.19492000000000001</v>
      </c>
      <c r="AQ288">
        <v>99.70778</v>
      </c>
      <c r="AR288">
        <v>5.8797253337209539E-2</v>
      </c>
      <c r="AS288">
        <v>0.138496180452748</v>
      </c>
      <c r="AT288">
        <v>2.822688434808206E-2</v>
      </c>
      <c r="AU288">
        <v>7.1287502411011894E-2</v>
      </c>
      <c r="AV288">
        <v>1.2819243347405491E-2</v>
      </c>
      <c r="AW288">
        <v>2.3721045508155889E-2</v>
      </c>
      <c r="AX288">
        <v>0.39733328327740491</v>
      </c>
      <c r="AY288">
        <v>8.3972662218129629E-2</v>
      </c>
      <c r="AZ288">
        <v>5.8132675837260117E-2</v>
      </c>
      <c r="BA288">
        <v>1.931080008699795E-2</v>
      </c>
    </row>
    <row r="289" spans="1:63" x14ac:dyDescent="0.2">
      <c r="A289">
        <v>287</v>
      </c>
      <c r="B289" t="s">
        <v>69</v>
      </c>
      <c r="C289" t="s">
        <v>236</v>
      </c>
      <c r="D289" t="s">
        <v>64</v>
      </c>
      <c r="E289">
        <v>-155.292979</v>
      </c>
      <c r="F289">
        <v>19.400748</v>
      </c>
      <c r="G289" t="s">
        <v>237</v>
      </c>
      <c r="H289" t="s">
        <v>688</v>
      </c>
      <c r="I289" t="s">
        <v>689</v>
      </c>
      <c r="J289" t="s">
        <v>68</v>
      </c>
      <c r="K289">
        <v>8.0990589695312494</v>
      </c>
      <c r="L289">
        <v>6.6824515382812502</v>
      </c>
      <c r="M289">
        <v>170.02792378972831</v>
      </c>
      <c r="N289">
        <v>1675.5130280796079</v>
      </c>
      <c r="O289" t="s">
        <v>690</v>
      </c>
      <c r="Q289">
        <v>9.9700000000000006</v>
      </c>
      <c r="R289">
        <v>1324.9639999999999</v>
      </c>
      <c r="S289">
        <v>50</v>
      </c>
      <c r="T289">
        <v>103.0369638924346</v>
      </c>
      <c r="U289">
        <v>8.5371521901294756E-3</v>
      </c>
      <c r="V289">
        <v>0.1136053819700109</v>
      </c>
      <c r="W289">
        <v>5.1012199179348277E-3</v>
      </c>
      <c r="X289">
        <v>7.080552318532793</v>
      </c>
      <c r="Y289">
        <v>8.8541115363386602E-2</v>
      </c>
      <c r="Z289">
        <v>0.3710103190464713</v>
      </c>
      <c r="AA289">
        <v>2.8468043720357931E-2</v>
      </c>
      <c r="AB289">
        <v>1.592974803323739</v>
      </c>
      <c r="AC289">
        <v>0.1174546841295097</v>
      </c>
      <c r="AD289">
        <v>1188.8047373476379</v>
      </c>
      <c r="AE289">
        <v>50</v>
      </c>
      <c r="AF289">
        <v>82.059525598861185</v>
      </c>
      <c r="AG289">
        <v>2.0274999999999999</v>
      </c>
      <c r="AH289">
        <v>12.7525</v>
      </c>
      <c r="AI289">
        <v>0.17249999999999999</v>
      </c>
      <c r="AJ289">
        <v>11.092499999999999</v>
      </c>
      <c r="AK289">
        <v>0.51750000000000007</v>
      </c>
      <c r="AL289">
        <v>2.5150000000000001</v>
      </c>
      <c r="AM289">
        <v>50.63</v>
      </c>
      <c r="AN289">
        <v>7.415</v>
      </c>
      <c r="AP289">
        <v>1685.75</v>
      </c>
      <c r="AR289">
        <v>0.17231270024773751</v>
      </c>
      <c r="AS289">
        <v>0.13450526631573459</v>
      </c>
      <c r="AT289">
        <v>4.9999999999999836E-3</v>
      </c>
      <c r="AU289">
        <v>0.29227555491350982</v>
      </c>
      <c r="AV289">
        <v>2.061552812808835E-2</v>
      </c>
      <c r="AW289">
        <v>6.2449979983983737E-2</v>
      </c>
      <c r="AX289">
        <v>0.21556128285632961</v>
      </c>
      <c r="AY289">
        <v>0.39770173078158311</v>
      </c>
      <c r="BA289">
        <v>51.951098801340748</v>
      </c>
      <c r="BE289">
        <v>0.21393343026033451</v>
      </c>
      <c r="BF289">
        <v>4549</v>
      </c>
      <c r="BG289">
        <v>41476.357023453573</v>
      </c>
      <c r="BH289">
        <v>97.05866145647407</v>
      </c>
      <c r="BI289">
        <v>114.9014120167971</v>
      </c>
      <c r="BJ289">
        <v>1.4390514758276971</v>
      </c>
      <c r="BK289">
        <v>97.058661456474056</v>
      </c>
    </row>
    <row r="290" spans="1:63" x14ac:dyDescent="0.2">
      <c r="A290">
        <v>288</v>
      </c>
      <c r="B290" t="s">
        <v>69</v>
      </c>
      <c r="C290" t="s">
        <v>177</v>
      </c>
      <c r="D290" t="s">
        <v>144</v>
      </c>
      <c r="E290">
        <v>-155.2086333</v>
      </c>
      <c r="F290">
        <v>19.347316670000001</v>
      </c>
      <c r="G290" t="s">
        <v>178</v>
      </c>
      <c r="H290" t="s">
        <v>691</v>
      </c>
      <c r="I290" t="s">
        <v>692</v>
      </c>
      <c r="J290" t="s">
        <v>68</v>
      </c>
      <c r="K290">
        <v>7.8364961054687514</v>
      </c>
      <c r="L290">
        <v>6.8207648664062503</v>
      </c>
      <c r="M290">
        <v>167.92094632288101</v>
      </c>
      <c r="N290">
        <v>1640.840755265787</v>
      </c>
      <c r="Q290">
        <v>9.9849999999999994</v>
      </c>
      <c r="R290">
        <v>1324.9639999999999</v>
      </c>
      <c r="S290">
        <v>100</v>
      </c>
      <c r="T290">
        <v>103.0371090245475</v>
      </c>
      <c r="U290">
        <v>1.9822195837809219E-2</v>
      </c>
      <c r="V290">
        <v>0.1136628891391709</v>
      </c>
      <c r="W290">
        <v>8.7333130967266227E-3</v>
      </c>
      <c r="X290">
        <v>3.7048784903419398</v>
      </c>
      <c r="Y290">
        <v>8.405804092740865E-2</v>
      </c>
      <c r="Z290">
        <v>0.39043417449922252</v>
      </c>
      <c r="AA290">
        <v>3.8639458333018392E-2</v>
      </c>
      <c r="AB290">
        <v>1.672970372304424</v>
      </c>
      <c r="AC290">
        <v>0.15867452717885899</v>
      </c>
      <c r="AD290">
        <v>1268.0155897714801</v>
      </c>
      <c r="AE290">
        <v>50</v>
      </c>
      <c r="AF290">
        <v>86.885116623225386</v>
      </c>
      <c r="AG290">
        <v>2.1216818181818198</v>
      </c>
      <c r="AH290">
        <v>12.5470545454545</v>
      </c>
      <c r="AI290">
        <v>0.27337272727272699</v>
      </c>
      <c r="AJ290">
        <v>10.3521727272727</v>
      </c>
      <c r="AK290">
        <v>0.49205454545454502</v>
      </c>
      <c r="AL290">
        <v>2.5642454545454498</v>
      </c>
      <c r="AM290">
        <v>49.0749</v>
      </c>
      <c r="AN290">
        <v>9.1371454545454505</v>
      </c>
      <c r="AP290">
        <v>0.18198181818181799</v>
      </c>
      <c r="AQ290">
        <v>98.157727272727257</v>
      </c>
      <c r="AR290">
        <v>0.12055145638424999</v>
      </c>
      <c r="AS290">
        <v>0.28907753411026699</v>
      </c>
      <c r="AT290">
        <v>2.8655229571898099E-2</v>
      </c>
      <c r="AU290">
        <v>0.23406218443357801</v>
      </c>
      <c r="AV290">
        <v>5.2241982420968003E-2</v>
      </c>
      <c r="AW290">
        <v>6.6675218239408293E-2</v>
      </c>
      <c r="AX290">
        <v>0.92934608408278196</v>
      </c>
      <c r="AY290">
        <v>0.68994549402635696</v>
      </c>
      <c r="BA290">
        <v>4.8246177427477499E-2</v>
      </c>
      <c r="BE290">
        <v>0.22228881325270591</v>
      </c>
      <c r="BF290">
        <v>8557</v>
      </c>
      <c r="BG290">
        <v>77066.662945053744</v>
      </c>
      <c r="BH290">
        <v>683.205557455811</v>
      </c>
      <c r="BI290">
        <v>156.62401064525389</v>
      </c>
      <c r="BJ290">
        <v>7.3856823368270801</v>
      </c>
      <c r="BK290">
        <v>683.205557455811</v>
      </c>
    </row>
    <row r="291" spans="1:63" x14ac:dyDescent="0.2">
      <c r="A291">
        <v>289</v>
      </c>
      <c r="B291" t="s">
        <v>69</v>
      </c>
      <c r="C291" t="s">
        <v>143</v>
      </c>
      <c r="D291" t="s">
        <v>144</v>
      </c>
      <c r="E291">
        <v>-155.22516669999999</v>
      </c>
      <c r="F291">
        <v>19.371883329999999</v>
      </c>
      <c r="G291" t="s">
        <v>145</v>
      </c>
      <c r="H291" t="s">
        <v>650</v>
      </c>
      <c r="I291" t="s">
        <v>693</v>
      </c>
      <c r="J291" t="s">
        <v>68</v>
      </c>
      <c r="K291">
        <v>4.6469210210937497</v>
      </c>
      <c r="L291">
        <v>4.2650483828125001</v>
      </c>
      <c r="M291">
        <v>62.2643023240243</v>
      </c>
      <c r="N291">
        <v>369.93170484484892</v>
      </c>
      <c r="Q291">
        <v>6.0039999999999996</v>
      </c>
      <c r="R291">
        <v>1324.9639999999999</v>
      </c>
      <c r="S291">
        <v>50</v>
      </c>
      <c r="T291">
        <v>103.0371572175449</v>
      </c>
      <c r="U291">
        <v>1.582365231499749E-2</v>
      </c>
      <c r="V291">
        <v>0.1136819851393724</v>
      </c>
      <c r="W291">
        <v>7.3411592859013901E-3</v>
      </c>
      <c r="X291">
        <v>2.813980910769291</v>
      </c>
      <c r="Y291">
        <v>8.591755923358213E-2</v>
      </c>
      <c r="Z291">
        <v>0.38216423297277602</v>
      </c>
      <c r="AA291">
        <v>3.6591828074330021E-2</v>
      </c>
      <c r="AB291">
        <v>1.638950270158712</v>
      </c>
      <c r="AC291">
        <v>0.15043654272328569</v>
      </c>
      <c r="AD291">
        <v>1233.6578890224559</v>
      </c>
      <c r="AE291">
        <v>50</v>
      </c>
      <c r="AF291">
        <v>85.121216155295869</v>
      </c>
      <c r="AG291">
        <v>2.1961249999999999</v>
      </c>
      <c r="AH291">
        <v>13.214425</v>
      </c>
      <c r="AI291">
        <v>0.23326250000000001</v>
      </c>
      <c r="AJ291">
        <v>10.8680875</v>
      </c>
      <c r="AK291">
        <v>0.46184999999999998</v>
      </c>
      <c r="AL291">
        <v>2.5506250000000001</v>
      </c>
      <c r="AM291">
        <v>49.975887499999999</v>
      </c>
      <c r="AN291">
        <v>7.4385374999999998</v>
      </c>
      <c r="AP291">
        <v>0.2354</v>
      </c>
      <c r="AQ291">
        <v>98.48666249999998</v>
      </c>
      <c r="AR291">
        <v>5.6378814410075299E-2</v>
      </c>
      <c r="AS291">
        <v>0.24941022862516499</v>
      </c>
      <c r="AT291">
        <v>1.4003870638403601E-2</v>
      </c>
      <c r="AU291">
        <v>0.27584699401505702</v>
      </c>
      <c r="AV291">
        <v>3.1668731762237799E-2</v>
      </c>
      <c r="AW291">
        <v>4.2427543277585897E-2</v>
      </c>
      <c r="AX291">
        <v>0.67605985245919198</v>
      </c>
      <c r="AY291">
        <v>0.10614118545597701</v>
      </c>
      <c r="BA291">
        <v>4.3851209463691802E-2</v>
      </c>
      <c r="BE291">
        <v>0.12435975189570909</v>
      </c>
      <c r="BF291">
        <v>38821</v>
      </c>
      <c r="BG291">
        <v>2493909.823056608</v>
      </c>
      <c r="BH291">
        <v>489.90482325080978</v>
      </c>
      <c r="BI291">
        <v>890.97483237731615</v>
      </c>
      <c r="BJ291">
        <v>2.4864421314818448</v>
      </c>
      <c r="BK291">
        <v>489.90482325080961</v>
      </c>
    </row>
    <row r="292" spans="1:63" x14ac:dyDescent="0.2">
      <c r="A292">
        <v>290</v>
      </c>
      <c r="B292" t="s">
        <v>69</v>
      </c>
      <c r="C292" t="s">
        <v>76</v>
      </c>
      <c r="D292" t="s">
        <v>71</v>
      </c>
      <c r="E292">
        <v>-155.29812000000001</v>
      </c>
      <c r="F292">
        <v>19.375624999999999</v>
      </c>
      <c r="G292" t="s">
        <v>77</v>
      </c>
      <c r="H292" t="s">
        <v>694</v>
      </c>
      <c r="I292" t="s">
        <v>695</v>
      </c>
      <c r="J292" t="s">
        <v>68</v>
      </c>
      <c r="K292">
        <v>8.0019490656250003</v>
      </c>
      <c r="L292">
        <v>6.8903864492187497</v>
      </c>
      <c r="M292">
        <v>173.21649060339129</v>
      </c>
      <c r="N292">
        <v>1719.7320631796549</v>
      </c>
      <c r="Q292">
        <v>11.968999999999999</v>
      </c>
      <c r="R292">
        <v>1324.9639999999999</v>
      </c>
      <c r="S292">
        <v>50</v>
      </c>
      <c r="T292">
        <v>103.03716417498219</v>
      </c>
      <c r="U292">
        <v>6.9348994872161056E-3</v>
      </c>
      <c r="V292">
        <v>0.11368474195532489</v>
      </c>
      <c r="W292">
        <v>4.7043645673435731E-3</v>
      </c>
      <c r="X292">
        <v>0</v>
      </c>
      <c r="Y292">
        <v>8.1682255287785943E-2</v>
      </c>
      <c r="Z292">
        <v>0.40149618124462849</v>
      </c>
      <c r="AA292">
        <v>2.9599310255126379E-2</v>
      </c>
      <c r="AB292">
        <v>1.7183862856322181</v>
      </c>
      <c r="AC292">
        <v>0.1211822490832113</v>
      </c>
      <c r="AD292">
        <v>1313.4699962204061</v>
      </c>
      <c r="AE292">
        <v>50</v>
      </c>
      <c r="AF292">
        <v>88.802083656860617</v>
      </c>
      <c r="AG292">
        <v>2.5039199999999999</v>
      </c>
      <c r="AH292">
        <v>14.096819999999999</v>
      </c>
      <c r="AI292">
        <v>0.27322000000000002</v>
      </c>
      <c r="AJ292">
        <v>10.95044</v>
      </c>
      <c r="AK292">
        <v>0.52094000000000007</v>
      </c>
      <c r="AL292">
        <v>2.9191400000000001</v>
      </c>
      <c r="AM292">
        <v>50.91704</v>
      </c>
      <c r="AN292">
        <v>6.4346599999999992</v>
      </c>
      <c r="AO292">
        <v>10.86684</v>
      </c>
      <c r="AP292">
        <v>0.19492000000000001</v>
      </c>
      <c r="AQ292">
        <v>99.70778</v>
      </c>
      <c r="AR292">
        <v>5.8797253337209539E-2</v>
      </c>
      <c r="AS292">
        <v>0.138496180452748</v>
      </c>
      <c r="AT292">
        <v>2.822688434808206E-2</v>
      </c>
      <c r="AU292">
        <v>7.1287502411011894E-2</v>
      </c>
      <c r="AV292">
        <v>1.2819243347405491E-2</v>
      </c>
      <c r="AW292">
        <v>2.3721045508155889E-2</v>
      </c>
      <c r="AX292">
        <v>0.39733328327740491</v>
      </c>
      <c r="AY292">
        <v>8.3972662218129629E-2</v>
      </c>
      <c r="AZ292">
        <v>5.8132675837260117E-2</v>
      </c>
      <c r="BA292">
        <v>1.931080008699795E-2</v>
      </c>
      <c r="BD292" t="s">
        <v>696</v>
      </c>
      <c r="BE292">
        <v>1.307637228218955</v>
      </c>
      <c r="BF292">
        <v>13751</v>
      </c>
      <c r="BG292">
        <v>1376428.005507167</v>
      </c>
      <c r="BH292">
        <v>3334.1521370544651</v>
      </c>
      <c r="BI292">
        <v>661.9143764666004</v>
      </c>
      <c r="BJ292">
        <v>28.432711064375891</v>
      </c>
      <c r="BK292">
        <v>3334.152137054466</v>
      </c>
    </row>
    <row r="293" spans="1:63" x14ac:dyDescent="0.2">
      <c r="A293">
        <v>291</v>
      </c>
      <c r="B293" t="s">
        <v>69</v>
      </c>
      <c r="C293" t="s">
        <v>594</v>
      </c>
      <c r="D293" t="s">
        <v>64</v>
      </c>
      <c r="E293">
        <v>-155.2816</v>
      </c>
      <c r="F293">
        <v>19.402366669999999</v>
      </c>
      <c r="G293" t="s">
        <v>595</v>
      </c>
      <c r="H293" t="s">
        <v>697</v>
      </c>
      <c r="I293" t="s">
        <v>698</v>
      </c>
      <c r="J293" t="s">
        <v>68</v>
      </c>
      <c r="K293">
        <v>9.7620152234374995</v>
      </c>
      <c r="L293">
        <v>8.1844296749999987</v>
      </c>
      <c r="M293">
        <v>251.00234252973129</v>
      </c>
      <c r="N293">
        <v>3003.0664730590379</v>
      </c>
      <c r="O293" t="s">
        <v>699</v>
      </c>
      <c r="Q293">
        <v>10.034000000000001</v>
      </c>
      <c r="R293">
        <v>1324.9639999999999</v>
      </c>
      <c r="S293">
        <v>50</v>
      </c>
      <c r="T293">
        <v>103.0373584360191</v>
      </c>
      <c r="U293">
        <v>6.5645558850706866E-3</v>
      </c>
      <c r="V293">
        <v>0.1137617159763806</v>
      </c>
      <c r="W293">
        <v>4.6202693669014552E-3</v>
      </c>
      <c r="X293">
        <v>0</v>
      </c>
      <c r="Y293">
        <v>8.54182267934952E-2</v>
      </c>
      <c r="Z293">
        <v>0.38435505460347519</v>
      </c>
      <c r="AA293">
        <v>2.7492196521611011E-2</v>
      </c>
      <c r="AB293">
        <v>1.647968280513564</v>
      </c>
      <c r="AC293">
        <v>0.1130811247489891</v>
      </c>
      <c r="AD293">
        <v>1241.5789186921429</v>
      </c>
      <c r="AE293">
        <v>50</v>
      </c>
      <c r="AF293">
        <v>85.560064950952736</v>
      </c>
      <c r="AG293">
        <v>2.3161749999999999</v>
      </c>
      <c r="AH293">
        <v>13.236525</v>
      </c>
      <c r="AI293">
        <v>0.23727500000000001</v>
      </c>
      <c r="AJ293">
        <v>11.119225</v>
      </c>
      <c r="AK293">
        <v>0.45182499999999998</v>
      </c>
      <c r="AL293">
        <v>2.5776249999999998</v>
      </c>
      <c r="AM293">
        <v>50.469949999999997</v>
      </c>
      <c r="AN293">
        <v>7.2425499999999996</v>
      </c>
      <c r="AP293">
        <v>0.19814999999999999</v>
      </c>
      <c r="AQ293">
        <v>99.444850000000002</v>
      </c>
      <c r="AR293">
        <v>1.8066578259316259E-2</v>
      </c>
      <c r="AS293">
        <v>1.4495689014328119E-3</v>
      </c>
      <c r="AT293">
        <v>1.4884597743976821E-2</v>
      </c>
      <c r="AU293">
        <v>2.1177848096536729E-2</v>
      </c>
      <c r="AV293">
        <v>1.0217692988145609E-2</v>
      </c>
      <c r="AW293">
        <v>2.5809397513306929E-3</v>
      </c>
      <c r="AX293">
        <v>0.1291884089227876</v>
      </c>
      <c r="AY293">
        <v>4.9073210614347267E-2</v>
      </c>
      <c r="BA293">
        <v>2.2273863607376258E-2</v>
      </c>
      <c r="BB293">
        <v>2</v>
      </c>
      <c r="BC293" t="s">
        <v>86</v>
      </c>
      <c r="BE293">
        <v>0.39415902195875191</v>
      </c>
      <c r="BF293">
        <v>4866</v>
      </c>
      <c r="BG293">
        <v>77810.575230541726</v>
      </c>
      <c r="BH293">
        <v>206.41021035340691</v>
      </c>
      <c r="BI293">
        <v>157.37812854882031</v>
      </c>
      <c r="BJ293">
        <v>2.959001083173419</v>
      </c>
      <c r="BK293">
        <v>206.41021035340691</v>
      </c>
    </row>
    <row r="294" spans="1:63" x14ac:dyDescent="0.2">
      <c r="A294">
        <v>292</v>
      </c>
      <c r="B294" t="s">
        <v>69</v>
      </c>
      <c r="C294" t="s">
        <v>169</v>
      </c>
      <c r="D294" t="s">
        <v>64</v>
      </c>
      <c r="E294">
        <v>-155.29196300000001</v>
      </c>
      <c r="F294">
        <v>19.398634000000001</v>
      </c>
      <c r="G294" t="s">
        <v>170</v>
      </c>
      <c r="H294" t="s">
        <v>415</v>
      </c>
      <c r="I294" t="s">
        <v>700</v>
      </c>
      <c r="J294" t="s">
        <v>68</v>
      </c>
      <c r="K294">
        <v>22.758063386718749</v>
      </c>
      <c r="L294">
        <v>8.9037170960937502</v>
      </c>
      <c r="M294">
        <v>636.58518583778618</v>
      </c>
      <c r="N294">
        <v>13436.946941737589</v>
      </c>
      <c r="O294" t="s">
        <v>701</v>
      </c>
      <c r="Q294">
        <v>10.087</v>
      </c>
      <c r="R294">
        <v>1324.7670000000001</v>
      </c>
      <c r="S294">
        <v>50</v>
      </c>
      <c r="T294">
        <v>103.0381984543852</v>
      </c>
      <c r="U294">
        <v>2.951104169957381E-3</v>
      </c>
      <c r="V294">
        <v>0.1140945649738896</v>
      </c>
      <c r="W294">
        <v>3.9939644148650434E-3</v>
      </c>
      <c r="X294">
        <v>4.4424332332670566</v>
      </c>
      <c r="Y294">
        <v>8.8580045605828106E-2</v>
      </c>
      <c r="Z294">
        <v>0.37085728610976321</v>
      </c>
      <c r="AA294">
        <v>2.545379994101462E-2</v>
      </c>
      <c r="AB294">
        <v>1.592343281300125</v>
      </c>
      <c r="AC294">
        <v>0.104927487668502</v>
      </c>
      <c r="AD294">
        <v>1181.7104813707001</v>
      </c>
      <c r="AE294">
        <v>50</v>
      </c>
      <c r="AF294">
        <v>81.437715669011084</v>
      </c>
      <c r="AG294">
        <v>2.5390516666666669</v>
      </c>
      <c r="AH294">
        <v>13.89052597266207</v>
      </c>
      <c r="AI294">
        <v>0.24399675000000001</v>
      </c>
      <c r="AJ294">
        <v>11.205616666666669</v>
      </c>
      <c r="AK294">
        <v>0.47515841666666669</v>
      </c>
      <c r="AL294">
        <v>2.6323025000000002</v>
      </c>
      <c r="AM294">
        <v>50.778866165683027</v>
      </c>
      <c r="AN294">
        <v>6.7552275000000002</v>
      </c>
      <c r="AP294">
        <v>0.17074191666666669</v>
      </c>
      <c r="AR294">
        <v>5.5209421763999247E-2</v>
      </c>
      <c r="AS294">
        <v>0.23260322971847319</v>
      </c>
      <c r="AT294">
        <v>2.215836573857705E-2</v>
      </c>
      <c r="AU294">
        <v>0.13946342520423419</v>
      </c>
      <c r="AV294">
        <v>1.8188943372071519E-2</v>
      </c>
      <c r="AW294">
        <v>3.4278244127355022E-2</v>
      </c>
      <c r="AX294">
        <v>0.34681065155483992</v>
      </c>
      <c r="AY294">
        <v>0.48865100303376952</v>
      </c>
      <c r="BA294">
        <v>2.081601264087701E-2</v>
      </c>
      <c r="BE294">
        <v>0.3537747197877989</v>
      </c>
      <c r="BF294">
        <v>13923</v>
      </c>
      <c r="BG294">
        <v>223141.76017876019</v>
      </c>
      <c r="BH294">
        <v>1236.012073102685</v>
      </c>
      <c r="BI294">
        <v>266.51121605919678</v>
      </c>
      <c r="BJ294">
        <v>10.475054743430739</v>
      </c>
      <c r="BK294">
        <v>1236.0120731026841</v>
      </c>
    </row>
    <row r="295" spans="1:63" x14ac:dyDescent="0.2">
      <c r="A295">
        <v>293</v>
      </c>
      <c r="B295" t="s">
        <v>69</v>
      </c>
      <c r="C295" t="s">
        <v>143</v>
      </c>
      <c r="D295" t="s">
        <v>144</v>
      </c>
      <c r="E295">
        <v>-155.22516669999999</v>
      </c>
      <c r="F295">
        <v>19.371883329999999</v>
      </c>
      <c r="G295" t="s">
        <v>145</v>
      </c>
      <c r="H295" t="s">
        <v>702</v>
      </c>
      <c r="I295" t="s">
        <v>703</v>
      </c>
      <c r="J295" t="s">
        <v>68</v>
      </c>
      <c r="K295">
        <v>21.376615435937499</v>
      </c>
      <c r="L295">
        <v>15.578788049218749</v>
      </c>
      <c r="M295">
        <v>1046.218718113716</v>
      </c>
      <c r="N295">
        <v>25775.623241076872</v>
      </c>
      <c r="O295" t="s">
        <v>704</v>
      </c>
      <c r="Q295">
        <v>9.9819999999999993</v>
      </c>
      <c r="R295">
        <v>1324.9639999999999</v>
      </c>
      <c r="S295">
        <v>50</v>
      </c>
      <c r="T295">
        <v>103.03829706975741</v>
      </c>
      <c r="U295">
        <v>3.0844582392829389E-3</v>
      </c>
      <c r="V295">
        <v>0.11413364034306279</v>
      </c>
      <c r="W295">
        <v>4.0098037108530042E-3</v>
      </c>
      <c r="X295">
        <v>9.5211878358544588</v>
      </c>
      <c r="Y295">
        <v>8.5967151205408987E-2</v>
      </c>
      <c r="Z295">
        <v>0.38195561228810848</v>
      </c>
      <c r="AA295">
        <v>2.6095175647845258E-2</v>
      </c>
      <c r="AB295">
        <v>1.6380913200143801</v>
      </c>
      <c r="AC295">
        <v>0.10740301035766391</v>
      </c>
      <c r="AD295">
        <v>1226.6208684836779</v>
      </c>
      <c r="AE295">
        <v>50</v>
      </c>
      <c r="AF295">
        <v>84.711504239751648</v>
      </c>
      <c r="AG295">
        <v>2.1961249999999999</v>
      </c>
      <c r="AH295">
        <v>13.214425</v>
      </c>
      <c r="AI295">
        <v>0.23326250000000001</v>
      </c>
      <c r="AJ295">
        <v>10.8680875</v>
      </c>
      <c r="AK295">
        <v>0.46184999999999998</v>
      </c>
      <c r="AL295">
        <v>2.5506250000000001</v>
      </c>
      <c r="AM295">
        <v>49.975887499999999</v>
      </c>
      <c r="AN295">
        <v>7.4385374999999998</v>
      </c>
      <c r="AP295">
        <v>0.2354</v>
      </c>
      <c r="AQ295">
        <v>98.48666249999998</v>
      </c>
      <c r="AR295">
        <v>5.6378814410075299E-2</v>
      </c>
      <c r="AS295">
        <v>0.24941022862516499</v>
      </c>
      <c r="AT295">
        <v>1.4003870638403601E-2</v>
      </c>
      <c r="AU295">
        <v>0.27584699401505702</v>
      </c>
      <c r="AV295">
        <v>3.1668731762237799E-2</v>
      </c>
      <c r="AW295">
        <v>4.2427543277585897E-2</v>
      </c>
      <c r="AX295">
        <v>0.67605985245919198</v>
      </c>
      <c r="AY295">
        <v>0.10614118545597701</v>
      </c>
      <c r="BA295">
        <v>4.3851209463691802E-2</v>
      </c>
      <c r="BE295">
        <v>0.1425479078317273</v>
      </c>
      <c r="BF295">
        <v>15805</v>
      </c>
      <c r="BG295">
        <v>282903.54497984517</v>
      </c>
      <c r="BH295">
        <v>218.32863114037991</v>
      </c>
      <c r="BI295">
        <v>300.08497996988359</v>
      </c>
      <c r="BJ295">
        <v>1.736654563100086</v>
      </c>
      <c r="BK295">
        <v>218.32863114037991</v>
      </c>
    </row>
    <row r="296" spans="1:63" x14ac:dyDescent="0.2">
      <c r="A296">
        <v>294</v>
      </c>
      <c r="B296" t="s">
        <v>62</v>
      </c>
      <c r="C296" t="s">
        <v>63</v>
      </c>
      <c r="D296" t="s">
        <v>64</v>
      </c>
      <c r="E296">
        <v>-155.26785000000001</v>
      </c>
      <c r="F296">
        <v>19.407830000000001</v>
      </c>
      <c r="G296" t="s">
        <v>65</v>
      </c>
      <c r="H296" t="s">
        <v>511</v>
      </c>
      <c r="I296" t="s">
        <v>705</v>
      </c>
      <c r="J296" t="s">
        <v>68</v>
      </c>
      <c r="K296">
        <v>10.05273681328125</v>
      </c>
      <c r="L296">
        <v>9.4128815343749999</v>
      </c>
      <c r="M296">
        <v>297.27389825721809</v>
      </c>
      <c r="N296">
        <v>3857.7468321300012</v>
      </c>
      <c r="Q296">
        <v>12.026</v>
      </c>
      <c r="R296">
        <v>1325.0039999999999</v>
      </c>
      <c r="S296">
        <v>100</v>
      </c>
      <c r="T296">
        <v>103.0384131</v>
      </c>
      <c r="U296">
        <v>7.9414231750000001E-3</v>
      </c>
      <c r="V296">
        <v>0.11417961309999999</v>
      </c>
      <c r="W296">
        <v>4.9484393369999997E-3</v>
      </c>
      <c r="X296">
        <v>0</v>
      </c>
      <c r="Y296">
        <v>8.7479575366789186E-2</v>
      </c>
      <c r="Z296">
        <v>0.37546380457826523</v>
      </c>
      <c r="AA296">
        <v>2.8974783918561051E-2</v>
      </c>
      <c r="AB296">
        <v>1.6113443252065749</v>
      </c>
      <c r="AC296">
        <v>0.11934352486069939</v>
      </c>
      <c r="AD296">
        <v>1199.4232821437311</v>
      </c>
      <c r="AE296">
        <v>50</v>
      </c>
      <c r="AF296">
        <v>82.900657670000001</v>
      </c>
      <c r="BE296">
        <v>0.56172113113426181</v>
      </c>
      <c r="BF296">
        <v>10593</v>
      </c>
      <c r="BG296">
        <v>677907.80968383979</v>
      </c>
      <c r="BH296">
        <v>1771.778723727552</v>
      </c>
      <c r="BI296">
        <v>464.52638002977392</v>
      </c>
      <c r="BJ296">
        <v>17.214721300633229</v>
      </c>
      <c r="BK296">
        <v>1771.7787237275511</v>
      </c>
    </row>
    <row r="297" spans="1:63" x14ac:dyDescent="0.2">
      <c r="A297">
        <v>295</v>
      </c>
      <c r="B297" t="s">
        <v>62</v>
      </c>
      <c r="C297" t="s">
        <v>63</v>
      </c>
      <c r="D297" t="s">
        <v>64</v>
      </c>
      <c r="E297">
        <v>-155.26785000000001</v>
      </c>
      <c r="F297">
        <v>19.407830000000001</v>
      </c>
      <c r="G297" t="s">
        <v>65</v>
      </c>
      <c r="H297" t="s">
        <v>606</v>
      </c>
      <c r="I297" t="s">
        <v>706</v>
      </c>
      <c r="J297" t="s">
        <v>68</v>
      </c>
      <c r="K297">
        <v>9.3672992046874999</v>
      </c>
      <c r="L297">
        <v>8.7887078203124993</v>
      </c>
      <c r="M297">
        <v>258.63618866022023</v>
      </c>
      <c r="N297">
        <v>3130.5336388227879</v>
      </c>
      <c r="Q297">
        <v>12.005000000000001</v>
      </c>
      <c r="R297">
        <v>1325.0039999999999</v>
      </c>
      <c r="S297">
        <v>50</v>
      </c>
      <c r="T297">
        <v>103.0385977</v>
      </c>
      <c r="U297">
        <v>5.5572701499999998E-3</v>
      </c>
      <c r="V297">
        <v>0.1142527424</v>
      </c>
      <c r="W297">
        <v>4.4085018110000002E-3</v>
      </c>
      <c r="X297">
        <v>0</v>
      </c>
      <c r="Y297">
        <v>8.8038552057232433E-2</v>
      </c>
      <c r="Z297">
        <v>0.37311378570649523</v>
      </c>
      <c r="AA297">
        <v>2.799229066801345E-2</v>
      </c>
      <c r="AB297">
        <v>1.601653177941071</v>
      </c>
      <c r="AC297">
        <v>0.1153679998141709</v>
      </c>
      <c r="AD297">
        <v>1188.847311376584</v>
      </c>
      <c r="AE297">
        <v>50</v>
      </c>
      <c r="AF297">
        <v>82.063098189999991</v>
      </c>
      <c r="BE297">
        <v>0.30696956655439989</v>
      </c>
      <c r="BF297">
        <v>544</v>
      </c>
      <c r="BG297">
        <v>34912.055769899889</v>
      </c>
      <c r="BH297">
        <v>185.334052304262</v>
      </c>
      <c r="BI297">
        <v>105.4175151412657</v>
      </c>
      <c r="BJ297">
        <v>7.9461319372271664</v>
      </c>
      <c r="BK297">
        <v>185.334052304262</v>
      </c>
    </row>
    <row r="298" spans="1:63" x14ac:dyDescent="0.2">
      <c r="A298">
        <v>296</v>
      </c>
      <c r="B298" t="s">
        <v>62</v>
      </c>
      <c r="C298" t="s">
        <v>63</v>
      </c>
      <c r="D298" t="s">
        <v>64</v>
      </c>
      <c r="E298">
        <v>-155.26785000000001</v>
      </c>
      <c r="F298">
        <v>19.407830000000001</v>
      </c>
      <c r="G298" t="s">
        <v>65</v>
      </c>
      <c r="H298" t="s">
        <v>707</v>
      </c>
      <c r="I298" t="s">
        <v>708</v>
      </c>
      <c r="J298" t="s">
        <v>68</v>
      </c>
      <c r="K298">
        <v>4.6574979226562503</v>
      </c>
      <c r="L298">
        <v>3.59800620625</v>
      </c>
      <c r="M298">
        <v>52.645887415629453</v>
      </c>
      <c r="N298">
        <v>289.74556061977501</v>
      </c>
      <c r="Q298">
        <v>12.202999999999999</v>
      </c>
      <c r="R298">
        <v>1325.0039999999999</v>
      </c>
      <c r="S298">
        <v>50</v>
      </c>
      <c r="T298">
        <v>103.0389041</v>
      </c>
      <c r="U298">
        <v>3.107693192E-3</v>
      </c>
      <c r="V298">
        <v>0.1143741554</v>
      </c>
      <c r="W298">
        <v>4.0129316659999999E-3</v>
      </c>
      <c r="X298">
        <v>5.2691562060531014</v>
      </c>
      <c r="Y298">
        <v>8.5134725530800148E-2</v>
      </c>
      <c r="Z298">
        <v>0.38561853194973389</v>
      </c>
      <c r="AA298">
        <v>2.5698483050364328E-2</v>
      </c>
      <c r="AB298">
        <v>1.6531672509184621</v>
      </c>
      <c r="AC298">
        <v>0.10561149745548699</v>
      </c>
      <c r="AD298">
        <v>1238.3320176251971</v>
      </c>
      <c r="AE298">
        <v>50</v>
      </c>
    </row>
    <row r="299" spans="1:63" x14ac:dyDescent="0.2">
      <c r="A299">
        <v>297</v>
      </c>
      <c r="B299" t="s">
        <v>69</v>
      </c>
      <c r="C299" t="s">
        <v>177</v>
      </c>
      <c r="D299" t="s">
        <v>144</v>
      </c>
      <c r="E299">
        <v>-155.2086333</v>
      </c>
      <c r="F299">
        <v>19.347316670000001</v>
      </c>
      <c r="G299" t="s">
        <v>178</v>
      </c>
      <c r="H299" t="s">
        <v>691</v>
      </c>
      <c r="I299" t="s">
        <v>709</v>
      </c>
      <c r="J299" t="s">
        <v>68</v>
      </c>
      <c r="K299">
        <v>8.8214845921875007</v>
      </c>
      <c r="L299">
        <v>8.5300967656250002</v>
      </c>
      <c r="M299">
        <v>236.3989321537486</v>
      </c>
      <c r="N299">
        <v>2734.5968694438438</v>
      </c>
      <c r="Q299">
        <v>10.034000000000001</v>
      </c>
      <c r="R299">
        <v>1324.9639999999999</v>
      </c>
      <c r="S299">
        <v>100</v>
      </c>
      <c r="T299">
        <v>103.0389655660329</v>
      </c>
      <c r="U299">
        <v>6.9315807548487969E-3</v>
      </c>
      <c r="V299">
        <v>0.11439852540288339</v>
      </c>
      <c r="W299">
        <v>4.7043806466958707E-3</v>
      </c>
      <c r="X299">
        <v>6.8558566524062794</v>
      </c>
      <c r="Y299">
        <v>8.3509099675563969E-2</v>
      </c>
      <c r="Z299">
        <v>0.39295101919274578</v>
      </c>
      <c r="AA299">
        <v>2.778028864842292E-2</v>
      </c>
      <c r="AB299">
        <v>1.6833124979532119</v>
      </c>
      <c r="AC299">
        <v>0.1140344363679331</v>
      </c>
      <c r="AD299">
        <v>1268.0155897714801</v>
      </c>
      <c r="AE299">
        <v>50</v>
      </c>
      <c r="AF299">
        <v>86.885116623225386</v>
      </c>
      <c r="AG299">
        <v>2.1216818181818198</v>
      </c>
      <c r="AH299">
        <v>12.5470545454545</v>
      </c>
      <c r="AI299">
        <v>0.27337272727272699</v>
      </c>
      <c r="AJ299">
        <v>10.3521727272727</v>
      </c>
      <c r="AK299">
        <v>0.49205454545454502</v>
      </c>
      <c r="AL299">
        <v>2.5642454545454498</v>
      </c>
      <c r="AM299">
        <v>49.0749</v>
      </c>
      <c r="AN299">
        <v>9.1371454545454505</v>
      </c>
      <c r="AP299">
        <v>0.18198181818181799</v>
      </c>
      <c r="AQ299">
        <v>98.157727272727257</v>
      </c>
      <c r="AR299">
        <v>0.12055145638424999</v>
      </c>
      <c r="AS299">
        <v>0.28907753411026699</v>
      </c>
      <c r="AT299">
        <v>2.8655229571898099E-2</v>
      </c>
      <c r="AU299">
        <v>0.23406218443357801</v>
      </c>
      <c r="AV299">
        <v>5.2241982420968003E-2</v>
      </c>
      <c r="AW299">
        <v>6.6675218239408293E-2</v>
      </c>
      <c r="AX299">
        <v>0.92934608408278196</v>
      </c>
      <c r="AY299">
        <v>0.68994549402635696</v>
      </c>
      <c r="BA299">
        <v>4.8246177427477499E-2</v>
      </c>
      <c r="BE299">
        <v>0.22228881325270591</v>
      </c>
      <c r="BF299">
        <v>8557</v>
      </c>
      <c r="BG299">
        <v>77066.662945053744</v>
      </c>
      <c r="BH299">
        <v>683.205557455811</v>
      </c>
      <c r="BI299">
        <v>156.62401064525389</v>
      </c>
      <c r="BJ299">
        <v>7.3856823368270801</v>
      </c>
      <c r="BK299">
        <v>683.205557455811</v>
      </c>
    </row>
    <row r="300" spans="1:63" x14ac:dyDescent="0.2">
      <c r="A300">
        <v>298</v>
      </c>
      <c r="B300" t="s">
        <v>69</v>
      </c>
      <c r="C300" t="s">
        <v>169</v>
      </c>
      <c r="D300" t="s">
        <v>64</v>
      </c>
      <c r="E300">
        <v>-155.29196300000001</v>
      </c>
      <c r="F300">
        <v>19.398634000000001</v>
      </c>
      <c r="G300" t="s">
        <v>170</v>
      </c>
      <c r="H300" t="s">
        <v>710</v>
      </c>
      <c r="I300" t="s">
        <v>711</v>
      </c>
      <c r="J300" t="s">
        <v>68</v>
      </c>
      <c r="K300">
        <v>8.0553566070312499</v>
      </c>
      <c r="L300">
        <v>6.7432977796875004</v>
      </c>
      <c r="M300">
        <v>170.65027094829509</v>
      </c>
      <c r="N300">
        <v>1683.5962538424869</v>
      </c>
      <c r="Q300">
        <v>10.087999999999999</v>
      </c>
      <c r="R300">
        <v>1324.7670000000001</v>
      </c>
      <c r="S300">
        <v>50</v>
      </c>
      <c r="T300">
        <v>103.03953752886579</v>
      </c>
      <c r="U300">
        <v>5.3086398865244038E-3</v>
      </c>
      <c r="V300">
        <v>0.1146251600376402</v>
      </c>
      <c r="W300">
        <v>4.360576537921484E-3</v>
      </c>
      <c r="X300">
        <v>2.797827482342413</v>
      </c>
      <c r="Y300">
        <v>8.8160962243894803E-2</v>
      </c>
      <c r="Z300">
        <v>0.37260851718920762</v>
      </c>
      <c r="AA300">
        <v>2.6252636790257921E-2</v>
      </c>
      <c r="AB300">
        <v>1.5995689097894059</v>
      </c>
      <c r="AC300">
        <v>0.1081765632946833</v>
      </c>
      <c r="AD300">
        <v>1181.888005241211</v>
      </c>
      <c r="AE300">
        <v>50</v>
      </c>
      <c r="AF300">
        <v>81.45396423484884</v>
      </c>
      <c r="AG300">
        <v>2.5390516666666669</v>
      </c>
      <c r="AH300">
        <v>13.89052597266207</v>
      </c>
      <c r="AI300">
        <v>0.24399675000000001</v>
      </c>
      <c r="AJ300">
        <v>11.205616666666669</v>
      </c>
      <c r="AK300">
        <v>0.47515841666666669</v>
      </c>
      <c r="AL300">
        <v>2.6323025000000002</v>
      </c>
      <c r="AM300">
        <v>50.778866165683027</v>
      </c>
      <c r="AN300">
        <v>6.7552275000000002</v>
      </c>
      <c r="AP300">
        <v>0.17074191666666669</v>
      </c>
      <c r="AR300">
        <v>5.5209421763999247E-2</v>
      </c>
      <c r="AS300">
        <v>0.23260322971847319</v>
      </c>
      <c r="AT300">
        <v>2.215836573857705E-2</v>
      </c>
      <c r="AU300">
        <v>0.13946342520423419</v>
      </c>
      <c r="AV300">
        <v>1.8188943372071519E-2</v>
      </c>
      <c r="AW300">
        <v>3.4278244127355022E-2</v>
      </c>
      <c r="AX300">
        <v>0.34681065155483992</v>
      </c>
      <c r="AY300">
        <v>0.48865100303376952</v>
      </c>
      <c r="BA300">
        <v>2.081601264087701E-2</v>
      </c>
      <c r="BE300">
        <v>0.27098888342744543</v>
      </c>
      <c r="BF300">
        <v>5812</v>
      </c>
      <c r="BG300">
        <v>52707.050033182248</v>
      </c>
      <c r="BH300">
        <v>120.1304158238607</v>
      </c>
      <c r="BI300">
        <v>129.52673506711119</v>
      </c>
      <c r="BJ300">
        <v>1.5757603833128691</v>
      </c>
      <c r="BK300">
        <v>120.1304158238607</v>
      </c>
    </row>
    <row r="301" spans="1:63" x14ac:dyDescent="0.2">
      <c r="A301">
        <v>299</v>
      </c>
      <c r="B301" t="s">
        <v>69</v>
      </c>
      <c r="C301" t="s">
        <v>81</v>
      </c>
      <c r="D301" t="s">
        <v>71</v>
      </c>
      <c r="E301">
        <v>-155.29106999999999</v>
      </c>
      <c r="F301">
        <v>19.383150000000001</v>
      </c>
      <c r="G301" t="s">
        <v>82</v>
      </c>
      <c r="H301" t="s">
        <v>712</v>
      </c>
      <c r="I301" t="s">
        <v>713</v>
      </c>
      <c r="J301" t="s">
        <v>68</v>
      </c>
      <c r="K301">
        <v>4.9748630843750004</v>
      </c>
      <c r="L301">
        <v>4.4800733046875001</v>
      </c>
      <c r="M301">
        <v>70.019035745295412</v>
      </c>
      <c r="N301">
        <v>441.35035266350769</v>
      </c>
      <c r="Q301">
        <v>10.012</v>
      </c>
      <c r="R301">
        <v>1324.9639999999999</v>
      </c>
      <c r="S301">
        <v>50</v>
      </c>
      <c r="T301">
        <v>103.03999583363709</v>
      </c>
      <c r="U301">
        <v>6.1908216518177187E-3</v>
      </c>
      <c r="V301">
        <v>0.11480675878574691</v>
      </c>
      <c r="W301">
        <v>4.5397489394656387E-3</v>
      </c>
      <c r="X301">
        <v>0</v>
      </c>
      <c r="Y301">
        <v>8.5992268536149719E-2</v>
      </c>
      <c r="Z301">
        <v>0.38185752550976237</v>
      </c>
      <c r="AA301">
        <v>2.877509991947293E-2</v>
      </c>
      <c r="AB301">
        <v>1.6376874564009241</v>
      </c>
      <c r="AC301">
        <v>0.1183999582925324</v>
      </c>
      <c r="AD301">
        <v>1217.1111343578571</v>
      </c>
      <c r="AE301">
        <v>50</v>
      </c>
      <c r="AF301">
        <v>84.123754318794724</v>
      </c>
      <c r="AG301">
        <v>2.2102200000000001</v>
      </c>
      <c r="AH301">
        <v>12.516225</v>
      </c>
      <c r="AI301">
        <v>0.22873499999999999</v>
      </c>
      <c r="AJ301">
        <v>10.535360000000001</v>
      </c>
      <c r="AK301">
        <v>0.37534499999999998</v>
      </c>
      <c r="AL301">
        <v>2.4377900000000001</v>
      </c>
      <c r="AM301">
        <v>50.224780000000003</v>
      </c>
      <c r="AN301">
        <v>8.9844449999999991</v>
      </c>
      <c r="AP301">
        <v>0.178455</v>
      </c>
      <c r="AQ301">
        <v>99.610560000000007</v>
      </c>
      <c r="AR301">
        <v>1.7587090435884831E-2</v>
      </c>
      <c r="AS301">
        <v>0.12699126938494701</v>
      </c>
      <c r="AT301">
        <v>8.073250584491971E-3</v>
      </c>
      <c r="AU301">
        <v>6.9056800896073786E-2</v>
      </c>
      <c r="AV301">
        <v>2.248073063759274E-2</v>
      </c>
      <c r="AW301">
        <v>2.1205111412109991E-2</v>
      </c>
      <c r="AX301">
        <v>0.5052093298821787</v>
      </c>
      <c r="AY301">
        <v>0.13192220766421431</v>
      </c>
      <c r="BA301">
        <v>1.2962040734390541E-2</v>
      </c>
      <c r="BB301">
        <v>5</v>
      </c>
      <c r="BC301" t="s">
        <v>86</v>
      </c>
      <c r="BE301">
        <v>0.8866919740411785</v>
      </c>
      <c r="BF301">
        <v>19129</v>
      </c>
      <c r="BG301">
        <v>481731.94717056683</v>
      </c>
      <c r="BH301">
        <v>1336.6695796427321</v>
      </c>
      <c r="BI301">
        <v>391.58656932402442</v>
      </c>
      <c r="BJ301">
        <v>9.6644675183753357</v>
      </c>
      <c r="BK301">
        <v>1336.6695796427321</v>
      </c>
    </row>
    <row r="302" spans="1:63" x14ac:dyDescent="0.2">
      <c r="A302">
        <v>300</v>
      </c>
      <c r="B302" t="s">
        <v>69</v>
      </c>
      <c r="C302" t="s">
        <v>236</v>
      </c>
      <c r="D302" t="s">
        <v>64</v>
      </c>
      <c r="E302">
        <v>-155.292979</v>
      </c>
      <c r="F302">
        <v>19.400748</v>
      </c>
      <c r="G302" t="s">
        <v>237</v>
      </c>
      <c r="H302" t="s">
        <v>433</v>
      </c>
      <c r="I302" t="s">
        <v>714</v>
      </c>
      <c r="J302" t="s">
        <v>68</v>
      </c>
      <c r="K302">
        <v>2.6070900054687498</v>
      </c>
      <c r="L302">
        <v>2.1293859898437502</v>
      </c>
      <c r="M302">
        <v>17.440554544075361</v>
      </c>
      <c r="N302">
        <v>55.071178628634172</v>
      </c>
      <c r="Q302">
        <v>9.875</v>
      </c>
      <c r="R302">
        <v>1324.9639999999999</v>
      </c>
      <c r="S302">
        <v>100</v>
      </c>
      <c r="T302">
        <v>103.0400327407847</v>
      </c>
      <c r="U302">
        <v>1.2729184338975181E-2</v>
      </c>
      <c r="V302">
        <v>0.1148213828791995</v>
      </c>
      <c r="W302">
        <v>6.3270901334301624E-3</v>
      </c>
      <c r="X302">
        <v>0</v>
      </c>
      <c r="Y302">
        <v>8.718374471368695E-2</v>
      </c>
      <c r="Z302">
        <v>0.37672933796662889</v>
      </c>
      <c r="AA302">
        <v>3.1575252550551249E-2</v>
      </c>
      <c r="AB302">
        <v>1.616561267613049</v>
      </c>
      <c r="AC302">
        <v>0.13008620323867121</v>
      </c>
      <c r="AD302">
        <v>1196.061422010767</v>
      </c>
      <c r="AE302">
        <v>50</v>
      </c>
      <c r="AF302">
        <v>82.644528606577055</v>
      </c>
      <c r="AG302">
        <v>2.0274999999999999</v>
      </c>
      <c r="AH302">
        <v>12.7525</v>
      </c>
      <c r="AI302">
        <v>0.17249999999999999</v>
      </c>
      <c r="AJ302">
        <v>11.092499999999999</v>
      </c>
      <c r="AK302">
        <v>0.51750000000000007</v>
      </c>
      <c r="AL302">
        <v>2.5150000000000001</v>
      </c>
      <c r="AM302">
        <v>50.63</v>
      </c>
      <c r="AN302">
        <v>7.415</v>
      </c>
      <c r="AP302">
        <v>1685.75</v>
      </c>
      <c r="AR302">
        <v>0.17231270024773751</v>
      </c>
      <c r="AS302">
        <v>0.13450526631573459</v>
      </c>
      <c r="AT302">
        <v>4.9999999999999836E-3</v>
      </c>
      <c r="AU302">
        <v>0.29227555491350982</v>
      </c>
      <c r="AV302">
        <v>2.061552812808835E-2</v>
      </c>
      <c r="AW302">
        <v>6.2449979983983737E-2</v>
      </c>
      <c r="AX302">
        <v>0.21556128285632961</v>
      </c>
      <c r="AY302">
        <v>0.39770173078158311</v>
      </c>
      <c r="BA302">
        <v>51.951098801340748</v>
      </c>
      <c r="BE302">
        <v>9.7665700853245635E-2</v>
      </c>
      <c r="BF302">
        <v>8368</v>
      </c>
      <c r="BG302">
        <v>134764.98509122129</v>
      </c>
      <c r="BH302">
        <v>79.883151036211316</v>
      </c>
      <c r="BI302">
        <v>207.11597491730791</v>
      </c>
      <c r="BJ302">
        <v>0.87326157678322081</v>
      </c>
      <c r="BK302">
        <v>79.883151036211345</v>
      </c>
    </row>
    <row r="303" spans="1:63" x14ac:dyDescent="0.2">
      <c r="A303">
        <v>301</v>
      </c>
      <c r="B303" t="s">
        <v>62</v>
      </c>
      <c r="C303" t="s">
        <v>63</v>
      </c>
      <c r="D303" t="s">
        <v>64</v>
      </c>
      <c r="E303">
        <v>-155.26785000000001</v>
      </c>
      <c r="F303">
        <v>19.407830000000001</v>
      </c>
      <c r="G303" t="s">
        <v>65</v>
      </c>
      <c r="H303" t="s">
        <v>715</v>
      </c>
      <c r="I303" t="s">
        <v>368</v>
      </c>
      <c r="J303" t="s">
        <v>68</v>
      </c>
      <c r="K303">
        <v>5.52271171640625</v>
      </c>
      <c r="L303">
        <v>4.9077404398437503</v>
      </c>
      <c r="M303">
        <v>85.149839212207496</v>
      </c>
      <c r="N303">
        <v>592.10088267687354</v>
      </c>
      <c r="Q303">
        <v>11.994</v>
      </c>
      <c r="R303">
        <v>1325.0039999999999</v>
      </c>
      <c r="S303">
        <v>50</v>
      </c>
      <c r="T303">
        <v>103.0402646</v>
      </c>
      <c r="U303">
        <v>5.8615604410000001E-2</v>
      </c>
      <c r="V303">
        <v>0.1149132528</v>
      </c>
      <c r="W303">
        <v>2.3537913099999998E-2</v>
      </c>
      <c r="X303">
        <v>0</v>
      </c>
      <c r="Y303">
        <v>8.5122286875833897E-2</v>
      </c>
      <c r="Z303">
        <v>0.38568277813097329</v>
      </c>
      <c r="AA303">
        <v>8.6240835483653189E-2</v>
      </c>
      <c r="AB303">
        <v>1.653431575831749</v>
      </c>
      <c r="AC303">
        <v>0.35447579779624649</v>
      </c>
      <c r="AD303">
        <v>1231.2363675068809</v>
      </c>
      <c r="AE303">
        <v>50</v>
      </c>
      <c r="AF303">
        <v>84.982456139999996</v>
      </c>
      <c r="BE303">
        <v>9.5414840259206629E-2</v>
      </c>
      <c r="BF303">
        <v>6544</v>
      </c>
      <c r="BG303">
        <v>419364.30101598159</v>
      </c>
      <c r="BH303">
        <v>0.14303186535835269</v>
      </c>
      <c r="BI303">
        <v>365.35982664483248</v>
      </c>
      <c r="BJ303">
        <v>1.768117640892983E-3</v>
      </c>
      <c r="BK303">
        <v>0.14303186535835269</v>
      </c>
    </row>
    <row r="304" spans="1:63" x14ac:dyDescent="0.2">
      <c r="A304">
        <v>302</v>
      </c>
      <c r="B304" t="s">
        <v>69</v>
      </c>
      <c r="C304" t="s">
        <v>76</v>
      </c>
      <c r="D304" t="s">
        <v>71</v>
      </c>
      <c r="E304">
        <v>-155.29812000000001</v>
      </c>
      <c r="F304">
        <v>19.375624999999999</v>
      </c>
      <c r="G304" t="s">
        <v>77</v>
      </c>
      <c r="H304" t="s">
        <v>313</v>
      </c>
      <c r="I304" t="s">
        <v>716</v>
      </c>
      <c r="J304" t="s">
        <v>68</v>
      </c>
      <c r="K304">
        <v>12.17523411015625</v>
      </c>
      <c r="L304">
        <v>10.88740917265625</v>
      </c>
      <c r="M304">
        <v>416.43932935722489</v>
      </c>
      <c r="N304">
        <v>6402.7944679328984</v>
      </c>
      <c r="Q304">
        <v>11.815</v>
      </c>
      <c r="R304">
        <v>1324.9639999999999</v>
      </c>
      <c r="S304">
        <v>50</v>
      </c>
      <c r="T304">
        <v>103.0403016424046</v>
      </c>
      <c r="U304">
        <v>3.3885670338783778E-3</v>
      </c>
      <c r="V304">
        <v>0.11492793249552589</v>
      </c>
      <c r="W304">
        <v>4.0491917647709824E-3</v>
      </c>
      <c r="X304">
        <v>4.4836507114414204</v>
      </c>
      <c r="Y304">
        <v>8.5187708194095602E-2</v>
      </c>
      <c r="Z304">
        <v>0.38539311736676057</v>
      </c>
      <c r="AA304">
        <v>2.777006335223239E-2</v>
      </c>
      <c r="AB304">
        <v>1.6522398112192891</v>
      </c>
      <c r="AC304">
        <v>0.1140811932240339</v>
      </c>
      <c r="AD304">
        <v>1229.858813118419</v>
      </c>
      <c r="AE304">
        <v>50</v>
      </c>
      <c r="AF304">
        <v>84.902494711123353</v>
      </c>
      <c r="AG304">
        <v>2.5039199999999999</v>
      </c>
      <c r="AH304">
        <v>14.096819999999999</v>
      </c>
      <c r="AI304">
        <v>0.27322000000000002</v>
      </c>
      <c r="AJ304">
        <v>10.95044</v>
      </c>
      <c r="AK304">
        <v>0.52094000000000007</v>
      </c>
      <c r="AL304">
        <v>2.9191400000000001</v>
      </c>
      <c r="AM304">
        <v>50.91704</v>
      </c>
      <c r="AN304">
        <v>6.4346599999999992</v>
      </c>
      <c r="AO304">
        <v>10.86684</v>
      </c>
      <c r="AP304">
        <v>0.19492000000000001</v>
      </c>
      <c r="AQ304">
        <v>99.70778</v>
      </c>
      <c r="AR304">
        <v>5.8797253337209539E-2</v>
      </c>
      <c r="AS304">
        <v>0.138496180452748</v>
      </c>
      <c r="AT304">
        <v>2.822688434808206E-2</v>
      </c>
      <c r="AU304">
        <v>7.1287502411011894E-2</v>
      </c>
      <c r="AV304">
        <v>1.2819243347405491E-2</v>
      </c>
      <c r="AW304">
        <v>2.3721045508155889E-2</v>
      </c>
      <c r="AX304">
        <v>0.39733328327740491</v>
      </c>
      <c r="AY304">
        <v>8.3972662218129629E-2</v>
      </c>
      <c r="AZ304">
        <v>5.8132675837260117E-2</v>
      </c>
      <c r="BA304">
        <v>1.931080008699795E-2</v>
      </c>
      <c r="BD304" t="s">
        <v>315</v>
      </c>
      <c r="BE304">
        <v>0.11135448793799339</v>
      </c>
      <c r="BF304">
        <v>6459</v>
      </c>
      <c r="BG304">
        <v>318472.10157445102</v>
      </c>
      <c r="BH304">
        <v>14.098292130671011</v>
      </c>
      <c r="BI304">
        <v>318.39098354833499</v>
      </c>
      <c r="BJ304">
        <v>0.17542192121144429</v>
      </c>
      <c r="BK304">
        <v>14.098292130671011</v>
      </c>
    </row>
    <row r="305" spans="1:63" x14ac:dyDescent="0.2">
      <c r="A305">
        <v>303</v>
      </c>
      <c r="B305" t="s">
        <v>69</v>
      </c>
      <c r="C305" t="s">
        <v>157</v>
      </c>
      <c r="D305" t="s">
        <v>64</v>
      </c>
      <c r="G305" t="s">
        <v>158</v>
      </c>
      <c r="H305" t="s">
        <v>342</v>
      </c>
      <c r="I305" t="s">
        <v>717</v>
      </c>
      <c r="J305" t="s">
        <v>68</v>
      </c>
      <c r="K305">
        <v>11.34244839921875</v>
      </c>
      <c r="L305">
        <v>8.2246451468749999</v>
      </c>
      <c r="M305">
        <v>293.0716802382027</v>
      </c>
      <c r="N305">
        <v>3823.040655287858</v>
      </c>
      <c r="O305" t="s">
        <v>718</v>
      </c>
      <c r="Q305">
        <v>10.09</v>
      </c>
      <c r="R305">
        <v>1324.9639999999999</v>
      </c>
      <c r="S305">
        <v>50</v>
      </c>
      <c r="T305">
        <v>103.0408060119678</v>
      </c>
      <c r="U305">
        <v>9.2792402654609096E-3</v>
      </c>
      <c r="V305">
        <v>0.11512778396339481</v>
      </c>
      <c r="W305">
        <v>5.3022828423965624E-3</v>
      </c>
      <c r="X305">
        <v>0</v>
      </c>
      <c r="Y305">
        <v>8.8340551699818137E-2</v>
      </c>
      <c r="Z305">
        <v>0.3718686528090564</v>
      </c>
      <c r="AA305">
        <v>3.4696364077048188E-2</v>
      </c>
      <c r="AB305">
        <v>1.5965165262825369</v>
      </c>
      <c r="AC305">
        <v>0.1430184977538673</v>
      </c>
      <c r="AD305">
        <v>1172.3403815301051</v>
      </c>
      <c r="AE305">
        <v>100</v>
      </c>
      <c r="AG305">
        <v>2.4084062500000001</v>
      </c>
      <c r="AH305">
        <v>13.3720625</v>
      </c>
      <c r="AI305">
        <v>0.31026874999999998</v>
      </c>
      <c r="AJ305">
        <v>10.387225000000001</v>
      </c>
      <c r="AK305">
        <v>0.59164375000000002</v>
      </c>
      <c r="AL305">
        <v>3.0521875000000001</v>
      </c>
      <c r="AM305">
        <v>49.819099999999999</v>
      </c>
      <c r="AN305">
        <v>5.8739499999999998</v>
      </c>
      <c r="AP305">
        <v>0.19186249999999999</v>
      </c>
      <c r="AQ305">
        <v>97.820293750000005</v>
      </c>
      <c r="AR305">
        <v>8.7457962997469094E-2</v>
      </c>
      <c r="AS305">
        <v>0.20894986918716499</v>
      </c>
      <c r="AT305">
        <v>3.6791968666182201E-2</v>
      </c>
      <c r="AU305">
        <v>0.19989042831845</v>
      </c>
      <c r="AV305">
        <v>2.81971149528931E-2</v>
      </c>
      <c r="AW305">
        <v>5.5804024645778501E-2</v>
      </c>
      <c r="AX305">
        <v>0.88416756556661702</v>
      </c>
      <c r="AY305">
        <v>0.205613822492555</v>
      </c>
      <c r="BA305">
        <v>4.9243326112953303E-2</v>
      </c>
      <c r="BE305">
        <v>8.2535018845287675E-2</v>
      </c>
      <c r="BF305">
        <v>6872</v>
      </c>
      <c r="BG305">
        <v>174706.43406104899</v>
      </c>
      <c r="BH305">
        <v>105.0015335922</v>
      </c>
      <c r="BI305">
        <v>235.81939093625959</v>
      </c>
      <c r="BJ305">
        <v>1.266642531569748</v>
      </c>
      <c r="BK305">
        <v>105.0015335922</v>
      </c>
    </row>
    <row r="306" spans="1:63" x14ac:dyDescent="0.2">
      <c r="A306">
        <v>304</v>
      </c>
      <c r="B306" t="s">
        <v>69</v>
      </c>
      <c r="C306" t="s">
        <v>594</v>
      </c>
      <c r="D306" t="s">
        <v>64</v>
      </c>
      <c r="E306">
        <v>-155.2816</v>
      </c>
      <c r="F306">
        <v>19.402366669999999</v>
      </c>
      <c r="G306" t="s">
        <v>595</v>
      </c>
      <c r="H306" t="s">
        <v>719</v>
      </c>
      <c r="I306" t="s">
        <v>720</v>
      </c>
      <c r="J306" t="s">
        <v>68</v>
      </c>
      <c r="K306">
        <v>4.5164531968750001</v>
      </c>
      <c r="L306">
        <v>4.2092581328124998</v>
      </c>
      <c r="M306">
        <v>59.724558286060557</v>
      </c>
      <c r="N306">
        <v>347.42616993150659</v>
      </c>
      <c r="Q306">
        <v>10.019</v>
      </c>
      <c r="R306">
        <v>1324.9639999999999</v>
      </c>
      <c r="S306">
        <v>50</v>
      </c>
      <c r="T306">
        <v>103.0408361448132</v>
      </c>
      <c r="U306">
        <v>2.0992438099725081E-2</v>
      </c>
      <c r="V306">
        <v>0.11513972380634389</v>
      </c>
      <c r="W306">
        <v>9.153432089206175E-3</v>
      </c>
      <c r="X306">
        <v>0</v>
      </c>
      <c r="Y306">
        <v>8.5992009357974131E-2</v>
      </c>
      <c r="Z306">
        <v>0.38186426885989411</v>
      </c>
      <c r="AA306">
        <v>4.1174083130353957E-2</v>
      </c>
      <c r="AB306">
        <v>1.6377152218074289</v>
      </c>
      <c r="AC306">
        <v>0.16945835489166219</v>
      </c>
      <c r="AD306">
        <v>1212.675415796132</v>
      </c>
      <c r="AE306">
        <v>50</v>
      </c>
      <c r="AF306">
        <v>83.834394534382</v>
      </c>
      <c r="AG306">
        <v>2.3161749999999999</v>
      </c>
      <c r="AH306">
        <v>13.236525</v>
      </c>
      <c r="AI306">
        <v>0.23727500000000001</v>
      </c>
      <c r="AJ306">
        <v>11.119225</v>
      </c>
      <c r="AK306">
        <v>0.45182499999999998</v>
      </c>
      <c r="AL306">
        <v>2.5776249999999998</v>
      </c>
      <c r="AM306">
        <v>50.469949999999997</v>
      </c>
      <c r="AN306">
        <v>7.2425499999999996</v>
      </c>
      <c r="AP306">
        <v>0.19814999999999999</v>
      </c>
      <c r="AQ306">
        <v>99.444850000000002</v>
      </c>
      <c r="AR306">
        <v>1.8066578259316259E-2</v>
      </c>
      <c r="AS306">
        <v>1.4495689014328119E-3</v>
      </c>
      <c r="AT306">
        <v>1.4884597743976821E-2</v>
      </c>
      <c r="AU306">
        <v>2.1177848096536729E-2</v>
      </c>
      <c r="AV306">
        <v>1.0217692988145609E-2</v>
      </c>
      <c r="AW306">
        <v>2.5809397513306929E-3</v>
      </c>
      <c r="AX306">
        <v>0.1291884089227876</v>
      </c>
      <c r="AY306">
        <v>4.9073210614347267E-2</v>
      </c>
      <c r="BA306">
        <v>2.2273863607376258E-2</v>
      </c>
      <c r="BB306">
        <v>2</v>
      </c>
      <c r="BC306" t="s">
        <v>86</v>
      </c>
    </row>
    <row r="307" spans="1:63" x14ac:dyDescent="0.2">
      <c r="A307">
        <v>305</v>
      </c>
      <c r="B307" t="s">
        <v>69</v>
      </c>
      <c r="C307" t="s">
        <v>76</v>
      </c>
      <c r="D307" t="s">
        <v>71</v>
      </c>
      <c r="E307">
        <v>-155.29812000000001</v>
      </c>
      <c r="F307">
        <v>19.375624999999999</v>
      </c>
      <c r="G307" t="s">
        <v>77</v>
      </c>
      <c r="H307" t="s">
        <v>569</v>
      </c>
      <c r="I307" t="s">
        <v>721</v>
      </c>
      <c r="J307" t="s">
        <v>68</v>
      </c>
      <c r="K307">
        <v>7.9049553914062498</v>
      </c>
      <c r="L307">
        <v>6.8651064921874996</v>
      </c>
      <c r="M307">
        <v>170.48908291419301</v>
      </c>
      <c r="N307">
        <v>1678.756203413184</v>
      </c>
      <c r="Q307">
        <v>11.861000000000001</v>
      </c>
      <c r="R307">
        <v>1324.9639999999999</v>
      </c>
      <c r="S307">
        <v>50</v>
      </c>
      <c r="T307">
        <v>103.0410082063744</v>
      </c>
      <c r="U307">
        <v>3.0214706463183019E-3</v>
      </c>
      <c r="V307">
        <v>0.1152079015040002</v>
      </c>
      <c r="W307">
        <v>4.0036868154616958E-3</v>
      </c>
      <c r="X307">
        <v>0</v>
      </c>
      <c r="Y307">
        <v>8.3564287067390608E-2</v>
      </c>
      <c r="Z307">
        <v>0.39271155527966478</v>
      </c>
      <c r="AA307">
        <v>2.72271950827969E-2</v>
      </c>
      <c r="AB307">
        <v>1.682328730889515</v>
      </c>
      <c r="AC307">
        <v>0.1116483355562309</v>
      </c>
      <c r="AD307">
        <v>1255.776092487293</v>
      </c>
      <c r="AE307">
        <v>50</v>
      </c>
      <c r="AF307">
        <v>86.29565055220597</v>
      </c>
      <c r="AG307">
        <v>2.5039199999999999</v>
      </c>
      <c r="AH307">
        <v>14.096819999999999</v>
      </c>
      <c r="AI307">
        <v>0.27322000000000002</v>
      </c>
      <c r="AJ307">
        <v>10.95044</v>
      </c>
      <c r="AK307">
        <v>0.52094000000000007</v>
      </c>
      <c r="AL307">
        <v>2.9191400000000001</v>
      </c>
      <c r="AM307">
        <v>50.91704</v>
      </c>
      <c r="AN307">
        <v>6.4346599999999992</v>
      </c>
      <c r="AO307">
        <v>10.86684</v>
      </c>
      <c r="AP307">
        <v>0.19492000000000001</v>
      </c>
      <c r="AQ307">
        <v>99.70778</v>
      </c>
      <c r="AR307">
        <v>5.8797253337209539E-2</v>
      </c>
      <c r="AS307">
        <v>0.138496180452748</v>
      </c>
      <c r="AT307">
        <v>2.822688434808206E-2</v>
      </c>
      <c r="AU307">
        <v>7.1287502411011894E-2</v>
      </c>
      <c r="AV307">
        <v>1.2819243347405491E-2</v>
      </c>
      <c r="AW307">
        <v>2.3721045508155889E-2</v>
      </c>
      <c r="AX307">
        <v>0.39733328327740491</v>
      </c>
      <c r="AY307">
        <v>8.3972662218129629E-2</v>
      </c>
      <c r="AZ307">
        <v>5.8132675837260117E-2</v>
      </c>
      <c r="BA307">
        <v>1.931080008699795E-2</v>
      </c>
      <c r="BD307" t="s">
        <v>571</v>
      </c>
      <c r="BE307">
        <v>9.8929799086193704E-2</v>
      </c>
      <c r="BF307">
        <v>5176</v>
      </c>
      <c r="BG307">
        <v>519972.26806923602</v>
      </c>
      <c r="BH307">
        <v>57.732519363309002</v>
      </c>
      <c r="BI307">
        <v>406.83204577300199</v>
      </c>
      <c r="BJ307">
        <v>0.80245996785305895</v>
      </c>
      <c r="BK307">
        <v>57.732519363309002</v>
      </c>
    </row>
    <row r="308" spans="1:63" x14ac:dyDescent="0.2">
      <c r="A308">
        <v>306</v>
      </c>
      <c r="B308" t="s">
        <v>69</v>
      </c>
      <c r="C308" t="s">
        <v>81</v>
      </c>
      <c r="D308" t="s">
        <v>71</v>
      </c>
      <c r="E308">
        <v>-155.29106999999999</v>
      </c>
      <c r="F308">
        <v>19.383150000000001</v>
      </c>
      <c r="G308" t="s">
        <v>87</v>
      </c>
      <c r="H308" t="s">
        <v>666</v>
      </c>
      <c r="I308" t="s">
        <v>722</v>
      </c>
      <c r="J308" t="s">
        <v>68</v>
      </c>
      <c r="K308">
        <v>4.8411408289062496</v>
      </c>
      <c r="L308">
        <v>4.379069706250001</v>
      </c>
      <c r="M308">
        <v>66.600800250711572</v>
      </c>
      <c r="N308">
        <v>409.38226674763189</v>
      </c>
      <c r="O308" t="s">
        <v>723</v>
      </c>
      <c r="Q308">
        <v>11.972</v>
      </c>
      <c r="R308">
        <v>1325.0039999999999</v>
      </c>
      <c r="S308">
        <v>50</v>
      </c>
      <c r="T308">
        <v>103.0412350539022</v>
      </c>
      <c r="U308">
        <v>4.1081811408683888E-3</v>
      </c>
      <c r="V308">
        <v>0.1152977876008308</v>
      </c>
      <c r="W308">
        <v>4.1529439397648251E-3</v>
      </c>
      <c r="X308">
        <v>0</v>
      </c>
      <c r="Y308">
        <v>8.5098336868550395E-2</v>
      </c>
      <c r="Z308">
        <v>0.38579549606476682</v>
      </c>
      <c r="AA308">
        <v>2.845572966899294E-2</v>
      </c>
      <c r="AB308">
        <v>1.653895317289096</v>
      </c>
      <c r="AC308">
        <v>0.1169114583530943</v>
      </c>
      <c r="AD308">
        <v>1226.4894512918031</v>
      </c>
      <c r="AE308">
        <v>50</v>
      </c>
      <c r="AF308">
        <v>84.703660016694542</v>
      </c>
      <c r="AG308">
        <v>2.2102200000000001</v>
      </c>
      <c r="AH308">
        <v>12.516225</v>
      </c>
      <c r="AI308">
        <v>0.22873499999999999</v>
      </c>
      <c r="AJ308">
        <v>10.535360000000001</v>
      </c>
      <c r="AK308">
        <v>0.37534499999999998</v>
      </c>
      <c r="AL308">
        <v>2.4377900000000001</v>
      </c>
      <c r="AM308">
        <v>50.224780000000003</v>
      </c>
      <c r="AN308">
        <v>8.9844449999999991</v>
      </c>
      <c r="AP308">
        <v>0.178455</v>
      </c>
      <c r="AQ308">
        <v>99.610560000000007</v>
      </c>
      <c r="AR308">
        <v>1.7587090435884831E-2</v>
      </c>
      <c r="AS308">
        <v>0.12699126938494701</v>
      </c>
      <c r="AT308">
        <v>8.073250584491971E-3</v>
      </c>
      <c r="AU308">
        <v>6.9056800896073786E-2</v>
      </c>
      <c r="AV308">
        <v>2.248073063759274E-2</v>
      </c>
      <c r="AW308">
        <v>2.1205111412109991E-2</v>
      </c>
      <c r="AX308">
        <v>0.5052093298821787</v>
      </c>
      <c r="AY308">
        <v>0.13192220766421431</v>
      </c>
      <c r="BA308">
        <v>1.2962040734390541E-2</v>
      </c>
      <c r="BB308">
        <v>5</v>
      </c>
      <c r="BC308" t="s">
        <v>86</v>
      </c>
    </row>
    <row r="309" spans="1:63" x14ac:dyDescent="0.2">
      <c r="A309">
        <v>307</v>
      </c>
      <c r="B309" t="s">
        <v>69</v>
      </c>
      <c r="C309" t="s">
        <v>594</v>
      </c>
      <c r="D309" t="s">
        <v>64</v>
      </c>
      <c r="E309">
        <v>-155.2816</v>
      </c>
      <c r="F309">
        <v>19.402366669999999</v>
      </c>
      <c r="G309" t="s">
        <v>595</v>
      </c>
      <c r="H309" t="s">
        <v>724</v>
      </c>
      <c r="I309" t="s">
        <v>725</v>
      </c>
      <c r="J309" t="s">
        <v>68</v>
      </c>
      <c r="K309">
        <v>7.9248887828125012</v>
      </c>
      <c r="L309">
        <v>6.6741411156249999</v>
      </c>
      <c r="M309">
        <v>166.1645721917188</v>
      </c>
      <c r="N309">
        <v>1617.227704991986</v>
      </c>
      <c r="Q309">
        <v>10.039</v>
      </c>
      <c r="R309">
        <v>1324.9639999999999</v>
      </c>
      <c r="S309">
        <v>50</v>
      </c>
      <c r="T309">
        <v>103.04156872566421</v>
      </c>
      <c r="U309">
        <v>4.1756886187201848E-3</v>
      </c>
      <c r="V309">
        <v>0.11543000174754781</v>
      </c>
      <c r="W309">
        <v>4.1636738149924187E-3</v>
      </c>
      <c r="X309">
        <v>0</v>
      </c>
      <c r="Y309">
        <v>8.3881182934683274E-2</v>
      </c>
      <c r="Z309">
        <v>0.3912676377003057</v>
      </c>
      <c r="AA309">
        <v>2.660545055775097E-2</v>
      </c>
      <c r="AB309">
        <v>1.676395798548731</v>
      </c>
      <c r="AC309">
        <v>0.1092811493749353</v>
      </c>
      <c r="AD309">
        <v>1246.8653840652621</v>
      </c>
      <c r="AE309">
        <v>50</v>
      </c>
      <c r="AF309">
        <v>85.84112367229163</v>
      </c>
      <c r="AG309">
        <v>2.3161749999999999</v>
      </c>
      <c r="AH309">
        <v>13.236525</v>
      </c>
      <c r="AI309">
        <v>0.23727500000000001</v>
      </c>
      <c r="AJ309">
        <v>11.119225</v>
      </c>
      <c r="AK309">
        <v>0.45182499999999998</v>
      </c>
      <c r="AL309">
        <v>2.5776249999999998</v>
      </c>
      <c r="AM309">
        <v>50.469949999999997</v>
      </c>
      <c r="AN309">
        <v>7.2425499999999996</v>
      </c>
      <c r="AP309">
        <v>0.19814999999999999</v>
      </c>
      <c r="AQ309">
        <v>99.444850000000002</v>
      </c>
      <c r="AR309">
        <v>1.8066578259316259E-2</v>
      </c>
      <c r="AS309">
        <v>1.4495689014328119E-3</v>
      </c>
      <c r="AT309">
        <v>1.4884597743976821E-2</v>
      </c>
      <c r="AU309">
        <v>2.1177848096536729E-2</v>
      </c>
      <c r="AV309">
        <v>1.0217692988145609E-2</v>
      </c>
      <c r="AW309">
        <v>2.5809397513306929E-3</v>
      </c>
      <c r="AX309">
        <v>0.1291884089227876</v>
      </c>
      <c r="AY309">
        <v>4.9073210614347267E-2</v>
      </c>
      <c r="BA309">
        <v>2.2273863607376258E-2</v>
      </c>
      <c r="BB309">
        <v>2</v>
      </c>
      <c r="BC309" t="s">
        <v>86</v>
      </c>
      <c r="BE309">
        <v>8.9769243204053883E-2</v>
      </c>
      <c r="BF309">
        <v>8197</v>
      </c>
      <c r="BG309">
        <v>131314.36486155741</v>
      </c>
      <c r="BH309">
        <v>6.2453302911968001</v>
      </c>
      <c r="BI309">
        <v>204.44720720366689</v>
      </c>
      <c r="BJ309">
        <v>6.8980755074975184E-2</v>
      </c>
      <c r="BK309">
        <v>6.2453302911968009</v>
      </c>
    </row>
    <row r="310" spans="1:63" x14ac:dyDescent="0.2">
      <c r="A310">
        <v>308</v>
      </c>
      <c r="B310" t="s">
        <v>69</v>
      </c>
      <c r="C310" t="s">
        <v>278</v>
      </c>
      <c r="D310" t="s">
        <v>144</v>
      </c>
      <c r="E310">
        <v>-154.873789449106</v>
      </c>
      <c r="F310">
        <v>19.5537282409346</v>
      </c>
      <c r="G310" t="s">
        <v>279</v>
      </c>
      <c r="H310" t="s">
        <v>549</v>
      </c>
      <c r="I310" t="s">
        <v>726</v>
      </c>
      <c r="J310" t="s">
        <v>68</v>
      </c>
      <c r="K310">
        <v>6.9901115210937501</v>
      </c>
      <c r="L310">
        <v>6.1579069585937507</v>
      </c>
      <c r="M310">
        <v>135.22814793203091</v>
      </c>
      <c r="N310">
        <v>1185.321458656171</v>
      </c>
      <c r="Q310">
        <v>11.97</v>
      </c>
      <c r="R310">
        <v>1325.0039999999999</v>
      </c>
      <c r="S310">
        <v>50</v>
      </c>
      <c r="T310">
        <v>103.0421492709183</v>
      </c>
      <c r="U310">
        <v>2.0289182272203121E-2</v>
      </c>
      <c r="V310">
        <v>0.1156600370820797</v>
      </c>
      <c r="W310">
        <v>8.9012830373078299E-3</v>
      </c>
      <c r="X310">
        <v>0</v>
      </c>
      <c r="Y310">
        <v>8.0534478909842111E-2</v>
      </c>
      <c r="Z310">
        <v>0.40709276992293503</v>
      </c>
      <c r="AA310">
        <v>4.2536674642368627E-2</v>
      </c>
      <c r="AB310">
        <v>1.741324463733781</v>
      </c>
      <c r="AC310">
        <v>0.17396453541039331</v>
      </c>
      <c r="AD310">
        <v>1307.8334095399</v>
      </c>
      <c r="AE310">
        <v>50</v>
      </c>
      <c r="AF310">
        <v>88.583572523057668</v>
      </c>
    </row>
    <row r="311" spans="1:63" x14ac:dyDescent="0.2">
      <c r="A311">
        <v>309</v>
      </c>
      <c r="B311" t="s">
        <v>62</v>
      </c>
      <c r="C311" t="s">
        <v>63</v>
      </c>
      <c r="D311" t="s">
        <v>64</v>
      </c>
      <c r="E311">
        <v>-155.26785000000001</v>
      </c>
      <c r="F311">
        <v>19.407830000000001</v>
      </c>
      <c r="G311" t="s">
        <v>65</v>
      </c>
      <c r="H311" t="s">
        <v>679</v>
      </c>
      <c r="I311" t="s">
        <v>727</v>
      </c>
      <c r="J311" t="s">
        <v>68</v>
      </c>
      <c r="K311">
        <v>27.66217728177083</v>
      </c>
      <c r="L311">
        <v>15.846720186458329</v>
      </c>
      <c r="M311">
        <v>1377.132166354779</v>
      </c>
      <c r="N311">
        <v>39945.001484086933</v>
      </c>
      <c r="Q311">
        <v>11.93</v>
      </c>
      <c r="R311">
        <v>1325.0039999999999</v>
      </c>
      <c r="S311">
        <v>50</v>
      </c>
      <c r="T311">
        <v>103.04215480000001</v>
      </c>
      <c r="U311">
        <v>3.0229737779999999E-3</v>
      </c>
      <c r="V311">
        <v>0.11566221340000001</v>
      </c>
      <c r="W311">
        <v>4.0044821849999999E-3</v>
      </c>
      <c r="X311">
        <v>6.3836559071836199</v>
      </c>
      <c r="Y311">
        <v>8.7247790676769577E-2</v>
      </c>
      <c r="Z311">
        <v>0.376471244069226</v>
      </c>
      <c r="AA311">
        <v>2.559204766780096E-2</v>
      </c>
      <c r="AB311">
        <v>1.615497430323158</v>
      </c>
      <c r="AC311">
        <v>0.1053675674521822</v>
      </c>
      <c r="AD311">
        <v>1183.987952994363</v>
      </c>
      <c r="AE311">
        <v>50</v>
      </c>
      <c r="AF311">
        <v>81.643356639999993</v>
      </c>
      <c r="BE311">
        <v>0.1248786102292074</v>
      </c>
      <c r="BF311">
        <v>2277</v>
      </c>
      <c r="BG311">
        <v>146366.1971485884</v>
      </c>
      <c r="BH311">
        <v>110.36786040635241</v>
      </c>
      <c r="BI311">
        <v>215.84672236455529</v>
      </c>
      <c r="BJ311">
        <v>2.3129226445597371</v>
      </c>
      <c r="BK311">
        <v>110.36786040635241</v>
      </c>
    </row>
    <row r="312" spans="1:63" x14ac:dyDescent="0.2">
      <c r="A312">
        <v>310</v>
      </c>
      <c r="B312" t="s">
        <v>69</v>
      </c>
      <c r="C312" t="s">
        <v>169</v>
      </c>
      <c r="D312" t="s">
        <v>64</v>
      </c>
      <c r="E312">
        <v>-155.29196300000001</v>
      </c>
      <c r="F312">
        <v>19.398634000000001</v>
      </c>
      <c r="G312" t="s">
        <v>170</v>
      </c>
      <c r="H312" t="s">
        <v>728</v>
      </c>
      <c r="I312" t="s">
        <v>729</v>
      </c>
      <c r="J312" t="s">
        <v>68</v>
      </c>
      <c r="K312">
        <v>13.49804418359375</v>
      </c>
      <c r="L312">
        <v>12.58854687890625</v>
      </c>
      <c r="M312">
        <v>533.82181752471956</v>
      </c>
      <c r="N312">
        <v>9283.7276360052347</v>
      </c>
      <c r="Q312">
        <v>9.9789999999999992</v>
      </c>
      <c r="R312">
        <v>1324.9639999999999</v>
      </c>
      <c r="S312">
        <v>50</v>
      </c>
      <c r="T312">
        <v>103.0422794944604</v>
      </c>
      <c r="U312">
        <v>6.3119273567840764E-3</v>
      </c>
      <c r="V312">
        <v>0.11571163687701611</v>
      </c>
      <c r="W312">
        <v>4.566928394505146E-3</v>
      </c>
      <c r="X312">
        <v>7.3237594227901743</v>
      </c>
      <c r="Y312">
        <v>8.2136705341101846E-2</v>
      </c>
      <c r="Z312">
        <v>0.39936862166647108</v>
      </c>
      <c r="AA312">
        <v>2.7858362631246841E-2</v>
      </c>
      <c r="AB312">
        <v>1.7096593979160539</v>
      </c>
      <c r="AC312">
        <v>0.114261476370208</v>
      </c>
      <c r="AD312">
        <v>1275.777698166426</v>
      </c>
      <c r="AE312">
        <v>50</v>
      </c>
      <c r="AF312">
        <v>87.240487920899795</v>
      </c>
      <c r="AG312">
        <v>2.5390516666666669</v>
      </c>
      <c r="AH312">
        <v>13.89052597266207</v>
      </c>
      <c r="AI312">
        <v>0.24399675000000001</v>
      </c>
      <c r="AJ312">
        <v>11.205616666666669</v>
      </c>
      <c r="AK312">
        <v>0.47515841666666669</v>
      </c>
      <c r="AL312">
        <v>2.6323025000000002</v>
      </c>
      <c r="AM312">
        <v>50.778866165683027</v>
      </c>
      <c r="AN312">
        <v>6.7552275000000002</v>
      </c>
      <c r="AP312">
        <v>0.17074191666666669</v>
      </c>
      <c r="AR312">
        <v>5.5209421763999247E-2</v>
      </c>
      <c r="AS312">
        <v>0.23260322971847319</v>
      </c>
      <c r="AT312">
        <v>2.215836573857705E-2</v>
      </c>
      <c r="AU312">
        <v>0.13946342520423419</v>
      </c>
      <c r="AV312">
        <v>1.8188943372071519E-2</v>
      </c>
      <c r="AW312">
        <v>3.4278244127355022E-2</v>
      </c>
      <c r="AX312">
        <v>0.34681065155483992</v>
      </c>
      <c r="AY312">
        <v>0.48865100303376952</v>
      </c>
      <c r="BA312">
        <v>2.081601264087701E-2</v>
      </c>
      <c r="BE312">
        <v>0.13658475776293191</v>
      </c>
      <c r="BF312">
        <v>5069</v>
      </c>
      <c r="BG312">
        <v>129381.2415435635</v>
      </c>
      <c r="BH312">
        <v>95.024034485560392</v>
      </c>
      <c r="BI312">
        <v>202.93675928734359</v>
      </c>
      <c r="BJ312">
        <v>1.3346651480392391</v>
      </c>
      <c r="BK312">
        <v>95.024034485560378</v>
      </c>
    </row>
    <row r="313" spans="1:63" x14ac:dyDescent="0.2">
      <c r="A313">
        <v>311</v>
      </c>
      <c r="B313" t="s">
        <v>69</v>
      </c>
      <c r="C313" t="s">
        <v>91</v>
      </c>
      <c r="D313" t="s">
        <v>92</v>
      </c>
      <c r="E313">
        <v>-155.272412745889</v>
      </c>
      <c r="F313">
        <v>19.3454197541963</v>
      </c>
      <c r="G313" t="s">
        <v>124</v>
      </c>
      <c r="H313" t="s">
        <v>730</v>
      </c>
      <c r="I313" t="s">
        <v>731</v>
      </c>
      <c r="J313" t="s">
        <v>68</v>
      </c>
      <c r="K313">
        <v>7.9716131171874993</v>
      </c>
      <c r="L313">
        <v>7.5833478460937496</v>
      </c>
      <c r="M313">
        <v>189.9140359316772</v>
      </c>
      <c r="N313">
        <v>1969.403610197621</v>
      </c>
      <c r="O313" t="s">
        <v>732</v>
      </c>
      <c r="Q313">
        <v>12.038</v>
      </c>
      <c r="R313">
        <v>1325.0039999999999</v>
      </c>
      <c r="S313">
        <v>50</v>
      </c>
      <c r="T313">
        <v>103.0423166160832</v>
      </c>
      <c r="U313">
        <v>1.07137503878896E-2</v>
      </c>
      <c r="V313">
        <v>0.11572634595415821</v>
      </c>
      <c r="W313">
        <v>5.7117139622926728E-3</v>
      </c>
      <c r="X313">
        <v>0</v>
      </c>
      <c r="Y313">
        <v>8.2663761768085653E-2</v>
      </c>
      <c r="Z313">
        <v>0.39688952458048898</v>
      </c>
      <c r="AA313">
        <v>4.1822593717336883E-2</v>
      </c>
      <c r="AB313">
        <v>1.699485779419446</v>
      </c>
      <c r="AC313">
        <v>0.17148015571171599</v>
      </c>
      <c r="AD313">
        <v>1265.5426736382669</v>
      </c>
      <c r="AE313">
        <v>100</v>
      </c>
      <c r="AG313">
        <v>2.4452269230769228</v>
      </c>
      <c r="AH313">
        <v>12.97811153846154</v>
      </c>
      <c r="AJ313">
        <v>10.30404615384615</v>
      </c>
      <c r="AK313">
        <v>0.55342692307692309</v>
      </c>
      <c r="AL313">
        <v>2.900669230769231</v>
      </c>
      <c r="AM313">
        <v>50.451046153846157</v>
      </c>
      <c r="AN313">
        <v>6.0883423076923071</v>
      </c>
      <c r="AP313">
        <v>1.6526923076923071E-2</v>
      </c>
      <c r="AQ313">
        <v>97.170811538461535</v>
      </c>
      <c r="AR313">
        <v>0.14452695958247319</v>
      </c>
      <c r="AS313">
        <v>0.56238533005541524</v>
      </c>
      <c r="AU313">
        <v>0.81302815263963402</v>
      </c>
      <c r="AV313">
        <v>0.1071919159552335</v>
      </c>
      <c r="AW313">
        <v>0.48878923864523122</v>
      </c>
      <c r="AX313">
        <v>0.42567582898799372</v>
      </c>
      <c r="AY313">
        <v>0.85490953915514445</v>
      </c>
      <c r="BA313">
        <v>4.3609684880592933E-3</v>
      </c>
      <c r="BB313">
        <v>26</v>
      </c>
      <c r="BC313" t="s">
        <v>86</v>
      </c>
    </row>
    <row r="314" spans="1:63" x14ac:dyDescent="0.2">
      <c r="A314">
        <v>312</v>
      </c>
      <c r="B314" t="s">
        <v>69</v>
      </c>
      <c r="C314" t="s">
        <v>169</v>
      </c>
      <c r="D314" t="s">
        <v>64</v>
      </c>
      <c r="E314">
        <v>-155.29196300000001</v>
      </c>
      <c r="F314">
        <v>19.398634000000001</v>
      </c>
      <c r="G314" t="s">
        <v>170</v>
      </c>
      <c r="H314" t="s">
        <v>710</v>
      </c>
      <c r="I314" t="s">
        <v>733</v>
      </c>
      <c r="J314" t="s">
        <v>68</v>
      </c>
      <c r="O314" t="s">
        <v>296</v>
      </c>
      <c r="Q314">
        <v>10.086</v>
      </c>
      <c r="R314">
        <v>1324.7670000000001</v>
      </c>
      <c r="S314">
        <v>50</v>
      </c>
      <c r="T314">
        <v>103.04240524635991</v>
      </c>
      <c r="U314">
        <v>7.6893393546867521E-3</v>
      </c>
      <c r="V314">
        <v>0.11576146482767059</v>
      </c>
      <c r="W314">
        <v>4.8872619155200256E-3</v>
      </c>
      <c r="X314">
        <v>3.2301588919579109</v>
      </c>
      <c r="Y314">
        <v>8.722184845312797E-2</v>
      </c>
      <c r="Z314">
        <v>0.37658315574023882</v>
      </c>
      <c r="AA314">
        <v>2.7506470506026989E-2</v>
      </c>
      <c r="AB314">
        <v>1.6159587259920221</v>
      </c>
      <c r="AC314">
        <v>0.1132435199429241</v>
      </c>
      <c r="AD314">
        <v>1183.1483196562201</v>
      </c>
      <c r="AE314">
        <v>50</v>
      </c>
      <c r="AF314">
        <v>81.568244122566654</v>
      </c>
      <c r="AG314">
        <v>2.5390516666666669</v>
      </c>
      <c r="AH314">
        <v>13.89052597266207</v>
      </c>
      <c r="AI314">
        <v>0.24399675000000001</v>
      </c>
      <c r="AJ314">
        <v>11.205616666666669</v>
      </c>
      <c r="AK314">
        <v>0.47515841666666669</v>
      </c>
      <c r="AL314">
        <v>2.6323025000000002</v>
      </c>
      <c r="AM314">
        <v>50.778866165683027</v>
      </c>
      <c r="AN314">
        <v>6.7552275000000002</v>
      </c>
      <c r="AP314">
        <v>0.17074191666666669</v>
      </c>
      <c r="AR314">
        <v>5.5209421763999247E-2</v>
      </c>
      <c r="AS314">
        <v>0.23260322971847319</v>
      </c>
      <c r="AT314">
        <v>2.215836573857705E-2</v>
      </c>
      <c r="AU314">
        <v>0.13946342520423419</v>
      </c>
      <c r="AV314">
        <v>1.8188943372071519E-2</v>
      </c>
      <c r="AW314">
        <v>3.4278244127355022E-2</v>
      </c>
      <c r="AX314">
        <v>0.34681065155483992</v>
      </c>
      <c r="AY314">
        <v>0.48865100303376952</v>
      </c>
      <c r="BA314">
        <v>2.081601264087701E-2</v>
      </c>
      <c r="BE314">
        <v>0.27098888342744543</v>
      </c>
      <c r="BF314">
        <v>5812</v>
      </c>
      <c r="BG314">
        <v>52707.050033182248</v>
      </c>
      <c r="BH314">
        <v>120.1304158238607</v>
      </c>
      <c r="BI314">
        <v>129.52673506711119</v>
      </c>
      <c r="BJ314">
        <v>1.5757603833128691</v>
      </c>
      <c r="BK314">
        <v>120.1304158238607</v>
      </c>
    </row>
    <row r="315" spans="1:63" x14ac:dyDescent="0.2">
      <c r="A315">
        <v>313</v>
      </c>
      <c r="B315" t="s">
        <v>69</v>
      </c>
      <c r="C315" t="s">
        <v>76</v>
      </c>
      <c r="D315" t="s">
        <v>71</v>
      </c>
      <c r="E315">
        <v>-155.29812000000001</v>
      </c>
      <c r="F315">
        <v>19.375624999999999</v>
      </c>
      <c r="G315" t="s">
        <v>77</v>
      </c>
      <c r="H315" t="s">
        <v>734</v>
      </c>
      <c r="I315" t="s">
        <v>735</v>
      </c>
      <c r="J315" t="s">
        <v>68</v>
      </c>
      <c r="K315">
        <v>8.9103421882812501</v>
      </c>
      <c r="L315">
        <v>8.5295156171875011</v>
      </c>
      <c r="M315">
        <v>238.76387805795949</v>
      </c>
      <c r="N315">
        <v>2776.0053882753959</v>
      </c>
      <c r="Q315">
        <v>11.885999999999999</v>
      </c>
      <c r="R315">
        <v>1324.9639999999999</v>
      </c>
      <c r="S315">
        <v>50</v>
      </c>
      <c r="T315">
        <v>103.0430279483385</v>
      </c>
      <c r="U315">
        <v>2.3407723466449871E-3</v>
      </c>
      <c r="V315">
        <v>0.1160082043487236</v>
      </c>
      <c r="W315">
        <v>3.9325800615194898E-3</v>
      </c>
      <c r="X315">
        <v>0.50481050348285827</v>
      </c>
      <c r="Y315">
        <v>8.4673023232050615E-2</v>
      </c>
      <c r="Z315">
        <v>0.38770285878061078</v>
      </c>
      <c r="AA315">
        <v>2.6993384677924649E-2</v>
      </c>
      <c r="AB315">
        <v>1.6617409197670601</v>
      </c>
      <c r="AC315">
        <v>0.1108001194513266</v>
      </c>
      <c r="AD315">
        <v>1224.6437084441029</v>
      </c>
      <c r="AE315">
        <v>50</v>
      </c>
      <c r="AF315">
        <v>84.5927023159133</v>
      </c>
      <c r="AG315">
        <v>2.5039199999999999</v>
      </c>
      <c r="AH315">
        <v>14.096819999999999</v>
      </c>
      <c r="AI315">
        <v>0.27322000000000002</v>
      </c>
      <c r="AJ315">
        <v>10.95044</v>
      </c>
      <c r="AK315">
        <v>0.52094000000000007</v>
      </c>
      <c r="AL315">
        <v>2.9191400000000001</v>
      </c>
      <c r="AM315">
        <v>50.91704</v>
      </c>
      <c r="AN315">
        <v>6.4346599999999992</v>
      </c>
      <c r="AO315">
        <v>10.86684</v>
      </c>
      <c r="AP315">
        <v>0.19492000000000001</v>
      </c>
      <c r="AQ315">
        <v>99.70778</v>
      </c>
      <c r="AR315">
        <v>5.8797253337209539E-2</v>
      </c>
      <c r="AS315">
        <v>0.138496180452748</v>
      </c>
      <c r="AT315">
        <v>2.822688434808206E-2</v>
      </c>
      <c r="AU315">
        <v>7.1287502411011894E-2</v>
      </c>
      <c r="AV315">
        <v>1.2819243347405491E-2</v>
      </c>
      <c r="AW315">
        <v>2.3721045508155889E-2</v>
      </c>
      <c r="AX315">
        <v>0.39733328327740491</v>
      </c>
      <c r="AY315">
        <v>8.3972662218129629E-2</v>
      </c>
      <c r="AZ315">
        <v>5.8132675837260117E-2</v>
      </c>
      <c r="BA315">
        <v>1.931080008699795E-2</v>
      </c>
      <c r="BD315" t="s">
        <v>736</v>
      </c>
      <c r="BE315">
        <v>0.1485282045485567</v>
      </c>
      <c r="BF315">
        <v>10895</v>
      </c>
      <c r="BG315">
        <v>533883.26848731423</v>
      </c>
      <c r="BH315">
        <v>47.576961948307257</v>
      </c>
      <c r="BI315">
        <v>412.23818652282472</v>
      </c>
      <c r="BJ315">
        <v>0.4558092026373245</v>
      </c>
      <c r="BK315">
        <v>47.576961948307257</v>
      </c>
    </row>
    <row r="316" spans="1:63" x14ac:dyDescent="0.2">
      <c r="A316">
        <v>314</v>
      </c>
      <c r="B316" t="s">
        <v>69</v>
      </c>
      <c r="C316" t="s">
        <v>321</v>
      </c>
      <c r="D316" t="s">
        <v>322</v>
      </c>
      <c r="E316">
        <v>-155.27718329999999</v>
      </c>
      <c r="F316">
        <v>19.40966667</v>
      </c>
      <c r="G316" t="s">
        <v>323</v>
      </c>
      <c r="H316" t="s">
        <v>737</v>
      </c>
      <c r="I316" t="s">
        <v>738</v>
      </c>
      <c r="J316" t="s">
        <v>68</v>
      </c>
      <c r="K316">
        <v>18.1017277609375</v>
      </c>
      <c r="L316">
        <v>16.532162060937502</v>
      </c>
      <c r="M316">
        <v>940.15520697336513</v>
      </c>
      <c r="N316">
        <v>21707.487902518409</v>
      </c>
      <c r="O316" t="s">
        <v>739</v>
      </c>
      <c r="Q316">
        <v>10.058</v>
      </c>
      <c r="R316">
        <v>1324.9639999999999</v>
      </c>
      <c r="S316">
        <v>50</v>
      </c>
      <c r="T316">
        <v>103.0434329964922</v>
      </c>
      <c r="U316">
        <v>5.8705139200011377E-3</v>
      </c>
      <c r="V316">
        <v>0.11616870068709061</v>
      </c>
      <c r="W316">
        <v>4.4741030608519954E-3</v>
      </c>
      <c r="X316">
        <v>0</v>
      </c>
      <c r="Y316">
        <v>8.595420789571373E-2</v>
      </c>
      <c r="Z316">
        <v>0.38204634071675109</v>
      </c>
      <c r="AA316">
        <v>2.7080950168525301E-2</v>
      </c>
      <c r="AB316">
        <v>1.638464879038831</v>
      </c>
      <c r="AC316">
        <v>0.1114410897804214</v>
      </c>
      <c r="AD316">
        <v>1199.786499408448</v>
      </c>
      <c r="AE316">
        <v>50</v>
      </c>
      <c r="AF316">
        <v>82.927816187373693</v>
      </c>
      <c r="AG316">
        <v>2.3548666666666702</v>
      </c>
      <c r="AH316">
        <v>13.693199999999999</v>
      </c>
      <c r="AI316">
        <v>0.31578888888888901</v>
      </c>
      <c r="AJ316">
        <v>10.647211111111099</v>
      </c>
      <c r="AK316">
        <v>0.57640000000000002</v>
      </c>
      <c r="AL316">
        <v>2.9864222222222199</v>
      </c>
      <c r="AM316">
        <v>50.176744444444402</v>
      </c>
      <c r="AN316">
        <v>6.02064444444445</v>
      </c>
      <c r="AP316">
        <v>0.192211111111111</v>
      </c>
      <c r="AQ316">
        <v>98.596999999999909</v>
      </c>
      <c r="AR316">
        <v>0.13013498760902101</v>
      </c>
      <c r="AS316">
        <v>0.18486291542653999</v>
      </c>
      <c r="AT316">
        <v>3.2683881518435202E-2</v>
      </c>
      <c r="AU316">
        <v>0.25932300054393698</v>
      </c>
      <c r="AV316">
        <v>5.4947019937390602E-2</v>
      </c>
      <c r="AW316">
        <v>8.2598785974398195E-2</v>
      </c>
      <c r="AX316">
        <v>1.0616485472027799</v>
      </c>
      <c r="AY316">
        <v>0.12895273466575999</v>
      </c>
      <c r="BA316">
        <v>3.7379287193726803E-2</v>
      </c>
      <c r="BE316">
        <v>0.1090961397764115</v>
      </c>
      <c r="BF316">
        <v>13123</v>
      </c>
      <c r="BG316">
        <v>328763.88172356738</v>
      </c>
      <c r="BH316">
        <v>224.05390978145761</v>
      </c>
      <c r="BI316">
        <v>323.49465802818128</v>
      </c>
      <c r="BJ316">
        <v>1.9558518826289799</v>
      </c>
      <c r="BK316">
        <v>224.05390978145769</v>
      </c>
    </row>
    <row r="317" spans="1:63" x14ac:dyDescent="0.2">
      <c r="A317">
        <v>315</v>
      </c>
      <c r="B317" t="s">
        <v>69</v>
      </c>
      <c r="C317" t="s">
        <v>236</v>
      </c>
      <c r="D317" t="s">
        <v>64</v>
      </c>
      <c r="E317">
        <v>-155.292979</v>
      </c>
      <c r="F317">
        <v>19.400748</v>
      </c>
      <c r="G317" t="s">
        <v>237</v>
      </c>
      <c r="H317" t="s">
        <v>604</v>
      </c>
      <c r="I317" t="s">
        <v>740</v>
      </c>
      <c r="J317" t="s">
        <v>68</v>
      </c>
      <c r="K317">
        <v>7.2204787617187502</v>
      </c>
      <c r="L317">
        <v>6.5558192937500008</v>
      </c>
      <c r="M317">
        <v>148.71091358078721</v>
      </c>
      <c r="N317">
        <v>1365.790579726653</v>
      </c>
      <c r="Q317">
        <v>9.8970000000000002</v>
      </c>
      <c r="R317">
        <v>1324.9639999999999</v>
      </c>
      <c r="S317">
        <v>50</v>
      </c>
      <c r="T317">
        <v>103.0437044110145</v>
      </c>
      <c r="U317">
        <v>7.1212573178419938E-3</v>
      </c>
      <c r="V317">
        <v>0.1162762460162341</v>
      </c>
      <c r="W317">
        <v>4.7507951392665344E-3</v>
      </c>
      <c r="X317">
        <v>8.7617504656895182</v>
      </c>
      <c r="Y317">
        <v>8.3259977066677537E-2</v>
      </c>
      <c r="Z317">
        <v>0.39412921606438689</v>
      </c>
      <c r="AA317">
        <v>2.7632779018034612E-2</v>
      </c>
      <c r="AB317">
        <v>1.6881520716182601</v>
      </c>
      <c r="AC317">
        <v>0.1134041229629144</v>
      </c>
      <c r="AD317">
        <v>1246.87020398815</v>
      </c>
      <c r="AE317">
        <v>50</v>
      </c>
      <c r="AF317">
        <v>85.841375886853953</v>
      </c>
      <c r="AG317">
        <v>2.0274999999999999</v>
      </c>
      <c r="AH317">
        <v>12.7525</v>
      </c>
      <c r="AI317">
        <v>0.17249999999999999</v>
      </c>
      <c r="AJ317">
        <v>11.092499999999999</v>
      </c>
      <c r="AK317">
        <v>0.51750000000000007</v>
      </c>
      <c r="AL317">
        <v>2.5150000000000001</v>
      </c>
      <c r="AM317">
        <v>50.63</v>
      </c>
      <c r="AN317">
        <v>7.415</v>
      </c>
      <c r="AP317">
        <v>1685.75</v>
      </c>
      <c r="AR317">
        <v>0.17231270024773751</v>
      </c>
      <c r="AS317">
        <v>0.13450526631573459</v>
      </c>
      <c r="AT317">
        <v>4.9999999999999836E-3</v>
      </c>
      <c r="AU317">
        <v>0.29227555491350982</v>
      </c>
      <c r="AV317">
        <v>2.061552812808835E-2</v>
      </c>
      <c r="AW317">
        <v>6.2449979983983737E-2</v>
      </c>
      <c r="AX317">
        <v>0.21556128285632961</v>
      </c>
      <c r="AY317">
        <v>0.39770173078158311</v>
      </c>
      <c r="BA317">
        <v>51.951098801340748</v>
      </c>
      <c r="BE317">
        <v>0.11981957579896139</v>
      </c>
      <c r="BF317">
        <v>11941</v>
      </c>
      <c r="BG317">
        <v>770030.05358050019</v>
      </c>
      <c r="BH317">
        <v>36.97502050461533</v>
      </c>
      <c r="BI317">
        <v>495.08401177305979</v>
      </c>
      <c r="BJ317">
        <v>0.33836705722437371</v>
      </c>
      <c r="BK317">
        <v>36.975020504615337</v>
      </c>
    </row>
    <row r="318" spans="1:63" x14ac:dyDescent="0.2">
      <c r="A318">
        <v>316</v>
      </c>
      <c r="B318" t="s">
        <v>69</v>
      </c>
      <c r="C318" t="s">
        <v>278</v>
      </c>
      <c r="D318" t="s">
        <v>144</v>
      </c>
      <c r="E318">
        <v>-154.873789449106</v>
      </c>
      <c r="F318">
        <v>19.5537282409346</v>
      </c>
      <c r="G318" t="s">
        <v>279</v>
      </c>
      <c r="H318" t="s">
        <v>741</v>
      </c>
      <c r="I318" t="s">
        <v>742</v>
      </c>
      <c r="J318" t="s">
        <v>68</v>
      </c>
      <c r="K318">
        <v>7.7093989421874998</v>
      </c>
      <c r="L318">
        <v>5.8639620789062503</v>
      </c>
      <c r="M318">
        <v>142.0239364543167</v>
      </c>
      <c r="N318">
        <v>1285.1614420875451</v>
      </c>
      <c r="O318" t="s">
        <v>743</v>
      </c>
      <c r="Q318">
        <v>11.965999999999999</v>
      </c>
      <c r="R318">
        <v>1325.0039999999999</v>
      </c>
      <c r="S318">
        <v>50</v>
      </c>
      <c r="T318">
        <v>103.04396030461081</v>
      </c>
      <c r="U318">
        <v>5.3797956533746007E-2</v>
      </c>
      <c r="V318">
        <v>0.1163776413314324</v>
      </c>
      <c r="W318">
        <v>2.165686255498794E-2</v>
      </c>
      <c r="X318">
        <v>0</v>
      </c>
      <c r="Y318">
        <v>8.5193967046171437E-2</v>
      </c>
      <c r="Z318">
        <v>0.38538985727775238</v>
      </c>
      <c r="AA318">
        <v>7.4486050267941126E-2</v>
      </c>
      <c r="AB318">
        <v>1.652226397682353</v>
      </c>
      <c r="AC318">
        <v>0.30577537361564239</v>
      </c>
      <c r="AD318">
        <v>1210.443131651672</v>
      </c>
      <c r="AE318">
        <v>50</v>
      </c>
      <c r="AF318">
        <v>83.684714543829827</v>
      </c>
    </row>
    <row r="319" spans="1:63" x14ac:dyDescent="0.2">
      <c r="A319">
        <v>317</v>
      </c>
      <c r="B319" t="s">
        <v>69</v>
      </c>
      <c r="C319" t="s">
        <v>169</v>
      </c>
      <c r="D319" t="s">
        <v>64</v>
      </c>
      <c r="E319">
        <v>-155.29196300000001</v>
      </c>
      <c r="F319">
        <v>19.398634000000001</v>
      </c>
      <c r="G319" t="s">
        <v>170</v>
      </c>
      <c r="H319" t="s">
        <v>744</v>
      </c>
      <c r="I319" t="s">
        <v>745</v>
      </c>
      <c r="J319" t="s">
        <v>68</v>
      </c>
      <c r="K319">
        <v>8.2556784734375004</v>
      </c>
      <c r="L319">
        <v>7.9011198117187504</v>
      </c>
      <c r="M319">
        <v>204.9232762691953</v>
      </c>
      <c r="N319">
        <v>2207.2693590764889</v>
      </c>
      <c r="Q319">
        <v>9.9089999999999989</v>
      </c>
      <c r="R319">
        <v>1324.9639999999999</v>
      </c>
      <c r="S319">
        <v>50</v>
      </c>
      <c r="T319">
        <v>103.0450708556574</v>
      </c>
      <c r="U319">
        <v>2.4323651701171581E-2</v>
      </c>
      <c r="V319">
        <v>0.1168176862369729</v>
      </c>
      <c r="W319">
        <v>1.060195418955971E-2</v>
      </c>
      <c r="X319">
        <v>0</v>
      </c>
      <c r="Y319">
        <v>8.6507139822071477E-2</v>
      </c>
      <c r="Z319">
        <v>0.37966030551996821</v>
      </c>
      <c r="AA319">
        <v>7.1032455142934506E-2</v>
      </c>
      <c r="AB319">
        <v>1.628638466671207</v>
      </c>
      <c r="AC319">
        <v>0.29244398422934692</v>
      </c>
      <c r="AD319">
        <v>1181.8156523104919</v>
      </c>
      <c r="AE319">
        <v>50</v>
      </c>
      <c r="AF319">
        <v>81.447346429002891</v>
      </c>
      <c r="AG319">
        <v>2.5390516666666669</v>
      </c>
      <c r="AH319">
        <v>13.89052597266207</v>
      </c>
      <c r="AI319">
        <v>0.24399675000000001</v>
      </c>
      <c r="AJ319">
        <v>11.205616666666669</v>
      </c>
      <c r="AK319">
        <v>0.47515841666666669</v>
      </c>
      <c r="AL319">
        <v>2.6323025000000002</v>
      </c>
      <c r="AM319">
        <v>50.778866165683027</v>
      </c>
      <c r="AN319">
        <v>6.7552275000000002</v>
      </c>
      <c r="AP319">
        <v>0.17074191666666669</v>
      </c>
      <c r="AR319">
        <v>5.5209421763999247E-2</v>
      </c>
      <c r="AS319">
        <v>0.23260322971847319</v>
      </c>
      <c r="AT319">
        <v>2.215836573857705E-2</v>
      </c>
      <c r="AU319">
        <v>0.13946342520423419</v>
      </c>
      <c r="AV319">
        <v>1.8188943372071519E-2</v>
      </c>
      <c r="AW319">
        <v>3.4278244127355022E-2</v>
      </c>
      <c r="AX319">
        <v>0.34681065155483992</v>
      </c>
      <c r="AY319">
        <v>0.48865100303376952</v>
      </c>
      <c r="BA319">
        <v>2.081601264087701E-2</v>
      </c>
      <c r="BE319">
        <v>0.1015360561485823</v>
      </c>
      <c r="BF319">
        <v>5547</v>
      </c>
      <c r="BG319">
        <v>89866.607841192279</v>
      </c>
      <c r="BH319">
        <v>101.2702149996354</v>
      </c>
      <c r="BI319">
        <v>169.13139777596959</v>
      </c>
      <c r="BJ319">
        <v>1.3597299044402511</v>
      </c>
      <c r="BK319">
        <v>101.2702149996355</v>
      </c>
    </row>
    <row r="320" spans="1:63" x14ac:dyDescent="0.2">
      <c r="A320">
        <v>318</v>
      </c>
      <c r="B320" t="s">
        <v>69</v>
      </c>
      <c r="C320" t="s">
        <v>297</v>
      </c>
      <c r="D320" t="s">
        <v>64</v>
      </c>
      <c r="E320">
        <v>-155.27754999999999</v>
      </c>
      <c r="F320">
        <v>19.401</v>
      </c>
      <c r="G320" t="s">
        <v>298</v>
      </c>
      <c r="H320" t="s">
        <v>746</v>
      </c>
      <c r="I320" t="s">
        <v>747</v>
      </c>
      <c r="J320" t="s">
        <v>68</v>
      </c>
      <c r="K320">
        <v>9.6600817874999994</v>
      </c>
      <c r="L320">
        <v>8.4747133195312507</v>
      </c>
      <c r="M320">
        <v>257.19095556151899</v>
      </c>
      <c r="N320">
        <v>3109.4035216598181</v>
      </c>
      <c r="Q320">
        <v>9.9700000000000006</v>
      </c>
      <c r="R320">
        <v>1324.9639999999999</v>
      </c>
      <c r="S320">
        <v>50</v>
      </c>
      <c r="T320">
        <v>103.0458456728816</v>
      </c>
      <c r="U320">
        <v>8.6440880341197741E-3</v>
      </c>
      <c r="V320">
        <v>0.11712469992473019</v>
      </c>
      <c r="W320">
        <v>5.1331378976656626E-3</v>
      </c>
      <c r="X320">
        <v>0</v>
      </c>
      <c r="Y320">
        <v>8.5953471342488097E-2</v>
      </c>
      <c r="Z320">
        <v>0.38206566943972409</v>
      </c>
      <c r="AA320">
        <v>2.9433101339391879E-2</v>
      </c>
      <c r="AB320">
        <v>1.6385444609017521</v>
      </c>
      <c r="AC320">
        <v>0.1210398820335097</v>
      </c>
      <c r="AD320">
        <v>1187.4323307789441</v>
      </c>
      <c r="AE320">
        <v>50</v>
      </c>
      <c r="AF320">
        <v>81.943400176253547</v>
      </c>
      <c r="AG320">
        <v>2.321825</v>
      </c>
      <c r="AH320">
        <v>13.7706416666667</v>
      </c>
      <c r="AI320">
        <v>0.268625</v>
      </c>
      <c r="AJ320">
        <v>10.802308333333301</v>
      </c>
      <c r="AK320">
        <v>0.55051666666666699</v>
      </c>
      <c r="AL320">
        <v>2.808325</v>
      </c>
      <c r="AM320">
        <v>50.309224999999998</v>
      </c>
      <c r="AN320">
        <v>6.0358333333333301</v>
      </c>
      <c r="AP320">
        <v>0.19646666666666701</v>
      </c>
      <c r="AQ320">
        <v>98.455249999999964</v>
      </c>
      <c r="AR320">
        <v>0.116299942351272</v>
      </c>
      <c r="AS320">
        <v>0.28611493068451699</v>
      </c>
      <c r="AT320">
        <v>2.3686019082994898E-2</v>
      </c>
      <c r="AU320">
        <v>0.25896941012171298</v>
      </c>
      <c r="AV320">
        <v>2.1496673456536702E-2</v>
      </c>
      <c r="AW320">
        <v>4.2624494131895597E-2</v>
      </c>
      <c r="AX320">
        <v>0.80521115370159502</v>
      </c>
      <c r="AY320">
        <v>0.14527452591142001</v>
      </c>
      <c r="BA320">
        <v>2.9538244341664601E-2</v>
      </c>
      <c r="BE320">
        <v>7.7539889557164246E-2</v>
      </c>
      <c r="BF320">
        <v>11056</v>
      </c>
      <c r="BG320">
        <v>177389.51661835689</v>
      </c>
      <c r="BH320">
        <v>68.322752199332555</v>
      </c>
      <c r="BI320">
        <v>237.62330871567889</v>
      </c>
      <c r="BJ320">
        <v>0.64977999644910711</v>
      </c>
      <c r="BK320">
        <v>68.322752199332541</v>
      </c>
    </row>
    <row r="321" spans="1:63" x14ac:dyDescent="0.2">
      <c r="A321">
        <v>319</v>
      </c>
      <c r="B321" t="s">
        <v>69</v>
      </c>
      <c r="C321" t="s">
        <v>169</v>
      </c>
      <c r="D321" t="s">
        <v>64</v>
      </c>
      <c r="E321">
        <v>-155.29196300000001</v>
      </c>
      <c r="F321">
        <v>19.398634000000001</v>
      </c>
      <c r="G321" t="s">
        <v>170</v>
      </c>
      <c r="H321" t="s">
        <v>710</v>
      </c>
      <c r="I321" t="s">
        <v>748</v>
      </c>
      <c r="J321" t="s">
        <v>68</v>
      </c>
      <c r="K321">
        <v>7.0677529523437501</v>
      </c>
      <c r="L321">
        <v>5.9199266734374998</v>
      </c>
      <c r="M321">
        <v>131.44605631157759</v>
      </c>
      <c r="N321">
        <v>1138.119511631447</v>
      </c>
      <c r="Q321">
        <v>10.089</v>
      </c>
      <c r="R321">
        <v>1324.7670000000001</v>
      </c>
      <c r="S321">
        <v>50</v>
      </c>
      <c r="T321">
        <v>103.0462894785601</v>
      </c>
      <c r="U321">
        <v>7.2077780806490853E-3</v>
      </c>
      <c r="V321">
        <v>0.11730055355025119</v>
      </c>
      <c r="W321">
        <v>4.7724618116629976E-3</v>
      </c>
      <c r="X321">
        <v>3.3092742456847</v>
      </c>
      <c r="Y321">
        <v>8.6071172614815783E-2</v>
      </c>
      <c r="Z321">
        <v>0.38155614407430188</v>
      </c>
      <c r="AA321">
        <v>2.7325753868209249E-2</v>
      </c>
      <c r="AB321">
        <v>1.636446494200386</v>
      </c>
      <c r="AC321">
        <v>0.11238714839959089</v>
      </c>
      <c r="AD321">
        <v>1183.1483196562201</v>
      </c>
      <c r="AE321">
        <v>50</v>
      </c>
      <c r="AF321">
        <v>81.568244122566654</v>
      </c>
      <c r="AG321">
        <v>2.5390516666666669</v>
      </c>
      <c r="AH321">
        <v>13.89052597266207</v>
      </c>
      <c r="AI321">
        <v>0.24399675000000001</v>
      </c>
      <c r="AJ321">
        <v>11.205616666666669</v>
      </c>
      <c r="AK321">
        <v>0.47515841666666669</v>
      </c>
      <c r="AL321">
        <v>2.6323025000000002</v>
      </c>
      <c r="AM321">
        <v>50.778866165683027</v>
      </c>
      <c r="AN321">
        <v>6.7552275000000002</v>
      </c>
      <c r="AP321">
        <v>0.17074191666666669</v>
      </c>
      <c r="AR321">
        <v>5.5209421763999247E-2</v>
      </c>
      <c r="AS321">
        <v>0.23260322971847319</v>
      </c>
      <c r="AT321">
        <v>2.215836573857705E-2</v>
      </c>
      <c r="AU321">
        <v>0.13946342520423419</v>
      </c>
      <c r="AV321">
        <v>1.8188943372071519E-2</v>
      </c>
      <c r="AW321">
        <v>3.4278244127355022E-2</v>
      </c>
      <c r="AX321">
        <v>0.34681065155483992</v>
      </c>
      <c r="AY321">
        <v>0.48865100303376952</v>
      </c>
      <c r="BA321">
        <v>2.081601264087701E-2</v>
      </c>
      <c r="BE321">
        <v>0.27098888342744543</v>
      </c>
      <c r="BF321">
        <v>5812</v>
      </c>
      <c r="BG321">
        <v>52707.050033182248</v>
      </c>
      <c r="BH321">
        <v>120.1304158238607</v>
      </c>
      <c r="BI321">
        <v>129.52673506711119</v>
      </c>
      <c r="BJ321">
        <v>1.5757603833128691</v>
      </c>
      <c r="BK321">
        <v>120.1304158238607</v>
      </c>
    </row>
    <row r="322" spans="1:63" x14ac:dyDescent="0.2">
      <c r="A322">
        <v>320</v>
      </c>
      <c r="B322" t="s">
        <v>69</v>
      </c>
      <c r="C322" t="s">
        <v>91</v>
      </c>
      <c r="D322" t="s">
        <v>92</v>
      </c>
      <c r="E322">
        <v>-155.28360000000001</v>
      </c>
      <c r="F322">
        <v>19.4285</v>
      </c>
      <c r="G322" t="s">
        <v>93</v>
      </c>
      <c r="H322" t="s">
        <v>749</v>
      </c>
      <c r="I322" t="s">
        <v>750</v>
      </c>
      <c r="J322" t="s">
        <v>68</v>
      </c>
      <c r="K322">
        <v>7.0193432875000008</v>
      </c>
      <c r="L322">
        <v>5.9828069343749997</v>
      </c>
      <c r="M322">
        <v>131.93236376882641</v>
      </c>
      <c r="N322">
        <v>1143.6029418995599</v>
      </c>
      <c r="Q322">
        <v>12.071999999999999</v>
      </c>
      <c r="R322">
        <v>1325.0039999999999</v>
      </c>
      <c r="S322">
        <v>50</v>
      </c>
      <c r="T322">
        <v>103.04639681271971</v>
      </c>
      <c r="U322">
        <v>5.5686780684778671E-3</v>
      </c>
      <c r="V322">
        <v>0.1173430836529938</v>
      </c>
      <c r="W322">
        <v>4.4159392480264499E-3</v>
      </c>
      <c r="X322">
        <v>0</v>
      </c>
      <c r="Y322">
        <v>8.5151788957273267E-2</v>
      </c>
      <c r="Z322">
        <v>0.38559298392732111</v>
      </c>
      <c r="AA322">
        <v>3.1157191540156969E-2</v>
      </c>
      <c r="AB322">
        <v>1.653062138975212</v>
      </c>
      <c r="AC322">
        <v>0.12805934991183451</v>
      </c>
      <c r="AD322">
        <v>1198.612857199148</v>
      </c>
      <c r="AE322">
        <v>50</v>
      </c>
      <c r="AF322">
        <v>82.839706765782978</v>
      </c>
      <c r="AG322">
        <v>2.1005484848484852</v>
      </c>
      <c r="AH322">
        <v>12.543751515151509</v>
      </c>
      <c r="AJ322">
        <v>10.35766363636364</v>
      </c>
      <c r="AK322">
        <v>0.36914545454545461</v>
      </c>
      <c r="AL322">
        <v>2.199157575757575</v>
      </c>
      <c r="AM322">
        <v>49.88770303030303</v>
      </c>
      <c r="AN322">
        <v>8.5799181818181811</v>
      </c>
      <c r="AP322">
        <v>1.6854545454545459E-2</v>
      </c>
      <c r="AQ322">
        <v>97.165912121212131</v>
      </c>
      <c r="AR322">
        <v>0.12875285220435931</v>
      </c>
      <c r="AS322">
        <v>0.27438160598108169</v>
      </c>
      <c r="AU322">
        <v>0.23223845883350949</v>
      </c>
      <c r="AV322">
        <v>3.2777460728649822E-2</v>
      </c>
      <c r="AW322">
        <v>6.9021124620940399E-2</v>
      </c>
      <c r="AX322">
        <v>0.52796007335122563</v>
      </c>
      <c r="AY322">
        <v>0.70241800520351916</v>
      </c>
      <c r="BA322">
        <v>4.4618585609790254E-3</v>
      </c>
      <c r="BB322">
        <v>33</v>
      </c>
      <c r="BC322" t="s">
        <v>86</v>
      </c>
    </row>
    <row r="323" spans="1:63" x14ac:dyDescent="0.2">
      <c r="A323">
        <v>321</v>
      </c>
      <c r="B323" t="s">
        <v>69</v>
      </c>
      <c r="C323" t="s">
        <v>143</v>
      </c>
      <c r="D323" t="s">
        <v>144</v>
      </c>
      <c r="E323">
        <v>-155.22516669999999</v>
      </c>
      <c r="F323">
        <v>19.371883329999999</v>
      </c>
      <c r="G323" t="s">
        <v>145</v>
      </c>
      <c r="H323" t="s">
        <v>650</v>
      </c>
      <c r="I323" t="s">
        <v>751</v>
      </c>
      <c r="J323" t="s">
        <v>68</v>
      </c>
      <c r="K323">
        <v>8.4634971546874986</v>
      </c>
      <c r="L323">
        <v>8.2233085054687507</v>
      </c>
      <c r="M323">
        <v>218.64840257574261</v>
      </c>
      <c r="N323">
        <v>2432.3622677900162</v>
      </c>
      <c r="Q323">
        <v>6.0060000000000002</v>
      </c>
      <c r="R323">
        <v>1324.9639999999999</v>
      </c>
      <c r="S323">
        <v>50</v>
      </c>
      <c r="T323">
        <v>103.04645075808109</v>
      </c>
      <c r="U323">
        <v>7.8733726482342805E-3</v>
      </c>
      <c r="V323">
        <v>0.11736445897071229</v>
      </c>
      <c r="W323">
        <v>4.9348913454240117E-3</v>
      </c>
      <c r="X323">
        <v>1.4297012751835501</v>
      </c>
      <c r="Y323">
        <v>8.3185978620580858E-2</v>
      </c>
      <c r="Z323">
        <v>0.39448935441483662</v>
      </c>
      <c r="AA323">
        <v>3.0347552740165869E-2</v>
      </c>
      <c r="AB323">
        <v>1.6896311469592831</v>
      </c>
      <c r="AC323">
        <v>0.1244690811715142</v>
      </c>
      <c r="AD323">
        <v>1233.6578890224559</v>
      </c>
      <c r="AE323">
        <v>50</v>
      </c>
      <c r="AF323">
        <v>85.121216155295869</v>
      </c>
      <c r="AG323">
        <v>2.1961249999999999</v>
      </c>
      <c r="AH323">
        <v>13.214425</v>
      </c>
      <c r="AI323">
        <v>0.23326250000000001</v>
      </c>
      <c r="AJ323">
        <v>10.8680875</v>
      </c>
      <c r="AK323">
        <v>0.46184999999999998</v>
      </c>
      <c r="AL323">
        <v>2.5506250000000001</v>
      </c>
      <c r="AM323">
        <v>49.975887499999999</v>
      </c>
      <c r="AN323">
        <v>7.4385374999999998</v>
      </c>
      <c r="AP323">
        <v>0.2354</v>
      </c>
      <c r="AQ323">
        <v>98.48666249999998</v>
      </c>
      <c r="AR323">
        <v>5.6378814410075299E-2</v>
      </c>
      <c r="AS323">
        <v>0.24941022862516499</v>
      </c>
      <c r="AT323">
        <v>1.4003870638403601E-2</v>
      </c>
      <c r="AU323">
        <v>0.27584699401505702</v>
      </c>
      <c r="AV323">
        <v>3.1668731762237799E-2</v>
      </c>
      <c r="AW323">
        <v>4.2427543277585897E-2</v>
      </c>
      <c r="AX323">
        <v>0.67605985245919198</v>
      </c>
      <c r="AY323">
        <v>0.10614118545597701</v>
      </c>
      <c r="BA323">
        <v>4.3851209463691802E-2</v>
      </c>
      <c r="BE323">
        <v>0.12435975189570909</v>
      </c>
      <c r="BF323">
        <v>38821</v>
      </c>
      <c r="BG323">
        <v>2493909.823056608</v>
      </c>
      <c r="BH323">
        <v>489.90482325080978</v>
      </c>
      <c r="BI323">
        <v>890.97483237731615</v>
      </c>
      <c r="BJ323">
        <v>2.4864421314818448</v>
      </c>
      <c r="BK323">
        <v>489.90482325080961</v>
      </c>
    </row>
    <row r="324" spans="1:63" x14ac:dyDescent="0.2">
      <c r="A324">
        <v>322</v>
      </c>
      <c r="B324" t="s">
        <v>69</v>
      </c>
      <c r="C324" t="s">
        <v>70</v>
      </c>
      <c r="D324" t="s">
        <v>71</v>
      </c>
      <c r="E324">
        <v>-155.29347999999999</v>
      </c>
      <c r="F324">
        <v>19.377479999999998</v>
      </c>
      <c r="G324" t="s">
        <v>112</v>
      </c>
      <c r="H324" t="s">
        <v>752</v>
      </c>
      <c r="I324" t="s">
        <v>753</v>
      </c>
      <c r="J324" t="s">
        <v>68</v>
      </c>
      <c r="K324">
        <v>4.0130624203125</v>
      </c>
      <c r="L324">
        <v>3.4696886312499999</v>
      </c>
      <c r="M324">
        <v>43.743778187948557</v>
      </c>
      <c r="N324">
        <v>218.21586815679251</v>
      </c>
      <c r="Q324">
        <v>11.954000000000001</v>
      </c>
      <c r="R324">
        <v>1324.9639999999999</v>
      </c>
      <c r="S324">
        <v>100</v>
      </c>
      <c r="T324">
        <v>103.0464854324603</v>
      </c>
      <c r="U324">
        <v>5.9992695980150612E-2</v>
      </c>
      <c r="V324">
        <v>0.1173781983516733</v>
      </c>
      <c r="W324">
        <v>2.407707195814766E-2</v>
      </c>
      <c r="X324">
        <v>0</v>
      </c>
      <c r="Y324">
        <v>7.9044503582762604E-2</v>
      </c>
      <c r="Z324">
        <v>0.41457762807581289</v>
      </c>
      <c r="AA324">
        <v>9.0608231586236432E-2</v>
      </c>
      <c r="AB324">
        <v>1.771961060132953</v>
      </c>
      <c r="AC324">
        <v>0.37022514889197611</v>
      </c>
      <c r="AD324">
        <v>1313.528989268746</v>
      </c>
      <c r="AE324">
        <v>50</v>
      </c>
      <c r="AF324">
        <v>88.804346035168606</v>
      </c>
      <c r="AG324">
        <v>2.1280100000000002</v>
      </c>
      <c r="AH324">
        <v>12.511455</v>
      </c>
      <c r="AI324">
        <v>0.21128</v>
      </c>
      <c r="AJ324">
        <v>10.547185000000001</v>
      </c>
      <c r="AK324">
        <v>0.43435000000000001</v>
      </c>
      <c r="AL324">
        <v>2.4173399999999998</v>
      </c>
      <c r="AM324">
        <v>50.003889999999998</v>
      </c>
      <c r="AN324">
        <v>8.5805450000000008</v>
      </c>
      <c r="AO324">
        <v>11.0444</v>
      </c>
      <c r="AP324">
        <v>0.37786999999999998</v>
      </c>
      <c r="AQ324">
        <v>98.290260000000004</v>
      </c>
      <c r="AR324">
        <v>4.7093422517846893E-2</v>
      </c>
      <c r="AS324">
        <v>0.17423154844121161</v>
      </c>
      <c r="AT324">
        <v>2.1925114974993089E-2</v>
      </c>
      <c r="AU324">
        <v>0.1853741817244248</v>
      </c>
      <c r="AV324">
        <v>1.0520403456564249E-2</v>
      </c>
      <c r="AW324">
        <v>3.5166562401109248E-2</v>
      </c>
      <c r="AX324">
        <v>0.46106226248619608</v>
      </c>
      <c r="AY324">
        <v>0.4051107053427907</v>
      </c>
      <c r="AZ324">
        <v>0.14841023100402101</v>
      </c>
      <c r="BA324">
        <v>1.7068639208924791E-2</v>
      </c>
      <c r="BD324" t="s">
        <v>754</v>
      </c>
      <c r="BE324">
        <v>0.17157894610142219</v>
      </c>
      <c r="BF324">
        <v>17208</v>
      </c>
      <c r="BG324">
        <v>846132.17746269889</v>
      </c>
      <c r="BH324">
        <v>915.76828801560225</v>
      </c>
      <c r="BI324">
        <v>518.97228934172836</v>
      </c>
      <c r="BJ324">
        <v>6.9810444239475986</v>
      </c>
      <c r="BK324">
        <v>915.76828801560202</v>
      </c>
    </row>
    <row r="325" spans="1:63" x14ac:dyDescent="0.2">
      <c r="A325">
        <v>323</v>
      </c>
      <c r="B325" t="s">
        <v>69</v>
      </c>
      <c r="C325" t="s">
        <v>169</v>
      </c>
      <c r="D325" t="s">
        <v>64</v>
      </c>
      <c r="E325">
        <v>-155.29196300000001</v>
      </c>
      <c r="F325">
        <v>19.398634000000001</v>
      </c>
      <c r="G325" t="s">
        <v>170</v>
      </c>
      <c r="H325" t="s">
        <v>755</v>
      </c>
      <c r="I325" t="s">
        <v>756</v>
      </c>
      <c r="J325" t="s">
        <v>90</v>
      </c>
      <c r="O325" t="s">
        <v>296</v>
      </c>
      <c r="Q325">
        <v>10.095000000000001</v>
      </c>
      <c r="R325">
        <v>1324.7670000000001</v>
      </c>
      <c r="S325">
        <v>100</v>
      </c>
      <c r="T325">
        <v>103.0464977688861</v>
      </c>
      <c r="U325">
        <v>1.335676537347235E-2</v>
      </c>
      <c r="V325">
        <v>0.11738308653880131</v>
      </c>
      <c r="W325">
        <v>6.5292393923856804E-3</v>
      </c>
      <c r="X325">
        <v>13.928178084082541</v>
      </c>
      <c r="Y325">
        <v>8.6370502617587386E-2</v>
      </c>
      <c r="Z325">
        <v>0.38025968533456789</v>
      </c>
      <c r="AA325">
        <v>3.1707035661339082E-2</v>
      </c>
      <c r="AB325">
        <v>1.6311073461221239</v>
      </c>
      <c r="AC325">
        <v>0.13041386695969209</v>
      </c>
      <c r="AD325">
        <v>1176.953660501104</v>
      </c>
      <c r="AE325">
        <v>50</v>
      </c>
      <c r="AF325">
        <v>80.987433207227127</v>
      </c>
      <c r="AG325">
        <v>2.5390516666666669</v>
      </c>
      <c r="AH325">
        <v>13.89052597266207</v>
      </c>
      <c r="AI325">
        <v>0.24399675000000001</v>
      </c>
      <c r="AJ325">
        <v>11.205616666666669</v>
      </c>
      <c r="AK325">
        <v>0.47515841666666669</v>
      </c>
      <c r="AL325">
        <v>2.6323025000000002</v>
      </c>
      <c r="AM325">
        <v>50.778866165683027</v>
      </c>
      <c r="AN325">
        <v>6.7552275000000002</v>
      </c>
      <c r="AP325">
        <v>0.17074191666666669</v>
      </c>
      <c r="AR325">
        <v>5.5209421763999247E-2</v>
      </c>
      <c r="AS325">
        <v>0.23260322971847319</v>
      </c>
      <c r="AT325">
        <v>2.215836573857705E-2</v>
      </c>
      <c r="AU325">
        <v>0.13946342520423419</v>
      </c>
      <c r="AV325">
        <v>1.8188943372071519E-2</v>
      </c>
      <c r="AW325">
        <v>3.4278244127355022E-2</v>
      </c>
      <c r="AX325">
        <v>0.34681065155483992</v>
      </c>
      <c r="AY325">
        <v>0.48865100303376952</v>
      </c>
      <c r="BA325">
        <v>2.081601264087701E-2</v>
      </c>
      <c r="BE325">
        <v>0.18701306424477229</v>
      </c>
      <c r="BF325">
        <v>12082</v>
      </c>
      <c r="BG325">
        <v>194095.8744650562</v>
      </c>
      <c r="BH325">
        <v>156.96360156059231</v>
      </c>
      <c r="BI325">
        <v>248.5611307298777</v>
      </c>
      <c r="BJ325">
        <v>1.428004379696276</v>
      </c>
      <c r="BK325">
        <v>156.9636015605922</v>
      </c>
    </row>
    <row r="326" spans="1:63" x14ac:dyDescent="0.2">
      <c r="A326">
        <v>324</v>
      </c>
      <c r="B326" t="s">
        <v>69</v>
      </c>
      <c r="C326" t="s">
        <v>177</v>
      </c>
      <c r="D326" t="s">
        <v>144</v>
      </c>
      <c r="E326">
        <v>-155.2086333</v>
      </c>
      <c r="F326">
        <v>19.347316670000001</v>
      </c>
      <c r="G326" t="s">
        <v>178</v>
      </c>
      <c r="H326" t="s">
        <v>757</v>
      </c>
      <c r="I326" t="s">
        <v>758</v>
      </c>
      <c r="J326" t="s">
        <v>68</v>
      </c>
      <c r="K326">
        <v>7.0269563320312498</v>
      </c>
      <c r="L326">
        <v>5.4708151609375006</v>
      </c>
      <c r="M326">
        <v>120.7728094700942</v>
      </c>
      <c r="N326">
        <v>1006.26065021406</v>
      </c>
      <c r="Q326">
        <v>9.9979999999999993</v>
      </c>
      <c r="R326">
        <v>1324.9639999999999</v>
      </c>
      <c r="S326">
        <v>50</v>
      </c>
      <c r="T326">
        <v>103.0466315725715</v>
      </c>
      <c r="U326">
        <v>1.8883255990719269E-2</v>
      </c>
      <c r="V326">
        <v>0.11743610493025609</v>
      </c>
      <c r="W326">
        <v>8.4027402793501113E-3</v>
      </c>
      <c r="X326">
        <v>0</v>
      </c>
      <c r="Y326">
        <v>8.0412451548512842E-2</v>
      </c>
      <c r="Z326">
        <v>0.4077232703854719</v>
      </c>
      <c r="AA326">
        <v>3.8142234856093471E-2</v>
      </c>
      <c r="AB326">
        <v>1.7439069933102589</v>
      </c>
      <c r="AC326">
        <v>0.15608593376992261</v>
      </c>
      <c r="AD326">
        <v>1285.334631863587</v>
      </c>
      <c r="AE326">
        <v>50</v>
      </c>
      <c r="AF326">
        <v>87.660556380445897</v>
      </c>
      <c r="AG326">
        <v>2.1216818181818198</v>
      </c>
      <c r="AH326">
        <v>12.5470545454545</v>
      </c>
      <c r="AI326">
        <v>0.27337272727272699</v>
      </c>
      <c r="AJ326">
        <v>10.3521727272727</v>
      </c>
      <c r="AK326">
        <v>0.49205454545454502</v>
      </c>
      <c r="AL326">
        <v>2.5642454545454498</v>
      </c>
      <c r="AM326">
        <v>49.0749</v>
      </c>
      <c r="AN326">
        <v>9.1371454545454505</v>
      </c>
      <c r="AP326">
        <v>0.18198181818181799</v>
      </c>
      <c r="AQ326">
        <v>98.157727272727257</v>
      </c>
      <c r="AR326">
        <v>0.12055145638424999</v>
      </c>
      <c r="AS326">
        <v>0.28907753411026699</v>
      </c>
      <c r="AT326">
        <v>2.8655229571898099E-2</v>
      </c>
      <c r="AU326">
        <v>0.23406218443357801</v>
      </c>
      <c r="AV326">
        <v>5.2241982420968003E-2</v>
      </c>
      <c r="AW326">
        <v>6.6675218239408293E-2</v>
      </c>
      <c r="AX326">
        <v>0.92934608408278196</v>
      </c>
      <c r="AY326">
        <v>0.68994549402635696</v>
      </c>
      <c r="BA326">
        <v>4.8246177427477499E-2</v>
      </c>
      <c r="BE326">
        <v>0.16483338459317529</v>
      </c>
      <c r="BF326">
        <v>1115</v>
      </c>
      <c r="BG326">
        <v>138566.69308374889</v>
      </c>
      <c r="BH326">
        <v>11.233077926071919</v>
      </c>
      <c r="BI326">
        <v>210.0170190826266</v>
      </c>
      <c r="BJ326">
        <v>0.3364041447482039</v>
      </c>
      <c r="BK326">
        <v>11.233077926071919</v>
      </c>
    </row>
    <row r="327" spans="1:63" x14ac:dyDescent="0.2">
      <c r="A327">
        <v>325</v>
      </c>
      <c r="B327" t="s">
        <v>69</v>
      </c>
      <c r="C327" t="s">
        <v>76</v>
      </c>
      <c r="D327" t="s">
        <v>71</v>
      </c>
      <c r="E327">
        <v>-155.29812000000001</v>
      </c>
      <c r="F327">
        <v>19.375624999999999</v>
      </c>
      <c r="G327" t="s">
        <v>77</v>
      </c>
      <c r="H327" t="s">
        <v>759</v>
      </c>
      <c r="I327" t="s">
        <v>760</v>
      </c>
      <c r="J327" t="s">
        <v>68</v>
      </c>
      <c r="K327">
        <v>4.3184559242187497</v>
      </c>
      <c r="L327">
        <v>4.2449406468750004</v>
      </c>
      <c r="M327">
        <v>57.590385596348511</v>
      </c>
      <c r="N327">
        <v>328.77954036249167</v>
      </c>
      <c r="Q327">
        <v>12.151999999999999</v>
      </c>
      <c r="R327">
        <v>1324.9639999999999</v>
      </c>
      <c r="S327">
        <v>50</v>
      </c>
      <c r="T327">
        <v>103.0471306189926</v>
      </c>
      <c r="U327">
        <v>3.345027946553118E-3</v>
      </c>
      <c r="V327">
        <v>0.11763384715552409</v>
      </c>
      <c r="W327">
        <v>4.0472534520480438E-3</v>
      </c>
      <c r="X327">
        <v>0</v>
      </c>
      <c r="Y327">
        <v>8.4842142345411209E-2</v>
      </c>
      <c r="Z327">
        <v>0.38697459637645171</v>
      </c>
      <c r="AA327">
        <v>2.63538525866166E-2</v>
      </c>
      <c r="AB327">
        <v>1.658745701788864</v>
      </c>
      <c r="AC327">
        <v>0.10823250641176881</v>
      </c>
      <c r="AD327">
        <v>1200.3147016027351</v>
      </c>
      <c r="AE327">
        <v>50</v>
      </c>
      <c r="AF327">
        <v>82.967138235109459</v>
      </c>
      <c r="AG327">
        <v>2.5039199999999999</v>
      </c>
      <c r="AH327">
        <v>14.096819999999999</v>
      </c>
      <c r="AI327">
        <v>0.27322000000000002</v>
      </c>
      <c r="AJ327">
        <v>10.95044</v>
      </c>
      <c r="AK327">
        <v>0.52094000000000007</v>
      </c>
      <c r="AL327">
        <v>2.9191400000000001</v>
      </c>
      <c r="AM327">
        <v>50.91704</v>
      </c>
      <c r="AN327">
        <v>6.4346599999999992</v>
      </c>
      <c r="AO327">
        <v>10.86684</v>
      </c>
      <c r="AP327">
        <v>0.19492000000000001</v>
      </c>
      <c r="AQ327">
        <v>99.70778</v>
      </c>
      <c r="AR327">
        <v>5.8797253337209539E-2</v>
      </c>
      <c r="AS327">
        <v>0.138496180452748</v>
      </c>
      <c r="AT327">
        <v>2.822688434808206E-2</v>
      </c>
      <c r="AU327">
        <v>7.1287502411011894E-2</v>
      </c>
      <c r="AV327">
        <v>1.2819243347405491E-2</v>
      </c>
      <c r="AW327">
        <v>2.3721045508155889E-2</v>
      </c>
      <c r="AX327">
        <v>0.39733328327740491</v>
      </c>
      <c r="AY327">
        <v>8.3972662218129629E-2</v>
      </c>
      <c r="AZ327">
        <v>5.8132675837260117E-2</v>
      </c>
      <c r="BA327">
        <v>1.931080008699795E-2</v>
      </c>
      <c r="BD327" t="s">
        <v>761</v>
      </c>
      <c r="BE327">
        <v>0.19723645697304329</v>
      </c>
      <c r="BF327">
        <v>6923</v>
      </c>
      <c r="BG327">
        <v>343090.29029368702</v>
      </c>
      <c r="BH327">
        <v>173.84389945406539</v>
      </c>
      <c r="BI327">
        <v>330.46789746380392</v>
      </c>
      <c r="BJ327">
        <v>2.089355252255551</v>
      </c>
      <c r="BK327">
        <v>173.84389945406531</v>
      </c>
    </row>
    <row r="328" spans="1:63" x14ac:dyDescent="0.2">
      <c r="A328">
        <v>326</v>
      </c>
      <c r="B328" t="s">
        <v>69</v>
      </c>
      <c r="C328" t="s">
        <v>70</v>
      </c>
      <c r="D328" t="s">
        <v>71</v>
      </c>
      <c r="E328">
        <v>-155.29347999999999</v>
      </c>
      <c r="F328">
        <v>19.377479999999998</v>
      </c>
      <c r="G328" t="s">
        <v>112</v>
      </c>
      <c r="H328" t="s">
        <v>762</v>
      </c>
      <c r="I328" t="s">
        <v>763</v>
      </c>
      <c r="J328" t="s">
        <v>68</v>
      </c>
      <c r="K328">
        <v>7.7860524210937507</v>
      </c>
      <c r="L328">
        <v>6.584411796875</v>
      </c>
      <c r="M328">
        <v>161.05869669073289</v>
      </c>
      <c r="N328">
        <v>1542.992158524572</v>
      </c>
      <c r="Q328">
        <v>11.958</v>
      </c>
      <c r="R328">
        <v>1324.9639999999999</v>
      </c>
      <c r="S328">
        <v>50</v>
      </c>
      <c r="T328">
        <v>103.0478315445211</v>
      </c>
      <c r="U328">
        <v>2.3016322041696961E-2</v>
      </c>
      <c r="V328">
        <v>0.11791158198718681</v>
      </c>
      <c r="W328">
        <v>9.8894383736983088E-3</v>
      </c>
      <c r="X328">
        <v>0</v>
      </c>
      <c r="Y328">
        <v>7.945867337770629E-2</v>
      </c>
      <c r="Z328">
        <v>0.41248648737665228</v>
      </c>
      <c r="AA328">
        <v>4.1389057314428872E-2</v>
      </c>
      <c r="AB328">
        <v>1.763406418159261</v>
      </c>
      <c r="AC328">
        <v>0.16921009683652261</v>
      </c>
      <c r="AD328">
        <v>1297.665942418713</v>
      </c>
      <c r="AE328">
        <v>50</v>
      </c>
      <c r="AF328">
        <v>88.177047402479985</v>
      </c>
      <c r="AG328">
        <v>2.1280100000000002</v>
      </c>
      <c r="AH328">
        <v>12.511455</v>
      </c>
      <c r="AI328">
        <v>0.21128</v>
      </c>
      <c r="AJ328">
        <v>10.547185000000001</v>
      </c>
      <c r="AK328">
        <v>0.43435000000000001</v>
      </c>
      <c r="AL328">
        <v>2.4173399999999998</v>
      </c>
      <c r="AM328">
        <v>50.003889999999998</v>
      </c>
      <c r="AN328">
        <v>8.5805450000000008</v>
      </c>
      <c r="AO328">
        <v>11.0444</v>
      </c>
      <c r="AP328">
        <v>0.37786999999999998</v>
      </c>
      <c r="AQ328">
        <v>98.290260000000004</v>
      </c>
      <c r="AR328">
        <v>4.7093422517846893E-2</v>
      </c>
      <c r="AS328">
        <v>0.17423154844121161</v>
      </c>
      <c r="AT328">
        <v>2.1925114974993089E-2</v>
      </c>
      <c r="AU328">
        <v>0.1853741817244248</v>
      </c>
      <c r="AV328">
        <v>1.0520403456564249E-2</v>
      </c>
      <c r="AW328">
        <v>3.5166562401109248E-2</v>
      </c>
      <c r="AX328">
        <v>0.46106226248619608</v>
      </c>
      <c r="AY328">
        <v>0.4051107053427907</v>
      </c>
      <c r="AZ328">
        <v>0.14841023100402101</v>
      </c>
      <c r="BA328">
        <v>1.7068639208924791E-2</v>
      </c>
      <c r="BD328" t="s">
        <v>764</v>
      </c>
      <c r="BE328">
        <v>9.9060882024748428E-2</v>
      </c>
      <c r="BF328">
        <v>1615</v>
      </c>
      <c r="BG328">
        <v>163848.65000009091</v>
      </c>
      <c r="BH328">
        <v>110.3609648639879</v>
      </c>
      <c r="BI328">
        <v>228.3739151761792</v>
      </c>
      <c r="BJ328">
        <v>2.7461814260147608</v>
      </c>
      <c r="BK328">
        <v>110.3609648639879</v>
      </c>
    </row>
    <row r="329" spans="1:63" x14ac:dyDescent="0.2">
      <c r="A329">
        <v>327</v>
      </c>
      <c r="B329" t="s">
        <v>69</v>
      </c>
      <c r="C329" t="s">
        <v>76</v>
      </c>
      <c r="D329" t="s">
        <v>71</v>
      </c>
      <c r="E329">
        <v>-155.29812000000001</v>
      </c>
      <c r="F329">
        <v>19.375624999999999</v>
      </c>
      <c r="G329" t="s">
        <v>77</v>
      </c>
      <c r="H329" t="s">
        <v>569</v>
      </c>
      <c r="I329" t="s">
        <v>765</v>
      </c>
      <c r="J329" t="s">
        <v>68</v>
      </c>
      <c r="K329">
        <v>11.808064527343751</v>
      </c>
      <c r="L329">
        <v>10.4414939765625</v>
      </c>
      <c r="M329">
        <v>387.33900512889443</v>
      </c>
      <c r="N329">
        <v>5745.4145703067852</v>
      </c>
      <c r="Q329">
        <v>11.868</v>
      </c>
      <c r="R329">
        <v>1324.9639999999999</v>
      </c>
      <c r="S329">
        <v>50</v>
      </c>
      <c r="T329">
        <v>103.0480014563045</v>
      </c>
      <c r="U329">
        <v>2.715076071037202E-3</v>
      </c>
      <c r="V329">
        <v>0.11797890785653919</v>
      </c>
      <c r="W329">
        <v>3.97302809343695E-3</v>
      </c>
      <c r="X329">
        <v>6.8124252790371251</v>
      </c>
      <c r="Y329">
        <v>8.0755882301927651E-2</v>
      </c>
      <c r="Z329">
        <v>0.40604707647955918</v>
      </c>
      <c r="AA329">
        <v>2.7373789371050099E-2</v>
      </c>
      <c r="AB329">
        <v>1.7370405724924081</v>
      </c>
      <c r="AC329">
        <v>0.1119482665922133</v>
      </c>
      <c r="AD329">
        <v>1271.2079069651611</v>
      </c>
      <c r="AE329">
        <v>50</v>
      </c>
      <c r="AF329">
        <v>87.032896183053978</v>
      </c>
      <c r="AG329">
        <v>2.5039199999999999</v>
      </c>
      <c r="AH329">
        <v>14.096819999999999</v>
      </c>
      <c r="AI329">
        <v>0.27322000000000002</v>
      </c>
      <c r="AJ329">
        <v>10.95044</v>
      </c>
      <c r="AK329">
        <v>0.52094000000000007</v>
      </c>
      <c r="AL329">
        <v>2.9191400000000001</v>
      </c>
      <c r="AM329">
        <v>50.91704</v>
      </c>
      <c r="AN329">
        <v>6.4346599999999992</v>
      </c>
      <c r="AO329">
        <v>10.86684</v>
      </c>
      <c r="AP329">
        <v>0.19492000000000001</v>
      </c>
      <c r="AQ329">
        <v>99.70778</v>
      </c>
      <c r="AR329">
        <v>5.8797253337209539E-2</v>
      </c>
      <c r="AS329">
        <v>0.138496180452748</v>
      </c>
      <c r="AT329">
        <v>2.822688434808206E-2</v>
      </c>
      <c r="AU329">
        <v>7.1287502411011894E-2</v>
      </c>
      <c r="AV329">
        <v>1.2819243347405491E-2</v>
      </c>
      <c r="AW329">
        <v>2.3721045508155889E-2</v>
      </c>
      <c r="AX329">
        <v>0.39733328327740491</v>
      </c>
      <c r="AY329">
        <v>8.3972662218129629E-2</v>
      </c>
      <c r="AZ329">
        <v>5.8132675837260117E-2</v>
      </c>
      <c r="BA329">
        <v>1.931080008699795E-2</v>
      </c>
      <c r="BD329" t="s">
        <v>571</v>
      </c>
      <c r="BE329">
        <v>9.8929799086193704E-2</v>
      </c>
      <c r="BF329">
        <v>5176</v>
      </c>
      <c r="BG329">
        <v>519972.26806923602</v>
      </c>
      <c r="BH329">
        <v>57.732519363309002</v>
      </c>
      <c r="BI329">
        <v>406.83204577300199</v>
      </c>
      <c r="BJ329">
        <v>0.80245996785305895</v>
      </c>
      <c r="BK329">
        <v>57.732519363309002</v>
      </c>
    </row>
    <row r="330" spans="1:63" x14ac:dyDescent="0.2">
      <c r="A330">
        <v>328</v>
      </c>
      <c r="B330" t="s">
        <v>62</v>
      </c>
      <c r="C330" t="s">
        <v>63</v>
      </c>
      <c r="D330" t="s">
        <v>64</v>
      </c>
      <c r="E330">
        <v>-155.26785000000001</v>
      </c>
      <c r="F330">
        <v>19.407830000000001</v>
      </c>
      <c r="G330" t="s">
        <v>65</v>
      </c>
      <c r="H330" t="s">
        <v>679</v>
      </c>
      <c r="I330" t="s">
        <v>766</v>
      </c>
      <c r="J330" t="s">
        <v>68</v>
      </c>
      <c r="K330">
        <v>5.9819933265624998</v>
      </c>
      <c r="L330">
        <v>5.4380965039062499</v>
      </c>
      <c r="M330">
        <v>102.1980730337323</v>
      </c>
      <c r="N330">
        <v>778.07411636401901</v>
      </c>
      <c r="Q330">
        <v>11.964</v>
      </c>
      <c r="R330">
        <v>1325.0039999999999</v>
      </c>
      <c r="S330">
        <v>50</v>
      </c>
      <c r="T330">
        <v>103.0483385</v>
      </c>
      <c r="U330">
        <v>1.851359193E-3</v>
      </c>
      <c r="V330">
        <v>0.1181124576</v>
      </c>
      <c r="W330">
        <v>3.8945208050000001E-3</v>
      </c>
      <c r="X330">
        <v>7.9897746437626314</v>
      </c>
      <c r="Y330">
        <v>8.5425329984374354E-2</v>
      </c>
      <c r="Z330">
        <v>0.38439712901294271</v>
      </c>
      <c r="AA330">
        <v>2.5566070538786539E-2</v>
      </c>
      <c r="AB330">
        <v>1.6481414304322011</v>
      </c>
      <c r="AC330">
        <v>0.105089775488815</v>
      </c>
      <c r="AD330">
        <v>1183.987952994363</v>
      </c>
      <c r="AE330">
        <v>50</v>
      </c>
      <c r="AF330">
        <v>81.643356639999993</v>
      </c>
      <c r="BE330">
        <v>0.1248786102292074</v>
      </c>
      <c r="BF330">
        <v>2277</v>
      </c>
      <c r="BG330">
        <v>146366.1971485884</v>
      </c>
      <c r="BH330">
        <v>110.36786040635241</v>
      </c>
      <c r="BI330">
        <v>215.84672236455529</v>
      </c>
      <c r="BJ330">
        <v>2.3129226445597371</v>
      </c>
      <c r="BK330">
        <v>110.36786040635241</v>
      </c>
    </row>
    <row r="331" spans="1:63" x14ac:dyDescent="0.2">
      <c r="A331">
        <v>329</v>
      </c>
      <c r="B331" t="s">
        <v>69</v>
      </c>
      <c r="C331" t="s">
        <v>76</v>
      </c>
      <c r="D331" t="s">
        <v>71</v>
      </c>
      <c r="E331">
        <v>-155.29812000000001</v>
      </c>
      <c r="F331">
        <v>19.375624999999999</v>
      </c>
      <c r="G331" t="s">
        <v>77</v>
      </c>
      <c r="H331" t="s">
        <v>767</v>
      </c>
      <c r="I331" t="s">
        <v>768</v>
      </c>
      <c r="J331" t="s">
        <v>68</v>
      </c>
      <c r="K331">
        <v>3.6099197492187498</v>
      </c>
      <c r="L331">
        <v>3.3854221078125</v>
      </c>
      <c r="M331">
        <v>38.393724659176009</v>
      </c>
      <c r="N331">
        <v>179.05148610377779</v>
      </c>
      <c r="Q331">
        <v>11.808999999999999</v>
      </c>
      <c r="R331">
        <v>1324.9639999999999</v>
      </c>
      <c r="S331">
        <v>100</v>
      </c>
      <c r="T331">
        <v>103.048752466571</v>
      </c>
      <c r="U331">
        <v>1.3959513269549081E-2</v>
      </c>
      <c r="V331">
        <v>0.1182764882719738</v>
      </c>
      <c r="W331">
        <v>6.7250729529917293E-3</v>
      </c>
      <c r="X331">
        <v>0</v>
      </c>
      <c r="Y331">
        <v>8.2316351468971427E-2</v>
      </c>
      <c r="Z331">
        <v>0.39856356559570422</v>
      </c>
      <c r="AA331">
        <v>3.5468886168391951E-2</v>
      </c>
      <c r="AB331">
        <v>1.70635620611213</v>
      </c>
      <c r="AC331">
        <v>0.14541065374034559</v>
      </c>
      <c r="AD331">
        <v>1237.642696565495</v>
      </c>
      <c r="AE331">
        <v>50</v>
      </c>
      <c r="AF331">
        <v>85.344770472817459</v>
      </c>
      <c r="AG331">
        <v>2.5039199999999999</v>
      </c>
      <c r="AH331">
        <v>14.096819999999999</v>
      </c>
      <c r="AI331">
        <v>0.27322000000000002</v>
      </c>
      <c r="AJ331">
        <v>10.95044</v>
      </c>
      <c r="AK331">
        <v>0.52094000000000007</v>
      </c>
      <c r="AL331">
        <v>2.9191400000000001</v>
      </c>
      <c r="AM331">
        <v>50.91704</v>
      </c>
      <c r="AN331">
        <v>6.4346599999999992</v>
      </c>
      <c r="AO331">
        <v>10.86684</v>
      </c>
      <c r="AP331">
        <v>0.19492000000000001</v>
      </c>
      <c r="AQ331">
        <v>99.70778</v>
      </c>
      <c r="AR331">
        <v>5.8797253337209539E-2</v>
      </c>
      <c r="AS331">
        <v>0.138496180452748</v>
      </c>
      <c r="AT331">
        <v>2.822688434808206E-2</v>
      </c>
      <c r="AU331">
        <v>7.1287502411011894E-2</v>
      </c>
      <c r="AV331">
        <v>1.2819243347405491E-2</v>
      </c>
      <c r="AW331">
        <v>2.3721045508155889E-2</v>
      </c>
      <c r="AX331">
        <v>0.39733328327740491</v>
      </c>
      <c r="AY331">
        <v>8.3972662218129629E-2</v>
      </c>
      <c r="AZ331">
        <v>5.8132675837260117E-2</v>
      </c>
      <c r="BA331">
        <v>1.931080008699795E-2</v>
      </c>
      <c r="BD331" t="s">
        <v>769</v>
      </c>
      <c r="BE331">
        <v>0.51087743842924982</v>
      </c>
      <c r="BF331">
        <v>14840</v>
      </c>
      <c r="BG331">
        <v>728706.62265765294</v>
      </c>
      <c r="BH331">
        <v>3420.223511267578</v>
      </c>
      <c r="BI331">
        <v>481.61657168283978</v>
      </c>
      <c r="BJ331">
        <v>28.076148939759719</v>
      </c>
      <c r="BK331">
        <v>3420.2235112675821</v>
      </c>
    </row>
    <row r="332" spans="1:63" x14ac:dyDescent="0.2">
      <c r="A332">
        <v>330</v>
      </c>
      <c r="B332" t="s">
        <v>69</v>
      </c>
      <c r="C332" t="s">
        <v>81</v>
      </c>
      <c r="D332" t="s">
        <v>71</v>
      </c>
      <c r="E332">
        <v>-155.29106999999999</v>
      </c>
      <c r="F332">
        <v>19.383150000000001</v>
      </c>
      <c r="G332" t="s">
        <v>87</v>
      </c>
      <c r="H332" t="s">
        <v>497</v>
      </c>
      <c r="I332" t="s">
        <v>770</v>
      </c>
      <c r="J332" t="s">
        <v>68</v>
      </c>
      <c r="K332">
        <v>11.063497149218749</v>
      </c>
      <c r="L332">
        <v>10.2179842875</v>
      </c>
      <c r="M332">
        <v>355.14649384859388</v>
      </c>
      <c r="N332">
        <v>5038.6956774364007</v>
      </c>
      <c r="O332" t="s">
        <v>499</v>
      </c>
      <c r="Q332">
        <v>11.989000000000001</v>
      </c>
      <c r="R332">
        <v>1325.0039999999999</v>
      </c>
      <c r="S332">
        <v>50</v>
      </c>
      <c r="T332">
        <v>103.04912264021451</v>
      </c>
      <c r="U332">
        <v>1.0334860789754549E-2</v>
      </c>
      <c r="V332">
        <v>0.1184231659294142</v>
      </c>
      <c r="W332">
        <v>5.6038030840668924E-3</v>
      </c>
      <c r="X332">
        <v>0</v>
      </c>
      <c r="Y332">
        <v>8.3008117718067265E-2</v>
      </c>
      <c r="Z332">
        <v>0.39533097576578469</v>
      </c>
      <c r="AA332">
        <v>2.9817970338444719E-2</v>
      </c>
      <c r="AB332">
        <v>1.6930872311696501</v>
      </c>
      <c r="AC332">
        <v>0.1223010016240163</v>
      </c>
      <c r="AD332">
        <v>1222.982422018734</v>
      </c>
      <c r="AE332">
        <v>50</v>
      </c>
      <c r="AF332">
        <v>84.491550694050147</v>
      </c>
      <c r="AG332">
        <v>2.2102200000000001</v>
      </c>
      <c r="AH332">
        <v>12.516225</v>
      </c>
      <c r="AI332">
        <v>0.22873499999999999</v>
      </c>
      <c r="AJ332">
        <v>10.535360000000001</v>
      </c>
      <c r="AK332">
        <v>0.37534499999999998</v>
      </c>
      <c r="AL332">
        <v>2.4377900000000001</v>
      </c>
      <c r="AM332">
        <v>50.224780000000003</v>
      </c>
      <c r="AN332">
        <v>8.9844449999999991</v>
      </c>
      <c r="AP332">
        <v>0.178455</v>
      </c>
      <c r="AQ332">
        <v>99.610560000000007</v>
      </c>
      <c r="AR332">
        <v>1.7587090435884831E-2</v>
      </c>
      <c r="AS332">
        <v>0.12699126938494701</v>
      </c>
      <c r="AT332">
        <v>8.073250584491971E-3</v>
      </c>
      <c r="AU332">
        <v>6.9056800896073786E-2</v>
      </c>
      <c r="AV332">
        <v>2.248073063759274E-2</v>
      </c>
      <c r="AW332">
        <v>2.1205111412109991E-2</v>
      </c>
      <c r="AX332">
        <v>0.5052093298821787</v>
      </c>
      <c r="AY332">
        <v>0.13192220766421431</v>
      </c>
      <c r="BA332">
        <v>1.2962040734390541E-2</v>
      </c>
      <c r="BB332">
        <v>5</v>
      </c>
      <c r="BC332" t="s">
        <v>86</v>
      </c>
    </row>
    <row r="333" spans="1:63" x14ac:dyDescent="0.2">
      <c r="A333">
        <v>331</v>
      </c>
      <c r="B333" t="s">
        <v>69</v>
      </c>
      <c r="C333" t="s">
        <v>76</v>
      </c>
      <c r="D333" t="s">
        <v>71</v>
      </c>
      <c r="E333">
        <v>-155.29812000000001</v>
      </c>
      <c r="F333">
        <v>19.375624999999999</v>
      </c>
      <c r="G333" t="s">
        <v>77</v>
      </c>
      <c r="H333" t="s">
        <v>771</v>
      </c>
      <c r="I333" t="s">
        <v>772</v>
      </c>
      <c r="J333" t="s">
        <v>68</v>
      </c>
      <c r="K333">
        <v>6.2963365164062504</v>
      </c>
      <c r="L333">
        <v>6.0291825796874994</v>
      </c>
      <c r="M333">
        <v>119.2603940006057</v>
      </c>
      <c r="N333">
        <v>979.96417577475347</v>
      </c>
      <c r="Q333">
        <v>11.912000000000001</v>
      </c>
      <c r="R333">
        <v>1324.9639999999999</v>
      </c>
      <c r="S333">
        <v>50</v>
      </c>
      <c r="T333">
        <v>103.04980530907631</v>
      </c>
      <c r="U333">
        <v>6.3854780840286417E-3</v>
      </c>
      <c r="V333">
        <v>0.11869366673687411</v>
      </c>
      <c r="W333">
        <v>4.5867169460834713E-3</v>
      </c>
      <c r="X333">
        <v>0</v>
      </c>
      <c r="Y333">
        <v>8.0539600577755222E-2</v>
      </c>
      <c r="Z333">
        <v>0.40711894930954468</v>
      </c>
      <c r="AA333">
        <v>2.8844745595752921E-2</v>
      </c>
      <c r="AB333">
        <v>1.741431701088858</v>
      </c>
      <c r="AC333">
        <v>0.11793679210130489</v>
      </c>
      <c r="AD333">
        <v>1265.7225094013199</v>
      </c>
      <c r="AE333">
        <v>50</v>
      </c>
      <c r="AF333">
        <v>86.777504722429669</v>
      </c>
      <c r="AG333">
        <v>2.5039199999999999</v>
      </c>
      <c r="AH333">
        <v>14.096819999999999</v>
      </c>
      <c r="AI333">
        <v>0.27322000000000002</v>
      </c>
      <c r="AJ333">
        <v>10.95044</v>
      </c>
      <c r="AK333">
        <v>0.52094000000000007</v>
      </c>
      <c r="AL333">
        <v>2.9191400000000001</v>
      </c>
      <c r="AM333">
        <v>50.91704</v>
      </c>
      <c r="AN333">
        <v>6.4346599999999992</v>
      </c>
      <c r="AO333">
        <v>10.86684</v>
      </c>
      <c r="AP333">
        <v>0.19492000000000001</v>
      </c>
      <c r="AQ333">
        <v>99.70778</v>
      </c>
      <c r="AR333">
        <v>5.8797253337209539E-2</v>
      </c>
      <c r="AS333">
        <v>0.138496180452748</v>
      </c>
      <c r="AT333">
        <v>2.822688434808206E-2</v>
      </c>
      <c r="AU333">
        <v>7.1287502411011894E-2</v>
      </c>
      <c r="AV333">
        <v>1.2819243347405491E-2</v>
      </c>
      <c r="AW333">
        <v>2.3721045508155889E-2</v>
      </c>
      <c r="AX333">
        <v>0.39733328327740491</v>
      </c>
      <c r="AY333">
        <v>8.3972662218129629E-2</v>
      </c>
      <c r="AZ333">
        <v>5.8132675837260117E-2</v>
      </c>
      <c r="BA333">
        <v>1.931080008699795E-2</v>
      </c>
    </row>
    <row r="334" spans="1:63" x14ac:dyDescent="0.2">
      <c r="A334">
        <v>332</v>
      </c>
      <c r="B334" t="s">
        <v>69</v>
      </c>
      <c r="C334" t="s">
        <v>169</v>
      </c>
      <c r="D334" t="s">
        <v>64</v>
      </c>
      <c r="E334">
        <v>-155.29196300000001</v>
      </c>
      <c r="F334">
        <v>19.398634000000001</v>
      </c>
      <c r="G334" t="s">
        <v>170</v>
      </c>
      <c r="H334" t="s">
        <v>773</v>
      </c>
      <c r="I334" t="s">
        <v>774</v>
      </c>
      <c r="J334" t="s">
        <v>68</v>
      </c>
      <c r="K334">
        <v>8.5532845882812509</v>
      </c>
      <c r="L334">
        <v>7.4929792640624999</v>
      </c>
      <c r="M334">
        <v>201.34336645331749</v>
      </c>
      <c r="N334">
        <v>2153.8725220193801</v>
      </c>
      <c r="Q334">
        <v>15.015000000000001</v>
      </c>
      <c r="R334">
        <v>1324.9639999999999</v>
      </c>
      <c r="S334">
        <v>50</v>
      </c>
      <c r="T334">
        <v>103.0499810565838</v>
      </c>
      <c r="U334">
        <v>1.1233095197886501E-2</v>
      </c>
      <c r="V334">
        <v>0.1187633049543516</v>
      </c>
      <c r="W334">
        <v>5.8870490261133364E-3</v>
      </c>
      <c r="X334">
        <v>2.090676211969793</v>
      </c>
      <c r="Y334">
        <v>8.512338170343392E-2</v>
      </c>
      <c r="Z334">
        <v>0.38574287179757683</v>
      </c>
      <c r="AA334">
        <v>2.336958559487088E-2</v>
      </c>
      <c r="AB334">
        <v>1.653678813107035</v>
      </c>
      <c r="AC334">
        <v>9.6097208987705823E-2</v>
      </c>
      <c r="AD334">
        <v>1180.999076878446</v>
      </c>
      <c r="AE334">
        <v>50</v>
      </c>
      <c r="AF334">
        <v>81.372217750868813</v>
      </c>
      <c r="AG334">
        <v>2.5390516666666669</v>
      </c>
      <c r="AH334">
        <v>13.89052597266207</v>
      </c>
      <c r="AI334">
        <v>0.24399675000000001</v>
      </c>
      <c r="AJ334">
        <v>11.205616666666669</v>
      </c>
      <c r="AK334">
        <v>0.47515841666666669</v>
      </c>
      <c r="AL334">
        <v>2.6323025000000002</v>
      </c>
      <c r="AM334">
        <v>50.778866165683027</v>
      </c>
      <c r="AN334">
        <v>6.7552275000000002</v>
      </c>
      <c r="AP334">
        <v>0.17074191666666669</v>
      </c>
      <c r="AR334">
        <v>5.5209421763999247E-2</v>
      </c>
      <c r="AS334">
        <v>0.23260322971847319</v>
      </c>
      <c r="AT334">
        <v>2.215836573857705E-2</v>
      </c>
      <c r="AU334">
        <v>0.13946342520423419</v>
      </c>
      <c r="AV334">
        <v>1.8188943372071519E-2</v>
      </c>
      <c r="AW334">
        <v>3.4278244127355022E-2</v>
      </c>
      <c r="AX334">
        <v>0.34681065155483992</v>
      </c>
      <c r="AY334">
        <v>0.48865100303376952</v>
      </c>
      <c r="BA334">
        <v>2.081601264087701E-2</v>
      </c>
    </row>
    <row r="335" spans="1:63" x14ac:dyDescent="0.2">
      <c r="A335">
        <v>333</v>
      </c>
      <c r="B335" t="s">
        <v>69</v>
      </c>
      <c r="C335" t="s">
        <v>236</v>
      </c>
      <c r="D335" t="s">
        <v>64</v>
      </c>
      <c r="E335">
        <v>-155.292979</v>
      </c>
      <c r="F335">
        <v>19.400748</v>
      </c>
      <c r="G335" t="s">
        <v>237</v>
      </c>
      <c r="H335" t="s">
        <v>462</v>
      </c>
      <c r="I335" t="s">
        <v>775</v>
      </c>
      <c r="J335" t="s">
        <v>68</v>
      </c>
      <c r="K335">
        <v>4.6997474140625002</v>
      </c>
      <c r="L335">
        <v>3.963664803124999</v>
      </c>
      <c r="M335">
        <v>58.522289810192753</v>
      </c>
      <c r="N335">
        <v>338.00181367960749</v>
      </c>
      <c r="Q335">
        <v>9.891</v>
      </c>
      <c r="R335">
        <v>1324.9639999999999</v>
      </c>
      <c r="S335">
        <v>50</v>
      </c>
      <c r="T335">
        <v>103.0502784720798</v>
      </c>
      <c r="U335">
        <v>7.4429937914525391E-3</v>
      </c>
      <c r="V335">
        <v>0.11888115291305471</v>
      </c>
      <c r="W335">
        <v>4.8307649959495932E-3</v>
      </c>
      <c r="X335">
        <v>10.757380293710829</v>
      </c>
      <c r="Y335">
        <v>8.4654736780102047E-2</v>
      </c>
      <c r="Z335">
        <v>0.38783321159520812</v>
      </c>
      <c r="AA335">
        <v>2.8816850541878141E-2</v>
      </c>
      <c r="AB335">
        <v>1.6622769913162661</v>
      </c>
      <c r="AC335">
        <v>0.1183626219165084</v>
      </c>
      <c r="AD335">
        <v>1187.676629895177</v>
      </c>
      <c r="AE335">
        <v>50</v>
      </c>
      <c r="AF335">
        <v>81.964209199688028</v>
      </c>
      <c r="AG335">
        <v>2.0274999999999999</v>
      </c>
      <c r="AH335">
        <v>12.7525</v>
      </c>
      <c r="AI335">
        <v>0.17249999999999999</v>
      </c>
      <c r="AJ335">
        <v>11.092499999999999</v>
      </c>
      <c r="AK335">
        <v>0.51750000000000007</v>
      </c>
      <c r="AL335">
        <v>2.5150000000000001</v>
      </c>
      <c r="AM335">
        <v>50.63</v>
      </c>
      <c r="AN335">
        <v>7.415</v>
      </c>
      <c r="AP335">
        <v>1685.75</v>
      </c>
      <c r="AR335">
        <v>0.17231270024773751</v>
      </c>
      <c r="AS335">
        <v>0.13450526631573459</v>
      </c>
      <c r="AT335">
        <v>4.9999999999999836E-3</v>
      </c>
      <c r="AU335">
        <v>0.29227555491350982</v>
      </c>
      <c r="AV335">
        <v>2.061552812808835E-2</v>
      </c>
      <c r="AW335">
        <v>6.2449979983983737E-2</v>
      </c>
      <c r="AX335">
        <v>0.21556128285632961</v>
      </c>
      <c r="AY335">
        <v>0.39770173078158311</v>
      </c>
      <c r="BA335">
        <v>51.951098801340748</v>
      </c>
      <c r="BE335">
        <v>0.99159199734645076</v>
      </c>
      <c r="BF335">
        <v>3750</v>
      </c>
      <c r="BG335">
        <v>93956.454543412197</v>
      </c>
      <c r="BH335">
        <v>261.21715821620882</v>
      </c>
      <c r="BI335">
        <v>172.9371803631193</v>
      </c>
      <c r="BJ335">
        <v>4.2656583312638272</v>
      </c>
      <c r="BK335">
        <v>261.21715821620882</v>
      </c>
    </row>
    <row r="336" spans="1:63" x14ac:dyDescent="0.2">
      <c r="A336">
        <v>334</v>
      </c>
      <c r="B336" t="s">
        <v>62</v>
      </c>
      <c r="C336" t="s">
        <v>63</v>
      </c>
      <c r="D336" t="s">
        <v>64</v>
      </c>
      <c r="E336">
        <v>-155.26785000000001</v>
      </c>
      <c r="F336">
        <v>19.407830000000001</v>
      </c>
      <c r="G336" t="s">
        <v>65</v>
      </c>
      <c r="H336" t="s">
        <v>523</v>
      </c>
      <c r="I336" t="s">
        <v>776</v>
      </c>
      <c r="J336" t="s">
        <v>68</v>
      </c>
      <c r="K336">
        <v>6.1615100789062494</v>
      </c>
      <c r="L336">
        <v>6.08293881015625</v>
      </c>
      <c r="M336">
        <v>117.7471715927381</v>
      </c>
      <c r="N336">
        <v>961.16614959930189</v>
      </c>
      <c r="Q336">
        <v>20.007999999999999</v>
      </c>
      <c r="R336">
        <v>1325.0039999999999</v>
      </c>
      <c r="S336">
        <v>100</v>
      </c>
      <c r="T336">
        <v>103.0505026</v>
      </c>
      <c r="U336">
        <v>9.259308309E-3</v>
      </c>
      <c r="V336">
        <v>0.11896997469999999</v>
      </c>
      <c r="W336">
        <v>5.3009828680000001E-3</v>
      </c>
      <c r="X336">
        <v>0</v>
      </c>
      <c r="Y336">
        <v>7.9726550094327608E-2</v>
      </c>
      <c r="Z336">
        <v>0.41115758959651999</v>
      </c>
      <c r="AA336">
        <v>3.0719729964971559E-2</v>
      </c>
      <c r="AB336">
        <v>1.7579681425828331</v>
      </c>
      <c r="AC336">
        <v>0.1256155281483893</v>
      </c>
      <c r="AD336">
        <v>1277.8329671634169</v>
      </c>
      <c r="AE336">
        <v>50</v>
      </c>
      <c r="AF336">
        <v>87.332392380000002</v>
      </c>
      <c r="BE336">
        <v>0.19474585457106791</v>
      </c>
      <c r="BF336">
        <v>4470</v>
      </c>
      <c r="BG336">
        <v>285654.49188394629</v>
      </c>
      <c r="BH336">
        <v>325.29545802921888</v>
      </c>
      <c r="BI336">
        <v>301.54045963927882</v>
      </c>
      <c r="BJ336">
        <v>4.865463712709774</v>
      </c>
      <c r="BK336">
        <v>325.29545802921882</v>
      </c>
    </row>
    <row r="337" spans="1:63" x14ac:dyDescent="0.2">
      <c r="A337">
        <v>335</v>
      </c>
      <c r="B337" t="s">
        <v>69</v>
      </c>
      <c r="C337" t="s">
        <v>236</v>
      </c>
      <c r="D337" t="s">
        <v>64</v>
      </c>
      <c r="E337">
        <v>-155.292979</v>
      </c>
      <c r="F337">
        <v>19.400748</v>
      </c>
      <c r="G337" t="s">
        <v>237</v>
      </c>
      <c r="H337" t="s">
        <v>532</v>
      </c>
      <c r="I337" t="s">
        <v>777</v>
      </c>
      <c r="J337" t="s">
        <v>68</v>
      </c>
      <c r="K337">
        <v>7.3690203023437508</v>
      </c>
      <c r="L337">
        <v>6.1587205664062497</v>
      </c>
      <c r="M337">
        <v>142.5772144070489</v>
      </c>
      <c r="N337">
        <v>1285.8317401911779</v>
      </c>
      <c r="Q337">
        <v>10.028</v>
      </c>
      <c r="R337">
        <v>1324.9639999999999</v>
      </c>
      <c r="S337">
        <v>50</v>
      </c>
      <c r="T337">
        <v>103.05061766621181</v>
      </c>
      <c r="U337">
        <v>3.6474138834744351E-3</v>
      </c>
      <c r="V337">
        <v>0.1190155552444168</v>
      </c>
      <c r="W337">
        <v>4.0900896737399396E-3</v>
      </c>
      <c r="X337">
        <v>7.131834624590593</v>
      </c>
      <c r="Y337">
        <v>8.4441024545640619E-2</v>
      </c>
      <c r="Z337">
        <v>0.38879467060493322</v>
      </c>
      <c r="AA337">
        <v>2.6987483389374279E-2</v>
      </c>
      <c r="AB337">
        <v>1.6662305169290339</v>
      </c>
      <c r="AC337">
        <v>0.11092742118509979</v>
      </c>
      <c r="AD337">
        <v>1189.722947284796</v>
      </c>
      <c r="AE337">
        <v>50</v>
      </c>
      <c r="AF337">
        <v>82.136187925912921</v>
      </c>
      <c r="AG337">
        <v>2.0274999999999999</v>
      </c>
      <c r="AH337">
        <v>12.7525</v>
      </c>
      <c r="AI337">
        <v>0.17249999999999999</v>
      </c>
      <c r="AJ337">
        <v>11.092499999999999</v>
      </c>
      <c r="AK337">
        <v>0.51750000000000007</v>
      </c>
      <c r="AL337">
        <v>2.5150000000000001</v>
      </c>
      <c r="AM337">
        <v>50.63</v>
      </c>
      <c r="AN337">
        <v>7.415</v>
      </c>
      <c r="AP337">
        <v>1685.75</v>
      </c>
      <c r="AR337">
        <v>0.17231270024773751</v>
      </c>
      <c r="AS337">
        <v>0.13450526631573459</v>
      </c>
      <c r="AT337">
        <v>4.9999999999999836E-3</v>
      </c>
      <c r="AU337">
        <v>0.29227555491350982</v>
      </c>
      <c r="AV337">
        <v>2.061552812808835E-2</v>
      </c>
      <c r="AW337">
        <v>6.2449979983983737E-2</v>
      </c>
      <c r="AX337">
        <v>0.21556128285632961</v>
      </c>
      <c r="AY337">
        <v>0.39770173078158311</v>
      </c>
      <c r="BA337">
        <v>51.951098801340748</v>
      </c>
      <c r="BE337">
        <v>8.8637510523642077E-2</v>
      </c>
      <c r="BF337">
        <v>23296</v>
      </c>
      <c r="BG337">
        <v>93566.581104554003</v>
      </c>
      <c r="BH337">
        <v>10.88216268122571</v>
      </c>
      <c r="BI337">
        <v>172.5780049195059</v>
      </c>
      <c r="BJ337">
        <v>7.1297538309187794E-2</v>
      </c>
      <c r="BK337">
        <v>10.88216268122571</v>
      </c>
    </row>
    <row r="338" spans="1:63" x14ac:dyDescent="0.2">
      <c r="A338">
        <v>336</v>
      </c>
      <c r="B338" t="s">
        <v>69</v>
      </c>
      <c r="C338" t="s">
        <v>81</v>
      </c>
      <c r="D338" t="s">
        <v>71</v>
      </c>
      <c r="E338">
        <v>-155.29106999999999</v>
      </c>
      <c r="F338">
        <v>19.383150000000001</v>
      </c>
      <c r="G338" t="s">
        <v>87</v>
      </c>
      <c r="H338" t="s">
        <v>497</v>
      </c>
      <c r="I338" t="s">
        <v>778</v>
      </c>
      <c r="J338" t="s">
        <v>68</v>
      </c>
      <c r="K338">
        <v>6.2083506429687496</v>
      </c>
      <c r="L338">
        <v>4.4911151249999994</v>
      </c>
      <c r="M338">
        <v>87.595197900454906</v>
      </c>
      <c r="N338">
        <v>624.81454758291022</v>
      </c>
      <c r="O338" t="s">
        <v>499</v>
      </c>
      <c r="Q338">
        <v>12.05</v>
      </c>
      <c r="R338">
        <v>1325.0039999999999</v>
      </c>
      <c r="S338">
        <v>50</v>
      </c>
      <c r="T338">
        <v>103.0510168677917</v>
      </c>
      <c r="U338">
        <v>9.849746751022001E-3</v>
      </c>
      <c r="V338">
        <v>0.1191737349355648</v>
      </c>
      <c r="W338">
        <v>5.4657464466958978E-3</v>
      </c>
      <c r="X338">
        <v>0</v>
      </c>
      <c r="Y338">
        <v>8.2205074098141706E-2</v>
      </c>
      <c r="Z338">
        <v>0.39910385001472909</v>
      </c>
      <c r="AA338">
        <v>2.9568607782032429E-2</v>
      </c>
      <c r="AB338">
        <v>1.7085730843827289</v>
      </c>
      <c r="AC338">
        <v>0.12118726214754839</v>
      </c>
      <c r="AD338">
        <v>1227.933105289721</v>
      </c>
      <c r="AE338">
        <v>50</v>
      </c>
      <c r="AF338">
        <v>84.789430549048703</v>
      </c>
      <c r="AG338">
        <v>2.2102200000000001</v>
      </c>
      <c r="AH338">
        <v>12.516225</v>
      </c>
      <c r="AI338">
        <v>0.22873499999999999</v>
      </c>
      <c r="AJ338">
        <v>10.535360000000001</v>
      </c>
      <c r="AK338">
        <v>0.37534499999999998</v>
      </c>
      <c r="AL338">
        <v>2.4377900000000001</v>
      </c>
      <c r="AM338">
        <v>50.224780000000003</v>
      </c>
      <c r="AN338">
        <v>8.9844449999999991</v>
      </c>
      <c r="AP338">
        <v>0.178455</v>
      </c>
      <c r="AQ338">
        <v>99.610560000000007</v>
      </c>
      <c r="AR338">
        <v>1.7587090435884831E-2</v>
      </c>
      <c r="AS338">
        <v>0.12699126938494701</v>
      </c>
      <c r="AT338">
        <v>8.073250584491971E-3</v>
      </c>
      <c r="AU338">
        <v>6.9056800896073786E-2</v>
      </c>
      <c r="AV338">
        <v>2.248073063759274E-2</v>
      </c>
      <c r="AW338">
        <v>2.1205111412109991E-2</v>
      </c>
      <c r="AX338">
        <v>0.5052093298821787</v>
      </c>
      <c r="AY338">
        <v>0.13192220766421431</v>
      </c>
      <c r="BA338">
        <v>1.2962040734390541E-2</v>
      </c>
      <c r="BB338">
        <v>5</v>
      </c>
      <c r="BC338" t="s">
        <v>86</v>
      </c>
    </row>
    <row r="339" spans="1:63" x14ac:dyDescent="0.2">
      <c r="A339">
        <v>337</v>
      </c>
      <c r="B339" t="s">
        <v>69</v>
      </c>
      <c r="C339" t="s">
        <v>81</v>
      </c>
      <c r="D339" t="s">
        <v>71</v>
      </c>
      <c r="E339">
        <v>-155.29106999999999</v>
      </c>
      <c r="F339">
        <v>19.383150000000001</v>
      </c>
      <c r="G339" t="s">
        <v>82</v>
      </c>
      <c r="H339" t="s">
        <v>712</v>
      </c>
      <c r="I339" t="s">
        <v>779</v>
      </c>
      <c r="J339" t="s">
        <v>68</v>
      </c>
      <c r="K339">
        <v>5.33999864765625</v>
      </c>
      <c r="L339">
        <v>4.9081472437500002</v>
      </c>
      <c r="M339">
        <v>82.339571536240328</v>
      </c>
      <c r="N339">
        <v>562.55196115951492</v>
      </c>
      <c r="Q339">
        <v>10.028</v>
      </c>
      <c r="R339">
        <v>1324.9639999999999</v>
      </c>
      <c r="S339">
        <v>100</v>
      </c>
      <c r="T339">
        <v>103.0510327391962</v>
      </c>
      <c r="U339">
        <v>7.2785262428127547E-3</v>
      </c>
      <c r="V339">
        <v>0.1191800238231551</v>
      </c>
      <c r="W339">
        <v>4.7916403764640732E-3</v>
      </c>
      <c r="X339">
        <v>0</v>
      </c>
      <c r="Y339">
        <v>8.26327215294409E-2</v>
      </c>
      <c r="Z339">
        <v>0.39709308647454661</v>
      </c>
      <c r="AA339">
        <v>2.9623387531066369E-2</v>
      </c>
      <c r="AB339">
        <v>1.700321342665791</v>
      </c>
      <c r="AC339">
        <v>0.12151861901079671</v>
      </c>
      <c r="AD339">
        <v>1220.000375251971</v>
      </c>
      <c r="AE339">
        <v>50</v>
      </c>
      <c r="AF339">
        <v>84.306811665724936</v>
      </c>
      <c r="AG339">
        <v>2.2102200000000001</v>
      </c>
      <c r="AH339">
        <v>12.516225</v>
      </c>
      <c r="AI339">
        <v>0.22873499999999999</v>
      </c>
      <c r="AJ339">
        <v>10.535360000000001</v>
      </c>
      <c r="AK339">
        <v>0.37534499999999998</v>
      </c>
      <c r="AL339">
        <v>2.4377900000000001</v>
      </c>
      <c r="AM339">
        <v>50.224780000000003</v>
      </c>
      <c r="AN339">
        <v>8.9844449999999991</v>
      </c>
      <c r="AP339">
        <v>0.178455</v>
      </c>
      <c r="AQ339">
        <v>99.610560000000007</v>
      </c>
      <c r="AR339">
        <v>1.7587090435884831E-2</v>
      </c>
      <c r="AS339">
        <v>0.12699126938494701</v>
      </c>
      <c r="AT339">
        <v>8.073250584491971E-3</v>
      </c>
      <c r="AU339">
        <v>6.9056800896073786E-2</v>
      </c>
      <c r="AV339">
        <v>2.248073063759274E-2</v>
      </c>
      <c r="AW339">
        <v>2.1205111412109991E-2</v>
      </c>
      <c r="AX339">
        <v>0.5052093298821787</v>
      </c>
      <c r="AY339">
        <v>0.13192220766421431</v>
      </c>
      <c r="BA339">
        <v>1.2962040734390541E-2</v>
      </c>
      <c r="BB339">
        <v>5</v>
      </c>
      <c r="BC339" t="s">
        <v>86</v>
      </c>
      <c r="BE339">
        <v>0.8866919740411785</v>
      </c>
      <c r="BF339">
        <v>19129</v>
      </c>
      <c r="BG339">
        <v>481731.94717056683</v>
      </c>
      <c r="BH339">
        <v>1336.6695796427321</v>
      </c>
      <c r="BI339">
        <v>391.58656932402442</v>
      </c>
      <c r="BJ339">
        <v>9.6644675183753357</v>
      </c>
      <c r="BK339">
        <v>1336.6695796427321</v>
      </c>
    </row>
    <row r="340" spans="1:63" x14ac:dyDescent="0.2">
      <c r="A340">
        <v>338</v>
      </c>
      <c r="B340" t="s">
        <v>69</v>
      </c>
      <c r="C340" t="s">
        <v>236</v>
      </c>
      <c r="D340" t="s">
        <v>64</v>
      </c>
      <c r="E340">
        <v>-155.292979</v>
      </c>
      <c r="F340">
        <v>19.400748</v>
      </c>
      <c r="G340" t="s">
        <v>237</v>
      </c>
      <c r="H340" t="s">
        <v>780</v>
      </c>
      <c r="I340" t="s">
        <v>781</v>
      </c>
      <c r="J340" t="s">
        <v>68</v>
      </c>
      <c r="K340">
        <v>4.9727128351562504</v>
      </c>
      <c r="L340">
        <v>3.5938800523437502</v>
      </c>
      <c r="M340">
        <v>56.144449921303902</v>
      </c>
      <c r="N340">
        <v>320.64443024562792</v>
      </c>
      <c r="Q340">
        <v>10.041</v>
      </c>
      <c r="R340">
        <v>1324.9639999999999</v>
      </c>
      <c r="S340">
        <v>50</v>
      </c>
      <c r="T340">
        <v>103.0513793360869</v>
      </c>
      <c r="U340">
        <v>3.1757253178346677E-2</v>
      </c>
      <c r="V340">
        <v>0.11931735942469859</v>
      </c>
      <c r="W340">
        <v>1.3152499418222999E-2</v>
      </c>
      <c r="X340">
        <v>9.6937527622538653</v>
      </c>
      <c r="Y340">
        <v>8.4096956746205986E-2</v>
      </c>
      <c r="Z340">
        <v>0.39035320735435131</v>
      </c>
      <c r="AA340">
        <v>5.0549294962086523E-2</v>
      </c>
      <c r="AB340">
        <v>1.6726375766402639</v>
      </c>
      <c r="AC340">
        <v>0.20720971686037901</v>
      </c>
      <c r="AD340">
        <v>1191.961124305697</v>
      </c>
      <c r="AE340">
        <v>50</v>
      </c>
      <c r="AF340">
        <v>82.319733415149159</v>
      </c>
      <c r="AG340">
        <v>2.0274999999999999</v>
      </c>
      <c r="AH340">
        <v>12.7525</v>
      </c>
      <c r="AI340">
        <v>0.17249999999999999</v>
      </c>
      <c r="AJ340">
        <v>11.092499999999999</v>
      </c>
      <c r="AK340">
        <v>0.51750000000000007</v>
      </c>
      <c r="AL340">
        <v>2.5150000000000001</v>
      </c>
      <c r="AM340">
        <v>50.63</v>
      </c>
      <c r="AN340">
        <v>7.415</v>
      </c>
      <c r="AP340">
        <v>1685.75</v>
      </c>
      <c r="AR340">
        <v>0.17231270024773751</v>
      </c>
      <c r="AS340">
        <v>0.13450526631573459</v>
      </c>
      <c r="AT340">
        <v>4.9999999999999836E-3</v>
      </c>
      <c r="AU340">
        <v>0.29227555491350982</v>
      </c>
      <c r="AV340">
        <v>2.061552812808835E-2</v>
      </c>
      <c r="AW340">
        <v>6.2449979983983737E-2</v>
      </c>
      <c r="AX340">
        <v>0.21556128285632961</v>
      </c>
      <c r="AY340">
        <v>0.39770173078158311</v>
      </c>
      <c r="BA340">
        <v>51.951098801340748</v>
      </c>
      <c r="BE340">
        <v>6.0134026682432853E-2</v>
      </c>
      <c r="BF340">
        <v>11902</v>
      </c>
      <c r="BG340">
        <v>191109.16709213451</v>
      </c>
      <c r="BH340">
        <v>110.6988196105679</v>
      </c>
      <c r="BI340">
        <v>246.64131289339261</v>
      </c>
      <c r="BJ340">
        <v>1.0146891511845371</v>
      </c>
      <c r="BK340">
        <v>110.6988196105679</v>
      </c>
    </row>
    <row r="341" spans="1:63" x14ac:dyDescent="0.2">
      <c r="A341">
        <v>339</v>
      </c>
      <c r="B341" t="s">
        <v>69</v>
      </c>
      <c r="C341" t="s">
        <v>70</v>
      </c>
      <c r="D341" t="s">
        <v>71</v>
      </c>
      <c r="E341">
        <v>-155.29347999999999</v>
      </c>
      <c r="F341">
        <v>19.377479999999998</v>
      </c>
      <c r="G341" t="s">
        <v>112</v>
      </c>
      <c r="H341" t="s">
        <v>419</v>
      </c>
      <c r="I341" t="s">
        <v>782</v>
      </c>
      <c r="J341" t="s">
        <v>68</v>
      </c>
      <c r="K341">
        <v>19.75968613828125</v>
      </c>
      <c r="L341">
        <v>19.557969515625</v>
      </c>
      <c r="M341">
        <v>1214.0978207245589</v>
      </c>
      <c r="N341">
        <v>31823.653363604149</v>
      </c>
      <c r="Q341">
        <v>11.971</v>
      </c>
      <c r="R341">
        <v>1324.9639999999999</v>
      </c>
      <c r="S341">
        <v>50</v>
      </c>
      <c r="T341">
        <v>103.0515483698932</v>
      </c>
      <c r="U341">
        <v>3.3659134908377419E-3</v>
      </c>
      <c r="V341">
        <v>0.11938433740427</v>
      </c>
      <c r="W341">
        <v>4.0525818065424123E-3</v>
      </c>
      <c r="X341">
        <v>0</v>
      </c>
      <c r="Y341">
        <v>7.7797666586705394E-2</v>
      </c>
      <c r="Z341">
        <v>0.42107022314799458</v>
      </c>
      <c r="AA341">
        <v>2.6949584935404409E-2</v>
      </c>
      <c r="AB341">
        <v>1.798498448118345</v>
      </c>
      <c r="AC341">
        <v>0.10990222646615409</v>
      </c>
      <c r="AD341">
        <v>1311.014317211537</v>
      </c>
      <c r="AE341">
        <v>50</v>
      </c>
      <c r="AF341">
        <v>88.707461317224912</v>
      </c>
      <c r="AG341">
        <v>2.1280100000000002</v>
      </c>
      <c r="AH341">
        <v>12.511455</v>
      </c>
      <c r="AI341">
        <v>0.21128</v>
      </c>
      <c r="AJ341">
        <v>10.547185000000001</v>
      </c>
      <c r="AK341">
        <v>0.43435000000000001</v>
      </c>
      <c r="AL341">
        <v>2.4173399999999998</v>
      </c>
      <c r="AM341">
        <v>50.003889999999998</v>
      </c>
      <c r="AN341">
        <v>8.5805450000000008</v>
      </c>
      <c r="AO341">
        <v>11.0444</v>
      </c>
      <c r="AP341">
        <v>0.37786999999999998</v>
      </c>
      <c r="AQ341">
        <v>98.290260000000004</v>
      </c>
      <c r="AR341">
        <v>4.7093422517846893E-2</v>
      </c>
      <c r="AS341">
        <v>0.17423154844121161</v>
      </c>
      <c r="AT341">
        <v>2.1925114974993089E-2</v>
      </c>
      <c r="AU341">
        <v>0.1853741817244248</v>
      </c>
      <c r="AV341">
        <v>1.0520403456564249E-2</v>
      </c>
      <c r="AW341">
        <v>3.5166562401109248E-2</v>
      </c>
      <c r="AX341">
        <v>0.46106226248619608</v>
      </c>
      <c r="AY341">
        <v>0.4051107053427907</v>
      </c>
      <c r="AZ341">
        <v>0.14841023100402101</v>
      </c>
      <c r="BA341">
        <v>1.7068639208924791E-2</v>
      </c>
    </row>
    <row r="342" spans="1:63" x14ac:dyDescent="0.2">
      <c r="A342">
        <v>340</v>
      </c>
      <c r="B342" t="s">
        <v>69</v>
      </c>
      <c r="C342" t="s">
        <v>236</v>
      </c>
      <c r="D342" t="s">
        <v>64</v>
      </c>
      <c r="E342">
        <v>-155.292979</v>
      </c>
      <c r="F342">
        <v>19.400748</v>
      </c>
      <c r="G342" t="s">
        <v>237</v>
      </c>
      <c r="H342" t="s">
        <v>406</v>
      </c>
      <c r="I342" t="s">
        <v>783</v>
      </c>
      <c r="J342" t="s">
        <v>68</v>
      </c>
      <c r="K342">
        <v>11.358894899999999</v>
      </c>
      <c r="L342">
        <v>10.931634568750001</v>
      </c>
      <c r="M342">
        <v>390.09560664396759</v>
      </c>
      <c r="N342">
        <v>5796.9584103515117</v>
      </c>
      <c r="Q342">
        <v>9.9139999999999997</v>
      </c>
      <c r="R342">
        <v>1324.9639999999999</v>
      </c>
      <c r="S342">
        <v>50</v>
      </c>
      <c r="T342">
        <v>103.05164648360309</v>
      </c>
      <c r="U342">
        <v>2.3243292954195138E-2</v>
      </c>
      <c r="V342">
        <v>0.11942321399470759</v>
      </c>
      <c r="W342">
        <v>9.9733571113495394E-3</v>
      </c>
      <c r="X342">
        <v>0</v>
      </c>
      <c r="Y342">
        <v>8.388070763400779E-2</v>
      </c>
      <c r="Z342">
        <v>0.39133722206201849</v>
      </c>
      <c r="AA342">
        <v>4.9269216677984708E-2</v>
      </c>
      <c r="AB342">
        <v>1.676681754871969</v>
      </c>
      <c r="AC342">
        <v>0.20214636598491109</v>
      </c>
      <c r="AD342">
        <v>1194.443915391151</v>
      </c>
      <c r="AE342">
        <v>100</v>
      </c>
      <c r="AG342">
        <v>2.0274999999999999</v>
      </c>
      <c r="AH342">
        <v>12.7525</v>
      </c>
      <c r="AI342">
        <v>0.17249999999999999</v>
      </c>
      <c r="AJ342">
        <v>11.092499999999999</v>
      </c>
      <c r="AK342">
        <v>0.51750000000000007</v>
      </c>
      <c r="AL342">
        <v>2.5150000000000001</v>
      </c>
      <c r="AM342">
        <v>50.63</v>
      </c>
      <c r="AN342">
        <v>7.415</v>
      </c>
      <c r="AP342">
        <v>1685.75</v>
      </c>
      <c r="AR342">
        <v>0.17231270024773751</v>
      </c>
      <c r="AS342">
        <v>0.13450526631573459</v>
      </c>
      <c r="AT342">
        <v>4.9999999999999836E-3</v>
      </c>
      <c r="AU342">
        <v>0.29227555491350982</v>
      </c>
      <c r="AV342">
        <v>2.061552812808835E-2</v>
      </c>
      <c r="AW342">
        <v>6.2449979983983737E-2</v>
      </c>
      <c r="AX342">
        <v>0.21556128285632961</v>
      </c>
      <c r="AY342">
        <v>0.39770173078158311</v>
      </c>
      <c r="BA342">
        <v>51.951098801340748</v>
      </c>
      <c r="BE342">
        <v>6.7124479268020981E-2</v>
      </c>
      <c r="BF342">
        <v>1628</v>
      </c>
      <c r="BG342">
        <v>40883.307436597723</v>
      </c>
      <c r="BH342">
        <v>49.230057587073361</v>
      </c>
      <c r="BI342">
        <v>114.0769956518857</v>
      </c>
      <c r="BJ342">
        <v>1.220121678495929</v>
      </c>
      <c r="BK342">
        <v>49.230057587073361</v>
      </c>
    </row>
    <row r="343" spans="1:63" x14ac:dyDescent="0.2">
      <c r="A343">
        <v>341</v>
      </c>
      <c r="B343" t="s">
        <v>69</v>
      </c>
      <c r="C343" t="s">
        <v>784</v>
      </c>
      <c r="D343" t="s">
        <v>322</v>
      </c>
      <c r="E343">
        <v>-155.35314403066801</v>
      </c>
      <c r="F343">
        <v>19.349489671806701</v>
      </c>
      <c r="G343" t="s">
        <v>785</v>
      </c>
      <c r="H343" t="s">
        <v>786</v>
      </c>
      <c r="I343" t="s">
        <v>787</v>
      </c>
      <c r="J343" t="s">
        <v>68</v>
      </c>
      <c r="K343">
        <v>15.523520832812499</v>
      </c>
      <c r="L343">
        <v>14.224131041406251</v>
      </c>
      <c r="M343">
        <v>693.69065848753121</v>
      </c>
      <c r="N343">
        <v>13757.112144723091</v>
      </c>
      <c r="Q343">
        <v>10.007999999999999</v>
      </c>
      <c r="R343">
        <v>1324.9639999999999</v>
      </c>
      <c r="S343">
        <v>50</v>
      </c>
      <c r="T343">
        <v>103.0523935292733</v>
      </c>
      <c r="U343">
        <v>2.8721398290334362E-3</v>
      </c>
      <c r="V343">
        <v>0.1197192234779365</v>
      </c>
      <c r="W343">
        <v>3.9929931467569957E-3</v>
      </c>
      <c r="X343">
        <v>0</v>
      </c>
      <c r="Y343">
        <v>8.2055702794990526E-2</v>
      </c>
      <c r="Z343">
        <v>0.3998200532797615</v>
      </c>
      <c r="AA343">
        <v>2.735422493184533E-2</v>
      </c>
      <c r="AB343">
        <v>1.7115114104449149</v>
      </c>
      <c r="AC343">
        <v>0.112132036722124</v>
      </c>
      <c r="AD343">
        <v>1223.61062333527</v>
      </c>
      <c r="AE343">
        <v>50</v>
      </c>
      <c r="AF343">
        <v>84.529945647225233</v>
      </c>
      <c r="AG343">
        <v>2.3570000000000002</v>
      </c>
      <c r="AH343">
        <v>13.715999999999999</v>
      </c>
      <c r="AI343">
        <v>0.24811</v>
      </c>
      <c r="AJ343">
        <v>11.47284</v>
      </c>
      <c r="AK343">
        <v>0.52964999999999995</v>
      </c>
      <c r="AL343">
        <v>2.8898700000000002</v>
      </c>
      <c r="AM343">
        <v>50.692570000000003</v>
      </c>
      <c r="AN343">
        <v>6.9913700000000008</v>
      </c>
      <c r="AP343">
        <v>0.16611000000000001</v>
      </c>
      <c r="AQ343">
        <v>100.03395</v>
      </c>
      <c r="AR343">
        <v>5.8782724928332357E-2</v>
      </c>
      <c r="AS343">
        <v>0.14197203950074119</v>
      </c>
      <c r="AT343">
        <v>1.8524929149662091E-2</v>
      </c>
      <c r="AU343">
        <v>7.580298806775411E-2</v>
      </c>
      <c r="AV343">
        <v>2.37537365481728E-2</v>
      </c>
      <c r="AW343">
        <v>6.5014994424363204E-2</v>
      </c>
      <c r="AX343">
        <v>0.40904520777048697</v>
      </c>
      <c r="AY343">
        <v>7.4371412518520627E-2</v>
      </c>
      <c r="BA343">
        <v>1.149502066113846E-2</v>
      </c>
      <c r="BB343">
        <v>5</v>
      </c>
      <c r="BC343" t="s">
        <v>86</v>
      </c>
      <c r="BE343">
        <v>0.17101727751812429</v>
      </c>
      <c r="BF343">
        <v>1768</v>
      </c>
      <c r="BG343">
        <v>120865.9264585706</v>
      </c>
      <c r="BH343">
        <v>48.884724278910276</v>
      </c>
      <c r="BI343">
        <v>196.14489362337741</v>
      </c>
      <c r="BJ343">
        <v>1.1626046072297069</v>
      </c>
      <c r="BK343">
        <v>48.884724278910269</v>
      </c>
    </row>
    <row r="344" spans="1:63" x14ac:dyDescent="0.2">
      <c r="A344">
        <v>342</v>
      </c>
      <c r="B344" t="s">
        <v>69</v>
      </c>
      <c r="C344" t="s">
        <v>278</v>
      </c>
      <c r="D344" t="s">
        <v>144</v>
      </c>
      <c r="E344">
        <v>-154.873789449106</v>
      </c>
      <c r="F344">
        <v>19.5537282409346</v>
      </c>
      <c r="G344" t="s">
        <v>279</v>
      </c>
      <c r="H344" t="s">
        <v>788</v>
      </c>
      <c r="I344" t="s">
        <v>789</v>
      </c>
      <c r="J344" t="s">
        <v>68</v>
      </c>
      <c r="K344">
        <v>8.0886564124999989</v>
      </c>
      <c r="L344">
        <v>7.2673774406250002</v>
      </c>
      <c r="M344">
        <v>184.67324355495521</v>
      </c>
      <c r="N344">
        <v>1890.5657198641929</v>
      </c>
      <c r="O344" t="s">
        <v>790</v>
      </c>
      <c r="Q344">
        <v>11.974</v>
      </c>
      <c r="R344">
        <v>1325.0039999999999</v>
      </c>
      <c r="S344">
        <v>50</v>
      </c>
      <c r="T344">
        <v>103.0524579282028</v>
      </c>
      <c r="U344">
        <v>1.9513582412924571E-2</v>
      </c>
      <c r="V344">
        <v>0.1197447409189749</v>
      </c>
      <c r="W344">
        <v>8.6275121092467336E-3</v>
      </c>
      <c r="X344">
        <v>0</v>
      </c>
      <c r="Y344">
        <v>8.2871706824949709E-2</v>
      </c>
      <c r="Z344">
        <v>0.39598727580516468</v>
      </c>
      <c r="AA344">
        <v>3.5278258669595802E-2</v>
      </c>
      <c r="AB344">
        <v>1.6957818882794391</v>
      </c>
      <c r="AC344">
        <v>0.14463247774980539</v>
      </c>
      <c r="AD344">
        <v>1208.4007584980909</v>
      </c>
      <c r="AE344">
        <v>50</v>
      </c>
      <c r="AF344">
        <v>83.545242785061419</v>
      </c>
    </row>
    <row r="345" spans="1:63" x14ac:dyDescent="0.2">
      <c r="A345">
        <v>343</v>
      </c>
      <c r="B345" t="s">
        <v>69</v>
      </c>
      <c r="C345" t="s">
        <v>81</v>
      </c>
      <c r="D345" t="s">
        <v>71</v>
      </c>
      <c r="E345">
        <v>-155.29106999999999</v>
      </c>
      <c r="F345">
        <v>19.383150000000001</v>
      </c>
      <c r="G345" t="s">
        <v>87</v>
      </c>
      <c r="H345" t="s">
        <v>504</v>
      </c>
      <c r="I345" t="s">
        <v>791</v>
      </c>
      <c r="J345" t="s">
        <v>68</v>
      </c>
      <c r="K345">
        <v>11.06303223046875</v>
      </c>
      <c r="L345">
        <v>11.059196650781249</v>
      </c>
      <c r="M345">
        <v>384.3683602087109</v>
      </c>
      <c r="N345">
        <v>5668.7232261652334</v>
      </c>
      <c r="O345" t="s">
        <v>506</v>
      </c>
      <c r="Q345">
        <v>12.023999999999999</v>
      </c>
      <c r="R345">
        <v>1325.0039999999999</v>
      </c>
      <c r="S345">
        <v>50</v>
      </c>
      <c r="T345">
        <v>103.05252362120861</v>
      </c>
      <c r="U345">
        <v>5.8880635599273387E-3</v>
      </c>
      <c r="V345">
        <v>0.11977077112499759</v>
      </c>
      <c r="W345">
        <v>4.4824952634957872E-3</v>
      </c>
      <c r="X345">
        <v>0</v>
      </c>
      <c r="Y345">
        <v>8.0648774181676819E-2</v>
      </c>
      <c r="Z345">
        <v>0.40660154219974931</v>
      </c>
      <c r="AA345">
        <v>2.85048083539216E-2</v>
      </c>
      <c r="AB345">
        <v>1.739312165309894</v>
      </c>
      <c r="AC345">
        <v>0.1166614367937269</v>
      </c>
      <c r="AD345">
        <v>1249.2864398762879</v>
      </c>
      <c r="AE345">
        <v>50</v>
      </c>
      <c r="AF345">
        <v>85.966918943421632</v>
      </c>
      <c r="AG345">
        <v>2.2102200000000001</v>
      </c>
      <c r="AH345">
        <v>12.516225</v>
      </c>
      <c r="AI345">
        <v>0.22873499999999999</v>
      </c>
      <c r="AJ345">
        <v>10.535360000000001</v>
      </c>
      <c r="AK345">
        <v>0.37534499999999998</v>
      </c>
      <c r="AL345">
        <v>2.4377900000000001</v>
      </c>
      <c r="AM345">
        <v>50.224780000000003</v>
      </c>
      <c r="AN345">
        <v>8.9844449999999991</v>
      </c>
      <c r="AP345">
        <v>0.178455</v>
      </c>
      <c r="AQ345">
        <v>99.610560000000007</v>
      </c>
      <c r="AR345">
        <v>1.7587090435884831E-2</v>
      </c>
      <c r="AS345">
        <v>0.12699126938494701</v>
      </c>
      <c r="AT345">
        <v>8.073250584491971E-3</v>
      </c>
      <c r="AU345">
        <v>6.9056800896073786E-2</v>
      </c>
      <c r="AV345">
        <v>2.248073063759274E-2</v>
      </c>
      <c r="AW345">
        <v>2.1205111412109991E-2</v>
      </c>
      <c r="AX345">
        <v>0.5052093298821787</v>
      </c>
      <c r="AY345">
        <v>0.13192220766421431</v>
      </c>
      <c r="BA345">
        <v>1.2962040734390541E-2</v>
      </c>
      <c r="BB345">
        <v>5</v>
      </c>
      <c r="BC345" t="s">
        <v>86</v>
      </c>
    </row>
    <row r="346" spans="1:63" x14ac:dyDescent="0.2">
      <c r="A346">
        <v>344</v>
      </c>
      <c r="B346" t="s">
        <v>69</v>
      </c>
      <c r="C346" t="s">
        <v>76</v>
      </c>
      <c r="D346" t="s">
        <v>71</v>
      </c>
      <c r="E346">
        <v>-155.29812000000001</v>
      </c>
      <c r="F346">
        <v>19.375624999999999</v>
      </c>
      <c r="G346" t="s">
        <v>77</v>
      </c>
      <c r="H346" t="s">
        <v>150</v>
      </c>
      <c r="I346" t="s">
        <v>792</v>
      </c>
      <c r="J346" t="s">
        <v>68</v>
      </c>
      <c r="K346">
        <v>5.0419276140624998</v>
      </c>
      <c r="L346">
        <v>3.5053130304687499</v>
      </c>
      <c r="M346">
        <v>55.523046350024067</v>
      </c>
      <c r="N346">
        <v>316.37922564741211</v>
      </c>
      <c r="Q346">
        <v>11.901</v>
      </c>
      <c r="R346">
        <v>1324.9639999999999</v>
      </c>
      <c r="S346">
        <v>50</v>
      </c>
      <c r="T346">
        <v>103.0527932571496</v>
      </c>
      <c r="U346">
        <v>8.5759968386480197E-3</v>
      </c>
      <c r="V346">
        <v>0.1198776117088087</v>
      </c>
      <c r="W346">
        <v>5.1184241900944548E-3</v>
      </c>
      <c r="X346">
        <v>0</v>
      </c>
      <c r="Y346">
        <v>8.0975159944086439E-2</v>
      </c>
      <c r="Z346">
        <v>0.40501031668757098</v>
      </c>
      <c r="AA346">
        <v>3.0076666765080619E-2</v>
      </c>
      <c r="AB346">
        <v>1.7327923783936541</v>
      </c>
      <c r="AC346">
        <v>0.1231678057523251</v>
      </c>
      <c r="AD346">
        <v>1241.6949745209911</v>
      </c>
      <c r="AE346">
        <v>50</v>
      </c>
      <c r="AF346">
        <v>85.566332655993023</v>
      </c>
      <c r="AG346">
        <v>2.5039199999999999</v>
      </c>
      <c r="AH346">
        <v>14.096819999999999</v>
      </c>
      <c r="AI346">
        <v>0.27322000000000002</v>
      </c>
      <c r="AJ346">
        <v>10.95044</v>
      </c>
      <c r="AK346">
        <v>0.52094000000000007</v>
      </c>
      <c r="AL346">
        <v>2.9191400000000001</v>
      </c>
      <c r="AM346">
        <v>50.91704</v>
      </c>
      <c r="AN346">
        <v>6.4346599999999992</v>
      </c>
      <c r="AO346">
        <v>10.86684</v>
      </c>
      <c r="AP346">
        <v>0.19492000000000001</v>
      </c>
      <c r="AQ346">
        <v>99.70778</v>
      </c>
      <c r="AR346">
        <v>5.8797253337209539E-2</v>
      </c>
      <c r="AS346">
        <v>0.138496180452748</v>
      </c>
      <c r="AT346">
        <v>2.822688434808206E-2</v>
      </c>
      <c r="AU346">
        <v>7.1287502411011894E-2</v>
      </c>
      <c r="AV346">
        <v>1.2819243347405491E-2</v>
      </c>
      <c r="AW346">
        <v>2.3721045508155889E-2</v>
      </c>
      <c r="AX346">
        <v>0.39733328327740491</v>
      </c>
      <c r="AY346">
        <v>8.3972662218129629E-2</v>
      </c>
      <c r="AZ346">
        <v>5.8132675837260117E-2</v>
      </c>
      <c r="BA346">
        <v>1.931080008699795E-2</v>
      </c>
      <c r="BD346" t="s">
        <v>345</v>
      </c>
      <c r="BE346">
        <v>0.148538896248574</v>
      </c>
      <c r="BF346">
        <v>1926</v>
      </c>
      <c r="BG346">
        <v>160135.766902776</v>
      </c>
      <c r="BH346">
        <v>249.736549947155</v>
      </c>
      <c r="BI346">
        <v>225.77156095659299</v>
      </c>
      <c r="BJ346">
        <v>5.6905463669189</v>
      </c>
      <c r="BK346">
        <v>249.736549947155</v>
      </c>
    </row>
    <row r="347" spans="1:63" x14ac:dyDescent="0.2">
      <c r="A347">
        <v>345</v>
      </c>
      <c r="B347" t="s">
        <v>69</v>
      </c>
      <c r="C347" t="s">
        <v>297</v>
      </c>
      <c r="D347" t="s">
        <v>64</v>
      </c>
      <c r="E347">
        <v>-155.27754999999999</v>
      </c>
      <c r="F347">
        <v>19.401</v>
      </c>
      <c r="G347" t="s">
        <v>298</v>
      </c>
      <c r="H347" t="s">
        <v>793</v>
      </c>
      <c r="I347" t="s">
        <v>794</v>
      </c>
      <c r="J347" t="s">
        <v>68</v>
      </c>
      <c r="K347">
        <v>7.4466617335937508</v>
      </c>
      <c r="L347">
        <v>6.9439683351562502</v>
      </c>
      <c r="M347">
        <v>162.44981863628951</v>
      </c>
      <c r="N347">
        <v>1558.5034964869151</v>
      </c>
      <c r="Q347">
        <v>9.98</v>
      </c>
      <c r="R347">
        <v>1324.9639999999999</v>
      </c>
      <c r="S347">
        <v>50</v>
      </c>
      <c r="T347">
        <v>103.0532254762802</v>
      </c>
      <c r="U347">
        <v>1.8035489019035639E-2</v>
      </c>
      <c r="V347">
        <v>0.1200488742789219</v>
      </c>
      <c r="W347">
        <v>8.1070214084661193E-3</v>
      </c>
      <c r="X347">
        <v>0</v>
      </c>
      <c r="Y347">
        <v>8.3619553196337293E-2</v>
      </c>
      <c r="Z347">
        <v>0.39254011280094342</v>
      </c>
      <c r="AA347">
        <v>3.7762018475023668E-2</v>
      </c>
      <c r="AB347">
        <v>1.681624380282152</v>
      </c>
      <c r="AC347">
        <v>0.15490076713320561</v>
      </c>
      <c r="AD347">
        <v>1191.176924864224</v>
      </c>
      <c r="AE347">
        <v>50</v>
      </c>
      <c r="AF347">
        <v>82.255948477154249</v>
      </c>
      <c r="AG347">
        <v>2.321825</v>
      </c>
      <c r="AH347">
        <v>13.7706416666667</v>
      </c>
      <c r="AI347">
        <v>0.268625</v>
      </c>
      <c r="AJ347">
        <v>10.802308333333301</v>
      </c>
      <c r="AK347">
        <v>0.55051666666666699</v>
      </c>
      <c r="AL347">
        <v>2.808325</v>
      </c>
      <c r="AM347">
        <v>50.309224999999998</v>
      </c>
      <c r="AN347">
        <v>6.0358333333333301</v>
      </c>
      <c r="AP347">
        <v>0.19646666666666701</v>
      </c>
      <c r="AQ347">
        <v>98.455249999999964</v>
      </c>
      <c r="AR347">
        <v>0.116299942351272</v>
      </c>
      <c r="AS347">
        <v>0.28611493068451699</v>
      </c>
      <c r="AT347">
        <v>2.3686019082994898E-2</v>
      </c>
      <c r="AU347">
        <v>0.25896941012171298</v>
      </c>
      <c r="AV347">
        <v>2.1496673456536702E-2</v>
      </c>
      <c r="AW347">
        <v>4.2624494131895597E-2</v>
      </c>
      <c r="AX347">
        <v>0.80521115370159502</v>
      </c>
      <c r="AY347">
        <v>0.14527452591142001</v>
      </c>
      <c r="BA347">
        <v>2.9538244341664601E-2</v>
      </c>
      <c r="BE347">
        <v>0.48182119642024868</v>
      </c>
      <c r="BF347">
        <v>8827</v>
      </c>
      <c r="BG347">
        <v>228517.1113031134</v>
      </c>
      <c r="BH347">
        <v>1677.4230511490771</v>
      </c>
      <c r="BI347">
        <v>269.70216107762769</v>
      </c>
      <c r="BJ347">
        <v>17.854021092341419</v>
      </c>
      <c r="BK347">
        <v>1677.423051149075</v>
      </c>
    </row>
    <row r="348" spans="1:63" x14ac:dyDescent="0.2">
      <c r="A348">
        <v>346</v>
      </c>
      <c r="B348" t="s">
        <v>69</v>
      </c>
      <c r="C348" t="s">
        <v>76</v>
      </c>
      <c r="D348" t="s">
        <v>71</v>
      </c>
      <c r="E348">
        <v>-155.29812000000001</v>
      </c>
      <c r="F348">
        <v>19.375624999999999</v>
      </c>
      <c r="G348" t="s">
        <v>77</v>
      </c>
      <c r="H348" t="s">
        <v>364</v>
      </c>
      <c r="I348" t="s">
        <v>795</v>
      </c>
      <c r="J348" t="s">
        <v>68</v>
      </c>
      <c r="K348">
        <v>7.2188515460937497</v>
      </c>
      <c r="L348">
        <v>6.1939381617187497</v>
      </c>
      <c r="M348">
        <v>140.47040954711451</v>
      </c>
      <c r="N348">
        <v>1256.0667089504959</v>
      </c>
      <c r="Q348">
        <v>11.965</v>
      </c>
      <c r="R348">
        <v>1324.9639999999999</v>
      </c>
      <c r="S348">
        <v>50</v>
      </c>
      <c r="T348">
        <v>103.053412337121</v>
      </c>
      <c r="U348">
        <v>7.9646034559197436E-3</v>
      </c>
      <c r="V348">
        <v>0.12012291604520441</v>
      </c>
      <c r="W348">
        <v>4.9612093968432382E-3</v>
      </c>
      <c r="X348">
        <v>0</v>
      </c>
      <c r="Y348">
        <v>8.2217001211229324E-2</v>
      </c>
      <c r="Z348">
        <v>0.3990635472502041</v>
      </c>
      <c r="AA348">
        <v>3.002175604517526E-2</v>
      </c>
      <c r="AB348">
        <v>1.70840772377135</v>
      </c>
      <c r="AC348">
        <v>0.12297212906905119</v>
      </c>
      <c r="AD348">
        <v>1215.460009779553</v>
      </c>
      <c r="AE348">
        <v>50</v>
      </c>
      <c r="AF348">
        <v>84.017257071109668</v>
      </c>
      <c r="AG348">
        <v>2.5039199999999999</v>
      </c>
      <c r="AH348">
        <v>14.096819999999999</v>
      </c>
      <c r="AI348">
        <v>0.27322000000000002</v>
      </c>
      <c r="AJ348">
        <v>10.95044</v>
      </c>
      <c r="AK348">
        <v>0.52094000000000007</v>
      </c>
      <c r="AL348">
        <v>2.9191400000000001</v>
      </c>
      <c r="AM348">
        <v>50.91704</v>
      </c>
      <c r="AN348">
        <v>6.4346599999999992</v>
      </c>
      <c r="AO348">
        <v>10.86684</v>
      </c>
      <c r="AP348">
        <v>0.19492000000000001</v>
      </c>
      <c r="AQ348">
        <v>99.70778</v>
      </c>
      <c r="AR348">
        <v>5.8797253337209539E-2</v>
      </c>
      <c r="AS348">
        <v>0.138496180452748</v>
      </c>
      <c r="AT348">
        <v>2.822688434808206E-2</v>
      </c>
      <c r="AU348">
        <v>7.1287502411011894E-2</v>
      </c>
      <c r="AV348">
        <v>1.2819243347405491E-2</v>
      </c>
      <c r="AW348">
        <v>2.3721045508155889E-2</v>
      </c>
      <c r="AX348">
        <v>0.39733328327740491</v>
      </c>
      <c r="AY348">
        <v>8.3972662218129629E-2</v>
      </c>
      <c r="AZ348">
        <v>5.8132675837260117E-2</v>
      </c>
      <c r="BA348">
        <v>1.931080008699795E-2</v>
      </c>
      <c r="BD348" t="s">
        <v>366</v>
      </c>
      <c r="BE348">
        <v>0.10250371937118</v>
      </c>
      <c r="BF348">
        <v>2234</v>
      </c>
      <c r="BG348">
        <v>110454.948850453</v>
      </c>
      <c r="BH348">
        <v>20.920948977589401</v>
      </c>
      <c r="BI348">
        <v>187.507072392015</v>
      </c>
      <c r="BJ348">
        <v>0.442628930138315</v>
      </c>
      <c r="BK348">
        <v>20.920948977589401</v>
      </c>
    </row>
    <row r="349" spans="1:63" x14ac:dyDescent="0.2">
      <c r="A349">
        <v>347</v>
      </c>
      <c r="B349" t="s">
        <v>69</v>
      </c>
      <c r="C349" t="s">
        <v>278</v>
      </c>
      <c r="D349" t="s">
        <v>144</v>
      </c>
      <c r="E349">
        <v>-154.873789449106</v>
      </c>
      <c r="F349">
        <v>19.5537282409346</v>
      </c>
      <c r="G349" t="s">
        <v>279</v>
      </c>
      <c r="H349" t="s">
        <v>796</v>
      </c>
      <c r="I349" t="s">
        <v>797</v>
      </c>
      <c r="J349" t="s">
        <v>68</v>
      </c>
      <c r="K349">
        <v>9.9646035687500003</v>
      </c>
      <c r="L349">
        <v>9.0244216265625017</v>
      </c>
      <c r="M349">
        <v>282.50704062024403</v>
      </c>
      <c r="N349">
        <v>3576.3555414606558</v>
      </c>
      <c r="O349" t="s">
        <v>798</v>
      </c>
      <c r="Q349">
        <v>11.98</v>
      </c>
      <c r="R349">
        <v>1325.0039999999999</v>
      </c>
      <c r="S349">
        <v>50</v>
      </c>
      <c r="T349">
        <v>103.0535911007353</v>
      </c>
      <c r="U349">
        <v>4.5144663442538754E-3</v>
      </c>
      <c r="V349">
        <v>0.12019374936531339</v>
      </c>
      <c r="W349">
        <v>4.225479205383134E-3</v>
      </c>
      <c r="X349">
        <v>0</v>
      </c>
      <c r="Y349">
        <v>8.2887277305611851E-2</v>
      </c>
      <c r="Z349">
        <v>0.39592240023001068</v>
      </c>
      <c r="AA349">
        <v>2.813023381743171E-2</v>
      </c>
      <c r="AB349">
        <v>1.6955155362249761</v>
      </c>
      <c r="AC349">
        <v>0.1153627638460154</v>
      </c>
      <c r="AD349">
        <v>1202.411334524405</v>
      </c>
      <c r="AE349">
        <v>50</v>
      </c>
      <c r="AF349">
        <v>83.121250142990263</v>
      </c>
    </row>
    <row r="350" spans="1:63" x14ac:dyDescent="0.2">
      <c r="A350">
        <v>348</v>
      </c>
      <c r="B350" t="s">
        <v>69</v>
      </c>
      <c r="C350" t="s">
        <v>81</v>
      </c>
      <c r="D350" t="s">
        <v>71</v>
      </c>
      <c r="E350">
        <v>-155.29106999999999</v>
      </c>
      <c r="F350">
        <v>19.383150000000001</v>
      </c>
      <c r="G350" t="s">
        <v>82</v>
      </c>
      <c r="H350" t="s">
        <v>451</v>
      </c>
      <c r="I350" t="s">
        <v>799</v>
      </c>
      <c r="J350" t="s">
        <v>68</v>
      </c>
      <c r="K350">
        <v>3.9565747921874999</v>
      </c>
      <c r="L350">
        <v>3.3322470257812502</v>
      </c>
      <c r="M350">
        <v>41.41965159051113</v>
      </c>
      <c r="N350">
        <v>201.26697347038771</v>
      </c>
      <c r="Q350">
        <v>10.045</v>
      </c>
      <c r="R350">
        <v>1324.9639999999999</v>
      </c>
      <c r="S350">
        <v>50</v>
      </c>
      <c r="T350">
        <v>103.05369879440789</v>
      </c>
      <c r="U350">
        <v>7.5078509106514526E-3</v>
      </c>
      <c r="V350">
        <v>0.1202364219215326</v>
      </c>
      <c r="W350">
        <v>4.8482438381804117E-3</v>
      </c>
      <c r="X350">
        <v>0</v>
      </c>
      <c r="Y350">
        <v>8.2421562659316994E-2</v>
      </c>
      <c r="Z350">
        <v>0.39810141499999357</v>
      </c>
      <c r="AA350">
        <v>2.8170814756617101E-2</v>
      </c>
      <c r="AB350">
        <v>1.7044597300049651</v>
      </c>
      <c r="AC350">
        <v>0.11556778007344549</v>
      </c>
      <c r="AD350">
        <v>1210.2842106018561</v>
      </c>
      <c r="AE350">
        <v>50</v>
      </c>
      <c r="AF350">
        <v>83.673950008766738</v>
      </c>
      <c r="AG350">
        <v>2.2102200000000001</v>
      </c>
      <c r="AH350">
        <v>12.516225</v>
      </c>
      <c r="AI350">
        <v>0.22873499999999999</v>
      </c>
      <c r="AJ350">
        <v>10.535360000000001</v>
      </c>
      <c r="AK350">
        <v>0.37534499999999998</v>
      </c>
      <c r="AL350">
        <v>2.4377900000000001</v>
      </c>
      <c r="AM350">
        <v>50.224780000000003</v>
      </c>
      <c r="AN350">
        <v>8.9844449999999991</v>
      </c>
      <c r="AP350">
        <v>0.178455</v>
      </c>
      <c r="AQ350">
        <v>99.610560000000007</v>
      </c>
      <c r="AR350">
        <v>1.7587090435884831E-2</v>
      </c>
      <c r="AS350">
        <v>0.12699126938494701</v>
      </c>
      <c r="AT350">
        <v>8.073250584491971E-3</v>
      </c>
      <c r="AU350">
        <v>6.9056800896073786E-2</v>
      </c>
      <c r="AV350">
        <v>2.248073063759274E-2</v>
      </c>
      <c r="AW350">
        <v>2.1205111412109991E-2</v>
      </c>
      <c r="AX350">
        <v>0.5052093298821787</v>
      </c>
      <c r="AY350">
        <v>0.13192220766421431</v>
      </c>
      <c r="BA350">
        <v>1.2962040734390541E-2</v>
      </c>
      <c r="BB350">
        <v>5</v>
      </c>
      <c r="BC350" t="s">
        <v>86</v>
      </c>
      <c r="BE350">
        <v>7.7615382653226345E-2</v>
      </c>
      <c r="BF350">
        <v>15270</v>
      </c>
      <c r="BG350">
        <v>137744.6967805654</v>
      </c>
      <c r="BH350">
        <v>7.7352798242562777</v>
      </c>
      <c r="BI350">
        <v>209.39316787957179</v>
      </c>
      <c r="BJ350">
        <v>6.2597431043543844E-2</v>
      </c>
      <c r="BK350">
        <v>7.7352798242562786</v>
      </c>
    </row>
    <row r="351" spans="1:63" x14ac:dyDescent="0.2">
      <c r="A351">
        <v>349</v>
      </c>
      <c r="B351" t="s">
        <v>69</v>
      </c>
      <c r="C351" t="s">
        <v>76</v>
      </c>
      <c r="D351" t="s">
        <v>71</v>
      </c>
      <c r="E351">
        <v>-155.29812000000001</v>
      </c>
      <c r="F351">
        <v>19.375624999999999</v>
      </c>
      <c r="G351" t="s">
        <v>77</v>
      </c>
      <c r="H351" t="s">
        <v>800</v>
      </c>
      <c r="I351" t="s">
        <v>801</v>
      </c>
      <c r="J351" t="s">
        <v>68</v>
      </c>
      <c r="K351">
        <v>6.4131473523437501</v>
      </c>
      <c r="L351">
        <v>6.1687744343749999</v>
      </c>
      <c r="M351">
        <v>124.28536199524559</v>
      </c>
      <c r="N351">
        <v>1042.4991359054709</v>
      </c>
      <c r="Q351">
        <v>12.145</v>
      </c>
      <c r="R351">
        <v>1324.9639999999999</v>
      </c>
      <c r="S351">
        <v>50</v>
      </c>
      <c r="T351">
        <v>103.05400070484809</v>
      </c>
      <c r="U351">
        <v>1.057791135891816E-2</v>
      </c>
      <c r="V351">
        <v>0.1203560509575823</v>
      </c>
      <c r="W351">
        <v>5.6766779789650399E-3</v>
      </c>
      <c r="X351">
        <v>0</v>
      </c>
      <c r="Y351">
        <v>8.1004558326901566E-2</v>
      </c>
      <c r="Z351">
        <v>0.4048755264643023</v>
      </c>
      <c r="AA351">
        <v>3.2647047560281979E-2</v>
      </c>
      <c r="AB351">
        <v>1.732240000292947</v>
      </c>
      <c r="AC351">
        <v>0.13368793715163171</v>
      </c>
      <c r="AD351">
        <v>1234.9078976085141</v>
      </c>
      <c r="AE351">
        <v>50</v>
      </c>
      <c r="AF351">
        <v>85.191972021089725</v>
      </c>
      <c r="AG351">
        <v>2.5039199999999999</v>
      </c>
      <c r="AH351">
        <v>14.096819999999999</v>
      </c>
      <c r="AI351">
        <v>0.27322000000000002</v>
      </c>
      <c r="AJ351">
        <v>10.95044</v>
      </c>
      <c r="AK351">
        <v>0.52094000000000007</v>
      </c>
      <c r="AL351">
        <v>2.9191400000000001</v>
      </c>
      <c r="AM351">
        <v>50.91704</v>
      </c>
      <c r="AN351">
        <v>6.4346599999999992</v>
      </c>
      <c r="AO351">
        <v>10.86684</v>
      </c>
      <c r="AP351">
        <v>0.19492000000000001</v>
      </c>
      <c r="AQ351">
        <v>99.70778</v>
      </c>
      <c r="AR351">
        <v>5.8797253337209539E-2</v>
      </c>
      <c r="AS351">
        <v>0.138496180452748</v>
      </c>
      <c r="AT351">
        <v>2.822688434808206E-2</v>
      </c>
      <c r="AU351">
        <v>7.1287502411011894E-2</v>
      </c>
      <c r="AV351">
        <v>1.2819243347405491E-2</v>
      </c>
      <c r="AW351">
        <v>2.3721045508155889E-2</v>
      </c>
      <c r="AX351">
        <v>0.39733328327740491</v>
      </c>
      <c r="AY351">
        <v>8.3972662218129629E-2</v>
      </c>
      <c r="AZ351">
        <v>5.8132675837260117E-2</v>
      </c>
      <c r="BA351">
        <v>1.931080008699795E-2</v>
      </c>
    </row>
    <row r="352" spans="1:63" x14ac:dyDescent="0.2">
      <c r="A352">
        <v>350</v>
      </c>
      <c r="B352" t="s">
        <v>69</v>
      </c>
      <c r="C352" t="s">
        <v>91</v>
      </c>
      <c r="D352" t="s">
        <v>92</v>
      </c>
      <c r="E352">
        <v>-155.272412745889</v>
      </c>
      <c r="F352">
        <v>19.3454197541963</v>
      </c>
      <c r="G352" t="s">
        <v>124</v>
      </c>
      <c r="H352" t="s">
        <v>802</v>
      </c>
      <c r="I352" t="s">
        <v>803</v>
      </c>
      <c r="J352" t="s">
        <v>68</v>
      </c>
      <c r="K352">
        <v>7.8556158890625012</v>
      </c>
      <c r="L352">
        <v>6.40733586796875</v>
      </c>
      <c r="M352">
        <v>158.1275720161359</v>
      </c>
      <c r="N352">
        <v>1503.5772874150871</v>
      </c>
      <c r="O352" t="s">
        <v>804</v>
      </c>
      <c r="Q352">
        <v>12.012</v>
      </c>
      <c r="R352">
        <v>1325.0039999999999</v>
      </c>
      <c r="S352">
        <v>50</v>
      </c>
      <c r="T352">
        <v>103.054300615228</v>
      </c>
      <c r="U352">
        <v>2.6249572404374042E-3</v>
      </c>
      <c r="V352">
        <v>0.12047488748937241</v>
      </c>
      <c r="W352">
        <v>3.9673993255872368E-3</v>
      </c>
      <c r="X352">
        <v>0.212480926343528</v>
      </c>
      <c r="Y352">
        <v>8.2338336824624991E-2</v>
      </c>
      <c r="Z352">
        <v>0.39849713137714038</v>
      </c>
      <c r="AA352">
        <v>2.633662645806566E-2</v>
      </c>
      <c r="AB352">
        <v>1.706083598399182</v>
      </c>
      <c r="AC352">
        <v>0.10799619791201021</v>
      </c>
      <c r="AD352">
        <v>1208.7629940832369</v>
      </c>
      <c r="AE352">
        <v>50</v>
      </c>
      <c r="AF352">
        <v>83.570160441466982</v>
      </c>
      <c r="AG352">
        <v>2.4452269230769228</v>
      </c>
      <c r="AH352">
        <v>12.97811153846154</v>
      </c>
      <c r="AJ352">
        <v>10.30404615384615</v>
      </c>
      <c r="AK352">
        <v>0.55342692307692309</v>
      </c>
      <c r="AL352">
        <v>2.900669230769231</v>
      </c>
      <c r="AM352">
        <v>50.451046153846157</v>
      </c>
      <c r="AN352">
        <v>6.0883423076923071</v>
      </c>
      <c r="AP352">
        <v>1.6526923076923071E-2</v>
      </c>
      <c r="AQ352">
        <v>97.170811538461535</v>
      </c>
      <c r="AR352">
        <v>0.14452695958247319</v>
      </c>
      <c r="AS352">
        <v>0.56238533005541524</v>
      </c>
      <c r="AU352">
        <v>0.81302815263963402</v>
      </c>
      <c r="AV352">
        <v>0.1071919159552335</v>
      </c>
      <c r="AW352">
        <v>0.48878923864523122</v>
      </c>
      <c r="AX352">
        <v>0.42567582898799372</v>
      </c>
      <c r="AY352">
        <v>0.85490953915514445</v>
      </c>
      <c r="BA352">
        <v>4.3609684880592933E-3</v>
      </c>
      <c r="BB352">
        <v>26</v>
      </c>
      <c r="BC352" t="s">
        <v>86</v>
      </c>
    </row>
    <row r="353" spans="1:63" x14ac:dyDescent="0.2">
      <c r="A353">
        <v>351</v>
      </c>
      <c r="B353" t="s">
        <v>69</v>
      </c>
      <c r="C353" t="s">
        <v>70</v>
      </c>
      <c r="D353" t="s">
        <v>71</v>
      </c>
      <c r="E353">
        <v>-155.29347999999999</v>
      </c>
      <c r="F353">
        <v>19.377479999999998</v>
      </c>
      <c r="G353" t="s">
        <v>112</v>
      </c>
      <c r="H353" t="s">
        <v>762</v>
      </c>
      <c r="I353" t="s">
        <v>805</v>
      </c>
      <c r="J353" t="s">
        <v>68</v>
      </c>
      <c r="K353">
        <v>6.5382686109374992</v>
      </c>
      <c r="L353">
        <v>6.0921790703124996</v>
      </c>
      <c r="M353">
        <v>125.1368710698342</v>
      </c>
      <c r="N353">
        <v>1053.689802028578</v>
      </c>
      <c r="Q353">
        <v>11.955</v>
      </c>
      <c r="R353">
        <v>1324.9639999999999</v>
      </c>
      <c r="S353">
        <v>50</v>
      </c>
      <c r="T353">
        <v>103.05496951500621</v>
      </c>
      <c r="U353">
        <v>3.795002305105568E-3</v>
      </c>
      <c r="V353">
        <v>0.1207399324331888</v>
      </c>
      <c r="W353">
        <v>4.1137637983846087E-3</v>
      </c>
      <c r="X353">
        <v>0</v>
      </c>
      <c r="Y353">
        <v>7.7692707712072928E-2</v>
      </c>
      <c r="Z353">
        <v>0.42164658360808488</v>
      </c>
      <c r="AA353">
        <v>2.6434898878136479E-2</v>
      </c>
      <c r="AB353">
        <v>1.8008525343393409</v>
      </c>
      <c r="AC353">
        <v>0.1078497579139043</v>
      </c>
      <c r="AD353">
        <v>1294.573986692363</v>
      </c>
      <c r="AE353">
        <v>50</v>
      </c>
      <c r="AF353">
        <v>88.050066349165363</v>
      </c>
      <c r="AG353">
        <v>2.1280100000000002</v>
      </c>
      <c r="AH353">
        <v>12.511455</v>
      </c>
      <c r="AI353">
        <v>0.21128</v>
      </c>
      <c r="AJ353">
        <v>10.547185000000001</v>
      </c>
      <c r="AK353">
        <v>0.43435000000000001</v>
      </c>
      <c r="AL353">
        <v>2.4173399999999998</v>
      </c>
      <c r="AM353">
        <v>50.003889999999998</v>
      </c>
      <c r="AN353">
        <v>8.5805450000000008</v>
      </c>
      <c r="AO353">
        <v>11.0444</v>
      </c>
      <c r="AP353">
        <v>0.37786999999999998</v>
      </c>
      <c r="AQ353">
        <v>98.290260000000004</v>
      </c>
      <c r="AR353">
        <v>4.7093422517846893E-2</v>
      </c>
      <c r="AS353">
        <v>0.17423154844121161</v>
      </c>
      <c r="AT353">
        <v>2.1925114974993089E-2</v>
      </c>
      <c r="AU353">
        <v>0.1853741817244248</v>
      </c>
      <c r="AV353">
        <v>1.0520403456564249E-2</v>
      </c>
      <c r="AW353">
        <v>3.5166562401109248E-2</v>
      </c>
      <c r="AX353">
        <v>0.46106226248619608</v>
      </c>
      <c r="AY353">
        <v>0.4051107053427907</v>
      </c>
      <c r="AZ353">
        <v>0.14841023100402101</v>
      </c>
      <c r="BA353">
        <v>1.7068639208924791E-2</v>
      </c>
      <c r="BD353" t="s">
        <v>764</v>
      </c>
      <c r="BE353">
        <v>9.9060882024748428E-2</v>
      </c>
      <c r="BF353">
        <v>1615</v>
      </c>
      <c r="BG353">
        <v>163848.65000009091</v>
      </c>
      <c r="BH353">
        <v>110.3609648639879</v>
      </c>
      <c r="BI353">
        <v>228.3739151761792</v>
      </c>
      <c r="BJ353">
        <v>2.7461814260147608</v>
      </c>
      <c r="BK353">
        <v>110.3609648639879</v>
      </c>
    </row>
    <row r="354" spans="1:63" x14ac:dyDescent="0.2">
      <c r="A354">
        <v>352</v>
      </c>
      <c r="B354" t="s">
        <v>69</v>
      </c>
      <c r="C354" t="s">
        <v>81</v>
      </c>
      <c r="D354" t="s">
        <v>71</v>
      </c>
      <c r="E354">
        <v>-155.29106999999999</v>
      </c>
      <c r="F354">
        <v>19.383150000000001</v>
      </c>
      <c r="G354" t="s">
        <v>82</v>
      </c>
      <c r="H354" t="s">
        <v>451</v>
      </c>
      <c r="I354" t="s">
        <v>806</v>
      </c>
      <c r="J354" t="s">
        <v>68</v>
      </c>
      <c r="K354">
        <v>3.9319340984375</v>
      </c>
      <c r="L354">
        <v>3.7402713437499999</v>
      </c>
      <c r="M354">
        <v>46.201833723153072</v>
      </c>
      <c r="N354">
        <v>236.31330675321129</v>
      </c>
      <c r="Q354">
        <v>10.018000000000001</v>
      </c>
      <c r="R354">
        <v>1324.9639999999999</v>
      </c>
      <c r="S354">
        <v>50</v>
      </c>
      <c r="T354">
        <v>103.0563369688132</v>
      </c>
      <c r="U354">
        <v>4.6899145251878063E-3</v>
      </c>
      <c r="V354">
        <v>0.12128177252525769</v>
      </c>
      <c r="W354">
        <v>4.2570317677031906E-3</v>
      </c>
      <c r="X354">
        <v>1.52062020496186</v>
      </c>
      <c r="Y354">
        <v>8.1694018483557618E-2</v>
      </c>
      <c r="Z354">
        <v>0.40156840814061051</v>
      </c>
      <c r="AA354">
        <v>2.69986761330149E-2</v>
      </c>
      <c r="AB354">
        <v>1.7186824815799999</v>
      </c>
      <c r="AC354">
        <v>0.1106637960218116</v>
      </c>
      <c r="AD354">
        <v>1210.2842106018561</v>
      </c>
      <c r="AE354">
        <v>50</v>
      </c>
      <c r="AF354">
        <v>83.673950008766738</v>
      </c>
      <c r="AG354">
        <v>2.2102200000000001</v>
      </c>
      <c r="AH354">
        <v>12.516225</v>
      </c>
      <c r="AI354">
        <v>0.22873499999999999</v>
      </c>
      <c r="AJ354">
        <v>10.535360000000001</v>
      </c>
      <c r="AK354">
        <v>0.37534499999999998</v>
      </c>
      <c r="AL354">
        <v>2.4377900000000001</v>
      </c>
      <c r="AM354">
        <v>50.224780000000003</v>
      </c>
      <c r="AN354">
        <v>8.9844449999999991</v>
      </c>
      <c r="AP354">
        <v>0.178455</v>
      </c>
      <c r="AQ354">
        <v>99.610560000000007</v>
      </c>
      <c r="AR354">
        <v>1.7587090435884831E-2</v>
      </c>
      <c r="AS354">
        <v>0.12699126938494701</v>
      </c>
      <c r="AT354">
        <v>8.073250584491971E-3</v>
      </c>
      <c r="AU354">
        <v>6.9056800896073786E-2</v>
      </c>
      <c r="AV354">
        <v>2.248073063759274E-2</v>
      </c>
      <c r="AW354">
        <v>2.1205111412109991E-2</v>
      </c>
      <c r="AX354">
        <v>0.5052093298821787</v>
      </c>
      <c r="AY354">
        <v>0.13192220766421431</v>
      </c>
      <c r="BA354">
        <v>1.2962040734390541E-2</v>
      </c>
      <c r="BB354">
        <v>5</v>
      </c>
      <c r="BC354" t="s">
        <v>86</v>
      </c>
      <c r="BE354">
        <v>7.7615382653226345E-2</v>
      </c>
      <c r="BF354">
        <v>15270</v>
      </c>
      <c r="BG354">
        <v>137744.6967805654</v>
      </c>
      <c r="BH354">
        <v>7.7352798242562777</v>
      </c>
      <c r="BI354">
        <v>209.39316787957179</v>
      </c>
      <c r="BJ354">
        <v>6.2597431043543844E-2</v>
      </c>
      <c r="BK354">
        <v>7.7352798242562786</v>
      </c>
    </row>
    <row r="355" spans="1:63" x14ac:dyDescent="0.2">
      <c r="A355">
        <v>353</v>
      </c>
      <c r="B355" t="s">
        <v>69</v>
      </c>
      <c r="C355" t="s">
        <v>81</v>
      </c>
      <c r="D355" t="s">
        <v>71</v>
      </c>
      <c r="E355">
        <v>-155.29106999999999</v>
      </c>
      <c r="F355">
        <v>19.383150000000001</v>
      </c>
      <c r="G355" t="s">
        <v>87</v>
      </c>
      <c r="H355" t="s">
        <v>601</v>
      </c>
      <c r="I355" t="s">
        <v>807</v>
      </c>
      <c r="J355" t="s">
        <v>68</v>
      </c>
      <c r="K355">
        <v>35.603477875000003</v>
      </c>
      <c r="L355">
        <v>25.717619919531248</v>
      </c>
      <c r="M355">
        <v>2876.5575671564461</v>
      </c>
      <c r="N355">
        <v>117595.77859146619</v>
      </c>
      <c r="O355" t="s">
        <v>603</v>
      </c>
      <c r="Q355">
        <v>12.058</v>
      </c>
      <c r="R355">
        <v>1325.0039999999999</v>
      </c>
      <c r="S355">
        <v>50</v>
      </c>
      <c r="T355">
        <v>103.0576303645466</v>
      </c>
      <c r="U355">
        <v>5.1327097433564346E-3</v>
      </c>
      <c r="V355">
        <v>0.1217942678356536</v>
      </c>
      <c r="W355">
        <v>4.3372808284009683E-3</v>
      </c>
      <c r="X355">
        <v>6.2391527347019702</v>
      </c>
      <c r="Y355">
        <v>8.0006406073500291E-2</v>
      </c>
      <c r="Z355">
        <v>0.40980784788065028</v>
      </c>
      <c r="AA355">
        <v>2.679668866295774E-2</v>
      </c>
      <c r="AB355">
        <v>1.752443061344084</v>
      </c>
      <c r="AC355">
        <v>0.10963444335268401</v>
      </c>
      <c r="AD355">
        <v>1235.188679339552</v>
      </c>
      <c r="AE355">
        <v>50</v>
      </c>
      <c r="AF355">
        <v>85.207785440478673</v>
      </c>
      <c r="AG355">
        <v>2.2102200000000001</v>
      </c>
      <c r="AH355">
        <v>12.516225</v>
      </c>
      <c r="AI355">
        <v>0.22873499999999999</v>
      </c>
      <c r="AJ355">
        <v>10.535360000000001</v>
      </c>
      <c r="AK355">
        <v>0.37534499999999998</v>
      </c>
      <c r="AL355">
        <v>2.4377900000000001</v>
      </c>
      <c r="AM355">
        <v>50.224780000000003</v>
      </c>
      <c r="AN355">
        <v>8.9844449999999991</v>
      </c>
      <c r="AP355">
        <v>0.178455</v>
      </c>
      <c r="AQ355">
        <v>99.610560000000007</v>
      </c>
      <c r="AR355">
        <v>1.7587090435884831E-2</v>
      </c>
      <c r="AS355">
        <v>0.12699126938494701</v>
      </c>
      <c r="AT355">
        <v>8.073250584491971E-3</v>
      </c>
      <c r="AU355">
        <v>6.9056800896073786E-2</v>
      </c>
      <c r="AV355">
        <v>2.248073063759274E-2</v>
      </c>
      <c r="AW355">
        <v>2.1205111412109991E-2</v>
      </c>
      <c r="AX355">
        <v>0.5052093298821787</v>
      </c>
      <c r="AY355">
        <v>0.13192220766421431</v>
      </c>
      <c r="BA355">
        <v>1.2962040734390541E-2</v>
      </c>
      <c r="BB355">
        <v>5</v>
      </c>
      <c r="BC355" t="s">
        <v>86</v>
      </c>
    </row>
    <row r="356" spans="1:63" x14ac:dyDescent="0.2">
      <c r="A356">
        <v>354</v>
      </c>
      <c r="B356" t="s">
        <v>69</v>
      </c>
      <c r="C356" t="s">
        <v>157</v>
      </c>
      <c r="D356" t="s">
        <v>64</v>
      </c>
      <c r="G356" t="s">
        <v>158</v>
      </c>
      <c r="H356" t="s">
        <v>421</v>
      </c>
      <c r="I356" t="s">
        <v>808</v>
      </c>
      <c r="J356" t="s">
        <v>68</v>
      </c>
      <c r="K356">
        <v>10.876541696875</v>
      </c>
      <c r="L356">
        <v>10.418596728124999</v>
      </c>
      <c r="M356">
        <v>355.99994425227362</v>
      </c>
      <c r="N356">
        <v>5054.0453947629658</v>
      </c>
      <c r="O356" t="s">
        <v>809</v>
      </c>
      <c r="Q356">
        <v>10.08</v>
      </c>
      <c r="R356">
        <v>1324.9639999999999</v>
      </c>
      <c r="S356">
        <v>100</v>
      </c>
      <c r="T356">
        <v>103.0581156564859</v>
      </c>
      <c r="U356">
        <v>3.0877625173405001E-2</v>
      </c>
      <c r="V356">
        <v>0.1219865599830996</v>
      </c>
      <c r="W356">
        <v>1.2820780534492879E-2</v>
      </c>
      <c r="X356">
        <v>0.96731004201440052</v>
      </c>
      <c r="Y356">
        <v>8.3327145888452359E-2</v>
      </c>
      <c r="Z356">
        <v>0.39391592692351041</v>
      </c>
      <c r="AA356">
        <v>5.3639492665925437E-2</v>
      </c>
      <c r="AB356">
        <v>1.687276049377427</v>
      </c>
      <c r="AC356">
        <v>0.21999285166168561</v>
      </c>
      <c r="AD356">
        <v>1172.3403815301051</v>
      </c>
      <c r="AE356">
        <v>100</v>
      </c>
      <c r="AG356">
        <v>2.4084062500000001</v>
      </c>
      <c r="AH356">
        <v>13.3720625</v>
      </c>
      <c r="AI356">
        <v>0.31026874999999998</v>
      </c>
      <c r="AJ356">
        <v>10.387225000000001</v>
      </c>
      <c r="AK356">
        <v>0.59164375000000002</v>
      </c>
      <c r="AL356">
        <v>3.0521875000000001</v>
      </c>
      <c r="AM356">
        <v>49.819099999999999</v>
      </c>
      <c r="AN356">
        <v>5.8739499999999998</v>
      </c>
      <c r="AP356">
        <v>0.19186249999999999</v>
      </c>
      <c r="AQ356">
        <v>97.820293750000005</v>
      </c>
      <c r="AR356">
        <v>8.7457962997469094E-2</v>
      </c>
      <c r="AS356">
        <v>0.20894986918716499</v>
      </c>
      <c r="AT356">
        <v>3.6791968666182201E-2</v>
      </c>
      <c r="AU356">
        <v>0.19989042831845</v>
      </c>
      <c r="AV356">
        <v>2.81971149528931E-2</v>
      </c>
      <c r="AW356">
        <v>5.5804024645778501E-2</v>
      </c>
      <c r="AX356">
        <v>0.88416756556661702</v>
      </c>
      <c r="AY356">
        <v>0.205613822492555</v>
      </c>
      <c r="BA356">
        <v>4.9243326112953303E-2</v>
      </c>
      <c r="BE356">
        <v>0.13704954154022911</v>
      </c>
      <c r="BF356">
        <v>3128</v>
      </c>
      <c r="BG356">
        <v>155958.85463627009</v>
      </c>
      <c r="BH356">
        <v>61.415113730287857</v>
      </c>
      <c r="BI356">
        <v>222.8076418541911</v>
      </c>
      <c r="BJ356">
        <v>1.098099991618892</v>
      </c>
      <c r="BK356">
        <v>61.415113730287857</v>
      </c>
    </row>
    <row r="357" spans="1:63" x14ac:dyDescent="0.2">
      <c r="A357">
        <v>355</v>
      </c>
      <c r="B357" t="s">
        <v>69</v>
      </c>
      <c r="C357" t="s">
        <v>169</v>
      </c>
      <c r="D357" t="s">
        <v>64</v>
      </c>
      <c r="E357">
        <v>-155.29196300000001</v>
      </c>
      <c r="F357">
        <v>19.398634000000001</v>
      </c>
      <c r="G357" t="s">
        <v>170</v>
      </c>
      <c r="H357" t="s">
        <v>744</v>
      </c>
      <c r="I357" t="s">
        <v>810</v>
      </c>
      <c r="J357" t="s">
        <v>68</v>
      </c>
      <c r="K357">
        <v>11.48994387265625</v>
      </c>
      <c r="L357">
        <v>8.1378215703125001</v>
      </c>
      <c r="M357">
        <v>293.74869316686483</v>
      </c>
      <c r="N357">
        <v>3843.753632438546</v>
      </c>
      <c r="Q357">
        <v>9.923</v>
      </c>
      <c r="R357">
        <v>1324.9639999999999</v>
      </c>
      <c r="S357">
        <v>50</v>
      </c>
      <c r="T357">
        <v>103.0581258152949</v>
      </c>
      <c r="U357">
        <v>1.466338940859065E-2</v>
      </c>
      <c r="V357">
        <v>0.12199058531103429</v>
      </c>
      <c r="W357">
        <v>6.9600579133952331E-3</v>
      </c>
      <c r="X357">
        <v>0</v>
      </c>
      <c r="Y357">
        <v>8.2882266245812519E-2</v>
      </c>
      <c r="Z357">
        <v>0.39597607551422448</v>
      </c>
      <c r="AA357">
        <v>2.28882593357113E-2</v>
      </c>
      <c r="AB357">
        <v>1.695735904808275</v>
      </c>
      <c r="AC357">
        <v>9.390967363085613E-2</v>
      </c>
      <c r="AD357">
        <v>1180.1075489333971</v>
      </c>
      <c r="AE357">
        <v>50</v>
      </c>
      <c r="AF357">
        <v>81.289252050442713</v>
      </c>
      <c r="AG357">
        <v>2.5390516666666669</v>
      </c>
      <c r="AH357">
        <v>13.89052597266207</v>
      </c>
      <c r="AI357">
        <v>0.24399675000000001</v>
      </c>
      <c r="AJ357">
        <v>11.205616666666669</v>
      </c>
      <c r="AK357">
        <v>0.47515841666666669</v>
      </c>
      <c r="AL357">
        <v>2.6323025000000002</v>
      </c>
      <c r="AM357">
        <v>50.778866165683027</v>
      </c>
      <c r="AN357">
        <v>6.7552275000000002</v>
      </c>
      <c r="AP357">
        <v>0.17074191666666669</v>
      </c>
      <c r="AR357">
        <v>5.5209421763999247E-2</v>
      </c>
      <c r="AS357">
        <v>0.23260322971847319</v>
      </c>
      <c r="AT357">
        <v>2.215836573857705E-2</v>
      </c>
      <c r="AU357">
        <v>0.13946342520423419</v>
      </c>
      <c r="AV357">
        <v>1.8188943372071519E-2</v>
      </c>
      <c r="AW357">
        <v>3.4278244127355022E-2</v>
      </c>
      <c r="AX357">
        <v>0.34681065155483992</v>
      </c>
      <c r="AY357">
        <v>0.48865100303376952</v>
      </c>
      <c r="BA357">
        <v>2.081601264087701E-2</v>
      </c>
      <c r="BE357">
        <v>0.1015360561485823</v>
      </c>
      <c r="BF357">
        <v>5547</v>
      </c>
      <c r="BG357">
        <v>89866.607841192279</v>
      </c>
      <c r="BH357">
        <v>101.2702149996354</v>
      </c>
      <c r="BI357">
        <v>169.13139777596959</v>
      </c>
      <c r="BJ357">
        <v>1.3597299044402511</v>
      </c>
      <c r="BK357">
        <v>101.2702149996355</v>
      </c>
    </row>
    <row r="358" spans="1:63" x14ac:dyDescent="0.2">
      <c r="A358">
        <v>356</v>
      </c>
      <c r="B358" t="s">
        <v>69</v>
      </c>
      <c r="C358" t="s">
        <v>91</v>
      </c>
      <c r="D358" t="s">
        <v>92</v>
      </c>
      <c r="E358">
        <v>-155.272412745889</v>
      </c>
      <c r="F358">
        <v>19.3454197541963</v>
      </c>
      <c r="G358" t="s">
        <v>124</v>
      </c>
      <c r="H358" t="s">
        <v>217</v>
      </c>
      <c r="I358" t="s">
        <v>811</v>
      </c>
      <c r="J358" t="s">
        <v>68</v>
      </c>
      <c r="K358">
        <v>5.36801000234375</v>
      </c>
      <c r="L358">
        <v>4.6638324406249998</v>
      </c>
      <c r="M358">
        <v>78.651340335923081</v>
      </c>
      <c r="N358">
        <v>526.01190278552883</v>
      </c>
      <c r="O358" t="s">
        <v>600</v>
      </c>
      <c r="Q358">
        <v>12.122</v>
      </c>
      <c r="R358">
        <v>1325.0039999999999</v>
      </c>
      <c r="S358">
        <v>50</v>
      </c>
      <c r="T358">
        <v>103.05812717981109</v>
      </c>
      <c r="U358">
        <v>2.0864115133534641E-2</v>
      </c>
      <c r="V358">
        <v>0.1219911259871083</v>
      </c>
      <c r="W358">
        <v>9.1118031041544888E-3</v>
      </c>
      <c r="X358">
        <v>3.683285494371721</v>
      </c>
      <c r="Y358">
        <v>7.8307865807948795E-2</v>
      </c>
      <c r="Z358">
        <v>0.41844632612788979</v>
      </c>
      <c r="AA358">
        <v>5.1928002447328522E-2</v>
      </c>
      <c r="AB358">
        <v>1.78777792421949</v>
      </c>
      <c r="AC358">
        <v>0.21192022328659191</v>
      </c>
      <c r="AD358">
        <v>1265.5426736382669</v>
      </c>
      <c r="AE358">
        <v>100</v>
      </c>
      <c r="AG358">
        <v>2.4452269230769228</v>
      </c>
      <c r="AH358">
        <v>12.97811153846154</v>
      </c>
      <c r="AJ358">
        <v>10.30404615384615</v>
      </c>
      <c r="AK358">
        <v>0.55342692307692309</v>
      </c>
      <c r="AL358">
        <v>2.900669230769231</v>
      </c>
      <c r="AM358">
        <v>50.451046153846157</v>
      </c>
      <c r="AN358">
        <v>6.0883423076923071</v>
      </c>
      <c r="AP358">
        <v>1.6526923076923071E-2</v>
      </c>
      <c r="AQ358">
        <v>97.170811538461535</v>
      </c>
      <c r="AR358">
        <v>0.14452695958247319</v>
      </c>
      <c r="AS358">
        <v>0.56238533005541524</v>
      </c>
      <c r="AU358">
        <v>0.81302815263963402</v>
      </c>
      <c r="AV358">
        <v>0.1071919159552335</v>
      </c>
      <c r="AW358">
        <v>0.48878923864523122</v>
      </c>
      <c r="AX358">
        <v>0.42567582898799372</v>
      </c>
      <c r="AY358">
        <v>0.85490953915514445</v>
      </c>
      <c r="BA358">
        <v>4.3609684880592933E-3</v>
      </c>
      <c r="BB358">
        <v>26</v>
      </c>
      <c r="BC358" t="s">
        <v>86</v>
      </c>
    </row>
    <row r="359" spans="1:63" x14ac:dyDescent="0.2">
      <c r="A359">
        <v>357</v>
      </c>
      <c r="B359" t="s">
        <v>69</v>
      </c>
      <c r="C359" t="s">
        <v>91</v>
      </c>
      <c r="D359" t="s">
        <v>92</v>
      </c>
      <c r="E359">
        <v>-155.28360000000001</v>
      </c>
      <c r="F359">
        <v>19.4285</v>
      </c>
      <c r="G359" t="s">
        <v>134</v>
      </c>
      <c r="H359" t="s">
        <v>388</v>
      </c>
      <c r="I359" t="s">
        <v>812</v>
      </c>
      <c r="J359" t="s">
        <v>68</v>
      </c>
      <c r="K359">
        <v>4.1666018375</v>
      </c>
      <c r="L359">
        <v>3.1415722234375001</v>
      </c>
      <c r="M359">
        <v>41.1224444070698</v>
      </c>
      <c r="N359">
        <v>200.35332102539459</v>
      </c>
      <c r="O359" t="s">
        <v>390</v>
      </c>
      <c r="Q359">
        <v>11.955</v>
      </c>
      <c r="R359">
        <v>1325.0039999999999</v>
      </c>
      <c r="S359">
        <v>50</v>
      </c>
      <c r="T359">
        <v>103.0581793351478</v>
      </c>
      <c r="U359">
        <v>3.9829130358744712E-3</v>
      </c>
      <c r="V359">
        <v>0.12201179202518379</v>
      </c>
      <c r="W359">
        <v>4.1435880960531283E-3</v>
      </c>
      <c r="X359">
        <v>0</v>
      </c>
      <c r="Y359">
        <v>7.5245647881404087E-2</v>
      </c>
      <c r="Z359">
        <v>0.43503122804350869</v>
      </c>
      <c r="AA359">
        <v>2.68157883363568E-2</v>
      </c>
      <c r="AB359">
        <v>1.855443516222278</v>
      </c>
      <c r="AC359">
        <v>0.10913883817448181</v>
      </c>
      <c r="AD359">
        <v>1329.00072527628</v>
      </c>
      <c r="AE359">
        <v>50</v>
      </c>
      <c r="AF359">
        <v>89.381196214477725</v>
      </c>
      <c r="AG359">
        <v>2.5157387096774189</v>
      </c>
      <c r="AH359">
        <v>13.241580645161291</v>
      </c>
      <c r="AJ359">
        <v>11.11674838709677</v>
      </c>
      <c r="AK359">
        <v>0.71593870967741935</v>
      </c>
      <c r="AL359">
        <v>3.0286258064516129</v>
      </c>
      <c r="AM359">
        <v>48.480519354838712</v>
      </c>
      <c r="AN359">
        <v>6.4584548387096774</v>
      </c>
      <c r="AP359">
        <v>1.553225806451613E-2</v>
      </c>
      <c r="AQ359">
        <v>96.565938709677425</v>
      </c>
      <c r="AR359">
        <v>0.13894562408227509</v>
      </c>
      <c r="AS359">
        <v>0.1729350637654776</v>
      </c>
      <c r="AU359">
        <v>0.21495337769071041</v>
      </c>
      <c r="AV359">
        <v>7.7865408140882678E-2</v>
      </c>
      <c r="AW359">
        <v>0.14998665711265111</v>
      </c>
      <c r="AX359">
        <v>0.66558597962965682</v>
      </c>
      <c r="AY359">
        <v>0.26837320636097978</v>
      </c>
      <c r="BA359">
        <v>5.6058533157628621E-3</v>
      </c>
      <c r="BB359">
        <v>31</v>
      </c>
      <c r="BC359" t="s">
        <v>86</v>
      </c>
    </row>
    <row r="360" spans="1:63" x14ac:dyDescent="0.2">
      <c r="A360">
        <v>358</v>
      </c>
      <c r="B360" t="s">
        <v>62</v>
      </c>
      <c r="C360" t="s">
        <v>63</v>
      </c>
      <c r="D360" t="s">
        <v>64</v>
      </c>
      <c r="E360">
        <v>-155.26785000000001</v>
      </c>
      <c r="F360">
        <v>19.407830000000001</v>
      </c>
      <c r="G360" t="s">
        <v>65</v>
      </c>
      <c r="H360" t="s">
        <v>813</v>
      </c>
      <c r="I360" t="s">
        <v>814</v>
      </c>
      <c r="J360" t="s">
        <v>68</v>
      </c>
      <c r="K360">
        <v>9.0646370984374993</v>
      </c>
      <c r="L360">
        <v>8.2339435218750001</v>
      </c>
      <c r="M360">
        <v>234.48128114918731</v>
      </c>
      <c r="N360">
        <v>2704.128897275586</v>
      </c>
      <c r="Q360">
        <v>19.968</v>
      </c>
      <c r="R360">
        <v>1325.0039999999999</v>
      </c>
      <c r="S360">
        <v>50</v>
      </c>
      <c r="T360">
        <v>103.0582266</v>
      </c>
      <c r="U360">
        <v>3.4808183630000003E-2</v>
      </c>
      <c r="V360">
        <v>0.1220305153</v>
      </c>
      <c r="W360">
        <v>1.43146491E-2</v>
      </c>
      <c r="X360">
        <v>2.6424220898177171</v>
      </c>
      <c r="Y360">
        <v>7.9681835522592892E-2</v>
      </c>
      <c r="Z360">
        <v>0.41143361441064402</v>
      </c>
      <c r="AA360">
        <v>5.4249996660246977E-2</v>
      </c>
      <c r="AB360">
        <v>1.7590978455681889</v>
      </c>
      <c r="AC360">
        <v>0.2218336560963054</v>
      </c>
      <c r="AD360">
        <v>1238.3320176251971</v>
      </c>
      <c r="AE360">
        <v>50</v>
      </c>
      <c r="BE360">
        <v>7.2223896797653425E-2</v>
      </c>
      <c r="BF360">
        <v>7536</v>
      </c>
      <c r="BG360">
        <v>482798.211385448</v>
      </c>
      <c r="BH360">
        <v>145.22844456563459</v>
      </c>
      <c r="BI360">
        <v>392.01969812222399</v>
      </c>
      <c r="BJ360">
        <v>1.6729433737303481</v>
      </c>
      <c r="BK360">
        <v>145.22844456563459</v>
      </c>
    </row>
    <row r="361" spans="1:63" x14ac:dyDescent="0.2">
      <c r="A361">
        <v>359</v>
      </c>
      <c r="B361" t="s">
        <v>69</v>
      </c>
      <c r="C361" t="s">
        <v>671</v>
      </c>
      <c r="D361" t="s">
        <v>144</v>
      </c>
      <c r="E361">
        <v>-155.21461669999999</v>
      </c>
      <c r="F361">
        <v>19.36376667</v>
      </c>
      <c r="G361" t="s">
        <v>672</v>
      </c>
      <c r="H361" t="s">
        <v>815</v>
      </c>
      <c r="I361" t="s">
        <v>816</v>
      </c>
      <c r="Q361">
        <v>9.9510000000000005</v>
      </c>
      <c r="R361">
        <v>1324.9639999999999</v>
      </c>
      <c r="S361">
        <v>50</v>
      </c>
      <c r="T361">
        <v>103.0586125905822</v>
      </c>
      <c r="U361">
        <v>1.6872968935127131E-2</v>
      </c>
      <c r="V361">
        <v>0.1221834652204947</v>
      </c>
      <c r="W361">
        <v>7.7058533232229869E-3</v>
      </c>
      <c r="X361">
        <v>8.8010913145069232</v>
      </c>
      <c r="Y361">
        <v>7.7644101513866026E-2</v>
      </c>
      <c r="Z361">
        <v>0.42192785538596911</v>
      </c>
      <c r="AA361">
        <v>3.7456007234074051E-2</v>
      </c>
      <c r="AB361">
        <v>1.8020012606328879</v>
      </c>
      <c r="AC361">
        <v>0.1527802145607853</v>
      </c>
      <c r="AD361">
        <v>1276.257301797234</v>
      </c>
      <c r="AE361">
        <v>50</v>
      </c>
      <c r="AF361">
        <v>87.262013575594494</v>
      </c>
      <c r="AG361">
        <v>2.1139333333333301</v>
      </c>
      <c r="AH361">
        <v>13.587583333333299</v>
      </c>
      <c r="AI361">
        <v>0.29523333333333301</v>
      </c>
      <c r="AJ361">
        <v>10.4225166666667</v>
      </c>
      <c r="AK361">
        <v>0.52931666666666699</v>
      </c>
      <c r="AL361">
        <v>2.6979166666666701</v>
      </c>
      <c r="AM361">
        <v>50.566133333333298</v>
      </c>
      <c r="AN361">
        <v>7.4192666666666698</v>
      </c>
      <c r="AP361">
        <v>0.115333333333333</v>
      </c>
      <c r="AQ361">
        <v>98.28573333333334</v>
      </c>
      <c r="AR361">
        <v>0.57645847609924805</v>
      </c>
      <c r="AS361">
        <v>1.26245867483521</v>
      </c>
      <c r="AT361">
        <v>5.29901751899979E-2</v>
      </c>
      <c r="AU361">
        <v>1.9081872417733701</v>
      </c>
      <c r="AV361">
        <v>0.16521048897290599</v>
      </c>
      <c r="AW361">
        <v>0.109080345006177</v>
      </c>
      <c r="AX361">
        <v>2.5946244064732502</v>
      </c>
      <c r="AY361">
        <v>1.98528395920248</v>
      </c>
      <c r="BA361">
        <v>4.7953505259435099E-2</v>
      </c>
      <c r="BE361">
        <v>0.36534686924684079</v>
      </c>
      <c r="BF361">
        <v>4318</v>
      </c>
      <c r="BG361">
        <v>1252145.889566652</v>
      </c>
      <c r="BH361">
        <v>326.46043402310892</v>
      </c>
      <c r="BI361">
        <v>631.32433470717922</v>
      </c>
      <c r="BJ361">
        <v>4.9680874824795813</v>
      </c>
      <c r="BK361">
        <v>326.4604340231088</v>
      </c>
    </row>
    <row r="362" spans="1:63" x14ac:dyDescent="0.2">
      <c r="A362">
        <v>360</v>
      </c>
      <c r="B362" t="s">
        <v>69</v>
      </c>
      <c r="C362" t="s">
        <v>143</v>
      </c>
      <c r="D362" t="s">
        <v>144</v>
      </c>
      <c r="E362">
        <v>-155.22516669999999</v>
      </c>
      <c r="F362">
        <v>19.371883329999999</v>
      </c>
      <c r="G362" t="s">
        <v>145</v>
      </c>
      <c r="H362" t="s">
        <v>702</v>
      </c>
      <c r="I362" t="s">
        <v>817</v>
      </c>
      <c r="J362" t="s">
        <v>68</v>
      </c>
      <c r="K362">
        <v>6.7894990804687492</v>
      </c>
      <c r="L362">
        <v>4.9857305601562496</v>
      </c>
      <c r="M362">
        <v>106.3448372888444</v>
      </c>
      <c r="N362">
        <v>834.82325344736228</v>
      </c>
      <c r="O362" t="s">
        <v>540</v>
      </c>
      <c r="Q362">
        <v>9.98</v>
      </c>
      <c r="R362">
        <v>1324.9639999999999</v>
      </c>
      <c r="S362">
        <v>50</v>
      </c>
      <c r="T362">
        <v>103.0589805798315</v>
      </c>
      <c r="U362">
        <v>9.452935962711179E-3</v>
      </c>
      <c r="V362">
        <v>0.1223292773332645</v>
      </c>
      <c r="W362">
        <v>5.3584227496262229E-3</v>
      </c>
      <c r="X362">
        <v>0</v>
      </c>
      <c r="Y362">
        <v>8.0062422577396375E-2</v>
      </c>
      <c r="Z362">
        <v>0.40953831744481639</v>
      </c>
      <c r="AA362">
        <v>3.048318506681252E-2</v>
      </c>
      <c r="AB362">
        <v>1.751339573936409</v>
      </c>
      <c r="AC362">
        <v>0.12474341291012341</v>
      </c>
      <c r="AD362">
        <v>1227.300960482343</v>
      </c>
      <c r="AE362">
        <v>50</v>
      </c>
      <c r="AF362">
        <v>84.751981494055727</v>
      </c>
      <c r="AG362">
        <v>2.1961249999999999</v>
      </c>
      <c r="AH362">
        <v>13.214425</v>
      </c>
      <c r="AI362">
        <v>0.23326250000000001</v>
      </c>
      <c r="AJ362">
        <v>10.8680875</v>
      </c>
      <c r="AK362">
        <v>0.46184999999999998</v>
      </c>
      <c r="AL362">
        <v>2.5506250000000001</v>
      </c>
      <c r="AM362">
        <v>49.975887499999999</v>
      </c>
      <c r="AN362">
        <v>7.4385374999999998</v>
      </c>
      <c r="AP362">
        <v>0.2354</v>
      </c>
      <c r="AQ362">
        <v>98.48666249999998</v>
      </c>
      <c r="AR362">
        <v>5.6378814410075299E-2</v>
      </c>
      <c r="AS362">
        <v>0.24941022862516499</v>
      </c>
      <c r="AT362">
        <v>1.4003870638403601E-2</v>
      </c>
      <c r="AU362">
        <v>0.27584699401505702</v>
      </c>
      <c r="AV362">
        <v>3.1668731762237799E-2</v>
      </c>
      <c r="AW362">
        <v>4.2427543277585897E-2</v>
      </c>
      <c r="AX362">
        <v>0.67605985245919198</v>
      </c>
      <c r="AY362">
        <v>0.10614118545597701</v>
      </c>
      <c r="BA362">
        <v>4.3851209463691802E-2</v>
      </c>
      <c r="BE362">
        <v>0.1425479078317273</v>
      </c>
      <c r="BF362">
        <v>15805</v>
      </c>
      <c r="BG362">
        <v>282903.54497984517</v>
      </c>
      <c r="BH362">
        <v>218.32863114037991</v>
      </c>
      <c r="BI362">
        <v>300.08497996988359</v>
      </c>
      <c r="BJ362">
        <v>1.736654563100086</v>
      </c>
      <c r="BK362">
        <v>218.32863114037991</v>
      </c>
    </row>
    <row r="363" spans="1:63" x14ac:dyDescent="0.2">
      <c r="A363">
        <v>361</v>
      </c>
      <c r="B363" t="s">
        <v>69</v>
      </c>
      <c r="C363" t="s">
        <v>76</v>
      </c>
      <c r="D363" t="s">
        <v>71</v>
      </c>
      <c r="E363">
        <v>-155.29812000000001</v>
      </c>
      <c r="F363">
        <v>19.375624999999999</v>
      </c>
      <c r="G363" t="s">
        <v>77</v>
      </c>
      <c r="H363" t="s">
        <v>771</v>
      </c>
      <c r="I363" t="s">
        <v>818</v>
      </c>
      <c r="J363" t="s">
        <v>68</v>
      </c>
      <c r="K363">
        <v>5.1715818304687504</v>
      </c>
      <c r="L363">
        <v>4.9416213937499993</v>
      </c>
      <c r="M363">
        <v>80.286540010941536</v>
      </c>
      <c r="N363">
        <v>541.30273020001448</v>
      </c>
      <c r="Q363">
        <v>11.914</v>
      </c>
      <c r="R363">
        <v>1324.9639999999999</v>
      </c>
      <c r="S363">
        <v>50</v>
      </c>
      <c r="T363">
        <v>103.05993301991209</v>
      </c>
      <c r="U363">
        <v>2.927970981970686E-3</v>
      </c>
      <c r="V363">
        <v>0.1227066723270553</v>
      </c>
      <c r="W363">
        <v>4.0042601842872694E-3</v>
      </c>
      <c r="X363">
        <v>0</v>
      </c>
      <c r="Y363">
        <v>7.7827433202832697E-2</v>
      </c>
      <c r="Z363">
        <v>0.42096993853399212</v>
      </c>
      <c r="AA363">
        <v>2.8037643886551888E-2</v>
      </c>
      <c r="AB363">
        <v>1.79808881760033</v>
      </c>
      <c r="AC363">
        <v>0.1144464503398754</v>
      </c>
      <c r="AD363">
        <v>1265.7225094013199</v>
      </c>
      <c r="AE363">
        <v>50</v>
      </c>
      <c r="AF363">
        <v>86.777504722429669</v>
      </c>
      <c r="AG363">
        <v>2.5039199999999999</v>
      </c>
      <c r="AH363">
        <v>14.096819999999999</v>
      </c>
      <c r="AI363">
        <v>0.27322000000000002</v>
      </c>
      <c r="AJ363">
        <v>10.95044</v>
      </c>
      <c r="AK363">
        <v>0.52094000000000007</v>
      </c>
      <c r="AL363">
        <v>2.9191400000000001</v>
      </c>
      <c r="AM363">
        <v>50.91704</v>
      </c>
      <c r="AN363">
        <v>6.4346599999999992</v>
      </c>
      <c r="AO363">
        <v>10.86684</v>
      </c>
      <c r="AP363">
        <v>0.19492000000000001</v>
      </c>
      <c r="AQ363">
        <v>99.70778</v>
      </c>
      <c r="AR363">
        <v>5.8797253337209539E-2</v>
      </c>
      <c r="AS363">
        <v>0.138496180452748</v>
      </c>
      <c r="AT363">
        <v>2.822688434808206E-2</v>
      </c>
      <c r="AU363">
        <v>7.1287502411011894E-2</v>
      </c>
      <c r="AV363">
        <v>1.2819243347405491E-2</v>
      </c>
      <c r="AW363">
        <v>2.3721045508155889E-2</v>
      </c>
      <c r="AX363">
        <v>0.39733328327740491</v>
      </c>
      <c r="AY363">
        <v>8.3972662218129629E-2</v>
      </c>
      <c r="AZ363">
        <v>5.8132675837260117E-2</v>
      </c>
      <c r="BA363">
        <v>1.931080008699795E-2</v>
      </c>
    </row>
    <row r="364" spans="1:63" x14ac:dyDescent="0.2">
      <c r="A364">
        <v>362</v>
      </c>
      <c r="B364" t="s">
        <v>69</v>
      </c>
      <c r="C364" t="s">
        <v>76</v>
      </c>
      <c r="D364" t="s">
        <v>71</v>
      </c>
      <c r="E364">
        <v>-155.29812000000001</v>
      </c>
      <c r="F364">
        <v>19.375624999999999</v>
      </c>
      <c r="G364" t="s">
        <v>77</v>
      </c>
      <c r="H364" t="s">
        <v>575</v>
      </c>
      <c r="I364" t="s">
        <v>819</v>
      </c>
      <c r="J364" t="s">
        <v>68</v>
      </c>
      <c r="K364">
        <v>3.58632512265625</v>
      </c>
      <c r="L364">
        <v>3.0167996539062498</v>
      </c>
      <c r="M364">
        <v>33.98959585747108</v>
      </c>
      <c r="N364">
        <v>149.62502836787559</v>
      </c>
      <c r="Q364">
        <v>12.004</v>
      </c>
      <c r="R364">
        <v>1324.9639999999999</v>
      </c>
      <c r="S364">
        <v>100</v>
      </c>
      <c r="T364">
        <v>103.06008428700289</v>
      </c>
      <c r="U364">
        <v>2.720226849287034E-3</v>
      </c>
      <c r="V364">
        <v>0.1227666104207259</v>
      </c>
      <c r="W364">
        <v>3.981293148323386E-3</v>
      </c>
      <c r="X364">
        <v>0</v>
      </c>
      <c r="Y364">
        <v>7.8818510300571853E-2</v>
      </c>
      <c r="Z364">
        <v>0.41582424288789721</v>
      </c>
      <c r="AA364">
        <v>2.7313492907043119E-2</v>
      </c>
      <c r="AB364">
        <v>1.777059103337584</v>
      </c>
      <c r="AC364">
        <v>0.1115919615536354</v>
      </c>
      <c r="AD364">
        <v>1245.4825200258249</v>
      </c>
      <c r="AE364">
        <v>50</v>
      </c>
      <c r="AF364">
        <v>85.768463646771821</v>
      </c>
      <c r="AG364">
        <v>2.5039199999999999</v>
      </c>
      <c r="AH364">
        <v>14.096819999999999</v>
      </c>
      <c r="AI364">
        <v>0.27322000000000002</v>
      </c>
      <c r="AJ364">
        <v>10.95044</v>
      </c>
      <c r="AK364">
        <v>0.52094000000000007</v>
      </c>
      <c r="AL364">
        <v>2.9191400000000001</v>
      </c>
      <c r="AM364">
        <v>50.91704</v>
      </c>
      <c r="AN364">
        <v>6.4346599999999992</v>
      </c>
      <c r="AO364">
        <v>10.86684</v>
      </c>
      <c r="AP364">
        <v>0.19492000000000001</v>
      </c>
      <c r="AQ364">
        <v>99.70778</v>
      </c>
      <c r="AR364">
        <v>5.8797253337209539E-2</v>
      </c>
      <c r="AS364">
        <v>0.138496180452748</v>
      </c>
      <c r="AT364">
        <v>2.822688434808206E-2</v>
      </c>
      <c r="AU364">
        <v>7.1287502411011894E-2</v>
      </c>
      <c r="AV364">
        <v>1.2819243347405491E-2</v>
      </c>
      <c r="AW364">
        <v>2.3721045508155889E-2</v>
      </c>
      <c r="AX364">
        <v>0.39733328327740491</v>
      </c>
      <c r="AY364">
        <v>8.3972662218129629E-2</v>
      </c>
      <c r="AZ364">
        <v>5.8132675837260117E-2</v>
      </c>
      <c r="BA364">
        <v>1.931080008699795E-2</v>
      </c>
    </row>
    <row r="365" spans="1:63" x14ac:dyDescent="0.2">
      <c r="A365">
        <v>363</v>
      </c>
      <c r="B365" t="s">
        <v>69</v>
      </c>
      <c r="C365" t="s">
        <v>169</v>
      </c>
      <c r="D365" t="s">
        <v>64</v>
      </c>
      <c r="E365">
        <v>-155.29196300000001</v>
      </c>
      <c r="F365">
        <v>19.398634000000001</v>
      </c>
      <c r="G365" t="s">
        <v>170</v>
      </c>
      <c r="H365" t="s">
        <v>243</v>
      </c>
      <c r="I365" t="s">
        <v>820</v>
      </c>
      <c r="J365" t="s">
        <v>68</v>
      </c>
      <c r="K365">
        <v>3.8700999046875002</v>
      </c>
      <c r="L365">
        <v>3.1644694718749999</v>
      </c>
      <c r="M365">
        <v>38.474497755368759</v>
      </c>
      <c r="N365">
        <v>180.4343491256931</v>
      </c>
      <c r="Q365">
        <v>10.101000000000001</v>
      </c>
      <c r="R365">
        <v>1324.7670000000001</v>
      </c>
      <c r="S365">
        <v>50</v>
      </c>
      <c r="T365">
        <v>103.06021242635209</v>
      </c>
      <c r="U365">
        <v>5.7201663723641652E-3</v>
      </c>
      <c r="V365">
        <v>0.1228173843748053</v>
      </c>
      <c r="W365">
        <v>4.4527404111440218E-3</v>
      </c>
      <c r="X365">
        <v>3.001050552407265</v>
      </c>
      <c r="Y365">
        <v>8.229010970106776E-2</v>
      </c>
      <c r="Z365">
        <v>0.39876403394799259</v>
      </c>
      <c r="AA365">
        <v>2.7978633911752659E-2</v>
      </c>
      <c r="AB365">
        <v>1.707178790178308</v>
      </c>
      <c r="AC365">
        <v>0.1147352761672865</v>
      </c>
      <c r="AD365">
        <v>1180.4836893366021</v>
      </c>
      <c r="AE365">
        <v>50</v>
      </c>
      <c r="AF365">
        <v>81.324377241715624</v>
      </c>
      <c r="AG365">
        <v>2.5390516666666669</v>
      </c>
      <c r="AH365">
        <v>13.89052597266207</v>
      </c>
      <c r="AI365">
        <v>0.24399675000000001</v>
      </c>
      <c r="AJ365">
        <v>11.205616666666669</v>
      </c>
      <c r="AK365">
        <v>0.47515841666666669</v>
      </c>
      <c r="AL365">
        <v>2.6323025000000002</v>
      </c>
      <c r="AM365">
        <v>50.778866165683027</v>
      </c>
      <c r="AN365">
        <v>6.7552275000000002</v>
      </c>
      <c r="AP365">
        <v>0.17074191666666669</v>
      </c>
      <c r="AR365">
        <v>5.5209421763999247E-2</v>
      </c>
      <c r="AS365">
        <v>0.23260322971847319</v>
      </c>
      <c r="AT365">
        <v>2.215836573857705E-2</v>
      </c>
      <c r="AU365">
        <v>0.13946342520423419</v>
      </c>
      <c r="AV365">
        <v>1.8188943372071519E-2</v>
      </c>
      <c r="AW365">
        <v>3.4278244127355022E-2</v>
      </c>
      <c r="AX365">
        <v>0.34681065155483992</v>
      </c>
      <c r="AY365">
        <v>0.48865100303376952</v>
      </c>
      <c r="BA365">
        <v>2.081601264087701E-2</v>
      </c>
      <c r="BE365">
        <v>0.1092589278214504</v>
      </c>
      <c r="BF365">
        <v>1635</v>
      </c>
      <c r="BG365">
        <v>14799.88206576003</v>
      </c>
      <c r="BH365">
        <v>78.530468642399839</v>
      </c>
      <c r="BI365">
        <v>68.636351708738133</v>
      </c>
      <c r="BJ365">
        <v>1.942134533836376</v>
      </c>
      <c r="BK365">
        <v>78.530468642399796</v>
      </c>
    </row>
    <row r="366" spans="1:63" x14ac:dyDescent="0.2">
      <c r="A366">
        <v>364</v>
      </c>
      <c r="B366" t="s">
        <v>69</v>
      </c>
      <c r="C366" t="s">
        <v>236</v>
      </c>
      <c r="D366" t="s">
        <v>64</v>
      </c>
      <c r="E366">
        <v>-155.292979</v>
      </c>
      <c r="F366">
        <v>19.400748</v>
      </c>
      <c r="G366" t="s">
        <v>237</v>
      </c>
      <c r="H366" t="s">
        <v>821</v>
      </c>
      <c r="I366" t="s">
        <v>822</v>
      </c>
      <c r="J366" t="s">
        <v>68</v>
      </c>
      <c r="K366">
        <v>6.7730525796875014</v>
      </c>
      <c r="L366">
        <v>5.3978810320312496</v>
      </c>
      <c r="M366">
        <v>114.8570422589257</v>
      </c>
      <c r="N366">
        <v>931.9449574478399</v>
      </c>
      <c r="Q366">
        <v>10.016</v>
      </c>
      <c r="R366">
        <v>1324.9639999999999</v>
      </c>
      <c r="S366">
        <v>100</v>
      </c>
      <c r="T366">
        <v>103.0604429759136</v>
      </c>
      <c r="U366">
        <v>1.892536397032411E-2</v>
      </c>
      <c r="V366">
        <v>0.12290873736600361</v>
      </c>
      <c r="W366">
        <v>8.421739699602214E-3</v>
      </c>
      <c r="X366">
        <v>11.54606180113265</v>
      </c>
      <c r="Y366">
        <v>8.1664557655324321E-2</v>
      </c>
      <c r="Z366">
        <v>0.40173681259800642</v>
      </c>
      <c r="AA366">
        <v>3.6404954962064258E-2</v>
      </c>
      <c r="AB366">
        <v>1.7193730760269801</v>
      </c>
      <c r="AC366">
        <v>0.1489879344377058</v>
      </c>
      <c r="AD366">
        <v>1190.5535706830001</v>
      </c>
      <c r="AE366">
        <v>50</v>
      </c>
      <c r="AF366">
        <v>82.204845633904895</v>
      </c>
      <c r="AG366">
        <v>2.0274999999999999</v>
      </c>
      <c r="AH366">
        <v>12.7525</v>
      </c>
      <c r="AI366">
        <v>0.17249999999999999</v>
      </c>
      <c r="AJ366">
        <v>11.092499999999999</v>
      </c>
      <c r="AK366">
        <v>0.51750000000000007</v>
      </c>
      <c r="AL366">
        <v>2.5150000000000001</v>
      </c>
      <c r="AM366">
        <v>50.63</v>
      </c>
      <c r="AN366">
        <v>7.415</v>
      </c>
      <c r="AP366">
        <v>1685.75</v>
      </c>
      <c r="AR366">
        <v>0.17231270024773751</v>
      </c>
      <c r="AS366">
        <v>0.13450526631573459</v>
      </c>
      <c r="AT366">
        <v>4.9999999999999836E-3</v>
      </c>
      <c r="AU366">
        <v>0.29227555491350982</v>
      </c>
      <c r="AV366">
        <v>2.061552812808835E-2</v>
      </c>
      <c r="AW366">
        <v>6.2449979983983737E-2</v>
      </c>
      <c r="AX366">
        <v>0.21556128285632961</v>
      </c>
      <c r="AY366">
        <v>0.39770173078158311</v>
      </c>
      <c r="BA366">
        <v>51.951098801340748</v>
      </c>
      <c r="BE366">
        <v>0.1200186647704113</v>
      </c>
      <c r="BF366">
        <v>632</v>
      </c>
      <c r="BG366">
        <v>10122.90230989918</v>
      </c>
      <c r="BH366">
        <v>3.5746256391666371</v>
      </c>
      <c r="BI366">
        <v>56.764600607364798</v>
      </c>
      <c r="BJ366">
        <v>0.1421909732720171</v>
      </c>
      <c r="BK366">
        <v>3.5746256391666371</v>
      </c>
    </row>
    <row r="367" spans="1:63" x14ac:dyDescent="0.2">
      <c r="A367">
        <v>365</v>
      </c>
      <c r="B367" t="s">
        <v>69</v>
      </c>
      <c r="C367" t="s">
        <v>91</v>
      </c>
      <c r="D367" t="s">
        <v>92</v>
      </c>
      <c r="E367">
        <v>-155.28360000000001</v>
      </c>
      <c r="F367">
        <v>19.4285</v>
      </c>
      <c r="G367" t="s">
        <v>212</v>
      </c>
      <c r="H367" t="s">
        <v>823</v>
      </c>
      <c r="I367" t="s">
        <v>824</v>
      </c>
      <c r="J367" t="s">
        <v>68</v>
      </c>
      <c r="K367">
        <v>9.0847448343749999</v>
      </c>
      <c r="L367">
        <v>7.6557589414062504</v>
      </c>
      <c r="M367">
        <v>218.49970583697939</v>
      </c>
      <c r="N367">
        <v>2438.5301003806971</v>
      </c>
      <c r="O367" t="s">
        <v>825</v>
      </c>
      <c r="Q367">
        <v>12.047000000000001</v>
      </c>
      <c r="R367">
        <v>1325.0039999999999</v>
      </c>
      <c r="S367">
        <v>50</v>
      </c>
      <c r="T367">
        <v>103.0605808752175</v>
      </c>
      <c r="U367">
        <v>2.5508293347436392E-3</v>
      </c>
      <c r="V367">
        <v>0.1229633786059026</v>
      </c>
      <c r="W367">
        <v>3.9639900410705347E-3</v>
      </c>
      <c r="X367">
        <v>0</v>
      </c>
      <c r="Y367">
        <v>8.0014984904936859E-2</v>
      </c>
      <c r="Z367">
        <v>0.40978495396333159</v>
      </c>
      <c r="AA367">
        <v>3.7150978301796658E-2</v>
      </c>
      <c r="AB367">
        <v>1.7523493334681239</v>
      </c>
      <c r="AC367">
        <v>0.152163877190719</v>
      </c>
      <c r="AD367">
        <v>1220.1822987351841</v>
      </c>
      <c r="AE367">
        <v>100</v>
      </c>
      <c r="AG367">
        <v>2.1021777777777779</v>
      </c>
      <c r="AH367">
        <v>12.18196296296296</v>
      </c>
      <c r="AJ367">
        <v>10.35145925925926</v>
      </c>
      <c r="AK367">
        <v>0.4553962962962963</v>
      </c>
      <c r="AL367">
        <v>2.3345296296296301</v>
      </c>
      <c r="AM367">
        <v>49.209007407407412</v>
      </c>
      <c r="AN367">
        <v>9.4706370370370365</v>
      </c>
      <c r="AP367">
        <v>1.7722222222222219E-2</v>
      </c>
      <c r="AQ367">
        <v>97.341288888888897</v>
      </c>
      <c r="AR367">
        <v>3.1603703937420069E-2</v>
      </c>
      <c r="AS367">
        <v>0.1308813941885143</v>
      </c>
      <c r="AU367">
        <v>0.12790190128874709</v>
      </c>
      <c r="AV367">
        <v>3.4622563579722238E-2</v>
      </c>
      <c r="AW367">
        <v>4.9585767303615608E-2</v>
      </c>
      <c r="AX367">
        <v>0.4308268757472053</v>
      </c>
      <c r="AY367">
        <v>0.20483483806030409</v>
      </c>
      <c r="BA367">
        <v>4.922736366426028E-3</v>
      </c>
      <c r="BB367">
        <v>27</v>
      </c>
      <c r="BC367" t="s">
        <v>86</v>
      </c>
    </row>
    <row r="368" spans="1:63" x14ac:dyDescent="0.2">
      <c r="A368">
        <v>366</v>
      </c>
      <c r="B368" t="s">
        <v>69</v>
      </c>
      <c r="C368" t="s">
        <v>236</v>
      </c>
      <c r="D368" t="s">
        <v>64</v>
      </c>
      <c r="E368">
        <v>-155.292979</v>
      </c>
      <c r="F368">
        <v>19.400748</v>
      </c>
      <c r="G368" t="s">
        <v>237</v>
      </c>
      <c r="H368" t="s">
        <v>525</v>
      </c>
      <c r="I368" t="s">
        <v>826</v>
      </c>
      <c r="J368" t="s">
        <v>68</v>
      </c>
      <c r="K368">
        <v>5.3588859718749999</v>
      </c>
      <c r="L368">
        <v>4.5514383328124994</v>
      </c>
      <c r="M368">
        <v>76.625452404202107</v>
      </c>
      <c r="N368">
        <v>506.25538887935937</v>
      </c>
      <c r="Q368">
        <v>10.016999999999999</v>
      </c>
      <c r="R368">
        <v>1324.9639999999999</v>
      </c>
      <c r="S368">
        <v>50</v>
      </c>
      <c r="T368">
        <v>103.0606257464961</v>
      </c>
      <c r="U368">
        <v>1.175677167536646E-2</v>
      </c>
      <c r="V368">
        <v>0.1229811584077751</v>
      </c>
      <c r="W368">
        <v>6.0327053110190206E-3</v>
      </c>
      <c r="X368">
        <v>0</v>
      </c>
      <c r="Y368">
        <v>8.1336766450323839E-2</v>
      </c>
      <c r="Z368">
        <v>0.40331219657842138</v>
      </c>
      <c r="AA368">
        <v>3.134305481686038E-2</v>
      </c>
      <c r="AB368">
        <v>1.725832275162908</v>
      </c>
      <c r="AC368">
        <v>0.12845790197082199</v>
      </c>
      <c r="AD368">
        <v>1195.587430420223</v>
      </c>
      <c r="AE368">
        <v>50</v>
      </c>
      <c r="AF368">
        <v>82.607702083624815</v>
      </c>
      <c r="AG368">
        <v>2.0274999999999999</v>
      </c>
      <c r="AH368">
        <v>12.7525</v>
      </c>
      <c r="AI368">
        <v>0.17249999999999999</v>
      </c>
      <c r="AJ368">
        <v>11.092499999999999</v>
      </c>
      <c r="AK368">
        <v>0.51750000000000007</v>
      </c>
      <c r="AL368">
        <v>2.5150000000000001</v>
      </c>
      <c r="AM368">
        <v>50.63</v>
      </c>
      <c r="AN368">
        <v>7.415</v>
      </c>
      <c r="AP368">
        <v>1685.75</v>
      </c>
      <c r="AR368">
        <v>0.17231270024773751</v>
      </c>
      <c r="AS368">
        <v>0.13450526631573459</v>
      </c>
      <c r="AT368">
        <v>4.9999999999999836E-3</v>
      </c>
      <c r="AU368">
        <v>0.29227555491350982</v>
      </c>
      <c r="AV368">
        <v>2.061552812808835E-2</v>
      </c>
      <c r="AW368">
        <v>6.2449979983983737E-2</v>
      </c>
      <c r="AX368">
        <v>0.21556128285632961</v>
      </c>
      <c r="AY368">
        <v>0.39770173078158311</v>
      </c>
      <c r="BA368">
        <v>51.951098801340748</v>
      </c>
      <c r="BE368">
        <v>0.1027002116085827</v>
      </c>
      <c r="BF368">
        <v>1060</v>
      </c>
      <c r="BG368">
        <v>26837.180605161051</v>
      </c>
      <c r="BH368">
        <v>0</v>
      </c>
      <c r="BI368">
        <v>92.425861661780843</v>
      </c>
      <c r="BJ368">
        <v>0</v>
      </c>
      <c r="BK368">
        <v>0</v>
      </c>
    </row>
    <row r="369" spans="1:63" x14ac:dyDescent="0.2">
      <c r="A369">
        <v>367</v>
      </c>
      <c r="B369" t="s">
        <v>69</v>
      </c>
      <c r="C369" t="s">
        <v>169</v>
      </c>
      <c r="D369" t="s">
        <v>64</v>
      </c>
      <c r="E369">
        <v>-155.29196300000001</v>
      </c>
      <c r="F369">
        <v>19.398634000000001</v>
      </c>
      <c r="G369" t="s">
        <v>170</v>
      </c>
      <c r="H369" t="s">
        <v>710</v>
      </c>
      <c r="I369" t="s">
        <v>827</v>
      </c>
      <c r="J369" t="s">
        <v>68</v>
      </c>
      <c r="K369">
        <v>8.7434363570312499</v>
      </c>
      <c r="L369">
        <v>7.3235744945312504</v>
      </c>
      <c r="M369">
        <v>201.16625426437051</v>
      </c>
      <c r="N369">
        <v>2154.760260155881</v>
      </c>
      <c r="Q369">
        <v>10.102</v>
      </c>
      <c r="R369">
        <v>1324.7670000000001</v>
      </c>
      <c r="S369">
        <v>50</v>
      </c>
      <c r="T369">
        <v>103.06074885806861</v>
      </c>
      <c r="U369">
        <v>7.3105076754718841E-3</v>
      </c>
      <c r="V369">
        <v>0.1230299401548578</v>
      </c>
      <c r="W369">
        <v>4.8045299472311122E-3</v>
      </c>
      <c r="X369">
        <v>2.7858845497915241</v>
      </c>
      <c r="Y369">
        <v>8.2051509588196292E-2</v>
      </c>
      <c r="Z369">
        <v>0.39989590536554331</v>
      </c>
      <c r="AA369">
        <v>2.8278866123310799E-2</v>
      </c>
      <c r="AB369">
        <v>1.7118225792860899</v>
      </c>
      <c r="AC369">
        <v>0.1159731900462825</v>
      </c>
      <c r="AD369">
        <v>1182.137854133503</v>
      </c>
      <c r="AE369">
        <v>50</v>
      </c>
      <c r="AF369">
        <v>81.476768596742005</v>
      </c>
      <c r="AG369">
        <v>2.5390516666666669</v>
      </c>
      <c r="AH369">
        <v>13.89052597266207</v>
      </c>
      <c r="AI369">
        <v>0.24399675000000001</v>
      </c>
      <c r="AJ369">
        <v>11.205616666666669</v>
      </c>
      <c r="AK369">
        <v>0.47515841666666669</v>
      </c>
      <c r="AL369">
        <v>2.6323025000000002</v>
      </c>
      <c r="AM369">
        <v>50.778866165683027</v>
      </c>
      <c r="AN369">
        <v>6.7552275000000002</v>
      </c>
      <c r="AP369">
        <v>0.17074191666666669</v>
      </c>
      <c r="AR369">
        <v>5.5209421763999247E-2</v>
      </c>
      <c r="AS369">
        <v>0.23260322971847319</v>
      </c>
      <c r="AT369">
        <v>2.215836573857705E-2</v>
      </c>
      <c r="AU369">
        <v>0.13946342520423419</v>
      </c>
      <c r="AV369">
        <v>1.8188943372071519E-2</v>
      </c>
      <c r="AW369">
        <v>3.4278244127355022E-2</v>
      </c>
      <c r="AX369">
        <v>0.34681065155483992</v>
      </c>
      <c r="AY369">
        <v>0.48865100303376952</v>
      </c>
      <c r="BA369">
        <v>2.081601264087701E-2</v>
      </c>
      <c r="BE369">
        <v>0.27098888342744543</v>
      </c>
      <c r="BF369">
        <v>5812</v>
      </c>
      <c r="BG369">
        <v>52707.050033182248</v>
      </c>
      <c r="BH369">
        <v>120.1304158238607</v>
      </c>
      <c r="BI369">
        <v>129.52673506711119</v>
      </c>
      <c r="BJ369">
        <v>1.5757603833128691</v>
      </c>
      <c r="BK369">
        <v>120.1304158238607</v>
      </c>
    </row>
    <row r="370" spans="1:63" x14ac:dyDescent="0.2">
      <c r="A370">
        <v>368</v>
      </c>
      <c r="B370" t="s">
        <v>69</v>
      </c>
      <c r="C370" t="s">
        <v>671</v>
      </c>
      <c r="D370" t="s">
        <v>144</v>
      </c>
      <c r="E370">
        <v>-155.21461669999999</v>
      </c>
      <c r="F370">
        <v>19.36376667</v>
      </c>
      <c r="G370" t="s">
        <v>672</v>
      </c>
      <c r="H370" t="s">
        <v>828</v>
      </c>
      <c r="I370" t="s">
        <v>829</v>
      </c>
      <c r="J370" t="s">
        <v>68</v>
      </c>
      <c r="K370">
        <v>7.255754471875</v>
      </c>
      <c r="L370">
        <v>6.4866045148437506</v>
      </c>
      <c r="M370">
        <v>147.8597170830154</v>
      </c>
      <c r="N370">
        <v>1354.6275412196451</v>
      </c>
      <c r="Q370">
        <v>9.9809999999999999</v>
      </c>
      <c r="R370">
        <v>1324.9639999999999</v>
      </c>
      <c r="S370">
        <v>50</v>
      </c>
      <c r="T370">
        <v>103.0610736503767</v>
      </c>
      <c r="U370">
        <v>1.9496322422086439E-2</v>
      </c>
      <c r="V370">
        <v>0.1231586359054901</v>
      </c>
      <c r="W370">
        <v>8.6240035624915671E-3</v>
      </c>
      <c r="X370">
        <v>0</v>
      </c>
      <c r="Y370">
        <v>7.5990365646089075E-2</v>
      </c>
      <c r="Z370">
        <v>0.43088644254568831</v>
      </c>
      <c r="AA370">
        <v>4.1148204661324211E-2</v>
      </c>
      <c r="AB370">
        <v>1.8385542856171719</v>
      </c>
      <c r="AC370">
        <v>0.16752702993384641</v>
      </c>
      <c r="AD370">
        <v>1297.229248946865</v>
      </c>
      <c r="AE370">
        <v>50</v>
      </c>
      <c r="AF370">
        <v>88.159211478704322</v>
      </c>
      <c r="AG370">
        <v>2.1139333333333301</v>
      </c>
      <c r="AH370">
        <v>13.587583333333299</v>
      </c>
      <c r="AI370">
        <v>0.29523333333333301</v>
      </c>
      <c r="AJ370">
        <v>10.4225166666667</v>
      </c>
      <c r="AK370">
        <v>0.52931666666666699</v>
      </c>
      <c r="AL370">
        <v>2.6979166666666701</v>
      </c>
      <c r="AM370">
        <v>50.566133333333298</v>
      </c>
      <c r="AN370">
        <v>7.4192666666666698</v>
      </c>
      <c r="AP370">
        <v>0.115333333333333</v>
      </c>
      <c r="AQ370">
        <v>98.28573333333334</v>
      </c>
      <c r="AR370">
        <v>0.57645847609924805</v>
      </c>
      <c r="AS370">
        <v>1.26245867483521</v>
      </c>
      <c r="AT370">
        <v>5.29901751899979E-2</v>
      </c>
      <c r="AU370">
        <v>1.9081872417733701</v>
      </c>
      <c r="AV370">
        <v>0.16521048897290599</v>
      </c>
      <c r="AW370">
        <v>0.109080345006177</v>
      </c>
      <c r="AX370">
        <v>2.5946244064732502</v>
      </c>
      <c r="AY370">
        <v>1.98528395920248</v>
      </c>
      <c r="BA370">
        <v>4.7953505259435099E-2</v>
      </c>
      <c r="BE370">
        <v>0.29409500124561971</v>
      </c>
      <c r="BF370">
        <v>9166</v>
      </c>
      <c r="BG370">
        <v>334215.49299504049</v>
      </c>
      <c r="BH370">
        <v>1062.589367040445</v>
      </c>
      <c r="BI370">
        <v>326.16574856368783</v>
      </c>
      <c r="BJ370">
        <v>11.098787575084719</v>
      </c>
      <c r="BK370">
        <v>1062.5893670404439</v>
      </c>
    </row>
    <row r="371" spans="1:63" x14ac:dyDescent="0.2">
      <c r="A371">
        <v>369</v>
      </c>
      <c r="B371" t="s">
        <v>69</v>
      </c>
      <c r="C371" t="s">
        <v>236</v>
      </c>
      <c r="D371" t="s">
        <v>64</v>
      </c>
      <c r="E371">
        <v>-155.292979</v>
      </c>
      <c r="F371">
        <v>19.400748</v>
      </c>
      <c r="G371" t="s">
        <v>237</v>
      </c>
      <c r="H371" t="s">
        <v>532</v>
      </c>
      <c r="I371" t="s">
        <v>830</v>
      </c>
      <c r="J371" t="s">
        <v>68</v>
      </c>
      <c r="K371">
        <v>7.8553253148437507</v>
      </c>
      <c r="L371">
        <v>6.5624443859374999</v>
      </c>
      <c r="M371">
        <v>161.94952701640031</v>
      </c>
      <c r="N371">
        <v>1556.6339891152729</v>
      </c>
      <c r="Q371">
        <v>10.052</v>
      </c>
      <c r="R371">
        <v>1324.9639999999999</v>
      </c>
      <c r="S371">
        <v>100</v>
      </c>
      <c r="T371">
        <v>103.061948096988</v>
      </c>
      <c r="U371">
        <v>6.7547143623740979E-3</v>
      </c>
      <c r="V371">
        <v>0.1235051267558092</v>
      </c>
      <c r="W371">
        <v>4.6757632143056378E-3</v>
      </c>
      <c r="X371">
        <v>9.1440394252066426</v>
      </c>
      <c r="Y371">
        <v>8.1305557446671228E-2</v>
      </c>
      <c r="Z371">
        <v>0.40347156454861238</v>
      </c>
      <c r="AA371">
        <v>2.8441068500113791E-2</v>
      </c>
      <c r="AB371">
        <v>1.7264855808674311</v>
      </c>
      <c r="AC371">
        <v>0.11655740635202801</v>
      </c>
      <c r="AD371">
        <v>1189.722947284796</v>
      </c>
      <c r="AE371">
        <v>50</v>
      </c>
      <c r="AF371">
        <v>82.136187925912921</v>
      </c>
      <c r="AG371">
        <v>2.0274999999999999</v>
      </c>
      <c r="AH371">
        <v>12.7525</v>
      </c>
      <c r="AI371">
        <v>0.17249999999999999</v>
      </c>
      <c r="AJ371">
        <v>11.092499999999999</v>
      </c>
      <c r="AK371">
        <v>0.51750000000000007</v>
      </c>
      <c r="AL371">
        <v>2.5150000000000001</v>
      </c>
      <c r="AM371">
        <v>50.63</v>
      </c>
      <c r="AN371">
        <v>7.415</v>
      </c>
      <c r="AP371">
        <v>1685.75</v>
      </c>
      <c r="AR371">
        <v>0.17231270024773751</v>
      </c>
      <c r="AS371">
        <v>0.13450526631573459</v>
      </c>
      <c r="AT371">
        <v>4.9999999999999836E-3</v>
      </c>
      <c r="AU371">
        <v>0.29227555491350982</v>
      </c>
      <c r="AV371">
        <v>2.061552812808835E-2</v>
      </c>
      <c r="AW371">
        <v>6.2449979983983737E-2</v>
      </c>
      <c r="AX371">
        <v>0.21556128285632961</v>
      </c>
      <c r="AY371">
        <v>0.39770173078158311</v>
      </c>
      <c r="BA371">
        <v>51.951098801340748</v>
      </c>
      <c r="BE371">
        <v>8.8637510523642077E-2</v>
      </c>
      <c r="BF371">
        <v>23296</v>
      </c>
      <c r="BG371">
        <v>93566.581104554003</v>
      </c>
      <c r="BH371">
        <v>10.88216268122571</v>
      </c>
      <c r="BI371">
        <v>172.5780049195059</v>
      </c>
      <c r="BJ371">
        <v>7.1297538309187794E-2</v>
      </c>
      <c r="BK371">
        <v>10.88216268122571</v>
      </c>
    </row>
    <row r="372" spans="1:63" x14ac:dyDescent="0.2">
      <c r="A372">
        <v>370</v>
      </c>
      <c r="B372" t="s">
        <v>69</v>
      </c>
      <c r="C372" t="s">
        <v>594</v>
      </c>
      <c r="D372" t="s">
        <v>64</v>
      </c>
      <c r="E372">
        <v>-155.2816</v>
      </c>
      <c r="F372">
        <v>19.402366669999999</v>
      </c>
      <c r="G372" t="s">
        <v>595</v>
      </c>
      <c r="H372" t="s">
        <v>724</v>
      </c>
      <c r="I372" t="s">
        <v>831</v>
      </c>
      <c r="J372" t="s">
        <v>68</v>
      </c>
      <c r="K372">
        <v>8.9722926117187516</v>
      </c>
      <c r="L372">
        <v>6.4059411117187501</v>
      </c>
      <c r="M372">
        <v>180.566110581288</v>
      </c>
      <c r="N372">
        <v>1851.1919007007391</v>
      </c>
      <c r="Q372">
        <v>10.012</v>
      </c>
      <c r="R372">
        <v>1324.9639999999999</v>
      </c>
      <c r="S372">
        <v>50</v>
      </c>
      <c r="T372">
        <v>103.0621580940263</v>
      </c>
      <c r="U372">
        <v>7.7071522597865023E-3</v>
      </c>
      <c r="V372">
        <v>0.12358833601229691</v>
      </c>
      <c r="W372">
        <v>4.9016874685614831E-3</v>
      </c>
      <c r="X372">
        <v>0</v>
      </c>
      <c r="Y372">
        <v>7.8206677024643234E-2</v>
      </c>
      <c r="Z372">
        <v>0.41899975513456261</v>
      </c>
      <c r="AA372">
        <v>3.0336308181647492E-2</v>
      </c>
      <c r="AB372">
        <v>1.79003955862854</v>
      </c>
      <c r="AC372">
        <v>0.1238986603279848</v>
      </c>
      <c r="AD372">
        <v>1246.8653840652621</v>
      </c>
      <c r="AE372">
        <v>50</v>
      </c>
      <c r="AF372">
        <v>85.84112367229163</v>
      </c>
      <c r="AG372">
        <v>2.3161749999999999</v>
      </c>
      <c r="AH372">
        <v>13.236525</v>
      </c>
      <c r="AI372">
        <v>0.23727500000000001</v>
      </c>
      <c r="AJ372">
        <v>11.119225</v>
      </c>
      <c r="AK372">
        <v>0.45182499999999998</v>
      </c>
      <c r="AL372">
        <v>2.5776249999999998</v>
      </c>
      <c r="AM372">
        <v>50.469949999999997</v>
      </c>
      <c r="AN372">
        <v>7.2425499999999996</v>
      </c>
      <c r="AP372">
        <v>0.19814999999999999</v>
      </c>
      <c r="AQ372">
        <v>99.444850000000002</v>
      </c>
      <c r="AR372">
        <v>1.8066578259316259E-2</v>
      </c>
      <c r="AS372">
        <v>1.4495689014328119E-3</v>
      </c>
      <c r="AT372">
        <v>1.4884597743976821E-2</v>
      </c>
      <c r="AU372">
        <v>2.1177848096536729E-2</v>
      </c>
      <c r="AV372">
        <v>1.0217692988145609E-2</v>
      </c>
      <c r="AW372">
        <v>2.5809397513306929E-3</v>
      </c>
      <c r="AX372">
        <v>0.1291884089227876</v>
      </c>
      <c r="AY372">
        <v>4.9073210614347267E-2</v>
      </c>
      <c r="BA372">
        <v>2.2273863607376258E-2</v>
      </c>
      <c r="BB372">
        <v>2</v>
      </c>
      <c r="BC372" t="s">
        <v>86</v>
      </c>
      <c r="BE372">
        <v>8.9769243204053883E-2</v>
      </c>
      <c r="BF372">
        <v>8197</v>
      </c>
      <c r="BG372">
        <v>131314.36486155741</v>
      </c>
      <c r="BH372">
        <v>6.2453302911968001</v>
      </c>
      <c r="BI372">
        <v>204.44720720366689</v>
      </c>
      <c r="BJ372">
        <v>6.8980755074975184E-2</v>
      </c>
      <c r="BK372">
        <v>6.2453302911968009</v>
      </c>
    </row>
    <row r="373" spans="1:63" x14ac:dyDescent="0.2">
      <c r="A373">
        <v>371</v>
      </c>
      <c r="B373" t="s">
        <v>69</v>
      </c>
      <c r="C373" t="s">
        <v>91</v>
      </c>
      <c r="D373" t="s">
        <v>92</v>
      </c>
      <c r="E373">
        <v>-155.28360000000001</v>
      </c>
      <c r="F373">
        <v>19.4285</v>
      </c>
      <c r="G373" t="s">
        <v>134</v>
      </c>
      <c r="H373" t="s">
        <v>832</v>
      </c>
      <c r="I373" t="s">
        <v>833</v>
      </c>
      <c r="J373" t="s">
        <v>68</v>
      </c>
      <c r="K373">
        <v>14.47530339609375</v>
      </c>
      <c r="L373">
        <v>11.379467554687499</v>
      </c>
      <c r="M373">
        <v>517.48705425064077</v>
      </c>
      <c r="N373">
        <v>8919.6728384298858</v>
      </c>
      <c r="O373" t="s">
        <v>834</v>
      </c>
      <c r="Q373">
        <v>12.000999999999999</v>
      </c>
      <c r="R373">
        <v>1325.0039999999999</v>
      </c>
      <c r="S373">
        <v>50</v>
      </c>
      <c r="T373">
        <v>103.0625470117353</v>
      </c>
      <c r="U373">
        <v>5.2101963351882264E-3</v>
      </c>
      <c r="V373">
        <v>0.12374244082096909</v>
      </c>
      <c r="W373">
        <v>4.3548393705528567E-3</v>
      </c>
      <c r="X373">
        <v>0</v>
      </c>
      <c r="Y373">
        <v>8.3743017894984173E-2</v>
      </c>
      <c r="Z373">
        <v>0.39203794221569499</v>
      </c>
      <c r="AA373">
        <v>2.6466445796207841E-2</v>
      </c>
      <c r="AB373">
        <v>1.6795611312406531</v>
      </c>
      <c r="AC373">
        <v>0.1086540968282866</v>
      </c>
      <c r="AD373">
        <v>1144.149502407525</v>
      </c>
      <c r="AE373">
        <v>50</v>
      </c>
      <c r="AF373">
        <v>76.47269708323411</v>
      </c>
      <c r="AG373">
        <v>2.5157387096774189</v>
      </c>
      <c r="AH373">
        <v>13.241580645161291</v>
      </c>
      <c r="AJ373">
        <v>11.11674838709677</v>
      </c>
      <c r="AK373">
        <v>0.71593870967741935</v>
      </c>
      <c r="AL373">
        <v>3.0286258064516129</v>
      </c>
      <c r="AM373">
        <v>48.480519354838712</v>
      </c>
      <c r="AN373">
        <v>6.4584548387096774</v>
      </c>
      <c r="AP373">
        <v>1.553225806451613E-2</v>
      </c>
      <c r="AQ373">
        <v>96.565938709677425</v>
      </c>
      <c r="AR373">
        <v>0.13894562408227509</v>
      </c>
      <c r="AS373">
        <v>0.1729350637654776</v>
      </c>
      <c r="AU373">
        <v>0.21495337769071041</v>
      </c>
      <c r="AV373">
        <v>7.7865408140882678E-2</v>
      </c>
      <c r="AW373">
        <v>0.14998665711265111</v>
      </c>
      <c r="AX373">
        <v>0.66558597962965682</v>
      </c>
      <c r="AY373">
        <v>0.26837320636097978</v>
      </c>
      <c r="BA373">
        <v>5.6058533157628621E-3</v>
      </c>
      <c r="BB373">
        <v>31</v>
      </c>
      <c r="BC373" t="s">
        <v>86</v>
      </c>
    </row>
    <row r="374" spans="1:63" x14ac:dyDescent="0.2">
      <c r="A374">
        <v>372</v>
      </c>
      <c r="B374" t="s">
        <v>62</v>
      </c>
      <c r="C374" t="s">
        <v>63</v>
      </c>
      <c r="D374" t="s">
        <v>64</v>
      </c>
      <c r="E374">
        <v>-155.26785000000001</v>
      </c>
      <c r="F374">
        <v>19.407830000000001</v>
      </c>
      <c r="G374" t="s">
        <v>65</v>
      </c>
      <c r="H374" t="s">
        <v>511</v>
      </c>
      <c r="I374" t="s">
        <v>835</v>
      </c>
      <c r="J374" t="s">
        <v>68</v>
      </c>
      <c r="K374">
        <v>4.0012651070312497</v>
      </c>
      <c r="L374">
        <v>3.4723619140625002</v>
      </c>
      <c r="M374">
        <v>43.64878745142174</v>
      </c>
      <c r="N374">
        <v>217.47650488994881</v>
      </c>
      <c r="Q374">
        <v>12.047000000000001</v>
      </c>
      <c r="R374">
        <v>1325.0039999999999</v>
      </c>
      <c r="S374">
        <v>50</v>
      </c>
      <c r="T374">
        <v>103.06305829999999</v>
      </c>
      <c r="U374">
        <v>2.8155129700000001E-3</v>
      </c>
      <c r="V374">
        <v>0.1239450435</v>
      </c>
      <c r="W374">
        <v>3.9937437359999998E-3</v>
      </c>
      <c r="X374">
        <v>0</v>
      </c>
      <c r="Y374">
        <v>7.983396195810144E-2</v>
      </c>
      <c r="Z374">
        <v>0.41070429869703662</v>
      </c>
      <c r="AA374">
        <v>2.5947192910337081E-2</v>
      </c>
      <c r="AB374">
        <v>1.7561127945950901</v>
      </c>
      <c r="AC374">
        <v>0.1061902964962865</v>
      </c>
      <c r="AD374">
        <v>1211.3199222610519</v>
      </c>
      <c r="AE374">
        <v>50</v>
      </c>
      <c r="AF374">
        <v>83.743842360000002</v>
      </c>
      <c r="BE374">
        <v>0.56172113113426181</v>
      </c>
      <c r="BF374">
        <v>10593</v>
      </c>
      <c r="BG374">
        <v>677907.80968383979</v>
      </c>
      <c r="BH374">
        <v>1771.778723727552</v>
      </c>
      <c r="BI374">
        <v>464.52638002977392</v>
      </c>
      <c r="BJ374">
        <v>17.214721300633229</v>
      </c>
      <c r="BK374">
        <v>1771.7787237275511</v>
      </c>
    </row>
    <row r="375" spans="1:63" x14ac:dyDescent="0.2">
      <c r="A375">
        <v>373</v>
      </c>
      <c r="B375" t="s">
        <v>69</v>
      </c>
      <c r="C375" t="s">
        <v>91</v>
      </c>
      <c r="D375" t="s">
        <v>92</v>
      </c>
      <c r="E375">
        <v>-155.272412745889</v>
      </c>
      <c r="F375">
        <v>19.3454197541963</v>
      </c>
      <c r="G375" t="s">
        <v>124</v>
      </c>
      <c r="H375" t="s">
        <v>730</v>
      </c>
      <c r="I375" t="s">
        <v>836</v>
      </c>
      <c r="J375" t="s">
        <v>68</v>
      </c>
      <c r="K375">
        <v>8.7173427921875017</v>
      </c>
      <c r="L375">
        <v>6.4029191398437497</v>
      </c>
      <c r="M375">
        <v>175.35252103495191</v>
      </c>
      <c r="N375">
        <v>1767.5840323269949</v>
      </c>
      <c r="O375" t="s">
        <v>837</v>
      </c>
      <c r="Q375">
        <v>12.057</v>
      </c>
      <c r="R375">
        <v>1325.0039999999999</v>
      </c>
      <c r="S375">
        <v>50</v>
      </c>
      <c r="T375">
        <v>103.0632270416825</v>
      </c>
      <c r="U375">
        <v>7.8563914581263987E-3</v>
      </c>
      <c r="V375">
        <v>0.12401189598448779</v>
      </c>
      <c r="W375">
        <v>4.9393534818960626E-3</v>
      </c>
      <c r="X375">
        <v>0</v>
      </c>
      <c r="Y375">
        <v>7.6990101304445946E-2</v>
      </c>
      <c r="Z375">
        <v>0.42544672984981302</v>
      </c>
      <c r="AA375">
        <v>4.18824001728995E-2</v>
      </c>
      <c r="AB375">
        <v>1.816366962389983</v>
      </c>
      <c r="AC375">
        <v>0.17074987960767041</v>
      </c>
      <c r="AD375">
        <v>1265.5426736382669</v>
      </c>
      <c r="AE375">
        <v>100</v>
      </c>
      <c r="AG375">
        <v>2.4452269230769228</v>
      </c>
      <c r="AH375">
        <v>12.97811153846154</v>
      </c>
      <c r="AJ375">
        <v>10.30404615384615</v>
      </c>
      <c r="AK375">
        <v>0.55342692307692309</v>
      </c>
      <c r="AL375">
        <v>2.900669230769231</v>
      </c>
      <c r="AM375">
        <v>50.451046153846157</v>
      </c>
      <c r="AN375">
        <v>6.0883423076923071</v>
      </c>
      <c r="AP375">
        <v>1.6526923076923071E-2</v>
      </c>
      <c r="AQ375">
        <v>97.170811538461535</v>
      </c>
      <c r="AR375">
        <v>0.14452695958247319</v>
      </c>
      <c r="AS375">
        <v>0.56238533005541524</v>
      </c>
      <c r="AU375">
        <v>0.81302815263963402</v>
      </c>
      <c r="AV375">
        <v>0.1071919159552335</v>
      </c>
      <c r="AW375">
        <v>0.48878923864523122</v>
      </c>
      <c r="AX375">
        <v>0.42567582898799372</v>
      </c>
      <c r="AY375">
        <v>0.85490953915514445</v>
      </c>
      <c r="BA375">
        <v>4.3609684880592933E-3</v>
      </c>
      <c r="BB375">
        <v>26</v>
      </c>
      <c r="BC375" t="s">
        <v>86</v>
      </c>
    </row>
    <row r="376" spans="1:63" x14ac:dyDescent="0.2">
      <c r="A376">
        <v>374</v>
      </c>
      <c r="B376" t="s">
        <v>69</v>
      </c>
      <c r="C376" t="s">
        <v>81</v>
      </c>
      <c r="D376" t="s">
        <v>71</v>
      </c>
      <c r="E376">
        <v>-155.29106999999999</v>
      </c>
      <c r="F376">
        <v>19.383150000000001</v>
      </c>
      <c r="G376" t="s">
        <v>87</v>
      </c>
      <c r="H376" t="s">
        <v>484</v>
      </c>
      <c r="I376" t="s">
        <v>838</v>
      </c>
      <c r="J376" t="s">
        <v>68</v>
      </c>
      <c r="K376">
        <v>20.727007712500001</v>
      </c>
      <c r="L376">
        <v>13.40854732421875</v>
      </c>
      <c r="M376">
        <v>873.10848913449718</v>
      </c>
      <c r="N376">
        <v>19869.36192258466</v>
      </c>
      <c r="O376" t="s">
        <v>839</v>
      </c>
      <c r="Q376">
        <v>12.064</v>
      </c>
      <c r="R376">
        <v>1325.0039999999999</v>
      </c>
      <c r="S376">
        <v>50</v>
      </c>
      <c r="T376">
        <v>103.0632403989559</v>
      </c>
      <c r="U376">
        <v>2.0902541094832239E-3</v>
      </c>
      <c r="V376">
        <v>0.12401718867241129</v>
      </c>
      <c r="W376">
        <v>3.9233142778122114E-3</v>
      </c>
      <c r="X376">
        <v>3.5463833905973821</v>
      </c>
      <c r="Y376">
        <v>7.9309818361280926E-2</v>
      </c>
      <c r="Z376">
        <v>0.41334222982502972</v>
      </c>
      <c r="AA376">
        <v>2.7556306565695011E-2</v>
      </c>
      <c r="AB376">
        <v>1.7669076124272001</v>
      </c>
      <c r="AC376">
        <v>0.1126202833232982</v>
      </c>
      <c r="AD376">
        <v>1220.263090063077</v>
      </c>
      <c r="AE376">
        <v>50</v>
      </c>
      <c r="AF376">
        <v>84.323254906122187</v>
      </c>
      <c r="AG376">
        <v>2.2102200000000001</v>
      </c>
      <c r="AH376">
        <v>12.516225</v>
      </c>
      <c r="AI376">
        <v>0.22873499999999999</v>
      </c>
      <c r="AJ376">
        <v>10.535360000000001</v>
      </c>
      <c r="AK376">
        <v>0.37534499999999998</v>
      </c>
      <c r="AL376">
        <v>2.4377900000000001</v>
      </c>
      <c r="AM376">
        <v>50.224780000000003</v>
      </c>
      <c r="AN376">
        <v>8.9844449999999991</v>
      </c>
      <c r="AP376">
        <v>0.178455</v>
      </c>
      <c r="AQ376">
        <v>99.610560000000007</v>
      </c>
      <c r="AR376">
        <v>1.7587090435884831E-2</v>
      </c>
      <c r="AS376">
        <v>0.12699126938494701</v>
      </c>
      <c r="AT376">
        <v>8.073250584491971E-3</v>
      </c>
      <c r="AU376">
        <v>6.9056800896073786E-2</v>
      </c>
      <c r="AV376">
        <v>2.248073063759274E-2</v>
      </c>
      <c r="AW376">
        <v>2.1205111412109991E-2</v>
      </c>
      <c r="AX376">
        <v>0.5052093298821787</v>
      </c>
      <c r="AY376">
        <v>0.13192220766421431</v>
      </c>
      <c r="BA376">
        <v>1.2962040734390541E-2</v>
      </c>
      <c r="BB376">
        <v>5</v>
      </c>
      <c r="BC376" t="s">
        <v>86</v>
      </c>
    </row>
    <row r="377" spans="1:63" x14ac:dyDescent="0.2">
      <c r="A377">
        <v>375</v>
      </c>
      <c r="B377" t="s">
        <v>69</v>
      </c>
      <c r="C377" t="s">
        <v>278</v>
      </c>
      <c r="D377" t="s">
        <v>144</v>
      </c>
      <c r="E377">
        <v>-154.873789449106</v>
      </c>
      <c r="F377">
        <v>19.5537282409346</v>
      </c>
      <c r="G377" t="s">
        <v>279</v>
      </c>
      <c r="H377" t="s">
        <v>840</v>
      </c>
      <c r="I377" t="s">
        <v>841</v>
      </c>
      <c r="J377" t="s">
        <v>68</v>
      </c>
      <c r="K377">
        <v>19.149189704687501</v>
      </c>
      <c r="L377">
        <v>14.02316991171875</v>
      </c>
      <c r="M377">
        <v>843.61922942449485</v>
      </c>
      <c r="N377">
        <v>18656.560305189909</v>
      </c>
      <c r="Q377">
        <v>11.972</v>
      </c>
      <c r="R377">
        <v>1325.0039999999999</v>
      </c>
      <c r="S377">
        <v>50</v>
      </c>
      <c r="T377">
        <v>103.0637465436334</v>
      </c>
      <c r="U377">
        <v>2.6480611588549129E-3</v>
      </c>
      <c r="V377">
        <v>0.1242177435118208</v>
      </c>
      <c r="W377">
        <v>3.9762088275220259E-3</v>
      </c>
      <c r="X377">
        <v>0</v>
      </c>
      <c r="Y377">
        <v>7.5834200123868101E-2</v>
      </c>
      <c r="Z377">
        <v>0.43177035527691038</v>
      </c>
      <c r="AA377">
        <v>2.5295832695585201E-2</v>
      </c>
      <c r="AB377">
        <v>1.8421572533524599</v>
      </c>
      <c r="AC377">
        <v>0.10300075959116239</v>
      </c>
      <c r="AD377">
        <v>1286.48924894691</v>
      </c>
      <c r="AE377">
        <v>50</v>
      </c>
      <c r="AF377">
        <v>87.710090018235505</v>
      </c>
    </row>
    <row r="378" spans="1:63" x14ac:dyDescent="0.2">
      <c r="A378">
        <v>376</v>
      </c>
      <c r="B378" t="s">
        <v>69</v>
      </c>
      <c r="C378" t="s">
        <v>70</v>
      </c>
      <c r="D378" t="s">
        <v>71</v>
      </c>
      <c r="E378">
        <v>-155.29347999999999</v>
      </c>
      <c r="F378">
        <v>19.377479999999998</v>
      </c>
      <c r="G378" t="s">
        <v>112</v>
      </c>
      <c r="H378" t="s">
        <v>842</v>
      </c>
      <c r="I378" t="s">
        <v>843</v>
      </c>
      <c r="J378" t="s">
        <v>68</v>
      </c>
      <c r="K378">
        <v>22.234557511718751</v>
      </c>
      <c r="L378">
        <v>17.975762133854161</v>
      </c>
      <c r="M378">
        <v>1255.6415440750129</v>
      </c>
      <c r="N378">
        <v>33659.831898344673</v>
      </c>
      <c r="Q378">
        <v>9.0295000000000005</v>
      </c>
      <c r="R378">
        <v>1324.9639999999999</v>
      </c>
      <c r="S378">
        <v>35</v>
      </c>
      <c r="T378">
        <v>103.0638514339969</v>
      </c>
      <c r="U378">
        <v>1.197583887597733E-2</v>
      </c>
      <c r="V378">
        <v>0.1242593052844434</v>
      </c>
      <c r="W378">
        <v>6.6751429530312583E-3</v>
      </c>
      <c r="X378">
        <v>0.25749141191880198</v>
      </c>
      <c r="Y378">
        <v>7.4698541988121758E-2</v>
      </c>
      <c r="Z378">
        <v>0.43818729266616108</v>
      </c>
      <c r="AA378">
        <v>2.3732053308043548E-2</v>
      </c>
      <c r="AB378">
        <v>1.8682944089618669</v>
      </c>
      <c r="AC378">
        <v>9.655051833588979E-2</v>
      </c>
      <c r="AD378">
        <v>1309.9508575669579</v>
      </c>
      <c r="AE378">
        <v>50</v>
      </c>
      <c r="AF378">
        <v>88.666209947272819</v>
      </c>
      <c r="AG378">
        <v>2.1280100000000002</v>
      </c>
      <c r="AH378">
        <v>12.511455</v>
      </c>
      <c r="AI378">
        <v>0.21128</v>
      </c>
      <c r="AJ378">
        <v>10.547185000000001</v>
      </c>
      <c r="AK378">
        <v>0.43435000000000001</v>
      </c>
      <c r="AL378">
        <v>2.4173399999999998</v>
      </c>
      <c r="AM378">
        <v>50.003889999999998</v>
      </c>
      <c r="AN378">
        <v>8.5805450000000008</v>
      </c>
      <c r="AO378">
        <v>11.0444</v>
      </c>
      <c r="AP378">
        <v>0.37786999999999998</v>
      </c>
      <c r="AQ378">
        <v>98.290260000000004</v>
      </c>
      <c r="AR378">
        <v>4.7093422517846893E-2</v>
      </c>
      <c r="AS378">
        <v>0.17423154844121161</v>
      </c>
      <c r="AT378">
        <v>2.1925114974993089E-2</v>
      </c>
      <c r="AU378">
        <v>0.1853741817244248</v>
      </c>
      <c r="AV378">
        <v>1.0520403456564249E-2</v>
      </c>
      <c r="AW378">
        <v>3.5166562401109248E-2</v>
      </c>
      <c r="AX378">
        <v>0.46106226248619608</v>
      </c>
      <c r="AY378">
        <v>0.4051107053427907</v>
      </c>
      <c r="AZ378">
        <v>0.14841023100402101</v>
      </c>
      <c r="BA378">
        <v>1.7068639208924791E-2</v>
      </c>
    </row>
    <row r="379" spans="1:63" x14ac:dyDescent="0.2">
      <c r="A379">
        <v>377</v>
      </c>
      <c r="B379" t="s">
        <v>69</v>
      </c>
      <c r="C379" t="s">
        <v>143</v>
      </c>
      <c r="D379" t="s">
        <v>144</v>
      </c>
      <c r="E379">
        <v>-155.22516669999999</v>
      </c>
      <c r="F379">
        <v>19.371883329999999</v>
      </c>
      <c r="G379" t="s">
        <v>145</v>
      </c>
      <c r="H379" t="s">
        <v>844</v>
      </c>
      <c r="I379" t="s">
        <v>845</v>
      </c>
      <c r="J379" t="s">
        <v>68</v>
      </c>
      <c r="K379">
        <v>6.369386875</v>
      </c>
      <c r="L379">
        <v>5.3328505218749997</v>
      </c>
      <c r="M379">
        <v>106.7104403435184</v>
      </c>
      <c r="N379">
        <v>832.50060374994632</v>
      </c>
      <c r="O379" t="s">
        <v>846</v>
      </c>
      <c r="Q379">
        <v>9.984</v>
      </c>
      <c r="R379">
        <v>1324.9639999999999</v>
      </c>
      <c r="S379">
        <v>50</v>
      </c>
      <c r="T379">
        <v>103.0642298019545</v>
      </c>
      <c r="U379">
        <v>5.1319425905071818E-3</v>
      </c>
      <c r="V379">
        <v>0.1244092298581165</v>
      </c>
      <c r="W379">
        <v>4.3413211955078013E-3</v>
      </c>
      <c r="X379">
        <v>0</v>
      </c>
      <c r="Y379">
        <v>7.7778111681722106E-2</v>
      </c>
      <c r="Z379">
        <v>0.4212584522831585</v>
      </c>
      <c r="AA379">
        <v>2.607988066040241E-2</v>
      </c>
      <c r="AB379">
        <v>1.79926728132459</v>
      </c>
      <c r="AC379">
        <v>0.1064448511731808</v>
      </c>
      <c r="AD379">
        <v>1244.81130226607</v>
      </c>
      <c r="AE379">
        <v>50</v>
      </c>
      <c r="AF379">
        <v>85.732979354888329</v>
      </c>
      <c r="AG379">
        <v>2.1961249999999999</v>
      </c>
      <c r="AH379">
        <v>13.214425</v>
      </c>
      <c r="AI379">
        <v>0.23326250000000001</v>
      </c>
      <c r="AJ379">
        <v>10.8680875</v>
      </c>
      <c r="AK379">
        <v>0.46184999999999998</v>
      </c>
      <c r="AL379">
        <v>2.5506250000000001</v>
      </c>
      <c r="AM379">
        <v>49.975887499999999</v>
      </c>
      <c r="AN379">
        <v>7.4385374999999998</v>
      </c>
      <c r="AP379">
        <v>0.2354</v>
      </c>
      <c r="AQ379">
        <v>98.48666249999998</v>
      </c>
      <c r="AR379">
        <v>5.6378814410075299E-2</v>
      </c>
      <c r="AS379">
        <v>0.24941022862516499</v>
      </c>
      <c r="AT379">
        <v>1.4003870638403601E-2</v>
      </c>
      <c r="AU379">
        <v>0.27584699401505702</v>
      </c>
      <c r="AV379">
        <v>3.1668731762237799E-2</v>
      </c>
      <c r="AW379">
        <v>4.2427543277585897E-2</v>
      </c>
      <c r="AX379">
        <v>0.67605985245919198</v>
      </c>
      <c r="AY379">
        <v>0.10614118545597701</v>
      </c>
      <c r="BA379">
        <v>4.3851209463691802E-2</v>
      </c>
      <c r="BE379">
        <v>0.1205110288316549</v>
      </c>
      <c r="BF379">
        <v>215</v>
      </c>
      <c r="BG379">
        <v>79573.376654841006</v>
      </c>
      <c r="BH379">
        <v>139.1669377747107</v>
      </c>
      <c r="BI379">
        <v>159.15084814810871</v>
      </c>
      <c r="BJ379">
        <v>9.4911063803792342</v>
      </c>
      <c r="BK379">
        <v>139.1669377747107</v>
      </c>
    </row>
    <row r="380" spans="1:63" x14ac:dyDescent="0.2">
      <c r="A380">
        <v>378</v>
      </c>
      <c r="B380" t="s">
        <v>69</v>
      </c>
      <c r="C380" t="s">
        <v>91</v>
      </c>
      <c r="D380" t="s">
        <v>92</v>
      </c>
      <c r="E380">
        <v>-155.28360000000001</v>
      </c>
      <c r="F380">
        <v>19.4285</v>
      </c>
      <c r="G380" t="s">
        <v>212</v>
      </c>
      <c r="H380" t="s">
        <v>847</v>
      </c>
      <c r="I380" t="s">
        <v>848</v>
      </c>
      <c r="J380" t="s">
        <v>68</v>
      </c>
      <c r="K380">
        <v>5.5135295710937502</v>
      </c>
      <c r="L380">
        <v>5.0898142453124997</v>
      </c>
      <c r="M380">
        <v>88.162016233141216</v>
      </c>
      <c r="N380">
        <v>623.20811311172349</v>
      </c>
      <c r="O380" t="s">
        <v>849</v>
      </c>
      <c r="Q380">
        <v>12.005000000000001</v>
      </c>
      <c r="R380">
        <v>1325.0039999999999</v>
      </c>
      <c r="S380">
        <v>50</v>
      </c>
      <c r="T380">
        <v>103.0642552309927</v>
      </c>
      <c r="U380">
        <v>1.357388832370662E-2</v>
      </c>
      <c r="V380">
        <v>0.12441930586384591</v>
      </c>
      <c r="W380">
        <v>6.6061061642505537E-3</v>
      </c>
      <c r="X380">
        <v>0</v>
      </c>
      <c r="Y380">
        <v>7.9049536149483401E-2</v>
      </c>
      <c r="Z380">
        <v>0.41467129928673152</v>
      </c>
      <c r="AA380">
        <v>4.2930303971306941E-2</v>
      </c>
      <c r="AB380">
        <v>1.772344174334284</v>
      </c>
      <c r="AC380">
        <v>0.1753318370779354</v>
      </c>
      <c r="AD380">
        <v>1220.1822987351841</v>
      </c>
      <c r="AE380">
        <v>100</v>
      </c>
      <c r="AG380">
        <v>2.1021777777777779</v>
      </c>
      <c r="AH380">
        <v>12.18196296296296</v>
      </c>
      <c r="AJ380">
        <v>10.35145925925926</v>
      </c>
      <c r="AK380">
        <v>0.4553962962962963</v>
      </c>
      <c r="AL380">
        <v>2.3345296296296301</v>
      </c>
      <c r="AM380">
        <v>49.209007407407412</v>
      </c>
      <c r="AN380">
        <v>9.4706370370370365</v>
      </c>
      <c r="AP380">
        <v>1.7722222222222219E-2</v>
      </c>
      <c r="AQ380">
        <v>97.341288888888897</v>
      </c>
      <c r="AR380">
        <v>3.1603703937420069E-2</v>
      </c>
      <c r="AS380">
        <v>0.1308813941885143</v>
      </c>
      <c r="AU380">
        <v>0.12790190128874709</v>
      </c>
      <c r="AV380">
        <v>3.4622563579722238E-2</v>
      </c>
      <c r="AW380">
        <v>4.9585767303615608E-2</v>
      </c>
      <c r="AX380">
        <v>0.4308268757472053</v>
      </c>
      <c r="AY380">
        <v>0.20483483806030409</v>
      </c>
      <c r="BA380">
        <v>4.922736366426028E-3</v>
      </c>
      <c r="BB380">
        <v>27</v>
      </c>
      <c r="BC380" t="s">
        <v>86</v>
      </c>
    </row>
    <row r="381" spans="1:63" x14ac:dyDescent="0.2">
      <c r="A381">
        <v>379</v>
      </c>
      <c r="B381" t="s">
        <v>69</v>
      </c>
      <c r="C381" t="s">
        <v>169</v>
      </c>
      <c r="D381" t="s">
        <v>64</v>
      </c>
      <c r="E381">
        <v>-155.29196300000001</v>
      </c>
      <c r="F381">
        <v>19.398634000000001</v>
      </c>
      <c r="G381" t="s">
        <v>170</v>
      </c>
      <c r="H381" t="s">
        <v>710</v>
      </c>
      <c r="I381" t="s">
        <v>850</v>
      </c>
      <c r="J381" t="s">
        <v>68</v>
      </c>
      <c r="K381">
        <v>5.8498401718749999</v>
      </c>
      <c r="L381">
        <v>4.9008247734374999</v>
      </c>
      <c r="M381">
        <v>90.066450585897002</v>
      </c>
      <c r="N381">
        <v>645.51615537501561</v>
      </c>
      <c r="Q381">
        <v>10.098000000000001</v>
      </c>
      <c r="R381">
        <v>1324.7670000000001</v>
      </c>
      <c r="S381">
        <v>50</v>
      </c>
      <c r="T381">
        <v>103.0643862523314</v>
      </c>
      <c r="U381">
        <v>1.226759599648E-2</v>
      </c>
      <c r="V381">
        <v>0.12447122177781721</v>
      </c>
      <c r="W381">
        <v>6.1920432770747481E-3</v>
      </c>
      <c r="X381">
        <v>2.8644096269165922</v>
      </c>
      <c r="Y381">
        <v>8.1019832317750451E-2</v>
      </c>
      <c r="Z381">
        <v>0.40487095822197672</v>
      </c>
      <c r="AA381">
        <v>3.1271344622678041E-2</v>
      </c>
      <c r="AB381">
        <v>1.7322212791067799</v>
      </c>
      <c r="AC381">
        <v>0.12798418710812659</v>
      </c>
      <c r="AD381">
        <v>1183.1483196562201</v>
      </c>
      <c r="AE381">
        <v>50</v>
      </c>
      <c r="AF381">
        <v>81.568244122566654</v>
      </c>
      <c r="AG381">
        <v>2.5390516666666669</v>
      </c>
      <c r="AH381">
        <v>13.89052597266207</v>
      </c>
      <c r="AI381">
        <v>0.24399675000000001</v>
      </c>
      <c r="AJ381">
        <v>11.205616666666669</v>
      </c>
      <c r="AK381">
        <v>0.47515841666666669</v>
      </c>
      <c r="AL381">
        <v>2.6323025000000002</v>
      </c>
      <c r="AM381">
        <v>50.778866165683027</v>
      </c>
      <c r="AN381">
        <v>6.7552275000000002</v>
      </c>
      <c r="AP381">
        <v>0.17074191666666669</v>
      </c>
      <c r="AR381">
        <v>5.5209421763999247E-2</v>
      </c>
      <c r="AS381">
        <v>0.23260322971847319</v>
      </c>
      <c r="AT381">
        <v>2.215836573857705E-2</v>
      </c>
      <c r="AU381">
        <v>0.13946342520423419</v>
      </c>
      <c r="AV381">
        <v>1.8188943372071519E-2</v>
      </c>
      <c r="AW381">
        <v>3.4278244127355022E-2</v>
      </c>
      <c r="AX381">
        <v>0.34681065155483992</v>
      </c>
      <c r="AY381">
        <v>0.48865100303376952</v>
      </c>
      <c r="BA381">
        <v>2.081601264087701E-2</v>
      </c>
      <c r="BE381">
        <v>0.27098888342744543</v>
      </c>
      <c r="BF381">
        <v>5812</v>
      </c>
      <c r="BG381">
        <v>52707.050033182248</v>
      </c>
      <c r="BH381">
        <v>120.1304158238607</v>
      </c>
      <c r="BI381">
        <v>129.52673506711119</v>
      </c>
      <c r="BJ381">
        <v>1.5757603833128691</v>
      </c>
      <c r="BK381">
        <v>120.1304158238607</v>
      </c>
    </row>
    <row r="382" spans="1:63" x14ac:dyDescent="0.2">
      <c r="A382">
        <v>380</v>
      </c>
      <c r="B382" t="s">
        <v>69</v>
      </c>
      <c r="C382" t="s">
        <v>70</v>
      </c>
      <c r="D382" t="s">
        <v>71</v>
      </c>
      <c r="E382">
        <v>-155.29347999999999</v>
      </c>
      <c r="F382">
        <v>19.377479999999998</v>
      </c>
      <c r="G382" t="s">
        <v>112</v>
      </c>
      <c r="H382" t="s">
        <v>851</v>
      </c>
      <c r="I382" t="s">
        <v>852</v>
      </c>
      <c r="J382" t="s">
        <v>68</v>
      </c>
      <c r="K382">
        <v>7.1932233140624993</v>
      </c>
      <c r="L382">
        <v>6.7891283109374996</v>
      </c>
      <c r="M382">
        <v>153.42192677044241</v>
      </c>
      <c r="N382">
        <v>1430.1328847262171</v>
      </c>
      <c r="Q382">
        <v>11.92</v>
      </c>
      <c r="R382">
        <v>1324.9639999999999</v>
      </c>
      <c r="S382">
        <v>100</v>
      </c>
      <c r="T382">
        <v>103.06490617317191</v>
      </c>
      <c r="U382">
        <v>1.4148388349800501E-2</v>
      </c>
      <c r="V382">
        <v>0.1246772352860219</v>
      </c>
      <c r="W382">
        <v>6.7930050248353321E-3</v>
      </c>
      <c r="X382">
        <v>0</v>
      </c>
      <c r="Y382">
        <v>7.4208648892514217E-2</v>
      </c>
      <c r="Z382">
        <v>0.44102967300809398</v>
      </c>
      <c r="AA382">
        <v>3.3260991722476693E-2</v>
      </c>
      <c r="AB382">
        <v>1.8798610333030741</v>
      </c>
      <c r="AC382">
        <v>0.1352834314546297</v>
      </c>
      <c r="AD382">
        <v>1314.9962770108609</v>
      </c>
      <c r="AE382">
        <v>50</v>
      </c>
      <c r="AF382">
        <v>88.860456172445865</v>
      </c>
      <c r="AG382">
        <v>2.1280100000000002</v>
      </c>
      <c r="AH382">
        <v>12.511455</v>
      </c>
      <c r="AI382">
        <v>0.21128</v>
      </c>
      <c r="AJ382">
        <v>10.547185000000001</v>
      </c>
      <c r="AK382">
        <v>0.43435000000000001</v>
      </c>
      <c r="AL382">
        <v>2.4173399999999998</v>
      </c>
      <c r="AM382">
        <v>50.003889999999998</v>
      </c>
      <c r="AN382">
        <v>8.5805450000000008</v>
      </c>
      <c r="AO382">
        <v>11.0444</v>
      </c>
      <c r="AP382">
        <v>0.37786999999999998</v>
      </c>
      <c r="AQ382">
        <v>98.290260000000004</v>
      </c>
      <c r="AR382">
        <v>4.7093422517846893E-2</v>
      </c>
      <c r="AS382">
        <v>0.17423154844121161</v>
      </c>
      <c r="AT382">
        <v>2.1925114974993089E-2</v>
      </c>
      <c r="AU382">
        <v>0.1853741817244248</v>
      </c>
      <c r="AV382">
        <v>1.0520403456564249E-2</v>
      </c>
      <c r="AW382">
        <v>3.5166562401109248E-2</v>
      </c>
      <c r="AX382">
        <v>0.46106226248619608</v>
      </c>
      <c r="AY382">
        <v>0.4051107053427907</v>
      </c>
      <c r="AZ382">
        <v>0.14841023100402101</v>
      </c>
      <c r="BA382">
        <v>1.7068639208924791E-2</v>
      </c>
      <c r="BD382" t="s">
        <v>853</v>
      </c>
      <c r="BE382">
        <v>0.4262306990220433</v>
      </c>
      <c r="BF382">
        <v>43228</v>
      </c>
      <c r="BG382">
        <v>4327656.9875857905</v>
      </c>
      <c r="BH382">
        <v>8325.9519019956424</v>
      </c>
      <c r="BI382">
        <v>1173.6847971925511</v>
      </c>
      <c r="BJ382">
        <v>40.045279231030932</v>
      </c>
      <c r="BK382">
        <v>8325.9519019956388</v>
      </c>
    </row>
    <row r="383" spans="1:63" x14ac:dyDescent="0.2">
      <c r="A383">
        <v>381</v>
      </c>
      <c r="B383" t="s">
        <v>69</v>
      </c>
      <c r="C383" t="s">
        <v>143</v>
      </c>
      <c r="D383" t="s">
        <v>144</v>
      </c>
      <c r="E383">
        <v>-155.22516669999999</v>
      </c>
      <c r="F383">
        <v>19.371883329999999</v>
      </c>
      <c r="G383" t="s">
        <v>145</v>
      </c>
      <c r="H383" t="s">
        <v>854</v>
      </c>
      <c r="I383" t="s">
        <v>855</v>
      </c>
      <c r="J383" t="s">
        <v>68</v>
      </c>
      <c r="K383">
        <v>5.8136927390624997</v>
      </c>
      <c r="L383">
        <v>5.8136927390624997</v>
      </c>
      <c r="M383">
        <v>106.1827631854093</v>
      </c>
      <c r="N383">
        <v>823.0852791261425</v>
      </c>
      <c r="Q383">
        <v>19.917000000000002</v>
      </c>
      <c r="R383">
        <v>1324.9639999999999</v>
      </c>
      <c r="S383">
        <v>100</v>
      </c>
      <c r="T383">
        <v>103.0656510716242</v>
      </c>
      <c r="U383">
        <v>2.550198638704369E-2</v>
      </c>
      <c r="V383">
        <v>0.1249723939552965</v>
      </c>
      <c r="W383">
        <v>1.0808765483890769E-2</v>
      </c>
      <c r="X383">
        <v>0</v>
      </c>
      <c r="Y383">
        <v>7.8919534751419662E-2</v>
      </c>
      <c r="Z383">
        <v>0.41534436029687899</v>
      </c>
      <c r="AA383">
        <v>4.5665546971899042E-2</v>
      </c>
      <c r="AB383">
        <v>1.7750967718020809</v>
      </c>
      <c r="AC383">
        <v>0.18661929582477851</v>
      </c>
      <c r="AD383">
        <v>1215.795262820106</v>
      </c>
      <c r="AE383">
        <v>50</v>
      </c>
      <c r="AF383">
        <v>84.038994774377144</v>
      </c>
      <c r="AG383">
        <v>2.1961249999999999</v>
      </c>
      <c r="AH383">
        <v>13.214425</v>
      </c>
      <c r="AI383">
        <v>0.23326250000000001</v>
      </c>
      <c r="AJ383">
        <v>10.8680875</v>
      </c>
      <c r="AK383">
        <v>0.46184999999999998</v>
      </c>
      <c r="AL383">
        <v>2.5506250000000001</v>
      </c>
      <c r="AM383">
        <v>49.975887499999999</v>
      </c>
      <c r="AN383">
        <v>7.4385374999999998</v>
      </c>
      <c r="AP383">
        <v>0.2354</v>
      </c>
      <c r="AQ383">
        <v>98.48666249999998</v>
      </c>
      <c r="AR383">
        <v>5.6378814410075299E-2</v>
      </c>
      <c r="AS383">
        <v>0.24941022862516499</v>
      </c>
      <c r="AT383">
        <v>1.4003870638403601E-2</v>
      </c>
      <c r="AU383">
        <v>0.27584699401505702</v>
      </c>
      <c r="AV383">
        <v>3.1668731762237799E-2</v>
      </c>
      <c r="AW383">
        <v>4.2427543277585897E-2</v>
      </c>
      <c r="AX383">
        <v>0.67605985245919198</v>
      </c>
      <c r="AY383">
        <v>0.10614118545597701</v>
      </c>
      <c r="BA383">
        <v>4.3851209463691802E-2</v>
      </c>
      <c r="BE383">
        <v>0.15754470896476039</v>
      </c>
      <c r="BF383">
        <v>5500</v>
      </c>
      <c r="BG383">
        <v>107554.2302854412</v>
      </c>
      <c r="BH383">
        <v>104.8259915720727</v>
      </c>
      <c r="BI383">
        <v>185.02857833519661</v>
      </c>
      <c r="BJ383">
        <v>1.413473382009288</v>
      </c>
      <c r="BK383">
        <v>104.8259915720727</v>
      </c>
    </row>
    <row r="384" spans="1:63" x14ac:dyDescent="0.2">
      <c r="A384">
        <v>382</v>
      </c>
      <c r="B384" t="s">
        <v>69</v>
      </c>
      <c r="C384" t="s">
        <v>143</v>
      </c>
      <c r="D384" t="s">
        <v>144</v>
      </c>
      <c r="E384">
        <v>-155.22516669999999</v>
      </c>
      <c r="F384">
        <v>19.371883329999999</v>
      </c>
      <c r="G384" t="s">
        <v>145</v>
      </c>
      <c r="H384" t="s">
        <v>351</v>
      </c>
      <c r="I384" t="s">
        <v>856</v>
      </c>
      <c r="J384" t="s">
        <v>68</v>
      </c>
      <c r="K384">
        <v>4.9895661398437499</v>
      </c>
      <c r="L384">
        <v>4.299684829687501</v>
      </c>
      <c r="M384">
        <v>67.398352264250462</v>
      </c>
      <c r="N384">
        <v>417.3868060769982</v>
      </c>
      <c r="O384" t="s">
        <v>857</v>
      </c>
      <c r="Q384">
        <v>9.9670000000000005</v>
      </c>
      <c r="R384">
        <v>1324.9639999999999</v>
      </c>
      <c r="S384">
        <v>50</v>
      </c>
      <c r="T384">
        <v>103.0658383142747</v>
      </c>
      <c r="U384">
        <v>1.0693706892411409E-2</v>
      </c>
      <c r="V384">
        <v>0.12504658700993329</v>
      </c>
      <c r="W384">
        <v>5.7162735408555626E-3</v>
      </c>
      <c r="X384">
        <v>0</v>
      </c>
      <c r="Y384">
        <v>7.9290695486766483E-2</v>
      </c>
      <c r="Z384">
        <v>0.41345652277391881</v>
      </c>
      <c r="AA384">
        <v>3.1373217707214747E-2</v>
      </c>
      <c r="AB384">
        <v>1.767375185757597</v>
      </c>
      <c r="AC384">
        <v>0.12828241820418471</v>
      </c>
      <c r="AD384">
        <v>1207.9009496919491</v>
      </c>
      <c r="AE384">
        <v>50</v>
      </c>
      <c r="AF384">
        <v>83.510731260251632</v>
      </c>
      <c r="AG384">
        <v>2.1961249999999999</v>
      </c>
      <c r="AH384">
        <v>13.214425</v>
      </c>
      <c r="AI384">
        <v>0.23326250000000001</v>
      </c>
      <c r="AJ384">
        <v>10.8680875</v>
      </c>
      <c r="AK384">
        <v>0.46184999999999998</v>
      </c>
      <c r="AL384">
        <v>2.5506250000000001</v>
      </c>
      <c r="AM384">
        <v>49.975887499999999</v>
      </c>
      <c r="AN384">
        <v>7.4385374999999998</v>
      </c>
      <c r="AP384">
        <v>0.2354</v>
      </c>
      <c r="AQ384">
        <v>98.48666249999998</v>
      </c>
      <c r="AR384">
        <v>5.6378814410075299E-2</v>
      </c>
      <c r="AS384">
        <v>0.24941022862516499</v>
      </c>
      <c r="AT384">
        <v>1.4003870638403601E-2</v>
      </c>
      <c r="AU384">
        <v>0.27584699401505702</v>
      </c>
      <c r="AV384">
        <v>3.1668731762237799E-2</v>
      </c>
      <c r="AW384">
        <v>4.2427543277585897E-2</v>
      </c>
      <c r="AX384">
        <v>0.67605985245919198</v>
      </c>
      <c r="AY384">
        <v>0.10614118545597701</v>
      </c>
      <c r="BA384">
        <v>4.3851209463691802E-2</v>
      </c>
      <c r="BE384">
        <v>0.13343455205288229</v>
      </c>
      <c r="BF384">
        <v>15529</v>
      </c>
      <c r="BG384">
        <v>139893.46714348689</v>
      </c>
      <c r="BH384">
        <v>27.81239500953858</v>
      </c>
      <c r="BI384">
        <v>211.02007867570131</v>
      </c>
      <c r="BJ384">
        <v>0.22318584335770891</v>
      </c>
      <c r="BK384">
        <v>27.81239500953858</v>
      </c>
    </row>
    <row r="385" spans="1:63" x14ac:dyDescent="0.2">
      <c r="A385">
        <v>383</v>
      </c>
      <c r="B385" t="s">
        <v>69</v>
      </c>
      <c r="C385" t="s">
        <v>236</v>
      </c>
      <c r="D385" t="s">
        <v>64</v>
      </c>
      <c r="E385">
        <v>-155.292979</v>
      </c>
      <c r="F385">
        <v>19.400748</v>
      </c>
      <c r="G385" t="s">
        <v>237</v>
      </c>
      <c r="H385" t="s">
        <v>858</v>
      </c>
      <c r="I385" t="s">
        <v>859</v>
      </c>
      <c r="J385" t="s">
        <v>68</v>
      </c>
      <c r="O385" t="s">
        <v>296</v>
      </c>
      <c r="Q385">
        <v>10.036</v>
      </c>
      <c r="R385">
        <v>1324.9639999999999</v>
      </c>
      <c r="S385">
        <v>50</v>
      </c>
      <c r="T385">
        <v>103.066039138858</v>
      </c>
      <c r="U385">
        <v>9.8921823081618305E-3</v>
      </c>
      <c r="V385">
        <v>0.12512616177154709</v>
      </c>
      <c r="W385">
        <v>5.4851008595610583E-3</v>
      </c>
      <c r="X385">
        <v>8.8965718799210833</v>
      </c>
      <c r="Y385">
        <v>7.9920103841416346E-2</v>
      </c>
      <c r="Z385">
        <v>0.41029422980774199</v>
      </c>
      <c r="AA385">
        <v>2.9151381705570922E-2</v>
      </c>
      <c r="AB385">
        <v>1.7544342095332759</v>
      </c>
      <c r="AC385">
        <v>0.1191522099983809</v>
      </c>
      <c r="AD385">
        <v>1195.2513976257751</v>
      </c>
      <c r="AE385">
        <v>50</v>
      </c>
      <c r="AF385">
        <v>82.58148344079747</v>
      </c>
      <c r="AG385">
        <v>2.0274999999999999</v>
      </c>
      <c r="AH385">
        <v>12.7525</v>
      </c>
      <c r="AI385">
        <v>0.17249999999999999</v>
      </c>
      <c r="AJ385">
        <v>11.092499999999999</v>
      </c>
      <c r="AK385">
        <v>0.51750000000000007</v>
      </c>
      <c r="AL385">
        <v>2.5150000000000001</v>
      </c>
      <c r="AM385">
        <v>50.63</v>
      </c>
      <c r="AN385">
        <v>7.415</v>
      </c>
      <c r="AP385">
        <v>1685.75</v>
      </c>
      <c r="AR385">
        <v>0.17231270024773751</v>
      </c>
      <c r="AS385">
        <v>0.13450526631573459</v>
      </c>
      <c r="AT385">
        <v>4.9999999999999836E-3</v>
      </c>
      <c r="AU385">
        <v>0.29227555491350982</v>
      </c>
      <c r="AV385">
        <v>2.061552812808835E-2</v>
      </c>
      <c r="AW385">
        <v>6.2449979983983737E-2</v>
      </c>
      <c r="AX385">
        <v>0.21556128285632961</v>
      </c>
      <c r="AY385">
        <v>0.39770173078158311</v>
      </c>
      <c r="BA385">
        <v>51.951098801340748</v>
      </c>
      <c r="BE385">
        <v>5.4789523850181571E-2</v>
      </c>
      <c r="BF385">
        <v>2009</v>
      </c>
      <c r="BG385">
        <v>32640.083300778879</v>
      </c>
      <c r="BH385">
        <v>6.0460662436611337</v>
      </c>
      <c r="BI385">
        <v>101.92968753263381</v>
      </c>
      <c r="BJ385">
        <v>0.13489098712861039</v>
      </c>
      <c r="BK385">
        <v>6.0460662436611328</v>
      </c>
    </row>
    <row r="386" spans="1:63" x14ac:dyDescent="0.2">
      <c r="A386">
        <v>384</v>
      </c>
      <c r="B386" t="s">
        <v>69</v>
      </c>
      <c r="C386" t="s">
        <v>169</v>
      </c>
      <c r="D386" t="s">
        <v>64</v>
      </c>
      <c r="E386">
        <v>-155.29196300000001</v>
      </c>
      <c r="F386">
        <v>19.398634000000001</v>
      </c>
      <c r="G386" t="s">
        <v>170</v>
      </c>
      <c r="H386" t="s">
        <v>860</v>
      </c>
      <c r="I386" t="s">
        <v>861</v>
      </c>
      <c r="J386" t="s">
        <v>68</v>
      </c>
      <c r="K386">
        <v>11.02944185078125</v>
      </c>
      <c r="L386">
        <v>8.9274279523437503</v>
      </c>
      <c r="M386">
        <v>309.33549899408888</v>
      </c>
      <c r="N386">
        <v>4115.5788526064907</v>
      </c>
      <c r="Q386">
        <v>9.8930000000000007</v>
      </c>
      <c r="R386">
        <v>1324.9639999999999</v>
      </c>
      <c r="S386">
        <v>50</v>
      </c>
      <c r="T386">
        <v>103.06626260329691</v>
      </c>
      <c r="U386">
        <v>1.2468883969194751E-2</v>
      </c>
      <c r="V386">
        <v>0.12521470735277521</v>
      </c>
      <c r="W386">
        <v>6.2557163137221938E-3</v>
      </c>
      <c r="X386">
        <v>3.4344391337596871</v>
      </c>
      <c r="Y386">
        <v>8.0469879309631565E-2</v>
      </c>
      <c r="Z386">
        <v>0.40757213385978591</v>
      </c>
      <c r="AA386">
        <v>3.1595685051933588E-2</v>
      </c>
      <c r="AB386">
        <v>1.7432879684023621</v>
      </c>
      <c r="AC386">
        <v>0.12937291458680239</v>
      </c>
      <c r="AD386">
        <v>1184.1407901068401</v>
      </c>
      <c r="AE386">
        <v>50</v>
      </c>
      <c r="AF386">
        <v>81.65694336444669</v>
      </c>
      <c r="AG386">
        <v>2.5390516666666669</v>
      </c>
      <c r="AH386">
        <v>13.89052597266207</v>
      </c>
      <c r="AI386">
        <v>0.24399675000000001</v>
      </c>
      <c r="AJ386">
        <v>11.205616666666669</v>
      </c>
      <c r="AK386">
        <v>0.47515841666666669</v>
      </c>
      <c r="AL386">
        <v>2.6323025000000002</v>
      </c>
      <c r="AM386">
        <v>50.778866165683027</v>
      </c>
      <c r="AN386">
        <v>6.7552275000000002</v>
      </c>
      <c r="AP386">
        <v>0.17074191666666669</v>
      </c>
      <c r="AR386">
        <v>5.5209421763999247E-2</v>
      </c>
      <c r="AS386">
        <v>0.23260322971847319</v>
      </c>
      <c r="AT386">
        <v>2.215836573857705E-2</v>
      </c>
      <c r="AU386">
        <v>0.13946342520423419</v>
      </c>
      <c r="AV386">
        <v>1.8188943372071519E-2</v>
      </c>
      <c r="AW386">
        <v>3.4278244127355022E-2</v>
      </c>
      <c r="AX386">
        <v>0.34681065155483992</v>
      </c>
      <c r="AY386">
        <v>0.48865100303376952</v>
      </c>
      <c r="BA386">
        <v>2.081601264087701E-2</v>
      </c>
      <c r="BE386">
        <v>0.1603881476629779</v>
      </c>
      <c r="BF386">
        <v>4464</v>
      </c>
      <c r="BG386">
        <v>40340.636291454779</v>
      </c>
      <c r="BH386">
        <v>96.908711716879779</v>
      </c>
      <c r="BI386">
        <v>113.3173567751854</v>
      </c>
      <c r="BJ386">
        <v>1.450443203077987</v>
      </c>
      <c r="BK386">
        <v>96.90871171687975</v>
      </c>
    </row>
    <row r="387" spans="1:63" x14ac:dyDescent="0.2">
      <c r="A387">
        <v>385</v>
      </c>
      <c r="B387" t="s">
        <v>69</v>
      </c>
      <c r="C387" t="s">
        <v>297</v>
      </c>
      <c r="D387" t="s">
        <v>64</v>
      </c>
      <c r="E387">
        <v>-155.27754999999999</v>
      </c>
      <c r="F387">
        <v>19.401</v>
      </c>
      <c r="G387" t="s">
        <v>298</v>
      </c>
      <c r="H387" t="s">
        <v>655</v>
      </c>
      <c r="I387" t="s">
        <v>862</v>
      </c>
      <c r="J387" t="s">
        <v>68</v>
      </c>
      <c r="K387">
        <v>3.9125237406250002</v>
      </c>
      <c r="L387">
        <v>3.568716325</v>
      </c>
      <c r="M387">
        <v>43.865075987795457</v>
      </c>
      <c r="N387">
        <v>218.77677597438699</v>
      </c>
      <c r="Q387">
        <v>10.012</v>
      </c>
      <c r="R387">
        <v>1324.9639999999999</v>
      </c>
      <c r="S387">
        <v>50</v>
      </c>
      <c r="T387">
        <v>103.06644081679801</v>
      </c>
      <c r="U387">
        <v>3.1205082747763471E-2</v>
      </c>
      <c r="V387">
        <v>0.12528532269595161</v>
      </c>
      <c r="W387">
        <v>1.2946456985351179E-2</v>
      </c>
      <c r="X387">
        <v>0</v>
      </c>
      <c r="Y387">
        <v>8.0281142425971619E-2</v>
      </c>
      <c r="Z387">
        <v>0.40850423331219549</v>
      </c>
      <c r="AA387">
        <v>5.2066485919552111E-2</v>
      </c>
      <c r="AB387">
        <v>1.7471053572671289</v>
      </c>
      <c r="AC387">
        <v>0.21320475334324901</v>
      </c>
      <c r="AD387">
        <v>1186.7216228541149</v>
      </c>
      <c r="AE387">
        <v>50</v>
      </c>
      <c r="AF387">
        <v>81.882517007149985</v>
      </c>
      <c r="AG387">
        <v>2.321825</v>
      </c>
      <c r="AH387">
        <v>13.7706416666667</v>
      </c>
      <c r="AI387">
        <v>0.268625</v>
      </c>
      <c r="AJ387">
        <v>10.802308333333301</v>
      </c>
      <c r="AK387">
        <v>0.55051666666666699</v>
      </c>
      <c r="AL387">
        <v>2.808325</v>
      </c>
      <c r="AM387">
        <v>50.309224999999998</v>
      </c>
      <c r="AN387">
        <v>6.0358333333333301</v>
      </c>
      <c r="AP387">
        <v>0.19646666666666701</v>
      </c>
      <c r="AQ387">
        <v>98.455249999999964</v>
      </c>
      <c r="AR387">
        <v>0.116299942351272</v>
      </c>
      <c r="AS387">
        <v>0.28611493068451699</v>
      </c>
      <c r="AT387">
        <v>2.3686019082994898E-2</v>
      </c>
      <c r="AU387">
        <v>0.25896941012171298</v>
      </c>
      <c r="AV387">
        <v>2.1496673456536702E-2</v>
      </c>
      <c r="AW387">
        <v>4.2624494131895597E-2</v>
      </c>
      <c r="AX387">
        <v>0.80521115370159502</v>
      </c>
      <c r="AY387">
        <v>0.14527452591142001</v>
      </c>
      <c r="BA387">
        <v>2.9538244341664601E-2</v>
      </c>
      <c r="BE387">
        <v>0.29176291793463383</v>
      </c>
      <c r="BF387">
        <v>6155</v>
      </c>
      <c r="BG387">
        <v>405787.7797902606</v>
      </c>
      <c r="BH387">
        <v>864.72899806957309</v>
      </c>
      <c r="BI387">
        <v>359.39708123440698</v>
      </c>
      <c r="BJ387">
        <v>11.022141810453601</v>
      </c>
      <c r="BK387">
        <v>864.72899806957275</v>
      </c>
    </row>
    <row r="388" spans="1:63" x14ac:dyDescent="0.2">
      <c r="A388">
        <v>386</v>
      </c>
      <c r="B388" t="s">
        <v>69</v>
      </c>
      <c r="C388" t="s">
        <v>91</v>
      </c>
      <c r="D388" t="s">
        <v>92</v>
      </c>
      <c r="E388">
        <v>-155.28360000000001</v>
      </c>
      <c r="F388">
        <v>19.4285</v>
      </c>
      <c r="G388" t="s">
        <v>93</v>
      </c>
      <c r="H388" t="s">
        <v>863</v>
      </c>
      <c r="I388" t="s">
        <v>864</v>
      </c>
      <c r="J388" t="s">
        <v>68</v>
      </c>
      <c r="K388">
        <v>6.565175783593749</v>
      </c>
      <c r="L388">
        <v>6.2152663093749991</v>
      </c>
      <c r="M388">
        <v>128.19053894962789</v>
      </c>
      <c r="N388">
        <v>1092.221173274783</v>
      </c>
      <c r="Q388">
        <v>12.015000000000001</v>
      </c>
      <c r="R388">
        <v>1325.0039999999999</v>
      </c>
      <c r="S388">
        <v>50</v>
      </c>
      <c r="T388">
        <v>103.0665614198027</v>
      </c>
      <c r="U388">
        <v>2.0269984053064901E-3</v>
      </c>
      <c r="V388">
        <v>0.1253331104477837</v>
      </c>
      <c r="W388">
        <v>3.9205334773133168E-3</v>
      </c>
      <c r="X388">
        <v>0</v>
      </c>
      <c r="Y388">
        <v>7.8957111616230424E-2</v>
      </c>
      <c r="Z388">
        <v>0.41515841066919668</v>
      </c>
      <c r="AA388">
        <v>2.6328808335422602E-2</v>
      </c>
      <c r="AB388">
        <v>1.7743363368224281</v>
      </c>
      <c r="AC388">
        <v>0.1075876493586304</v>
      </c>
      <c r="AD388">
        <v>1210.652184754251</v>
      </c>
      <c r="AE388">
        <v>50</v>
      </c>
      <c r="AF388">
        <v>83.698852508178817</v>
      </c>
      <c r="AG388">
        <v>2.1005484848484852</v>
      </c>
      <c r="AH388">
        <v>12.543751515151509</v>
      </c>
      <c r="AJ388">
        <v>10.35766363636364</v>
      </c>
      <c r="AK388">
        <v>0.36914545454545461</v>
      </c>
      <c r="AL388">
        <v>2.199157575757575</v>
      </c>
      <c r="AM388">
        <v>49.88770303030303</v>
      </c>
      <c r="AN388">
        <v>8.5799181818181811</v>
      </c>
      <c r="AP388">
        <v>1.6854545454545459E-2</v>
      </c>
      <c r="AQ388">
        <v>97.165912121212131</v>
      </c>
      <c r="AR388">
        <v>0.12875285220435931</v>
      </c>
      <c r="AS388">
        <v>0.27438160598108169</v>
      </c>
      <c r="AU388">
        <v>0.23223845883350949</v>
      </c>
      <c r="AV388">
        <v>3.2777460728649822E-2</v>
      </c>
      <c r="AW388">
        <v>6.9021124620940399E-2</v>
      </c>
      <c r="AX388">
        <v>0.52796007335122563</v>
      </c>
      <c r="AY388">
        <v>0.70241800520351916</v>
      </c>
      <c r="BA388">
        <v>4.4618585609790254E-3</v>
      </c>
      <c r="BB388">
        <v>33</v>
      </c>
      <c r="BC388" t="s">
        <v>86</v>
      </c>
    </row>
    <row r="389" spans="1:63" x14ac:dyDescent="0.2">
      <c r="A389">
        <v>387</v>
      </c>
      <c r="B389" t="s">
        <v>62</v>
      </c>
      <c r="C389" t="s">
        <v>63</v>
      </c>
      <c r="D389" t="s">
        <v>64</v>
      </c>
      <c r="E389">
        <v>-155.26785000000001</v>
      </c>
      <c r="F389">
        <v>19.407830000000001</v>
      </c>
      <c r="G389" t="s">
        <v>65</v>
      </c>
      <c r="H389" t="s">
        <v>523</v>
      </c>
      <c r="I389" t="s">
        <v>865</v>
      </c>
      <c r="J389" t="s">
        <v>68</v>
      </c>
      <c r="K389">
        <v>3.008485579687501</v>
      </c>
      <c r="L389">
        <v>2.2523684906249999</v>
      </c>
      <c r="M389">
        <v>21.288117078070449</v>
      </c>
      <c r="N389">
        <v>74.662451586303973</v>
      </c>
      <c r="Q389">
        <v>16.018000000000001</v>
      </c>
      <c r="R389">
        <v>1325.0039999999999</v>
      </c>
      <c r="S389">
        <v>100</v>
      </c>
      <c r="T389">
        <v>103.06684869999999</v>
      </c>
      <c r="U389">
        <v>1.1266929429999999E-2</v>
      </c>
      <c r="V389">
        <v>0.1254469389</v>
      </c>
      <c r="W389">
        <v>5.9323142999999998E-3</v>
      </c>
      <c r="X389">
        <v>0</v>
      </c>
      <c r="Y389">
        <v>7.5422947722391442E-2</v>
      </c>
      <c r="Z389">
        <v>0.43409022332087532</v>
      </c>
      <c r="AA389">
        <v>3.4425652142337837E-2</v>
      </c>
      <c r="AB389">
        <v>1.851610338584043</v>
      </c>
      <c r="AC389">
        <v>0.14010951717010581</v>
      </c>
      <c r="AD389">
        <v>1279.0437891989629</v>
      </c>
      <c r="AE389">
        <v>50</v>
      </c>
      <c r="AF389">
        <v>87.38612474</v>
      </c>
      <c r="BE389">
        <v>0.19474585457106791</v>
      </c>
      <c r="BF389">
        <v>4470</v>
      </c>
      <c r="BG389">
        <v>285654.49188394629</v>
      </c>
      <c r="BH389">
        <v>325.29545802921888</v>
      </c>
      <c r="BI389">
        <v>301.54045963927882</v>
      </c>
      <c r="BJ389">
        <v>4.865463712709774</v>
      </c>
      <c r="BK389">
        <v>325.29545802921882</v>
      </c>
    </row>
    <row r="390" spans="1:63" x14ac:dyDescent="0.2">
      <c r="A390">
        <v>388</v>
      </c>
      <c r="B390" t="s">
        <v>69</v>
      </c>
      <c r="C390" t="s">
        <v>278</v>
      </c>
      <c r="D390" t="s">
        <v>144</v>
      </c>
      <c r="E390">
        <v>-154.873789449106</v>
      </c>
      <c r="F390">
        <v>19.5537282409346</v>
      </c>
      <c r="G390" t="s">
        <v>279</v>
      </c>
      <c r="H390" t="s">
        <v>788</v>
      </c>
      <c r="I390" t="s">
        <v>866</v>
      </c>
      <c r="J390" t="s">
        <v>68</v>
      </c>
      <c r="K390">
        <v>13.10146848984375</v>
      </c>
      <c r="L390">
        <v>10.756069625781249</v>
      </c>
      <c r="M390">
        <v>442.71420208221792</v>
      </c>
      <c r="N390">
        <v>7041.3806336700136</v>
      </c>
      <c r="O390" t="s">
        <v>790</v>
      </c>
      <c r="Q390">
        <v>11.975</v>
      </c>
      <c r="R390">
        <v>1325.0039999999999</v>
      </c>
      <c r="S390">
        <v>50</v>
      </c>
      <c r="T390">
        <v>103.0672974739584</v>
      </c>
      <c r="U390">
        <v>1.0089089785091871E-2</v>
      </c>
      <c r="V390">
        <v>0.12562476465169681</v>
      </c>
      <c r="W390">
        <v>5.5417896200629377E-3</v>
      </c>
      <c r="X390">
        <v>0</v>
      </c>
      <c r="Y390">
        <v>7.8897078357950567E-2</v>
      </c>
      <c r="Z390">
        <v>0.41547028554951632</v>
      </c>
      <c r="AA390">
        <v>2.8174265588854521E-2</v>
      </c>
      <c r="AB390">
        <v>1.775611722723264</v>
      </c>
      <c r="AC390">
        <v>0.1150791316566373</v>
      </c>
      <c r="AD390">
        <v>1208.215957294598</v>
      </c>
      <c r="AE390">
        <v>50</v>
      </c>
      <c r="AF390">
        <v>83.532500051357644</v>
      </c>
    </row>
    <row r="391" spans="1:63" x14ac:dyDescent="0.2">
      <c r="A391">
        <v>389</v>
      </c>
      <c r="B391" t="s">
        <v>69</v>
      </c>
      <c r="C391" t="s">
        <v>70</v>
      </c>
      <c r="D391" t="s">
        <v>71</v>
      </c>
      <c r="E391">
        <v>-155.29521700000001</v>
      </c>
      <c r="F391">
        <v>19.380050000000001</v>
      </c>
      <c r="G391" t="s">
        <v>72</v>
      </c>
      <c r="H391" t="s">
        <v>867</v>
      </c>
      <c r="I391" t="s">
        <v>868</v>
      </c>
      <c r="J391" t="s">
        <v>68</v>
      </c>
      <c r="K391">
        <v>14.989561648437499</v>
      </c>
      <c r="L391">
        <v>12.93526003671875</v>
      </c>
      <c r="M391">
        <v>609.13558194360371</v>
      </c>
      <c r="N391">
        <v>11340.00167190601</v>
      </c>
      <c r="O391" t="s">
        <v>869</v>
      </c>
      <c r="Q391">
        <v>9.9559999999999995</v>
      </c>
      <c r="R391">
        <v>1324.9639999999999</v>
      </c>
      <c r="S391">
        <v>50</v>
      </c>
      <c r="T391">
        <v>103.0678266909236</v>
      </c>
      <c r="U391">
        <v>2.1071929419624919E-3</v>
      </c>
      <c r="V391">
        <v>0.12583446165767501</v>
      </c>
      <c r="W391">
        <v>3.9281144984625073E-3</v>
      </c>
      <c r="X391">
        <v>0</v>
      </c>
      <c r="Y391">
        <v>8.0286182848811949E-2</v>
      </c>
      <c r="Z391">
        <v>0.40848861545299259</v>
      </c>
      <c r="AA391">
        <v>3.6245339005292102E-2</v>
      </c>
      <c r="AB391">
        <v>1.747041400703603</v>
      </c>
      <c r="AC391">
        <v>0.14838027939069051</v>
      </c>
      <c r="AD391">
        <v>1180.0581100576769</v>
      </c>
      <c r="AE391">
        <v>100</v>
      </c>
      <c r="AG391">
        <v>2.2279499999999999</v>
      </c>
      <c r="AH391">
        <v>13.352833333333299</v>
      </c>
      <c r="AI391">
        <v>0.24784999999999999</v>
      </c>
      <c r="AJ391">
        <v>10.769925000000001</v>
      </c>
      <c r="AK391">
        <v>0.458658333333333</v>
      </c>
      <c r="AL391">
        <v>2.5651666666666699</v>
      </c>
      <c r="AM391">
        <v>49.994483333333299</v>
      </c>
      <c r="AN391">
        <v>7.5202</v>
      </c>
      <c r="AP391">
        <v>0.191325</v>
      </c>
      <c r="AQ391">
        <v>98.558233333333263</v>
      </c>
      <c r="AR391">
        <v>0.14304287024271001</v>
      </c>
      <c r="AS391">
        <v>0.3104741808423</v>
      </c>
      <c r="AT391">
        <v>3.4962174365500198E-2</v>
      </c>
      <c r="AU391">
        <v>0.26587969639396197</v>
      </c>
      <c r="AV391">
        <v>3.3980675212226003E-2</v>
      </c>
      <c r="AW391">
        <v>6.29080618237777E-2</v>
      </c>
      <c r="AX391">
        <v>0.87125962713693395</v>
      </c>
      <c r="AY391">
        <v>0.51836887532826603</v>
      </c>
      <c r="BA391">
        <v>4.33659507196393E-2</v>
      </c>
      <c r="BE391">
        <v>0.1774858677258131</v>
      </c>
      <c r="BF391">
        <v>392</v>
      </c>
      <c r="BG391">
        <v>164278.82322369699</v>
      </c>
      <c r="BH391">
        <v>25.55567749192733</v>
      </c>
      <c r="BI391">
        <v>228.67350857224821</v>
      </c>
      <c r="BJ391">
        <v>1.290756632311302</v>
      </c>
      <c r="BK391">
        <v>25.55567749192733</v>
      </c>
    </row>
    <row r="392" spans="1:63" x14ac:dyDescent="0.2">
      <c r="A392">
        <v>390</v>
      </c>
      <c r="B392" t="s">
        <v>69</v>
      </c>
      <c r="C392" t="s">
        <v>76</v>
      </c>
      <c r="D392" t="s">
        <v>71</v>
      </c>
      <c r="E392">
        <v>-155.29812000000001</v>
      </c>
      <c r="F392">
        <v>19.375624999999999</v>
      </c>
      <c r="G392" t="s">
        <v>77</v>
      </c>
      <c r="H392" t="s">
        <v>382</v>
      </c>
      <c r="I392" t="s">
        <v>870</v>
      </c>
      <c r="J392" t="s">
        <v>68</v>
      </c>
      <c r="K392">
        <v>6.4867788593749998</v>
      </c>
      <c r="L392">
        <v>4.3526855671875007</v>
      </c>
      <c r="M392">
        <v>88.702581805567462</v>
      </c>
      <c r="N392">
        <v>640.99232001713233</v>
      </c>
      <c r="O392" t="s">
        <v>871</v>
      </c>
      <c r="Q392">
        <v>11.888999999999999</v>
      </c>
      <c r="R392">
        <v>1324.9639999999999</v>
      </c>
      <c r="S392">
        <v>50</v>
      </c>
      <c r="T392">
        <v>103.0681983889086</v>
      </c>
      <c r="U392">
        <v>4.8426874492233313E-3</v>
      </c>
      <c r="V392">
        <v>0.12598174332043041</v>
      </c>
      <c r="W392">
        <v>4.2915256305456964E-3</v>
      </c>
      <c r="X392">
        <v>2.4534858308440581</v>
      </c>
      <c r="Y392">
        <v>7.712663518098084E-2</v>
      </c>
      <c r="Z392">
        <v>0.42474691534065878</v>
      </c>
      <c r="AA392">
        <v>2.8740990036587151E-2</v>
      </c>
      <c r="AB392">
        <v>1.8135108065151371</v>
      </c>
      <c r="AC392">
        <v>0.1172281843699178</v>
      </c>
      <c r="AD392">
        <v>1237.8484798710019</v>
      </c>
      <c r="AE392">
        <v>50</v>
      </c>
      <c r="AF392">
        <v>85.356159211371093</v>
      </c>
      <c r="AG392">
        <v>2.5039199999999999</v>
      </c>
      <c r="AH392">
        <v>14.096819999999999</v>
      </c>
      <c r="AI392">
        <v>0.27322000000000002</v>
      </c>
      <c r="AJ392">
        <v>10.95044</v>
      </c>
      <c r="AK392">
        <v>0.52094000000000007</v>
      </c>
      <c r="AL392">
        <v>2.9191400000000001</v>
      </c>
      <c r="AM392">
        <v>50.91704</v>
      </c>
      <c r="AN392">
        <v>6.4346599999999992</v>
      </c>
      <c r="AO392">
        <v>10.86684</v>
      </c>
      <c r="AP392">
        <v>0.19492000000000001</v>
      </c>
      <c r="AQ392">
        <v>99.70778</v>
      </c>
      <c r="AR392">
        <v>5.8797253337209539E-2</v>
      </c>
      <c r="AS392">
        <v>0.138496180452748</v>
      </c>
      <c r="AT392">
        <v>2.822688434808206E-2</v>
      </c>
      <c r="AU392">
        <v>7.1287502411011894E-2</v>
      </c>
      <c r="AV392">
        <v>1.2819243347405491E-2</v>
      </c>
      <c r="AW392">
        <v>2.3721045508155889E-2</v>
      </c>
      <c r="AX392">
        <v>0.39733328327740491</v>
      </c>
      <c r="AY392">
        <v>8.3972662218129629E-2</v>
      </c>
      <c r="AZ392">
        <v>5.8132675837260117E-2</v>
      </c>
      <c r="BA392">
        <v>1.931080008699795E-2</v>
      </c>
      <c r="BD392" t="s">
        <v>384</v>
      </c>
      <c r="BE392">
        <v>8.7174437318678702E-2</v>
      </c>
      <c r="BF392">
        <v>3004</v>
      </c>
      <c r="BG392">
        <v>148025.79724717201</v>
      </c>
      <c r="BH392">
        <v>31.3364909924302</v>
      </c>
      <c r="BI392">
        <v>217.06698199867299</v>
      </c>
      <c r="BJ392">
        <v>0.57174239835737894</v>
      </c>
      <c r="BK392">
        <v>31.3364909924302</v>
      </c>
    </row>
    <row r="393" spans="1:63" x14ac:dyDescent="0.2">
      <c r="A393">
        <v>391</v>
      </c>
      <c r="B393" t="s">
        <v>62</v>
      </c>
      <c r="C393" t="s">
        <v>63</v>
      </c>
      <c r="D393" t="s">
        <v>64</v>
      </c>
      <c r="E393">
        <v>-155.26785000000001</v>
      </c>
      <c r="F393">
        <v>19.407830000000001</v>
      </c>
      <c r="G393" t="s">
        <v>65</v>
      </c>
      <c r="H393" t="s">
        <v>872</v>
      </c>
      <c r="I393" t="s">
        <v>873</v>
      </c>
      <c r="J393" t="s">
        <v>68</v>
      </c>
      <c r="K393">
        <v>7.8813607648437491</v>
      </c>
      <c r="L393">
        <v>7.1567848929687496</v>
      </c>
      <c r="M393">
        <v>177.20217343580171</v>
      </c>
      <c r="N393">
        <v>1776.528063339025</v>
      </c>
      <c r="Q393">
        <v>12.042999999999999</v>
      </c>
      <c r="R393">
        <v>1325.0039999999999</v>
      </c>
      <c r="S393">
        <v>50</v>
      </c>
      <c r="T393">
        <v>103.06871580000001</v>
      </c>
      <c r="U393">
        <v>6.4390470279999997E-3</v>
      </c>
      <c r="V393">
        <v>0.1261867619</v>
      </c>
      <c r="W393">
        <v>4.6095459649999997E-3</v>
      </c>
      <c r="X393">
        <v>0</v>
      </c>
      <c r="Y393">
        <v>7.367698447391291E-2</v>
      </c>
      <c r="Z393">
        <v>0.44418091168740731</v>
      </c>
      <c r="AA393">
        <v>2.7832962915914989E-2</v>
      </c>
      <c r="AB393">
        <v>1.8926767594862</v>
      </c>
      <c r="AC393">
        <v>0.1130407958298103</v>
      </c>
      <c r="AD393">
        <v>1306.5521453213869</v>
      </c>
      <c r="AE393">
        <v>50</v>
      </c>
      <c r="AF393">
        <v>88.533239539999997</v>
      </c>
      <c r="BE393">
        <v>1.1280737283975379</v>
      </c>
      <c r="BF393">
        <v>32646</v>
      </c>
      <c r="BG393">
        <v>2089562.941908651</v>
      </c>
      <c r="BH393">
        <v>12100.13994345307</v>
      </c>
      <c r="BI393">
        <v>815.55413199419797</v>
      </c>
      <c r="BJ393">
        <v>66.969245340326182</v>
      </c>
      <c r="BK393">
        <v>12100.139943453059</v>
      </c>
    </row>
    <row r="394" spans="1:63" x14ac:dyDescent="0.2">
      <c r="A394">
        <v>392</v>
      </c>
      <c r="B394" t="s">
        <v>62</v>
      </c>
      <c r="C394" t="s">
        <v>63</v>
      </c>
      <c r="D394" t="s">
        <v>64</v>
      </c>
      <c r="E394">
        <v>-155.26785000000001</v>
      </c>
      <c r="F394">
        <v>19.407830000000001</v>
      </c>
      <c r="G394" t="s">
        <v>65</v>
      </c>
      <c r="H394" t="s">
        <v>435</v>
      </c>
      <c r="I394" t="s">
        <v>874</v>
      </c>
      <c r="J394" t="s">
        <v>68</v>
      </c>
      <c r="K394">
        <v>10.11180846796875</v>
      </c>
      <c r="L394">
        <v>5.9277140624999998</v>
      </c>
      <c r="M394">
        <v>188.30677856570219</v>
      </c>
      <c r="N394">
        <v>2013.5672116297139</v>
      </c>
      <c r="Q394">
        <v>39.945</v>
      </c>
      <c r="R394">
        <v>1325.0039999999999</v>
      </c>
      <c r="S394">
        <v>100</v>
      </c>
      <c r="T394">
        <v>103.0689654</v>
      </c>
      <c r="U394">
        <v>1.688630331E-2</v>
      </c>
      <c r="V394">
        <v>0.12628567590000001</v>
      </c>
      <c r="W394">
        <v>7.714247865E-3</v>
      </c>
      <c r="X394">
        <v>7.0678821374511731</v>
      </c>
      <c r="Y394">
        <v>7.9901973334252085E-2</v>
      </c>
      <c r="Z394">
        <v>0.41040430934826799</v>
      </c>
      <c r="AA394">
        <v>3.7140431269484901E-2</v>
      </c>
      <c r="AB394">
        <v>1.754884825315661</v>
      </c>
      <c r="AC394">
        <v>0.1519236114520395</v>
      </c>
      <c r="AD394">
        <v>1181.6652152233451</v>
      </c>
      <c r="AE394">
        <v>50</v>
      </c>
      <c r="AF394">
        <v>81.433566429999999</v>
      </c>
      <c r="BE394">
        <v>5.7290723551771332E-2</v>
      </c>
      <c r="BF394">
        <v>7434</v>
      </c>
      <c r="BG394">
        <v>476788.62450311327</v>
      </c>
      <c r="BH394">
        <v>124.390858939343</v>
      </c>
      <c r="BI394">
        <v>389.57224336355398</v>
      </c>
      <c r="BJ394">
        <v>1.442703841932562</v>
      </c>
      <c r="BK394">
        <v>124.390858939343</v>
      </c>
    </row>
    <row r="395" spans="1:63" x14ac:dyDescent="0.2">
      <c r="A395">
        <v>393</v>
      </c>
      <c r="B395" t="s">
        <v>62</v>
      </c>
      <c r="C395" t="s">
        <v>63</v>
      </c>
      <c r="D395" t="s">
        <v>64</v>
      </c>
      <c r="E395">
        <v>-155.26785000000001</v>
      </c>
      <c r="F395">
        <v>19.407830000000001</v>
      </c>
      <c r="G395" t="s">
        <v>65</v>
      </c>
      <c r="H395" t="s">
        <v>707</v>
      </c>
      <c r="I395" t="s">
        <v>875</v>
      </c>
      <c r="J395" t="s">
        <v>68</v>
      </c>
      <c r="K395">
        <v>2.6784326507812501</v>
      </c>
      <c r="L395">
        <v>2.0670198398437498</v>
      </c>
      <c r="M395">
        <v>17.393030091605301</v>
      </c>
      <c r="N395">
        <v>55.025198645149302</v>
      </c>
      <c r="Q395">
        <v>20.143000000000001</v>
      </c>
      <c r="R395">
        <v>1325.0039999999999</v>
      </c>
      <c r="S395">
        <v>100</v>
      </c>
      <c r="T395">
        <v>103.0691175</v>
      </c>
      <c r="U395">
        <v>3.5339577819999998E-3</v>
      </c>
      <c r="V395">
        <v>0.1263459388</v>
      </c>
      <c r="W395">
        <v>4.0870246690000002E-3</v>
      </c>
      <c r="X395">
        <v>0</v>
      </c>
      <c r="Y395">
        <v>7.6872061191100016E-2</v>
      </c>
      <c r="Z395">
        <v>0.42612250641635041</v>
      </c>
      <c r="AA395">
        <v>2.3626946665762469E-2</v>
      </c>
      <c r="AB395">
        <v>1.8191246277230171</v>
      </c>
      <c r="AC395">
        <v>9.6299612944609619E-2</v>
      </c>
      <c r="AD395">
        <v>1238.3320176251971</v>
      </c>
      <c r="AE395">
        <v>50</v>
      </c>
    </row>
    <row r="396" spans="1:63" x14ac:dyDescent="0.2">
      <c r="A396">
        <v>394</v>
      </c>
      <c r="B396" t="s">
        <v>69</v>
      </c>
      <c r="C396" t="s">
        <v>143</v>
      </c>
      <c r="D396" t="s">
        <v>144</v>
      </c>
      <c r="E396">
        <v>-155.22516669999999</v>
      </c>
      <c r="F396">
        <v>19.371883329999999</v>
      </c>
      <c r="G396" t="s">
        <v>145</v>
      </c>
      <c r="H396" t="s">
        <v>876</v>
      </c>
      <c r="I396" t="s">
        <v>877</v>
      </c>
      <c r="J396" t="s">
        <v>68</v>
      </c>
      <c r="K396">
        <v>3.6700686125000002</v>
      </c>
      <c r="L396">
        <v>3.3299224320312502</v>
      </c>
      <c r="M396">
        <v>38.393541420831589</v>
      </c>
      <c r="N396">
        <v>179.16963074244049</v>
      </c>
      <c r="Q396">
        <v>10.041</v>
      </c>
      <c r="R396">
        <v>1324.9639999999999</v>
      </c>
      <c r="S396">
        <v>50</v>
      </c>
      <c r="T396">
        <v>103.0694975289052</v>
      </c>
      <c r="U396">
        <v>5.0871860804545914E-3</v>
      </c>
      <c r="V396">
        <v>0.1264965147384913</v>
      </c>
      <c r="W396">
        <v>4.336606607816795E-3</v>
      </c>
      <c r="X396">
        <v>0</v>
      </c>
      <c r="Y396">
        <v>7.4619485366126614E-2</v>
      </c>
      <c r="Z396">
        <v>0.43868010002892083</v>
      </c>
      <c r="AA396">
        <v>2.770264465145782E-2</v>
      </c>
      <c r="AB396">
        <v>1.8703002873045631</v>
      </c>
      <c r="AC396">
        <v>0.1126367593131794</v>
      </c>
      <c r="AD396">
        <v>1282.335315364604</v>
      </c>
      <c r="AE396">
        <v>50</v>
      </c>
      <c r="AF396">
        <v>87.530688300081394</v>
      </c>
      <c r="AG396">
        <v>2.1961249999999999</v>
      </c>
      <c r="AH396">
        <v>13.214425</v>
      </c>
      <c r="AI396">
        <v>0.23326250000000001</v>
      </c>
      <c r="AJ396">
        <v>10.8680875</v>
      </c>
      <c r="AK396">
        <v>0.46184999999999998</v>
      </c>
      <c r="AL396">
        <v>2.5506250000000001</v>
      </c>
      <c r="AM396">
        <v>49.975887499999999</v>
      </c>
      <c r="AN396">
        <v>7.4385374999999998</v>
      </c>
      <c r="AP396">
        <v>0.2354</v>
      </c>
      <c r="AQ396">
        <v>98.48666249999998</v>
      </c>
      <c r="AR396">
        <v>5.6378814410075299E-2</v>
      </c>
      <c r="AS396">
        <v>0.24941022862516499</v>
      </c>
      <c r="AT396">
        <v>1.4003870638403601E-2</v>
      </c>
      <c r="AU396">
        <v>0.27584699401505702</v>
      </c>
      <c r="AV396">
        <v>3.1668731762237799E-2</v>
      </c>
      <c r="AW396">
        <v>4.2427543277585897E-2</v>
      </c>
      <c r="AX396">
        <v>0.67605985245919198</v>
      </c>
      <c r="AY396">
        <v>0.10614118545597701</v>
      </c>
      <c r="BA396">
        <v>4.3851209463691802E-2</v>
      </c>
      <c r="BE396">
        <v>0.43978742154441081</v>
      </c>
      <c r="BF396">
        <v>10315</v>
      </c>
      <c r="BG396">
        <v>1031785.988297352</v>
      </c>
      <c r="BH396">
        <v>3408.780398785193</v>
      </c>
      <c r="BI396">
        <v>573.08610217048556</v>
      </c>
      <c r="BJ396">
        <v>33.563280906666257</v>
      </c>
      <c r="BK396">
        <v>3408.7803987851898</v>
      </c>
    </row>
    <row r="397" spans="1:63" x14ac:dyDescent="0.2">
      <c r="A397">
        <v>395</v>
      </c>
      <c r="B397" t="s">
        <v>69</v>
      </c>
      <c r="C397" t="s">
        <v>81</v>
      </c>
      <c r="D397" t="s">
        <v>71</v>
      </c>
      <c r="E397">
        <v>-155.29106999999999</v>
      </c>
      <c r="F397">
        <v>19.383150000000001</v>
      </c>
      <c r="G397" t="s">
        <v>87</v>
      </c>
      <c r="H397" t="s">
        <v>878</v>
      </c>
      <c r="I397" t="s">
        <v>879</v>
      </c>
      <c r="J397" t="s">
        <v>68</v>
      </c>
      <c r="K397">
        <v>6.7578846054687496</v>
      </c>
      <c r="L397">
        <v>5.9947204773437504</v>
      </c>
      <c r="M397">
        <v>127.2710367674172</v>
      </c>
      <c r="N397">
        <v>1082.024846916654</v>
      </c>
      <c r="Q397">
        <v>12.016999999999999</v>
      </c>
      <c r="R397">
        <v>1325.0039999999999</v>
      </c>
      <c r="S397">
        <v>50</v>
      </c>
      <c r="T397">
        <v>103.07007935570989</v>
      </c>
      <c r="U397">
        <v>2.6256880422103842E-3</v>
      </c>
      <c r="V397">
        <v>0.12672705787483099</v>
      </c>
      <c r="W397">
        <v>3.9785519109630458E-3</v>
      </c>
      <c r="X397">
        <v>0</v>
      </c>
      <c r="Y397">
        <v>7.7484025452285388E-2</v>
      </c>
      <c r="Z397">
        <v>0.42285299031733509</v>
      </c>
      <c r="AA397">
        <v>2.814819717752029E-2</v>
      </c>
      <c r="AB397">
        <v>1.805779090064239</v>
      </c>
      <c r="AC397">
        <v>0.1148135452582338</v>
      </c>
      <c r="AD397">
        <v>1221.684328811773</v>
      </c>
      <c r="AE397">
        <v>50</v>
      </c>
      <c r="AF397">
        <v>84.4116426920896</v>
      </c>
      <c r="AG397">
        <v>2.2102200000000001</v>
      </c>
      <c r="AH397">
        <v>12.516225</v>
      </c>
      <c r="AI397">
        <v>0.22873499999999999</v>
      </c>
      <c r="AJ397">
        <v>10.535360000000001</v>
      </c>
      <c r="AK397">
        <v>0.37534499999999998</v>
      </c>
      <c r="AL397">
        <v>2.4377900000000001</v>
      </c>
      <c r="AM397">
        <v>50.224780000000003</v>
      </c>
      <c r="AN397">
        <v>8.9844449999999991</v>
      </c>
      <c r="AP397">
        <v>0.178455</v>
      </c>
      <c r="AQ397">
        <v>99.610560000000007</v>
      </c>
      <c r="AR397">
        <v>1.7587090435884831E-2</v>
      </c>
      <c r="AS397">
        <v>0.12699126938494701</v>
      </c>
      <c r="AT397">
        <v>8.073250584491971E-3</v>
      </c>
      <c r="AU397">
        <v>6.9056800896073786E-2</v>
      </c>
      <c r="AV397">
        <v>2.248073063759274E-2</v>
      </c>
      <c r="AW397">
        <v>2.1205111412109991E-2</v>
      </c>
      <c r="AX397">
        <v>0.5052093298821787</v>
      </c>
      <c r="AY397">
        <v>0.13192220766421431</v>
      </c>
      <c r="BA397">
        <v>1.2962040734390541E-2</v>
      </c>
      <c r="BB397">
        <v>5</v>
      </c>
      <c r="BC397" t="s">
        <v>86</v>
      </c>
    </row>
    <row r="398" spans="1:63" x14ac:dyDescent="0.2">
      <c r="A398">
        <v>396</v>
      </c>
      <c r="B398" t="s">
        <v>69</v>
      </c>
      <c r="C398" t="s">
        <v>81</v>
      </c>
      <c r="D398" t="s">
        <v>71</v>
      </c>
      <c r="E398">
        <v>-155.29106999999999</v>
      </c>
      <c r="F398">
        <v>19.383150000000001</v>
      </c>
      <c r="G398" t="s">
        <v>87</v>
      </c>
      <c r="H398" t="s">
        <v>601</v>
      </c>
      <c r="I398" t="s">
        <v>880</v>
      </c>
      <c r="J398" t="s">
        <v>68</v>
      </c>
      <c r="K398">
        <v>12.2823397671875</v>
      </c>
      <c r="L398">
        <v>9.3793870921874998</v>
      </c>
      <c r="M398">
        <v>361.91404689109538</v>
      </c>
      <c r="N398">
        <v>5226.4554868839623</v>
      </c>
      <c r="O398" t="s">
        <v>881</v>
      </c>
      <c r="Q398">
        <v>12.051</v>
      </c>
      <c r="R398">
        <v>1325.0039999999999</v>
      </c>
      <c r="S398">
        <v>50</v>
      </c>
      <c r="T398">
        <v>103.0702378125247</v>
      </c>
      <c r="U398">
        <v>2.2125259247020839E-3</v>
      </c>
      <c r="V398">
        <v>0.12678984482580091</v>
      </c>
      <c r="W398">
        <v>3.9390337079260344E-3</v>
      </c>
      <c r="X398">
        <v>7.8977535686835134</v>
      </c>
      <c r="Y398">
        <v>7.680770387791136E-2</v>
      </c>
      <c r="Z398">
        <v>0.42647775173951419</v>
      </c>
      <c r="AA398">
        <v>2.509125642346503E-2</v>
      </c>
      <c r="AB398">
        <v>1.8205741384685461</v>
      </c>
      <c r="AC398">
        <v>0.10232859619931819</v>
      </c>
      <c r="AD398">
        <v>1234.103051067475</v>
      </c>
      <c r="AE398">
        <v>50</v>
      </c>
      <c r="AF398">
        <v>85.146481349276328</v>
      </c>
      <c r="AG398">
        <v>2.2102200000000001</v>
      </c>
      <c r="AH398">
        <v>12.516225</v>
      </c>
      <c r="AI398">
        <v>0.22873499999999999</v>
      </c>
      <c r="AJ398">
        <v>10.535360000000001</v>
      </c>
      <c r="AK398">
        <v>0.37534499999999998</v>
      </c>
      <c r="AL398">
        <v>2.4377900000000001</v>
      </c>
      <c r="AM398">
        <v>50.224780000000003</v>
      </c>
      <c r="AN398">
        <v>8.9844449999999991</v>
      </c>
      <c r="AP398">
        <v>0.178455</v>
      </c>
      <c r="AQ398">
        <v>99.610560000000007</v>
      </c>
      <c r="AR398">
        <v>1.7587090435884831E-2</v>
      </c>
      <c r="AS398">
        <v>0.12699126938494701</v>
      </c>
      <c r="AT398">
        <v>8.073250584491971E-3</v>
      </c>
      <c r="AU398">
        <v>6.9056800896073786E-2</v>
      </c>
      <c r="AV398">
        <v>2.248073063759274E-2</v>
      </c>
      <c r="AW398">
        <v>2.1205111412109991E-2</v>
      </c>
      <c r="AX398">
        <v>0.5052093298821787</v>
      </c>
      <c r="AY398">
        <v>0.13192220766421431</v>
      </c>
      <c r="BA398">
        <v>1.2962040734390541E-2</v>
      </c>
      <c r="BB398">
        <v>5</v>
      </c>
      <c r="BC398" t="s">
        <v>86</v>
      </c>
    </row>
    <row r="399" spans="1:63" x14ac:dyDescent="0.2">
      <c r="A399">
        <v>397</v>
      </c>
      <c r="B399" t="s">
        <v>69</v>
      </c>
      <c r="C399" t="s">
        <v>91</v>
      </c>
      <c r="D399" t="s">
        <v>92</v>
      </c>
      <c r="E399">
        <v>-155.272412745889</v>
      </c>
      <c r="F399">
        <v>19.3454197541963</v>
      </c>
      <c r="G399" t="s">
        <v>124</v>
      </c>
      <c r="H399" t="s">
        <v>802</v>
      </c>
      <c r="I399" t="s">
        <v>882</v>
      </c>
      <c r="J399" t="s">
        <v>68</v>
      </c>
      <c r="O399" t="s">
        <v>296</v>
      </c>
      <c r="Q399">
        <v>12.025</v>
      </c>
      <c r="R399">
        <v>1325.0039999999999</v>
      </c>
      <c r="S399">
        <v>50</v>
      </c>
      <c r="T399">
        <v>103.0705506690006</v>
      </c>
      <c r="U399">
        <v>4.1274802936054206E-3</v>
      </c>
      <c r="V399">
        <v>0.12691381112054501</v>
      </c>
      <c r="W399">
        <v>4.1742154398288099E-3</v>
      </c>
      <c r="X399">
        <v>0.53300236936625067</v>
      </c>
      <c r="Y399">
        <v>7.8039837920607869E-2</v>
      </c>
      <c r="Z399">
        <v>0.41992703684744692</v>
      </c>
      <c r="AA399">
        <v>2.7197980762356851E-2</v>
      </c>
      <c r="AB399">
        <v>1.79382840418845</v>
      </c>
      <c r="AC399">
        <v>0.11104435954165839</v>
      </c>
      <c r="AD399">
        <v>1208.7629940832369</v>
      </c>
      <c r="AE399">
        <v>50</v>
      </c>
      <c r="AF399">
        <v>83.570160441466982</v>
      </c>
      <c r="AG399">
        <v>2.4452269230769228</v>
      </c>
      <c r="AH399">
        <v>12.97811153846154</v>
      </c>
      <c r="AJ399">
        <v>10.30404615384615</v>
      </c>
      <c r="AK399">
        <v>0.55342692307692309</v>
      </c>
      <c r="AL399">
        <v>2.900669230769231</v>
      </c>
      <c r="AM399">
        <v>50.451046153846157</v>
      </c>
      <c r="AN399">
        <v>6.0883423076923071</v>
      </c>
      <c r="AP399">
        <v>1.6526923076923071E-2</v>
      </c>
      <c r="AQ399">
        <v>97.170811538461535</v>
      </c>
      <c r="AR399">
        <v>0.14452695958247319</v>
      </c>
      <c r="AS399">
        <v>0.56238533005541524</v>
      </c>
      <c r="AU399">
        <v>0.81302815263963402</v>
      </c>
      <c r="AV399">
        <v>0.1071919159552335</v>
      </c>
      <c r="AW399">
        <v>0.48878923864523122</v>
      </c>
      <c r="AX399">
        <v>0.42567582898799372</v>
      </c>
      <c r="AY399">
        <v>0.85490953915514445</v>
      </c>
      <c r="BA399">
        <v>4.3609684880592933E-3</v>
      </c>
      <c r="BB399">
        <v>26</v>
      </c>
      <c r="BC399" t="s">
        <v>86</v>
      </c>
    </row>
    <row r="400" spans="1:63" x14ac:dyDescent="0.2">
      <c r="A400">
        <v>398</v>
      </c>
      <c r="B400" t="s">
        <v>69</v>
      </c>
      <c r="C400" t="s">
        <v>70</v>
      </c>
      <c r="D400" t="s">
        <v>71</v>
      </c>
      <c r="E400">
        <v>-155.29347999999999</v>
      </c>
      <c r="F400">
        <v>19.377479999999998</v>
      </c>
      <c r="G400" t="s">
        <v>112</v>
      </c>
      <c r="H400" t="s">
        <v>572</v>
      </c>
      <c r="I400" t="s">
        <v>883</v>
      </c>
      <c r="J400" t="s">
        <v>68</v>
      </c>
      <c r="K400">
        <v>3.4391783382812502</v>
      </c>
      <c r="L400">
        <v>2.7732984585937501</v>
      </c>
      <c r="M400">
        <v>29.96409599065133</v>
      </c>
      <c r="N400">
        <v>124.1008340541711</v>
      </c>
      <c r="Q400">
        <v>12.103999999999999</v>
      </c>
      <c r="R400">
        <v>1324.9639999999999</v>
      </c>
      <c r="S400">
        <v>100</v>
      </c>
      <c r="T400">
        <v>103.07109344732871</v>
      </c>
      <c r="U400">
        <v>3.4502730695014139E-2</v>
      </c>
      <c r="V400">
        <v>0.1271288816828999</v>
      </c>
      <c r="W400">
        <v>1.420066516595042E-2</v>
      </c>
      <c r="X400">
        <v>0</v>
      </c>
      <c r="Y400">
        <v>7.3672047363424142E-2</v>
      </c>
      <c r="Z400">
        <v>0.44422624085692858</v>
      </c>
      <c r="AA400">
        <v>6.2467659367802873E-2</v>
      </c>
      <c r="AB400">
        <v>1.8928610486295141</v>
      </c>
      <c r="AC400">
        <v>0.25373906262864182</v>
      </c>
      <c r="AD400">
        <v>1294.395019788137</v>
      </c>
      <c r="AE400">
        <v>50</v>
      </c>
      <c r="AF400">
        <v>88.042666397542092</v>
      </c>
      <c r="AG400">
        <v>2.1280100000000002</v>
      </c>
      <c r="AH400">
        <v>12.511455</v>
      </c>
      <c r="AI400">
        <v>0.21128</v>
      </c>
      <c r="AJ400">
        <v>10.547185000000001</v>
      </c>
      <c r="AK400">
        <v>0.43435000000000001</v>
      </c>
      <c r="AL400">
        <v>2.4173399999999998</v>
      </c>
      <c r="AM400">
        <v>50.003889999999998</v>
      </c>
      <c r="AN400">
        <v>8.5805450000000008</v>
      </c>
      <c r="AO400">
        <v>11.0444</v>
      </c>
      <c r="AP400">
        <v>0.37786999999999998</v>
      </c>
      <c r="AQ400">
        <v>98.290260000000004</v>
      </c>
      <c r="AR400">
        <v>4.7093422517846893E-2</v>
      </c>
      <c r="AS400">
        <v>0.17423154844121161</v>
      </c>
      <c r="AT400">
        <v>2.1925114974993089E-2</v>
      </c>
      <c r="AU400">
        <v>0.1853741817244248</v>
      </c>
      <c r="AV400">
        <v>1.0520403456564249E-2</v>
      </c>
      <c r="AW400">
        <v>3.5166562401109248E-2</v>
      </c>
      <c r="AX400">
        <v>0.46106226248619608</v>
      </c>
      <c r="AY400">
        <v>0.4051107053427907</v>
      </c>
      <c r="AZ400">
        <v>0.14841023100402101</v>
      </c>
      <c r="BA400">
        <v>1.7068639208924791E-2</v>
      </c>
      <c r="BD400" t="s">
        <v>574</v>
      </c>
      <c r="BE400">
        <v>0.10042616720186739</v>
      </c>
      <c r="BF400">
        <v>6368</v>
      </c>
      <c r="BG400">
        <v>637795.07250067522</v>
      </c>
      <c r="BH400">
        <v>177.4936613056681</v>
      </c>
      <c r="BI400">
        <v>450.57349781836092</v>
      </c>
      <c r="BJ400">
        <v>2.2242383303227959</v>
      </c>
      <c r="BK400">
        <v>177.4936613056681</v>
      </c>
    </row>
    <row r="401" spans="1:63" x14ac:dyDescent="0.2">
      <c r="A401">
        <v>399</v>
      </c>
      <c r="B401" t="s">
        <v>69</v>
      </c>
      <c r="C401" t="s">
        <v>81</v>
      </c>
      <c r="D401" t="s">
        <v>71</v>
      </c>
      <c r="E401">
        <v>-155.29106999999999</v>
      </c>
      <c r="F401">
        <v>19.383150000000001</v>
      </c>
      <c r="G401" t="s">
        <v>87</v>
      </c>
      <c r="H401" t="s">
        <v>601</v>
      </c>
      <c r="I401" t="s">
        <v>884</v>
      </c>
      <c r="J401" t="s">
        <v>68</v>
      </c>
      <c r="K401">
        <v>15.648583976562501</v>
      </c>
      <c r="L401">
        <v>13.752412854687501</v>
      </c>
      <c r="M401">
        <v>676.0889208218814</v>
      </c>
      <c r="N401">
        <v>13251.792145818241</v>
      </c>
      <c r="O401" t="s">
        <v>885</v>
      </c>
      <c r="Q401">
        <v>12.044</v>
      </c>
      <c r="R401">
        <v>1325.0039999999999</v>
      </c>
      <c r="S401">
        <v>50</v>
      </c>
      <c r="T401">
        <v>103.07118672228791</v>
      </c>
      <c r="U401">
        <v>3.9297405805550564E-3</v>
      </c>
      <c r="V401">
        <v>0.12716584096607869</v>
      </c>
      <c r="W401">
        <v>4.1446126969014252E-3</v>
      </c>
      <c r="X401">
        <v>6.7346508306503479</v>
      </c>
      <c r="Y401">
        <v>7.5914314792308923E-2</v>
      </c>
      <c r="Z401">
        <v>0.43137576131337008</v>
      </c>
      <c r="AA401">
        <v>2.5572688594277599E-2</v>
      </c>
      <c r="AB401">
        <v>1.8405489057128961</v>
      </c>
      <c r="AC401">
        <v>0.1041887524983463</v>
      </c>
      <c r="AD401">
        <v>1247.2238221100131</v>
      </c>
      <c r="AE401">
        <v>50</v>
      </c>
      <c r="AF401">
        <v>85.859860311899411</v>
      </c>
      <c r="AG401">
        <v>2.2102200000000001</v>
      </c>
      <c r="AH401">
        <v>12.516225</v>
      </c>
      <c r="AI401">
        <v>0.22873499999999999</v>
      </c>
      <c r="AJ401">
        <v>10.535360000000001</v>
      </c>
      <c r="AK401">
        <v>0.37534499999999998</v>
      </c>
      <c r="AL401">
        <v>2.4377900000000001</v>
      </c>
      <c r="AM401">
        <v>50.224780000000003</v>
      </c>
      <c r="AN401">
        <v>8.9844449999999991</v>
      </c>
      <c r="AP401">
        <v>0.178455</v>
      </c>
      <c r="AQ401">
        <v>99.610560000000007</v>
      </c>
      <c r="AR401">
        <v>1.7587090435884831E-2</v>
      </c>
      <c r="AS401">
        <v>0.12699126938494701</v>
      </c>
      <c r="AT401">
        <v>8.073250584491971E-3</v>
      </c>
      <c r="AU401">
        <v>6.9056800896073786E-2</v>
      </c>
      <c r="AV401">
        <v>2.248073063759274E-2</v>
      </c>
      <c r="AW401">
        <v>2.1205111412109991E-2</v>
      </c>
      <c r="AX401">
        <v>0.5052093298821787</v>
      </c>
      <c r="AY401">
        <v>0.13192220766421431</v>
      </c>
      <c r="BA401">
        <v>1.2962040734390541E-2</v>
      </c>
      <c r="BB401">
        <v>5</v>
      </c>
      <c r="BC401" t="s">
        <v>86</v>
      </c>
    </row>
    <row r="402" spans="1:63" x14ac:dyDescent="0.2">
      <c r="A402">
        <v>400</v>
      </c>
      <c r="B402" t="s">
        <v>62</v>
      </c>
      <c r="C402" t="s">
        <v>63</v>
      </c>
      <c r="D402" t="s">
        <v>64</v>
      </c>
      <c r="E402">
        <v>-155.26785000000001</v>
      </c>
      <c r="F402">
        <v>19.407830000000001</v>
      </c>
      <c r="G402" t="s">
        <v>65</v>
      </c>
      <c r="H402" t="s">
        <v>139</v>
      </c>
      <c r="I402" t="s">
        <v>886</v>
      </c>
      <c r="J402" t="s">
        <v>90</v>
      </c>
      <c r="K402">
        <v>7.2600549703124999</v>
      </c>
      <c r="L402">
        <v>6.2641990078124996</v>
      </c>
      <c r="M402">
        <v>142.8746988883554</v>
      </c>
      <c r="N402">
        <v>1288.1824765428339</v>
      </c>
      <c r="Q402">
        <v>12.058</v>
      </c>
      <c r="R402">
        <v>1325.0039999999999</v>
      </c>
      <c r="S402">
        <v>50</v>
      </c>
      <c r="T402">
        <v>103.0712817</v>
      </c>
      <c r="U402">
        <v>5.3973039659999996E-3</v>
      </c>
      <c r="V402">
        <v>0.12720347940000001</v>
      </c>
      <c r="W402">
        <v>4.3963056230000002E-3</v>
      </c>
      <c r="X402">
        <v>0</v>
      </c>
      <c r="Y402">
        <v>7.461632678161767E-2</v>
      </c>
      <c r="Z402">
        <v>0.43871032481539179</v>
      </c>
      <c r="AA402">
        <v>2.8023403971045871E-2</v>
      </c>
      <c r="AB402">
        <v>1.870423305036643</v>
      </c>
      <c r="AC402">
        <v>0.1138705599233243</v>
      </c>
      <c r="AD402">
        <v>1273.3791320127559</v>
      </c>
      <c r="AE402">
        <v>50</v>
      </c>
      <c r="AF402">
        <v>87.132096579999995</v>
      </c>
    </row>
    <row r="403" spans="1:63" x14ac:dyDescent="0.2">
      <c r="A403">
        <v>401</v>
      </c>
      <c r="B403" t="s">
        <v>69</v>
      </c>
      <c r="C403" t="s">
        <v>91</v>
      </c>
      <c r="D403" t="s">
        <v>92</v>
      </c>
      <c r="E403">
        <v>-155.28360000000001</v>
      </c>
      <c r="F403">
        <v>19.4285</v>
      </c>
      <c r="G403" t="s">
        <v>212</v>
      </c>
      <c r="H403" t="s">
        <v>887</v>
      </c>
      <c r="I403" t="s">
        <v>888</v>
      </c>
      <c r="J403" t="s">
        <v>68</v>
      </c>
      <c r="K403">
        <v>10.52349402109375</v>
      </c>
      <c r="L403">
        <v>7.4843782671875001</v>
      </c>
      <c r="M403">
        <v>247.43752351089381</v>
      </c>
      <c r="N403">
        <v>2970.54888180851</v>
      </c>
      <c r="O403" t="s">
        <v>889</v>
      </c>
      <c r="Q403">
        <v>11.968</v>
      </c>
      <c r="R403">
        <v>1325.0039999999999</v>
      </c>
      <c r="S403">
        <v>50</v>
      </c>
      <c r="T403">
        <v>103.0713697581473</v>
      </c>
      <c r="U403">
        <v>9.2097965564907607E-3</v>
      </c>
      <c r="V403">
        <v>0.12723836712120121</v>
      </c>
      <c r="W403">
        <v>5.2982674074897214E-3</v>
      </c>
      <c r="X403">
        <v>0</v>
      </c>
      <c r="Y403">
        <v>7.7239210844419759E-2</v>
      </c>
      <c r="Z403">
        <v>0.42416570156264272</v>
      </c>
      <c r="AA403">
        <v>3.8478679517115102E-2</v>
      </c>
      <c r="AB403">
        <v>1.811138388327324</v>
      </c>
      <c r="AC403">
        <v>0.15698232905111359</v>
      </c>
      <c r="AD403">
        <v>1220.1822987351841</v>
      </c>
      <c r="AE403">
        <v>100</v>
      </c>
      <c r="AG403">
        <v>2.1021777777777779</v>
      </c>
      <c r="AH403">
        <v>12.18196296296296</v>
      </c>
      <c r="AJ403">
        <v>10.35145925925926</v>
      </c>
      <c r="AK403">
        <v>0.4553962962962963</v>
      </c>
      <c r="AL403">
        <v>2.3345296296296301</v>
      </c>
      <c r="AM403">
        <v>49.209007407407412</v>
      </c>
      <c r="AN403">
        <v>9.4706370370370365</v>
      </c>
      <c r="AP403">
        <v>1.7722222222222219E-2</v>
      </c>
      <c r="AQ403">
        <v>97.341288888888897</v>
      </c>
      <c r="AR403">
        <v>3.1603703937420069E-2</v>
      </c>
      <c r="AS403">
        <v>0.1308813941885143</v>
      </c>
      <c r="AU403">
        <v>0.12790190128874709</v>
      </c>
      <c r="AV403">
        <v>3.4622563579722238E-2</v>
      </c>
      <c r="AW403">
        <v>4.9585767303615608E-2</v>
      </c>
      <c r="AX403">
        <v>0.4308268757472053</v>
      </c>
      <c r="AY403">
        <v>0.20483483806030409</v>
      </c>
      <c r="BA403">
        <v>4.922736366426028E-3</v>
      </c>
      <c r="BB403">
        <v>27</v>
      </c>
      <c r="BC403" t="s">
        <v>86</v>
      </c>
    </row>
    <row r="404" spans="1:63" x14ac:dyDescent="0.2">
      <c r="A404">
        <v>402</v>
      </c>
      <c r="B404" t="s">
        <v>69</v>
      </c>
      <c r="C404" t="s">
        <v>81</v>
      </c>
      <c r="D404" t="s">
        <v>71</v>
      </c>
      <c r="E404">
        <v>-155.29106999999999</v>
      </c>
      <c r="F404">
        <v>19.383150000000001</v>
      </c>
      <c r="G404" t="s">
        <v>87</v>
      </c>
      <c r="H404" t="s">
        <v>601</v>
      </c>
      <c r="I404" t="s">
        <v>890</v>
      </c>
      <c r="J404" t="s">
        <v>68</v>
      </c>
      <c r="K404">
        <v>7.4450345179687503</v>
      </c>
      <c r="L404">
        <v>6.5411743531250002</v>
      </c>
      <c r="M404">
        <v>152.99326524514171</v>
      </c>
      <c r="N404">
        <v>1426.5305090594661</v>
      </c>
      <c r="O404" t="s">
        <v>603</v>
      </c>
      <c r="Q404">
        <v>12.071</v>
      </c>
      <c r="R404">
        <v>1325.0039999999999</v>
      </c>
      <c r="S404">
        <v>50</v>
      </c>
      <c r="T404">
        <v>103.0714312469871</v>
      </c>
      <c r="U404">
        <v>3.0808341529662111E-3</v>
      </c>
      <c r="V404">
        <v>0.1272627314678729</v>
      </c>
      <c r="W404">
        <v>4.030498818833099E-3</v>
      </c>
      <c r="X404">
        <v>8.0391656954935495</v>
      </c>
      <c r="Y404">
        <v>7.6552803074106612E-2</v>
      </c>
      <c r="Z404">
        <v>0.42786903296124512</v>
      </c>
      <c r="AA404">
        <v>2.664608739124184E-2</v>
      </c>
      <c r="AB404">
        <v>1.826249991901991</v>
      </c>
      <c r="AC404">
        <v>0.1086242145764507</v>
      </c>
      <c r="AD404">
        <v>1233.302052203429</v>
      </c>
      <c r="AE404">
        <v>50</v>
      </c>
      <c r="AF404">
        <v>85.100966768977543</v>
      </c>
      <c r="AG404">
        <v>2.2102200000000001</v>
      </c>
      <c r="AH404">
        <v>12.516225</v>
      </c>
      <c r="AI404">
        <v>0.22873499999999999</v>
      </c>
      <c r="AJ404">
        <v>10.535360000000001</v>
      </c>
      <c r="AK404">
        <v>0.37534499999999998</v>
      </c>
      <c r="AL404">
        <v>2.4377900000000001</v>
      </c>
      <c r="AM404">
        <v>50.224780000000003</v>
      </c>
      <c r="AN404">
        <v>8.9844449999999991</v>
      </c>
      <c r="AP404">
        <v>0.178455</v>
      </c>
      <c r="AQ404">
        <v>99.610560000000007</v>
      </c>
      <c r="AR404">
        <v>1.7587090435884831E-2</v>
      </c>
      <c r="AS404">
        <v>0.12699126938494701</v>
      </c>
      <c r="AT404">
        <v>8.073250584491971E-3</v>
      </c>
      <c r="AU404">
        <v>6.9056800896073786E-2</v>
      </c>
      <c r="AV404">
        <v>2.248073063759274E-2</v>
      </c>
      <c r="AW404">
        <v>2.1205111412109991E-2</v>
      </c>
      <c r="AX404">
        <v>0.5052093298821787</v>
      </c>
      <c r="AY404">
        <v>0.13192220766421431</v>
      </c>
      <c r="BA404">
        <v>1.2962040734390541E-2</v>
      </c>
      <c r="BB404">
        <v>5</v>
      </c>
      <c r="BC404" t="s">
        <v>86</v>
      </c>
    </row>
    <row r="405" spans="1:63" x14ac:dyDescent="0.2">
      <c r="A405">
        <v>403</v>
      </c>
      <c r="B405" t="s">
        <v>69</v>
      </c>
      <c r="C405" t="s">
        <v>236</v>
      </c>
      <c r="D405" t="s">
        <v>64</v>
      </c>
      <c r="E405">
        <v>-155.292979</v>
      </c>
      <c r="F405">
        <v>19.400748</v>
      </c>
      <c r="G405" t="s">
        <v>237</v>
      </c>
      <c r="H405" t="s">
        <v>821</v>
      </c>
      <c r="I405" t="s">
        <v>891</v>
      </c>
      <c r="J405" t="s">
        <v>68</v>
      </c>
      <c r="K405">
        <v>5.4867386281249999</v>
      </c>
      <c r="L405">
        <v>5.3152998390625008</v>
      </c>
      <c r="M405">
        <v>91.620342983038398</v>
      </c>
      <c r="N405">
        <v>659.79097951979543</v>
      </c>
      <c r="Q405">
        <v>10.032999999999999</v>
      </c>
      <c r="R405">
        <v>1324.9639999999999</v>
      </c>
      <c r="S405">
        <v>50</v>
      </c>
      <c r="T405">
        <v>103.0716137988429</v>
      </c>
      <c r="U405">
        <v>5.8327457507909176E-3</v>
      </c>
      <c r="V405">
        <v>0.12733506584132931</v>
      </c>
      <c r="W405">
        <v>4.4830023742957366E-3</v>
      </c>
      <c r="X405">
        <v>6.4557094967592032</v>
      </c>
      <c r="Y405">
        <v>7.8740444811392529E-2</v>
      </c>
      <c r="Z405">
        <v>0.41630231424561831</v>
      </c>
      <c r="AA405">
        <v>2.721109108377355E-2</v>
      </c>
      <c r="AB405">
        <v>1.7790138381200209</v>
      </c>
      <c r="AC405">
        <v>0.1111038437526201</v>
      </c>
      <c r="AD405">
        <v>1190.5535706830001</v>
      </c>
      <c r="AE405">
        <v>50</v>
      </c>
      <c r="AF405">
        <v>82.204845633904895</v>
      </c>
      <c r="AG405">
        <v>2.0274999999999999</v>
      </c>
      <c r="AH405">
        <v>12.7525</v>
      </c>
      <c r="AI405">
        <v>0.17249999999999999</v>
      </c>
      <c r="AJ405">
        <v>11.092499999999999</v>
      </c>
      <c r="AK405">
        <v>0.51750000000000007</v>
      </c>
      <c r="AL405">
        <v>2.5150000000000001</v>
      </c>
      <c r="AM405">
        <v>50.63</v>
      </c>
      <c r="AN405">
        <v>7.415</v>
      </c>
      <c r="AP405">
        <v>1685.75</v>
      </c>
      <c r="AR405">
        <v>0.17231270024773751</v>
      </c>
      <c r="AS405">
        <v>0.13450526631573459</v>
      </c>
      <c r="AT405">
        <v>4.9999999999999836E-3</v>
      </c>
      <c r="AU405">
        <v>0.29227555491350982</v>
      </c>
      <c r="AV405">
        <v>2.061552812808835E-2</v>
      </c>
      <c r="AW405">
        <v>6.2449979983983737E-2</v>
      </c>
      <c r="AX405">
        <v>0.21556128285632961</v>
      </c>
      <c r="AY405">
        <v>0.39770173078158311</v>
      </c>
      <c r="BA405">
        <v>51.951098801340748</v>
      </c>
      <c r="BE405">
        <v>0.1200186647704113</v>
      </c>
      <c r="BF405">
        <v>632</v>
      </c>
      <c r="BG405">
        <v>10122.90230989918</v>
      </c>
      <c r="BH405">
        <v>3.5746256391666371</v>
      </c>
      <c r="BI405">
        <v>56.764600607364798</v>
      </c>
      <c r="BJ405">
        <v>0.1421909732720171</v>
      </c>
      <c r="BK405">
        <v>3.5746256391666371</v>
      </c>
    </row>
    <row r="406" spans="1:63" x14ac:dyDescent="0.2">
      <c r="A406">
        <v>404</v>
      </c>
      <c r="B406" t="s">
        <v>62</v>
      </c>
      <c r="C406" t="s">
        <v>63</v>
      </c>
      <c r="D406" t="s">
        <v>64</v>
      </c>
      <c r="E406">
        <v>-155.26785000000001</v>
      </c>
      <c r="F406">
        <v>19.407830000000001</v>
      </c>
      <c r="G406" t="s">
        <v>65</v>
      </c>
      <c r="H406" t="s">
        <v>892</v>
      </c>
      <c r="I406" t="s">
        <v>893</v>
      </c>
      <c r="J406" t="s">
        <v>68</v>
      </c>
      <c r="K406">
        <v>26.007903564062499</v>
      </c>
      <c r="L406">
        <v>18.518411190624999</v>
      </c>
      <c r="M406">
        <v>1513.069726421701</v>
      </c>
      <c r="N406">
        <v>44914.27925629435</v>
      </c>
      <c r="O406" t="s">
        <v>894</v>
      </c>
      <c r="Q406">
        <v>12.02</v>
      </c>
      <c r="R406">
        <v>1325.0039999999999</v>
      </c>
      <c r="S406">
        <v>50</v>
      </c>
      <c r="T406">
        <v>103.0716242</v>
      </c>
      <c r="U406">
        <v>6.0004683170000002E-3</v>
      </c>
      <c r="V406">
        <v>0.1273391898</v>
      </c>
      <c r="W406">
        <v>4.5176303760000001E-3</v>
      </c>
      <c r="X406">
        <v>3.008207370550386</v>
      </c>
      <c r="Y406">
        <v>7.778776942512633E-2</v>
      </c>
      <c r="Z406">
        <v>0.42125729984806581</v>
      </c>
      <c r="AA406">
        <v>2.713461453686928E-2</v>
      </c>
      <c r="AB406">
        <v>1.7992625742235819</v>
      </c>
      <c r="AC406">
        <v>0.1108147068896968</v>
      </c>
      <c r="AD406">
        <v>1208.425315560929</v>
      </c>
      <c r="AE406">
        <v>50</v>
      </c>
      <c r="AF406">
        <v>83.546934530000001</v>
      </c>
      <c r="BE406">
        <v>5.9284188440091853E-2</v>
      </c>
      <c r="BF406">
        <v>6976</v>
      </c>
      <c r="BG406">
        <v>446573.83826147922</v>
      </c>
      <c r="BH406">
        <v>15.75371385680883</v>
      </c>
      <c r="BI406">
        <v>377.02634872070939</v>
      </c>
      <c r="BJ406">
        <v>0.18861651527380219</v>
      </c>
      <c r="BK406">
        <v>15.75371385680883</v>
      </c>
    </row>
    <row r="407" spans="1:63" x14ac:dyDescent="0.2">
      <c r="A407">
        <v>405</v>
      </c>
      <c r="B407" t="s">
        <v>69</v>
      </c>
      <c r="C407" t="s">
        <v>76</v>
      </c>
      <c r="D407" t="s">
        <v>71</v>
      </c>
      <c r="E407">
        <v>-155.29812000000001</v>
      </c>
      <c r="F407">
        <v>19.375624999999999</v>
      </c>
      <c r="G407" t="s">
        <v>77</v>
      </c>
      <c r="H407" t="s">
        <v>694</v>
      </c>
      <c r="I407" t="s">
        <v>895</v>
      </c>
      <c r="J407" t="s">
        <v>68</v>
      </c>
      <c r="K407">
        <v>12.630331451562499</v>
      </c>
      <c r="L407">
        <v>12.15994990625</v>
      </c>
      <c r="M407">
        <v>482.49898735993088</v>
      </c>
      <c r="N407">
        <v>7974.1904343415372</v>
      </c>
      <c r="Q407">
        <v>11.958</v>
      </c>
      <c r="R407">
        <v>1324.9639999999999</v>
      </c>
      <c r="S407">
        <v>50</v>
      </c>
      <c r="T407">
        <v>103.0720414298829</v>
      </c>
      <c r="U407">
        <v>6.2929488731660417E-3</v>
      </c>
      <c r="V407">
        <v>0.127504510425787</v>
      </c>
      <c r="W407">
        <v>4.5799659681861581E-3</v>
      </c>
      <c r="X407">
        <v>0</v>
      </c>
      <c r="Y407">
        <v>7.2264665325542099E-2</v>
      </c>
      <c r="Z407">
        <v>0.45276615556359362</v>
      </c>
      <c r="AA407">
        <v>3.024829293247697E-2</v>
      </c>
      <c r="AB407">
        <v>1.927550721864181</v>
      </c>
      <c r="AC407">
        <v>0.1225773321717562</v>
      </c>
      <c r="AD407">
        <v>1320.8876904230699</v>
      </c>
      <c r="AE407">
        <v>50</v>
      </c>
      <c r="AF407">
        <v>89.082715379566679</v>
      </c>
      <c r="AG407">
        <v>2.5039199999999999</v>
      </c>
      <c r="AH407">
        <v>14.096819999999999</v>
      </c>
      <c r="AI407">
        <v>0.27322000000000002</v>
      </c>
      <c r="AJ407">
        <v>10.95044</v>
      </c>
      <c r="AK407">
        <v>0.52094000000000007</v>
      </c>
      <c r="AL407">
        <v>2.9191400000000001</v>
      </c>
      <c r="AM407">
        <v>50.91704</v>
      </c>
      <c r="AN407">
        <v>6.4346599999999992</v>
      </c>
      <c r="AO407">
        <v>10.86684</v>
      </c>
      <c r="AP407">
        <v>0.19492000000000001</v>
      </c>
      <c r="AQ407">
        <v>99.70778</v>
      </c>
      <c r="AR407">
        <v>5.8797253337209539E-2</v>
      </c>
      <c r="AS407">
        <v>0.138496180452748</v>
      </c>
      <c r="AT407">
        <v>2.822688434808206E-2</v>
      </c>
      <c r="AU407">
        <v>7.1287502411011894E-2</v>
      </c>
      <c r="AV407">
        <v>1.2819243347405491E-2</v>
      </c>
      <c r="AW407">
        <v>2.3721045508155889E-2</v>
      </c>
      <c r="AX407">
        <v>0.39733328327740491</v>
      </c>
      <c r="AY407">
        <v>8.3972662218129629E-2</v>
      </c>
      <c r="AZ407">
        <v>5.8132675837260117E-2</v>
      </c>
      <c r="BA407">
        <v>1.931080008699795E-2</v>
      </c>
      <c r="BD407" t="s">
        <v>696</v>
      </c>
      <c r="BE407">
        <v>1.307637228218955</v>
      </c>
      <c r="BF407">
        <v>13751</v>
      </c>
      <c r="BG407">
        <v>1376428.005507167</v>
      </c>
      <c r="BH407">
        <v>3334.1521370544651</v>
      </c>
      <c r="BI407">
        <v>661.9143764666004</v>
      </c>
      <c r="BJ407">
        <v>28.432711064375891</v>
      </c>
      <c r="BK407">
        <v>3334.152137054466</v>
      </c>
    </row>
    <row r="408" spans="1:63" x14ac:dyDescent="0.2">
      <c r="A408">
        <v>406</v>
      </c>
      <c r="B408" t="s">
        <v>69</v>
      </c>
      <c r="C408" t="s">
        <v>70</v>
      </c>
      <c r="D408" t="s">
        <v>71</v>
      </c>
      <c r="E408">
        <v>-155.29347999999999</v>
      </c>
      <c r="F408">
        <v>19.377479999999998</v>
      </c>
      <c r="G408" t="s">
        <v>112</v>
      </c>
      <c r="H408" t="s">
        <v>762</v>
      </c>
      <c r="I408" t="s">
        <v>896</v>
      </c>
      <c r="J408" t="s">
        <v>68</v>
      </c>
      <c r="K408">
        <v>5.4231609890624997</v>
      </c>
      <c r="L408">
        <v>5.4196159835937499</v>
      </c>
      <c r="M408">
        <v>92.335963329001743</v>
      </c>
      <c r="N408">
        <v>667.4521712878211</v>
      </c>
      <c r="Q408">
        <v>11.957000000000001</v>
      </c>
      <c r="R408">
        <v>1324.9639999999999</v>
      </c>
      <c r="S408">
        <v>50</v>
      </c>
      <c r="T408">
        <v>103.07255424514651</v>
      </c>
      <c r="U408">
        <v>7.7539444001828214E-3</v>
      </c>
      <c r="V408">
        <v>0.12770770841915891</v>
      </c>
      <c r="W408">
        <v>4.9194938900652121E-3</v>
      </c>
      <c r="X408">
        <v>0</v>
      </c>
      <c r="Y408">
        <v>7.3286787239685292E-2</v>
      </c>
      <c r="Z408">
        <v>0.44653393919450129</v>
      </c>
      <c r="AA408">
        <v>2.8536660400817818E-2</v>
      </c>
      <c r="AB408">
        <v>1.902240945986994</v>
      </c>
      <c r="AC408">
        <v>0.115844312143912</v>
      </c>
      <c r="AD408">
        <v>1295.2825770222321</v>
      </c>
      <c r="AE408">
        <v>50</v>
      </c>
      <c r="AF408">
        <v>88.079310986080785</v>
      </c>
      <c r="AG408">
        <v>2.1280100000000002</v>
      </c>
      <c r="AH408">
        <v>12.511455</v>
      </c>
      <c r="AI408">
        <v>0.21128</v>
      </c>
      <c r="AJ408">
        <v>10.547185000000001</v>
      </c>
      <c r="AK408">
        <v>0.43435000000000001</v>
      </c>
      <c r="AL408">
        <v>2.4173399999999998</v>
      </c>
      <c r="AM408">
        <v>50.003889999999998</v>
      </c>
      <c r="AN408">
        <v>8.5805450000000008</v>
      </c>
      <c r="AO408">
        <v>11.0444</v>
      </c>
      <c r="AP408">
        <v>0.37786999999999998</v>
      </c>
      <c r="AQ408">
        <v>98.290260000000004</v>
      </c>
      <c r="AR408">
        <v>4.7093422517846893E-2</v>
      </c>
      <c r="AS408">
        <v>0.17423154844121161</v>
      </c>
      <c r="AT408">
        <v>2.1925114974993089E-2</v>
      </c>
      <c r="AU408">
        <v>0.1853741817244248</v>
      </c>
      <c r="AV408">
        <v>1.0520403456564249E-2</v>
      </c>
      <c r="AW408">
        <v>3.5166562401109248E-2</v>
      </c>
      <c r="AX408">
        <v>0.46106226248619608</v>
      </c>
      <c r="AY408">
        <v>0.4051107053427907</v>
      </c>
      <c r="AZ408">
        <v>0.14841023100402101</v>
      </c>
      <c r="BA408">
        <v>1.7068639208924791E-2</v>
      </c>
      <c r="BD408" t="s">
        <v>764</v>
      </c>
      <c r="BE408">
        <v>9.9060882024748428E-2</v>
      </c>
      <c r="BF408">
        <v>1615</v>
      </c>
      <c r="BG408">
        <v>163848.65000009091</v>
      </c>
      <c r="BH408">
        <v>110.3609648639879</v>
      </c>
      <c r="BI408">
        <v>228.3739151761792</v>
      </c>
      <c r="BJ408">
        <v>2.7461814260147608</v>
      </c>
      <c r="BK408">
        <v>110.3609648639879</v>
      </c>
    </row>
    <row r="409" spans="1:63" x14ac:dyDescent="0.2">
      <c r="A409">
        <v>407</v>
      </c>
      <c r="B409" t="s">
        <v>69</v>
      </c>
      <c r="C409" t="s">
        <v>236</v>
      </c>
      <c r="D409" t="s">
        <v>64</v>
      </c>
      <c r="E409">
        <v>-155.292979</v>
      </c>
      <c r="F409">
        <v>19.400748</v>
      </c>
      <c r="G409" t="s">
        <v>237</v>
      </c>
      <c r="H409" t="s">
        <v>438</v>
      </c>
      <c r="I409" t="s">
        <v>897</v>
      </c>
      <c r="J409" t="s">
        <v>68</v>
      </c>
      <c r="K409">
        <v>6.8565054953125006</v>
      </c>
      <c r="L409">
        <v>6.14872481328125</v>
      </c>
      <c r="M409">
        <v>132.44566788945079</v>
      </c>
      <c r="N409">
        <v>1148.324276185218</v>
      </c>
      <c r="Q409">
        <v>10.021000000000001</v>
      </c>
      <c r="R409">
        <v>1324.9639999999999</v>
      </c>
      <c r="S409">
        <v>50</v>
      </c>
      <c r="T409">
        <v>103.0726793588113</v>
      </c>
      <c r="U409">
        <v>1.0615968004881021E-2</v>
      </c>
      <c r="V409">
        <v>0.12775728347562421</v>
      </c>
      <c r="W409">
        <v>5.6970888333234297E-3</v>
      </c>
      <c r="X409">
        <v>5.4662309949196004</v>
      </c>
      <c r="Y409">
        <v>7.8415707266869861E-2</v>
      </c>
      <c r="Z409">
        <v>0.41798467662335709</v>
      </c>
      <c r="AA409">
        <v>3.0952333253454908E-2</v>
      </c>
      <c r="AB409">
        <v>1.785891160062854</v>
      </c>
      <c r="AC409">
        <v>0.12649078124978469</v>
      </c>
      <c r="AD409">
        <v>1191.58945313343</v>
      </c>
      <c r="AE409">
        <v>50</v>
      </c>
      <c r="AF409">
        <v>82.289571922058443</v>
      </c>
      <c r="AG409">
        <v>2.0274999999999999</v>
      </c>
      <c r="AH409">
        <v>12.7525</v>
      </c>
      <c r="AI409">
        <v>0.17249999999999999</v>
      </c>
      <c r="AJ409">
        <v>11.092499999999999</v>
      </c>
      <c r="AK409">
        <v>0.51750000000000007</v>
      </c>
      <c r="AL409">
        <v>2.5150000000000001</v>
      </c>
      <c r="AM409">
        <v>50.63</v>
      </c>
      <c r="AN409">
        <v>7.415</v>
      </c>
      <c r="AP409">
        <v>1685.75</v>
      </c>
      <c r="AR409">
        <v>0.17231270024773751</v>
      </c>
      <c r="AS409">
        <v>0.13450526631573459</v>
      </c>
      <c r="AT409">
        <v>4.9999999999999836E-3</v>
      </c>
      <c r="AU409">
        <v>0.29227555491350982</v>
      </c>
      <c r="AV409">
        <v>2.061552812808835E-2</v>
      </c>
      <c r="AW409">
        <v>6.2449979983983737E-2</v>
      </c>
      <c r="AX409">
        <v>0.21556128285632961</v>
      </c>
      <c r="AY409">
        <v>0.39770173078158311</v>
      </c>
      <c r="BA409">
        <v>51.951098801340748</v>
      </c>
      <c r="BE409">
        <v>8.6792328845504904E-2</v>
      </c>
      <c r="BF409">
        <v>13981</v>
      </c>
      <c r="BG409">
        <v>224551.37747300559</v>
      </c>
      <c r="BH409">
        <v>375.53398268528213</v>
      </c>
      <c r="BI409">
        <v>267.35168487564431</v>
      </c>
      <c r="BJ409">
        <v>3.1759973053499051</v>
      </c>
      <c r="BK409">
        <v>375.53398268528213</v>
      </c>
    </row>
    <row r="410" spans="1:63" x14ac:dyDescent="0.2">
      <c r="A410">
        <v>408</v>
      </c>
      <c r="B410" t="s">
        <v>69</v>
      </c>
      <c r="C410" t="s">
        <v>91</v>
      </c>
      <c r="D410" t="s">
        <v>92</v>
      </c>
      <c r="E410">
        <v>-155.28360000000001</v>
      </c>
      <c r="F410">
        <v>19.4285</v>
      </c>
      <c r="G410" t="s">
        <v>93</v>
      </c>
      <c r="H410" t="s">
        <v>863</v>
      </c>
      <c r="I410" t="s">
        <v>898</v>
      </c>
      <c r="J410" t="s">
        <v>68</v>
      </c>
      <c r="K410">
        <v>8.7895795429687489</v>
      </c>
      <c r="L410">
        <v>8.129104343749999</v>
      </c>
      <c r="M410">
        <v>224.47122236482369</v>
      </c>
      <c r="N410">
        <v>2531.8384352372009</v>
      </c>
      <c r="Q410">
        <v>12.076499999999999</v>
      </c>
      <c r="R410">
        <v>1325.0039999999999</v>
      </c>
      <c r="S410">
        <v>50</v>
      </c>
      <c r="T410">
        <v>103.07289103608559</v>
      </c>
      <c r="U410">
        <v>1.7668749126221719E-3</v>
      </c>
      <c r="V410">
        <v>0.12784115850904951</v>
      </c>
      <c r="W410">
        <v>3.9057722119639599E-3</v>
      </c>
      <c r="X410">
        <v>0</v>
      </c>
      <c r="Y410">
        <v>7.7311614804160489E-2</v>
      </c>
      <c r="Z410">
        <v>0.42378936986198379</v>
      </c>
      <c r="AA410">
        <v>2.4197723803476841E-2</v>
      </c>
      <c r="AB410">
        <v>1.80960211568278</v>
      </c>
      <c r="AC410">
        <v>9.8719579029411073E-2</v>
      </c>
      <c r="AD410">
        <v>1211.4915262166271</v>
      </c>
      <c r="AE410">
        <v>50</v>
      </c>
      <c r="AF410">
        <v>83.755363340324664</v>
      </c>
      <c r="AG410">
        <v>2.1005484848484852</v>
      </c>
      <c r="AH410">
        <v>12.543751515151509</v>
      </c>
      <c r="AJ410">
        <v>10.35766363636364</v>
      </c>
      <c r="AK410">
        <v>0.36914545454545461</v>
      </c>
      <c r="AL410">
        <v>2.199157575757575</v>
      </c>
      <c r="AM410">
        <v>49.88770303030303</v>
      </c>
      <c r="AN410">
        <v>8.5799181818181811</v>
      </c>
      <c r="AP410">
        <v>1.6854545454545459E-2</v>
      </c>
      <c r="AQ410">
        <v>97.165912121212131</v>
      </c>
      <c r="AR410">
        <v>0.12875285220435931</v>
      </c>
      <c r="AS410">
        <v>0.27438160598108169</v>
      </c>
      <c r="AU410">
        <v>0.23223845883350949</v>
      </c>
      <c r="AV410">
        <v>3.2777460728649822E-2</v>
      </c>
      <c r="AW410">
        <v>6.9021124620940399E-2</v>
      </c>
      <c r="AX410">
        <v>0.52796007335122563</v>
      </c>
      <c r="AY410">
        <v>0.70241800520351916</v>
      </c>
      <c r="BA410">
        <v>4.4618585609790254E-3</v>
      </c>
      <c r="BB410">
        <v>33</v>
      </c>
      <c r="BC410" t="s">
        <v>86</v>
      </c>
    </row>
    <row r="411" spans="1:63" x14ac:dyDescent="0.2">
      <c r="A411">
        <v>409</v>
      </c>
      <c r="B411" t="s">
        <v>69</v>
      </c>
      <c r="C411" t="s">
        <v>81</v>
      </c>
      <c r="D411" t="s">
        <v>71</v>
      </c>
      <c r="E411">
        <v>-155.29106999999999</v>
      </c>
      <c r="F411">
        <v>19.383150000000001</v>
      </c>
      <c r="G411" t="s">
        <v>87</v>
      </c>
      <c r="H411" t="s">
        <v>899</v>
      </c>
      <c r="I411" t="s">
        <v>900</v>
      </c>
      <c r="J411" t="s">
        <v>68</v>
      </c>
      <c r="K411">
        <v>4.2277386531249999</v>
      </c>
      <c r="L411">
        <v>4.2159994546875001</v>
      </c>
      <c r="M411">
        <v>55.996199394965338</v>
      </c>
      <c r="N411">
        <v>315.21149514929073</v>
      </c>
      <c r="Q411">
        <v>12.039</v>
      </c>
      <c r="R411">
        <v>1325.0039999999999</v>
      </c>
      <c r="S411">
        <v>50</v>
      </c>
      <c r="T411">
        <v>103.07330481083579</v>
      </c>
      <c r="U411">
        <v>2.243646817587298E-3</v>
      </c>
      <c r="V411">
        <v>0.12800511267525391</v>
      </c>
      <c r="W411">
        <v>3.9441950782614183E-3</v>
      </c>
      <c r="X411">
        <v>0</v>
      </c>
      <c r="Y411">
        <v>7.6734391476495856E-2</v>
      </c>
      <c r="Z411">
        <v>0.42689523492354092</v>
      </c>
      <c r="AA411">
        <v>2.513894439931531E-2</v>
      </c>
      <c r="AB411">
        <v>1.822277465602328</v>
      </c>
      <c r="AC411">
        <v>0.10251405734919081</v>
      </c>
      <c r="AD411">
        <v>1220.6840122265201</v>
      </c>
      <c r="AE411">
        <v>50</v>
      </c>
      <c r="AF411">
        <v>84.349531687642781</v>
      </c>
      <c r="AG411">
        <v>2.2102200000000001</v>
      </c>
      <c r="AH411">
        <v>12.516225</v>
      </c>
      <c r="AI411">
        <v>0.22873499999999999</v>
      </c>
      <c r="AJ411">
        <v>10.535360000000001</v>
      </c>
      <c r="AK411">
        <v>0.37534499999999998</v>
      </c>
      <c r="AL411">
        <v>2.4377900000000001</v>
      </c>
      <c r="AM411">
        <v>50.224780000000003</v>
      </c>
      <c r="AN411">
        <v>8.9844449999999991</v>
      </c>
      <c r="AP411">
        <v>0.178455</v>
      </c>
      <c r="AQ411">
        <v>99.610560000000007</v>
      </c>
      <c r="AR411">
        <v>1.7587090435884831E-2</v>
      </c>
      <c r="AS411">
        <v>0.12699126938494701</v>
      </c>
      <c r="AT411">
        <v>8.073250584491971E-3</v>
      </c>
      <c r="AU411">
        <v>6.9056800896073786E-2</v>
      </c>
      <c r="AV411">
        <v>2.248073063759274E-2</v>
      </c>
      <c r="AW411">
        <v>2.1205111412109991E-2</v>
      </c>
      <c r="AX411">
        <v>0.5052093298821787</v>
      </c>
      <c r="AY411">
        <v>0.13192220766421431</v>
      </c>
      <c r="BA411">
        <v>1.2962040734390541E-2</v>
      </c>
      <c r="BB411">
        <v>5</v>
      </c>
      <c r="BC411" t="s">
        <v>86</v>
      </c>
    </row>
    <row r="412" spans="1:63" x14ac:dyDescent="0.2">
      <c r="A412">
        <v>410</v>
      </c>
      <c r="B412" t="s">
        <v>69</v>
      </c>
      <c r="C412" t="s">
        <v>278</v>
      </c>
      <c r="D412" t="s">
        <v>144</v>
      </c>
      <c r="E412">
        <v>-154.873789449106</v>
      </c>
      <c r="F412">
        <v>19.5537282409346</v>
      </c>
      <c r="G412" t="s">
        <v>279</v>
      </c>
      <c r="H412" t="s">
        <v>901</v>
      </c>
      <c r="I412" t="s">
        <v>902</v>
      </c>
      <c r="J412" t="s">
        <v>68</v>
      </c>
      <c r="K412">
        <v>3.1260555601562499</v>
      </c>
      <c r="L412">
        <v>2.6617760734374998</v>
      </c>
      <c r="M412">
        <v>26.140752315357691</v>
      </c>
      <c r="N412">
        <v>100.8655154511775</v>
      </c>
      <c r="O412" t="s">
        <v>903</v>
      </c>
      <c r="Q412">
        <v>11.958</v>
      </c>
      <c r="R412">
        <v>1325.0039999999999</v>
      </c>
      <c r="S412">
        <v>50</v>
      </c>
      <c r="T412">
        <v>103.0733051746619</v>
      </c>
      <c r="U412">
        <v>1.3339264965785301E-2</v>
      </c>
      <c r="V412">
        <v>0.12800525683778119</v>
      </c>
      <c r="W412">
        <v>6.5347821681317423E-3</v>
      </c>
      <c r="X412">
        <v>0</v>
      </c>
      <c r="Y412">
        <v>7.606312805818638E-2</v>
      </c>
      <c r="Z412">
        <v>0.43056667271809712</v>
      </c>
      <c r="AA412">
        <v>3.081552595013954E-2</v>
      </c>
      <c r="AB412">
        <v>1.837250694642615</v>
      </c>
      <c r="AC412">
        <v>0.12547383997793771</v>
      </c>
      <c r="AD412">
        <v>1233.895548700943</v>
      </c>
      <c r="AE412">
        <v>50</v>
      </c>
      <c r="AF412">
        <v>85.134713829307245</v>
      </c>
    </row>
    <row r="413" spans="1:63" x14ac:dyDescent="0.2">
      <c r="A413">
        <v>411</v>
      </c>
      <c r="B413" t="s">
        <v>69</v>
      </c>
      <c r="C413" t="s">
        <v>81</v>
      </c>
      <c r="D413" t="s">
        <v>71</v>
      </c>
      <c r="E413">
        <v>-155.29106999999999</v>
      </c>
      <c r="F413">
        <v>19.383150000000001</v>
      </c>
      <c r="G413" t="s">
        <v>87</v>
      </c>
      <c r="H413" t="s">
        <v>601</v>
      </c>
      <c r="I413" t="s">
        <v>904</v>
      </c>
      <c r="J413" t="s">
        <v>68</v>
      </c>
      <c r="K413">
        <v>3.7774648437499998</v>
      </c>
      <c r="L413">
        <v>3.0827018867187501</v>
      </c>
      <c r="M413">
        <v>36.583211851981943</v>
      </c>
      <c r="N413">
        <v>167.3112885604377</v>
      </c>
      <c r="O413" t="s">
        <v>603</v>
      </c>
      <c r="Q413">
        <v>12.071999999999999</v>
      </c>
      <c r="R413">
        <v>1325.0039999999999</v>
      </c>
      <c r="S413">
        <v>50</v>
      </c>
      <c r="T413">
        <v>103.0743079272993</v>
      </c>
      <c r="U413">
        <v>2.5440225148086102E-3</v>
      </c>
      <c r="V413">
        <v>0.12840258768623161</v>
      </c>
      <c r="W413">
        <v>3.9735094431971414E-3</v>
      </c>
      <c r="X413">
        <v>0</v>
      </c>
      <c r="Y413">
        <v>7.5900189818344788E-2</v>
      </c>
      <c r="Z413">
        <v>0.43147511931346683</v>
      </c>
      <c r="AA413">
        <v>2.6633391807425549E-2</v>
      </c>
      <c r="AB413">
        <v>1.8409538966440291</v>
      </c>
      <c r="AC413">
        <v>0.1084942239332328</v>
      </c>
      <c r="AD413">
        <v>1232.28583801385</v>
      </c>
      <c r="AE413">
        <v>50</v>
      </c>
      <c r="AF413">
        <v>85.04287164858448</v>
      </c>
      <c r="AG413">
        <v>2.2102200000000001</v>
      </c>
      <c r="AH413">
        <v>12.516225</v>
      </c>
      <c r="AI413">
        <v>0.22873499999999999</v>
      </c>
      <c r="AJ413">
        <v>10.535360000000001</v>
      </c>
      <c r="AK413">
        <v>0.37534499999999998</v>
      </c>
      <c r="AL413">
        <v>2.4377900000000001</v>
      </c>
      <c r="AM413">
        <v>50.224780000000003</v>
      </c>
      <c r="AN413">
        <v>8.9844449999999991</v>
      </c>
      <c r="AP413">
        <v>0.178455</v>
      </c>
      <c r="AQ413">
        <v>99.610560000000007</v>
      </c>
      <c r="AR413">
        <v>1.7587090435884831E-2</v>
      </c>
      <c r="AS413">
        <v>0.12699126938494701</v>
      </c>
      <c r="AT413">
        <v>8.073250584491971E-3</v>
      </c>
      <c r="AU413">
        <v>6.9056800896073786E-2</v>
      </c>
      <c r="AV413">
        <v>2.248073063759274E-2</v>
      </c>
      <c r="AW413">
        <v>2.1205111412109991E-2</v>
      </c>
      <c r="AX413">
        <v>0.5052093298821787</v>
      </c>
      <c r="AY413">
        <v>0.13192220766421431</v>
      </c>
      <c r="BA413">
        <v>1.2962040734390541E-2</v>
      </c>
      <c r="BB413">
        <v>5</v>
      </c>
      <c r="BC413" t="s">
        <v>86</v>
      </c>
    </row>
    <row r="414" spans="1:63" x14ac:dyDescent="0.2">
      <c r="A414">
        <v>412</v>
      </c>
      <c r="B414" t="s">
        <v>69</v>
      </c>
      <c r="C414" t="s">
        <v>91</v>
      </c>
      <c r="D414" t="s">
        <v>92</v>
      </c>
      <c r="E414">
        <v>-155.28360000000001</v>
      </c>
      <c r="F414">
        <v>19.4285</v>
      </c>
      <c r="G414" t="s">
        <v>93</v>
      </c>
      <c r="H414" t="s">
        <v>592</v>
      </c>
      <c r="I414" t="s">
        <v>905</v>
      </c>
      <c r="J414" t="s">
        <v>68</v>
      </c>
      <c r="K414">
        <v>7.77024518359375</v>
      </c>
      <c r="L414">
        <v>6.7560830453124998</v>
      </c>
      <c r="M414">
        <v>164.92237288692829</v>
      </c>
      <c r="N414">
        <v>1597.1443472303929</v>
      </c>
      <c r="O414" t="s">
        <v>906</v>
      </c>
      <c r="Q414">
        <v>11.938000000000001</v>
      </c>
      <c r="R414">
        <v>1325.0039999999999</v>
      </c>
      <c r="S414">
        <v>50</v>
      </c>
      <c r="T414">
        <v>103.0744769564245</v>
      </c>
      <c r="U414">
        <v>2.8573845985010332E-3</v>
      </c>
      <c r="V414">
        <v>0.12846956381097391</v>
      </c>
      <c r="W414">
        <v>4.0069433664516978E-3</v>
      </c>
      <c r="X414">
        <v>0</v>
      </c>
      <c r="Y414">
        <v>7.3365901618840379E-2</v>
      </c>
      <c r="Z414">
        <v>0.44607277913324561</v>
      </c>
      <c r="AA414">
        <v>2.7054554365995399E-2</v>
      </c>
      <c r="AB414">
        <v>1.900366858058409</v>
      </c>
      <c r="AC414">
        <v>0.1098676829110334</v>
      </c>
      <c r="AD414">
        <v>1283.8477236398969</v>
      </c>
      <c r="AE414">
        <v>50</v>
      </c>
      <c r="AF414">
        <v>87.59639236017621</v>
      </c>
      <c r="AG414">
        <v>2.1005484848484852</v>
      </c>
      <c r="AH414">
        <v>12.543751515151509</v>
      </c>
      <c r="AJ414">
        <v>10.35766363636364</v>
      </c>
      <c r="AK414">
        <v>0.36914545454545461</v>
      </c>
      <c r="AL414">
        <v>2.199157575757575</v>
      </c>
      <c r="AM414">
        <v>49.88770303030303</v>
      </c>
      <c r="AN414">
        <v>8.5799181818181811</v>
      </c>
      <c r="AP414">
        <v>1.6854545454545459E-2</v>
      </c>
      <c r="AQ414">
        <v>97.165912121212131</v>
      </c>
      <c r="AR414">
        <v>0.12875285220435931</v>
      </c>
      <c r="AS414">
        <v>0.27438160598108169</v>
      </c>
      <c r="AU414">
        <v>0.23223845883350949</v>
      </c>
      <c r="AV414">
        <v>3.2777460728649822E-2</v>
      </c>
      <c r="AW414">
        <v>6.9021124620940399E-2</v>
      </c>
      <c r="AX414">
        <v>0.52796007335122563</v>
      </c>
      <c r="AY414">
        <v>0.70241800520351916</v>
      </c>
      <c r="BA414">
        <v>4.4618585609790254E-3</v>
      </c>
      <c r="BB414">
        <v>33</v>
      </c>
      <c r="BC414" t="s">
        <v>86</v>
      </c>
    </row>
    <row r="415" spans="1:63" x14ac:dyDescent="0.2">
      <c r="A415">
        <v>413</v>
      </c>
      <c r="B415" t="s">
        <v>69</v>
      </c>
      <c r="C415" t="s">
        <v>81</v>
      </c>
      <c r="D415" t="s">
        <v>71</v>
      </c>
      <c r="E415">
        <v>-155.29106999999999</v>
      </c>
      <c r="F415">
        <v>19.383150000000001</v>
      </c>
      <c r="G415" t="s">
        <v>87</v>
      </c>
      <c r="H415" t="s">
        <v>484</v>
      </c>
      <c r="I415" t="s">
        <v>907</v>
      </c>
      <c r="J415" t="s">
        <v>68</v>
      </c>
      <c r="K415">
        <v>14.5648583703125</v>
      </c>
      <c r="L415">
        <v>13.133547883593749</v>
      </c>
      <c r="M415">
        <v>600.94980748983551</v>
      </c>
      <c r="N415">
        <v>11096.90127070681</v>
      </c>
      <c r="O415" t="s">
        <v>908</v>
      </c>
      <c r="Q415">
        <v>12.018000000000001</v>
      </c>
      <c r="R415">
        <v>1325.0039999999999</v>
      </c>
      <c r="S415">
        <v>50</v>
      </c>
      <c r="T415">
        <v>103.0745865710347</v>
      </c>
      <c r="U415">
        <v>9.7180417987579714E-3</v>
      </c>
      <c r="V415">
        <v>0.12851299751980599</v>
      </c>
      <c r="W415">
        <v>5.4407823274918504E-3</v>
      </c>
      <c r="X415">
        <v>2.837404460484326</v>
      </c>
      <c r="Y415">
        <v>7.6463454649013718E-2</v>
      </c>
      <c r="Z415">
        <v>0.4283774547888049</v>
      </c>
      <c r="AA415">
        <v>3.1084341939529331E-2</v>
      </c>
      <c r="AB415">
        <v>1.828323744261183</v>
      </c>
      <c r="AC415">
        <v>0.12666563521459431</v>
      </c>
      <c r="AD415">
        <v>1219.8390239717639</v>
      </c>
      <c r="AE415">
        <v>50</v>
      </c>
      <c r="AF415">
        <v>84.296696338095913</v>
      </c>
      <c r="AG415">
        <v>2.2102200000000001</v>
      </c>
      <c r="AH415">
        <v>12.516225</v>
      </c>
      <c r="AI415">
        <v>0.22873499999999999</v>
      </c>
      <c r="AJ415">
        <v>10.535360000000001</v>
      </c>
      <c r="AK415">
        <v>0.37534499999999998</v>
      </c>
      <c r="AL415">
        <v>2.4377900000000001</v>
      </c>
      <c r="AM415">
        <v>50.224780000000003</v>
      </c>
      <c r="AN415">
        <v>8.9844449999999991</v>
      </c>
      <c r="AP415">
        <v>0.178455</v>
      </c>
      <c r="AQ415">
        <v>99.610560000000007</v>
      </c>
      <c r="AR415">
        <v>1.7587090435884831E-2</v>
      </c>
      <c r="AS415">
        <v>0.12699126938494701</v>
      </c>
      <c r="AT415">
        <v>8.073250584491971E-3</v>
      </c>
      <c r="AU415">
        <v>6.9056800896073786E-2</v>
      </c>
      <c r="AV415">
        <v>2.248073063759274E-2</v>
      </c>
      <c r="AW415">
        <v>2.1205111412109991E-2</v>
      </c>
      <c r="AX415">
        <v>0.5052093298821787</v>
      </c>
      <c r="AY415">
        <v>0.13192220766421431</v>
      </c>
      <c r="BA415">
        <v>1.2962040734390541E-2</v>
      </c>
      <c r="BB415">
        <v>5</v>
      </c>
      <c r="BC415" t="s">
        <v>86</v>
      </c>
    </row>
    <row r="416" spans="1:63" x14ac:dyDescent="0.2">
      <c r="A416">
        <v>414</v>
      </c>
      <c r="B416" t="s">
        <v>69</v>
      </c>
      <c r="C416" t="s">
        <v>91</v>
      </c>
      <c r="D416" t="s">
        <v>92</v>
      </c>
      <c r="E416">
        <v>-155.28360000000001</v>
      </c>
      <c r="F416">
        <v>19.4285</v>
      </c>
      <c r="G416" t="s">
        <v>93</v>
      </c>
      <c r="H416" t="s">
        <v>863</v>
      </c>
      <c r="I416" t="s">
        <v>909</v>
      </c>
      <c r="J416" t="s">
        <v>68</v>
      </c>
      <c r="K416">
        <v>5.8526877992187503</v>
      </c>
      <c r="L416">
        <v>5.4370504367187502</v>
      </c>
      <c r="M416">
        <v>99.969746891076127</v>
      </c>
      <c r="N416">
        <v>752.42151594211748</v>
      </c>
      <c r="Q416">
        <v>11.988</v>
      </c>
      <c r="R416">
        <v>1325.0039999999999</v>
      </c>
      <c r="S416">
        <v>50</v>
      </c>
      <c r="T416">
        <v>103.0751319517766</v>
      </c>
      <c r="U416">
        <v>2.1805893264678542E-3</v>
      </c>
      <c r="V416">
        <v>0.12872909926299059</v>
      </c>
      <c r="W416">
        <v>3.9401035696653578E-3</v>
      </c>
      <c r="X416">
        <v>0</v>
      </c>
      <c r="Y416">
        <v>7.7233368339403197E-2</v>
      </c>
      <c r="Z416">
        <v>0.42422223785537772</v>
      </c>
      <c r="AA416">
        <v>2.6585849580517101E-2</v>
      </c>
      <c r="AB416">
        <v>1.811369172364149</v>
      </c>
      <c r="AC416">
        <v>0.1084394990963906</v>
      </c>
      <c r="AD416">
        <v>1202.3787903955069</v>
      </c>
      <c r="AE416">
        <v>50</v>
      </c>
      <c r="AF416">
        <v>83.118881591705374</v>
      </c>
      <c r="AG416">
        <v>2.1005484848484852</v>
      </c>
      <c r="AH416">
        <v>12.543751515151509</v>
      </c>
      <c r="AJ416">
        <v>10.35766363636364</v>
      </c>
      <c r="AK416">
        <v>0.36914545454545461</v>
      </c>
      <c r="AL416">
        <v>2.199157575757575</v>
      </c>
      <c r="AM416">
        <v>49.88770303030303</v>
      </c>
      <c r="AN416">
        <v>8.5799181818181811</v>
      </c>
      <c r="AP416">
        <v>1.6854545454545459E-2</v>
      </c>
      <c r="AQ416">
        <v>97.165912121212131</v>
      </c>
      <c r="AR416">
        <v>0.12875285220435931</v>
      </c>
      <c r="AS416">
        <v>0.27438160598108169</v>
      </c>
      <c r="AU416">
        <v>0.23223845883350949</v>
      </c>
      <c r="AV416">
        <v>3.2777460728649822E-2</v>
      </c>
      <c r="AW416">
        <v>6.9021124620940399E-2</v>
      </c>
      <c r="AX416">
        <v>0.52796007335122563</v>
      </c>
      <c r="AY416">
        <v>0.70241800520351916</v>
      </c>
      <c r="BA416">
        <v>4.4618585609790254E-3</v>
      </c>
      <c r="BB416">
        <v>33</v>
      </c>
      <c r="BC416" t="s">
        <v>86</v>
      </c>
    </row>
    <row r="417" spans="1:63" x14ac:dyDescent="0.2">
      <c r="A417">
        <v>415</v>
      </c>
      <c r="B417" t="s">
        <v>69</v>
      </c>
      <c r="C417" t="s">
        <v>81</v>
      </c>
      <c r="D417" t="s">
        <v>71</v>
      </c>
      <c r="E417">
        <v>-155.29106999999999</v>
      </c>
      <c r="F417">
        <v>19.383150000000001</v>
      </c>
      <c r="G417" t="s">
        <v>87</v>
      </c>
      <c r="H417" t="s">
        <v>601</v>
      </c>
      <c r="I417" t="s">
        <v>910</v>
      </c>
      <c r="J417" t="s">
        <v>68</v>
      </c>
      <c r="K417">
        <v>15.896385670312499</v>
      </c>
      <c r="L417">
        <v>10.823715303906249</v>
      </c>
      <c r="M417">
        <v>540.53600068585979</v>
      </c>
      <c r="N417">
        <v>9628.7843456843657</v>
      </c>
      <c r="O417" t="s">
        <v>603</v>
      </c>
      <c r="Q417">
        <v>12.067</v>
      </c>
      <c r="R417">
        <v>1325.0039999999999</v>
      </c>
      <c r="S417">
        <v>50</v>
      </c>
      <c r="T417">
        <v>103.0761517250006</v>
      </c>
      <c r="U417">
        <v>2.5344075725763199E-3</v>
      </c>
      <c r="V417">
        <v>0.12913317435112501</v>
      </c>
      <c r="W417">
        <v>3.9740248953914533E-3</v>
      </c>
      <c r="X417">
        <v>8.6749256383997864</v>
      </c>
      <c r="Y417">
        <v>7.5297052939151121E-2</v>
      </c>
      <c r="Z417">
        <v>0.43486219346072552</v>
      </c>
      <c r="AA417">
        <v>2.6696428456741871E-2</v>
      </c>
      <c r="AB417">
        <v>1.8547550084758491</v>
      </c>
      <c r="AC417">
        <v>0.10867739480665541</v>
      </c>
      <c r="AD417">
        <v>1235.4643972407021</v>
      </c>
      <c r="AE417">
        <v>50</v>
      </c>
      <c r="AF417">
        <v>85.223285373827537</v>
      </c>
      <c r="AG417">
        <v>2.2102200000000001</v>
      </c>
      <c r="AH417">
        <v>12.516225</v>
      </c>
      <c r="AI417">
        <v>0.22873499999999999</v>
      </c>
      <c r="AJ417">
        <v>10.535360000000001</v>
      </c>
      <c r="AK417">
        <v>0.37534499999999998</v>
      </c>
      <c r="AL417">
        <v>2.4377900000000001</v>
      </c>
      <c r="AM417">
        <v>50.224780000000003</v>
      </c>
      <c r="AN417">
        <v>8.9844449999999991</v>
      </c>
      <c r="AP417">
        <v>0.178455</v>
      </c>
      <c r="AQ417">
        <v>99.610560000000007</v>
      </c>
      <c r="AR417">
        <v>1.7587090435884831E-2</v>
      </c>
      <c r="AS417">
        <v>0.12699126938494701</v>
      </c>
      <c r="AT417">
        <v>8.073250584491971E-3</v>
      </c>
      <c r="AU417">
        <v>6.9056800896073786E-2</v>
      </c>
      <c r="AV417">
        <v>2.248073063759274E-2</v>
      </c>
      <c r="AW417">
        <v>2.1205111412109991E-2</v>
      </c>
      <c r="AX417">
        <v>0.5052093298821787</v>
      </c>
      <c r="AY417">
        <v>0.13192220766421431</v>
      </c>
      <c r="BA417">
        <v>1.2962040734390541E-2</v>
      </c>
      <c r="BB417">
        <v>5</v>
      </c>
      <c r="BC417" t="s">
        <v>86</v>
      </c>
    </row>
    <row r="418" spans="1:63" x14ac:dyDescent="0.2">
      <c r="A418">
        <v>416</v>
      </c>
      <c r="B418" t="s">
        <v>69</v>
      </c>
      <c r="C418" t="s">
        <v>81</v>
      </c>
      <c r="D418" t="s">
        <v>71</v>
      </c>
      <c r="E418">
        <v>-155.29106999999999</v>
      </c>
      <c r="F418">
        <v>19.383150000000001</v>
      </c>
      <c r="G418" t="s">
        <v>87</v>
      </c>
      <c r="H418" t="s">
        <v>601</v>
      </c>
      <c r="I418" t="s">
        <v>911</v>
      </c>
      <c r="J418" t="s">
        <v>68</v>
      </c>
      <c r="K418">
        <v>16.946753356249999</v>
      </c>
      <c r="L418">
        <v>12.997384804687499</v>
      </c>
      <c r="M418">
        <v>691.97811353597581</v>
      </c>
      <c r="N418">
        <v>13813.79215737744</v>
      </c>
      <c r="O418" t="s">
        <v>912</v>
      </c>
      <c r="Q418">
        <v>12.041</v>
      </c>
      <c r="R418">
        <v>1325.0039999999999</v>
      </c>
      <c r="S418">
        <v>50</v>
      </c>
      <c r="T418">
        <v>103.07637601081829</v>
      </c>
      <c r="U418">
        <v>2.7461564425263611E-3</v>
      </c>
      <c r="V418">
        <v>0.12922204539560059</v>
      </c>
      <c r="W418">
        <v>3.9962327387262362E-3</v>
      </c>
      <c r="X418">
        <v>0</v>
      </c>
      <c r="Y418">
        <v>7.4737220339988975E-2</v>
      </c>
      <c r="Z418">
        <v>0.43804970218762329</v>
      </c>
      <c r="AA418">
        <v>2.5431497726399171E-2</v>
      </c>
      <c r="AB418">
        <v>1.8677343375345501</v>
      </c>
      <c r="AC418">
        <v>0.1034747070178882</v>
      </c>
      <c r="AD418">
        <v>1245.7322467652091</v>
      </c>
      <c r="AE418">
        <v>50</v>
      </c>
      <c r="AF418">
        <v>85.781629290209125</v>
      </c>
      <c r="AG418">
        <v>2.2102200000000001</v>
      </c>
      <c r="AH418">
        <v>12.516225</v>
      </c>
      <c r="AI418">
        <v>0.22873499999999999</v>
      </c>
      <c r="AJ418">
        <v>10.535360000000001</v>
      </c>
      <c r="AK418">
        <v>0.37534499999999998</v>
      </c>
      <c r="AL418">
        <v>2.4377900000000001</v>
      </c>
      <c r="AM418">
        <v>50.224780000000003</v>
      </c>
      <c r="AN418">
        <v>8.9844449999999991</v>
      </c>
      <c r="AP418">
        <v>0.178455</v>
      </c>
      <c r="AQ418">
        <v>99.610560000000007</v>
      </c>
      <c r="AR418">
        <v>1.7587090435884831E-2</v>
      </c>
      <c r="AS418">
        <v>0.12699126938494701</v>
      </c>
      <c r="AT418">
        <v>8.073250584491971E-3</v>
      </c>
      <c r="AU418">
        <v>6.9056800896073786E-2</v>
      </c>
      <c r="AV418">
        <v>2.248073063759274E-2</v>
      </c>
      <c r="AW418">
        <v>2.1205111412109991E-2</v>
      </c>
      <c r="AX418">
        <v>0.5052093298821787</v>
      </c>
      <c r="AY418">
        <v>0.13192220766421431</v>
      </c>
      <c r="BA418">
        <v>1.2962040734390541E-2</v>
      </c>
      <c r="BB418">
        <v>5</v>
      </c>
      <c r="BC418" t="s">
        <v>86</v>
      </c>
    </row>
    <row r="419" spans="1:63" x14ac:dyDescent="0.2">
      <c r="A419">
        <v>417</v>
      </c>
      <c r="B419" t="s">
        <v>69</v>
      </c>
      <c r="C419" t="s">
        <v>91</v>
      </c>
      <c r="D419" t="s">
        <v>92</v>
      </c>
      <c r="E419">
        <v>-155.28360000000001</v>
      </c>
      <c r="F419">
        <v>19.4285</v>
      </c>
      <c r="G419" t="s">
        <v>212</v>
      </c>
      <c r="H419" t="s">
        <v>913</v>
      </c>
      <c r="I419" t="s">
        <v>914</v>
      </c>
      <c r="J419" t="s">
        <v>68</v>
      </c>
      <c r="K419">
        <v>11.617680299218749</v>
      </c>
      <c r="L419">
        <v>11.401783654687501</v>
      </c>
      <c r="M419">
        <v>416.14251737231382</v>
      </c>
      <c r="N419">
        <v>6386.2517855598562</v>
      </c>
      <c r="O419" t="s">
        <v>915</v>
      </c>
      <c r="Q419">
        <v>12.000999999999999</v>
      </c>
      <c r="R419">
        <v>1325.0039999999999</v>
      </c>
      <c r="S419">
        <v>50</v>
      </c>
      <c r="T419">
        <v>103.07708855837529</v>
      </c>
      <c r="U419">
        <v>7.654703862146596E-3</v>
      </c>
      <c r="V419">
        <v>0.12950438534151229</v>
      </c>
      <c r="W419">
        <v>4.8979736781294232E-3</v>
      </c>
      <c r="X419">
        <v>0</v>
      </c>
      <c r="Y419">
        <v>7.5839607596417058E-2</v>
      </c>
      <c r="Z419">
        <v>0.43183017987191907</v>
      </c>
      <c r="AA419">
        <v>4.0620304833571708E-2</v>
      </c>
      <c r="AB419">
        <v>1.8424010845639229</v>
      </c>
      <c r="AC419">
        <v>0.16533122519742249</v>
      </c>
      <c r="AD419">
        <v>1220.1822987351841</v>
      </c>
      <c r="AE419">
        <v>100</v>
      </c>
      <c r="AG419">
        <v>2.1021777777777779</v>
      </c>
      <c r="AH419">
        <v>12.18196296296296</v>
      </c>
      <c r="AJ419">
        <v>10.35145925925926</v>
      </c>
      <c r="AK419">
        <v>0.4553962962962963</v>
      </c>
      <c r="AL419">
        <v>2.3345296296296301</v>
      </c>
      <c r="AM419">
        <v>49.209007407407412</v>
      </c>
      <c r="AN419">
        <v>9.4706370370370365</v>
      </c>
      <c r="AP419">
        <v>1.7722222222222219E-2</v>
      </c>
      <c r="AQ419">
        <v>97.341288888888897</v>
      </c>
      <c r="AR419">
        <v>3.1603703937420069E-2</v>
      </c>
      <c r="AS419">
        <v>0.1308813941885143</v>
      </c>
      <c r="AU419">
        <v>0.12790190128874709</v>
      </c>
      <c r="AV419">
        <v>3.4622563579722238E-2</v>
      </c>
      <c r="AW419">
        <v>4.9585767303615608E-2</v>
      </c>
      <c r="AX419">
        <v>0.4308268757472053</v>
      </c>
      <c r="AY419">
        <v>0.20483483806030409</v>
      </c>
      <c r="BA419">
        <v>4.922736366426028E-3</v>
      </c>
      <c r="BB419">
        <v>27</v>
      </c>
      <c r="BC419" t="s">
        <v>86</v>
      </c>
    </row>
    <row r="420" spans="1:63" x14ac:dyDescent="0.2">
      <c r="A420">
        <v>418</v>
      </c>
      <c r="B420" t="s">
        <v>69</v>
      </c>
      <c r="C420" t="s">
        <v>76</v>
      </c>
      <c r="D420" t="s">
        <v>71</v>
      </c>
      <c r="E420">
        <v>-155.29812000000001</v>
      </c>
      <c r="F420">
        <v>19.375624999999999</v>
      </c>
      <c r="G420" t="s">
        <v>77</v>
      </c>
      <c r="H420" t="s">
        <v>382</v>
      </c>
      <c r="I420" t="s">
        <v>916</v>
      </c>
      <c r="J420" t="s">
        <v>68</v>
      </c>
      <c r="K420">
        <v>8.071686878125</v>
      </c>
      <c r="L420">
        <v>7.7312501234375004</v>
      </c>
      <c r="M420">
        <v>196.04867106396071</v>
      </c>
      <c r="N420">
        <v>2065.4298653758801</v>
      </c>
      <c r="Q420">
        <v>11.888999999999999</v>
      </c>
      <c r="R420">
        <v>1324.9639999999999</v>
      </c>
      <c r="S420">
        <v>50</v>
      </c>
      <c r="T420">
        <v>103.07745174377369</v>
      </c>
      <c r="U420">
        <v>4.76056500625091E-3</v>
      </c>
      <c r="V420">
        <v>0.12964829397570549</v>
      </c>
      <c r="W420">
        <v>4.2838109985608962E-3</v>
      </c>
      <c r="X420">
        <v>7.1956025868070936</v>
      </c>
      <c r="Y420">
        <v>7.4764553593242633E-2</v>
      </c>
      <c r="Z420">
        <v>0.43790017272345361</v>
      </c>
      <c r="AA420">
        <v>2.901927614291613E-2</v>
      </c>
      <c r="AB420">
        <v>1.86712565001023</v>
      </c>
      <c r="AC420">
        <v>0.11805153218424411</v>
      </c>
      <c r="AD420">
        <v>1239.979225590773</v>
      </c>
      <c r="AE420">
        <v>50</v>
      </c>
      <c r="AF420">
        <v>85.473210403496054</v>
      </c>
      <c r="AG420">
        <v>2.5039199999999999</v>
      </c>
      <c r="AH420">
        <v>14.096819999999999</v>
      </c>
      <c r="AI420">
        <v>0.27322000000000002</v>
      </c>
      <c r="AJ420">
        <v>10.95044</v>
      </c>
      <c r="AK420">
        <v>0.52094000000000007</v>
      </c>
      <c r="AL420">
        <v>2.9191400000000001</v>
      </c>
      <c r="AM420">
        <v>50.91704</v>
      </c>
      <c r="AN420">
        <v>6.4346599999999992</v>
      </c>
      <c r="AO420">
        <v>10.86684</v>
      </c>
      <c r="AP420">
        <v>0.19492000000000001</v>
      </c>
      <c r="AQ420">
        <v>99.70778</v>
      </c>
      <c r="AR420">
        <v>5.8797253337209539E-2</v>
      </c>
      <c r="AS420">
        <v>0.138496180452748</v>
      </c>
      <c r="AT420">
        <v>2.822688434808206E-2</v>
      </c>
      <c r="AU420">
        <v>7.1287502411011894E-2</v>
      </c>
      <c r="AV420">
        <v>1.2819243347405491E-2</v>
      </c>
      <c r="AW420">
        <v>2.3721045508155889E-2</v>
      </c>
      <c r="AX420">
        <v>0.39733328327740491</v>
      </c>
      <c r="AY420">
        <v>8.3972662218129629E-2</v>
      </c>
      <c r="AZ420">
        <v>5.8132675837260117E-2</v>
      </c>
      <c r="BA420">
        <v>1.931080008699795E-2</v>
      </c>
      <c r="BD420" t="s">
        <v>384</v>
      </c>
      <c r="BE420">
        <v>8.7174437318678702E-2</v>
      </c>
      <c r="BF420">
        <v>3004</v>
      </c>
      <c r="BG420">
        <v>148025.79724717201</v>
      </c>
      <c r="BH420">
        <v>31.3364909924302</v>
      </c>
      <c r="BI420">
        <v>217.06698199867299</v>
      </c>
      <c r="BJ420">
        <v>0.57174239835737894</v>
      </c>
      <c r="BK420">
        <v>31.3364909924302</v>
      </c>
    </row>
    <row r="421" spans="1:63" x14ac:dyDescent="0.2">
      <c r="A421">
        <v>419</v>
      </c>
      <c r="B421" t="s">
        <v>69</v>
      </c>
      <c r="C421" t="s">
        <v>91</v>
      </c>
      <c r="D421" t="s">
        <v>92</v>
      </c>
      <c r="E421">
        <v>-155.272412745889</v>
      </c>
      <c r="F421">
        <v>19.3454197541963</v>
      </c>
      <c r="G421" t="s">
        <v>124</v>
      </c>
      <c r="H421" t="s">
        <v>546</v>
      </c>
      <c r="I421" t="s">
        <v>917</v>
      </c>
      <c r="J421" t="s">
        <v>68</v>
      </c>
      <c r="K421">
        <v>6.64200360703125</v>
      </c>
      <c r="L421">
        <v>5.8384496625000004</v>
      </c>
      <c r="M421">
        <v>121.82783319335731</v>
      </c>
      <c r="N421">
        <v>1013.644386065295</v>
      </c>
      <c r="O421" t="s">
        <v>908</v>
      </c>
      <c r="Q421">
        <v>12.021000000000001</v>
      </c>
      <c r="R421">
        <v>1325.0039999999999</v>
      </c>
      <c r="S421">
        <v>50</v>
      </c>
      <c r="T421">
        <v>103.0780026692684</v>
      </c>
      <c r="U421">
        <v>6.2776839509174932E-3</v>
      </c>
      <c r="V421">
        <v>0.12986659277252949</v>
      </c>
      <c r="W421">
        <v>4.5808204114474466E-3</v>
      </c>
      <c r="X421">
        <v>1.846201472134404</v>
      </c>
      <c r="Y421">
        <v>7.0078418396939846E-2</v>
      </c>
      <c r="Z421">
        <v>0.46689372295823789</v>
      </c>
      <c r="AA421">
        <v>2.9372678447785551E-2</v>
      </c>
      <c r="AB421">
        <v>1.9848072938514809</v>
      </c>
      <c r="AC421">
        <v>0.11880876242250531</v>
      </c>
      <c r="AD421">
        <v>1340.6539331385941</v>
      </c>
      <c r="AE421">
        <v>50</v>
      </c>
      <c r="AF421">
        <v>89.79562391555578</v>
      </c>
      <c r="AG421">
        <v>2.4452269230769228</v>
      </c>
      <c r="AH421">
        <v>12.97811153846154</v>
      </c>
      <c r="AJ421">
        <v>10.30404615384615</v>
      </c>
      <c r="AK421">
        <v>0.55342692307692309</v>
      </c>
      <c r="AL421">
        <v>2.900669230769231</v>
      </c>
      <c r="AM421">
        <v>50.451046153846157</v>
      </c>
      <c r="AN421">
        <v>6.0883423076923071</v>
      </c>
      <c r="AP421">
        <v>1.6526923076923071E-2</v>
      </c>
      <c r="AQ421">
        <v>97.170811538461535</v>
      </c>
      <c r="AR421">
        <v>0.14452695958247319</v>
      </c>
      <c r="AS421">
        <v>0.56238533005541524</v>
      </c>
      <c r="AU421">
        <v>0.81302815263963402</v>
      </c>
      <c r="AV421">
        <v>0.1071919159552335</v>
      </c>
      <c r="AW421">
        <v>0.48878923864523122</v>
      </c>
      <c r="AX421">
        <v>0.42567582898799372</v>
      </c>
      <c r="AY421">
        <v>0.85490953915514445</v>
      </c>
      <c r="BA421">
        <v>4.3609684880592933E-3</v>
      </c>
      <c r="BB421">
        <v>26</v>
      </c>
      <c r="BC421" t="s">
        <v>86</v>
      </c>
    </row>
    <row r="422" spans="1:63" x14ac:dyDescent="0.2">
      <c r="A422">
        <v>420</v>
      </c>
      <c r="B422" t="s">
        <v>62</v>
      </c>
      <c r="C422" t="s">
        <v>63</v>
      </c>
      <c r="D422" t="s">
        <v>64</v>
      </c>
      <c r="E422">
        <v>-155.26785000000001</v>
      </c>
      <c r="F422">
        <v>19.407830000000001</v>
      </c>
      <c r="G422" t="s">
        <v>65</v>
      </c>
      <c r="H422" t="s">
        <v>161</v>
      </c>
      <c r="I422" t="s">
        <v>918</v>
      </c>
      <c r="J422" t="s">
        <v>68</v>
      </c>
      <c r="K422">
        <v>15.472205425781249</v>
      </c>
      <c r="L422">
        <v>14.26829832265625</v>
      </c>
      <c r="M422">
        <v>693.54441161466332</v>
      </c>
      <c r="N422">
        <v>13750.906782222521</v>
      </c>
      <c r="Q422">
        <v>11.994</v>
      </c>
      <c r="R422">
        <v>1325.0039999999999</v>
      </c>
      <c r="S422">
        <v>50</v>
      </c>
      <c r="T422">
        <v>103.0788957</v>
      </c>
      <c r="U422">
        <v>9.1069881769999996E-3</v>
      </c>
      <c r="V422">
        <v>0.13022042959999999</v>
      </c>
      <c r="W422">
        <v>5.274840712E-3</v>
      </c>
      <c r="X422">
        <v>4.4253062624716826</v>
      </c>
      <c r="Y422">
        <v>7.2051991868622434E-2</v>
      </c>
      <c r="Z422">
        <v>0.45413682128283589</v>
      </c>
      <c r="AA422">
        <v>3.1562144044565837E-2</v>
      </c>
      <c r="AB422">
        <v>1.9331129051282281</v>
      </c>
      <c r="AC422">
        <v>0.12795043510869719</v>
      </c>
      <c r="AD422">
        <v>1290.39037710252</v>
      </c>
      <c r="AE422">
        <v>50</v>
      </c>
      <c r="AF422">
        <v>87.875611460000002</v>
      </c>
      <c r="BE422">
        <v>0.37873432347698349</v>
      </c>
      <c r="BF422">
        <v>2912</v>
      </c>
      <c r="BG422">
        <v>186237.86243962811</v>
      </c>
      <c r="BH422">
        <v>313.98690323248218</v>
      </c>
      <c r="BI422">
        <v>243.47762278343049</v>
      </c>
      <c r="BJ422">
        <v>5.8185644365403197</v>
      </c>
      <c r="BK422">
        <v>313.98690323248229</v>
      </c>
    </row>
    <row r="423" spans="1:63" x14ac:dyDescent="0.2">
      <c r="A423">
        <v>421</v>
      </c>
      <c r="B423" t="s">
        <v>69</v>
      </c>
      <c r="C423" t="s">
        <v>81</v>
      </c>
      <c r="D423" t="s">
        <v>71</v>
      </c>
      <c r="E423">
        <v>-155.29106999999999</v>
      </c>
      <c r="F423">
        <v>19.383150000000001</v>
      </c>
      <c r="G423" t="s">
        <v>82</v>
      </c>
      <c r="H423" t="s">
        <v>919</v>
      </c>
      <c r="I423" t="s">
        <v>920</v>
      </c>
      <c r="J423" t="s">
        <v>68</v>
      </c>
      <c r="K423">
        <v>11.297293165625</v>
      </c>
      <c r="L423">
        <v>10.633447305468749</v>
      </c>
      <c r="M423">
        <v>377.39692288961351</v>
      </c>
      <c r="N423">
        <v>5517.7293136543294</v>
      </c>
      <c r="O423" t="s">
        <v>921</v>
      </c>
      <c r="Q423">
        <v>10.021000000000001</v>
      </c>
      <c r="R423">
        <v>1324.9639999999999</v>
      </c>
      <c r="S423">
        <v>50</v>
      </c>
      <c r="T423">
        <v>103.08017498819019</v>
      </c>
      <c r="U423">
        <v>1.0256503925107959E-2</v>
      </c>
      <c r="V423">
        <v>0.13072735273284761</v>
      </c>
      <c r="W423">
        <v>5.5970698136974797E-3</v>
      </c>
      <c r="X423">
        <v>3.9613642925620738</v>
      </c>
      <c r="Y423">
        <v>7.5599158022371826E-2</v>
      </c>
      <c r="Z423">
        <v>0.43319163709311609</v>
      </c>
      <c r="AA423">
        <v>3.2261533629373979E-2</v>
      </c>
      <c r="AB423">
        <v>1.847949271865895</v>
      </c>
      <c r="AC423">
        <v>0.13139144760558619</v>
      </c>
      <c r="AD423">
        <v>1210.39678907187</v>
      </c>
      <c r="AE423">
        <v>50</v>
      </c>
      <c r="AF423">
        <v>83.681577037117833</v>
      </c>
      <c r="AG423">
        <v>2.2102200000000001</v>
      </c>
      <c r="AH423">
        <v>12.516225</v>
      </c>
      <c r="AI423">
        <v>0.22873499999999999</v>
      </c>
      <c r="AJ423">
        <v>10.535360000000001</v>
      </c>
      <c r="AK423">
        <v>0.37534499999999998</v>
      </c>
      <c r="AL423">
        <v>2.4377900000000001</v>
      </c>
      <c r="AM423">
        <v>50.224780000000003</v>
      </c>
      <c r="AN423">
        <v>8.9844449999999991</v>
      </c>
      <c r="AP423">
        <v>0.178455</v>
      </c>
      <c r="AQ423">
        <v>99.610560000000007</v>
      </c>
      <c r="AR423">
        <v>1.7587090435884831E-2</v>
      </c>
      <c r="AS423">
        <v>0.12699126938494701</v>
      </c>
      <c r="AT423">
        <v>8.073250584491971E-3</v>
      </c>
      <c r="AU423">
        <v>6.9056800896073786E-2</v>
      </c>
      <c r="AV423">
        <v>2.248073063759274E-2</v>
      </c>
      <c r="AW423">
        <v>2.1205111412109991E-2</v>
      </c>
      <c r="AX423">
        <v>0.5052093298821787</v>
      </c>
      <c r="AY423">
        <v>0.13192220766421431</v>
      </c>
      <c r="BA423">
        <v>1.2962040734390541E-2</v>
      </c>
      <c r="BB423">
        <v>5</v>
      </c>
      <c r="BC423" t="s">
        <v>86</v>
      </c>
      <c r="BE423">
        <v>0.32648299879138071</v>
      </c>
      <c r="BF423">
        <v>32778</v>
      </c>
      <c r="BG423">
        <v>821359.65155440941</v>
      </c>
      <c r="BH423">
        <v>2442.269912321955</v>
      </c>
      <c r="BI423">
        <v>511.31878236794898</v>
      </c>
      <c r="BJ423">
        <v>13.489704420308041</v>
      </c>
      <c r="BK423">
        <v>2442.2699123219541</v>
      </c>
    </row>
    <row r="424" spans="1:63" x14ac:dyDescent="0.2">
      <c r="A424">
        <v>422</v>
      </c>
      <c r="B424" t="s">
        <v>69</v>
      </c>
      <c r="C424" t="s">
        <v>169</v>
      </c>
      <c r="D424" t="s">
        <v>64</v>
      </c>
      <c r="E424">
        <v>-155.29196300000001</v>
      </c>
      <c r="F424">
        <v>19.398634000000001</v>
      </c>
      <c r="G424" t="s">
        <v>170</v>
      </c>
      <c r="H424" t="s">
        <v>922</v>
      </c>
      <c r="I424" t="s">
        <v>923</v>
      </c>
      <c r="J424" t="s">
        <v>68</v>
      </c>
      <c r="K424">
        <v>8.8868056765624992</v>
      </c>
      <c r="L424">
        <v>7.9230872226562514</v>
      </c>
      <c r="M424">
        <v>221.20248086025961</v>
      </c>
      <c r="N424">
        <v>2478.926674868299</v>
      </c>
      <c r="Q424">
        <v>10.087</v>
      </c>
      <c r="R424">
        <v>1324.7670000000001</v>
      </c>
      <c r="S424">
        <v>50</v>
      </c>
      <c r="T424">
        <v>103.0801892353936</v>
      </c>
      <c r="U424">
        <v>2.9440991346009991E-3</v>
      </c>
      <c r="V424">
        <v>0.13073299804674579</v>
      </c>
      <c r="W424">
        <v>4.0214129742073808E-3</v>
      </c>
      <c r="X424">
        <v>1.8131112188578611</v>
      </c>
      <c r="Y424">
        <v>7.7303815917914465E-2</v>
      </c>
      <c r="Z424">
        <v>0.42388006862807259</v>
      </c>
      <c r="AA424">
        <v>2.716010163052161E-2</v>
      </c>
      <c r="AB424">
        <v>1.8099723796477369</v>
      </c>
      <c r="AC424">
        <v>0.11085354701004679</v>
      </c>
      <c r="AD424">
        <v>1177.6680836041489</v>
      </c>
      <c r="AE424">
        <v>50</v>
      </c>
      <c r="AF424">
        <v>81.0569805423129</v>
      </c>
      <c r="AG424">
        <v>2.5390516666666669</v>
      </c>
      <c r="AH424">
        <v>13.89052597266207</v>
      </c>
      <c r="AI424">
        <v>0.24399675000000001</v>
      </c>
      <c r="AJ424">
        <v>11.205616666666669</v>
      </c>
      <c r="AK424">
        <v>0.47515841666666669</v>
      </c>
      <c r="AL424">
        <v>2.6323025000000002</v>
      </c>
      <c r="AM424">
        <v>50.778866165683027</v>
      </c>
      <c r="AN424">
        <v>6.7552275000000002</v>
      </c>
      <c r="AP424">
        <v>0.17074191666666669</v>
      </c>
      <c r="AR424">
        <v>5.5209421763999247E-2</v>
      </c>
      <c r="AS424">
        <v>0.23260322971847319</v>
      </c>
      <c r="AT424">
        <v>2.215836573857705E-2</v>
      </c>
      <c r="AU424">
        <v>0.13946342520423419</v>
      </c>
      <c r="AV424">
        <v>1.8188943372071519E-2</v>
      </c>
      <c r="AW424">
        <v>3.4278244127355022E-2</v>
      </c>
      <c r="AX424">
        <v>0.34681065155483992</v>
      </c>
      <c r="AY424">
        <v>0.48865100303376952</v>
      </c>
      <c r="BA424">
        <v>2.081601264087701E-2</v>
      </c>
      <c r="BE424">
        <v>0.25989464321267891</v>
      </c>
      <c r="BF424">
        <v>10378</v>
      </c>
      <c r="BG424">
        <v>167316.88302633911</v>
      </c>
      <c r="BH424">
        <v>848.05712715387222</v>
      </c>
      <c r="BI424">
        <v>230.7782875244996</v>
      </c>
      <c r="BJ424">
        <v>8.3246939338315222</v>
      </c>
      <c r="BK424">
        <v>848.05712715387199</v>
      </c>
    </row>
    <row r="425" spans="1:63" x14ac:dyDescent="0.2">
      <c r="A425">
        <v>423</v>
      </c>
      <c r="B425" t="s">
        <v>69</v>
      </c>
      <c r="C425" t="s">
        <v>169</v>
      </c>
      <c r="D425" t="s">
        <v>64</v>
      </c>
      <c r="E425">
        <v>-155.29196300000001</v>
      </c>
      <c r="F425">
        <v>19.398634000000001</v>
      </c>
      <c r="G425" t="s">
        <v>170</v>
      </c>
      <c r="H425" t="s">
        <v>924</v>
      </c>
      <c r="I425" t="s">
        <v>925</v>
      </c>
      <c r="J425" t="s">
        <v>68</v>
      </c>
      <c r="K425">
        <v>7.7587384445312502</v>
      </c>
      <c r="L425">
        <v>7.0360222476562502</v>
      </c>
      <c r="M425">
        <v>171.5016048164691</v>
      </c>
      <c r="N425">
        <v>1691.5501343905139</v>
      </c>
      <c r="Q425">
        <v>10.020666666666671</v>
      </c>
      <c r="R425">
        <v>1324.9639999999999</v>
      </c>
      <c r="S425">
        <v>50</v>
      </c>
      <c r="T425">
        <v>103.0806580103574</v>
      </c>
      <c r="U425">
        <v>2.944230254565456E-2</v>
      </c>
      <c r="V425">
        <v>0.1309187455054541</v>
      </c>
      <c r="W425">
        <v>1.2748144388817171E-2</v>
      </c>
      <c r="X425">
        <v>3.1718903072110871</v>
      </c>
      <c r="Y425">
        <v>7.7168655485252313E-2</v>
      </c>
      <c r="Z425">
        <v>0.42460561916267431</v>
      </c>
      <c r="AA425">
        <v>3.4502023000103799E-2</v>
      </c>
      <c r="AB425">
        <v>1.812934084679606</v>
      </c>
      <c r="AC425">
        <v>0.14078455922793021</v>
      </c>
      <c r="AD425">
        <v>1178.0693133468469</v>
      </c>
      <c r="AE425">
        <v>50</v>
      </c>
      <c r="AF425">
        <v>81.095729491090523</v>
      </c>
      <c r="AG425">
        <v>2.5390516666666669</v>
      </c>
      <c r="AH425">
        <v>13.89052597266207</v>
      </c>
      <c r="AI425">
        <v>0.24399675000000001</v>
      </c>
      <c r="AJ425">
        <v>11.205616666666669</v>
      </c>
      <c r="AK425">
        <v>0.47515841666666669</v>
      </c>
      <c r="AL425">
        <v>2.6323025000000002</v>
      </c>
      <c r="AM425">
        <v>50.778866165683027</v>
      </c>
      <c r="AN425">
        <v>6.7552275000000002</v>
      </c>
      <c r="AP425">
        <v>0.17074191666666669</v>
      </c>
      <c r="AR425">
        <v>5.5209421763999247E-2</v>
      </c>
      <c r="AS425">
        <v>0.23260322971847319</v>
      </c>
      <c r="AT425">
        <v>2.215836573857705E-2</v>
      </c>
      <c r="AU425">
        <v>0.13946342520423419</v>
      </c>
      <c r="AV425">
        <v>1.8188943372071519E-2</v>
      </c>
      <c r="AW425">
        <v>3.4278244127355022E-2</v>
      </c>
      <c r="AX425">
        <v>0.34681065155483992</v>
      </c>
      <c r="AY425">
        <v>0.48865100303376952</v>
      </c>
      <c r="BA425">
        <v>2.081601264087701E-2</v>
      </c>
      <c r="BE425">
        <v>0.2608229107384003</v>
      </c>
      <c r="BF425">
        <v>16045</v>
      </c>
      <c r="BG425">
        <v>146411.10511919481</v>
      </c>
      <c r="BH425">
        <v>467.1956486419042</v>
      </c>
      <c r="BI425">
        <v>215.8798327925374</v>
      </c>
      <c r="BJ425">
        <v>3.688322844352343</v>
      </c>
      <c r="BK425">
        <v>467.19564864190409</v>
      </c>
    </row>
    <row r="426" spans="1:63" x14ac:dyDescent="0.2">
      <c r="A426">
        <v>424</v>
      </c>
      <c r="B426" t="s">
        <v>69</v>
      </c>
      <c r="C426" t="s">
        <v>91</v>
      </c>
      <c r="D426" t="s">
        <v>92</v>
      </c>
      <c r="E426">
        <v>-155.28360000000001</v>
      </c>
      <c r="F426">
        <v>19.4285</v>
      </c>
      <c r="G426" t="s">
        <v>93</v>
      </c>
      <c r="H426" t="s">
        <v>926</v>
      </c>
      <c r="I426" t="s">
        <v>927</v>
      </c>
      <c r="J426" t="s">
        <v>68</v>
      </c>
      <c r="K426">
        <v>10.1398779375</v>
      </c>
      <c r="L426">
        <v>5.2378908671874997</v>
      </c>
      <c r="M426">
        <v>166.85493083479321</v>
      </c>
      <c r="N426">
        <v>1710.571033533048</v>
      </c>
      <c r="O426" t="s">
        <v>928</v>
      </c>
      <c r="Q426">
        <v>12.03</v>
      </c>
      <c r="R426">
        <v>1325.0039999999999</v>
      </c>
      <c r="S426">
        <v>50</v>
      </c>
      <c r="T426">
        <v>103.0807244828323</v>
      </c>
      <c r="U426">
        <v>7.2812685650387654E-3</v>
      </c>
      <c r="V426">
        <v>0.1309450845684097</v>
      </c>
      <c r="W426">
        <v>4.8102435764010229E-3</v>
      </c>
      <c r="X426">
        <v>0</v>
      </c>
      <c r="Y426">
        <v>7.4778920551798245E-2</v>
      </c>
      <c r="Z426">
        <v>0.43783989292086017</v>
      </c>
      <c r="AA426">
        <v>3.8924641879666363E-2</v>
      </c>
      <c r="AB426">
        <v>1.866880264653243</v>
      </c>
      <c r="AC426">
        <v>0.15832274320256789</v>
      </c>
      <c r="AD426">
        <v>1224.111391455303</v>
      </c>
      <c r="AE426">
        <v>100</v>
      </c>
      <c r="AG426">
        <v>2.1005484848484852</v>
      </c>
      <c r="AH426">
        <v>12.543751515151509</v>
      </c>
      <c r="AJ426">
        <v>10.35766363636364</v>
      </c>
      <c r="AK426">
        <v>0.36914545454545461</v>
      </c>
      <c r="AL426">
        <v>2.199157575757575</v>
      </c>
      <c r="AM426">
        <v>49.88770303030303</v>
      </c>
      <c r="AN426">
        <v>8.5799181818181811</v>
      </c>
      <c r="AP426">
        <v>1.6854545454545459E-2</v>
      </c>
      <c r="AQ426">
        <v>97.165912121212131</v>
      </c>
      <c r="AR426">
        <v>0.12875285220435931</v>
      </c>
      <c r="AS426">
        <v>0.27438160598108169</v>
      </c>
      <c r="AU426">
        <v>0.23223845883350949</v>
      </c>
      <c r="AV426">
        <v>3.2777460728649822E-2</v>
      </c>
      <c r="AW426">
        <v>6.9021124620940399E-2</v>
      </c>
      <c r="AX426">
        <v>0.52796007335122563</v>
      </c>
      <c r="AY426">
        <v>0.70241800520351916</v>
      </c>
      <c r="BA426">
        <v>4.4618585609790254E-3</v>
      </c>
      <c r="BB426">
        <v>33</v>
      </c>
      <c r="BC426" t="s">
        <v>86</v>
      </c>
    </row>
    <row r="427" spans="1:63" x14ac:dyDescent="0.2">
      <c r="A427">
        <v>425</v>
      </c>
      <c r="B427" t="s">
        <v>62</v>
      </c>
      <c r="C427" t="s">
        <v>63</v>
      </c>
      <c r="D427" t="s">
        <v>64</v>
      </c>
      <c r="E427">
        <v>-155.26785000000001</v>
      </c>
      <c r="F427">
        <v>19.407830000000001</v>
      </c>
      <c r="G427" t="s">
        <v>65</v>
      </c>
      <c r="H427" t="s">
        <v>929</v>
      </c>
      <c r="I427" t="s">
        <v>930</v>
      </c>
      <c r="J427" t="s">
        <v>68</v>
      </c>
      <c r="K427">
        <v>11.141719728906249</v>
      </c>
      <c r="L427">
        <v>10.013478152343749</v>
      </c>
      <c r="M427">
        <v>350.49922081440337</v>
      </c>
      <c r="N427">
        <v>4943.2535823684266</v>
      </c>
      <c r="Q427">
        <v>12.044</v>
      </c>
      <c r="R427">
        <v>1325.0039999999999</v>
      </c>
      <c r="S427">
        <v>50</v>
      </c>
      <c r="T427">
        <v>103.0809624</v>
      </c>
      <c r="U427">
        <v>3.3067024960000001E-3</v>
      </c>
      <c r="V427">
        <v>0.1310393678</v>
      </c>
      <c r="W427">
        <v>4.0660562670000004E-3</v>
      </c>
      <c r="X427">
        <v>4.7818011165723551</v>
      </c>
      <c r="Y427">
        <v>7.4023429614075154E-2</v>
      </c>
      <c r="Z427">
        <v>0.44222112438058692</v>
      </c>
      <c r="AA427">
        <v>2.740823503726434E-2</v>
      </c>
      <c r="AB427">
        <v>1.8847074867008211</v>
      </c>
      <c r="AC427">
        <v>0.1112917611763623</v>
      </c>
      <c r="AD427">
        <v>1238.3320176251971</v>
      </c>
      <c r="AE427">
        <v>50</v>
      </c>
    </row>
    <row r="428" spans="1:63" x14ac:dyDescent="0.2">
      <c r="A428">
        <v>426</v>
      </c>
      <c r="B428" t="s">
        <v>69</v>
      </c>
      <c r="C428" t="s">
        <v>91</v>
      </c>
      <c r="D428" t="s">
        <v>92</v>
      </c>
      <c r="E428">
        <v>-155.28360000000001</v>
      </c>
      <c r="F428">
        <v>19.4285</v>
      </c>
      <c r="G428" t="s">
        <v>212</v>
      </c>
      <c r="H428" t="s">
        <v>557</v>
      </c>
      <c r="I428" t="s">
        <v>931</v>
      </c>
      <c r="J428" t="s">
        <v>68</v>
      </c>
      <c r="K428">
        <v>5.1680949398437503</v>
      </c>
      <c r="L428">
        <v>4.7776794195312497</v>
      </c>
      <c r="M428">
        <v>77.570637620781653</v>
      </c>
      <c r="N428">
        <v>514.33337245942664</v>
      </c>
      <c r="O428" t="s">
        <v>932</v>
      </c>
      <c r="Q428">
        <v>12.089</v>
      </c>
      <c r="R428">
        <v>1325.0039999999999</v>
      </c>
      <c r="S428">
        <v>50</v>
      </c>
      <c r="T428">
        <v>103.08114225637659</v>
      </c>
      <c r="U428">
        <v>9.2129440378182111E-3</v>
      </c>
      <c r="V428">
        <v>0.13111062321736711</v>
      </c>
      <c r="W428">
        <v>5.3050640304839148E-3</v>
      </c>
      <c r="X428">
        <v>0</v>
      </c>
      <c r="Y428">
        <v>7.4877031314534603E-2</v>
      </c>
      <c r="Z428">
        <v>0.43728123484121562</v>
      </c>
      <c r="AA428">
        <v>4.0882574214861099E-2</v>
      </c>
      <c r="AB428">
        <v>1.864605952649</v>
      </c>
      <c r="AC428">
        <v>0.1665339914464635</v>
      </c>
      <c r="AD428">
        <v>1220.1822987351841</v>
      </c>
      <c r="AE428">
        <v>100</v>
      </c>
      <c r="AG428">
        <v>2.1021777777777779</v>
      </c>
      <c r="AH428">
        <v>12.18196296296296</v>
      </c>
      <c r="AJ428">
        <v>10.35145925925926</v>
      </c>
      <c r="AK428">
        <v>0.4553962962962963</v>
      </c>
      <c r="AL428">
        <v>2.3345296296296301</v>
      </c>
      <c r="AM428">
        <v>49.209007407407412</v>
      </c>
      <c r="AN428">
        <v>9.4706370370370365</v>
      </c>
      <c r="AP428">
        <v>1.7722222222222219E-2</v>
      </c>
      <c r="AQ428">
        <v>97.341288888888897</v>
      </c>
      <c r="AR428">
        <v>3.1603703937420069E-2</v>
      </c>
      <c r="AS428">
        <v>0.1308813941885143</v>
      </c>
      <c r="AU428">
        <v>0.12790190128874709</v>
      </c>
      <c r="AV428">
        <v>3.4622563579722238E-2</v>
      </c>
      <c r="AW428">
        <v>4.9585767303615608E-2</v>
      </c>
      <c r="AX428">
        <v>0.4308268757472053</v>
      </c>
      <c r="AY428">
        <v>0.20483483806030409</v>
      </c>
      <c r="BA428">
        <v>4.922736366426028E-3</v>
      </c>
      <c r="BB428">
        <v>27</v>
      </c>
      <c r="BC428" t="s">
        <v>86</v>
      </c>
    </row>
    <row r="429" spans="1:63" x14ac:dyDescent="0.2">
      <c r="A429">
        <v>427</v>
      </c>
      <c r="B429" t="s">
        <v>69</v>
      </c>
      <c r="C429" t="s">
        <v>236</v>
      </c>
      <c r="D429" t="s">
        <v>64</v>
      </c>
      <c r="E429">
        <v>-155.292979</v>
      </c>
      <c r="F429">
        <v>19.400748</v>
      </c>
      <c r="G429" t="s">
        <v>237</v>
      </c>
      <c r="H429" t="s">
        <v>858</v>
      </c>
      <c r="I429" t="s">
        <v>933</v>
      </c>
      <c r="J429" t="s">
        <v>68</v>
      </c>
      <c r="K429">
        <v>8.3635396234374983</v>
      </c>
      <c r="L429">
        <v>8.066049738281249</v>
      </c>
      <c r="M429">
        <v>211.93412306327599</v>
      </c>
      <c r="N429">
        <v>2321.327075777062</v>
      </c>
      <c r="Q429">
        <v>10.029999999999999</v>
      </c>
      <c r="R429">
        <v>1324.9639999999999</v>
      </c>
      <c r="S429">
        <v>50</v>
      </c>
      <c r="T429">
        <v>103.08166486325609</v>
      </c>
      <c r="U429">
        <v>8.3843352737680982E-3</v>
      </c>
      <c r="V429">
        <v>0.13131770104205029</v>
      </c>
      <c r="W429">
        <v>5.085065172603459E-3</v>
      </c>
      <c r="X429">
        <v>7.3222843090920744</v>
      </c>
      <c r="Y429">
        <v>7.602497242334938E-2</v>
      </c>
      <c r="Z429">
        <v>0.43083376372071452</v>
      </c>
      <c r="AA429">
        <v>2.873135329279182E-2</v>
      </c>
      <c r="AB429">
        <v>1.8383395380726339</v>
      </c>
      <c r="AC429">
        <v>0.1169565487065261</v>
      </c>
      <c r="AD429">
        <v>1195.215730628518</v>
      </c>
      <c r="AE429">
        <v>50</v>
      </c>
      <c r="AF429">
        <v>82.578695123778289</v>
      </c>
      <c r="AG429">
        <v>2.0274999999999999</v>
      </c>
      <c r="AH429">
        <v>12.7525</v>
      </c>
      <c r="AI429">
        <v>0.17249999999999999</v>
      </c>
      <c r="AJ429">
        <v>11.092499999999999</v>
      </c>
      <c r="AK429">
        <v>0.51750000000000007</v>
      </c>
      <c r="AL429">
        <v>2.5150000000000001</v>
      </c>
      <c r="AM429">
        <v>50.63</v>
      </c>
      <c r="AN429">
        <v>7.415</v>
      </c>
      <c r="AP429">
        <v>1685.75</v>
      </c>
      <c r="AR429">
        <v>0.17231270024773751</v>
      </c>
      <c r="AS429">
        <v>0.13450526631573459</v>
      </c>
      <c r="AT429">
        <v>4.9999999999999836E-3</v>
      </c>
      <c r="AU429">
        <v>0.29227555491350982</v>
      </c>
      <c r="AV429">
        <v>2.061552812808835E-2</v>
      </c>
      <c r="AW429">
        <v>6.2449979983983737E-2</v>
      </c>
      <c r="AX429">
        <v>0.21556128285632961</v>
      </c>
      <c r="AY429">
        <v>0.39770173078158311</v>
      </c>
      <c r="BA429">
        <v>51.951098801340748</v>
      </c>
      <c r="BE429">
        <v>5.4789523850181571E-2</v>
      </c>
      <c r="BF429">
        <v>2009</v>
      </c>
      <c r="BG429">
        <v>32640.083300778879</v>
      </c>
      <c r="BH429">
        <v>6.0460662436611337</v>
      </c>
      <c r="BI429">
        <v>101.92968753263381</v>
      </c>
      <c r="BJ429">
        <v>0.13489098712861039</v>
      </c>
      <c r="BK429">
        <v>6.0460662436611328</v>
      </c>
    </row>
    <row r="430" spans="1:63" x14ac:dyDescent="0.2">
      <c r="A430">
        <v>428</v>
      </c>
      <c r="B430" t="s">
        <v>69</v>
      </c>
      <c r="C430" t="s">
        <v>91</v>
      </c>
      <c r="D430" t="s">
        <v>92</v>
      </c>
      <c r="E430">
        <v>-155.28360000000001</v>
      </c>
      <c r="F430">
        <v>19.4285</v>
      </c>
      <c r="G430" t="s">
        <v>134</v>
      </c>
      <c r="H430" t="s">
        <v>934</v>
      </c>
      <c r="I430" t="s">
        <v>935</v>
      </c>
      <c r="J430" t="s">
        <v>68</v>
      </c>
      <c r="K430">
        <v>16.11065509921875</v>
      </c>
      <c r="L430">
        <v>15.4914414390625</v>
      </c>
      <c r="M430">
        <v>784.07011798048927</v>
      </c>
      <c r="N430">
        <v>16518.83970746733</v>
      </c>
      <c r="O430" t="s">
        <v>936</v>
      </c>
      <c r="Q430">
        <v>12.103999999999999</v>
      </c>
      <c r="R430">
        <v>1325.0039999999999</v>
      </c>
      <c r="S430">
        <v>50</v>
      </c>
      <c r="T430">
        <v>103.0821511161643</v>
      </c>
      <c r="U430">
        <v>2.377834520540674E-3</v>
      </c>
      <c r="V430">
        <v>0.1315103739639554</v>
      </c>
      <c r="W430">
        <v>3.9638160418175184E-3</v>
      </c>
      <c r="X430">
        <v>0</v>
      </c>
      <c r="Y430">
        <v>7.4882813282218352E-2</v>
      </c>
      <c r="Z430">
        <v>0.43725500274522699</v>
      </c>
      <c r="AA430">
        <v>3.7325125365817162E-2</v>
      </c>
      <c r="AB430">
        <v>1.864499154777238</v>
      </c>
      <c r="AC430">
        <v>0.15180890004868669</v>
      </c>
      <c r="AD430">
        <v>1215.3527753610961</v>
      </c>
      <c r="AE430">
        <v>100</v>
      </c>
      <c r="AG430">
        <v>2.5157387096774189</v>
      </c>
      <c r="AH430">
        <v>13.241580645161291</v>
      </c>
      <c r="AJ430">
        <v>11.11674838709677</v>
      </c>
      <c r="AK430">
        <v>0.71593870967741935</v>
      </c>
      <c r="AL430">
        <v>3.0286258064516129</v>
      </c>
      <c r="AM430">
        <v>48.480519354838712</v>
      </c>
      <c r="AN430">
        <v>6.4584548387096774</v>
      </c>
      <c r="AP430">
        <v>1.553225806451613E-2</v>
      </c>
      <c r="AQ430">
        <v>96.565938709677425</v>
      </c>
      <c r="AR430">
        <v>0.13894562408227509</v>
      </c>
      <c r="AS430">
        <v>0.1729350637654776</v>
      </c>
      <c r="AU430">
        <v>0.21495337769071041</v>
      </c>
      <c r="AV430">
        <v>7.7865408140882678E-2</v>
      </c>
      <c r="AW430">
        <v>0.14998665711265111</v>
      </c>
      <c r="AX430">
        <v>0.66558597962965682</v>
      </c>
      <c r="AY430">
        <v>0.26837320636097978</v>
      </c>
      <c r="BA430">
        <v>5.6058533157628621E-3</v>
      </c>
      <c r="BB430">
        <v>31</v>
      </c>
      <c r="BC430" t="s">
        <v>86</v>
      </c>
    </row>
    <row r="431" spans="1:63" x14ac:dyDescent="0.2">
      <c r="A431">
        <v>429</v>
      </c>
      <c r="B431" t="s">
        <v>69</v>
      </c>
      <c r="C431" t="s">
        <v>81</v>
      </c>
      <c r="D431" t="s">
        <v>71</v>
      </c>
      <c r="E431">
        <v>-155.29106999999999</v>
      </c>
      <c r="F431">
        <v>19.383150000000001</v>
      </c>
      <c r="G431" t="s">
        <v>87</v>
      </c>
      <c r="H431" t="s">
        <v>899</v>
      </c>
      <c r="I431" t="s">
        <v>937</v>
      </c>
      <c r="J431" t="s">
        <v>68</v>
      </c>
      <c r="K431">
        <v>5.4571581726562499</v>
      </c>
      <c r="L431">
        <v>4.706604965625</v>
      </c>
      <c r="M431">
        <v>80.690826356535879</v>
      </c>
      <c r="N431">
        <v>546.74829768000836</v>
      </c>
      <c r="Q431">
        <v>12.038</v>
      </c>
      <c r="R431">
        <v>1325.0039999999999</v>
      </c>
      <c r="S431">
        <v>50</v>
      </c>
      <c r="T431">
        <v>103.08278833188901</v>
      </c>
      <c r="U431">
        <v>1.7608767477837149E-2</v>
      </c>
      <c r="V431">
        <v>0.13176286441385801</v>
      </c>
      <c r="W431">
        <v>8.6498489697083326E-3</v>
      </c>
      <c r="X431">
        <v>0</v>
      </c>
      <c r="Y431">
        <v>7.4412115460428918E-2</v>
      </c>
      <c r="Z431">
        <v>0.43996768697070121</v>
      </c>
      <c r="AA431">
        <v>2.2764088508321241E-2</v>
      </c>
      <c r="AB431">
        <v>1.8755402227210001</v>
      </c>
      <c r="AC431">
        <v>9.2588977166445791E-2</v>
      </c>
      <c r="AD431">
        <v>1221.812409013259</v>
      </c>
      <c r="AE431">
        <v>50</v>
      </c>
      <c r="AF431">
        <v>84.419561586392675</v>
      </c>
      <c r="AG431">
        <v>2.2102200000000001</v>
      </c>
      <c r="AH431">
        <v>12.516225</v>
      </c>
      <c r="AI431">
        <v>0.22873499999999999</v>
      </c>
      <c r="AJ431">
        <v>10.535360000000001</v>
      </c>
      <c r="AK431">
        <v>0.37534499999999998</v>
      </c>
      <c r="AL431">
        <v>2.4377900000000001</v>
      </c>
      <c r="AM431">
        <v>50.224780000000003</v>
      </c>
      <c r="AN431">
        <v>8.9844449999999991</v>
      </c>
      <c r="AP431">
        <v>0.178455</v>
      </c>
      <c r="AQ431">
        <v>99.610560000000007</v>
      </c>
      <c r="AR431">
        <v>1.7587090435884831E-2</v>
      </c>
      <c r="AS431">
        <v>0.12699126938494701</v>
      </c>
      <c r="AT431">
        <v>8.073250584491971E-3</v>
      </c>
      <c r="AU431">
        <v>6.9056800896073786E-2</v>
      </c>
      <c r="AV431">
        <v>2.248073063759274E-2</v>
      </c>
      <c r="AW431">
        <v>2.1205111412109991E-2</v>
      </c>
      <c r="AX431">
        <v>0.5052093298821787</v>
      </c>
      <c r="AY431">
        <v>0.13192220766421431</v>
      </c>
      <c r="BA431">
        <v>1.2962040734390541E-2</v>
      </c>
      <c r="BB431">
        <v>5</v>
      </c>
      <c r="BC431" t="s">
        <v>86</v>
      </c>
    </row>
    <row r="432" spans="1:63" x14ac:dyDescent="0.2">
      <c r="A432">
        <v>430</v>
      </c>
      <c r="B432" t="s">
        <v>62</v>
      </c>
      <c r="C432" t="s">
        <v>63</v>
      </c>
      <c r="D432" t="s">
        <v>64</v>
      </c>
      <c r="E432">
        <v>-155.26785000000001</v>
      </c>
      <c r="F432">
        <v>19.407830000000001</v>
      </c>
      <c r="G432" t="s">
        <v>65</v>
      </c>
      <c r="H432" t="s">
        <v>938</v>
      </c>
      <c r="I432" t="s">
        <v>939</v>
      </c>
      <c r="J432" t="s">
        <v>68</v>
      </c>
      <c r="K432">
        <v>7.9583048179687514</v>
      </c>
      <c r="L432">
        <v>7.1745680351562502</v>
      </c>
      <c r="M432">
        <v>179.3767703716899</v>
      </c>
      <c r="N432">
        <v>1809.6572392259891</v>
      </c>
      <c r="Q432">
        <v>12.013</v>
      </c>
      <c r="R432">
        <v>1325.0039999999999</v>
      </c>
      <c r="S432">
        <v>50</v>
      </c>
      <c r="T432">
        <v>103.0828628</v>
      </c>
      <c r="U432">
        <v>6.7513303420000002E-3</v>
      </c>
      <c r="V432">
        <v>0.13179236010000001</v>
      </c>
      <c r="W432">
        <v>4.6888575259999999E-3</v>
      </c>
      <c r="X432">
        <v>4.5642027322969119</v>
      </c>
      <c r="Y432">
        <v>7.1920569121361133E-2</v>
      </c>
      <c r="Z432">
        <v>0.45498665494001739</v>
      </c>
      <c r="AA432">
        <v>2.8154557461798631E-2</v>
      </c>
      <c r="AB432">
        <v>1.9365607743582469</v>
      </c>
      <c r="AC432">
        <v>0.11420641049480421</v>
      </c>
      <c r="AD432">
        <v>1273.7486563807249</v>
      </c>
      <c r="AE432">
        <v>50</v>
      </c>
      <c r="AF432">
        <v>87.148876399999992</v>
      </c>
      <c r="BE432">
        <v>0.14451593949738961</v>
      </c>
      <c r="BF432">
        <v>8053</v>
      </c>
      <c r="BG432">
        <v>518302.28882146551</v>
      </c>
      <c r="BH432">
        <v>84.063862406669557</v>
      </c>
      <c r="BI432">
        <v>406.17821527447637</v>
      </c>
      <c r="BJ432">
        <v>0.93676464352495403</v>
      </c>
      <c r="BK432">
        <v>84.063862406669557</v>
      </c>
    </row>
    <row r="433" spans="1:63" x14ac:dyDescent="0.2">
      <c r="A433">
        <v>431</v>
      </c>
      <c r="B433" t="s">
        <v>62</v>
      </c>
      <c r="C433" t="s">
        <v>63</v>
      </c>
      <c r="D433" t="s">
        <v>64</v>
      </c>
      <c r="E433">
        <v>-155.26785000000001</v>
      </c>
      <c r="F433">
        <v>19.407830000000001</v>
      </c>
      <c r="G433" t="s">
        <v>65</v>
      </c>
      <c r="H433" t="s">
        <v>940</v>
      </c>
      <c r="I433" t="s">
        <v>941</v>
      </c>
      <c r="J433" t="s">
        <v>68</v>
      </c>
      <c r="K433">
        <v>13.2735465421875</v>
      </c>
      <c r="L433">
        <v>12.95211334140625</v>
      </c>
      <c r="M433">
        <v>540.10411463493597</v>
      </c>
      <c r="N433">
        <v>9443.0578747635736</v>
      </c>
      <c r="Q433">
        <v>12.018000000000001</v>
      </c>
      <c r="R433">
        <v>1325.0039999999999</v>
      </c>
      <c r="S433">
        <v>50</v>
      </c>
      <c r="T433">
        <v>103.0834717</v>
      </c>
      <c r="U433">
        <v>1.459703096E-3</v>
      </c>
      <c r="V433">
        <v>0.13203363479999999</v>
      </c>
      <c r="W433">
        <v>3.8945715800000002E-3</v>
      </c>
      <c r="X433">
        <v>0.4380075995813813</v>
      </c>
      <c r="Y433">
        <v>7.0851825871240504E-2</v>
      </c>
      <c r="Z433">
        <v>0.46182299601586141</v>
      </c>
      <c r="AA433">
        <v>2.6856747043652911E-2</v>
      </c>
      <c r="AB433">
        <v>1.9642751795617091</v>
      </c>
      <c r="AC433">
        <v>0.1086868765391031</v>
      </c>
      <c r="AD433">
        <v>1294.563802251577</v>
      </c>
      <c r="AE433">
        <v>50</v>
      </c>
      <c r="AF433">
        <v>88.049645389999995</v>
      </c>
      <c r="BE433">
        <v>1.4807835720759741</v>
      </c>
      <c r="BF433">
        <v>11667</v>
      </c>
      <c r="BG433">
        <v>747648.90770076355</v>
      </c>
      <c r="BH433">
        <v>2235.2530503315652</v>
      </c>
      <c r="BI433">
        <v>487.83607771019302</v>
      </c>
      <c r="BJ433">
        <v>20.694126392483259</v>
      </c>
      <c r="BK433">
        <v>2235.2530503315638</v>
      </c>
    </row>
    <row r="434" spans="1:63" x14ac:dyDescent="0.2">
      <c r="A434">
        <v>432</v>
      </c>
      <c r="B434" t="s">
        <v>62</v>
      </c>
      <c r="C434" t="s">
        <v>63</v>
      </c>
      <c r="D434" t="s">
        <v>64</v>
      </c>
      <c r="E434">
        <v>-155.26785000000001</v>
      </c>
      <c r="F434">
        <v>19.407830000000001</v>
      </c>
      <c r="G434" t="s">
        <v>65</v>
      </c>
      <c r="H434" t="s">
        <v>435</v>
      </c>
      <c r="I434" t="s">
        <v>942</v>
      </c>
      <c r="J434" t="s">
        <v>68</v>
      </c>
      <c r="K434">
        <v>7.1405127367187502</v>
      </c>
      <c r="L434">
        <v>6.9706430484374993</v>
      </c>
      <c r="M434">
        <v>156.3695242621171</v>
      </c>
      <c r="N434">
        <v>1471.036477942336</v>
      </c>
      <c r="Q434">
        <v>39.944000000000003</v>
      </c>
      <c r="R434">
        <v>1325.0039999999999</v>
      </c>
      <c r="S434">
        <v>100</v>
      </c>
      <c r="T434">
        <v>103.0834928</v>
      </c>
      <c r="U434">
        <v>3.1107471559999999E-2</v>
      </c>
      <c r="V434">
        <v>0.1320420145</v>
      </c>
      <c r="W434">
        <v>1.291372469E-2</v>
      </c>
      <c r="X434">
        <v>10.57052574074142</v>
      </c>
      <c r="Y434">
        <v>7.6298002372722218E-2</v>
      </c>
      <c r="Z434">
        <v>0.4293427947277661</v>
      </c>
      <c r="AA434">
        <v>5.412845160186671E-2</v>
      </c>
      <c r="AB434">
        <v>1.8322605881031591</v>
      </c>
      <c r="AC434">
        <v>0.22052700528769481</v>
      </c>
      <c r="AD434">
        <v>1181.6652152233451</v>
      </c>
      <c r="AE434">
        <v>50</v>
      </c>
      <c r="AF434">
        <v>81.433566429999999</v>
      </c>
      <c r="BE434">
        <v>5.7290723551771332E-2</v>
      </c>
      <c r="BF434">
        <v>7434</v>
      </c>
      <c r="BG434">
        <v>476788.62450311327</v>
      </c>
      <c r="BH434">
        <v>124.390858939343</v>
      </c>
      <c r="BI434">
        <v>389.57224336355398</v>
      </c>
      <c r="BJ434">
        <v>1.442703841932562</v>
      </c>
      <c r="BK434">
        <v>124.390858939343</v>
      </c>
    </row>
    <row r="435" spans="1:63" x14ac:dyDescent="0.2">
      <c r="A435">
        <v>433</v>
      </c>
      <c r="B435" t="s">
        <v>69</v>
      </c>
      <c r="C435" t="s">
        <v>91</v>
      </c>
      <c r="D435" t="s">
        <v>92</v>
      </c>
      <c r="E435">
        <v>-155.28360000000001</v>
      </c>
      <c r="F435">
        <v>19.4285</v>
      </c>
      <c r="G435" t="s">
        <v>93</v>
      </c>
      <c r="H435" t="s">
        <v>943</v>
      </c>
      <c r="I435" t="s">
        <v>944</v>
      </c>
      <c r="J435" t="s">
        <v>68</v>
      </c>
      <c r="K435">
        <v>16.309582209375002</v>
      </c>
      <c r="L435">
        <v>14.1679339875</v>
      </c>
      <c r="M435">
        <v>725.93750347015259</v>
      </c>
      <c r="N435">
        <v>14749.84801328705</v>
      </c>
      <c r="Q435">
        <v>12.154999999999999</v>
      </c>
      <c r="R435">
        <v>1325.0039999999999</v>
      </c>
      <c r="S435">
        <v>50</v>
      </c>
      <c r="T435">
        <v>103.0835440974396</v>
      </c>
      <c r="U435">
        <v>3.3021877582119899E-2</v>
      </c>
      <c r="V435">
        <v>0.13206232906372151</v>
      </c>
      <c r="W435">
        <v>1.3639656713946289E-2</v>
      </c>
      <c r="X435">
        <v>0</v>
      </c>
      <c r="Y435">
        <v>7.6988697776753545E-2</v>
      </c>
      <c r="Z435">
        <v>0.42559099239075182</v>
      </c>
      <c r="AA435">
        <v>5.3778388988683368E-2</v>
      </c>
      <c r="AB435">
        <v>1.816955691344194</v>
      </c>
      <c r="AC435">
        <v>0.21915212307340229</v>
      </c>
      <c r="AD435">
        <v>1168.435059563179</v>
      </c>
      <c r="AE435">
        <v>50</v>
      </c>
      <c r="AF435">
        <v>80.096894978141208</v>
      </c>
      <c r="AG435">
        <v>2.1005484848484852</v>
      </c>
      <c r="AH435">
        <v>12.543751515151509</v>
      </c>
      <c r="AJ435">
        <v>10.35766363636364</v>
      </c>
      <c r="AK435">
        <v>0.36914545454545461</v>
      </c>
      <c r="AL435">
        <v>2.199157575757575</v>
      </c>
      <c r="AM435">
        <v>49.88770303030303</v>
      </c>
      <c r="AN435">
        <v>8.5799181818181811</v>
      </c>
      <c r="AP435">
        <v>1.6854545454545459E-2</v>
      </c>
      <c r="AQ435">
        <v>97.165912121212131</v>
      </c>
      <c r="AR435">
        <v>0.12875285220435931</v>
      </c>
      <c r="AS435">
        <v>0.27438160598108169</v>
      </c>
      <c r="AU435">
        <v>0.23223845883350949</v>
      </c>
      <c r="AV435">
        <v>3.2777460728649822E-2</v>
      </c>
      <c r="AW435">
        <v>6.9021124620940399E-2</v>
      </c>
      <c r="AX435">
        <v>0.52796007335122563</v>
      </c>
      <c r="AY435">
        <v>0.70241800520351916</v>
      </c>
      <c r="BA435">
        <v>4.4618585609790254E-3</v>
      </c>
      <c r="BB435">
        <v>33</v>
      </c>
      <c r="BC435" t="s">
        <v>86</v>
      </c>
    </row>
    <row r="436" spans="1:63" x14ac:dyDescent="0.2">
      <c r="A436">
        <v>434</v>
      </c>
      <c r="B436" t="s">
        <v>69</v>
      </c>
      <c r="C436" t="s">
        <v>76</v>
      </c>
      <c r="D436" t="s">
        <v>71</v>
      </c>
      <c r="E436">
        <v>-155.29812000000001</v>
      </c>
      <c r="F436">
        <v>19.375624999999999</v>
      </c>
      <c r="G436" t="s">
        <v>77</v>
      </c>
      <c r="H436" t="s">
        <v>945</v>
      </c>
      <c r="I436" t="s">
        <v>946</v>
      </c>
      <c r="J436" t="s">
        <v>68</v>
      </c>
      <c r="O436" t="s">
        <v>296</v>
      </c>
      <c r="Q436">
        <v>11.904</v>
      </c>
      <c r="R436">
        <v>1324.9639999999999</v>
      </c>
      <c r="S436">
        <v>50</v>
      </c>
      <c r="T436">
        <v>103.0836331478215</v>
      </c>
      <c r="U436">
        <v>2.3619623098343578E-3</v>
      </c>
      <c r="V436">
        <v>0.13209761439975409</v>
      </c>
      <c r="W436">
        <v>3.9636068094473969E-3</v>
      </c>
      <c r="X436">
        <v>1.979227788705666</v>
      </c>
      <c r="Y436">
        <v>7.4711797468286267E-2</v>
      </c>
      <c r="Z436">
        <v>0.43824460422042077</v>
      </c>
      <c r="AA436">
        <v>2.8027472939909381E-2</v>
      </c>
      <c r="AB436">
        <v>1.8685276949627529</v>
      </c>
      <c r="AC436">
        <v>0.1138781200624942</v>
      </c>
      <c r="AD436">
        <v>1211.880400905902</v>
      </c>
      <c r="AE436">
        <v>50</v>
      </c>
      <c r="AF436">
        <v>83.781409558620012</v>
      </c>
      <c r="AG436">
        <v>2.5039199999999999</v>
      </c>
      <c r="AH436">
        <v>14.096819999999999</v>
      </c>
      <c r="AI436">
        <v>0.27322000000000002</v>
      </c>
      <c r="AJ436">
        <v>10.95044</v>
      </c>
      <c r="AK436">
        <v>0.52094000000000007</v>
      </c>
      <c r="AL436">
        <v>2.9191400000000001</v>
      </c>
      <c r="AM436">
        <v>50.91704</v>
      </c>
      <c r="AN436">
        <v>6.4346599999999992</v>
      </c>
      <c r="AO436">
        <v>10.86684</v>
      </c>
      <c r="AP436">
        <v>0.19492000000000001</v>
      </c>
      <c r="AQ436">
        <v>99.70778</v>
      </c>
      <c r="AR436">
        <v>5.8797253337209539E-2</v>
      </c>
      <c r="AS436">
        <v>0.138496180452748</v>
      </c>
      <c r="AT436">
        <v>2.822688434808206E-2</v>
      </c>
      <c r="AU436">
        <v>7.1287502411011894E-2</v>
      </c>
      <c r="AV436">
        <v>1.2819243347405491E-2</v>
      </c>
      <c r="AW436">
        <v>2.3721045508155889E-2</v>
      </c>
      <c r="AX436">
        <v>0.39733328327740491</v>
      </c>
      <c r="AY436">
        <v>8.3972662218129629E-2</v>
      </c>
      <c r="AZ436">
        <v>5.8132675837260117E-2</v>
      </c>
      <c r="BA436">
        <v>1.931080008699795E-2</v>
      </c>
    </row>
    <row r="437" spans="1:63" x14ac:dyDescent="0.2">
      <c r="A437">
        <v>435</v>
      </c>
      <c r="B437" t="s">
        <v>69</v>
      </c>
      <c r="C437" t="s">
        <v>169</v>
      </c>
      <c r="D437" t="s">
        <v>64</v>
      </c>
      <c r="E437">
        <v>-155.29196300000001</v>
      </c>
      <c r="F437">
        <v>19.398634000000001</v>
      </c>
      <c r="G437" t="s">
        <v>170</v>
      </c>
      <c r="H437" t="s">
        <v>947</v>
      </c>
      <c r="I437" t="s">
        <v>948</v>
      </c>
      <c r="J437" t="s">
        <v>68</v>
      </c>
      <c r="K437">
        <v>3.4700954351562499</v>
      </c>
      <c r="L437">
        <v>3.1909698406250002</v>
      </c>
      <c r="M437">
        <v>34.786760821121973</v>
      </c>
      <c r="N437">
        <v>154.4779230416554</v>
      </c>
      <c r="Q437">
        <v>10.117000000000001</v>
      </c>
      <c r="R437">
        <v>1324.7670000000001</v>
      </c>
      <c r="S437">
        <v>100</v>
      </c>
      <c r="T437">
        <v>103.0837991570268</v>
      </c>
      <c r="U437">
        <v>8.6946762859247649E-3</v>
      </c>
      <c r="V437">
        <v>0.13216339391102139</v>
      </c>
      <c r="W437">
        <v>5.1676562875759358E-3</v>
      </c>
      <c r="X437">
        <v>5.4030233541036434</v>
      </c>
      <c r="Y437">
        <v>7.6236868323821039E-2</v>
      </c>
      <c r="Z437">
        <v>0.42968045483818501</v>
      </c>
      <c r="AA437">
        <v>3.0187124916073421E-2</v>
      </c>
      <c r="AB437">
        <v>1.833637450048198</v>
      </c>
      <c r="AC437">
        <v>0.1230321547325595</v>
      </c>
      <c r="AD437">
        <v>1181.4448780398029</v>
      </c>
      <c r="AE437">
        <v>50</v>
      </c>
      <c r="AF437">
        <v>81.413334186501942</v>
      </c>
      <c r="AG437">
        <v>2.5390516666666669</v>
      </c>
      <c r="AH437">
        <v>13.89052597266207</v>
      </c>
      <c r="AI437">
        <v>0.24399675000000001</v>
      </c>
      <c r="AJ437">
        <v>11.205616666666669</v>
      </c>
      <c r="AK437">
        <v>0.47515841666666669</v>
      </c>
      <c r="AL437">
        <v>2.6323025000000002</v>
      </c>
      <c r="AM437">
        <v>50.778866165683027</v>
      </c>
      <c r="AN437">
        <v>6.7552275000000002</v>
      </c>
      <c r="AP437">
        <v>0.17074191666666669</v>
      </c>
      <c r="AR437">
        <v>5.5209421763999247E-2</v>
      </c>
      <c r="AS437">
        <v>0.23260322971847319</v>
      </c>
      <c r="AT437">
        <v>2.215836573857705E-2</v>
      </c>
      <c r="AU437">
        <v>0.13946342520423419</v>
      </c>
      <c r="AV437">
        <v>1.8188943372071519E-2</v>
      </c>
      <c r="AW437">
        <v>3.4278244127355022E-2</v>
      </c>
      <c r="AX437">
        <v>0.34681065155483992</v>
      </c>
      <c r="AY437">
        <v>0.48865100303376952</v>
      </c>
      <c r="BA437">
        <v>2.081601264087701E-2</v>
      </c>
      <c r="BE437">
        <v>0.1345262091487186</v>
      </c>
      <c r="BF437">
        <v>7775</v>
      </c>
      <c r="BG437">
        <v>70608.752313608769</v>
      </c>
      <c r="BH437">
        <v>210.3653464887644</v>
      </c>
      <c r="BI437">
        <v>149.91819073256011</v>
      </c>
      <c r="BJ437">
        <v>2.385744883667781</v>
      </c>
      <c r="BK437">
        <v>210.3653464887644</v>
      </c>
    </row>
    <row r="438" spans="1:63" x14ac:dyDescent="0.2">
      <c r="A438">
        <v>436</v>
      </c>
      <c r="B438" t="s">
        <v>69</v>
      </c>
      <c r="C438" t="s">
        <v>70</v>
      </c>
      <c r="D438" t="s">
        <v>71</v>
      </c>
      <c r="E438">
        <v>-155.29347999999999</v>
      </c>
      <c r="F438">
        <v>19.377479999999998</v>
      </c>
      <c r="G438" t="s">
        <v>112</v>
      </c>
      <c r="H438" t="s">
        <v>572</v>
      </c>
      <c r="I438" t="s">
        <v>949</v>
      </c>
      <c r="J438" t="s">
        <v>68</v>
      </c>
      <c r="K438">
        <v>2.6532331914062501</v>
      </c>
      <c r="L438">
        <v>2.1425780593749999</v>
      </c>
      <c r="M438">
        <v>17.859197810243909</v>
      </c>
      <c r="N438">
        <v>57.099561192197058</v>
      </c>
      <c r="Q438">
        <v>12.116</v>
      </c>
      <c r="R438">
        <v>1324.9639999999999</v>
      </c>
      <c r="S438">
        <v>50</v>
      </c>
      <c r="T438">
        <v>103.0840834655035</v>
      </c>
      <c r="U438">
        <v>7.2378295225818921E-3</v>
      </c>
      <c r="V438">
        <v>0.13227604834251139</v>
      </c>
      <c r="W438">
        <v>4.8023255864355022E-3</v>
      </c>
      <c r="X438">
        <v>0</v>
      </c>
      <c r="Y438">
        <v>7.0726373850882429E-2</v>
      </c>
      <c r="Z438">
        <v>0.46264605617422061</v>
      </c>
      <c r="AA438">
        <v>3.093586862655047E-2</v>
      </c>
      <c r="AB438">
        <v>1.9676092885226779</v>
      </c>
      <c r="AC438">
        <v>0.12518378099099869</v>
      </c>
      <c r="AD438">
        <v>1294.395019788137</v>
      </c>
      <c r="AE438">
        <v>50</v>
      </c>
      <c r="AF438">
        <v>88.042666397542092</v>
      </c>
      <c r="AG438">
        <v>2.1280100000000002</v>
      </c>
      <c r="AH438">
        <v>12.511455</v>
      </c>
      <c r="AI438">
        <v>0.21128</v>
      </c>
      <c r="AJ438">
        <v>10.547185000000001</v>
      </c>
      <c r="AK438">
        <v>0.43435000000000001</v>
      </c>
      <c r="AL438">
        <v>2.4173399999999998</v>
      </c>
      <c r="AM438">
        <v>50.003889999999998</v>
      </c>
      <c r="AN438">
        <v>8.5805450000000008</v>
      </c>
      <c r="AO438">
        <v>11.0444</v>
      </c>
      <c r="AP438">
        <v>0.37786999999999998</v>
      </c>
      <c r="AQ438">
        <v>98.290260000000004</v>
      </c>
      <c r="AR438">
        <v>4.7093422517846893E-2</v>
      </c>
      <c r="AS438">
        <v>0.17423154844121161</v>
      </c>
      <c r="AT438">
        <v>2.1925114974993089E-2</v>
      </c>
      <c r="AU438">
        <v>0.1853741817244248</v>
      </c>
      <c r="AV438">
        <v>1.0520403456564249E-2</v>
      </c>
      <c r="AW438">
        <v>3.5166562401109248E-2</v>
      </c>
      <c r="AX438">
        <v>0.46106226248619608</v>
      </c>
      <c r="AY438">
        <v>0.4051107053427907</v>
      </c>
      <c r="AZ438">
        <v>0.14841023100402101</v>
      </c>
      <c r="BA438">
        <v>1.7068639208924791E-2</v>
      </c>
      <c r="BD438" t="s">
        <v>574</v>
      </c>
      <c r="BE438">
        <v>0.10042616720186739</v>
      </c>
      <c r="BF438">
        <v>6368</v>
      </c>
      <c r="BG438">
        <v>637795.07250067522</v>
      </c>
      <c r="BH438">
        <v>177.4936613056681</v>
      </c>
      <c r="BI438">
        <v>450.57349781836092</v>
      </c>
      <c r="BJ438">
        <v>2.2242383303227959</v>
      </c>
      <c r="BK438">
        <v>177.4936613056681</v>
      </c>
    </row>
    <row r="439" spans="1:63" x14ac:dyDescent="0.2">
      <c r="A439">
        <v>437</v>
      </c>
      <c r="B439" t="s">
        <v>69</v>
      </c>
      <c r="C439" t="s">
        <v>91</v>
      </c>
      <c r="D439" t="s">
        <v>92</v>
      </c>
      <c r="E439">
        <v>-155.28360000000001</v>
      </c>
      <c r="F439">
        <v>19.4285</v>
      </c>
      <c r="G439" t="s">
        <v>134</v>
      </c>
      <c r="H439" t="s">
        <v>934</v>
      </c>
      <c r="I439" t="s">
        <v>950</v>
      </c>
      <c r="J439" t="s">
        <v>68</v>
      </c>
      <c r="K439">
        <v>6.6347392515624994</v>
      </c>
      <c r="L439">
        <v>5.7398287726562502</v>
      </c>
      <c r="M439">
        <v>119.6389710409488</v>
      </c>
      <c r="N439">
        <v>986.98705699583832</v>
      </c>
      <c r="O439" t="s">
        <v>951</v>
      </c>
      <c r="Q439">
        <v>12.051</v>
      </c>
      <c r="R439">
        <v>1325.0039999999999</v>
      </c>
      <c r="S439">
        <v>50</v>
      </c>
      <c r="T439">
        <v>103.0843106316557</v>
      </c>
      <c r="U439">
        <v>6.1630278104842871E-3</v>
      </c>
      <c r="V439">
        <v>0.1323660606911474</v>
      </c>
      <c r="W439">
        <v>4.5609761097280136E-3</v>
      </c>
      <c r="X439">
        <v>0</v>
      </c>
      <c r="Y439">
        <v>7.4381280946694384E-2</v>
      </c>
      <c r="Z439">
        <v>0.440156726795146</v>
      </c>
      <c r="AA439">
        <v>3.8427303952648068E-2</v>
      </c>
      <c r="AB439">
        <v>1.876309420407021</v>
      </c>
      <c r="AC439">
        <v>0.1561980612269819</v>
      </c>
      <c r="AD439">
        <v>1215.3527753610961</v>
      </c>
      <c r="AE439">
        <v>100</v>
      </c>
      <c r="AG439">
        <v>2.5157387096774189</v>
      </c>
      <c r="AH439">
        <v>13.241580645161291</v>
      </c>
      <c r="AJ439">
        <v>11.11674838709677</v>
      </c>
      <c r="AK439">
        <v>0.71593870967741935</v>
      </c>
      <c r="AL439">
        <v>3.0286258064516129</v>
      </c>
      <c r="AM439">
        <v>48.480519354838712</v>
      </c>
      <c r="AN439">
        <v>6.4584548387096774</v>
      </c>
      <c r="AP439">
        <v>1.553225806451613E-2</v>
      </c>
      <c r="AQ439">
        <v>96.565938709677425</v>
      </c>
      <c r="AR439">
        <v>0.13894562408227509</v>
      </c>
      <c r="AS439">
        <v>0.1729350637654776</v>
      </c>
      <c r="AU439">
        <v>0.21495337769071041</v>
      </c>
      <c r="AV439">
        <v>7.7865408140882678E-2</v>
      </c>
      <c r="AW439">
        <v>0.14998665711265111</v>
      </c>
      <c r="AX439">
        <v>0.66558597962965682</v>
      </c>
      <c r="AY439">
        <v>0.26837320636097978</v>
      </c>
      <c r="BA439">
        <v>5.6058533157628621E-3</v>
      </c>
      <c r="BB439">
        <v>31</v>
      </c>
      <c r="BC439" t="s">
        <v>86</v>
      </c>
    </row>
    <row r="440" spans="1:63" x14ac:dyDescent="0.2">
      <c r="A440">
        <v>438</v>
      </c>
      <c r="B440" t="s">
        <v>62</v>
      </c>
      <c r="C440" t="s">
        <v>63</v>
      </c>
      <c r="D440" t="s">
        <v>64</v>
      </c>
      <c r="E440">
        <v>-155.26785000000001</v>
      </c>
      <c r="F440">
        <v>19.407830000000001</v>
      </c>
      <c r="G440" t="s">
        <v>65</v>
      </c>
      <c r="H440" t="s">
        <v>892</v>
      </c>
      <c r="I440" t="s">
        <v>952</v>
      </c>
      <c r="J440" t="s">
        <v>68</v>
      </c>
      <c r="O440" t="s">
        <v>296</v>
      </c>
      <c r="Q440">
        <v>12.005000000000001</v>
      </c>
      <c r="R440">
        <v>1325.0039999999999</v>
      </c>
      <c r="S440">
        <v>50</v>
      </c>
      <c r="T440">
        <v>103.084367</v>
      </c>
      <c r="U440">
        <v>2.889242046E-3</v>
      </c>
      <c r="V440">
        <v>0.13238839250000001</v>
      </c>
      <c r="W440">
        <v>4.0187042310000001E-3</v>
      </c>
      <c r="X440">
        <v>8.0213096421138683</v>
      </c>
      <c r="Y440">
        <v>7.452791325927588E-2</v>
      </c>
      <c r="Z440">
        <v>0.43930848370224052</v>
      </c>
      <c r="AA440">
        <v>2.6579090947707631E-2</v>
      </c>
      <c r="AB440">
        <v>1.872857713745848</v>
      </c>
      <c r="AC440">
        <v>0.1081541871791923</v>
      </c>
      <c r="AD440">
        <v>1212.1566416756721</v>
      </c>
      <c r="AE440">
        <v>50</v>
      </c>
      <c r="AF440">
        <v>83.799860039999999</v>
      </c>
      <c r="BE440">
        <v>5.9284188440091853E-2</v>
      </c>
      <c r="BF440">
        <v>6976</v>
      </c>
      <c r="BG440">
        <v>446573.83826147922</v>
      </c>
      <c r="BH440">
        <v>15.75371385680883</v>
      </c>
      <c r="BI440">
        <v>377.02634872070939</v>
      </c>
      <c r="BJ440">
        <v>0.18861651527380219</v>
      </c>
      <c r="BK440">
        <v>15.75371385680883</v>
      </c>
    </row>
    <row r="441" spans="1:63" x14ac:dyDescent="0.2">
      <c r="A441">
        <v>439</v>
      </c>
      <c r="B441" t="s">
        <v>69</v>
      </c>
      <c r="C441" t="s">
        <v>91</v>
      </c>
      <c r="D441" t="s">
        <v>92</v>
      </c>
      <c r="E441">
        <v>-155.28360000000001</v>
      </c>
      <c r="F441">
        <v>19.4285</v>
      </c>
      <c r="G441" t="s">
        <v>212</v>
      </c>
      <c r="H441" t="s">
        <v>953</v>
      </c>
      <c r="I441" t="s">
        <v>954</v>
      </c>
      <c r="J441" t="s">
        <v>68</v>
      </c>
      <c r="K441">
        <v>13.058114816406251</v>
      </c>
      <c r="L441">
        <v>12.07911215859375</v>
      </c>
      <c r="M441">
        <v>495.52477096515031</v>
      </c>
      <c r="N441">
        <v>8304.0790929905816</v>
      </c>
      <c r="O441" t="s">
        <v>955</v>
      </c>
      <c r="Q441">
        <v>11.973000000000001</v>
      </c>
      <c r="R441">
        <v>1325.0039999999999</v>
      </c>
      <c r="S441">
        <v>50</v>
      </c>
      <c r="T441">
        <v>103.08462650322529</v>
      </c>
      <c r="U441">
        <v>2.0742955292192011E-2</v>
      </c>
      <c r="V441">
        <v>0.13249122168705441</v>
      </c>
      <c r="W441">
        <v>9.0772381914946444E-3</v>
      </c>
      <c r="X441">
        <v>0</v>
      </c>
      <c r="Y441">
        <v>7.4068991008401697E-2</v>
      </c>
      <c r="Z441">
        <v>0.44197887821472231</v>
      </c>
      <c r="AA441">
        <v>4.9019249317120109E-2</v>
      </c>
      <c r="AB441">
        <v>1.8837221989977071</v>
      </c>
      <c r="AC441">
        <v>0.19948041062470909</v>
      </c>
      <c r="AD441">
        <v>1220.1822987351841</v>
      </c>
      <c r="AE441">
        <v>100</v>
      </c>
      <c r="AG441">
        <v>2.1021777777777779</v>
      </c>
      <c r="AH441">
        <v>12.18196296296296</v>
      </c>
      <c r="AJ441">
        <v>10.35145925925926</v>
      </c>
      <c r="AK441">
        <v>0.4553962962962963</v>
      </c>
      <c r="AL441">
        <v>2.3345296296296301</v>
      </c>
      <c r="AM441">
        <v>49.209007407407412</v>
      </c>
      <c r="AN441">
        <v>9.4706370370370365</v>
      </c>
      <c r="AP441">
        <v>1.7722222222222219E-2</v>
      </c>
      <c r="AQ441">
        <v>97.341288888888897</v>
      </c>
      <c r="AR441">
        <v>3.1603703937420069E-2</v>
      </c>
      <c r="AS441">
        <v>0.1308813941885143</v>
      </c>
      <c r="AU441">
        <v>0.12790190128874709</v>
      </c>
      <c r="AV441">
        <v>3.4622563579722238E-2</v>
      </c>
      <c r="AW441">
        <v>4.9585767303615608E-2</v>
      </c>
      <c r="AX441">
        <v>0.4308268757472053</v>
      </c>
      <c r="AY441">
        <v>0.20483483806030409</v>
      </c>
      <c r="BA441">
        <v>4.922736366426028E-3</v>
      </c>
      <c r="BB441">
        <v>27</v>
      </c>
      <c r="BC441" t="s">
        <v>86</v>
      </c>
    </row>
    <row r="442" spans="1:63" x14ac:dyDescent="0.2">
      <c r="A442">
        <v>440</v>
      </c>
      <c r="B442" t="s">
        <v>62</v>
      </c>
      <c r="C442" t="s">
        <v>63</v>
      </c>
      <c r="D442" t="s">
        <v>64</v>
      </c>
      <c r="E442">
        <v>-155.26785000000001</v>
      </c>
      <c r="F442">
        <v>19.407830000000001</v>
      </c>
      <c r="G442" t="s">
        <v>65</v>
      </c>
      <c r="H442" t="s">
        <v>956</v>
      </c>
      <c r="I442" t="s">
        <v>957</v>
      </c>
      <c r="J442" t="s">
        <v>68</v>
      </c>
      <c r="K442">
        <v>7.7331097984374999</v>
      </c>
      <c r="L442">
        <v>7.2483738867187499</v>
      </c>
      <c r="M442">
        <v>176.09403150538279</v>
      </c>
      <c r="N442">
        <v>1758.7665733675231</v>
      </c>
      <c r="Q442">
        <v>12.003</v>
      </c>
      <c r="R442">
        <v>1325.0039999999999</v>
      </c>
      <c r="S442">
        <v>50</v>
      </c>
      <c r="T442">
        <v>103.08490569999999</v>
      </c>
      <c r="U442">
        <v>4.2231715149999996E-3</v>
      </c>
      <c r="V442">
        <v>0.1326018638</v>
      </c>
      <c r="W442">
        <v>4.2003955190000001E-3</v>
      </c>
      <c r="X442">
        <v>8.2828902060324765</v>
      </c>
      <c r="Y442">
        <v>7.5951137272560865E-2</v>
      </c>
      <c r="Z442">
        <v>0.43126412858672042</v>
      </c>
      <c r="AA442">
        <v>2.6780919207895621E-2</v>
      </c>
      <c r="AB442">
        <v>1.8400938723315781</v>
      </c>
      <c r="AC442">
        <v>0.1091516441073444</v>
      </c>
      <c r="AD442">
        <v>1181.9054985781399</v>
      </c>
      <c r="AE442">
        <v>50</v>
      </c>
      <c r="AF442">
        <v>81.455563330000004</v>
      </c>
      <c r="BE442">
        <v>5.2652863457413428E-2</v>
      </c>
      <c r="BF442">
        <v>145</v>
      </c>
      <c r="BG442">
        <v>8986.6638447001314</v>
      </c>
      <c r="BH442">
        <v>0</v>
      </c>
      <c r="BI442">
        <v>53.484053189511407</v>
      </c>
      <c r="BJ442">
        <v>0</v>
      </c>
      <c r="BK442">
        <v>0</v>
      </c>
    </row>
    <row r="443" spans="1:63" x14ac:dyDescent="0.2">
      <c r="A443">
        <v>441</v>
      </c>
      <c r="B443" t="s">
        <v>69</v>
      </c>
      <c r="C443" t="s">
        <v>177</v>
      </c>
      <c r="D443" t="s">
        <v>144</v>
      </c>
      <c r="E443">
        <v>-155.2086333</v>
      </c>
      <c r="F443">
        <v>19.347316670000001</v>
      </c>
      <c r="G443" t="s">
        <v>178</v>
      </c>
      <c r="H443" t="s">
        <v>628</v>
      </c>
      <c r="I443" t="s">
        <v>958</v>
      </c>
      <c r="J443" t="s">
        <v>68</v>
      </c>
      <c r="K443">
        <v>5.3814926460937498</v>
      </c>
      <c r="L443">
        <v>5.06523166640625</v>
      </c>
      <c r="M443">
        <v>85.635125224440841</v>
      </c>
      <c r="N443">
        <v>596.40436312409861</v>
      </c>
      <c r="O443" t="s">
        <v>959</v>
      </c>
      <c r="Q443">
        <v>9.8789999999999996</v>
      </c>
      <c r="R443">
        <v>1324.9639999999999</v>
      </c>
      <c r="S443">
        <v>50</v>
      </c>
      <c r="T443">
        <v>103.0849805530172</v>
      </c>
      <c r="U443">
        <v>2.0569290263978469E-3</v>
      </c>
      <c r="V443">
        <v>0.13263151042722399</v>
      </c>
      <c r="W443">
        <v>3.9380067101950694E-3</v>
      </c>
      <c r="X443">
        <v>0</v>
      </c>
      <c r="Y443">
        <v>7.0539086643080395E-2</v>
      </c>
      <c r="Z443">
        <v>0.46388157444753231</v>
      </c>
      <c r="AA443">
        <v>2.7644187550449579E-2</v>
      </c>
      <c r="AB443">
        <v>1.9726131791056309</v>
      </c>
      <c r="AC443">
        <v>0.1118636421184229</v>
      </c>
      <c r="AD443">
        <v>1294.2454652131089</v>
      </c>
      <c r="AE443">
        <v>50</v>
      </c>
      <c r="AF443">
        <v>88.036478336959092</v>
      </c>
      <c r="AG443">
        <v>2.1216818181818198</v>
      </c>
      <c r="AH443">
        <v>12.5470545454545</v>
      </c>
      <c r="AI443">
        <v>0.27337272727272699</v>
      </c>
      <c r="AJ443">
        <v>10.3521727272727</v>
      </c>
      <c r="AK443">
        <v>0.49205454545454502</v>
      </c>
      <c r="AL443">
        <v>2.5642454545454498</v>
      </c>
      <c r="AM443">
        <v>49.0749</v>
      </c>
      <c r="AN443">
        <v>9.1371454545454505</v>
      </c>
      <c r="AP443">
        <v>0.18198181818181799</v>
      </c>
      <c r="AQ443">
        <v>98.157727272727257</v>
      </c>
      <c r="AR443">
        <v>0.12055145638424999</v>
      </c>
      <c r="AS443">
        <v>0.28907753411026699</v>
      </c>
      <c r="AT443">
        <v>2.8655229571898099E-2</v>
      </c>
      <c r="AU443">
        <v>0.23406218443357801</v>
      </c>
      <c r="AV443">
        <v>5.2241982420968003E-2</v>
      </c>
      <c r="AW443">
        <v>6.6675218239408293E-2</v>
      </c>
      <c r="AX443">
        <v>0.92934608408278196</v>
      </c>
      <c r="AY443">
        <v>0.68994549402635696</v>
      </c>
      <c r="BA443">
        <v>4.8246177427477499E-2</v>
      </c>
      <c r="BE443">
        <v>9.2036166577395745E-2</v>
      </c>
      <c r="BF443">
        <v>3279</v>
      </c>
      <c r="BG443">
        <v>329616.80437651271</v>
      </c>
      <c r="BH443">
        <v>27.603600215404239</v>
      </c>
      <c r="BI443">
        <v>323.91401248688288</v>
      </c>
      <c r="BJ443">
        <v>0.48205325589853038</v>
      </c>
      <c r="BK443">
        <v>27.603600215404231</v>
      </c>
    </row>
    <row r="444" spans="1:63" x14ac:dyDescent="0.2">
      <c r="A444">
        <v>442</v>
      </c>
      <c r="B444" t="s">
        <v>69</v>
      </c>
      <c r="C444" t="s">
        <v>169</v>
      </c>
      <c r="D444" t="s">
        <v>64</v>
      </c>
      <c r="E444">
        <v>-155.29196300000001</v>
      </c>
      <c r="F444">
        <v>19.398634000000001</v>
      </c>
      <c r="G444" t="s">
        <v>170</v>
      </c>
      <c r="H444" t="s">
        <v>960</v>
      </c>
      <c r="I444" t="s">
        <v>961</v>
      </c>
      <c r="J444" t="s">
        <v>68</v>
      </c>
      <c r="K444">
        <v>29.655946650781249</v>
      </c>
      <c r="L444">
        <v>18.121719267187501</v>
      </c>
      <c r="M444">
        <v>1688.3444816974529</v>
      </c>
      <c r="N444">
        <v>53776.77240065801</v>
      </c>
      <c r="Q444">
        <v>10.108000000000001</v>
      </c>
      <c r="R444">
        <v>1324.7670000000001</v>
      </c>
      <c r="S444">
        <v>50</v>
      </c>
      <c r="T444">
        <v>103.08499671860351</v>
      </c>
      <c r="U444">
        <v>2.2752183846703401E-3</v>
      </c>
      <c r="V444">
        <v>0.13263791588146739</v>
      </c>
      <c r="W444">
        <v>3.9568275771920446E-3</v>
      </c>
      <c r="X444">
        <v>3.4575898633528062</v>
      </c>
      <c r="Y444">
        <v>7.6056198357797977E-2</v>
      </c>
      <c r="Z444">
        <v>0.4306836952684861</v>
      </c>
      <c r="AA444">
        <v>2.7675089226022249E-2</v>
      </c>
      <c r="AB444">
        <v>1.83772776488596</v>
      </c>
      <c r="AC444">
        <v>0.1127643716968242</v>
      </c>
      <c r="AD444">
        <v>1179.4930859657079</v>
      </c>
      <c r="AE444">
        <v>50</v>
      </c>
      <c r="AF444">
        <v>81.23148368835129</v>
      </c>
      <c r="AG444">
        <v>2.5390516666666669</v>
      </c>
      <c r="AH444">
        <v>13.89052597266207</v>
      </c>
      <c r="AI444">
        <v>0.24399675000000001</v>
      </c>
      <c r="AJ444">
        <v>11.205616666666669</v>
      </c>
      <c r="AK444">
        <v>0.47515841666666669</v>
      </c>
      <c r="AL444">
        <v>2.6323025000000002</v>
      </c>
      <c r="AM444">
        <v>50.778866165683027</v>
      </c>
      <c r="AN444">
        <v>6.7552275000000002</v>
      </c>
      <c r="AP444">
        <v>0.17074191666666669</v>
      </c>
      <c r="AR444">
        <v>5.5209421763999247E-2</v>
      </c>
      <c r="AS444">
        <v>0.23260322971847319</v>
      </c>
      <c r="AT444">
        <v>2.215836573857705E-2</v>
      </c>
      <c r="AU444">
        <v>0.13946342520423419</v>
      </c>
      <c r="AV444">
        <v>1.8188943372071519E-2</v>
      </c>
      <c r="AW444">
        <v>3.4278244127355022E-2</v>
      </c>
      <c r="AX444">
        <v>0.34681065155483992</v>
      </c>
      <c r="AY444">
        <v>0.48865100303376952</v>
      </c>
      <c r="BA444">
        <v>2.081601264087701E-2</v>
      </c>
      <c r="BE444">
        <v>0.17869885859426929</v>
      </c>
      <c r="BF444">
        <v>6023</v>
      </c>
      <c r="BG444">
        <v>169334.27724931389</v>
      </c>
      <c r="BH444">
        <v>710.50539142476975</v>
      </c>
      <c r="BI444">
        <v>232.16540336200731</v>
      </c>
      <c r="BJ444">
        <v>9.1550547568800447</v>
      </c>
      <c r="BK444">
        <v>710.50539142476987</v>
      </c>
    </row>
    <row r="445" spans="1:63" x14ac:dyDescent="0.2">
      <c r="A445">
        <v>443</v>
      </c>
      <c r="B445" t="s">
        <v>69</v>
      </c>
      <c r="C445" t="s">
        <v>91</v>
      </c>
      <c r="D445" t="s">
        <v>92</v>
      </c>
      <c r="E445">
        <v>-155.28360000000001</v>
      </c>
      <c r="F445">
        <v>19.4285</v>
      </c>
      <c r="G445" t="s">
        <v>212</v>
      </c>
      <c r="H445" t="s">
        <v>962</v>
      </c>
      <c r="I445" t="s">
        <v>963</v>
      </c>
      <c r="J445" t="s">
        <v>68</v>
      </c>
      <c r="K445">
        <v>9.2451418031249997</v>
      </c>
      <c r="L445">
        <v>8.0931893703124995</v>
      </c>
      <c r="M445">
        <v>235.06239239104471</v>
      </c>
      <c r="N445">
        <v>2717.059737130965</v>
      </c>
      <c r="O445" t="s">
        <v>964</v>
      </c>
      <c r="Q445">
        <v>11.973000000000001</v>
      </c>
      <c r="R445">
        <v>1325.0039999999999</v>
      </c>
      <c r="S445">
        <v>50</v>
      </c>
      <c r="T445">
        <v>103.0853292327091</v>
      </c>
      <c r="U445">
        <v>3.46110174991779E-3</v>
      </c>
      <c r="V445">
        <v>0.13276967131822201</v>
      </c>
      <c r="W445">
        <v>4.0898484981957044E-3</v>
      </c>
      <c r="X445">
        <v>0</v>
      </c>
      <c r="Y445">
        <v>7.267719371331971E-2</v>
      </c>
      <c r="Z445">
        <v>0.45031440930876471</v>
      </c>
      <c r="AA445">
        <v>2.8448505694316201E-2</v>
      </c>
      <c r="AB445">
        <v>1.9175976733210811</v>
      </c>
      <c r="AC445">
        <v>0.1153877956993121</v>
      </c>
      <c r="AD445">
        <v>1245.661992259513</v>
      </c>
      <c r="AE445">
        <v>50</v>
      </c>
      <c r="AF445">
        <v>85.777927440348222</v>
      </c>
      <c r="AG445">
        <v>2.1021777777777779</v>
      </c>
      <c r="AH445">
        <v>12.18196296296296</v>
      </c>
      <c r="AJ445">
        <v>10.35145925925926</v>
      </c>
      <c r="AK445">
        <v>0.4553962962962963</v>
      </c>
      <c r="AL445">
        <v>2.3345296296296301</v>
      </c>
      <c r="AM445">
        <v>49.209007407407412</v>
      </c>
      <c r="AN445">
        <v>9.4706370370370365</v>
      </c>
      <c r="AP445">
        <v>1.7722222222222219E-2</v>
      </c>
      <c r="AQ445">
        <v>97.341288888888897</v>
      </c>
      <c r="AR445">
        <v>3.1603703937420069E-2</v>
      </c>
      <c r="AS445">
        <v>0.1308813941885143</v>
      </c>
      <c r="AU445">
        <v>0.12790190128874709</v>
      </c>
      <c r="AV445">
        <v>3.4622563579722238E-2</v>
      </c>
      <c r="AW445">
        <v>4.9585767303615608E-2</v>
      </c>
      <c r="AX445">
        <v>0.4308268757472053</v>
      </c>
      <c r="AY445">
        <v>0.20483483806030409</v>
      </c>
      <c r="BA445">
        <v>4.922736366426028E-3</v>
      </c>
      <c r="BB445">
        <v>27</v>
      </c>
      <c r="BC445" t="s">
        <v>86</v>
      </c>
    </row>
    <row r="446" spans="1:63" x14ac:dyDescent="0.2">
      <c r="A446">
        <v>444</v>
      </c>
      <c r="B446" t="s">
        <v>69</v>
      </c>
      <c r="C446" t="s">
        <v>91</v>
      </c>
      <c r="D446" t="s">
        <v>92</v>
      </c>
      <c r="E446">
        <v>-155.28360000000001</v>
      </c>
      <c r="F446">
        <v>19.4285</v>
      </c>
      <c r="G446" t="s">
        <v>212</v>
      </c>
      <c r="H446" t="s">
        <v>962</v>
      </c>
      <c r="I446" t="s">
        <v>965</v>
      </c>
      <c r="J446" t="s">
        <v>68</v>
      </c>
      <c r="K446">
        <v>5.5767004062499996</v>
      </c>
      <c r="L446">
        <v>4.17165782890625</v>
      </c>
      <c r="M446">
        <v>73.086281384816616</v>
      </c>
      <c r="N446">
        <v>474.98083534308262</v>
      </c>
      <c r="O446" t="s">
        <v>964</v>
      </c>
      <c r="Q446">
        <v>11.962999999999999</v>
      </c>
      <c r="R446">
        <v>1325.0039999999999</v>
      </c>
      <c r="S446">
        <v>50</v>
      </c>
      <c r="T446">
        <v>103.0860563747394</v>
      </c>
      <c r="U446">
        <v>9.3555318448723182E-3</v>
      </c>
      <c r="V446">
        <v>0.13305779418031699</v>
      </c>
      <c r="W446">
        <v>5.347268422056713E-3</v>
      </c>
      <c r="X446">
        <v>0</v>
      </c>
      <c r="Y446">
        <v>7.262157157631477E-2</v>
      </c>
      <c r="Z446">
        <v>0.45066004805534071</v>
      </c>
      <c r="AA446">
        <v>3.1345851425750783E-2</v>
      </c>
      <c r="AB446">
        <v>1.919001116993295</v>
      </c>
      <c r="AC446">
        <v>0.1271292757061086</v>
      </c>
      <c r="AD446">
        <v>1243.4056679985561</v>
      </c>
      <c r="AE446">
        <v>50</v>
      </c>
      <c r="AF446">
        <v>85.658203711927513</v>
      </c>
      <c r="AG446">
        <v>2.1021777777777779</v>
      </c>
      <c r="AH446">
        <v>12.18196296296296</v>
      </c>
      <c r="AJ446">
        <v>10.35145925925926</v>
      </c>
      <c r="AK446">
        <v>0.4553962962962963</v>
      </c>
      <c r="AL446">
        <v>2.3345296296296301</v>
      </c>
      <c r="AM446">
        <v>49.209007407407412</v>
      </c>
      <c r="AN446">
        <v>9.4706370370370365</v>
      </c>
      <c r="AP446">
        <v>1.7722222222222219E-2</v>
      </c>
      <c r="AQ446">
        <v>97.341288888888897</v>
      </c>
      <c r="AR446">
        <v>3.1603703937420069E-2</v>
      </c>
      <c r="AS446">
        <v>0.1308813941885143</v>
      </c>
      <c r="AU446">
        <v>0.12790190128874709</v>
      </c>
      <c r="AV446">
        <v>3.4622563579722238E-2</v>
      </c>
      <c r="AW446">
        <v>4.9585767303615608E-2</v>
      </c>
      <c r="AX446">
        <v>0.4308268757472053</v>
      </c>
      <c r="AY446">
        <v>0.20483483806030409</v>
      </c>
      <c r="BA446">
        <v>4.922736366426028E-3</v>
      </c>
      <c r="BB446">
        <v>27</v>
      </c>
      <c r="BC446" t="s">
        <v>86</v>
      </c>
    </row>
    <row r="447" spans="1:63" x14ac:dyDescent="0.2">
      <c r="A447">
        <v>445</v>
      </c>
      <c r="B447" t="s">
        <v>69</v>
      </c>
      <c r="C447" t="s">
        <v>70</v>
      </c>
      <c r="D447" t="s">
        <v>71</v>
      </c>
      <c r="E447">
        <v>-155.29347999999999</v>
      </c>
      <c r="F447">
        <v>19.377479999999998</v>
      </c>
      <c r="G447" t="s">
        <v>112</v>
      </c>
      <c r="H447" t="s">
        <v>113</v>
      </c>
      <c r="I447" t="s">
        <v>966</v>
      </c>
      <c r="J447" t="s">
        <v>85</v>
      </c>
      <c r="K447">
        <v>14.53399938828125</v>
      </c>
      <c r="L447">
        <v>12.49010033359375</v>
      </c>
      <c r="M447">
        <v>570.29680348416116</v>
      </c>
      <c r="N447">
        <v>10274.505125615009</v>
      </c>
      <c r="Q447">
        <v>11.946</v>
      </c>
      <c r="R447">
        <v>1324.9639999999999</v>
      </c>
      <c r="S447">
        <v>50</v>
      </c>
      <c r="T447">
        <v>103.08659142181421</v>
      </c>
      <c r="U447">
        <v>1.055691367265929E-2</v>
      </c>
      <c r="V447">
        <v>0.13326980130977259</v>
      </c>
      <c r="W447">
        <v>5.6879725841405939E-3</v>
      </c>
      <c r="X447">
        <v>0</v>
      </c>
      <c r="Y447">
        <v>7.3330520930313225E-2</v>
      </c>
      <c r="Z447">
        <v>0.44636655330837899</v>
      </c>
      <c r="AA447">
        <v>3.1156687605166648E-2</v>
      </c>
      <c r="AB447">
        <v>1.901560734027564</v>
      </c>
      <c r="AC447">
        <v>0.12639505184373051</v>
      </c>
      <c r="AD447">
        <v>1226.1331232659011</v>
      </c>
      <c r="AE447">
        <v>50</v>
      </c>
      <c r="AF447">
        <v>84.682353864155772</v>
      </c>
      <c r="AG447">
        <v>2.1280100000000002</v>
      </c>
      <c r="AH447">
        <v>12.511455</v>
      </c>
      <c r="AI447">
        <v>0.21128</v>
      </c>
      <c r="AJ447">
        <v>10.547185000000001</v>
      </c>
      <c r="AK447">
        <v>0.43435000000000001</v>
      </c>
      <c r="AL447">
        <v>2.4173399999999998</v>
      </c>
      <c r="AM447">
        <v>50.003889999999998</v>
      </c>
      <c r="AN447">
        <v>8.5805450000000008</v>
      </c>
      <c r="AO447">
        <v>11.0444</v>
      </c>
      <c r="AP447">
        <v>0.37786999999999998</v>
      </c>
      <c r="AQ447">
        <v>98.290260000000004</v>
      </c>
      <c r="AR447">
        <v>4.7093422517846893E-2</v>
      </c>
      <c r="AS447">
        <v>0.17423154844121161</v>
      </c>
      <c r="AT447">
        <v>2.1925114974993089E-2</v>
      </c>
      <c r="AU447">
        <v>0.1853741817244248</v>
      </c>
      <c r="AV447">
        <v>1.0520403456564249E-2</v>
      </c>
      <c r="AW447">
        <v>3.5166562401109248E-2</v>
      </c>
      <c r="AX447">
        <v>0.46106226248619608</v>
      </c>
      <c r="AY447">
        <v>0.4051107053427907</v>
      </c>
      <c r="AZ447">
        <v>0.14841023100402101</v>
      </c>
      <c r="BA447">
        <v>1.7068639208924791E-2</v>
      </c>
      <c r="BD447" t="s">
        <v>967</v>
      </c>
      <c r="BE447">
        <v>1.5315815687044121</v>
      </c>
      <c r="BF447">
        <v>2903</v>
      </c>
      <c r="BG447">
        <v>146364.34951942789</v>
      </c>
      <c r="BH447">
        <v>618.0149717777939</v>
      </c>
      <c r="BI447">
        <v>215.84536000779269</v>
      </c>
      <c r="BJ447">
        <v>11.470318528482659</v>
      </c>
      <c r="BK447">
        <v>618.01497177779379</v>
      </c>
    </row>
    <row r="448" spans="1:63" x14ac:dyDescent="0.2">
      <c r="A448">
        <v>446</v>
      </c>
      <c r="B448" t="s">
        <v>69</v>
      </c>
      <c r="C448" t="s">
        <v>91</v>
      </c>
      <c r="D448" t="s">
        <v>92</v>
      </c>
      <c r="E448">
        <v>-155.28360000000001</v>
      </c>
      <c r="F448">
        <v>19.4285</v>
      </c>
      <c r="G448" t="s">
        <v>212</v>
      </c>
      <c r="H448" t="s">
        <v>962</v>
      </c>
      <c r="I448" t="s">
        <v>968</v>
      </c>
      <c r="J448" t="s">
        <v>68</v>
      </c>
      <c r="K448">
        <v>5.8632065859375002</v>
      </c>
      <c r="L448">
        <v>5.4221730367187497</v>
      </c>
      <c r="M448">
        <v>99.875379430175613</v>
      </c>
      <c r="N448">
        <v>751.42104788424342</v>
      </c>
      <c r="O448" t="s">
        <v>964</v>
      </c>
      <c r="Q448">
        <v>11.988</v>
      </c>
      <c r="R448">
        <v>1325.0039999999999</v>
      </c>
      <c r="S448">
        <v>50</v>
      </c>
      <c r="T448">
        <v>103.0865980083009</v>
      </c>
      <c r="U448">
        <v>2.9267015610511338E-3</v>
      </c>
      <c r="V448">
        <v>0.13327241114019731</v>
      </c>
      <c r="W448">
        <v>4.0249011359954016E-3</v>
      </c>
      <c r="X448">
        <v>0</v>
      </c>
      <c r="Y448">
        <v>7.2073512592158107E-2</v>
      </c>
      <c r="Z448">
        <v>0.45405456276377198</v>
      </c>
      <c r="AA448">
        <v>2.6886341822549079E-2</v>
      </c>
      <c r="AB448">
        <v>1.932779141961215</v>
      </c>
      <c r="AC448">
        <v>0.1090219277433631</v>
      </c>
      <c r="AD448">
        <v>1252.50937682017</v>
      </c>
      <c r="AE448">
        <v>50</v>
      </c>
      <c r="AF448">
        <v>86.131676589864298</v>
      </c>
      <c r="AG448">
        <v>2.1021777777777779</v>
      </c>
      <c r="AH448">
        <v>12.18196296296296</v>
      </c>
      <c r="AJ448">
        <v>10.35145925925926</v>
      </c>
      <c r="AK448">
        <v>0.4553962962962963</v>
      </c>
      <c r="AL448">
        <v>2.3345296296296301</v>
      </c>
      <c r="AM448">
        <v>49.209007407407412</v>
      </c>
      <c r="AN448">
        <v>9.4706370370370365</v>
      </c>
      <c r="AP448">
        <v>1.7722222222222219E-2</v>
      </c>
      <c r="AQ448">
        <v>97.341288888888897</v>
      </c>
      <c r="AR448">
        <v>3.1603703937420069E-2</v>
      </c>
      <c r="AS448">
        <v>0.1308813941885143</v>
      </c>
      <c r="AU448">
        <v>0.12790190128874709</v>
      </c>
      <c r="AV448">
        <v>3.4622563579722238E-2</v>
      </c>
      <c r="AW448">
        <v>4.9585767303615608E-2</v>
      </c>
      <c r="AX448">
        <v>0.4308268757472053</v>
      </c>
      <c r="AY448">
        <v>0.20483483806030409</v>
      </c>
      <c r="BA448">
        <v>4.922736366426028E-3</v>
      </c>
      <c r="BB448">
        <v>27</v>
      </c>
      <c r="BC448" t="s">
        <v>86</v>
      </c>
    </row>
    <row r="449" spans="1:63" x14ac:dyDescent="0.2">
      <c r="A449">
        <v>447</v>
      </c>
      <c r="B449" t="s">
        <v>69</v>
      </c>
      <c r="C449" t="s">
        <v>177</v>
      </c>
      <c r="D449" t="s">
        <v>144</v>
      </c>
      <c r="E449">
        <v>-155.2086333</v>
      </c>
      <c r="F449">
        <v>19.347316670000001</v>
      </c>
      <c r="G449" t="s">
        <v>178</v>
      </c>
      <c r="H449" t="s">
        <v>628</v>
      </c>
      <c r="I449" t="s">
        <v>969</v>
      </c>
      <c r="J449" t="s">
        <v>68</v>
      </c>
      <c r="K449">
        <v>7.2616821859374996</v>
      </c>
      <c r="L449">
        <v>7.1090144914062501</v>
      </c>
      <c r="M449">
        <v>162.17970641982879</v>
      </c>
      <c r="N449">
        <v>1553.756912120012</v>
      </c>
      <c r="Q449">
        <v>9.8610000000000007</v>
      </c>
      <c r="R449">
        <v>1324.9639999999999</v>
      </c>
      <c r="S449">
        <v>50</v>
      </c>
      <c r="T449">
        <v>103.08800353958129</v>
      </c>
      <c r="U449">
        <v>1.6715328672474159E-3</v>
      </c>
      <c r="V449">
        <v>0.13382933905578651</v>
      </c>
      <c r="W449">
        <v>3.9119902992829029E-3</v>
      </c>
      <c r="X449">
        <v>0</v>
      </c>
      <c r="Y449">
        <v>6.9894744639018791E-2</v>
      </c>
      <c r="Z449">
        <v>0.46819649825211668</v>
      </c>
      <c r="AA449">
        <v>2.7566101829629729E-2</v>
      </c>
      <c r="AB449">
        <v>1.9900790564711019</v>
      </c>
      <c r="AC449">
        <v>0.11146585556524589</v>
      </c>
      <c r="AD449">
        <v>1294.2454652131089</v>
      </c>
      <c r="AE449">
        <v>50</v>
      </c>
      <c r="AF449">
        <v>88.036478336959092</v>
      </c>
      <c r="AG449">
        <v>2.1216818181818198</v>
      </c>
      <c r="AH449">
        <v>12.5470545454545</v>
      </c>
      <c r="AI449">
        <v>0.27337272727272699</v>
      </c>
      <c r="AJ449">
        <v>10.3521727272727</v>
      </c>
      <c r="AK449">
        <v>0.49205454545454502</v>
      </c>
      <c r="AL449">
        <v>2.5642454545454498</v>
      </c>
      <c r="AM449">
        <v>49.0749</v>
      </c>
      <c r="AN449">
        <v>9.1371454545454505</v>
      </c>
      <c r="AP449">
        <v>0.18198181818181799</v>
      </c>
      <c r="AQ449">
        <v>98.157727272727257</v>
      </c>
      <c r="AR449">
        <v>0.12055145638424999</v>
      </c>
      <c r="AS449">
        <v>0.28907753411026699</v>
      </c>
      <c r="AT449">
        <v>2.8655229571898099E-2</v>
      </c>
      <c r="AU449">
        <v>0.23406218443357801</v>
      </c>
      <c r="AV449">
        <v>5.2241982420968003E-2</v>
      </c>
      <c r="AW449">
        <v>6.6675218239408293E-2</v>
      </c>
      <c r="AX449">
        <v>0.92934608408278196</v>
      </c>
      <c r="AY449">
        <v>0.68994549402635696</v>
      </c>
      <c r="BA449">
        <v>4.8246177427477499E-2</v>
      </c>
      <c r="BE449">
        <v>9.2036166577395745E-2</v>
      </c>
      <c r="BF449">
        <v>3279</v>
      </c>
      <c r="BG449">
        <v>329616.80437651271</v>
      </c>
      <c r="BH449">
        <v>27.603600215404239</v>
      </c>
      <c r="BI449">
        <v>323.91401248688288</v>
      </c>
      <c r="BJ449">
        <v>0.48205325589853038</v>
      </c>
      <c r="BK449">
        <v>27.603600215404231</v>
      </c>
    </row>
    <row r="450" spans="1:63" x14ac:dyDescent="0.2">
      <c r="A450">
        <v>448</v>
      </c>
      <c r="B450" t="s">
        <v>69</v>
      </c>
      <c r="C450" t="s">
        <v>308</v>
      </c>
      <c r="D450" t="s">
        <v>64</v>
      </c>
      <c r="E450">
        <v>-155.2774</v>
      </c>
      <c r="F450">
        <v>19.402283329999999</v>
      </c>
      <c r="G450" t="s">
        <v>309</v>
      </c>
      <c r="H450" t="s">
        <v>385</v>
      </c>
      <c r="I450" t="s">
        <v>970</v>
      </c>
      <c r="J450" t="s">
        <v>68</v>
      </c>
      <c r="K450">
        <v>3.3154518359375</v>
      </c>
      <c r="L450">
        <v>3.30865239921875</v>
      </c>
      <c r="M450">
        <v>34.462258784934427</v>
      </c>
      <c r="N450">
        <v>152.18772958022319</v>
      </c>
      <c r="O450" t="s">
        <v>971</v>
      </c>
      <c r="Q450">
        <v>10.01</v>
      </c>
      <c r="R450">
        <v>1324.9639999999999</v>
      </c>
      <c r="S450">
        <v>100</v>
      </c>
      <c r="T450">
        <v>103.08809259494021</v>
      </c>
      <c r="U450">
        <v>7.2975985883699412E-2</v>
      </c>
      <c r="V450">
        <v>0.1338646263639163</v>
      </c>
      <c r="W450">
        <v>2.9171930958795202E-2</v>
      </c>
      <c r="X450">
        <v>0</v>
      </c>
      <c r="Y450">
        <v>7.501164377548819E-2</v>
      </c>
      <c r="Z450">
        <v>0.43656040315282951</v>
      </c>
      <c r="AA450">
        <v>0.109975802826317</v>
      </c>
      <c r="AB450">
        <v>1.8616710484015671</v>
      </c>
      <c r="AC450">
        <v>0.44734996409190231</v>
      </c>
      <c r="AD450">
        <v>1185.70000743436</v>
      </c>
      <c r="AE450">
        <v>50</v>
      </c>
      <c r="AF450">
        <v>81.794079715025291</v>
      </c>
      <c r="AG450">
        <v>2.3267000000000002</v>
      </c>
      <c r="AH450">
        <v>13.5229384615385</v>
      </c>
      <c r="AI450">
        <v>0.27728461538461502</v>
      </c>
      <c r="AJ450">
        <v>10.5531076923077</v>
      </c>
      <c r="AK450">
        <v>0.54219230769230797</v>
      </c>
      <c r="AL450">
        <v>2.8134692307692299</v>
      </c>
      <c r="AM450">
        <v>49.582307692307701</v>
      </c>
      <c r="AN450">
        <v>6.2924769230769204</v>
      </c>
      <c r="AP450">
        <v>0.17131538461538501</v>
      </c>
      <c r="AQ450">
        <v>97.508507692307774</v>
      </c>
      <c r="AR450">
        <v>0.15754459157119099</v>
      </c>
      <c r="AS450">
        <v>0.25828299253100101</v>
      </c>
      <c r="AT450">
        <v>3.3931029215008297E-2</v>
      </c>
      <c r="AU450">
        <v>0.14495579476480899</v>
      </c>
      <c r="AV450">
        <v>5.80211091118061E-2</v>
      </c>
      <c r="AW450">
        <v>5.1717153579436098E-2</v>
      </c>
      <c r="AX450">
        <v>0.58735311988266403</v>
      </c>
      <c r="AY450">
        <v>0.17920673421984901</v>
      </c>
      <c r="BA450">
        <v>4.0360043073850597E-2</v>
      </c>
      <c r="BE450">
        <v>7.5601626509141456E-2</v>
      </c>
      <c r="BF450">
        <v>22257</v>
      </c>
      <c r="BG450">
        <v>89536.551256157458</v>
      </c>
      <c r="BH450">
        <v>89.255504295937143</v>
      </c>
      <c r="BI450">
        <v>168.82052434356621</v>
      </c>
      <c r="BJ450">
        <v>0.59827615684341906</v>
      </c>
      <c r="BK450">
        <v>89.255504295937143</v>
      </c>
    </row>
    <row r="451" spans="1:63" x14ac:dyDescent="0.2">
      <c r="A451">
        <v>449</v>
      </c>
      <c r="B451" t="s">
        <v>69</v>
      </c>
      <c r="C451" t="s">
        <v>236</v>
      </c>
      <c r="D451" t="s">
        <v>64</v>
      </c>
      <c r="E451">
        <v>-155.292979</v>
      </c>
      <c r="F451">
        <v>19.400748</v>
      </c>
      <c r="G451" t="s">
        <v>237</v>
      </c>
      <c r="H451" t="s">
        <v>972</v>
      </c>
      <c r="I451" t="s">
        <v>973</v>
      </c>
      <c r="J451" t="s">
        <v>68</v>
      </c>
      <c r="K451">
        <v>14.47611700390625</v>
      </c>
      <c r="L451">
        <v>12.17790739296875</v>
      </c>
      <c r="M451">
        <v>553.82763757944429</v>
      </c>
      <c r="N451">
        <v>9841.1569091374349</v>
      </c>
      <c r="Q451">
        <v>9.8889999999999993</v>
      </c>
      <c r="R451">
        <v>1324.9639999999999</v>
      </c>
      <c r="S451">
        <v>50</v>
      </c>
      <c r="T451">
        <v>103.0888119078609</v>
      </c>
      <c r="U451">
        <v>3.4657107540031458E-3</v>
      </c>
      <c r="V451">
        <v>0.13414964701849641</v>
      </c>
      <c r="W451">
        <v>4.0934859301250742E-3</v>
      </c>
      <c r="X451">
        <v>8.0260788103141039</v>
      </c>
      <c r="Y451">
        <v>7.4371818025542602E-2</v>
      </c>
      <c r="Z451">
        <v>0.44024201212651781</v>
      </c>
      <c r="AA451">
        <v>2.739614248863936E-2</v>
      </c>
      <c r="AB451">
        <v>1.876656434398652</v>
      </c>
      <c r="AC451">
        <v>0.11140076547059791</v>
      </c>
      <c r="AD451">
        <v>1195.001634326394</v>
      </c>
      <c r="AE451">
        <v>50</v>
      </c>
      <c r="AF451">
        <v>82.561935824624271</v>
      </c>
      <c r="AG451">
        <v>2.0274999999999999</v>
      </c>
      <c r="AH451">
        <v>12.7525</v>
      </c>
      <c r="AI451">
        <v>0.17249999999999999</v>
      </c>
      <c r="AJ451">
        <v>11.092499999999999</v>
      </c>
      <c r="AK451">
        <v>0.51750000000000007</v>
      </c>
      <c r="AL451">
        <v>2.5150000000000001</v>
      </c>
      <c r="AM451">
        <v>50.63</v>
      </c>
      <c r="AN451">
        <v>7.415</v>
      </c>
      <c r="AP451">
        <v>1685.75</v>
      </c>
      <c r="AR451">
        <v>0.17231270024773751</v>
      </c>
      <c r="AS451">
        <v>0.13450526631573459</v>
      </c>
      <c r="AT451">
        <v>4.9999999999999836E-3</v>
      </c>
      <c r="AU451">
        <v>0.29227555491350982</v>
      </c>
      <c r="AV451">
        <v>2.061552812808835E-2</v>
      </c>
      <c r="AW451">
        <v>6.2449979983983737E-2</v>
      </c>
      <c r="AX451">
        <v>0.21556128285632961</v>
      </c>
      <c r="AY451">
        <v>0.39770173078158311</v>
      </c>
      <c r="BA451">
        <v>51.951098801340748</v>
      </c>
      <c r="BE451">
        <v>6.4499986641869844E-2</v>
      </c>
      <c r="BF451">
        <v>1502</v>
      </c>
      <c r="BG451">
        <v>37473.05993088604</v>
      </c>
      <c r="BH451">
        <v>0</v>
      </c>
      <c r="BI451">
        <v>109.2155915680481</v>
      </c>
      <c r="BJ451">
        <v>0</v>
      </c>
      <c r="BK451">
        <v>0</v>
      </c>
    </row>
    <row r="452" spans="1:63" x14ac:dyDescent="0.2">
      <c r="A452">
        <v>450</v>
      </c>
      <c r="B452" t="s">
        <v>62</v>
      </c>
      <c r="C452" t="s">
        <v>63</v>
      </c>
      <c r="D452" t="s">
        <v>64</v>
      </c>
      <c r="E452">
        <v>-155.26785000000001</v>
      </c>
      <c r="F452">
        <v>19.407830000000001</v>
      </c>
      <c r="G452" t="s">
        <v>65</v>
      </c>
      <c r="H452" t="s">
        <v>892</v>
      </c>
      <c r="I452" t="s">
        <v>974</v>
      </c>
      <c r="J452" t="s">
        <v>68</v>
      </c>
      <c r="K452">
        <v>10.632749927343751</v>
      </c>
      <c r="L452">
        <v>7.5684123312500002</v>
      </c>
      <c r="M452">
        <v>252.8134976578805</v>
      </c>
      <c r="N452">
        <v>3067.6663280224629</v>
      </c>
      <c r="Q452">
        <v>12.039</v>
      </c>
      <c r="R452">
        <v>1325.0039999999999</v>
      </c>
      <c r="S452">
        <v>50</v>
      </c>
      <c r="T452">
        <v>103.0892726</v>
      </c>
      <c r="U452">
        <v>2.2798565349999998E-3</v>
      </c>
      <c r="V452">
        <v>0.1343321777</v>
      </c>
      <c r="W452">
        <v>3.9610869599999996E-3</v>
      </c>
      <c r="X452">
        <v>6.3527558897790808</v>
      </c>
      <c r="Y452">
        <v>7.26286378923644E-2</v>
      </c>
      <c r="Z452">
        <v>0.45063849167399123</v>
      </c>
      <c r="AA452">
        <v>2.6692897553497848E-2</v>
      </c>
      <c r="AB452">
        <v>1.918913591560224</v>
      </c>
      <c r="AC452">
        <v>0.1083716509943472</v>
      </c>
      <c r="AD452">
        <v>1228.2686412352259</v>
      </c>
      <c r="AE452">
        <v>50</v>
      </c>
      <c r="AF452">
        <v>84.809240459999998</v>
      </c>
      <c r="BE452">
        <v>5.9284188440091853E-2</v>
      </c>
      <c r="BF452">
        <v>6976</v>
      </c>
      <c r="BG452">
        <v>446573.83826147922</v>
      </c>
      <c r="BH452">
        <v>15.75371385680883</v>
      </c>
      <c r="BI452">
        <v>377.02634872070939</v>
      </c>
      <c r="BJ452">
        <v>0.18861651527380219</v>
      </c>
      <c r="BK452">
        <v>15.75371385680883</v>
      </c>
    </row>
    <row r="453" spans="1:63" x14ac:dyDescent="0.2">
      <c r="A453">
        <v>451</v>
      </c>
      <c r="B453" t="s">
        <v>69</v>
      </c>
      <c r="C453" t="s">
        <v>76</v>
      </c>
      <c r="D453" t="s">
        <v>71</v>
      </c>
      <c r="E453">
        <v>-155.29812000000001</v>
      </c>
      <c r="F453">
        <v>19.375624999999999</v>
      </c>
      <c r="G453" t="s">
        <v>77</v>
      </c>
      <c r="H453" t="s">
        <v>759</v>
      </c>
      <c r="I453" t="s">
        <v>975</v>
      </c>
      <c r="J453" t="s">
        <v>68</v>
      </c>
      <c r="K453">
        <v>6.933682007812501</v>
      </c>
      <c r="L453">
        <v>6.933682007812501</v>
      </c>
      <c r="M453">
        <v>151.03503935062821</v>
      </c>
      <c r="N453">
        <v>1396.305246526272</v>
      </c>
      <c r="Q453">
        <v>12.12</v>
      </c>
      <c r="R453">
        <v>1324.9639999999999</v>
      </c>
      <c r="S453">
        <v>50</v>
      </c>
      <c r="T453">
        <v>103.0901405730159</v>
      </c>
      <c r="U453">
        <v>2.9033619625430719E-3</v>
      </c>
      <c r="V453">
        <v>0.13467611748958319</v>
      </c>
      <c r="W453">
        <v>4.0254102171677197E-3</v>
      </c>
      <c r="X453">
        <v>0</v>
      </c>
      <c r="Y453">
        <v>7.3803753097876346E-2</v>
      </c>
      <c r="Z453">
        <v>0.44357570733454038</v>
      </c>
      <c r="AA453">
        <v>2.7688548837851708E-2</v>
      </c>
      <c r="AB453">
        <v>1.8902160944351409</v>
      </c>
      <c r="AC453">
        <v>0.1124254682743456</v>
      </c>
      <c r="AD453">
        <v>1200.3147016027351</v>
      </c>
      <c r="AE453">
        <v>50</v>
      </c>
      <c r="AF453">
        <v>82.967138235109459</v>
      </c>
      <c r="AG453">
        <v>2.5039199999999999</v>
      </c>
      <c r="AH453">
        <v>14.096819999999999</v>
      </c>
      <c r="AI453">
        <v>0.27322000000000002</v>
      </c>
      <c r="AJ453">
        <v>10.95044</v>
      </c>
      <c r="AK453">
        <v>0.52094000000000007</v>
      </c>
      <c r="AL453">
        <v>2.9191400000000001</v>
      </c>
      <c r="AM453">
        <v>50.91704</v>
      </c>
      <c r="AN453">
        <v>6.4346599999999992</v>
      </c>
      <c r="AO453">
        <v>10.86684</v>
      </c>
      <c r="AP453">
        <v>0.19492000000000001</v>
      </c>
      <c r="AQ453">
        <v>99.70778</v>
      </c>
      <c r="AR453">
        <v>5.8797253337209539E-2</v>
      </c>
      <c r="AS453">
        <v>0.138496180452748</v>
      </c>
      <c r="AT453">
        <v>2.822688434808206E-2</v>
      </c>
      <c r="AU453">
        <v>7.1287502411011894E-2</v>
      </c>
      <c r="AV453">
        <v>1.2819243347405491E-2</v>
      </c>
      <c r="AW453">
        <v>2.3721045508155889E-2</v>
      </c>
      <c r="AX453">
        <v>0.39733328327740491</v>
      </c>
      <c r="AY453">
        <v>8.3972662218129629E-2</v>
      </c>
      <c r="AZ453">
        <v>5.8132675837260117E-2</v>
      </c>
      <c r="BA453">
        <v>1.931080008699795E-2</v>
      </c>
      <c r="BD453" t="s">
        <v>761</v>
      </c>
      <c r="BE453">
        <v>0.19723645697304329</v>
      </c>
      <c r="BF453">
        <v>6923</v>
      </c>
      <c r="BG453">
        <v>343090.29029368702</v>
      </c>
      <c r="BH453">
        <v>173.84389945406539</v>
      </c>
      <c r="BI453">
        <v>330.46789746380392</v>
      </c>
      <c r="BJ453">
        <v>2.089355252255551</v>
      </c>
      <c r="BK453">
        <v>173.84389945406531</v>
      </c>
    </row>
    <row r="454" spans="1:63" x14ac:dyDescent="0.2">
      <c r="A454">
        <v>452</v>
      </c>
      <c r="B454" t="s">
        <v>69</v>
      </c>
      <c r="C454" t="s">
        <v>91</v>
      </c>
      <c r="D454" t="s">
        <v>92</v>
      </c>
      <c r="E454">
        <v>-155.272412745889</v>
      </c>
      <c r="F454">
        <v>19.3454197541963</v>
      </c>
      <c r="G454" t="s">
        <v>124</v>
      </c>
      <c r="H454" t="s">
        <v>976</v>
      </c>
      <c r="I454" t="s">
        <v>977</v>
      </c>
      <c r="J454" t="s">
        <v>68</v>
      </c>
      <c r="K454">
        <v>5.3305840429687494</v>
      </c>
      <c r="L454">
        <v>4.5925255273437502</v>
      </c>
      <c r="M454">
        <v>76.908837442925375</v>
      </c>
      <c r="N454">
        <v>508.78321391433411</v>
      </c>
      <c r="O454" t="s">
        <v>978</v>
      </c>
      <c r="Q454">
        <v>9.06175</v>
      </c>
      <c r="R454">
        <v>1325.0039999999999</v>
      </c>
      <c r="S454">
        <v>50</v>
      </c>
      <c r="T454">
        <v>103.09091918790089</v>
      </c>
      <c r="U454">
        <v>1.9670394526855729E-3</v>
      </c>
      <c r="V454">
        <v>0.13498463596298829</v>
      </c>
      <c r="W454">
        <v>3.9371971353322852E-3</v>
      </c>
      <c r="X454">
        <v>0.54305519422284454</v>
      </c>
      <c r="Y454">
        <v>6.8802980180029394E-2</v>
      </c>
      <c r="Z454">
        <v>0.4757347777900815</v>
      </c>
      <c r="AA454">
        <v>2.46343177575543E-2</v>
      </c>
      <c r="AB454">
        <v>2.0205562362859868</v>
      </c>
      <c r="AC454">
        <v>9.9463494229687907E-2</v>
      </c>
      <c r="AD454">
        <v>1305.675923594405</v>
      </c>
      <c r="AE454">
        <v>50</v>
      </c>
      <c r="AF454">
        <v>88.498673305942503</v>
      </c>
      <c r="AG454">
        <v>2.4452269230769228</v>
      </c>
      <c r="AH454">
        <v>12.97811153846154</v>
      </c>
      <c r="AJ454">
        <v>10.30404615384615</v>
      </c>
      <c r="AK454">
        <v>0.55342692307692309</v>
      </c>
      <c r="AL454">
        <v>2.900669230769231</v>
      </c>
      <c r="AM454">
        <v>50.451046153846157</v>
      </c>
      <c r="AN454">
        <v>6.0883423076923071</v>
      </c>
      <c r="AP454">
        <v>1.6526923076923071E-2</v>
      </c>
      <c r="AQ454">
        <v>97.170811538461535</v>
      </c>
      <c r="AR454">
        <v>0.14452695958247319</v>
      </c>
      <c r="AS454">
        <v>0.56238533005541524</v>
      </c>
      <c r="AU454">
        <v>0.81302815263963402</v>
      </c>
      <c r="AV454">
        <v>0.1071919159552335</v>
      </c>
      <c r="AW454">
        <v>0.48878923864523122</v>
      </c>
      <c r="AX454">
        <v>0.42567582898799372</v>
      </c>
      <c r="AY454">
        <v>0.85490953915514445</v>
      </c>
      <c r="BA454">
        <v>4.3609684880592933E-3</v>
      </c>
      <c r="BB454">
        <v>26</v>
      </c>
      <c r="BC454" t="s">
        <v>86</v>
      </c>
    </row>
    <row r="455" spans="1:63" x14ac:dyDescent="0.2">
      <c r="A455">
        <v>453</v>
      </c>
      <c r="B455" t="s">
        <v>69</v>
      </c>
      <c r="C455" t="s">
        <v>91</v>
      </c>
      <c r="D455" t="s">
        <v>92</v>
      </c>
      <c r="E455">
        <v>-155.28360000000001</v>
      </c>
      <c r="F455">
        <v>19.4285</v>
      </c>
      <c r="G455" t="s">
        <v>212</v>
      </c>
      <c r="H455" t="s">
        <v>979</v>
      </c>
      <c r="I455" t="s">
        <v>980</v>
      </c>
      <c r="J455" t="s">
        <v>68</v>
      </c>
      <c r="K455">
        <v>12.174129928125</v>
      </c>
      <c r="L455">
        <v>5.5102170250000002</v>
      </c>
      <c r="M455">
        <v>210.74462624696329</v>
      </c>
      <c r="N455">
        <v>2484.5873927053021</v>
      </c>
      <c r="O455" t="s">
        <v>981</v>
      </c>
      <c r="Q455">
        <v>12.016999999999999</v>
      </c>
      <c r="R455">
        <v>1325.0039999999999</v>
      </c>
      <c r="S455">
        <v>50</v>
      </c>
      <c r="T455">
        <v>103.0909313827279</v>
      </c>
      <c r="U455">
        <v>6.9369517568706714E-3</v>
      </c>
      <c r="V455">
        <v>0.13498946804297421</v>
      </c>
      <c r="W455">
        <v>4.7372540368643464E-3</v>
      </c>
      <c r="X455">
        <v>0</v>
      </c>
      <c r="Y455">
        <v>7.2651585662713458E-2</v>
      </c>
      <c r="Z455">
        <v>0.45050910584939169</v>
      </c>
      <c r="AA455">
        <v>4.1529858412930137E-2</v>
      </c>
      <c r="AB455">
        <v>1.918388237974485</v>
      </c>
      <c r="AC455">
        <v>0.16840136236919581</v>
      </c>
      <c r="AD455">
        <v>1220.1822987351841</v>
      </c>
      <c r="AE455">
        <v>100</v>
      </c>
      <c r="AG455">
        <v>2.1021777777777779</v>
      </c>
      <c r="AH455">
        <v>12.18196296296296</v>
      </c>
      <c r="AJ455">
        <v>10.35145925925926</v>
      </c>
      <c r="AK455">
        <v>0.4553962962962963</v>
      </c>
      <c r="AL455">
        <v>2.3345296296296301</v>
      </c>
      <c r="AM455">
        <v>49.209007407407412</v>
      </c>
      <c r="AN455">
        <v>9.4706370370370365</v>
      </c>
      <c r="AP455">
        <v>1.7722222222222219E-2</v>
      </c>
      <c r="AQ455">
        <v>97.341288888888897</v>
      </c>
      <c r="AR455">
        <v>3.1603703937420069E-2</v>
      </c>
      <c r="AS455">
        <v>0.1308813941885143</v>
      </c>
      <c r="AU455">
        <v>0.12790190128874709</v>
      </c>
      <c r="AV455">
        <v>3.4622563579722238E-2</v>
      </c>
      <c r="AW455">
        <v>4.9585767303615608E-2</v>
      </c>
      <c r="AX455">
        <v>0.4308268757472053</v>
      </c>
      <c r="AY455">
        <v>0.20483483806030409</v>
      </c>
      <c r="BA455">
        <v>4.922736366426028E-3</v>
      </c>
      <c r="BB455">
        <v>27</v>
      </c>
      <c r="BC455" t="s">
        <v>86</v>
      </c>
    </row>
    <row r="456" spans="1:63" x14ac:dyDescent="0.2">
      <c r="A456">
        <v>454</v>
      </c>
      <c r="B456" t="s">
        <v>69</v>
      </c>
      <c r="C456" t="s">
        <v>177</v>
      </c>
      <c r="D456" t="s">
        <v>144</v>
      </c>
      <c r="E456">
        <v>-155.2086333</v>
      </c>
      <c r="F456">
        <v>19.347316670000001</v>
      </c>
      <c r="G456" t="s">
        <v>178</v>
      </c>
      <c r="H456" t="s">
        <v>628</v>
      </c>
      <c r="I456" t="s">
        <v>982</v>
      </c>
      <c r="J456" t="s">
        <v>68</v>
      </c>
      <c r="K456">
        <v>8.5725787164062499</v>
      </c>
      <c r="L456">
        <v>8.0093296507812486</v>
      </c>
      <c r="M456">
        <v>215.70366450171929</v>
      </c>
      <c r="N456">
        <v>2384.5189328227088</v>
      </c>
      <c r="Q456">
        <v>10.032999999999999</v>
      </c>
      <c r="R456">
        <v>1324.9639999999999</v>
      </c>
      <c r="S456">
        <v>50</v>
      </c>
      <c r="T456">
        <v>103.09162871618391</v>
      </c>
      <c r="U456">
        <v>4.4400360540941992E-3</v>
      </c>
      <c r="V456">
        <v>0.135265779551311</v>
      </c>
      <c r="W456">
        <v>4.2410584156360636E-3</v>
      </c>
      <c r="X456">
        <v>0</v>
      </c>
      <c r="Y456">
        <v>6.9606816977032304E-2</v>
      </c>
      <c r="Z456">
        <v>0.47017359494429961</v>
      </c>
      <c r="AA456">
        <v>3.9885784039382692E-2</v>
      </c>
      <c r="AB456">
        <v>1.9980768790784871</v>
      </c>
      <c r="AC456">
        <v>0.16115689265468541</v>
      </c>
      <c r="AD456">
        <v>1283.3867389732591</v>
      </c>
      <c r="AE456">
        <v>100</v>
      </c>
      <c r="AG456">
        <v>2.1216818181818198</v>
      </c>
      <c r="AH456">
        <v>12.5470545454545</v>
      </c>
      <c r="AI456">
        <v>0.27337272727272699</v>
      </c>
      <c r="AJ456">
        <v>10.3521727272727</v>
      </c>
      <c r="AK456">
        <v>0.49205454545454502</v>
      </c>
      <c r="AL456">
        <v>2.5642454545454498</v>
      </c>
      <c r="AM456">
        <v>49.0749</v>
      </c>
      <c r="AN456">
        <v>9.1371454545454505</v>
      </c>
      <c r="AP456">
        <v>0.18198181818181799</v>
      </c>
      <c r="AQ456">
        <v>98.157727272727257</v>
      </c>
      <c r="AR456">
        <v>0.12055145638424999</v>
      </c>
      <c r="AS456">
        <v>0.28907753411026699</v>
      </c>
      <c r="AT456">
        <v>2.8655229571898099E-2</v>
      </c>
      <c r="AU456">
        <v>0.23406218443357801</v>
      </c>
      <c r="AV456">
        <v>5.2241982420968003E-2</v>
      </c>
      <c r="AW456">
        <v>6.6675218239408293E-2</v>
      </c>
      <c r="AX456">
        <v>0.92934608408278196</v>
      </c>
      <c r="AY456">
        <v>0.68994549402635696</v>
      </c>
      <c r="BA456">
        <v>4.8246177427477499E-2</v>
      </c>
      <c r="BE456">
        <v>0.2092077615041073</v>
      </c>
      <c r="BF456">
        <v>3470</v>
      </c>
      <c r="BG456">
        <v>519009.97693383548</v>
      </c>
      <c r="BH456">
        <v>104.3786505652515</v>
      </c>
      <c r="BI456">
        <v>406.45541783332283</v>
      </c>
      <c r="BJ456">
        <v>1.771931547866225</v>
      </c>
      <c r="BK456">
        <v>104.3786505652515</v>
      </c>
    </row>
    <row r="457" spans="1:63" x14ac:dyDescent="0.2">
      <c r="A457">
        <v>455</v>
      </c>
      <c r="B457" t="s">
        <v>69</v>
      </c>
      <c r="C457" t="s">
        <v>177</v>
      </c>
      <c r="D457" t="s">
        <v>144</v>
      </c>
      <c r="E457">
        <v>-155.2086333</v>
      </c>
      <c r="F457">
        <v>19.347316670000001</v>
      </c>
      <c r="G457" t="s">
        <v>178</v>
      </c>
      <c r="H457" t="s">
        <v>983</v>
      </c>
      <c r="I457" t="s">
        <v>984</v>
      </c>
      <c r="J457" t="s">
        <v>68</v>
      </c>
      <c r="K457">
        <v>10.56487178984375</v>
      </c>
      <c r="L457">
        <v>9.2898902328124997</v>
      </c>
      <c r="M457">
        <v>308.33632102370962</v>
      </c>
      <c r="N457">
        <v>4081.2961845780642</v>
      </c>
      <c r="O457" t="s">
        <v>985</v>
      </c>
      <c r="Q457">
        <v>9.8610000000000007</v>
      </c>
      <c r="R457">
        <v>1324.9639999999999</v>
      </c>
      <c r="S457">
        <v>50</v>
      </c>
      <c r="T457">
        <v>103.0916413349798</v>
      </c>
      <c r="U457">
        <v>2.5620816230433299E-2</v>
      </c>
      <c r="V457">
        <v>0.13527077962481829</v>
      </c>
      <c r="W457">
        <v>1.0860685131516241E-2</v>
      </c>
      <c r="X457">
        <v>0</v>
      </c>
      <c r="Y457">
        <v>7.0130595264605633E-2</v>
      </c>
      <c r="Z457">
        <v>0.46663750449935559</v>
      </c>
      <c r="AA457">
        <v>4.8215069243173113E-2</v>
      </c>
      <c r="AB457">
        <v>1.983770327910112</v>
      </c>
      <c r="AC457">
        <v>0.19497112991985749</v>
      </c>
      <c r="AD457">
        <v>1271.375614280508</v>
      </c>
      <c r="AE457">
        <v>50</v>
      </c>
      <c r="AF457">
        <v>87.040595811926352</v>
      </c>
      <c r="AG457">
        <v>2.1216818181818198</v>
      </c>
      <c r="AH457">
        <v>12.5470545454545</v>
      </c>
      <c r="AI457">
        <v>0.27337272727272699</v>
      </c>
      <c r="AJ457">
        <v>10.3521727272727</v>
      </c>
      <c r="AK457">
        <v>0.49205454545454502</v>
      </c>
      <c r="AL457">
        <v>2.5642454545454498</v>
      </c>
      <c r="AM457">
        <v>49.0749</v>
      </c>
      <c r="AN457">
        <v>9.1371454545454505</v>
      </c>
      <c r="AP457">
        <v>0.18198181818181799</v>
      </c>
      <c r="AQ457">
        <v>98.157727272727257</v>
      </c>
      <c r="AR457">
        <v>0.12055145638424999</v>
      </c>
      <c r="AS457">
        <v>0.28907753411026699</v>
      </c>
      <c r="AT457">
        <v>2.8655229571898099E-2</v>
      </c>
      <c r="AU457">
        <v>0.23406218443357801</v>
      </c>
      <c r="AV457">
        <v>5.2241982420968003E-2</v>
      </c>
      <c r="AW457">
        <v>6.6675218239408293E-2</v>
      </c>
      <c r="AX457">
        <v>0.92934608408278196</v>
      </c>
      <c r="AY457">
        <v>0.68994549402635696</v>
      </c>
      <c r="BA457">
        <v>4.8246177427477499E-2</v>
      </c>
      <c r="BE457">
        <v>1.024993173464849</v>
      </c>
      <c r="BF457">
        <v>27725</v>
      </c>
      <c r="BG457">
        <v>2773807.6070984178</v>
      </c>
      <c r="BH457">
        <v>9445.5384187066029</v>
      </c>
      <c r="BI457">
        <v>939.64375361688553</v>
      </c>
      <c r="BJ457">
        <v>56.727146924289841</v>
      </c>
      <c r="BK457">
        <v>9445.5384187065974</v>
      </c>
    </row>
    <row r="458" spans="1:63" x14ac:dyDescent="0.2">
      <c r="A458">
        <v>456</v>
      </c>
      <c r="B458" t="s">
        <v>69</v>
      </c>
      <c r="C458" t="s">
        <v>671</v>
      </c>
      <c r="D458" t="s">
        <v>144</v>
      </c>
      <c r="E458">
        <v>-155.21461669999999</v>
      </c>
      <c r="F458">
        <v>19.36376667</v>
      </c>
      <c r="G458" t="s">
        <v>672</v>
      </c>
      <c r="H458" t="s">
        <v>986</v>
      </c>
      <c r="I458" t="s">
        <v>987</v>
      </c>
      <c r="J458" t="s">
        <v>68</v>
      </c>
      <c r="K458">
        <v>5.0969042562499993</v>
      </c>
      <c r="L458">
        <v>4.4529336726562496</v>
      </c>
      <c r="M458">
        <v>71.302141636455204</v>
      </c>
      <c r="N458">
        <v>453.94926440804358</v>
      </c>
      <c r="Q458">
        <v>10.010999999999999</v>
      </c>
      <c r="R458">
        <v>1324.9639999999999</v>
      </c>
      <c r="S458">
        <v>100</v>
      </c>
      <c r="T458">
        <v>103.091792173326</v>
      </c>
      <c r="U458">
        <v>6.8130927843866604E-3</v>
      </c>
      <c r="V458">
        <v>0.1353305478327016</v>
      </c>
      <c r="W458">
        <v>4.7096208983725329E-3</v>
      </c>
      <c r="X458">
        <v>0</v>
      </c>
      <c r="Y458">
        <v>6.921325211550422E-2</v>
      </c>
      <c r="Z458">
        <v>0.47287824846467108</v>
      </c>
      <c r="AA458">
        <v>3.0028571689939089E-2</v>
      </c>
      <c r="AB458">
        <v>2.0090127216382432</v>
      </c>
      <c r="AC458">
        <v>0.1212776434007984</v>
      </c>
      <c r="AD458">
        <v>1291.74238307263</v>
      </c>
      <c r="AE458">
        <v>50</v>
      </c>
      <c r="AF458">
        <v>87.932328668752362</v>
      </c>
      <c r="AG458">
        <v>2.1139333333333301</v>
      </c>
      <c r="AH458">
        <v>13.587583333333299</v>
      </c>
      <c r="AI458">
        <v>0.29523333333333301</v>
      </c>
      <c r="AJ458">
        <v>10.4225166666667</v>
      </c>
      <c r="AK458">
        <v>0.52931666666666699</v>
      </c>
      <c r="AL458">
        <v>2.6979166666666701</v>
      </c>
      <c r="AM458">
        <v>50.566133333333298</v>
      </c>
      <c r="AN458">
        <v>7.4192666666666698</v>
      </c>
      <c r="AP458">
        <v>0.115333333333333</v>
      </c>
      <c r="AQ458">
        <v>98.28573333333334</v>
      </c>
      <c r="AR458">
        <v>0.57645847609924805</v>
      </c>
      <c r="AS458">
        <v>1.26245867483521</v>
      </c>
      <c r="AT458">
        <v>5.29901751899979E-2</v>
      </c>
      <c r="AU458">
        <v>1.9081872417733701</v>
      </c>
      <c r="AV458">
        <v>0.16521048897290599</v>
      </c>
      <c r="AW458">
        <v>0.109080345006177</v>
      </c>
      <c r="AX458">
        <v>2.5946244064732502</v>
      </c>
      <c r="AY458">
        <v>1.98528395920248</v>
      </c>
      <c r="BA458">
        <v>4.7953505259435099E-2</v>
      </c>
      <c r="BE458">
        <v>0.26130504769570212</v>
      </c>
      <c r="BF458">
        <v>1886</v>
      </c>
      <c r="BG458">
        <v>91164.995867048798</v>
      </c>
      <c r="BH458">
        <v>180.28628475323919</v>
      </c>
      <c r="BI458">
        <v>170.34881701492981</v>
      </c>
      <c r="BJ458">
        <v>4.1513738459920306</v>
      </c>
      <c r="BK458">
        <v>180.28628475323919</v>
      </c>
    </row>
    <row r="459" spans="1:63" x14ac:dyDescent="0.2">
      <c r="A459">
        <v>457</v>
      </c>
      <c r="B459" t="s">
        <v>69</v>
      </c>
      <c r="C459" t="s">
        <v>177</v>
      </c>
      <c r="D459" t="s">
        <v>144</v>
      </c>
      <c r="E459">
        <v>-155.2086333</v>
      </c>
      <c r="F459">
        <v>19.347316670000001</v>
      </c>
      <c r="G459" t="s">
        <v>178</v>
      </c>
      <c r="H459" t="s">
        <v>988</v>
      </c>
      <c r="I459" t="s">
        <v>989</v>
      </c>
      <c r="J459" t="s">
        <v>68</v>
      </c>
      <c r="K459">
        <v>9.0653925914062494</v>
      </c>
      <c r="L459">
        <v>8.4405999062500001</v>
      </c>
      <c r="M459">
        <v>240.38635046654591</v>
      </c>
      <c r="N459">
        <v>2805.4677652042119</v>
      </c>
      <c r="O459" t="s">
        <v>990</v>
      </c>
      <c r="P459" t="s">
        <v>283</v>
      </c>
      <c r="Q459">
        <v>9.8919999999999995</v>
      </c>
      <c r="R459">
        <v>1324.9639999999999</v>
      </c>
      <c r="S459">
        <v>50</v>
      </c>
      <c r="T459">
        <v>103.0920783099059</v>
      </c>
      <c r="U459">
        <v>4.2982362738533772E-2</v>
      </c>
      <c r="V459">
        <v>0.1354439266320426</v>
      </c>
      <c r="W459">
        <v>1.7463137021673569E-2</v>
      </c>
      <c r="X459">
        <v>0</v>
      </c>
      <c r="Y459">
        <v>6.9199456035298423E-2</v>
      </c>
      <c r="Z459">
        <v>0.47297571090294122</v>
      </c>
      <c r="AA459">
        <v>7.0582085652288462E-2</v>
      </c>
      <c r="AB459">
        <v>2.0094066854128609</v>
      </c>
      <c r="AC459">
        <v>0.28490015664339069</v>
      </c>
      <c r="AD459">
        <v>1290.688837471356</v>
      </c>
      <c r="AE459">
        <v>50</v>
      </c>
      <c r="AF459">
        <v>87.888160226030124</v>
      </c>
      <c r="AG459">
        <v>2.1216818181818198</v>
      </c>
      <c r="AH459">
        <v>12.5470545454545</v>
      </c>
      <c r="AI459">
        <v>0.27337272727272699</v>
      </c>
      <c r="AJ459">
        <v>10.3521727272727</v>
      </c>
      <c r="AK459">
        <v>0.49205454545454502</v>
      </c>
      <c r="AL459">
        <v>2.5642454545454498</v>
      </c>
      <c r="AM459">
        <v>49.0749</v>
      </c>
      <c r="AN459">
        <v>9.1371454545454505</v>
      </c>
      <c r="AP459">
        <v>0.18198181818181799</v>
      </c>
      <c r="AQ459">
        <v>98.157727272727257</v>
      </c>
      <c r="AR459">
        <v>0.12055145638424999</v>
      </c>
      <c r="AS459">
        <v>0.28907753411026699</v>
      </c>
      <c r="AT459">
        <v>2.8655229571898099E-2</v>
      </c>
      <c r="AU459">
        <v>0.23406218443357801</v>
      </c>
      <c r="AV459">
        <v>5.2241982420968003E-2</v>
      </c>
      <c r="AW459">
        <v>6.6675218239408293E-2</v>
      </c>
      <c r="AX459">
        <v>0.92934608408278196</v>
      </c>
      <c r="AY459">
        <v>0.68994549402635696</v>
      </c>
      <c r="BA459">
        <v>4.8246177427477499E-2</v>
      </c>
      <c r="BE459">
        <v>0.96704543446836433</v>
      </c>
      <c r="BF459">
        <v>12660</v>
      </c>
      <c r="BG459">
        <v>914817.95122677088</v>
      </c>
      <c r="BH459">
        <v>2515.2659493886308</v>
      </c>
      <c r="BI459">
        <v>539.62542372823953</v>
      </c>
      <c r="BJ459">
        <v>22.35460800162484</v>
      </c>
      <c r="BK459">
        <v>2515.2659493886281</v>
      </c>
    </row>
    <row r="460" spans="1:63" x14ac:dyDescent="0.2">
      <c r="A460">
        <v>458</v>
      </c>
      <c r="B460" t="s">
        <v>69</v>
      </c>
      <c r="C460" t="s">
        <v>278</v>
      </c>
      <c r="D460" t="s">
        <v>144</v>
      </c>
      <c r="E460">
        <v>-154.873789449106</v>
      </c>
      <c r="F460">
        <v>19.5537282409346</v>
      </c>
      <c r="G460" t="s">
        <v>279</v>
      </c>
      <c r="H460" t="s">
        <v>991</v>
      </c>
      <c r="I460" t="s">
        <v>992</v>
      </c>
      <c r="J460" t="s">
        <v>68</v>
      </c>
      <c r="K460">
        <v>24.289389519531252</v>
      </c>
      <c r="L460">
        <v>21.267650103906249</v>
      </c>
      <c r="M460">
        <v>1622.878396056502</v>
      </c>
      <c r="N460">
        <v>49289.023595444509</v>
      </c>
      <c r="O460" t="s">
        <v>993</v>
      </c>
      <c r="Q460">
        <v>12.004</v>
      </c>
      <c r="R460">
        <v>1325.0039999999999</v>
      </c>
      <c r="S460">
        <v>50</v>
      </c>
      <c r="T460">
        <v>103.09258193730351</v>
      </c>
      <c r="U460">
        <v>1.6478185175910841E-2</v>
      </c>
      <c r="V460">
        <v>0.13564348402407941</v>
      </c>
      <c r="W460">
        <v>7.5848821729049927E-3</v>
      </c>
      <c r="X460">
        <v>0</v>
      </c>
      <c r="Y460">
        <v>7.3241528487888785E-2</v>
      </c>
      <c r="Z460">
        <v>0.4469411098014125</v>
      </c>
      <c r="AA460">
        <v>3.7888582328799818E-2</v>
      </c>
      <c r="AB460">
        <v>1.903895483898187</v>
      </c>
      <c r="AC460">
        <v>0.15373698567091931</v>
      </c>
      <c r="AD460">
        <v>1200.6625178481661</v>
      </c>
      <c r="AE460">
        <v>50</v>
      </c>
      <c r="AF460">
        <v>82.992920751621398</v>
      </c>
    </row>
    <row r="461" spans="1:63" x14ac:dyDescent="0.2">
      <c r="A461">
        <v>459</v>
      </c>
      <c r="B461" t="s">
        <v>69</v>
      </c>
      <c r="C461" t="s">
        <v>91</v>
      </c>
      <c r="D461" t="s">
        <v>92</v>
      </c>
      <c r="E461">
        <v>-155.28360000000001</v>
      </c>
      <c r="F461">
        <v>19.4285</v>
      </c>
      <c r="G461" t="s">
        <v>212</v>
      </c>
      <c r="H461" t="s">
        <v>887</v>
      </c>
      <c r="I461" t="s">
        <v>994</v>
      </c>
      <c r="J461" t="s">
        <v>68</v>
      </c>
      <c r="K461">
        <v>9.5996423499999999</v>
      </c>
      <c r="L461">
        <v>8.2243545726562495</v>
      </c>
      <c r="M461">
        <v>248.03144948976299</v>
      </c>
      <c r="N461">
        <v>2947.2745282850019</v>
      </c>
      <c r="O461" t="s">
        <v>995</v>
      </c>
      <c r="Q461">
        <v>11.967000000000001</v>
      </c>
      <c r="R461">
        <v>1325.0039999999999</v>
      </c>
      <c r="S461">
        <v>50</v>
      </c>
      <c r="T461">
        <v>103.0934291456352</v>
      </c>
      <c r="U461">
        <v>1.2814619302093299E-2</v>
      </c>
      <c r="V461">
        <v>0.13597918197463341</v>
      </c>
      <c r="W461">
        <v>6.378672818878996E-3</v>
      </c>
      <c r="X461">
        <v>0</v>
      </c>
      <c r="Y461">
        <v>7.5100308847756758E-2</v>
      </c>
      <c r="Z461">
        <v>0.43609239724800131</v>
      </c>
      <c r="AA461">
        <v>3.1602403413063293E-2</v>
      </c>
      <c r="AB461">
        <v>1.8597653088849759</v>
      </c>
      <c r="AC461">
        <v>0.12860351027685879</v>
      </c>
      <c r="AD461">
        <v>1160.541117113843</v>
      </c>
      <c r="AE461">
        <v>50</v>
      </c>
      <c r="AF461">
        <v>79.144323823070536</v>
      </c>
      <c r="AG461">
        <v>2.1021777777777779</v>
      </c>
      <c r="AH461">
        <v>12.18196296296296</v>
      </c>
      <c r="AJ461">
        <v>10.35145925925926</v>
      </c>
      <c r="AK461">
        <v>0.4553962962962963</v>
      </c>
      <c r="AL461">
        <v>2.3345296296296301</v>
      </c>
      <c r="AM461">
        <v>49.209007407407412</v>
      </c>
      <c r="AN461">
        <v>9.4706370370370365</v>
      </c>
      <c r="AP461">
        <v>1.7722222222222219E-2</v>
      </c>
      <c r="AQ461">
        <v>97.341288888888897</v>
      </c>
      <c r="AR461">
        <v>3.1603703937420069E-2</v>
      </c>
      <c r="AS461">
        <v>0.1308813941885143</v>
      </c>
      <c r="AU461">
        <v>0.12790190128874709</v>
      </c>
      <c r="AV461">
        <v>3.4622563579722238E-2</v>
      </c>
      <c r="AW461">
        <v>4.9585767303615608E-2</v>
      </c>
      <c r="AX461">
        <v>0.4308268757472053</v>
      </c>
      <c r="AY461">
        <v>0.20483483806030409</v>
      </c>
      <c r="BA461">
        <v>4.922736366426028E-3</v>
      </c>
      <c r="BB461">
        <v>27</v>
      </c>
      <c r="BC461" t="s">
        <v>86</v>
      </c>
    </row>
    <row r="462" spans="1:63" x14ac:dyDescent="0.2">
      <c r="A462">
        <v>460</v>
      </c>
      <c r="B462" t="s">
        <v>69</v>
      </c>
      <c r="C462" t="s">
        <v>91</v>
      </c>
      <c r="D462" t="s">
        <v>92</v>
      </c>
      <c r="E462">
        <v>-155.28360000000001</v>
      </c>
      <c r="F462">
        <v>19.4285</v>
      </c>
      <c r="G462" t="s">
        <v>134</v>
      </c>
      <c r="H462" t="s">
        <v>996</v>
      </c>
      <c r="I462" t="s">
        <v>997</v>
      </c>
      <c r="J462" t="s">
        <v>68</v>
      </c>
      <c r="K462">
        <v>4.8625852062500003</v>
      </c>
      <c r="L462">
        <v>3.87782917890625</v>
      </c>
      <c r="M462">
        <v>59.238734378569042</v>
      </c>
      <c r="N462">
        <v>345.18072408059658</v>
      </c>
      <c r="Q462">
        <v>11.972</v>
      </c>
      <c r="R462">
        <v>1325.0039999999999</v>
      </c>
      <c r="S462">
        <v>50</v>
      </c>
      <c r="T462">
        <v>103.0936713963289</v>
      </c>
      <c r="U462">
        <v>1.7113050931334051E-3</v>
      </c>
      <c r="V462">
        <v>0.1360751714241317</v>
      </c>
      <c r="W462">
        <v>3.919998770749061E-3</v>
      </c>
      <c r="X462">
        <v>0</v>
      </c>
      <c r="Y462">
        <v>7.5279079891284018E-2</v>
      </c>
      <c r="Z462">
        <v>0.43508180509062849</v>
      </c>
      <c r="AA462">
        <v>2.7863025126042822E-2</v>
      </c>
      <c r="AB462">
        <v>1.8556495209077479</v>
      </c>
      <c r="AC462">
        <v>0.1135073486786648</v>
      </c>
      <c r="AD462">
        <v>1156.1115387324519</v>
      </c>
      <c r="AE462">
        <v>50</v>
      </c>
      <c r="AF462">
        <v>78.536643186308481</v>
      </c>
      <c r="AG462">
        <v>2.5157387096774189</v>
      </c>
      <c r="AH462">
        <v>13.241580645161291</v>
      </c>
      <c r="AJ462">
        <v>11.11674838709677</v>
      </c>
      <c r="AK462">
        <v>0.71593870967741935</v>
      </c>
      <c r="AL462">
        <v>3.0286258064516129</v>
      </c>
      <c r="AM462">
        <v>48.480519354838712</v>
      </c>
      <c r="AN462">
        <v>6.4584548387096774</v>
      </c>
      <c r="AP462">
        <v>1.553225806451613E-2</v>
      </c>
      <c r="AQ462">
        <v>96.565938709677425</v>
      </c>
      <c r="AR462">
        <v>0.13894562408227509</v>
      </c>
      <c r="AS462">
        <v>0.1729350637654776</v>
      </c>
      <c r="AU462">
        <v>0.21495337769071041</v>
      </c>
      <c r="AV462">
        <v>7.7865408140882678E-2</v>
      </c>
      <c r="AW462">
        <v>0.14998665711265111</v>
      </c>
      <c r="AX462">
        <v>0.66558597962965682</v>
      </c>
      <c r="AY462">
        <v>0.26837320636097978</v>
      </c>
      <c r="BA462">
        <v>5.6058533157628621E-3</v>
      </c>
      <c r="BB462">
        <v>31</v>
      </c>
      <c r="BC462" t="s">
        <v>86</v>
      </c>
    </row>
    <row r="463" spans="1:63" x14ac:dyDescent="0.2">
      <c r="A463">
        <v>461</v>
      </c>
      <c r="B463" t="s">
        <v>69</v>
      </c>
      <c r="C463" t="s">
        <v>91</v>
      </c>
      <c r="D463" t="s">
        <v>92</v>
      </c>
      <c r="E463">
        <v>-155.28360000000001</v>
      </c>
      <c r="F463">
        <v>19.4285</v>
      </c>
      <c r="G463" t="s">
        <v>93</v>
      </c>
      <c r="H463" t="s">
        <v>592</v>
      </c>
      <c r="I463" t="s">
        <v>998</v>
      </c>
      <c r="J463" t="s">
        <v>68</v>
      </c>
      <c r="K463">
        <v>8.3078656031250002</v>
      </c>
      <c r="L463">
        <v>6.7992042593750002</v>
      </c>
      <c r="M463">
        <v>177.45875213711491</v>
      </c>
      <c r="N463">
        <v>1787.254510831644</v>
      </c>
      <c r="Q463">
        <v>11.906000000000001</v>
      </c>
      <c r="R463">
        <v>1325.0039999999999</v>
      </c>
      <c r="S463">
        <v>50</v>
      </c>
      <c r="T463">
        <v>103.0937097411819</v>
      </c>
      <c r="U463">
        <v>3.7227376524697391E-3</v>
      </c>
      <c r="V463">
        <v>0.13609036519419959</v>
      </c>
      <c r="W463">
        <v>4.1331331803672183E-3</v>
      </c>
      <c r="X463">
        <v>0</v>
      </c>
      <c r="Y463">
        <v>6.9149284273423262E-2</v>
      </c>
      <c r="Z463">
        <v>0.47333460656448562</v>
      </c>
      <c r="AA463">
        <v>2.7477846803903281E-2</v>
      </c>
      <c r="AB463">
        <v>2.0108573514065728</v>
      </c>
      <c r="AC463">
        <v>0.11099461883806</v>
      </c>
      <c r="AD463">
        <v>1284.0571797012949</v>
      </c>
      <c r="AE463">
        <v>50</v>
      </c>
      <c r="AF463">
        <v>87.605456711801068</v>
      </c>
      <c r="AG463">
        <v>2.1005484848484852</v>
      </c>
      <c r="AH463">
        <v>12.543751515151509</v>
      </c>
      <c r="AJ463">
        <v>10.35766363636364</v>
      </c>
      <c r="AK463">
        <v>0.36914545454545461</v>
      </c>
      <c r="AL463">
        <v>2.199157575757575</v>
      </c>
      <c r="AM463">
        <v>49.88770303030303</v>
      </c>
      <c r="AN463">
        <v>8.5799181818181811</v>
      </c>
      <c r="AP463">
        <v>1.6854545454545459E-2</v>
      </c>
      <c r="AQ463">
        <v>97.165912121212131</v>
      </c>
      <c r="AR463">
        <v>0.12875285220435931</v>
      </c>
      <c r="AS463">
        <v>0.27438160598108169</v>
      </c>
      <c r="AU463">
        <v>0.23223845883350949</v>
      </c>
      <c r="AV463">
        <v>3.2777460728649822E-2</v>
      </c>
      <c r="AW463">
        <v>6.9021124620940399E-2</v>
      </c>
      <c r="AX463">
        <v>0.52796007335122563</v>
      </c>
      <c r="AY463">
        <v>0.70241800520351916</v>
      </c>
      <c r="BA463">
        <v>4.4618585609790254E-3</v>
      </c>
      <c r="BB463">
        <v>33</v>
      </c>
      <c r="BC463" t="s">
        <v>86</v>
      </c>
    </row>
    <row r="464" spans="1:63" x14ac:dyDescent="0.2">
      <c r="A464">
        <v>462</v>
      </c>
      <c r="B464" t="s">
        <v>69</v>
      </c>
      <c r="C464" t="s">
        <v>76</v>
      </c>
      <c r="D464" t="s">
        <v>71</v>
      </c>
      <c r="E464">
        <v>-155.29812000000001</v>
      </c>
      <c r="F464">
        <v>19.375624999999999</v>
      </c>
      <c r="G464" t="s">
        <v>77</v>
      </c>
      <c r="H464" t="s">
        <v>999</v>
      </c>
      <c r="I464" t="s">
        <v>1000</v>
      </c>
      <c r="J464" t="s">
        <v>68</v>
      </c>
      <c r="K464">
        <v>8.750584482812501</v>
      </c>
      <c r="L464">
        <v>7.3328728695312497</v>
      </c>
      <c r="M464">
        <v>201.5863356173212</v>
      </c>
      <c r="N464">
        <v>2161.4701544776249</v>
      </c>
      <c r="Q464">
        <v>6.0220000000000002</v>
      </c>
      <c r="R464">
        <v>1324.9639999999999</v>
      </c>
      <c r="S464">
        <v>50</v>
      </c>
      <c r="T464">
        <v>103.09384841092179</v>
      </c>
      <c r="U464">
        <v>3.659608035486029E-3</v>
      </c>
      <c r="V464">
        <v>0.1361453117117577</v>
      </c>
      <c r="W464">
        <v>4.1243982226348347E-3</v>
      </c>
      <c r="X464">
        <v>0</v>
      </c>
      <c r="Y464">
        <v>7.0697362998264124E-2</v>
      </c>
      <c r="Z464">
        <v>0.46290224531128621</v>
      </c>
      <c r="AA464">
        <v>4.1857389287036223E-2</v>
      </c>
      <c r="AB464">
        <v>1.9686469649520271</v>
      </c>
      <c r="AC464">
        <v>0.16947402228821681</v>
      </c>
      <c r="AD464">
        <v>1248.4232153852381</v>
      </c>
      <c r="AE464">
        <v>100</v>
      </c>
      <c r="AG464">
        <v>2.5039199999999999</v>
      </c>
      <c r="AH464">
        <v>14.096819999999999</v>
      </c>
      <c r="AI464">
        <v>0.27322000000000002</v>
      </c>
      <c r="AJ464">
        <v>10.95044</v>
      </c>
      <c r="AK464">
        <v>0.52094000000000007</v>
      </c>
      <c r="AL464">
        <v>2.9191400000000001</v>
      </c>
      <c r="AM464">
        <v>50.91704</v>
      </c>
      <c r="AN464">
        <v>6.4346599999999992</v>
      </c>
      <c r="AO464">
        <v>10.86684</v>
      </c>
      <c r="AP464">
        <v>0.19492000000000001</v>
      </c>
      <c r="AQ464">
        <v>99.70778</v>
      </c>
      <c r="AR464">
        <v>5.8797253337209539E-2</v>
      </c>
      <c r="AS464">
        <v>0.138496180452748</v>
      </c>
      <c r="AT464">
        <v>2.822688434808206E-2</v>
      </c>
      <c r="AU464">
        <v>7.1287502411011894E-2</v>
      </c>
      <c r="AV464">
        <v>1.2819243347405491E-2</v>
      </c>
      <c r="AW464">
        <v>2.3721045508155889E-2</v>
      </c>
      <c r="AX464">
        <v>0.39733328327740491</v>
      </c>
      <c r="AY464">
        <v>8.3972662218129629E-2</v>
      </c>
      <c r="AZ464">
        <v>5.8132675837260117E-2</v>
      </c>
      <c r="BA464">
        <v>1.931080008699795E-2</v>
      </c>
    </row>
    <row r="465" spans="1:63" x14ac:dyDescent="0.2">
      <c r="A465">
        <v>463</v>
      </c>
      <c r="B465" t="s">
        <v>69</v>
      </c>
      <c r="C465" t="s">
        <v>143</v>
      </c>
      <c r="D465" t="s">
        <v>144</v>
      </c>
      <c r="E465">
        <v>-155.22516669999999</v>
      </c>
      <c r="F465">
        <v>19.371883329999999</v>
      </c>
      <c r="G465" t="s">
        <v>145</v>
      </c>
      <c r="H465" t="s">
        <v>1001</v>
      </c>
      <c r="I465" t="s">
        <v>1002</v>
      </c>
      <c r="J465" t="s">
        <v>68</v>
      </c>
      <c r="K465">
        <v>9.2554862453125004</v>
      </c>
      <c r="L465">
        <v>8.2876416375000002</v>
      </c>
      <c r="M465">
        <v>240.97948732158019</v>
      </c>
      <c r="N465">
        <v>2818.355975478049</v>
      </c>
      <c r="O465" t="s">
        <v>1003</v>
      </c>
      <c r="Q465">
        <v>9.93</v>
      </c>
      <c r="R465">
        <v>1324.9639999999999</v>
      </c>
      <c r="S465">
        <v>50</v>
      </c>
      <c r="T465">
        <v>103.0941980315561</v>
      </c>
      <c r="U465">
        <v>3.3799222395836182E-3</v>
      </c>
      <c r="V465">
        <v>0.13628384544188779</v>
      </c>
      <c r="W465">
        <v>4.0870738121330484E-3</v>
      </c>
      <c r="X465">
        <v>0</v>
      </c>
      <c r="Y465">
        <v>6.8124127385521094E-2</v>
      </c>
      <c r="Z465">
        <v>0.48059723020947559</v>
      </c>
      <c r="AA465">
        <v>2.924293961366602E-2</v>
      </c>
      <c r="AB465">
        <v>2.0401907550798311</v>
      </c>
      <c r="AC465">
        <v>0.1179822467254542</v>
      </c>
      <c r="AD465">
        <v>1306.0840070629531</v>
      </c>
      <c r="AE465">
        <v>50</v>
      </c>
      <c r="AF465">
        <v>88.514786589455227</v>
      </c>
      <c r="AG465">
        <v>2.1961249999999999</v>
      </c>
      <c r="AH465">
        <v>13.214425</v>
      </c>
      <c r="AI465">
        <v>0.23326250000000001</v>
      </c>
      <c r="AJ465">
        <v>10.8680875</v>
      </c>
      <c r="AK465">
        <v>0.46184999999999998</v>
      </c>
      <c r="AL465">
        <v>2.5506250000000001</v>
      </c>
      <c r="AM465">
        <v>49.975887499999999</v>
      </c>
      <c r="AN465">
        <v>7.4385374999999998</v>
      </c>
      <c r="AP465">
        <v>0.2354</v>
      </c>
      <c r="AQ465">
        <v>98.48666249999998</v>
      </c>
      <c r="AR465">
        <v>5.6378814410075299E-2</v>
      </c>
      <c r="AS465">
        <v>0.24941022862516499</v>
      </c>
      <c r="AT465">
        <v>1.4003870638403601E-2</v>
      </c>
      <c r="AU465">
        <v>0.27584699401505702</v>
      </c>
      <c r="AV465">
        <v>3.1668731762237799E-2</v>
      </c>
      <c r="AW465">
        <v>4.2427543277585897E-2</v>
      </c>
      <c r="AX465">
        <v>0.67605985245919198</v>
      </c>
      <c r="AY465">
        <v>0.10614118545597701</v>
      </c>
      <c r="BA465">
        <v>4.3851209463691802E-2</v>
      </c>
      <c r="BE465">
        <v>8.8740528650238057E-2</v>
      </c>
      <c r="BF465">
        <v>2750</v>
      </c>
      <c r="BG465">
        <v>134734.6504412975</v>
      </c>
      <c r="BH465">
        <v>42.56332886304034</v>
      </c>
      <c r="BI465">
        <v>207.09266343108891</v>
      </c>
      <c r="BJ465">
        <v>0.81165083489332202</v>
      </c>
      <c r="BK465">
        <v>42.563328863040347</v>
      </c>
    </row>
    <row r="466" spans="1:63" x14ac:dyDescent="0.2">
      <c r="A466">
        <v>464</v>
      </c>
      <c r="B466" t="s">
        <v>69</v>
      </c>
      <c r="C466" t="s">
        <v>81</v>
      </c>
      <c r="D466" t="s">
        <v>71</v>
      </c>
      <c r="E466">
        <v>-155.29106999999999</v>
      </c>
      <c r="F466">
        <v>19.383150000000001</v>
      </c>
      <c r="G466" t="s">
        <v>87</v>
      </c>
      <c r="H466" t="s">
        <v>1004</v>
      </c>
      <c r="I466" t="s">
        <v>1004</v>
      </c>
      <c r="J466" t="s">
        <v>68</v>
      </c>
      <c r="K466">
        <v>7.0563624429687506</v>
      </c>
      <c r="L466">
        <v>5.8557678859375004</v>
      </c>
      <c r="M466">
        <v>129.81192975330231</v>
      </c>
      <c r="N466">
        <v>1117.432370147641</v>
      </c>
      <c r="Q466">
        <v>12.10033333333333</v>
      </c>
      <c r="R466">
        <v>1325.0039999999999</v>
      </c>
      <c r="S466">
        <v>50</v>
      </c>
      <c r="T466">
        <v>103.0948775637987</v>
      </c>
      <c r="U466">
        <v>9.4762989386799907E-3</v>
      </c>
      <c r="V466">
        <v>0.13655310339489779</v>
      </c>
      <c r="W466">
        <v>5.4733177851418987E-3</v>
      </c>
      <c r="X466">
        <v>1.437519734561606</v>
      </c>
      <c r="Y466">
        <v>7.1616629551485622E-2</v>
      </c>
      <c r="Z466">
        <v>0.45698547837921588</v>
      </c>
      <c r="AA466">
        <v>2.7527956179905919E-2</v>
      </c>
      <c r="AB466">
        <v>1.944667902853479</v>
      </c>
      <c r="AC466">
        <v>0.11159048259521639</v>
      </c>
      <c r="AD466">
        <v>1223.9099094463479</v>
      </c>
      <c r="AE466">
        <v>50</v>
      </c>
      <c r="AF466">
        <v>84.548175242660221</v>
      </c>
      <c r="AG466">
        <v>2.2102200000000001</v>
      </c>
      <c r="AH466">
        <v>12.516225</v>
      </c>
      <c r="AI466">
        <v>0.22873499999999999</v>
      </c>
      <c r="AJ466">
        <v>10.535360000000001</v>
      </c>
      <c r="AK466">
        <v>0.37534499999999998</v>
      </c>
      <c r="AL466">
        <v>2.4377900000000001</v>
      </c>
      <c r="AM466">
        <v>50.224780000000003</v>
      </c>
      <c r="AN466">
        <v>8.9844449999999991</v>
      </c>
      <c r="AP466">
        <v>0.178455</v>
      </c>
      <c r="AQ466">
        <v>99.610560000000007</v>
      </c>
      <c r="AR466">
        <v>1.7587090435884831E-2</v>
      </c>
      <c r="AS466">
        <v>0.12699126938494701</v>
      </c>
      <c r="AT466">
        <v>8.073250584491971E-3</v>
      </c>
      <c r="AU466">
        <v>6.9056800896073786E-2</v>
      </c>
      <c r="AV466">
        <v>2.248073063759274E-2</v>
      </c>
      <c r="AW466">
        <v>2.1205111412109991E-2</v>
      </c>
      <c r="AX466">
        <v>0.5052093298821787</v>
      </c>
      <c r="AY466">
        <v>0.13192220766421431</v>
      </c>
      <c r="BA466">
        <v>1.2962040734390541E-2</v>
      </c>
      <c r="BB466">
        <v>5</v>
      </c>
      <c r="BC466" t="s">
        <v>86</v>
      </c>
    </row>
    <row r="467" spans="1:63" x14ac:dyDescent="0.2">
      <c r="A467">
        <v>465</v>
      </c>
      <c r="B467" t="s">
        <v>69</v>
      </c>
      <c r="C467" t="s">
        <v>91</v>
      </c>
      <c r="D467" t="s">
        <v>92</v>
      </c>
      <c r="E467">
        <v>-155.28360000000001</v>
      </c>
      <c r="F467">
        <v>19.4285</v>
      </c>
      <c r="G467" t="s">
        <v>212</v>
      </c>
      <c r="H467" t="s">
        <v>979</v>
      </c>
      <c r="I467" t="s">
        <v>1005</v>
      </c>
      <c r="J467" t="s">
        <v>68</v>
      </c>
      <c r="K467">
        <v>7.9919533125000006</v>
      </c>
      <c r="L467">
        <v>7.6350700570312489</v>
      </c>
      <c r="M467">
        <v>191.69722990704821</v>
      </c>
      <c r="N467">
        <v>1997.104727754564</v>
      </c>
      <c r="O467" t="s">
        <v>1006</v>
      </c>
      <c r="Q467">
        <v>11.992000000000001</v>
      </c>
      <c r="R467">
        <v>1325.0039999999999</v>
      </c>
      <c r="S467">
        <v>50</v>
      </c>
      <c r="T467">
        <v>103.0949470156764</v>
      </c>
      <c r="U467">
        <v>3.1941390824538531E-3</v>
      </c>
      <c r="V467">
        <v>0.1365806230168545</v>
      </c>
      <c r="W467">
        <v>4.0642443165546799E-3</v>
      </c>
      <c r="X467">
        <v>0</v>
      </c>
      <c r="Y467">
        <v>7.1778478443206617E-2</v>
      </c>
      <c r="Z467">
        <v>0.45596244054751928</v>
      </c>
      <c r="AA467">
        <v>4.0850607937942422E-2</v>
      </c>
      <c r="AB467">
        <v>1.940518918796766</v>
      </c>
      <c r="AC467">
        <v>0.165465805060278</v>
      </c>
      <c r="AD467">
        <v>1220.1822987351841</v>
      </c>
      <c r="AE467">
        <v>100</v>
      </c>
      <c r="AG467">
        <v>2.1021777777777779</v>
      </c>
      <c r="AH467">
        <v>12.18196296296296</v>
      </c>
      <c r="AJ467">
        <v>10.35145925925926</v>
      </c>
      <c r="AK467">
        <v>0.4553962962962963</v>
      </c>
      <c r="AL467">
        <v>2.3345296296296301</v>
      </c>
      <c r="AM467">
        <v>49.209007407407412</v>
      </c>
      <c r="AN467">
        <v>9.4706370370370365</v>
      </c>
      <c r="AP467">
        <v>1.7722222222222219E-2</v>
      </c>
      <c r="AQ467">
        <v>97.341288888888897</v>
      </c>
      <c r="AR467">
        <v>3.1603703937420069E-2</v>
      </c>
      <c r="AS467">
        <v>0.1308813941885143</v>
      </c>
      <c r="AU467">
        <v>0.12790190128874709</v>
      </c>
      <c r="AV467">
        <v>3.4622563579722238E-2</v>
      </c>
      <c r="AW467">
        <v>4.9585767303615608E-2</v>
      </c>
      <c r="AX467">
        <v>0.4308268757472053</v>
      </c>
      <c r="AY467">
        <v>0.20483483806030409</v>
      </c>
      <c r="BA467">
        <v>4.922736366426028E-3</v>
      </c>
      <c r="BB467">
        <v>27</v>
      </c>
      <c r="BC467" t="s">
        <v>86</v>
      </c>
    </row>
    <row r="468" spans="1:63" x14ac:dyDescent="0.2">
      <c r="A468">
        <v>466</v>
      </c>
      <c r="B468" t="s">
        <v>69</v>
      </c>
      <c r="C468" t="s">
        <v>91</v>
      </c>
      <c r="D468" t="s">
        <v>92</v>
      </c>
      <c r="E468">
        <v>-155.272412745889</v>
      </c>
      <c r="F468">
        <v>19.3454197541963</v>
      </c>
      <c r="G468" t="s">
        <v>124</v>
      </c>
      <c r="H468" t="s">
        <v>1007</v>
      </c>
      <c r="I468" t="s">
        <v>1008</v>
      </c>
      <c r="J468" t="s">
        <v>68</v>
      </c>
      <c r="K468">
        <v>11.780459976562501</v>
      </c>
      <c r="L468">
        <v>8.8248552531250013</v>
      </c>
      <c r="M468">
        <v>326.60265552785842</v>
      </c>
      <c r="N468">
        <v>4486.5004480030411</v>
      </c>
      <c r="Q468">
        <v>6.0309999999999997</v>
      </c>
      <c r="R468">
        <v>1325.0039999999999</v>
      </c>
      <c r="S468">
        <v>50</v>
      </c>
      <c r="T468">
        <v>103.09510853198719</v>
      </c>
      <c r="U468">
        <v>1.944507856281879E-3</v>
      </c>
      <c r="V468">
        <v>0.13664462226292781</v>
      </c>
      <c r="W468">
        <v>3.9384142497570999E-3</v>
      </c>
      <c r="X468">
        <v>0</v>
      </c>
      <c r="Y468">
        <v>7.3217504292885316E-2</v>
      </c>
      <c r="Z468">
        <v>0.44710262798178391</v>
      </c>
      <c r="AA468">
        <v>2.781764585456865E-2</v>
      </c>
      <c r="AB468">
        <v>1.9045517755059209</v>
      </c>
      <c r="AC468">
        <v>0.1129624557315131</v>
      </c>
      <c r="AD468">
        <v>1189.9341737445609</v>
      </c>
      <c r="AE468">
        <v>50</v>
      </c>
      <c r="AF468">
        <v>82.153709162834389</v>
      </c>
      <c r="AG468">
        <v>2.4452269230769228</v>
      </c>
      <c r="AH468">
        <v>12.97811153846154</v>
      </c>
      <c r="AJ468">
        <v>10.30404615384615</v>
      </c>
      <c r="AK468">
        <v>0.55342692307692309</v>
      </c>
      <c r="AL468">
        <v>2.900669230769231</v>
      </c>
      <c r="AM468">
        <v>50.451046153846157</v>
      </c>
      <c r="AN468">
        <v>6.0883423076923071</v>
      </c>
      <c r="AP468">
        <v>1.6526923076923071E-2</v>
      </c>
      <c r="AQ468">
        <v>97.170811538461535</v>
      </c>
      <c r="AR468">
        <v>0.14452695958247319</v>
      </c>
      <c r="AS468">
        <v>0.56238533005541524</v>
      </c>
      <c r="AU468">
        <v>0.81302815263963402</v>
      </c>
      <c r="AV468">
        <v>0.1071919159552335</v>
      </c>
      <c r="AW468">
        <v>0.48878923864523122</v>
      </c>
      <c r="AX468">
        <v>0.42567582898799372</v>
      </c>
      <c r="AY468">
        <v>0.85490953915514445</v>
      </c>
      <c r="BA468">
        <v>4.3609684880592933E-3</v>
      </c>
      <c r="BB468">
        <v>26</v>
      </c>
      <c r="BC468" t="s">
        <v>86</v>
      </c>
    </row>
    <row r="469" spans="1:63" x14ac:dyDescent="0.2">
      <c r="A469">
        <v>467</v>
      </c>
      <c r="B469" t="s">
        <v>69</v>
      </c>
      <c r="C469" t="s">
        <v>81</v>
      </c>
      <c r="D469" t="s">
        <v>71</v>
      </c>
      <c r="E469">
        <v>-155.29106999999999</v>
      </c>
      <c r="F469">
        <v>19.383150000000001</v>
      </c>
      <c r="G469" t="s">
        <v>82</v>
      </c>
      <c r="H469" t="s">
        <v>1009</v>
      </c>
      <c r="I469" t="s">
        <v>1010</v>
      </c>
      <c r="J469" t="s">
        <v>68</v>
      </c>
      <c r="K469">
        <v>6.6825677679687514</v>
      </c>
      <c r="L469">
        <v>5.9393951460937497</v>
      </c>
      <c r="M469">
        <v>124.69110224744659</v>
      </c>
      <c r="N469">
        <v>1049.230978853898</v>
      </c>
      <c r="Q469">
        <v>10.007</v>
      </c>
      <c r="R469">
        <v>1324.9639999999999</v>
      </c>
      <c r="S469">
        <v>50</v>
      </c>
      <c r="T469">
        <v>103.0953208666274</v>
      </c>
      <c r="U469">
        <v>2.936802331181129E-3</v>
      </c>
      <c r="V469">
        <v>0.13672875777115931</v>
      </c>
      <c r="W469">
        <v>4.0340070720139886E-3</v>
      </c>
      <c r="X469">
        <v>0.70237484868931743</v>
      </c>
      <c r="Y469">
        <v>7.1016729609783225E-2</v>
      </c>
      <c r="Z469">
        <v>0.46083249891533329</v>
      </c>
      <c r="AA469">
        <v>2.9342108143081299E-2</v>
      </c>
      <c r="AB469">
        <v>1.9602620760771821</v>
      </c>
      <c r="AC469">
        <v>0.1188327840465076</v>
      </c>
      <c r="AD469">
        <v>1234.711036348054</v>
      </c>
      <c r="AE469">
        <v>50</v>
      </c>
      <c r="AF469">
        <v>85.180867530727369</v>
      </c>
      <c r="AG469">
        <v>2.2102200000000001</v>
      </c>
      <c r="AH469">
        <v>12.516225</v>
      </c>
      <c r="AI469">
        <v>0.22873499999999999</v>
      </c>
      <c r="AJ469">
        <v>10.535360000000001</v>
      </c>
      <c r="AK469">
        <v>0.37534499999999998</v>
      </c>
      <c r="AL469">
        <v>2.4377900000000001</v>
      </c>
      <c r="AM469">
        <v>50.224780000000003</v>
      </c>
      <c r="AN469">
        <v>8.9844449999999991</v>
      </c>
      <c r="AP469">
        <v>0.178455</v>
      </c>
      <c r="AQ469">
        <v>99.610560000000007</v>
      </c>
      <c r="AR469">
        <v>1.7587090435884831E-2</v>
      </c>
      <c r="AS469">
        <v>0.12699126938494701</v>
      </c>
      <c r="AT469">
        <v>8.073250584491971E-3</v>
      </c>
      <c r="AU469">
        <v>6.9056800896073786E-2</v>
      </c>
      <c r="AV469">
        <v>2.248073063759274E-2</v>
      </c>
      <c r="AW469">
        <v>2.1205111412109991E-2</v>
      </c>
      <c r="AX469">
        <v>0.5052093298821787</v>
      </c>
      <c r="AY469">
        <v>0.13192220766421431</v>
      </c>
      <c r="BA469">
        <v>1.2962040734390541E-2</v>
      </c>
      <c r="BB469">
        <v>5</v>
      </c>
      <c r="BC469" t="s">
        <v>86</v>
      </c>
    </row>
    <row r="470" spans="1:63" x14ac:dyDescent="0.2">
      <c r="A470">
        <v>468</v>
      </c>
      <c r="B470" t="s">
        <v>69</v>
      </c>
      <c r="C470" t="s">
        <v>81</v>
      </c>
      <c r="D470" t="s">
        <v>71</v>
      </c>
      <c r="E470">
        <v>-155.29106999999999</v>
      </c>
      <c r="F470">
        <v>19.383150000000001</v>
      </c>
      <c r="G470" t="s">
        <v>87</v>
      </c>
      <c r="H470" t="s">
        <v>1011</v>
      </c>
      <c r="I470" t="s">
        <v>1012</v>
      </c>
      <c r="J470" t="s">
        <v>68</v>
      </c>
      <c r="K470">
        <v>57.047797103906241</v>
      </c>
      <c r="L470">
        <v>51.337025753124998</v>
      </c>
      <c r="M470">
        <v>9200.6700269161192</v>
      </c>
      <c r="N470">
        <v>664808.66068886686</v>
      </c>
      <c r="O470" t="s">
        <v>1013</v>
      </c>
      <c r="Q470">
        <v>8.0033999999999992</v>
      </c>
      <c r="R470">
        <v>1325.0039999999999</v>
      </c>
      <c r="S470">
        <v>50</v>
      </c>
      <c r="T470">
        <v>103.09586001263629</v>
      </c>
      <c r="U470">
        <v>2.6806397493956699E-3</v>
      </c>
      <c r="V470">
        <v>0.13694238906284681</v>
      </c>
      <c r="W470">
        <v>4.0119228151347377E-3</v>
      </c>
      <c r="X470">
        <v>0</v>
      </c>
      <c r="Y470">
        <v>7.1331468061837544E-2</v>
      </c>
      <c r="Z470">
        <v>0.45880937987269649</v>
      </c>
      <c r="AA470">
        <v>2.466337975354578E-2</v>
      </c>
      <c r="AB470">
        <v>1.9520627186492121</v>
      </c>
      <c r="AC470">
        <v>9.9925308517558417E-2</v>
      </c>
      <c r="AD470">
        <v>1225.517522979088</v>
      </c>
      <c r="AE470">
        <v>50</v>
      </c>
      <c r="AF470">
        <v>84.645416260045167</v>
      </c>
      <c r="AG470">
        <v>2.2102200000000001</v>
      </c>
      <c r="AH470">
        <v>12.516225</v>
      </c>
      <c r="AI470">
        <v>0.22873499999999999</v>
      </c>
      <c r="AJ470">
        <v>10.535360000000001</v>
      </c>
      <c r="AK470">
        <v>0.37534499999999998</v>
      </c>
      <c r="AL470">
        <v>2.4377900000000001</v>
      </c>
      <c r="AM470">
        <v>50.224780000000003</v>
      </c>
      <c r="AN470">
        <v>8.9844449999999991</v>
      </c>
      <c r="AP470">
        <v>0.178455</v>
      </c>
      <c r="AQ470">
        <v>99.610560000000007</v>
      </c>
      <c r="AR470">
        <v>1.7587090435884831E-2</v>
      </c>
      <c r="AS470">
        <v>0.12699126938494701</v>
      </c>
      <c r="AT470">
        <v>8.073250584491971E-3</v>
      </c>
      <c r="AU470">
        <v>6.9056800896073786E-2</v>
      </c>
      <c r="AV470">
        <v>2.248073063759274E-2</v>
      </c>
      <c r="AW470">
        <v>2.1205111412109991E-2</v>
      </c>
      <c r="AX470">
        <v>0.5052093298821787</v>
      </c>
      <c r="AY470">
        <v>0.13192220766421431</v>
      </c>
      <c r="BA470">
        <v>1.2962040734390541E-2</v>
      </c>
      <c r="BB470">
        <v>5</v>
      </c>
      <c r="BC470" t="s">
        <v>86</v>
      </c>
    </row>
    <row r="471" spans="1:63" x14ac:dyDescent="0.2">
      <c r="A471">
        <v>469</v>
      </c>
      <c r="B471" t="s">
        <v>69</v>
      </c>
      <c r="C471" t="s">
        <v>169</v>
      </c>
      <c r="D471" t="s">
        <v>64</v>
      </c>
      <c r="E471">
        <v>-155.29196300000001</v>
      </c>
      <c r="F471">
        <v>19.398634000000001</v>
      </c>
      <c r="G471" t="s">
        <v>170</v>
      </c>
      <c r="H471" t="s">
        <v>922</v>
      </c>
      <c r="I471" t="s">
        <v>1014</v>
      </c>
      <c r="J471" t="s">
        <v>68</v>
      </c>
      <c r="K471">
        <v>15.72384269921875</v>
      </c>
      <c r="L471">
        <v>14.6648159015625</v>
      </c>
      <c r="M471">
        <v>724.41123715532513</v>
      </c>
      <c r="N471">
        <v>14675.92384832184</v>
      </c>
      <c r="Q471">
        <v>10.093</v>
      </c>
      <c r="R471">
        <v>1324.7670000000001</v>
      </c>
      <c r="S471">
        <v>50</v>
      </c>
      <c r="T471">
        <v>103.09594750660131</v>
      </c>
      <c r="U471">
        <v>2.6492749672708421E-3</v>
      </c>
      <c r="V471">
        <v>0.13697705768404941</v>
      </c>
      <c r="W471">
        <v>4.0032263568500204E-3</v>
      </c>
      <c r="X471">
        <v>3.631092893678828</v>
      </c>
      <c r="Y471">
        <v>7.3650273102737973E-2</v>
      </c>
      <c r="Z471">
        <v>0.44452329847212918</v>
      </c>
      <c r="AA471">
        <v>2.760339157284486E-2</v>
      </c>
      <c r="AB471">
        <v>1.8940687170131441</v>
      </c>
      <c r="AC471">
        <v>0.11219809592731191</v>
      </c>
      <c r="AD471">
        <v>1177.6680836041489</v>
      </c>
      <c r="AE471">
        <v>50</v>
      </c>
      <c r="AF471">
        <v>81.0569805423129</v>
      </c>
      <c r="AG471">
        <v>2.5390516666666669</v>
      </c>
      <c r="AH471">
        <v>13.89052597266207</v>
      </c>
      <c r="AI471">
        <v>0.24399675000000001</v>
      </c>
      <c r="AJ471">
        <v>11.205616666666669</v>
      </c>
      <c r="AK471">
        <v>0.47515841666666669</v>
      </c>
      <c r="AL471">
        <v>2.6323025000000002</v>
      </c>
      <c r="AM471">
        <v>50.778866165683027</v>
      </c>
      <c r="AN471">
        <v>6.7552275000000002</v>
      </c>
      <c r="AP471">
        <v>0.17074191666666669</v>
      </c>
      <c r="AR471">
        <v>5.5209421763999247E-2</v>
      </c>
      <c r="AS471">
        <v>0.23260322971847319</v>
      </c>
      <c r="AT471">
        <v>2.215836573857705E-2</v>
      </c>
      <c r="AU471">
        <v>0.13946342520423419</v>
      </c>
      <c r="AV471">
        <v>1.8188943372071519E-2</v>
      </c>
      <c r="AW471">
        <v>3.4278244127355022E-2</v>
      </c>
      <c r="AX471">
        <v>0.34681065155483992</v>
      </c>
      <c r="AY471">
        <v>0.48865100303376952</v>
      </c>
      <c r="BA471">
        <v>2.081601264087701E-2</v>
      </c>
      <c r="BE471">
        <v>0.25989464321267891</v>
      </c>
      <c r="BF471">
        <v>10378</v>
      </c>
      <c r="BG471">
        <v>167316.88302633911</v>
      </c>
      <c r="BH471">
        <v>848.05712715387222</v>
      </c>
      <c r="BI471">
        <v>230.7782875244996</v>
      </c>
      <c r="BJ471">
        <v>8.3246939338315222</v>
      </c>
      <c r="BK471">
        <v>848.05712715387199</v>
      </c>
    </row>
    <row r="472" spans="1:63" x14ac:dyDescent="0.2">
      <c r="A472">
        <v>470</v>
      </c>
      <c r="B472" t="s">
        <v>69</v>
      </c>
      <c r="C472" t="s">
        <v>143</v>
      </c>
      <c r="D472" t="s">
        <v>144</v>
      </c>
      <c r="E472">
        <v>-155.22516669999999</v>
      </c>
      <c r="F472">
        <v>19.371883329999999</v>
      </c>
      <c r="G472" t="s">
        <v>145</v>
      </c>
      <c r="H472" t="s">
        <v>1015</v>
      </c>
      <c r="I472" t="s">
        <v>1016</v>
      </c>
      <c r="J472" t="s">
        <v>68</v>
      </c>
      <c r="K472">
        <v>6.6100404429687503</v>
      </c>
      <c r="L472">
        <v>5.3761460804687493</v>
      </c>
      <c r="M472">
        <v>111.6413424831164</v>
      </c>
      <c r="N472">
        <v>892.10263648639966</v>
      </c>
      <c r="Q472">
        <v>10.031000000000001</v>
      </c>
      <c r="R472">
        <v>1324.9639999999999</v>
      </c>
      <c r="S472">
        <v>50</v>
      </c>
      <c r="T472">
        <v>103.0960099455869</v>
      </c>
      <c r="U472">
        <v>7.7142538239998943E-3</v>
      </c>
      <c r="V472">
        <v>0.13700179851661429</v>
      </c>
      <c r="W472">
        <v>4.9262280588416819E-3</v>
      </c>
      <c r="X472">
        <v>4.2634825854447316</v>
      </c>
      <c r="Y472">
        <v>7.1465841625100834E-2</v>
      </c>
      <c r="Z472">
        <v>0.45795184682067519</v>
      </c>
      <c r="AA472">
        <v>3.1724361180647413E-2</v>
      </c>
      <c r="AB472">
        <v>1.94858627868381</v>
      </c>
      <c r="AC472">
        <v>0.12846203117678459</v>
      </c>
      <c r="AD472">
        <v>1221.9872239363849</v>
      </c>
      <c r="AE472">
        <v>50</v>
      </c>
      <c r="AF472">
        <v>84.430357700553103</v>
      </c>
      <c r="AG472">
        <v>2.1961249999999999</v>
      </c>
      <c r="AH472">
        <v>13.214425</v>
      </c>
      <c r="AI472">
        <v>0.23326250000000001</v>
      </c>
      <c r="AJ472">
        <v>10.8680875</v>
      </c>
      <c r="AK472">
        <v>0.46184999999999998</v>
      </c>
      <c r="AL472">
        <v>2.5506250000000001</v>
      </c>
      <c r="AM472">
        <v>49.975887499999999</v>
      </c>
      <c r="AN472">
        <v>7.4385374999999998</v>
      </c>
      <c r="AP472">
        <v>0.2354</v>
      </c>
      <c r="AQ472">
        <v>98.48666249999998</v>
      </c>
      <c r="AR472">
        <v>5.6378814410075299E-2</v>
      </c>
      <c r="AS472">
        <v>0.24941022862516499</v>
      </c>
      <c r="AT472">
        <v>1.4003870638403601E-2</v>
      </c>
      <c r="AU472">
        <v>0.27584699401505702</v>
      </c>
      <c r="AV472">
        <v>3.1668731762237799E-2</v>
      </c>
      <c r="AW472">
        <v>4.2427543277585897E-2</v>
      </c>
      <c r="AX472">
        <v>0.67605985245919198</v>
      </c>
      <c r="AY472">
        <v>0.10614118545597701</v>
      </c>
      <c r="BA472">
        <v>4.3851209463691802E-2</v>
      </c>
    </row>
    <row r="473" spans="1:63" x14ac:dyDescent="0.2">
      <c r="A473">
        <v>471</v>
      </c>
      <c r="B473" t="s">
        <v>69</v>
      </c>
      <c r="C473" t="s">
        <v>91</v>
      </c>
      <c r="D473" t="s">
        <v>92</v>
      </c>
      <c r="E473">
        <v>-155.28360000000001</v>
      </c>
      <c r="F473">
        <v>19.4285</v>
      </c>
      <c r="G473" t="s">
        <v>212</v>
      </c>
      <c r="H473" t="s">
        <v>1017</v>
      </c>
      <c r="I473" t="s">
        <v>1018</v>
      </c>
      <c r="J473" t="s">
        <v>68</v>
      </c>
      <c r="K473">
        <v>12.790786535156251</v>
      </c>
      <c r="L473">
        <v>10.5026307921875</v>
      </c>
      <c r="M473">
        <v>422.03184491374469</v>
      </c>
      <c r="N473">
        <v>6553.7092593364478</v>
      </c>
      <c r="O473" t="s">
        <v>1019</v>
      </c>
      <c r="Q473">
        <v>12.010999999999999</v>
      </c>
      <c r="R473">
        <v>1325.0039999999999</v>
      </c>
      <c r="S473">
        <v>50</v>
      </c>
      <c r="T473">
        <v>103.0964288566734</v>
      </c>
      <c r="U473">
        <v>3.001656925120587E-3</v>
      </c>
      <c r="V473">
        <v>0.13716778790546161</v>
      </c>
      <c r="W473">
        <v>4.0425433672446644E-3</v>
      </c>
      <c r="X473">
        <v>0</v>
      </c>
      <c r="Y473">
        <v>7.1462044396041424E-2</v>
      </c>
      <c r="Z473">
        <v>0.45797889428945432</v>
      </c>
      <c r="AA473">
        <v>4.0952123291248373E-2</v>
      </c>
      <c r="AB473">
        <v>1.948695938289948</v>
      </c>
      <c r="AC473">
        <v>0.16581012332053949</v>
      </c>
      <c r="AD473">
        <v>1220.1822987351841</v>
      </c>
      <c r="AE473">
        <v>100</v>
      </c>
      <c r="AG473">
        <v>2.1021777777777779</v>
      </c>
      <c r="AH473">
        <v>12.18196296296296</v>
      </c>
      <c r="AJ473">
        <v>10.35145925925926</v>
      </c>
      <c r="AK473">
        <v>0.4553962962962963</v>
      </c>
      <c r="AL473">
        <v>2.3345296296296301</v>
      </c>
      <c r="AM473">
        <v>49.209007407407412</v>
      </c>
      <c r="AN473">
        <v>9.4706370370370365</v>
      </c>
      <c r="AP473">
        <v>1.7722222222222219E-2</v>
      </c>
      <c r="AQ473">
        <v>97.341288888888897</v>
      </c>
      <c r="AR473">
        <v>3.1603703937420069E-2</v>
      </c>
      <c r="AS473">
        <v>0.1308813941885143</v>
      </c>
      <c r="AU473">
        <v>0.12790190128874709</v>
      </c>
      <c r="AV473">
        <v>3.4622563579722238E-2</v>
      </c>
      <c r="AW473">
        <v>4.9585767303615608E-2</v>
      </c>
      <c r="AX473">
        <v>0.4308268757472053</v>
      </c>
      <c r="AY473">
        <v>0.20483483806030409</v>
      </c>
      <c r="BA473">
        <v>4.922736366426028E-3</v>
      </c>
      <c r="BB473">
        <v>27</v>
      </c>
      <c r="BC473" t="s">
        <v>86</v>
      </c>
    </row>
    <row r="474" spans="1:63" x14ac:dyDescent="0.2">
      <c r="A474">
        <v>472</v>
      </c>
      <c r="B474" t="s">
        <v>69</v>
      </c>
      <c r="C474" t="s">
        <v>91</v>
      </c>
      <c r="D474" t="s">
        <v>92</v>
      </c>
      <c r="E474">
        <v>-155.272412745889</v>
      </c>
      <c r="F474">
        <v>19.3454197541963</v>
      </c>
      <c r="G474" t="s">
        <v>124</v>
      </c>
      <c r="H474" t="s">
        <v>976</v>
      </c>
      <c r="I474" t="s">
        <v>1020</v>
      </c>
      <c r="J474" t="s">
        <v>68</v>
      </c>
      <c r="K474">
        <v>7.0626388460937486</v>
      </c>
      <c r="L474">
        <v>6.2250296031249999</v>
      </c>
      <c r="M474">
        <v>138.12054793588439</v>
      </c>
      <c r="N474">
        <v>1223.5333646643051</v>
      </c>
      <c r="O474" t="s">
        <v>1021</v>
      </c>
      <c r="Q474">
        <v>12.113</v>
      </c>
      <c r="R474">
        <v>1325.0039999999999</v>
      </c>
      <c r="S474">
        <v>50</v>
      </c>
      <c r="T474">
        <v>103.0976714628285</v>
      </c>
      <c r="U474">
        <v>1.9620989276826228E-3</v>
      </c>
      <c r="V474">
        <v>0.1376601583460868</v>
      </c>
      <c r="W474">
        <v>3.9422812540221104E-3</v>
      </c>
      <c r="X474">
        <v>0.46973740720741769</v>
      </c>
      <c r="Y474">
        <v>6.7425400365554111E-2</v>
      </c>
      <c r="Z474">
        <v>0.48574567415408232</v>
      </c>
      <c r="AA474">
        <v>2.841997403528557E-2</v>
      </c>
      <c r="AB474">
        <v>2.0609593762434839</v>
      </c>
      <c r="AC474">
        <v>0.114526730030547</v>
      </c>
      <c r="AD474">
        <v>1306.452862403969</v>
      </c>
      <c r="AE474">
        <v>50</v>
      </c>
      <c r="AF474">
        <v>88.529328847348424</v>
      </c>
      <c r="AG474">
        <v>2.4452269230769228</v>
      </c>
      <c r="AH474">
        <v>12.97811153846154</v>
      </c>
      <c r="AJ474">
        <v>10.30404615384615</v>
      </c>
      <c r="AK474">
        <v>0.55342692307692309</v>
      </c>
      <c r="AL474">
        <v>2.900669230769231</v>
      </c>
      <c r="AM474">
        <v>50.451046153846157</v>
      </c>
      <c r="AN474">
        <v>6.0883423076923071</v>
      </c>
      <c r="AP474">
        <v>1.6526923076923071E-2</v>
      </c>
      <c r="AQ474">
        <v>97.170811538461535</v>
      </c>
      <c r="AR474">
        <v>0.14452695958247319</v>
      </c>
      <c r="AS474">
        <v>0.56238533005541524</v>
      </c>
      <c r="AU474">
        <v>0.81302815263963402</v>
      </c>
      <c r="AV474">
        <v>0.1071919159552335</v>
      </c>
      <c r="AW474">
        <v>0.48878923864523122</v>
      </c>
      <c r="AX474">
        <v>0.42567582898799372</v>
      </c>
      <c r="AY474">
        <v>0.85490953915514445</v>
      </c>
      <c r="BA474">
        <v>4.3609684880592933E-3</v>
      </c>
      <c r="BB474">
        <v>26</v>
      </c>
      <c r="BC474" t="s">
        <v>86</v>
      </c>
    </row>
    <row r="475" spans="1:63" x14ac:dyDescent="0.2">
      <c r="A475">
        <v>473</v>
      </c>
      <c r="B475" t="s">
        <v>69</v>
      </c>
      <c r="C475" t="s">
        <v>70</v>
      </c>
      <c r="D475" t="s">
        <v>71</v>
      </c>
      <c r="E475">
        <v>-155.29347999999999</v>
      </c>
      <c r="F475">
        <v>19.377479999999998</v>
      </c>
      <c r="G475" t="s">
        <v>112</v>
      </c>
      <c r="H475" t="s">
        <v>1022</v>
      </c>
      <c r="I475" t="s">
        <v>1023</v>
      </c>
      <c r="J475" t="s">
        <v>68</v>
      </c>
      <c r="K475">
        <v>6.0571358195312506</v>
      </c>
      <c r="L475">
        <v>6.0571358195312506</v>
      </c>
      <c r="M475">
        <v>115.2615609150905</v>
      </c>
      <c r="N475">
        <v>930.87323897850376</v>
      </c>
      <c r="Q475">
        <v>12.032</v>
      </c>
      <c r="R475">
        <v>1324.9639999999999</v>
      </c>
      <c r="S475">
        <v>50</v>
      </c>
      <c r="T475">
        <v>103.0978722901316</v>
      </c>
      <c r="U475">
        <v>3.1652705720811168E-3</v>
      </c>
      <c r="V475">
        <v>0.1377397341854163</v>
      </c>
      <c r="W475">
        <v>4.0634626974636262E-3</v>
      </c>
      <c r="X475">
        <v>0</v>
      </c>
      <c r="Y475">
        <v>6.723614731665406E-2</v>
      </c>
      <c r="Z475">
        <v>0.48716133994341909</v>
      </c>
      <c r="AA475">
        <v>2.9477647636340271E-2</v>
      </c>
      <c r="AB475">
        <v>2.0666663867129662</v>
      </c>
      <c r="AC475">
        <v>0.11873766530661881</v>
      </c>
      <c r="AD475">
        <v>1310.185490768371</v>
      </c>
      <c r="AE475">
        <v>50</v>
      </c>
      <c r="AF475">
        <v>88.67532570764449</v>
      </c>
      <c r="AG475">
        <v>2.1280100000000002</v>
      </c>
      <c r="AH475">
        <v>12.511455</v>
      </c>
      <c r="AI475">
        <v>0.21128</v>
      </c>
      <c r="AJ475">
        <v>10.547185000000001</v>
      </c>
      <c r="AK475">
        <v>0.43435000000000001</v>
      </c>
      <c r="AL475">
        <v>2.4173399999999998</v>
      </c>
      <c r="AM475">
        <v>50.003889999999998</v>
      </c>
      <c r="AN475">
        <v>8.5805450000000008</v>
      </c>
      <c r="AO475">
        <v>11.0444</v>
      </c>
      <c r="AP475">
        <v>0.37786999999999998</v>
      </c>
      <c r="AQ475">
        <v>98.290260000000004</v>
      </c>
      <c r="AR475">
        <v>4.7093422517846893E-2</v>
      </c>
      <c r="AS475">
        <v>0.17423154844121161</v>
      </c>
      <c r="AT475">
        <v>2.1925114974993089E-2</v>
      </c>
      <c r="AU475">
        <v>0.1853741817244248</v>
      </c>
      <c r="AV475">
        <v>1.0520403456564249E-2</v>
      </c>
      <c r="AW475">
        <v>3.5166562401109248E-2</v>
      </c>
      <c r="AX475">
        <v>0.46106226248619608</v>
      </c>
      <c r="AY475">
        <v>0.4051107053427907</v>
      </c>
      <c r="AZ475">
        <v>0.14841023100402101</v>
      </c>
      <c r="BA475">
        <v>1.7068639208924791E-2</v>
      </c>
      <c r="BD475" t="s">
        <v>1024</v>
      </c>
      <c r="BE475">
        <v>0.54057585148197318</v>
      </c>
      <c r="BF475">
        <v>8087</v>
      </c>
      <c r="BG475">
        <v>397996.43079324719</v>
      </c>
      <c r="BH475">
        <v>400.39951770843459</v>
      </c>
      <c r="BI475">
        <v>355.93004732300062</v>
      </c>
      <c r="BJ475">
        <v>4.4524579249035696</v>
      </c>
      <c r="BK475">
        <v>400.39951770843459</v>
      </c>
    </row>
    <row r="476" spans="1:63" x14ac:dyDescent="0.2">
      <c r="A476">
        <v>474</v>
      </c>
      <c r="B476" t="s">
        <v>69</v>
      </c>
      <c r="C476" t="s">
        <v>91</v>
      </c>
      <c r="D476" t="s">
        <v>92</v>
      </c>
      <c r="E476">
        <v>-155.28360000000001</v>
      </c>
      <c r="F476">
        <v>19.4285</v>
      </c>
      <c r="G476" t="s">
        <v>134</v>
      </c>
      <c r="H476" t="s">
        <v>1025</v>
      </c>
      <c r="I476" t="s">
        <v>1026</v>
      </c>
      <c r="J476" t="s">
        <v>68</v>
      </c>
      <c r="K476">
        <v>8.069129825000001</v>
      </c>
      <c r="L476">
        <v>6.6310780164062493</v>
      </c>
      <c r="M476">
        <v>168.0972904598722</v>
      </c>
      <c r="N476">
        <v>1647.376738224905</v>
      </c>
      <c r="O476" t="s">
        <v>1027</v>
      </c>
      <c r="Q476">
        <v>11.992000000000001</v>
      </c>
      <c r="R476">
        <v>1325.0039999999999</v>
      </c>
      <c r="S476">
        <v>50</v>
      </c>
      <c r="T476">
        <v>103.098529139645</v>
      </c>
      <c r="U476">
        <v>9.0509257665475212E-3</v>
      </c>
      <c r="V476">
        <v>0.13800000433054291</v>
      </c>
      <c r="W476">
        <v>5.2731060037755038E-3</v>
      </c>
      <c r="X476">
        <v>0</v>
      </c>
      <c r="Y476">
        <v>7.4687942741280544E-2</v>
      </c>
      <c r="Z476">
        <v>0.43848218748567791</v>
      </c>
      <c r="AA476">
        <v>2.9509482611087118E-2</v>
      </c>
      <c r="AB476">
        <v>1.869494746036348</v>
      </c>
      <c r="AC476">
        <v>0.12001291353365</v>
      </c>
      <c r="AD476">
        <v>1146.6059036071761</v>
      </c>
      <c r="AE476">
        <v>50</v>
      </c>
      <c r="AF476">
        <v>76.964679913171096</v>
      </c>
      <c r="AG476">
        <v>2.5157387096774189</v>
      </c>
      <c r="AH476">
        <v>13.241580645161291</v>
      </c>
      <c r="AJ476">
        <v>11.11674838709677</v>
      </c>
      <c r="AK476">
        <v>0.71593870967741935</v>
      </c>
      <c r="AL476">
        <v>3.0286258064516129</v>
      </c>
      <c r="AM476">
        <v>48.480519354838712</v>
      </c>
      <c r="AN476">
        <v>6.4584548387096774</v>
      </c>
      <c r="AP476">
        <v>1.553225806451613E-2</v>
      </c>
      <c r="AQ476">
        <v>96.565938709677425</v>
      </c>
      <c r="AR476">
        <v>0.13894562408227509</v>
      </c>
      <c r="AS476">
        <v>0.1729350637654776</v>
      </c>
      <c r="AU476">
        <v>0.21495337769071041</v>
      </c>
      <c r="AV476">
        <v>7.7865408140882678E-2</v>
      </c>
      <c r="AW476">
        <v>0.14998665711265111</v>
      </c>
      <c r="AX476">
        <v>0.66558597962965682</v>
      </c>
      <c r="AY476">
        <v>0.26837320636097978</v>
      </c>
      <c r="BA476">
        <v>5.6058533157628621E-3</v>
      </c>
      <c r="BB476">
        <v>31</v>
      </c>
      <c r="BC476" t="s">
        <v>86</v>
      </c>
    </row>
    <row r="477" spans="1:63" x14ac:dyDescent="0.2">
      <c r="A477">
        <v>475</v>
      </c>
      <c r="B477" t="s">
        <v>69</v>
      </c>
      <c r="C477" t="s">
        <v>143</v>
      </c>
      <c r="D477" t="s">
        <v>144</v>
      </c>
      <c r="E477">
        <v>-155.22516669999999</v>
      </c>
      <c r="F477">
        <v>19.371883329999999</v>
      </c>
      <c r="G477" t="s">
        <v>145</v>
      </c>
      <c r="H477" t="s">
        <v>351</v>
      </c>
      <c r="I477" t="s">
        <v>1028</v>
      </c>
      <c r="J477" t="s">
        <v>68</v>
      </c>
      <c r="K477">
        <v>6.8104785390625002</v>
      </c>
      <c r="L477">
        <v>5.8473993484375004</v>
      </c>
      <c r="M477">
        <v>125.1094907836688</v>
      </c>
      <c r="N477">
        <v>1055.747104604658</v>
      </c>
      <c r="O477" t="s">
        <v>1029</v>
      </c>
      <c r="Q477">
        <v>9.952</v>
      </c>
      <c r="R477">
        <v>1324.9639999999999</v>
      </c>
      <c r="S477">
        <v>100</v>
      </c>
      <c r="T477">
        <v>103.10089049105829</v>
      </c>
      <c r="U477">
        <v>9.1604824040578577E-3</v>
      </c>
      <c r="V477">
        <v>0.13893566655227119</v>
      </c>
      <c r="W477">
        <v>5.3044812521440433E-3</v>
      </c>
      <c r="X477">
        <v>0</v>
      </c>
      <c r="Y477">
        <v>7.1104250959616588E-2</v>
      </c>
      <c r="Z477">
        <v>0.46030445073934739</v>
      </c>
      <c r="AA477">
        <v>3.0831957646211269E-2</v>
      </c>
      <c r="AB477">
        <v>1.9581223074694349</v>
      </c>
      <c r="AC477">
        <v>0.1249022618841675</v>
      </c>
      <c r="AD477">
        <v>1207.9009496919491</v>
      </c>
      <c r="AE477">
        <v>50</v>
      </c>
      <c r="AF477">
        <v>83.510731260251632</v>
      </c>
      <c r="AG477">
        <v>2.1961249999999999</v>
      </c>
      <c r="AH477">
        <v>13.214425</v>
      </c>
      <c r="AI477">
        <v>0.23326250000000001</v>
      </c>
      <c r="AJ477">
        <v>10.8680875</v>
      </c>
      <c r="AK477">
        <v>0.46184999999999998</v>
      </c>
      <c r="AL477">
        <v>2.5506250000000001</v>
      </c>
      <c r="AM477">
        <v>49.975887499999999</v>
      </c>
      <c r="AN477">
        <v>7.4385374999999998</v>
      </c>
      <c r="AP477">
        <v>0.2354</v>
      </c>
      <c r="AQ477">
        <v>98.48666249999998</v>
      </c>
      <c r="AR477">
        <v>5.6378814410075299E-2</v>
      </c>
      <c r="AS477">
        <v>0.24941022862516499</v>
      </c>
      <c r="AT477">
        <v>1.4003870638403601E-2</v>
      </c>
      <c r="AU477">
        <v>0.27584699401505702</v>
      </c>
      <c r="AV477">
        <v>3.1668731762237799E-2</v>
      </c>
      <c r="AW477">
        <v>4.2427543277585897E-2</v>
      </c>
      <c r="AX477">
        <v>0.67605985245919198</v>
      </c>
      <c r="AY477">
        <v>0.10614118545597701</v>
      </c>
      <c r="BA477">
        <v>4.3851209463691802E-2</v>
      </c>
      <c r="BE477">
        <v>0.13343455205288229</v>
      </c>
      <c r="BF477">
        <v>15529</v>
      </c>
      <c r="BG477">
        <v>139893.46714348689</v>
      </c>
      <c r="BH477">
        <v>27.81239500953858</v>
      </c>
      <c r="BI477">
        <v>211.02007867570131</v>
      </c>
      <c r="BJ477">
        <v>0.22318584335770891</v>
      </c>
      <c r="BK477">
        <v>27.81239500953858</v>
      </c>
    </row>
    <row r="478" spans="1:63" x14ac:dyDescent="0.2">
      <c r="A478">
        <v>476</v>
      </c>
      <c r="B478" t="s">
        <v>69</v>
      </c>
      <c r="C478" t="s">
        <v>81</v>
      </c>
      <c r="D478" t="s">
        <v>71</v>
      </c>
      <c r="E478">
        <v>-155.29106999999999</v>
      </c>
      <c r="F478">
        <v>19.383150000000001</v>
      </c>
      <c r="G478" t="s">
        <v>87</v>
      </c>
      <c r="H478" t="s">
        <v>1030</v>
      </c>
      <c r="I478" t="s">
        <v>1031</v>
      </c>
      <c r="J478" t="s">
        <v>68</v>
      </c>
      <c r="K478">
        <v>6.3801381210937498</v>
      </c>
      <c r="L478">
        <v>5.4572744023437512</v>
      </c>
      <c r="M478">
        <v>109.3844896528241</v>
      </c>
      <c r="N478">
        <v>863.21955179077315</v>
      </c>
      <c r="Q478">
        <v>8.9986666666666668</v>
      </c>
      <c r="R478">
        <v>1325.0039999999999</v>
      </c>
      <c r="S478">
        <v>50</v>
      </c>
      <c r="T478">
        <v>103.1010625178086</v>
      </c>
      <c r="U478">
        <v>3.0729633048309029E-3</v>
      </c>
      <c r="V478">
        <v>0.13900383045645501</v>
      </c>
      <c r="W478">
        <v>4.0593057988869861E-3</v>
      </c>
      <c r="X478">
        <v>1.1200406160100409</v>
      </c>
      <c r="Y478">
        <v>7.1337879227502676E-2</v>
      </c>
      <c r="Z478">
        <v>0.45880362075564041</v>
      </c>
      <c r="AA478">
        <v>3.0812480482259409E-2</v>
      </c>
      <c r="AB478">
        <v>1.9520393731772441</v>
      </c>
      <c r="AC478">
        <v>0.1247751446317662</v>
      </c>
      <c r="AD478">
        <v>1202.2416700412709</v>
      </c>
      <c r="AE478">
        <v>50</v>
      </c>
      <c r="AF478">
        <v>83.108893968622681</v>
      </c>
      <c r="AG478">
        <v>2.2102200000000001</v>
      </c>
      <c r="AH478">
        <v>12.516225</v>
      </c>
      <c r="AI478">
        <v>0.22873499999999999</v>
      </c>
      <c r="AJ478">
        <v>10.535360000000001</v>
      </c>
      <c r="AK478">
        <v>0.37534499999999998</v>
      </c>
      <c r="AL478">
        <v>2.4377900000000001</v>
      </c>
      <c r="AM478">
        <v>50.224780000000003</v>
      </c>
      <c r="AN478">
        <v>8.9844449999999991</v>
      </c>
      <c r="AP478">
        <v>0.178455</v>
      </c>
      <c r="AQ478">
        <v>99.610560000000007</v>
      </c>
      <c r="AR478">
        <v>1.7587090435884831E-2</v>
      </c>
      <c r="AS478">
        <v>0.12699126938494701</v>
      </c>
      <c r="AT478">
        <v>8.073250584491971E-3</v>
      </c>
      <c r="AU478">
        <v>6.9056800896073786E-2</v>
      </c>
      <c r="AV478">
        <v>2.248073063759274E-2</v>
      </c>
      <c r="AW478">
        <v>2.1205111412109991E-2</v>
      </c>
      <c r="AX478">
        <v>0.5052093298821787</v>
      </c>
      <c r="AY478">
        <v>0.13192220766421431</v>
      </c>
      <c r="BA478">
        <v>1.2962040734390541E-2</v>
      </c>
      <c r="BB478">
        <v>5</v>
      </c>
      <c r="BC478" t="s">
        <v>86</v>
      </c>
    </row>
    <row r="479" spans="1:63" x14ac:dyDescent="0.2">
      <c r="A479">
        <v>477</v>
      </c>
      <c r="B479" t="s">
        <v>69</v>
      </c>
      <c r="C479" t="s">
        <v>91</v>
      </c>
      <c r="D479" t="s">
        <v>92</v>
      </c>
      <c r="E479">
        <v>-155.28360000000001</v>
      </c>
      <c r="F479">
        <v>19.4285</v>
      </c>
      <c r="G479" t="s">
        <v>212</v>
      </c>
      <c r="H479" t="s">
        <v>1032</v>
      </c>
      <c r="I479" t="s">
        <v>1033</v>
      </c>
      <c r="J479" t="s">
        <v>68</v>
      </c>
      <c r="K479">
        <v>17.370410567187498</v>
      </c>
      <c r="L479">
        <v>12.359981198437501</v>
      </c>
      <c r="M479">
        <v>674.49349623910825</v>
      </c>
      <c r="N479">
        <v>13368.6372577032</v>
      </c>
      <c r="O479" t="s">
        <v>1034</v>
      </c>
      <c r="Q479">
        <v>11.984</v>
      </c>
      <c r="R479">
        <v>1325.0039999999999</v>
      </c>
      <c r="S479">
        <v>50</v>
      </c>
      <c r="T479">
        <v>103.10120250743191</v>
      </c>
      <c r="U479">
        <v>3.1949041964079942E-3</v>
      </c>
      <c r="V479">
        <v>0.13905929996479219</v>
      </c>
      <c r="W479">
        <v>4.0703247506035196E-3</v>
      </c>
      <c r="X479">
        <v>0</v>
      </c>
      <c r="Y479">
        <v>7.0066199557337949E-2</v>
      </c>
      <c r="Z479">
        <v>0.46713354909380911</v>
      </c>
      <c r="AA479">
        <v>2.8909804897782661E-2</v>
      </c>
      <c r="AB479">
        <v>1.9857778686919061</v>
      </c>
      <c r="AC479">
        <v>0.1168639022999796</v>
      </c>
      <c r="AD479">
        <v>1228.812100937701</v>
      </c>
      <c r="AE479">
        <v>50</v>
      </c>
      <c r="AF479">
        <v>84.841227420606188</v>
      </c>
      <c r="AG479">
        <v>2.1021777777777779</v>
      </c>
      <c r="AH479">
        <v>12.18196296296296</v>
      </c>
      <c r="AJ479">
        <v>10.35145925925926</v>
      </c>
      <c r="AK479">
        <v>0.4553962962962963</v>
      </c>
      <c r="AL479">
        <v>2.3345296296296301</v>
      </c>
      <c r="AM479">
        <v>49.209007407407412</v>
      </c>
      <c r="AN479">
        <v>9.4706370370370365</v>
      </c>
      <c r="AP479">
        <v>1.7722222222222219E-2</v>
      </c>
      <c r="AQ479">
        <v>97.341288888888897</v>
      </c>
      <c r="AR479">
        <v>3.1603703937420069E-2</v>
      </c>
      <c r="AS479">
        <v>0.1308813941885143</v>
      </c>
      <c r="AU479">
        <v>0.12790190128874709</v>
      </c>
      <c r="AV479">
        <v>3.4622563579722238E-2</v>
      </c>
      <c r="AW479">
        <v>4.9585767303615608E-2</v>
      </c>
      <c r="AX479">
        <v>0.4308268757472053</v>
      </c>
      <c r="AY479">
        <v>0.20483483806030409</v>
      </c>
      <c r="BA479">
        <v>4.922736366426028E-3</v>
      </c>
      <c r="BB479">
        <v>27</v>
      </c>
      <c r="BC479" t="s">
        <v>86</v>
      </c>
    </row>
    <row r="480" spans="1:63" x14ac:dyDescent="0.2">
      <c r="A480">
        <v>478</v>
      </c>
      <c r="B480" t="s">
        <v>69</v>
      </c>
      <c r="C480" t="s">
        <v>76</v>
      </c>
      <c r="D480" t="s">
        <v>71</v>
      </c>
      <c r="E480">
        <v>-155.29812000000001</v>
      </c>
      <c r="F480">
        <v>19.375624999999999</v>
      </c>
      <c r="G480" t="s">
        <v>77</v>
      </c>
      <c r="H480" t="s">
        <v>1035</v>
      </c>
      <c r="I480" t="s">
        <v>1036</v>
      </c>
      <c r="J480" t="s">
        <v>68</v>
      </c>
      <c r="K480">
        <v>17.415623915625002</v>
      </c>
      <c r="L480">
        <v>17.18322265546875</v>
      </c>
      <c r="M480">
        <v>940.14215836608207</v>
      </c>
      <c r="N480">
        <v>21685.222861549999</v>
      </c>
      <c r="Q480">
        <v>12.178000000000001</v>
      </c>
      <c r="R480">
        <v>1324.9639999999999</v>
      </c>
      <c r="S480">
        <v>50</v>
      </c>
      <c r="T480">
        <v>103.102665943399</v>
      </c>
      <c r="U480">
        <v>7.6806959518515216E-3</v>
      </c>
      <c r="V480">
        <v>0.1396391720417185</v>
      </c>
      <c r="W480">
        <v>4.92330567582839E-3</v>
      </c>
      <c r="X480">
        <v>0</v>
      </c>
      <c r="Y480">
        <v>6.6666955068988121E-2</v>
      </c>
      <c r="Z480">
        <v>0.49151861633236898</v>
      </c>
      <c r="AA480">
        <v>3.0597451683996031E-2</v>
      </c>
      <c r="AB480">
        <v>2.084221911166932</v>
      </c>
      <c r="AC480">
        <v>0.1230359246507417</v>
      </c>
      <c r="AD480">
        <v>1301.570093550906</v>
      </c>
      <c r="AE480">
        <v>50</v>
      </c>
      <c r="AF480">
        <v>88.335101971948816</v>
      </c>
      <c r="AG480">
        <v>2.5039199999999999</v>
      </c>
      <c r="AH480">
        <v>14.096819999999999</v>
      </c>
      <c r="AI480">
        <v>0.27322000000000002</v>
      </c>
      <c r="AJ480">
        <v>10.95044</v>
      </c>
      <c r="AK480">
        <v>0.52094000000000007</v>
      </c>
      <c r="AL480">
        <v>2.9191400000000001</v>
      </c>
      <c r="AM480">
        <v>50.91704</v>
      </c>
      <c r="AN480">
        <v>6.4346599999999992</v>
      </c>
      <c r="AO480">
        <v>10.86684</v>
      </c>
      <c r="AP480">
        <v>0.19492000000000001</v>
      </c>
      <c r="AQ480">
        <v>99.70778</v>
      </c>
      <c r="AR480">
        <v>5.8797253337209539E-2</v>
      </c>
      <c r="AS480">
        <v>0.138496180452748</v>
      </c>
      <c r="AT480">
        <v>2.822688434808206E-2</v>
      </c>
      <c r="AU480">
        <v>7.1287502411011894E-2</v>
      </c>
      <c r="AV480">
        <v>1.2819243347405491E-2</v>
      </c>
      <c r="AW480">
        <v>2.3721045508155889E-2</v>
      </c>
      <c r="AX480">
        <v>0.39733328327740491</v>
      </c>
      <c r="AY480">
        <v>8.3972662218129629E-2</v>
      </c>
      <c r="AZ480">
        <v>5.8132675837260117E-2</v>
      </c>
      <c r="BA480">
        <v>1.931080008699795E-2</v>
      </c>
      <c r="BD480" t="s">
        <v>1037</v>
      </c>
      <c r="BE480">
        <v>6.7976335674795205E-2</v>
      </c>
      <c r="BF480">
        <v>11290</v>
      </c>
      <c r="BG480">
        <v>556605.83102455002</v>
      </c>
      <c r="BH480">
        <v>854.27917630908405</v>
      </c>
      <c r="BI480">
        <v>420.91939694276198</v>
      </c>
      <c r="BJ480">
        <v>8.0399407691156703</v>
      </c>
      <c r="BK480">
        <v>854.27917630908496</v>
      </c>
    </row>
    <row r="481" spans="1:63" x14ac:dyDescent="0.2">
      <c r="A481">
        <v>479</v>
      </c>
      <c r="B481" t="s">
        <v>69</v>
      </c>
      <c r="C481" t="s">
        <v>91</v>
      </c>
      <c r="D481" t="s">
        <v>92</v>
      </c>
      <c r="E481">
        <v>-155.28360000000001</v>
      </c>
      <c r="F481">
        <v>19.4285</v>
      </c>
      <c r="G481" t="s">
        <v>212</v>
      </c>
      <c r="H481" t="s">
        <v>887</v>
      </c>
      <c r="I481" t="s">
        <v>1038</v>
      </c>
      <c r="J481" t="s">
        <v>68</v>
      </c>
      <c r="K481">
        <v>9.5442589039062486</v>
      </c>
      <c r="L481">
        <v>8.0472786437500012</v>
      </c>
      <c r="M481">
        <v>241.29100031620919</v>
      </c>
      <c r="N481">
        <v>2829.7864613160868</v>
      </c>
      <c r="O481" t="s">
        <v>1039</v>
      </c>
      <c r="Q481">
        <v>11.965999999999999</v>
      </c>
      <c r="R481">
        <v>1325.0039999999999</v>
      </c>
      <c r="S481">
        <v>50</v>
      </c>
      <c r="T481">
        <v>103.1030998933535</v>
      </c>
      <c r="U481">
        <v>4.062917987032991E-3</v>
      </c>
      <c r="V481">
        <v>0.13981112043377661</v>
      </c>
      <c r="W481">
        <v>4.1918863115434756E-3</v>
      </c>
      <c r="X481">
        <v>0</v>
      </c>
      <c r="Y481">
        <v>7.306227747979277E-2</v>
      </c>
      <c r="Z481">
        <v>0.44809259387083999</v>
      </c>
      <c r="AA481">
        <v>2.733206470218736E-2</v>
      </c>
      <c r="AB481">
        <v>1.908573805713228</v>
      </c>
      <c r="AC481">
        <v>0.1109599933830681</v>
      </c>
      <c r="AD481">
        <v>1158.636737361114</v>
      </c>
      <c r="AE481">
        <v>50</v>
      </c>
      <c r="AF481">
        <v>78.890615944628109</v>
      </c>
      <c r="AG481">
        <v>2.1021777777777779</v>
      </c>
      <c r="AH481">
        <v>12.18196296296296</v>
      </c>
      <c r="AJ481">
        <v>10.35145925925926</v>
      </c>
      <c r="AK481">
        <v>0.4553962962962963</v>
      </c>
      <c r="AL481">
        <v>2.3345296296296301</v>
      </c>
      <c r="AM481">
        <v>49.209007407407412</v>
      </c>
      <c r="AN481">
        <v>9.4706370370370365</v>
      </c>
      <c r="AP481">
        <v>1.7722222222222219E-2</v>
      </c>
      <c r="AQ481">
        <v>97.341288888888897</v>
      </c>
      <c r="AR481">
        <v>3.1603703937420069E-2</v>
      </c>
      <c r="AS481">
        <v>0.1308813941885143</v>
      </c>
      <c r="AU481">
        <v>0.12790190128874709</v>
      </c>
      <c r="AV481">
        <v>3.4622563579722238E-2</v>
      </c>
      <c r="AW481">
        <v>4.9585767303615608E-2</v>
      </c>
      <c r="AX481">
        <v>0.4308268757472053</v>
      </c>
      <c r="AY481">
        <v>0.20483483806030409</v>
      </c>
      <c r="BA481">
        <v>4.922736366426028E-3</v>
      </c>
      <c r="BB481">
        <v>27</v>
      </c>
      <c r="BC481" t="s">
        <v>86</v>
      </c>
    </row>
    <row r="482" spans="1:63" x14ac:dyDescent="0.2">
      <c r="A482">
        <v>480</v>
      </c>
      <c r="B482" t="s">
        <v>69</v>
      </c>
      <c r="C482" t="s">
        <v>81</v>
      </c>
      <c r="D482" t="s">
        <v>71</v>
      </c>
      <c r="E482">
        <v>-155.29106999999999</v>
      </c>
      <c r="F482">
        <v>19.383150000000001</v>
      </c>
      <c r="G482" t="s">
        <v>87</v>
      </c>
      <c r="H482" t="s">
        <v>497</v>
      </c>
      <c r="I482" t="s">
        <v>1040</v>
      </c>
      <c r="J482" t="s">
        <v>68</v>
      </c>
      <c r="K482">
        <v>7.4068530656249996</v>
      </c>
      <c r="L482">
        <v>5.9507856554687502</v>
      </c>
      <c r="M482">
        <v>138.47070696898291</v>
      </c>
      <c r="N482">
        <v>1233.0944514307421</v>
      </c>
      <c r="O482" t="s">
        <v>499</v>
      </c>
      <c r="Q482">
        <v>12</v>
      </c>
      <c r="R482">
        <v>1325.0039999999999</v>
      </c>
      <c r="S482">
        <v>50</v>
      </c>
      <c r="T482">
        <v>103.10356067680191</v>
      </c>
      <c r="U482">
        <v>3.1960273183441433E-2</v>
      </c>
      <c r="V482">
        <v>0.13999370133325331</v>
      </c>
      <c r="W482">
        <v>1.3242331920877971E-2</v>
      </c>
      <c r="X482">
        <v>0</v>
      </c>
      <c r="Y482">
        <v>6.9578955923126351E-2</v>
      </c>
      <c r="Z482">
        <v>0.47044485490427718</v>
      </c>
      <c r="AA482">
        <v>5.4465329250849383E-2</v>
      </c>
      <c r="AB482">
        <v>1.999173942957456</v>
      </c>
      <c r="AC482">
        <v>0.21982777971188161</v>
      </c>
      <c r="AD482">
        <v>1229.0224001350059</v>
      </c>
      <c r="AE482">
        <v>50</v>
      </c>
      <c r="AF482">
        <v>84.853572669782878</v>
      </c>
      <c r="AG482">
        <v>2.2102200000000001</v>
      </c>
      <c r="AH482">
        <v>12.516225</v>
      </c>
      <c r="AI482">
        <v>0.22873499999999999</v>
      </c>
      <c r="AJ482">
        <v>10.535360000000001</v>
      </c>
      <c r="AK482">
        <v>0.37534499999999998</v>
      </c>
      <c r="AL482">
        <v>2.4377900000000001</v>
      </c>
      <c r="AM482">
        <v>50.224780000000003</v>
      </c>
      <c r="AN482">
        <v>8.9844449999999991</v>
      </c>
      <c r="AP482">
        <v>0.178455</v>
      </c>
      <c r="AQ482">
        <v>99.610560000000007</v>
      </c>
      <c r="AR482">
        <v>1.7587090435884831E-2</v>
      </c>
      <c r="AS482">
        <v>0.12699126938494701</v>
      </c>
      <c r="AT482">
        <v>8.073250584491971E-3</v>
      </c>
      <c r="AU482">
        <v>6.9056800896073786E-2</v>
      </c>
      <c r="AV482">
        <v>2.248073063759274E-2</v>
      </c>
      <c r="AW482">
        <v>2.1205111412109991E-2</v>
      </c>
      <c r="AX482">
        <v>0.5052093298821787</v>
      </c>
      <c r="AY482">
        <v>0.13192220766421431</v>
      </c>
      <c r="BA482">
        <v>1.2962040734390541E-2</v>
      </c>
      <c r="BB482">
        <v>5</v>
      </c>
      <c r="BC482" t="s">
        <v>86</v>
      </c>
    </row>
    <row r="483" spans="1:63" x14ac:dyDescent="0.2">
      <c r="A483">
        <v>481</v>
      </c>
      <c r="B483" t="s">
        <v>69</v>
      </c>
      <c r="C483" t="s">
        <v>143</v>
      </c>
      <c r="D483" t="s">
        <v>144</v>
      </c>
      <c r="E483">
        <v>-155.22516669999999</v>
      </c>
      <c r="F483">
        <v>19.371883329999999</v>
      </c>
      <c r="G483" t="s">
        <v>145</v>
      </c>
      <c r="H483" t="s">
        <v>876</v>
      </c>
      <c r="I483" t="s">
        <v>1041</v>
      </c>
      <c r="J483" t="s">
        <v>68</v>
      </c>
      <c r="K483">
        <v>4.2388385882812498</v>
      </c>
      <c r="L483">
        <v>3.8589999695312498</v>
      </c>
      <c r="M483">
        <v>51.389160981259572</v>
      </c>
      <c r="N483">
        <v>277.42741949845151</v>
      </c>
      <c r="Q483">
        <v>10.048</v>
      </c>
      <c r="R483">
        <v>1324.9639999999999</v>
      </c>
      <c r="S483">
        <v>50</v>
      </c>
      <c r="T483">
        <v>103.1037615159284</v>
      </c>
      <c r="U483">
        <v>4.1656962496072368E-3</v>
      </c>
      <c r="V483">
        <v>0.14007328185748241</v>
      </c>
      <c r="W483">
        <v>4.2083325195064053E-3</v>
      </c>
      <c r="X483">
        <v>0</v>
      </c>
      <c r="Y483">
        <v>6.7238705944739796E-2</v>
      </c>
      <c r="Z483">
        <v>0.4871824714370549</v>
      </c>
      <c r="AA483">
        <v>2.8544114545687189E-2</v>
      </c>
      <c r="AB483">
        <v>2.0667515624822501</v>
      </c>
      <c r="AC483">
        <v>0.1149445321899871</v>
      </c>
      <c r="AD483">
        <v>1282.335315364604</v>
      </c>
      <c r="AE483">
        <v>50</v>
      </c>
      <c r="AF483">
        <v>87.530688300081394</v>
      </c>
      <c r="AG483">
        <v>2.1961249999999999</v>
      </c>
      <c r="AH483">
        <v>13.214425</v>
      </c>
      <c r="AI483">
        <v>0.23326250000000001</v>
      </c>
      <c r="AJ483">
        <v>10.8680875</v>
      </c>
      <c r="AK483">
        <v>0.46184999999999998</v>
      </c>
      <c r="AL483">
        <v>2.5506250000000001</v>
      </c>
      <c r="AM483">
        <v>49.975887499999999</v>
      </c>
      <c r="AN483">
        <v>7.4385374999999998</v>
      </c>
      <c r="AP483">
        <v>0.2354</v>
      </c>
      <c r="AQ483">
        <v>98.48666249999998</v>
      </c>
      <c r="AR483">
        <v>5.6378814410075299E-2</v>
      </c>
      <c r="AS483">
        <v>0.24941022862516499</v>
      </c>
      <c r="AT483">
        <v>1.4003870638403601E-2</v>
      </c>
      <c r="AU483">
        <v>0.27584699401505702</v>
      </c>
      <c r="AV483">
        <v>3.1668731762237799E-2</v>
      </c>
      <c r="AW483">
        <v>4.2427543277585897E-2</v>
      </c>
      <c r="AX483">
        <v>0.67605985245919198</v>
      </c>
      <c r="AY483">
        <v>0.10614118545597701</v>
      </c>
      <c r="BA483">
        <v>4.3851209463691802E-2</v>
      </c>
      <c r="BE483">
        <v>0.43978742154441081</v>
      </c>
      <c r="BF483">
        <v>10315</v>
      </c>
      <c r="BG483">
        <v>1031785.988297352</v>
      </c>
      <c r="BH483">
        <v>3408.780398785193</v>
      </c>
      <c r="BI483">
        <v>573.08610217048556</v>
      </c>
      <c r="BJ483">
        <v>33.563280906666257</v>
      </c>
      <c r="BK483">
        <v>3408.7803987851898</v>
      </c>
    </row>
    <row r="484" spans="1:63" x14ac:dyDescent="0.2">
      <c r="A484">
        <v>482</v>
      </c>
      <c r="B484" t="s">
        <v>69</v>
      </c>
      <c r="C484" t="s">
        <v>91</v>
      </c>
      <c r="D484" t="s">
        <v>92</v>
      </c>
      <c r="E484">
        <v>-155.272412745889</v>
      </c>
      <c r="F484">
        <v>19.3454197541963</v>
      </c>
      <c r="G484" t="s">
        <v>124</v>
      </c>
      <c r="H484" t="s">
        <v>125</v>
      </c>
      <c r="I484" t="s">
        <v>1042</v>
      </c>
      <c r="J484" t="s">
        <v>68</v>
      </c>
      <c r="K484">
        <v>15.364344275781249</v>
      </c>
      <c r="L484">
        <v>13.7003419546875</v>
      </c>
      <c r="M484">
        <v>661.2951077686879</v>
      </c>
      <c r="N484">
        <v>12813.556542027291</v>
      </c>
      <c r="O484" t="s">
        <v>1043</v>
      </c>
      <c r="Q484">
        <v>6.0324999999999998</v>
      </c>
      <c r="R484">
        <v>1325.0039999999999</v>
      </c>
      <c r="S484">
        <v>50</v>
      </c>
      <c r="T484">
        <v>103.1053491098768</v>
      </c>
      <c r="U484">
        <v>2.65141442092366E-3</v>
      </c>
      <c r="V484">
        <v>0.14070235031067921</v>
      </c>
      <c r="W484">
        <v>4.0184424217317664E-3</v>
      </c>
      <c r="X484">
        <v>0.43765271769959718</v>
      </c>
      <c r="Y484">
        <v>6.8099615566496241E-2</v>
      </c>
      <c r="Z484">
        <v>0.48085065823130507</v>
      </c>
      <c r="AA484">
        <v>2.595762839773506E-2</v>
      </c>
      <c r="AB484">
        <v>2.0412135722524121</v>
      </c>
      <c r="AC484">
        <v>0.10470223052036159</v>
      </c>
      <c r="AD484">
        <v>1254.587846111461</v>
      </c>
      <c r="AE484">
        <v>50</v>
      </c>
      <c r="AF484">
        <v>86.236349623224029</v>
      </c>
      <c r="AG484">
        <v>2.4452269230769228</v>
      </c>
      <c r="AH484">
        <v>12.97811153846154</v>
      </c>
      <c r="AJ484">
        <v>10.30404615384615</v>
      </c>
      <c r="AK484">
        <v>0.55342692307692309</v>
      </c>
      <c r="AL484">
        <v>2.900669230769231</v>
      </c>
      <c r="AM484">
        <v>50.451046153846157</v>
      </c>
      <c r="AN484">
        <v>6.0883423076923071</v>
      </c>
      <c r="AP484">
        <v>1.6526923076923071E-2</v>
      </c>
      <c r="AQ484">
        <v>97.170811538461535</v>
      </c>
      <c r="AR484">
        <v>0.14452695958247319</v>
      </c>
      <c r="AS484">
        <v>0.56238533005541524</v>
      </c>
      <c r="AU484">
        <v>0.81302815263963402</v>
      </c>
      <c r="AV484">
        <v>0.1071919159552335</v>
      </c>
      <c r="AW484">
        <v>0.48878923864523122</v>
      </c>
      <c r="AX484">
        <v>0.42567582898799372</v>
      </c>
      <c r="AY484">
        <v>0.85490953915514445</v>
      </c>
      <c r="BA484">
        <v>4.3609684880592933E-3</v>
      </c>
      <c r="BB484">
        <v>26</v>
      </c>
      <c r="BC484" t="s">
        <v>86</v>
      </c>
    </row>
    <row r="485" spans="1:63" x14ac:dyDescent="0.2">
      <c r="A485">
        <v>483</v>
      </c>
      <c r="B485" t="s">
        <v>69</v>
      </c>
      <c r="C485" t="s">
        <v>81</v>
      </c>
      <c r="D485" t="s">
        <v>71</v>
      </c>
      <c r="E485">
        <v>-155.29106999999999</v>
      </c>
      <c r="F485">
        <v>19.383150000000001</v>
      </c>
      <c r="G485" t="s">
        <v>87</v>
      </c>
      <c r="H485" t="s">
        <v>899</v>
      </c>
      <c r="I485" t="s">
        <v>1044</v>
      </c>
      <c r="J485" t="s">
        <v>68</v>
      </c>
      <c r="K485">
        <v>5.3254699367187497</v>
      </c>
      <c r="L485">
        <v>5.3228547687500001</v>
      </c>
      <c r="M485">
        <v>89.05379405065321</v>
      </c>
      <c r="N485">
        <v>632.18247687019755</v>
      </c>
      <c r="Q485">
        <v>12.052</v>
      </c>
      <c r="R485">
        <v>1325.0039999999999</v>
      </c>
      <c r="S485">
        <v>50</v>
      </c>
      <c r="T485">
        <v>103.1058619185785</v>
      </c>
      <c r="U485">
        <v>2.429139582534128E-3</v>
      </c>
      <c r="V485">
        <v>0.1409055457039656</v>
      </c>
      <c r="W485">
        <v>3.9911400608674897E-3</v>
      </c>
      <c r="X485">
        <v>0</v>
      </c>
      <c r="Y485">
        <v>6.9479950736462182E-2</v>
      </c>
      <c r="Z485">
        <v>0.47113753809432118</v>
      </c>
      <c r="AA485">
        <v>2.6292768425511419E-2</v>
      </c>
      <c r="AB485">
        <v>2.0019751101157861</v>
      </c>
      <c r="AC485">
        <v>0.1062710565908145</v>
      </c>
      <c r="AD485">
        <v>1221.0488470746211</v>
      </c>
      <c r="AE485">
        <v>50</v>
      </c>
      <c r="AF485">
        <v>84.37223921574423</v>
      </c>
      <c r="AG485">
        <v>2.2102200000000001</v>
      </c>
      <c r="AH485">
        <v>12.516225</v>
      </c>
      <c r="AI485">
        <v>0.22873499999999999</v>
      </c>
      <c r="AJ485">
        <v>10.535360000000001</v>
      </c>
      <c r="AK485">
        <v>0.37534499999999998</v>
      </c>
      <c r="AL485">
        <v>2.4377900000000001</v>
      </c>
      <c r="AM485">
        <v>50.224780000000003</v>
      </c>
      <c r="AN485">
        <v>8.9844449999999991</v>
      </c>
      <c r="AP485">
        <v>0.178455</v>
      </c>
      <c r="AQ485">
        <v>99.610560000000007</v>
      </c>
      <c r="AR485">
        <v>1.7587090435884831E-2</v>
      </c>
      <c r="AS485">
        <v>0.12699126938494701</v>
      </c>
      <c r="AT485">
        <v>8.073250584491971E-3</v>
      </c>
      <c r="AU485">
        <v>6.9056800896073786E-2</v>
      </c>
      <c r="AV485">
        <v>2.248073063759274E-2</v>
      </c>
      <c r="AW485">
        <v>2.1205111412109991E-2</v>
      </c>
      <c r="AX485">
        <v>0.5052093298821787</v>
      </c>
      <c r="AY485">
        <v>0.13192220766421431</v>
      </c>
      <c r="BA485">
        <v>1.2962040734390541E-2</v>
      </c>
      <c r="BB485">
        <v>5</v>
      </c>
      <c r="BC485" t="s">
        <v>86</v>
      </c>
    </row>
    <row r="486" spans="1:63" x14ac:dyDescent="0.2">
      <c r="A486">
        <v>484</v>
      </c>
      <c r="B486" t="s">
        <v>69</v>
      </c>
      <c r="C486" t="s">
        <v>91</v>
      </c>
      <c r="D486" t="s">
        <v>92</v>
      </c>
      <c r="E486">
        <v>-155.28360000000001</v>
      </c>
      <c r="F486">
        <v>19.4285</v>
      </c>
      <c r="G486" t="s">
        <v>212</v>
      </c>
      <c r="H486" t="s">
        <v>1045</v>
      </c>
      <c r="I486" t="s">
        <v>1046</v>
      </c>
      <c r="J486" t="s">
        <v>68</v>
      </c>
      <c r="K486">
        <v>12.247354631249999</v>
      </c>
      <c r="L486">
        <v>11.414917609374999</v>
      </c>
      <c r="M486">
        <v>439.20264533598157</v>
      </c>
      <c r="N486">
        <v>6928.3550418284431</v>
      </c>
      <c r="O486" t="s">
        <v>1047</v>
      </c>
      <c r="Q486">
        <v>11.987</v>
      </c>
      <c r="R486">
        <v>1325.0039999999999</v>
      </c>
      <c r="S486">
        <v>50</v>
      </c>
      <c r="T486">
        <v>103.1060181504504</v>
      </c>
      <c r="U486">
        <v>2.8366064733969551E-3</v>
      </c>
      <c r="V486">
        <v>0.1409674510432524</v>
      </c>
      <c r="W486">
        <v>4.0332822841988034E-3</v>
      </c>
      <c r="X486">
        <v>1.8376790478929039</v>
      </c>
      <c r="Y486">
        <v>6.9488202984384295E-2</v>
      </c>
      <c r="Z486">
        <v>0.47108207501602423</v>
      </c>
      <c r="AA486">
        <v>4.1169908243647288E-2</v>
      </c>
      <c r="AB486">
        <v>2.001750835207567</v>
      </c>
      <c r="AC486">
        <v>0.16658125820761319</v>
      </c>
      <c r="AD486">
        <v>1220.1822987351841</v>
      </c>
      <c r="AE486">
        <v>100</v>
      </c>
      <c r="AG486">
        <v>2.1021777777777779</v>
      </c>
      <c r="AH486">
        <v>12.18196296296296</v>
      </c>
      <c r="AJ486">
        <v>10.35145925925926</v>
      </c>
      <c r="AK486">
        <v>0.4553962962962963</v>
      </c>
      <c r="AL486">
        <v>2.3345296296296301</v>
      </c>
      <c r="AM486">
        <v>49.209007407407412</v>
      </c>
      <c r="AN486">
        <v>9.4706370370370365</v>
      </c>
      <c r="AP486">
        <v>1.7722222222222219E-2</v>
      </c>
      <c r="AQ486">
        <v>97.341288888888897</v>
      </c>
      <c r="AR486">
        <v>3.1603703937420069E-2</v>
      </c>
      <c r="AS486">
        <v>0.1308813941885143</v>
      </c>
      <c r="AU486">
        <v>0.12790190128874709</v>
      </c>
      <c r="AV486">
        <v>3.4622563579722238E-2</v>
      </c>
      <c r="AW486">
        <v>4.9585767303615608E-2</v>
      </c>
      <c r="AX486">
        <v>0.4308268757472053</v>
      </c>
      <c r="AY486">
        <v>0.20483483806030409</v>
      </c>
      <c r="BA486">
        <v>4.922736366426028E-3</v>
      </c>
      <c r="BB486">
        <v>27</v>
      </c>
      <c r="BC486" t="s">
        <v>86</v>
      </c>
    </row>
    <row r="487" spans="1:63" x14ac:dyDescent="0.2">
      <c r="A487">
        <v>485</v>
      </c>
      <c r="B487" t="s">
        <v>69</v>
      </c>
      <c r="C487" t="s">
        <v>81</v>
      </c>
      <c r="D487" t="s">
        <v>71</v>
      </c>
      <c r="E487">
        <v>-155.29106999999999</v>
      </c>
      <c r="F487">
        <v>19.383150000000001</v>
      </c>
      <c r="G487" t="s">
        <v>87</v>
      </c>
      <c r="H487" t="s">
        <v>504</v>
      </c>
      <c r="I487" t="s">
        <v>1048</v>
      </c>
      <c r="J487" t="s">
        <v>68</v>
      </c>
      <c r="K487">
        <v>10.68784279921875</v>
      </c>
      <c r="L487">
        <v>10.348219652343751</v>
      </c>
      <c r="M487">
        <v>347.46060269135359</v>
      </c>
      <c r="N487">
        <v>4872.8019584485737</v>
      </c>
      <c r="O487" t="s">
        <v>506</v>
      </c>
      <c r="Q487">
        <v>12.034000000000001</v>
      </c>
      <c r="R487">
        <v>1325.0039999999999</v>
      </c>
      <c r="S487">
        <v>50</v>
      </c>
      <c r="T487">
        <v>103.106093502043</v>
      </c>
      <c r="U487">
        <v>2.392065817550409E-3</v>
      </c>
      <c r="V487">
        <v>0.1409973083690588</v>
      </c>
      <c r="W487">
        <v>3.9878629449654054E-3</v>
      </c>
      <c r="X487">
        <v>0.55640387364335486</v>
      </c>
      <c r="Y487">
        <v>6.8207719369726916E-2</v>
      </c>
      <c r="Z487">
        <v>0.48007525586031852</v>
      </c>
      <c r="AA487">
        <v>2.9215459677810938E-2</v>
      </c>
      <c r="AB487">
        <v>2.0380839415603571</v>
      </c>
      <c r="AC487">
        <v>0.1178171442798135</v>
      </c>
      <c r="AD487">
        <v>1248.7309807678721</v>
      </c>
      <c r="AE487">
        <v>50</v>
      </c>
      <c r="AF487">
        <v>85.938214636910885</v>
      </c>
      <c r="AG487">
        <v>2.2102200000000001</v>
      </c>
      <c r="AH487">
        <v>12.516225</v>
      </c>
      <c r="AI487">
        <v>0.22873499999999999</v>
      </c>
      <c r="AJ487">
        <v>10.535360000000001</v>
      </c>
      <c r="AK487">
        <v>0.37534499999999998</v>
      </c>
      <c r="AL487">
        <v>2.4377900000000001</v>
      </c>
      <c r="AM487">
        <v>50.224780000000003</v>
      </c>
      <c r="AN487">
        <v>8.9844449999999991</v>
      </c>
      <c r="AP487">
        <v>0.178455</v>
      </c>
      <c r="AQ487">
        <v>99.610560000000007</v>
      </c>
      <c r="AR487">
        <v>1.7587090435884831E-2</v>
      </c>
      <c r="AS487">
        <v>0.12699126938494701</v>
      </c>
      <c r="AT487">
        <v>8.073250584491971E-3</v>
      </c>
      <c r="AU487">
        <v>6.9056800896073786E-2</v>
      </c>
      <c r="AV487">
        <v>2.248073063759274E-2</v>
      </c>
      <c r="AW487">
        <v>2.1205111412109991E-2</v>
      </c>
      <c r="AX487">
        <v>0.5052093298821787</v>
      </c>
      <c r="AY487">
        <v>0.13192220766421431</v>
      </c>
      <c r="BA487">
        <v>1.2962040734390541E-2</v>
      </c>
      <c r="BB487">
        <v>5</v>
      </c>
      <c r="BC487" t="s">
        <v>86</v>
      </c>
    </row>
    <row r="488" spans="1:63" x14ac:dyDescent="0.2">
      <c r="A488">
        <v>486</v>
      </c>
      <c r="B488" t="s">
        <v>69</v>
      </c>
      <c r="C488" t="s">
        <v>91</v>
      </c>
      <c r="D488" t="s">
        <v>92</v>
      </c>
      <c r="E488">
        <v>-155.272412745889</v>
      </c>
      <c r="F488">
        <v>19.3454197541963</v>
      </c>
      <c r="G488" t="s">
        <v>124</v>
      </c>
      <c r="H488" t="s">
        <v>1049</v>
      </c>
      <c r="I488" t="s">
        <v>1050</v>
      </c>
      <c r="J488" t="s">
        <v>68</v>
      </c>
      <c r="K488">
        <v>5.5451440460937507</v>
      </c>
      <c r="L488">
        <v>5.2151098484375007</v>
      </c>
      <c r="M488">
        <v>90.850258132072781</v>
      </c>
      <c r="N488">
        <v>651.7145625898703</v>
      </c>
      <c r="O488" t="s">
        <v>1051</v>
      </c>
      <c r="Q488">
        <v>12.031000000000001</v>
      </c>
      <c r="R488">
        <v>1325.0039999999999</v>
      </c>
      <c r="S488">
        <v>50</v>
      </c>
      <c r="T488">
        <v>103.10644136458291</v>
      </c>
      <c r="U488">
        <v>3.771515673997374E-3</v>
      </c>
      <c r="V488">
        <v>0.14113514547162959</v>
      </c>
      <c r="W488">
        <v>4.1522110096719987E-3</v>
      </c>
      <c r="X488">
        <v>0.71791219516833282</v>
      </c>
      <c r="Y488">
        <v>7.0078040337084646E-2</v>
      </c>
      <c r="Z488">
        <v>0.46708984347297039</v>
      </c>
      <c r="AA488">
        <v>2.8697497010178159E-2</v>
      </c>
      <c r="AB488">
        <v>1.985600995794413</v>
      </c>
      <c r="AC488">
        <v>0.11607196751256731</v>
      </c>
      <c r="AD488">
        <v>1205.521913679328</v>
      </c>
      <c r="AE488">
        <v>50</v>
      </c>
      <c r="AF488">
        <v>83.344338103251317</v>
      </c>
      <c r="AG488">
        <v>2.4452269230769228</v>
      </c>
      <c r="AH488">
        <v>12.97811153846154</v>
      </c>
      <c r="AJ488">
        <v>10.30404615384615</v>
      </c>
      <c r="AK488">
        <v>0.55342692307692309</v>
      </c>
      <c r="AL488">
        <v>2.900669230769231</v>
      </c>
      <c r="AM488">
        <v>50.451046153846157</v>
      </c>
      <c r="AN488">
        <v>6.0883423076923071</v>
      </c>
      <c r="AP488">
        <v>1.6526923076923071E-2</v>
      </c>
      <c r="AQ488">
        <v>97.170811538461535</v>
      </c>
      <c r="AR488">
        <v>0.14452695958247319</v>
      </c>
      <c r="AS488">
        <v>0.56238533005541524</v>
      </c>
      <c r="AU488">
        <v>0.81302815263963402</v>
      </c>
      <c r="AV488">
        <v>0.1071919159552335</v>
      </c>
      <c r="AW488">
        <v>0.48878923864523122</v>
      </c>
      <c r="AX488">
        <v>0.42567582898799372</v>
      </c>
      <c r="AY488">
        <v>0.85490953915514445</v>
      </c>
      <c r="BA488">
        <v>4.3609684880592933E-3</v>
      </c>
      <c r="BB488">
        <v>26</v>
      </c>
      <c r="BC488" t="s">
        <v>86</v>
      </c>
    </row>
    <row r="489" spans="1:63" x14ac:dyDescent="0.2">
      <c r="A489">
        <v>487</v>
      </c>
      <c r="B489" t="s">
        <v>69</v>
      </c>
      <c r="C489" t="s">
        <v>91</v>
      </c>
      <c r="D489" t="s">
        <v>92</v>
      </c>
      <c r="E489">
        <v>-155.28360000000001</v>
      </c>
      <c r="F489">
        <v>19.4285</v>
      </c>
      <c r="G489" t="s">
        <v>134</v>
      </c>
      <c r="H489" t="s">
        <v>1052</v>
      </c>
      <c r="I489" t="s">
        <v>1053</v>
      </c>
      <c r="J489" t="s">
        <v>68</v>
      </c>
      <c r="K489">
        <v>8.3570888757812494</v>
      </c>
      <c r="L489">
        <v>7.2788260648437504</v>
      </c>
      <c r="M489">
        <v>191.102441286192</v>
      </c>
      <c r="N489">
        <v>1992.041011264454</v>
      </c>
      <c r="O489" t="s">
        <v>1054</v>
      </c>
      <c r="Q489">
        <v>11.976000000000001</v>
      </c>
      <c r="R489">
        <v>1325.0039999999999</v>
      </c>
      <c r="S489">
        <v>50</v>
      </c>
      <c r="T489">
        <v>103.1075440279987</v>
      </c>
      <c r="U489">
        <v>3.4873876899263142E-3</v>
      </c>
      <c r="V489">
        <v>0.14157206498121869</v>
      </c>
      <c r="W489">
        <v>4.1141494225161133E-3</v>
      </c>
      <c r="X489">
        <v>0</v>
      </c>
      <c r="Y489">
        <v>7.3058689536686261E-2</v>
      </c>
      <c r="Z489">
        <v>0.44814435876358832</v>
      </c>
      <c r="AA489">
        <v>2.8609318929951728E-2</v>
      </c>
      <c r="AB489">
        <v>1.908784093901001</v>
      </c>
      <c r="AC489">
        <v>0.11624549604027019</v>
      </c>
      <c r="AD489">
        <v>1140.286147637192</v>
      </c>
      <c r="AE489">
        <v>50</v>
      </c>
      <c r="AF489">
        <v>75.590840851568416</v>
      </c>
      <c r="AG489">
        <v>2.5157387096774189</v>
      </c>
      <c r="AH489">
        <v>13.241580645161291</v>
      </c>
      <c r="AJ489">
        <v>11.11674838709677</v>
      </c>
      <c r="AK489">
        <v>0.71593870967741935</v>
      </c>
      <c r="AL489">
        <v>3.0286258064516129</v>
      </c>
      <c r="AM489">
        <v>48.480519354838712</v>
      </c>
      <c r="AN489">
        <v>6.4584548387096774</v>
      </c>
      <c r="AP489">
        <v>1.553225806451613E-2</v>
      </c>
      <c r="AQ489">
        <v>96.565938709677425</v>
      </c>
      <c r="AR489">
        <v>0.13894562408227509</v>
      </c>
      <c r="AS489">
        <v>0.1729350637654776</v>
      </c>
      <c r="AU489">
        <v>0.21495337769071041</v>
      </c>
      <c r="AV489">
        <v>7.7865408140882678E-2</v>
      </c>
      <c r="AW489">
        <v>0.14998665711265111</v>
      </c>
      <c r="AX489">
        <v>0.66558597962965682</v>
      </c>
      <c r="AY489">
        <v>0.26837320636097978</v>
      </c>
      <c r="BA489">
        <v>5.6058533157628621E-3</v>
      </c>
      <c r="BB489">
        <v>31</v>
      </c>
      <c r="BC489" t="s">
        <v>86</v>
      </c>
    </row>
    <row r="490" spans="1:63" x14ac:dyDescent="0.2">
      <c r="A490">
        <v>488</v>
      </c>
      <c r="B490" t="s">
        <v>69</v>
      </c>
      <c r="C490" t="s">
        <v>70</v>
      </c>
      <c r="D490" t="s">
        <v>71</v>
      </c>
      <c r="E490">
        <v>-155.29347999999999</v>
      </c>
      <c r="F490">
        <v>19.377479999999998</v>
      </c>
      <c r="G490" t="s">
        <v>112</v>
      </c>
      <c r="H490" t="s">
        <v>1055</v>
      </c>
      <c r="I490" t="s">
        <v>1056</v>
      </c>
      <c r="J490" t="s">
        <v>68</v>
      </c>
      <c r="K490">
        <v>9.148729277343751</v>
      </c>
      <c r="L490">
        <v>9.1443706640624995</v>
      </c>
      <c r="M490">
        <v>262.82366727650862</v>
      </c>
      <c r="N490">
        <v>3205.2397416373828</v>
      </c>
      <c r="Q490">
        <v>11.956</v>
      </c>
      <c r="R490">
        <v>1324.9639999999999</v>
      </c>
      <c r="S490">
        <v>100</v>
      </c>
      <c r="T490">
        <v>103.1079410225552</v>
      </c>
      <c r="U490">
        <v>6.389393367161534E-3</v>
      </c>
      <c r="V490">
        <v>0.1417293701610802</v>
      </c>
      <c r="W490">
        <v>4.6292266460770748E-3</v>
      </c>
      <c r="X490">
        <v>0</v>
      </c>
      <c r="Y490">
        <v>6.5159583572074631E-2</v>
      </c>
      <c r="Z490">
        <v>0.50356318423032775</v>
      </c>
      <c r="AA490">
        <v>2.991367927118619E-2</v>
      </c>
      <c r="AB490">
        <v>2.1326707296329568</v>
      </c>
      <c r="AC490">
        <v>0.11998743576391629</v>
      </c>
      <c r="AD490">
        <v>1315.580800759745</v>
      </c>
      <c r="AE490">
        <v>50</v>
      </c>
      <c r="AF490">
        <v>88.882723529496829</v>
      </c>
      <c r="AG490">
        <v>2.1280100000000002</v>
      </c>
      <c r="AH490">
        <v>12.511455</v>
      </c>
      <c r="AI490">
        <v>0.21128</v>
      </c>
      <c r="AJ490">
        <v>10.547185000000001</v>
      </c>
      <c r="AK490">
        <v>0.43435000000000001</v>
      </c>
      <c r="AL490">
        <v>2.4173399999999998</v>
      </c>
      <c r="AM490">
        <v>50.003889999999998</v>
      </c>
      <c r="AN490">
        <v>8.5805450000000008</v>
      </c>
      <c r="AO490">
        <v>11.0444</v>
      </c>
      <c r="AP490">
        <v>0.37786999999999998</v>
      </c>
      <c r="AQ490">
        <v>98.290260000000004</v>
      </c>
      <c r="AR490">
        <v>4.7093422517846893E-2</v>
      </c>
      <c r="AS490">
        <v>0.17423154844121161</v>
      </c>
      <c r="AT490">
        <v>2.1925114974993089E-2</v>
      </c>
      <c r="AU490">
        <v>0.1853741817244248</v>
      </c>
      <c r="AV490">
        <v>1.0520403456564249E-2</v>
      </c>
      <c r="AW490">
        <v>3.5166562401109248E-2</v>
      </c>
      <c r="AX490">
        <v>0.46106226248619608</v>
      </c>
      <c r="AY490">
        <v>0.4051107053427907</v>
      </c>
      <c r="AZ490">
        <v>0.14841023100402101</v>
      </c>
      <c r="BA490">
        <v>1.7068639208924791E-2</v>
      </c>
      <c r="BD490" t="s">
        <v>1057</v>
      </c>
      <c r="BE490">
        <v>8.9806391716692927E-2</v>
      </c>
      <c r="BF490">
        <v>3343</v>
      </c>
      <c r="BG490">
        <v>164262.72821356071</v>
      </c>
      <c r="BH490">
        <v>56.646579506608603</v>
      </c>
      <c r="BI490">
        <v>228.66230629882449</v>
      </c>
      <c r="BJ490">
        <v>0.97972796070963997</v>
      </c>
      <c r="BK490">
        <v>56.646579506608603</v>
      </c>
    </row>
    <row r="491" spans="1:63" x14ac:dyDescent="0.2">
      <c r="A491">
        <v>489</v>
      </c>
      <c r="B491" t="s">
        <v>69</v>
      </c>
      <c r="C491" t="s">
        <v>81</v>
      </c>
      <c r="D491" t="s">
        <v>71</v>
      </c>
      <c r="E491">
        <v>-155.29106999999999</v>
      </c>
      <c r="F491">
        <v>19.383150000000001</v>
      </c>
      <c r="G491" t="s">
        <v>87</v>
      </c>
      <c r="H491" t="s">
        <v>504</v>
      </c>
      <c r="I491" t="s">
        <v>1058</v>
      </c>
      <c r="J491" t="s">
        <v>68</v>
      </c>
      <c r="K491">
        <v>14.293752624218749</v>
      </c>
      <c r="L491">
        <v>13.26174922890625</v>
      </c>
      <c r="M491">
        <v>595.52081499899919</v>
      </c>
      <c r="N491">
        <v>10939.91661418629</v>
      </c>
      <c r="O491" t="s">
        <v>506</v>
      </c>
      <c r="Q491">
        <v>12.045999999999999</v>
      </c>
      <c r="R491">
        <v>1325.0039999999999</v>
      </c>
      <c r="S491">
        <v>50</v>
      </c>
      <c r="T491">
        <v>103.1080511558541</v>
      </c>
      <c r="U491">
        <v>2.407579884165826E-3</v>
      </c>
      <c r="V491">
        <v>0.14177300939520879</v>
      </c>
      <c r="W491">
        <v>3.9913736469952841E-3</v>
      </c>
      <c r="X491">
        <v>0</v>
      </c>
      <c r="Y491">
        <v>6.776212095200429E-2</v>
      </c>
      <c r="Z491">
        <v>0.48332829298253582</v>
      </c>
      <c r="AA491">
        <v>2.9304735903884851E-2</v>
      </c>
      <c r="AB491">
        <v>2.0512104069587478</v>
      </c>
      <c r="AC491">
        <v>0.1181009460022006</v>
      </c>
      <c r="AD491">
        <v>1250.3492697160921</v>
      </c>
      <c r="AE491">
        <v>50</v>
      </c>
      <c r="AF491">
        <v>86.021586673057584</v>
      </c>
      <c r="AG491">
        <v>2.2102200000000001</v>
      </c>
      <c r="AH491">
        <v>12.516225</v>
      </c>
      <c r="AI491">
        <v>0.22873499999999999</v>
      </c>
      <c r="AJ491">
        <v>10.535360000000001</v>
      </c>
      <c r="AK491">
        <v>0.37534499999999998</v>
      </c>
      <c r="AL491">
        <v>2.4377900000000001</v>
      </c>
      <c r="AM491">
        <v>50.224780000000003</v>
      </c>
      <c r="AN491">
        <v>8.9844449999999991</v>
      </c>
      <c r="AP491">
        <v>0.178455</v>
      </c>
      <c r="AQ491">
        <v>99.610560000000007</v>
      </c>
      <c r="AR491">
        <v>1.7587090435884831E-2</v>
      </c>
      <c r="AS491">
        <v>0.12699126938494701</v>
      </c>
      <c r="AT491">
        <v>8.073250584491971E-3</v>
      </c>
      <c r="AU491">
        <v>6.9056800896073786E-2</v>
      </c>
      <c r="AV491">
        <v>2.248073063759274E-2</v>
      </c>
      <c r="AW491">
        <v>2.1205111412109991E-2</v>
      </c>
      <c r="AX491">
        <v>0.5052093298821787</v>
      </c>
      <c r="AY491">
        <v>0.13192220766421431</v>
      </c>
      <c r="BA491">
        <v>1.2962040734390541E-2</v>
      </c>
      <c r="BB491">
        <v>5</v>
      </c>
      <c r="BC491" t="s">
        <v>86</v>
      </c>
    </row>
    <row r="492" spans="1:63" x14ac:dyDescent="0.2">
      <c r="A492">
        <v>490</v>
      </c>
      <c r="B492" t="s">
        <v>69</v>
      </c>
      <c r="C492" t="s">
        <v>91</v>
      </c>
      <c r="D492" t="s">
        <v>92</v>
      </c>
      <c r="E492">
        <v>-155.28360000000001</v>
      </c>
      <c r="F492">
        <v>19.4285</v>
      </c>
      <c r="G492" t="s">
        <v>93</v>
      </c>
      <c r="H492" t="s">
        <v>943</v>
      </c>
      <c r="I492" t="s">
        <v>1059</v>
      </c>
      <c r="J492" t="s">
        <v>68</v>
      </c>
      <c r="K492">
        <v>18.791086037500001</v>
      </c>
      <c r="L492">
        <v>17.684753757031249</v>
      </c>
      <c r="M492">
        <v>1044.000654156554</v>
      </c>
      <c r="N492">
        <v>25387.200404266849</v>
      </c>
      <c r="Q492">
        <v>9.0285000000000011</v>
      </c>
      <c r="R492">
        <v>1325.0039999999999</v>
      </c>
      <c r="S492">
        <v>50</v>
      </c>
      <c r="T492">
        <v>103.10837077338429</v>
      </c>
      <c r="U492">
        <v>1.8072817834828129E-3</v>
      </c>
      <c r="V492">
        <v>0.14189965469107341</v>
      </c>
      <c r="W492">
        <v>3.9422326293892911E-3</v>
      </c>
      <c r="X492">
        <v>0</v>
      </c>
      <c r="Y492">
        <v>7.1465501244863172E-2</v>
      </c>
      <c r="Z492">
        <v>0.45803787182599992</v>
      </c>
      <c r="AA492">
        <v>2.54926153935278E-2</v>
      </c>
      <c r="AB492">
        <v>1.948935051149451</v>
      </c>
      <c r="AC492">
        <v>0.1033227518333617</v>
      </c>
      <c r="AD492">
        <v>1168.3671658569569</v>
      </c>
      <c r="AE492">
        <v>50</v>
      </c>
      <c r="AF492">
        <v>80.089286775762787</v>
      </c>
      <c r="AG492">
        <v>2.1005484848484852</v>
      </c>
      <c r="AH492">
        <v>12.543751515151509</v>
      </c>
      <c r="AJ492">
        <v>10.35766363636364</v>
      </c>
      <c r="AK492">
        <v>0.36914545454545461</v>
      </c>
      <c r="AL492">
        <v>2.199157575757575</v>
      </c>
      <c r="AM492">
        <v>49.88770303030303</v>
      </c>
      <c r="AN492">
        <v>8.5799181818181811</v>
      </c>
      <c r="AP492">
        <v>1.6854545454545459E-2</v>
      </c>
      <c r="AQ492">
        <v>97.165912121212131</v>
      </c>
      <c r="AR492">
        <v>0.12875285220435931</v>
      </c>
      <c r="AS492">
        <v>0.27438160598108169</v>
      </c>
      <c r="AU492">
        <v>0.23223845883350949</v>
      </c>
      <c r="AV492">
        <v>3.2777460728649822E-2</v>
      </c>
      <c r="AW492">
        <v>6.9021124620940399E-2</v>
      </c>
      <c r="AX492">
        <v>0.52796007335122563</v>
      </c>
      <c r="AY492">
        <v>0.70241800520351916</v>
      </c>
      <c r="BA492">
        <v>4.4618585609790254E-3</v>
      </c>
      <c r="BB492">
        <v>33</v>
      </c>
      <c r="BC492" t="s">
        <v>86</v>
      </c>
    </row>
    <row r="493" spans="1:63" x14ac:dyDescent="0.2">
      <c r="A493">
        <v>491</v>
      </c>
      <c r="B493" t="s">
        <v>69</v>
      </c>
      <c r="C493" t="s">
        <v>70</v>
      </c>
      <c r="D493" t="s">
        <v>71</v>
      </c>
      <c r="E493">
        <v>-155.29347999999999</v>
      </c>
      <c r="F493">
        <v>19.377479999999998</v>
      </c>
      <c r="G493" t="s">
        <v>112</v>
      </c>
      <c r="H493" t="s">
        <v>1060</v>
      </c>
      <c r="I493" t="s">
        <v>1061</v>
      </c>
      <c r="J493" t="s">
        <v>68</v>
      </c>
      <c r="K493">
        <v>18.453438795312501</v>
      </c>
      <c r="L493">
        <v>17.718227907031249</v>
      </c>
      <c r="M493">
        <v>1027.182153101624</v>
      </c>
      <c r="N493">
        <v>24769.926989725169</v>
      </c>
      <c r="Q493">
        <v>12.026999999999999</v>
      </c>
      <c r="R493">
        <v>1324.9639999999999</v>
      </c>
      <c r="S493">
        <v>50</v>
      </c>
      <c r="T493">
        <v>103.1085841824335</v>
      </c>
      <c r="U493">
        <v>1.9885848522045411E-2</v>
      </c>
      <c r="V493">
        <v>0.14198421592325161</v>
      </c>
      <c r="W493">
        <v>8.7814074811282186E-3</v>
      </c>
      <c r="X493">
        <v>0</v>
      </c>
      <c r="Y493">
        <v>6.5145240663497583E-2</v>
      </c>
      <c r="Z493">
        <v>0.50368607966673351</v>
      </c>
      <c r="AA493">
        <v>4.0426721677817037E-2</v>
      </c>
      <c r="AB493">
        <v>2.1331644763094149</v>
      </c>
      <c r="AC493">
        <v>0.1623750071137981</v>
      </c>
      <c r="AD493">
        <v>1312.917190724176</v>
      </c>
      <c r="AE493">
        <v>50</v>
      </c>
      <c r="AF493">
        <v>88.780859262275669</v>
      </c>
      <c r="AG493">
        <v>2.1280100000000002</v>
      </c>
      <c r="AH493">
        <v>12.511455</v>
      </c>
      <c r="AI493">
        <v>0.21128</v>
      </c>
      <c r="AJ493">
        <v>10.547185000000001</v>
      </c>
      <c r="AK493">
        <v>0.43435000000000001</v>
      </c>
      <c r="AL493">
        <v>2.4173399999999998</v>
      </c>
      <c r="AM493">
        <v>50.003889999999998</v>
      </c>
      <c r="AN493">
        <v>8.5805450000000008</v>
      </c>
      <c r="AO493">
        <v>11.0444</v>
      </c>
      <c r="AP493">
        <v>0.37786999999999998</v>
      </c>
      <c r="AQ493">
        <v>98.290260000000004</v>
      </c>
      <c r="AR493">
        <v>4.7093422517846893E-2</v>
      </c>
      <c r="AS493">
        <v>0.17423154844121161</v>
      </c>
      <c r="AT493">
        <v>2.1925114974993089E-2</v>
      </c>
      <c r="AU493">
        <v>0.1853741817244248</v>
      </c>
      <c r="AV493">
        <v>1.0520403456564249E-2</v>
      </c>
      <c r="AW493">
        <v>3.5166562401109248E-2</v>
      </c>
      <c r="AX493">
        <v>0.46106226248619608</v>
      </c>
      <c r="AY493">
        <v>0.4051107053427907</v>
      </c>
      <c r="AZ493">
        <v>0.14841023100402101</v>
      </c>
      <c r="BA493">
        <v>1.7068639208924791E-2</v>
      </c>
      <c r="BD493" t="s">
        <v>1062</v>
      </c>
      <c r="BE493">
        <v>0.74095207590741397</v>
      </c>
      <c r="BF493">
        <v>13180</v>
      </c>
      <c r="BG493">
        <v>1322702.517348143</v>
      </c>
      <c r="BH493">
        <v>1951.6771865074629</v>
      </c>
      <c r="BI493">
        <v>648.86769664709072</v>
      </c>
      <c r="BJ493">
        <v>17.000053200697099</v>
      </c>
      <c r="BK493">
        <v>1951.6771865074629</v>
      </c>
    </row>
    <row r="494" spans="1:63" x14ac:dyDescent="0.2">
      <c r="A494">
        <v>492</v>
      </c>
      <c r="B494" t="s">
        <v>69</v>
      </c>
      <c r="C494" t="s">
        <v>91</v>
      </c>
      <c r="D494" t="s">
        <v>92</v>
      </c>
      <c r="E494">
        <v>-155.28360000000001</v>
      </c>
      <c r="F494">
        <v>19.4285</v>
      </c>
      <c r="G494" t="s">
        <v>212</v>
      </c>
      <c r="H494" t="s">
        <v>1063</v>
      </c>
      <c r="I494" t="s">
        <v>1064</v>
      </c>
      <c r="J494" t="s">
        <v>68</v>
      </c>
      <c r="K494">
        <v>8.9729318750000004</v>
      </c>
      <c r="L494">
        <v>7.6404747375000008</v>
      </c>
      <c r="M494">
        <v>215.3796105241332</v>
      </c>
      <c r="N494">
        <v>2385.4593637862072</v>
      </c>
      <c r="O494" t="s">
        <v>1065</v>
      </c>
      <c r="Q494">
        <v>12.077</v>
      </c>
      <c r="R494">
        <v>1325.0039999999999</v>
      </c>
      <c r="S494">
        <v>50</v>
      </c>
      <c r="T494">
        <v>103.108754381183</v>
      </c>
      <c r="U494">
        <v>2.1980217081446021E-3</v>
      </c>
      <c r="V494">
        <v>0.14205165550011151</v>
      </c>
      <c r="W494">
        <v>3.9730908531534371E-3</v>
      </c>
      <c r="X494">
        <v>0</v>
      </c>
      <c r="Y494">
        <v>6.8948103849263198E-2</v>
      </c>
      <c r="Z494">
        <v>0.47483855553597831</v>
      </c>
      <c r="AA494">
        <v>4.1345823522349737E-2</v>
      </c>
      <c r="AB494">
        <v>2.0169352232050621</v>
      </c>
      <c r="AC494">
        <v>0.16716875741386311</v>
      </c>
      <c r="AD494">
        <v>1220.1822987351841</v>
      </c>
      <c r="AE494">
        <v>100</v>
      </c>
      <c r="AG494">
        <v>2.1021777777777779</v>
      </c>
      <c r="AH494">
        <v>12.18196296296296</v>
      </c>
      <c r="AJ494">
        <v>10.35145925925926</v>
      </c>
      <c r="AK494">
        <v>0.4553962962962963</v>
      </c>
      <c r="AL494">
        <v>2.3345296296296301</v>
      </c>
      <c r="AM494">
        <v>49.209007407407412</v>
      </c>
      <c r="AN494">
        <v>9.4706370370370365</v>
      </c>
      <c r="AP494">
        <v>1.7722222222222219E-2</v>
      </c>
      <c r="AQ494">
        <v>97.341288888888897</v>
      </c>
      <c r="AR494">
        <v>3.1603703937420069E-2</v>
      </c>
      <c r="AS494">
        <v>0.1308813941885143</v>
      </c>
      <c r="AU494">
        <v>0.12790190128874709</v>
      </c>
      <c r="AV494">
        <v>3.4622563579722238E-2</v>
      </c>
      <c r="AW494">
        <v>4.9585767303615608E-2</v>
      </c>
      <c r="AX494">
        <v>0.4308268757472053</v>
      </c>
      <c r="AY494">
        <v>0.20483483806030409</v>
      </c>
      <c r="BA494">
        <v>4.922736366426028E-3</v>
      </c>
      <c r="BB494">
        <v>27</v>
      </c>
      <c r="BC494" t="s">
        <v>86</v>
      </c>
    </row>
    <row r="495" spans="1:63" x14ac:dyDescent="0.2">
      <c r="A495">
        <v>493</v>
      </c>
      <c r="B495" t="s">
        <v>69</v>
      </c>
      <c r="C495" t="s">
        <v>236</v>
      </c>
      <c r="D495" t="s">
        <v>64</v>
      </c>
      <c r="E495">
        <v>-155.292979</v>
      </c>
      <c r="F495">
        <v>19.400748</v>
      </c>
      <c r="G495" t="s">
        <v>237</v>
      </c>
      <c r="H495" t="s">
        <v>1066</v>
      </c>
      <c r="I495" t="s">
        <v>1067</v>
      </c>
      <c r="J495" t="s">
        <v>68</v>
      </c>
      <c r="K495">
        <v>3.994756244531251</v>
      </c>
      <c r="L495">
        <v>3.9688951390625</v>
      </c>
      <c r="M495">
        <v>49.809224685862183</v>
      </c>
      <c r="N495">
        <v>264.44220072353221</v>
      </c>
      <c r="Q495">
        <v>9.9039999999999999</v>
      </c>
      <c r="R495">
        <v>1324.9639999999999</v>
      </c>
      <c r="S495">
        <v>50</v>
      </c>
      <c r="T495">
        <v>103.10963137688211</v>
      </c>
      <c r="U495">
        <v>4.3980257839486723E-3</v>
      </c>
      <c r="V495">
        <v>0.14239915640135339</v>
      </c>
      <c r="W495">
        <v>4.251028906758901E-3</v>
      </c>
      <c r="X495">
        <v>0</v>
      </c>
      <c r="Y495">
        <v>6.9900507440895487E-2</v>
      </c>
      <c r="Z495">
        <v>0.46830474841655889</v>
      </c>
      <c r="AA495">
        <v>2.8504004336921501E-2</v>
      </c>
      <c r="AB495">
        <v>1.990517035775855</v>
      </c>
      <c r="AC495">
        <v>0.11525522063799171</v>
      </c>
      <c r="AD495">
        <v>1195.636481461283</v>
      </c>
      <c r="AE495">
        <v>50</v>
      </c>
      <c r="AF495">
        <v>82.611521531636029</v>
      </c>
      <c r="AG495">
        <v>2.0274999999999999</v>
      </c>
      <c r="AH495">
        <v>12.7525</v>
      </c>
      <c r="AI495">
        <v>0.17249999999999999</v>
      </c>
      <c r="AJ495">
        <v>11.092499999999999</v>
      </c>
      <c r="AK495">
        <v>0.51750000000000007</v>
      </c>
      <c r="AL495">
        <v>2.5150000000000001</v>
      </c>
      <c r="AM495">
        <v>50.63</v>
      </c>
      <c r="AN495">
        <v>7.415</v>
      </c>
      <c r="AP495">
        <v>1685.75</v>
      </c>
      <c r="AR495">
        <v>0.17231270024773751</v>
      </c>
      <c r="AS495">
        <v>0.13450526631573459</v>
      </c>
      <c r="AT495">
        <v>4.9999999999999836E-3</v>
      </c>
      <c r="AU495">
        <v>0.29227555491350982</v>
      </c>
      <c r="AV495">
        <v>2.061552812808835E-2</v>
      </c>
      <c r="AW495">
        <v>6.2449979983983737E-2</v>
      </c>
      <c r="AX495">
        <v>0.21556128285632961</v>
      </c>
      <c r="AY495">
        <v>0.39770173078158311</v>
      </c>
      <c r="BA495">
        <v>51.951098801340748</v>
      </c>
      <c r="BE495">
        <v>0.29142087382599402</v>
      </c>
      <c r="BF495">
        <v>1138</v>
      </c>
      <c r="BG495">
        <v>28608.710611502389</v>
      </c>
      <c r="BH495">
        <v>185.31949636987281</v>
      </c>
      <c r="BI495">
        <v>95.427644939044427</v>
      </c>
      <c r="BJ495">
        <v>5.4935107695699266</v>
      </c>
      <c r="BK495">
        <v>185.31949636987289</v>
      </c>
    </row>
    <row r="496" spans="1:63" x14ac:dyDescent="0.2">
      <c r="A496">
        <v>494</v>
      </c>
      <c r="B496" t="s">
        <v>69</v>
      </c>
      <c r="C496" t="s">
        <v>308</v>
      </c>
      <c r="D496" t="s">
        <v>64</v>
      </c>
      <c r="E496">
        <v>-155.2774</v>
      </c>
      <c r="F496">
        <v>19.402283329999999</v>
      </c>
      <c r="G496" t="s">
        <v>309</v>
      </c>
      <c r="H496" t="s">
        <v>1068</v>
      </c>
      <c r="I496" t="s">
        <v>1069</v>
      </c>
      <c r="J496" t="s">
        <v>68</v>
      </c>
      <c r="K496">
        <v>6.6371219601562501</v>
      </c>
      <c r="L496">
        <v>6.5761594890625004</v>
      </c>
      <c r="M496">
        <v>137.12038002220629</v>
      </c>
      <c r="N496">
        <v>1207.8734491048299</v>
      </c>
      <c r="O496" t="s">
        <v>1070</v>
      </c>
      <c r="Q496">
        <v>10.038</v>
      </c>
      <c r="R496">
        <v>1324.9639999999999</v>
      </c>
      <c r="S496">
        <v>50</v>
      </c>
      <c r="T496">
        <v>103.10969934628611</v>
      </c>
      <c r="U496">
        <v>1.0616108285189659E-2</v>
      </c>
      <c r="V496">
        <v>0.1424260886077349</v>
      </c>
      <c r="W496">
        <v>5.7209955769371573E-3</v>
      </c>
      <c r="X496">
        <v>0</v>
      </c>
      <c r="Y496">
        <v>6.5689421368416379E-2</v>
      </c>
      <c r="Z496">
        <v>0.49925722062961347</v>
      </c>
      <c r="AA496">
        <v>3.2820250218936919E-2</v>
      </c>
      <c r="AB496">
        <v>2.1153634358179509</v>
      </c>
      <c r="AC496">
        <v>0.13185892810871069</v>
      </c>
      <c r="AD496">
        <v>1293.575813676372</v>
      </c>
      <c r="AE496">
        <v>50</v>
      </c>
      <c r="AF496">
        <v>88.008722761911429</v>
      </c>
      <c r="AG496">
        <v>2.3267000000000002</v>
      </c>
      <c r="AH496">
        <v>13.5229384615385</v>
      </c>
      <c r="AI496">
        <v>0.27728461538461502</v>
      </c>
      <c r="AJ496">
        <v>10.5531076923077</v>
      </c>
      <c r="AK496">
        <v>0.54219230769230797</v>
      </c>
      <c r="AL496">
        <v>2.8134692307692299</v>
      </c>
      <c r="AM496">
        <v>49.582307692307701</v>
      </c>
      <c r="AN496">
        <v>6.2924769230769204</v>
      </c>
      <c r="AP496">
        <v>0.17131538461538501</v>
      </c>
      <c r="AQ496">
        <v>97.508507692307774</v>
      </c>
      <c r="AR496">
        <v>0.15754459157119099</v>
      </c>
      <c r="AS496">
        <v>0.25828299253100101</v>
      </c>
      <c r="AT496">
        <v>3.3931029215008297E-2</v>
      </c>
      <c r="AU496">
        <v>0.14495579476480899</v>
      </c>
      <c r="AV496">
        <v>5.80211091118061E-2</v>
      </c>
      <c r="AW496">
        <v>5.1717153579436098E-2</v>
      </c>
      <c r="AX496">
        <v>0.58735311988266403</v>
      </c>
      <c r="AY496">
        <v>0.17920673421984901</v>
      </c>
      <c r="BA496">
        <v>4.0360043073850597E-2</v>
      </c>
      <c r="BE496">
        <v>0.12623464359938019</v>
      </c>
      <c r="BF496">
        <v>28469</v>
      </c>
      <c r="BG496">
        <v>256562.32435630471</v>
      </c>
      <c r="BH496">
        <v>99.575930491623424</v>
      </c>
      <c r="BI496">
        <v>285.7732042457867</v>
      </c>
      <c r="BJ496">
        <v>0.59015795721178088</v>
      </c>
      <c r="BK496">
        <v>99.575930491623424</v>
      </c>
    </row>
    <row r="497" spans="1:63" x14ac:dyDescent="0.2">
      <c r="A497">
        <v>495</v>
      </c>
      <c r="B497" t="s">
        <v>69</v>
      </c>
      <c r="C497" t="s">
        <v>81</v>
      </c>
      <c r="D497" t="s">
        <v>71</v>
      </c>
      <c r="E497">
        <v>-155.29106999999999</v>
      </c>
      <c r="F497">
        <v>19.383150000000001</v>
      </c>
      <c r="G497" t="s">
        <v>87</v>
      </c>
      <c r="H497" t="s">
        <v>1071</v>
      </c>
      <c r="I497" t="s">
        <v>1072</v>
      </c>
      <c r="J497" t="s">
        <v>68</v>
      </c>
      <c r="K497">
        <v>30.38284711640625</v>
      </c>
      <c r="L497">
        <v>17.827425698437501</v>
      </c>
      <c r="M497">
        <v>1701.6372189017511</v>
      </c>
      <c r="N497">
        <v>54690.929703430258</v>
      </c>
      <c r="O497" t="s">
        <v>1073</v>
      </c>
      <c r="Q497">
        <v>12.042999999999999</v>
      </c>
      <c r="R497">
        <v>1325.0039999999999</v>
      </c>
      <c r="S497">
        <v>50</v>
      </c>
      <c r="T497">
        <v>103.11086111675991</v>
      </c>
      <c r="U497">
        <v>1.195452863876996E-2</v>
      </c>
      <c r="V497">
        <v>0.14288642870644</v>
      </c>
      <c r="W497">
        <v>6.1223122702427184E-3</v>
      </c>
      <c r="X497">
        <v>0</v>
      </c>
      <c r="Y497">
        <v>6.7061470110604482E-2</v>
      </c>
      <c r="Z497">
        <v>0.48856598135733731</v>
      </c>
      <c r="AA497">
        <v>3.1469062946856169E-2</v>
      </c>
      <c r="AB497">
        <v>2.072327366412932</v>
      </c>
      <c r="AC497">
        <v>0.12674425344179199</v>
      </c>
      <c r="AD497">
        <v>1254.4083900431369</v>
      </c>
      <c r="AE497">
        <v>50</v>
      </c>
      <c r="AF497">
        <v>86.227359797184505</v>
      </c>
      <c r="AG497">
        <v>2.2102200000000001</v>
      </c>
      <c r="AH497">
        <v>12.516225</v>
      </c>
      <c r="AI497">
        <v>0.22873499999999999</v>
      </c>
      <c r="AJ497">
        <v>10.535360000000001</v>
      </c>
      <c r="AK497">
        <v>0.37534499999999998</v>
      </c>
      <c r="AL497">
        <v>2.4377900000000001</v>
      </c>
      <c r="AM497">
        <v>50.224780000000003</v>
      </c>
      <c r="AN497">
        <v>8.9844449999999991</v>
      </c>
      <c r="AP497">
        <v>0.178455</v>
      </c>
      <c r="AQ497">
        <v>99.610560000000007</v>
      </c>
      <c r="AR497">
        <v>1.7587090435884831E-2</v>
      </c>
      <c r="AS497">
        <v>0.12699126938494701</v>
      </c>
      <c r="AT497">
        <v>8.073250584491971E-3</v>
      </c>
      <c r="AU497">
        <v>6.9056800896073786E-2</v>
      </c>
      <c r="AV497">
        <v>2.248073063759274E-2</v>
      </c>
      <c r="AW497">
        <v>2.1205111412109991E-2</v>
      </c>
      <c r="AX497">
        <v>0.5052093298821787</v>
      </c>
      <c r="AY497">
        <v>0.13192220766421431</v>
      </c>
      <c r="BA497">
        <v>1.2962040734390541E-2</v>
      </c>
      <c r="BB497">
        <v>5</v>
      </c>
      <c r="BC497" t="s">
        <v>86</v>
      </c>
    </row>
    <row r="498" spans="1:63" x14ac:dyDescent="0.2">
      <c r="A498">
        <v>496</v>
      </c>
      <c r="B498" t="s">
        <v>62</v>
      </c>
      <c r="C498" t="s">
        <v>63</v>
      </c>
      <c r="D498" t="s">
        <v>64</v>
      </c>
      <c r="E498">
        <v>-155.26785000000001</v>
      </c>
      <c r="F498">
        <v>19.407830000000001</v>
      </c>
      <c r="G498" t="s">
        <v>65</v>
      </c>
      <c r="H498" t="s">
        <v>1074</v>
      </c>
      <c r="I498" t="s">
        <v>1075</v>
      </c>
      <c r="J498" t="s">
        <v>68</v>
      </c>
      <c r="K498">
        <v>13.9130422828125</v>
      </c>
      <c r="L498">
        <v>12.982972323437499</v>
      </c>
      <c r="M498">
        <v>567.47418390980772</v>
      </c>
      <c r="N498">
        <v>10175.195959405321</v>
      </c>
      <c r="Q498">
        <v>12.211</v>
      </c>
      <c r="R498">
        <v>1325.0039999999999</v>
      </c>
      <c r="S498">
        <v>50</v>
      </c>
      <c r="T498">
        <v>103.11094439999999</v>
      </c>
      <c r="U498">
        <v>1.876606452E-3</v>
      </c>
      <c r="V498">
        <v>0.1429194104</v>
      </c>
      <c r="W498">
        <v>3.9503948660000003E-3</v>
      </c>
      <c r="X498">
        <v>0</v>
      </c>
      <c r="Y498">
        <v>6.6568342570382688E-2</v>
      </c>
      <c r="Z498">
        <v>0.49233574021775661</v>
      </c>
      <c r="AA498">
        <v>2.580954848921399E-2</v>
      </c>
      <c r="AB498">
        <v>2.087512422133821</v>
      </c>
      <c r="AC498">
        <v>0.10376624064970499</v>
      </c>
      <c r="AD498">
        <v>1265.953461986875</v>
      </c>
      <c r="AE498">
        <v>50</v>
      </c>
      <c r="AF498">
        <v>86.788399569999996</v>
      </c>
      <c r="BE498">
        <v>0.74941810157815469</v>
      </c>
      <c r="BF498">
        <v>624</v>
      </c>
      <c r="BG498">
        <v>75113.862155208626</v>
      </c>
      <c r="BH498">
        <v>296.5229258571361</v>
      </c>
      <c r="BI498">
        <v>154.62692169686821</v>
      </c>
      <c r="BJ498">
        <v>11.870417169596481</v>
      </c>
      <c r="BK498">
        <v>296.5229258571361</v>
      </c>
    </row>
    <row r="499" spans="1:63" x14ac:dyDescent="0.2">
      <c r="A499">
        <v>497</v>
      </c>
      <c r="B499" t="s">
        <v>69</v>
      </c>
      <c r="C499" t="s">
        <v>91</v>
      </c>
      <c r="D499" t="s">
        <v>92</v>
      </c>
      <c r="E499">
        <v>-155.28360000000001</v>
      </c>
      <c r="F499">
        <v>19.4285</v>
      </c>
      <c r="G499" t="s">
        <v>212</v>
      </c>
      <c r="H499" t="s">
        <v>962</v>
      </c>
      <c r="I499" t="s">
        <v>1076</v>
      </c>
      <c r="J499" t="s">
        <v>68</v>
      </c>
      <c r="K499">
        <v>7.9326180570312497</v>
      </c>
      <c r="L499">
        <v>5.9206240515625002</v>
      </c>
      <c r="M499">
        <v>147.54819532435201</v>
      </c>
      <c r="N499">
        <v>1362.6805816762189</v>
      </c>
      <c r="O499" t="s">
        <v>964</v>
      </c>
      <c r="Q499">
        <v>11.96</v>
      </c>
      <c r="R499">
        <v>1325.0039999999999</v>
      </c>
      <c r="S499">
        <v>50</v>
      </c>
      <c r="T499">
        <v>103.110992264177</v>
      </c>
      <c r="U499">
        <v>6.2112132301509757E-3</v>
      </c>
      <c r="V499">
        <v>0.14293839457773319</v>
      </c>
      <c r="W499">
        <v>4.5938133388499719E-3</v>
      </c>
      <c r="X499">
        <v>0</v>
      </c>
      <c r="Y499">
        <v>6.7480635484658769E-2</v>
      </c>
      <c r="Z499">
        <v>0.48542619562082862</v>
      </c>
      <c r="AA499">
        <v>2.884795088226531E-2</v>
      </c>
      <c r="AB499">
        <v>2.0596712317699519</v>
      </c>
      <c r="AC499">
        <v>0.1162499032316012</v>
      </c>
      <c r="AD499">
        <v>1243.9017395063011</v>
      </c>
      <c r="AE499">
        <v>50</v>
      </c>
      <c r="AF499">
        <v>85.684665860150105</v>
      </c>
      <c r="AG499">
        <v>2.1021777777777779</v>
      </c>
      <c r="AH499">
        <v>12.18196296296296</v>
      </c>
      <c r="AJ499">
        <v>10.35145925925926</v>
      </c>
      <c r="AK499">
        <v>0.4553962962962963</v>
      </c>
      <c r="AL499">
        <v>2.3345296296296301</v>
      </c>
      <c r="AM499">
        <v>49.209007407407412</v>
      </c>
      <c r="AN499">
        <v>9.4706370370370365</v>
      </c>
      <c r="AP499">
        <v>1.7722222222222219E-2</v>
      </c>
      <c r="AQ499">
        <v>97.341288888888897</v>
      </c>
      <c r="AR499">
        <v>3.1603703937420069E-2</v>
      </c>
      <c r="AS499">
        <v>0.1308813941885143</v>
      </c>
      <c r="AU499">
        <v>0.12790190128874709</v>
      </c>
      <c r="AV499">
        <v>3.4622563579722238E-2</v>
      </c>
      <c r="AW499">
        <v>4.9585767303615608E-2</v>
      </c>
      <c r="AX499">
        <v>0.4308268757472053</v>
      </c>
      <c r="AY499">
        <v>0.20483483806030409</v>
      </c>
      <c r="BA499">
        <v>4.922736366426028E-3</v>
      </c>
      <c r="BB499">
        <v>27</v>
      </c>
      <c r="BC499" t="s">
        <v>86</v>
      </c>
    </row>
    <row r="500" spans="1:63" x14ac:dyDescent="0.2">
      <c r="A500">
        <v>498</v>
      </c>
      <c r="B500" t="s">
        <v>69</v>
      </c>
      <c r="C500" t="s">
        <v>76</v>
      </c>
      <c r="D500" t="s">
        <v>71</v>
      </c>
      <c r="E500">
        <v>-155.29812000000001</v>
      </c>
      <c r="F500">
        <v>19.375624999999999</v>
      </c>
      <c r="G500" t="s">
        <v>77</v>
      </c>
      <c r="H500" t="s">
        <v>767</v>
      </c>
      <c r="I500" t="s">
        <v>1077</v>
      </c>
      <c r="J500" t="s">
        <v>68</v>
      </c>
      <c r="K500">
        <v>3.6177071382812498</v>
      </c>
      <c r="L500">
        <v>3.5207134640625002</v>
      </c>
      <c r="M500">
        <v>40.014183610456818</v>
      </c>
      <c r="N500">
        <v>190.42538178056711</v>
      </c>
      <c r="Q500">
        <v>11.813000000000001</v>
      </c>
      <c r="R500">
        <v>1324.9639999999999</v>
      </c>
      <c r="S500">
        <v>50</v>
      </c>
      <c r="T500">
        <v>103.1112807757727</v>
      </c>
      <c r="U500">
        <v>3.274652409906324E-3</v>
      </c>
      <c r="V500">
        <v>0.14305271445367401</v>
      </c>
      <c r="W500">
        <v>4.0904841216057117E-3</v>
      </c>
      <c r="X500">
        <v>0</v>
      </c>
      <c r="Y500">
        <v>6.7694458521601164E-2</v>
      </c>
      <c r="Z500">
        <v>0.48384758310518861</v>
      </c>
      <c r="AA500">
        <v>3.0739114903158341E-2</v>
      </c>
      <c r="AB500">
        <v>2.0533050290172659</v>
      </c>
      <c r="AC500">
        <v>0.12392381120928291</v>
      </c>
      <c r="AD500">
        <v>1237.642696565495</v>
      </c>
      <c r="AE500">
        <v>50</v>
      </c>
      <c r="AF500">
        <v>85.344770472817459</v>
      </c>
      <c r="AG500">
        <v>2.5039199999999999</v>
      </c>
      <c r="AH500">
        <v>14.096819999999999</v>
      </c>
      <c r="AI500">
        <v>0.27322000000000002</v>
      </c>
      <c r="AJ500">
        <v>10.95044</v>
      </c>
      <c r="AK500">
        <v>0.52094000000000007</v>
      </c>
      <c r="AL500">
        <v>2.9191400000000001</v>
      </c>
      <c r="AM500">
        <v>50.91704</v>
      </c>
      <c r="AN500">
        <v>6.4346599999999992</v>
      </c>
      <c r="AO500">
        <v>10.86684</v>
      </c>
      <c r="AP500">
        <v>0.19492000000000001</v>
      </c>
      <c r="AQ500">
        <v>99.70778</v>
      </c>
      <c r="AR500">
        <v>5.8797253337209539E-2</v>
      </c>
      <c r="AS500">
        <v>0.138496180452748</v>
      </c>
      <c r="AT500">
        <v>2.822688434808206E-2</v>
      </c>
      <c r="AU500">
        <v>7.1287502411011894E-2</v>
      </c>
      <c r="AV500">
        <v>1.2819243347405491E-2</v>
      </c>
      <c r="AW500">
        <v>2.3721045508155889E-2</v>
      </c>
      <c r="AX500">
        <v>0.39733328327740491</v>
      </c>
      <c r="AY500">
        <v>8.3972662218129629E-2</v>
      </c>
      <c r="AZ500">
        <v>5.8132675837260117E-2</v>
      </c>
      <c r="BA500">
        <v>1.931080008699795E-2</v>
      </c>
      <c r="BD500" t="s">
        <v>769</v>
      </c>
      <c r="BE500">
        <v>0.51087743842924982</v>
      </c>
      <c r="BF500">
        <v>14840</v>
      </c>
      <c r="BG500">
        <v>728706.62265765294</v>
      </c>
      <c r="BH500">
        <v>3420.223511267578</v>
      </c>
      <c r="BI500">
        <v>481.61657168283978</v>
      </c>
      <c r="BJ500">
        <v>28.076148939759719</v>
      </c>
      <c r="BK500">
        <v>3420.2235112675821</v>
      </c>
    </row>
    <row r="501" spans="1:63" x14ac:dyDescent="0.2">
      <c r="A501">
        <v>499</v>
      </c>
      <c r="B501" t="s">
        <v>69</v>
      </c>
      <c r="C501" t="s">
        <v>70</v>
      </c>
      <c r="D501" t="s">
        <v>71</v>
      </c>
      <c r="E501">
        <v>-155.29347999999999</v>
      </c>
      <c r="F501">
        <v>19.377479999999998</v>
      </c>
      <c r="G501" t="s">
        <v>112</v>
      </c>
      <c r="H501" t="s">
        <v>1078</v>
      </c>
      <c r="I501" t="s">
        <v>1079</v>
      </c>
      <c r="J501" t="s">
        <v>85</v>
      </c>
      <c r="K501">
        <v>2.847859803125</v>
      </c>
      <c r="L501">
        <v>2.2015065109375</v>
      </c>
      <c r="M501">
        <v>19.696472434402629</v>
      </c>
      <c r="N501">
        <v>66.303136277422155</v>
      </c>
      <c r="Q501">
        <v>12.006</v>
      </c>
      <c r="R501">
        <v>1324.9639999999999</v>
      </c>
      <c r="S501">
        <v>50</v>
      </c>
      <c r="T501">
        <v>103.1114775186479</v>
      </c>
      <c r="U501">
        <v>8.3407899320100537E-3</v>
      </c>
      <c r="V501">
        <v>0.14313067187868711</v>
      </c>
      <c r="W501">
        <v>5.0963568207032196E-3</v>
      </c>
      <c r="X501">
        <v>0</v>
      </c>
      <c r="Y501">
        <v>6.4755305759947701E-2</v>
      </c>
      <c r="Z501">
        <v>0.50695846109152309</v>
      </c>
      <c r="AA501">
        <v>3.0246331698276719E-2</v>
      </c>
      <c r="AB501">
        <v>2.1463072349484968</v>
      </c>
      <c r="AC501">
        <v>0.1214353761652827</v>
      </c>
      <c r="AD501">
        <v>1309.76164892925</v>
      </c>
      <c r="AE501">
        <v>50</v>
      </c>
      <c r="AF501">
        <v>88.658853024561992</v>
      </c>
      <c r="AG501">
        <v>2.1280100000000002</v>
      </c>
      <c r="AH501">
        <v>12.511455</v>
      </c>
      <c r="AI501">
        <v>0.21128</v>
      </c>
      <c r="AJ501">
        <v>10.547185000000001</v>
      </c>
      <c r="AK501">
        <v>0.43435000000000001</v>
      </c>
      <c r="AL501">
        <v>2.4173399999999998</v>
      </c>
      <c r="AM501">
        <v>50.003889999999998</v>
      </c>
      <c r="AN501">
        <v>8.5805450000000008</v>
      </c>
      <c r="AO501">
        <v>11.0444</v>
      </c>
      <c r="AP501">
        <v>0.37786999999999998</v>
      </c>
      <c r="AQ501">
        <v>98.290260000000004</v>
      </c>
      <c r="AR501">
        <v>4.7093422517846893E-2</v>
      </c>
      <c r="AS501">
        <v>0.17423154844121161</v>
      </c>
      <c r="AT501">
        <v>2.1925114974993089E-2</v>
      </c>
      <c r="AU501">
        <v>0.1853741817244248</v>
      </c>
      <c r="AV501">
        <v>1.0520403456564249E-2</v>
      </c>
      <c r="AW501">
        <v>3.5166562401109248E-2</v>
      </c>
      <c r="AX501">
        <v>0.46106226248619608</v>
      </c>
      <c r="AY501">
        <v>0.4051107053427907</v>
      </c>
      <c r="AZ501">
        <v>0.14841023100402101</v>
      </c>
      <c r="BA501">
        <v>1.7068639208924791E-2</v>
      </c>
    </row>
    <row r="502" spans="1:63" x14ac:dyDescent="0.2">
      <c r="A502">
        <v>500</v>
      </c>
      <c r="B502" t="s">
        <v>69</v>
      </c>
      <c r="C502" t="s">
        <v>91</v>
      </c>
      <c r="D502" t="s">
        <v>92</v>
      </c>
      <c r="E502">
        <v>-155.272412745889</v>
      </c>
      <c r="F502">
        <v>19.3454197541963</v>
      </c>
      <c r="G502" t="s">
        <v>124</v>
      </c>
      <c r="H502" t="s">
        <v>1080</v>
      </c>
      <c r="I502" t="s">
        <v>1081</v>
      </c>
      <c r="J502" t="s">
        <v>68</v>
      </c>
      <c r="K502">
        <v>16.56522940703125</v>
      </c>
      <c r="L502">
        <v>11.014913139843751</v>
      </c>
      <c r="M502">
        <v>573.22933084987631</v>
      </c>
      <c r="N502">
        <v>10539.831104592909</v>
      </c>
      <c r="O502" t="s">
        <v>1082</v>
      </c>
      <c r="Q502">
        <v>12.044</v>
      </c>
      <c r="R502">
        <v>1325.0039999999999</v>
      </c>
      <c r="S502">
        <v>50</v>
      </c>
      <c r="T502">
        <v>103.1116144319107</v>
      </c>
      <c r="U502">
        <v>2.149760333928235E-3</v>
      </c>
      <c r="V502">
        <v>0.1431849224095387</v>
      </c>
      <c r="W502">
        <v>3.9720144595284832E-3</v>
      </c>
      <c r="X502">
        <v>0</v>
      </c>
      <c r="Y502">
        <v>6.3815223821338973E-2</v>
      </c>
      <c r="Z502">
        <v>0.51507102580048059</v>
      </c>
      <c r="AA502">
        <v>2.877594558610749E-2</v>
      </c>
      <c r="AB502">
        <v>2.1788528478926481</v>
      </c>
      <c r="AC502">
        <v>0.11527880613814161</v>
      </c>
      <c r="AD502">
        <v>1335.180670726611</v>
      </c>
      <c r="AE502">
        <v>50</v>
      </c>
      <c r="AF502">
        <v>89.60299217868706</v>
      </c>
      <c r="AG502">
        <v>2.4452269230769228</v>
      </c>
      <c r="AH502">
        <v>12.97811153846154</v>
      </c>
      <c r="AJ502">
        <v>10.30404615384615</v>
      </c>
      <c r="AK502">
        <v>0.55342692307692309</v>
      </c>
      <c r="AL502">
        <v>2.900669230769231</v>
      </c>
      <c r="AM502">
        <v>50.451046153846157</v>
      </c>
      <c r="AN502">
        <v>6.0883423076923071</v>
      </c>
      <c r="AP502">
        <v>1.6526923076923071E-2</v>
      </c>
      <c r="AQ502">
        <v>97.170811538461535</v>
      </c>
      <c r="AR502">
        <v>0.14452695958247319</v>
      </c>
      <c r="AS502">
        <v>0.56238533005541524</v>
      </c>
      <c r="AU502">
        <v>0.81302815263963402</v>
      </c>
      <c r="AV502">
        <v>0.1071919159552335</v>
      </c>
      <c r="AW502">
        <v>0.48878923864523122</v>
      </c>
      <c r="AX502">
        <v>0.42567582898799372</v>
      </c>
      <c r="AY502">
        <v>0.85490953915514445</v>
      </c>
      <c r="BA502">
        <v>4.3609684880592933E-3</v>
      </c>
      <c r="BB502">
        <v>26</v>
      </c>
      <c r="BC502" t="s">
        <v>86</v>
      </c>
    </row>
    <row r="503" spans="1:63" x14ac:dyDescent="0.2">
      <c r="A503">
        <v>501</v>
      </c>
      <c r="B503" t="s">
        <v>62</v>
      </c>
      <c r="C503" t="s">
        <v>63</v>
      </c>
      <c r="D503" t="s">
        <v>64</v>
      </c>
      <c r="E503">
        <v>-155.26785000000001</v>
      </c>
      <c r="F503">
        <v>19.407830000000001</v>
      </c>
      <c r="G503" t="s">
        <v>65</v>
      </c>
      <c r="H503" t="s">
        <v>1083</v>
      </c>
      <c r="I503" t="s">
        <v>1084</v>
      </c>
      <c r="J503" t="s">
        <v>68</v>
      </c>
      <c r="K503">
        <v>7.0139386070312497</v>
      </c>
      <c r="L503">
        <v>6.086077011718749</v>
      </c>
      <c r="M503">
        <v>134.106329619973</v>
      </c>
      <c r="N503">
        <v>1171.1966750632539</v>
      </c>
      <c r="Q503">
        <v>12.057</v>
      </c>
      <c r="R503">
        <v>1325.0039999999999</v>
      </c>
      <c r="S503">
        <v>50</v>
      </c>
      <c r="T503">
        <v>103.1117854</v>
      </c>
      <c r="U503">
        <v>1.0032072350000001E-2</v>
      </c>
      <c r="V503">
        <v>0.14325265270000001</v>
      </c>
      <c r="W503">
        <v>5.5546620730000003E-3</v>
      </c>
      <c r="X503">
        <v>0</v>
      </c>
      <c r="Y503">
        <v>6.5050602640582378E-2</v>
      </c>
      <c r="Z503">
        <v>0.50449178042880072</v>
      </c>
      <c r="AA503">
        <v>3.1281085847712942E-2</v>
      </c>
      <c r="AB503">
        <v>2.1364011752932468</v>
      </c>
      <c r="AC503">
        <v>0.1256490324590088</v>
      </c>
      <c r="AD503">
        <v>1300.524690540097</v>
      </c>
      <c r="AE503">
        <v>50</v>
      </c>
      <c r="AF503">
        <v>88.293024889999998</v>
      </c>
      <c r="BE503">
        <v>3.1049823243423411</v>
      </c>
      <c r="BF503">
        <v>22400</v>
      </c>
      <c r="BG503">
        <v>1433102.6307972679</v>
      </c>
      <c r="BH503">
        <v>12936.97625156709</v>
      </c>
      <c r="BI503">
        <v>675.40412739245926</v>
      </c>
      <c r="BJ503">
        <v>86.438808489634027</v>
      </c>
      <c r="BK503">
        <v>12936.97625156709</v>
      </c>
    </row>
    <row r="504" spans="1:63" x14ac:dyDescent="0.2">
      <c r="A504">
        <v>502</v>
      </c>
      <c r="B504" t="s">
        <v>69</v>
      </c>
      <c r="C504" t="s">
        <v>76</v>
      </c>
      <c r="D504" t="s">
        <v>71</v>
      </c>
      <c r="E504">
        <v>-155.29812000000001</v>
      </c>
      <c r="F504">
        <v>19.375624999999999</v>
      </c>
      <c r="G504" t="s">
        <v>77</v>
      </c>
      <c r="H504" t="s">
        <v>767</v>
      </c>
      <c r="I504" t="s">
        <v>1085</v>
      </c>
      <c r="J504" t="s">
        <v>68</v>
      </c>
      <c r="K504">
        <v>3.26564741484375</v>
      </c>
      <c r="L504">
        <v>3.26564741484375</v>
      </c>
      <c r="M504">
        <v>33.503367318971868</v>
      </c>
      <c r="N504">
        <v>145.8802464983481</v>
      </c>
      <c r="Q504">
        <v>11.819000000000001</v>
      </c>
      <c r="R504">
        <v>1324.9639999999999</v>
      </c>
      <c r="S504">
        <v>100</v>
      </c>
      <c r="T504">
        <v>103.11199832153029</v>
      </c>
      <c r="U504">
        <v>1.473346811510922E-2</v>
      </c>
      <c r="V504">
        <v>0.14333703488728841</v>
      </c>
      <c r="W504">
        <v>7.0097615123923688E-3</v>
      </c>
      <c r="X504">
        <v>0</v>
      </c>
      <c r="Y504">
        <v>6.7559390678442632E-2</v>
      </c>
      <c r="Z504">
        <v>0.48484925522352751</v>
      </c>
      <c r="AA504">
        <v>3.8395772382743339E-2</v>
      </c>
      <c r="AB504">
        <v>2.0573447879003361</v>
      </c>
      <c r="AC504">
        <v>0.154707677593205</v>
      </c>
      <c r="AD504">
        <v>1237.642696565495</v>
      </c>
      <c r="AE504">
        <v>50</v>
      </c>
      <c r="AF504">
        <v>85.344770472817459</v>
      </c>
      <c r="AG504">
        <v>2.5039199999999999</v>
      </c>
      <c r="AH504">
        <v>14.096819999999999</v>
      </c>
      <c r="AI504">
        <v>0.27322000000000002</v>
      </c>
      <c r="AJ504">
        <v>10.95044</v>
      </c>
      <c r="AK504">
        <v>0.52094000000000007</v>
      </c>
      <c r="AL504">
        <v>2.9191400000000001</v>
      </c>
      <c r="AM504">
        <v>50.91704</v>
      </c>
      <c r="AN504">
        <v>6.4346599999999992</v>
      </c>
      <c r="AO504">
        <v>10.86684</v>
      </c>
      <c r="AP504">
        <v>0.19492000000000001</v>
      </c>
      <c r="AQ504">
        <v>99.70778</v>
      </c>
      <c r="AR504">
        <v>5.8797253337209539E-2</v>
      </c>
      <c r="AS504">
        <v>0.138496180452748</v>
      </c>
      <c r="AT504">
        <v>2.822688434808206E-2</v>
      </c>
      <c r="AU504">
        <v>7.1287502411011894E-2</v>
      </c>
      <c r="AV504">
        <v>1.2819243347405491E-2</v>
      </c>
      <c r="AW504">
        <v>2.3721045508155889E-2</v>
      </c>
      <c r="AX504">
        <v>0.39733328327740491</v>
      </c>
      <c r="AY504">
        <v>8.3972662218129629E-2</v>
      </c>
      <c r="AZ504">
        <v>5.8132675837260117E-2</v>
      </c>
      <c r="BA504">
        <v>1.931080008699795E-2</v>
      </c>
      <c r="BD504" t="s">
        <v>769</v>
      </c>
      <c r="BE504">
        <v>0.51087743842924982</v>
      </c>
      <c r="BF504">
        <v>14840</v>
      </c>
      <c r="BG504">
        <v>728706.62265765294</v>
      </c>
      <c r="BH504">
        <v>3420.223511267578</v>
      </c>
      <c r="BI504">
        <v>481.61657168283978</v>
      </c>
      <c r="BJ504">
        <v>28.076148939759719</v>
      </c>
      <c r="BK504">
        <v>3420.2235112675821</v>
      </c>
    </row>
    <row r="505" spans="1:63" x14ac:dyDescent="0.2">
      <c r="A505">
        <v>503</v>
      </c>
      <c r="B505" t="s">
        <v>69</v>
      </c>
      <c r="C505" t="s">
        <v>278</v>
      </c>
      <c r="D505" t="s">
        <v>144</v>
      </c>
      <c r="E505">
        <v>-154.873789449106</v>
      </c>
      <c r="F505">
        <v>19.5537282409346</v>
      </c>
      <c r="G505" t="s">
        <v>279</v>
      </c>
      <c r="H505" t="s">
        <v>1086</v>
      </c>
      <c r="I505" t="s">
        <v>1087</v>
      </c>
      <c r="J505" t="s">
        <v>68</v>
      </c>
      <c r="K505">
        <v>12.610165600781251</v>
      </c>
      <c r="L505">
        <v>10.657158161718749</v>
      </c>
      <c r="M505">
        <v>422.19401622793322</v>
      </c>
      <c r="N505">
        <v>6548.8832441103332</v>
      </c>
      <c r="Q505">
        <v>11.984</v>
      </c>
      <c r="R505">
        <v>1325.0039999999999</v>
      </c>
      <c r="S505">
        <v>50</v>
      </c>
      <c r="T505">
        <v>103.1137812068588</v>
      </c>
      <c r="U505">
        <v>6.0586991761374014E-3</v>
      </c>
      <c r="V505">
        <v>0.1440434856248842</v>
      </c>
      <c r="W505">
        <v>4.5643700051252621E-3</v>
      </c>
      <c r="X505">
        <v>0</v>
      </c>
      <c r="Y505">
        <v>6.4306894659919012E-2</v>
      </c>
      <c r="Z505">
        <v>0.51079438759919416</v>
      </c>
      <c r="AA505">
        <v>3.1452078751220643E-2</v>
      </c>
      <c r="AB505">
        <v>2.16170252358499</v>
      </c>
      <c r="AC505">
        <v>0.12605545073203631</v>
      </c>
      <c r="AD505">
        <v>1311.146981547517</v>
      </c>
      <c r="AE505">
        <v>50</v>
      </c>
      <c r="AF505">
        <v>88.712595632241005</v>
      </c>
    </row>
    <row r="506" spans="1:63" x14ac:dyDescent="0.2">
      <c r="A506">
        <v>504</v>
      </c>
      <c r="B506" t="s">
        <v>69</v>
      </c>
      <c r="C506" t="s">
        <v>671</v>
      </c>
      <c r="D506" t="s">
        <v>144</v>
      </c>
      <c r="E506">
        <v>-155.21461669999999</v>
      </c>
      <c r="F506">
        <v>19.36376667</v>
      </c>
      <c r="G506" t="s">
        <v>672</v>
      </c>
      <c r="H506" t="s">
        <v>1088</v>
      </c>
      <c r="I506" t="s">
        <v>1089</v>
      </c>
      <c r="J506" t="s">
        <v>68</v>
      </c>
      <c r="K506">
        <v>8.3630747046875005</v>
      </c>
      <c r="L506">
        <v>7.9688236046875014</v>
      </c>
      <c r="M506">
        <v>209.3678833336607</v>
      </c>
      <c r="N506">
        <v>2279.5833199029571</v>
      </c>
      <c r="O506" t="s">
        <v>1090</v>
      </c>
      <c r="Q506">
        <v>10.013999999999999</v>
      </c>
      <c r="R506">
        <v>1324.9639999999999</v>
      </c>
      <c r="S506">
        <v>50</v>
      </c>
      <c r="T506">
        <v>103.1141549873781</v>
      </c>
      <c r="U506">
        <v>1.017526021451339E-2</v>
      </c>
      <c r="V506">
        <v>0.14419159247131569</v>
      </c>
      <c r="W506">
        <v>5.5972471195571078E-3</v>
      </c>
      <c r="X506">
        <v>0.5508392163111514</v>
      </c>
      <c r="Y506">
        <v>6.5077934708847929E-2</v>
      </c>
      <c r="Z506">
        <v>0.50428143780732804</v>
      </c>
      <c r="AA506">
        <v>3.3098402502448901E-2</v>
      </c>
      <c r="AB506">
        <v>2.135556226783915</v>
      </c>
      <c r="AC506">
        <v>0.132838881190082</v>
      </c>
      <c r="AD506">
        <v>1288.9941153329819</v>
      </c>
      <c r="AE506">
        <v>50</v>
      </c>
      <c r="AF506">
        <v>87.816691125493662</v>
      </c>
      <c r="AG506">
        <v>2.1139333333333301</v>
      </c>
      <c r="AH506">
        <v>13.587583333333299</v>
      </c>
      <c r="AI506">
        <v>0.29523333333333301</v>
      </c>
      <c r="AJ506">
        <v>10.4225166666667</v>
      </c>
      <c r="AK506">
        <v>0.52931666666666699</v>
      </c>
      <c r="AL506">
        <v>2.6979166666666701</v>
      </c>
      <c r="AM506">
        <v>50.566133333333298</v>
      </c>
      <c r="AN506">
        <v>7.4192666666666698</v>
      </c>
      <c r="AP506">
        <v>0.115333333333333</v>
      </c>
      <c r="AQ506">
        <v>98.28573333333334</v>
      </c>
      <c r="AR506">
        <v>0.57645847609924805</v>
      </c>
      <c r="AS506">
        <v>1.26245867483521</v>
      </c>
      <c r="AT506">
        <v>5.29901751899979E-2</v>
      </c>
      <c r="AU506">
        <v>1.9081872417733701</v>
      </c>
      <c r="AV506">
        <v>0.16521048897290599</v>
      </c>
      <c r="AW506">
        <v>0.109080345006177</v>
      </c>
      <c r="AX506">
        <v>2.5946244064732502</v>
      </c>
      <c r="AY506">
        <v>1.98528395920248</v>
      </c>
      <c r="BA506">
        <v>4.7953505259435099E-2</v>
      </c>
      <c r="BE506">
        <v>9.8234671944400942E-2</v>
      </c>
      <c r="BF506">
        <v>19657</v>
      </c>
      <c r="BG506">
        <v>502040.29758606479</v>
      </c>
      <c r="BH506">
        <v>508.85056527746121</v>
      </c>
      <c r="BI506">
        <v>399.75541270168782</v>
      </c>
      <c r="BJ506">
        <v>3.6293733210746622</v>
      </c>
      <c r="BK506">
        <v>508.85056527746087</v>
      </c>
    </row>
    <row r="507" spans="1:63" x14ac:dyDescent="0.2">
      <c r="A507">
        <v>505</v>
      </c>
      <c r="B507" t="s">
        <v>69</v>
      </c>
      <c r="C507" t="s">
        <v>91</v>
      </c>
      <c r="D507" t="s">
        <v>92</v>
      </c>
      <c r="E507">
        <v>-155.272412745889</v>
      </c>
      <c r="F507">
        <v>19.3454197541963</v>
      </c>
      <c r="G507" t="s">
        <v>124</v>
      </c>
      <c r="H507" t="s">
        <v>1007</v>
      </c>
      <c r="I507" t="s">
        <v>1091</v>
      </c>
      <c r="J507" t="s">
        <v>68</v>
      </c>
      <c r="K507">
        <v>8.5357339054687511</v>
      </c>
      <c r="L507">
        <v>7.6237957773437497</v>
      </c>
      <c r="M507">
        <v>204.43817465181931</v>
      </c>
      <c r="N507">
        <v>2202.416501057387</v>
      </c>
      <c r="O507" t="s">
        <v>1092</v>
      </c>
      <c r="Q507">
        <v>6.0179999999999998</v>
      </c>
      <c r="R507">
        <v>1325.0039999999999</v>
      </c>
      <c r="S507">
        <v>50</v>
      </c>
      <c r="T507">
        <v>103.1146361411617</v>
      </c>
      <c r="U507">
        <v>1.9407606683722719E-3</v>
      </c>
      <c r="V507">
        <v>0.14438224491535581</v>
      </c>
      <c r="W507">
        <v>3.9584073927140034E-3</v>
      </c>
      <c r="X507">
        <v>0</v>
      </c>
      <c r="Y507">
        <v>6.9449468642922563E-2</v>
      </c>
      <c r="Z507">
        <v>0.47140627133168023</v>
      </c>
      <c r="AA507">
        <v>2.854127406018871E-2</v>
      </c>
      <c r="AB507">
        <v>2.003061745970045</v>
      </c>
      <c r="AC507">
        <v>0.11534027035620149</v>
      </c>
      <c r="AD507">
        <v>1184.211317149392</v>
      </c>
      <c r="AE507">
        <v>50</v>
      </c>
      <c r="AF507">
        <v>81.663204166734999</v>
      </c>
      <c r="AG507">
        <v>2.4452269230769228</v>
      </c>
      <c r="AH507">
        <v>12.97811153846154</v>
      </c>
      <c r="AJ507">
        <v>10.30404615384615</v>
      </c>
      <c r="AK507">
        <v>0.55342692307692309</v>
      </c>
      <c r="AL507">
        <v>2.900669230769231</v>
      </c>
      <c r="AM507">
        <v>50.451046153846157</v>
      </c>
      <c r="AN507">
        <v>6.0883423076923071</v>
      </c>
      <c r="AP507">
        <v>1.6526923076923071E-2</v>
      </c>
      <c r="AQ507">
        <v>97.170811538461535</v>
      </c>
      <c r="AR507">
        <v>0.14452695958247319</v>
      </c>
      <c r="AS507">
        <v>0.56238533005541524</v>
      </c>
      <c r="AU507">
        <v>0.81302815263963402</v>
      </c>
      <c r="AV507">
        <v>0.1071919159552335</v>
      </c>
      <c r="AW507">
        <v>0.48878923864523122</v>
      </c>
      <c r="AX507">
        <v>0.42567582898799372</v>
      </c>
      <c r="AY507">
        <v>0.85490953915514445</v>
      </c>
      <c r="BA507">
        <v>4.3609684880592933E-3</v>
      </c>
      <c r="BB507">
        <v>26</v>
      </c>
      <c r="BC507" t="s">
        <v>86</v>
      </c>
    </row>
    <row r="508" spans="1:63" x14ac:dyDescent="0.2">
      <c r="A508">
        <v>506</v>
      </c>
      <c r="B508" t="s">
        <v>69</v>
      </c>
      <c r="C508" t="s">
        <v>76</v>
      </c>
      <c r="D508" t="s">
        <v>71</v>
      </c>
      <c r="E508">
        <v>-155.29812000000001</v>
      </c>
      <c r="F508">
        <v>19.375624999999999</v>
      </c>
      <c r="G508" t="s">
        <v>77</v>
      </c>
      <c r="H508" t="s">
        <v>1093</v>
      </c>
      <c r="I508" t="s">
        <v>1094</v>
      </c>
      <c r="J508" t="s">
        <v>68</v>
      </c>
      <c r="O508" t="s">
        <v>296</v>
      </c>
      <c r="Q508">
        <v>12.132</v>
      </c>
      <c r="R508">
        <v>1324.9639999999999</v>
      </c>
      <c r="S508">
        <v>50</v>
      </c>
      <c r="T508">
        <v>103.1161510401902</v>
      </c>
      <c r="U508">
        <v>1.990497200569256E-3</v>
      </c>
      <c r="V508">
        <v>0.14498250872308921</v>
      </c>
      <c r="W508">
        <v>3.9639744291280676E-3</v>
      </c>
      <c r="X508">
        <v>0.71288644593378936</v>
      </c>
      <c r="Y508">
        <v>6.4673034907064997E-2</v>
      </c>
      <c r="Z508">
        <v>0.50768510723835036</v>
      </c>
      <c r="AA508">
        <v>3.094571810020701E-2</v>
      </c>
      <c r="AB508">
        <v>2.149224486658071</v>
      </c>
      <c r="AC508">
        <v>0.1241741409742653</v>
      </c>
      <c r="AD508">
        <v>1290.547364067324</v>
      </c>
      <c r="AE508">
        <v>50</v>
      </c>
      <c r="AF508">
        <v>87.882213979171354</v>
      </c>
      <c r="AG508">
        <v>2.5039199999999999</v>
      </c>
      <c r="AH508">
        <v>14.096819999999999</v>
      </c>
      <c r="AI508">
        <v>0.27322000000000002</v>
      </c>
      <c r="AJ508">
        <v>10.95044</v>
      </c>
      <c r="AK508">
        <v>0.52094000000000007</v>
      </c>
      <c r="AL508">
        <v>2.9191400000000001</v>
      </c>
      <c r="AM508">
        <v>50.91704</v>
      </c>
      <c r="AN508">
        <v>6.4346599999999992</v>
      </c>
      <c r="AO508">
        <v>10.86684</v>
      </c>
      <c r="AP508">
        <v>0.19492000000000001</v>
      </c>
      <c r="AQ508">
        <v>99.70778</v>
      </c>
      <c r="AR508">
        <v>5.8797253337209539E-2</v>
      </c>
      <c r="AS508">
        <v>0.138496180452748</v>
      </c>
      <c r="AT508">
        <v>2.822688434808206E-2</v>
      </c>
      <c r="AU508">
        <v>7.1287502411011894E-2</v>
      </c>
      <c r="AV508">
        <v>1.2819243347405491E-2</v>
      </c>
      <c r="AW508">
        <v>2.3721045508155889E-2</v>
      </c>
      <c r="AX508">
        <v>0.39733328327740491</v>
      </c>
      <c r="AY508">
        <v>8.3972662218129629E-2</v>
      </c>
      <c r="AZ508">
        <v>5.8132675837260117E-2</v>
      </c>
      <c r="BA508">
        <v>1.931080008699795E-2</v>
      </c>
    </row>
    <row r="509" spans="1:63" x14ac:dyDescent="0.2">
      <c r="A509">
        <v>507</v>
      </c>
      <c r="B509" t="s">
        <v>69</v>
      </c>
      <c r="C509" t="s">
        <v>76</v>
      </c>
      <c r="D509" t="s">
        <v>71</v>
      </c>
      <c r="E509">
        <v>-155.29812000000001</v>
      </c>
      <c r="F509">
        <v>19.375624999999999</v>
      </c>
      <c r="G509" t="s">
        <v>77</v>
      </c>
      <c r="H509" t="s">
        <v>1095</v>
      </c>
      <c r="I509" t="s">
        <v>1096</v>
      </c>
      <c r="J509" t="s">
        <v>68</v>
      </c>
      <c r="K509">
        <v>27.753673470312499</v>
      </c>
      <c r="L509">
        <v>20.560218110937502</v>
      </c>
      <c r="M509">
        <v>1792.6605634858929</v>
      </c>
      <c r="N509">
        <v>57740.27207082665</v>
      </c>
      <c r="Q509">
        <v>12.182</v>
      </c>
      <c r="R509">
        <v>1324.9639999999999</v>
      </c>
      <c r="S509">
        <v>50</v>
      </c>
      <c r="T509">
        <v>103.117398939483</v>
      </c>
      <c r="U509">
        <v>2.5493572594637789E-3</v>
      </c>
      <c r="V509">
        <v>0.14547697651733671</v>
      </c>
      <c r="W509">
        <v>4.0152944141063629E-3</v>
      </c>
      <c r="X509">
        <v>5.9639406163487054</v>
      </c>
      <c r="Y509">
        <v>6.4152744965073172E-2</v>
      </c>
      <c r="Z509">
        <v>0.51215316005801936</v>
      </c>
      <c r="AA509">
        <v>2.916059993920948E-2</v>
      </c>
      <c r="AB509">
        <v>2.1671530889311521</v>
      </c>
      <c r="AC509">
        <v>0.1168009576834316</v>
      </c>
      <c r="AD509">
        <v>1298.7512337034641</v>
      </c>
      <c r="AE509">
        <v>50</v>
      </c>
      <c r="AF509">
        <v>88.22123603377203</v>
      </c>
      <c r="AG509">
        <v>2.5039199999999999</v>
      </c>
      <c r="AH509">
        <v>14.096819999999999</v>
      </c>
      <c r="AI509">
        <v>0.27322000000000002</v>
      </c>
      <c r="AJ509">
        <v>10.95044</v>
      </c>
      <c r="AK509">
        <v>0.52094000000000007</v>
      </c>
      <c r="AL509">
        <v>2.9191400000000001</v>
      </c>
      <c r="AM509">
        <v>50.91704</v>
      </c>
      <c r="AN509">
        <v>6.4346599999999992</v>
      </c>
      <c r="AO509">
        <v>10.86684</v>
      </c>
      <c r="AP509">
        <v>0.19492000000000001</v>
      </c>
      <c r="AQ509">
        <v>99.70778</v>
      </c>
      <c r="AR509">
        <v>5.8797253337209539E-2</v>
      </c>
      <c r="AS509">
        <v>0.138496180452748</v>
      </c>
      <c r="AT509">
        <v>2.822688434808206E-2</v>
      </c>
      <c r="AU509">
        <v>7.1287502411011894E-2</v>
      </c>
      <c r="AV509">
        <v>1.2819243347405491E-2</v>
      </c>
      <c r="AW509">
        <v>2.3721045508155889E-2</v>
      </c>
      <c r="AX509">
        <v>0.39733328327740491</v>
      </c>
      <c r="AY509">
        <v>8.3972662218129629E-2</v>
      </c>
      <c r="AZ509">
        <v>5.8132675837260117E-2</v>
      </c>
      <c r="BA509">
        <v>1.931080008699795E-2</v>
      </c>
      <c r="BD509" t="s">
        <v>1097</v>
      </c>
      <c r="BE509">
        <v>0.152987234878564</v>
      </c>
      <c r="BF509">
        <v>6846</v>
      </c>
      <c r="BG509">
        <v>686944.12072556396</v>
      </c>
      <c r="BH509">
        <v>119.92435552363099</v>
      </c>
      <c r="BI509">
        <v>467.612130812256</v>
      </c>
      <c r="BJ509">
        <v>1.4494022989537501</v>
      </c>
      <c r="BK509">
        <v>119.92435552363099</v>
      </c>
    </row>
    <row r="510" spans="1:63" x14ac:dyDescent="0.2">
      <c r="A510">
        <v>508</v>
      </c>
      <c r="B510" t="s">
        <v>69</v>
      </c>
      <c r="C510" t="s">
        <v>70</v>
      </c>
      <c r="D510" t="s">
        <v>71</v>
      </c>
      <c r="E510">
        <v>-155.29347999999999</v>
      </c>
      <c r="F510">
        <v>19.377479999999998</v>
      </c>
      <c r="G510" t="s">
        <v>112</v>
      </c>
      <c r="H510" t="s">
        <v>1098</v>
      </c>
      <c r="I510" t="s">
        <v>1099</v>
      </c>
      <c r="J510" t="s">
        <v>68</v>
      </c>
      <c r="K510">
        <v>3.9563423328125</v>
      </c>
      <c r="L510">
        <v>3.9563423328125</v>
      </c>
      <c r="M510">
        <v>49.174233455527947</v>
      </c>
      <c r="N510">
        <v>259.40013533827988</v>
      </c>
      <c r="Q510">
        <v>12.006</v>
      </c>
      <c r="R510">
        <v>1324.9639999999999</v>
      </c>
      <c r="S510">
        <v>50</v>
      </c>
      <c r="T510">
        <v>103.1174069225555</v>
      </c>
      <c r="U510">
        <v>3.8881021875493443E-2</v>
      </c>
      <c r="V510">
        <v>0.14548013973114141</v>
      </c>
      <c r="W510">
        <v>1.588879820604943E-2</v>
      </c>
      <c r="X510">
        <v>0</v>
      </c>
      <c r="Y510">
        <v>6.7325915993394547E-2</v>
      </c>
      <c r="Z510">
        <v>0.48662280575572009</v>
      </c>
      <c r="AA510">
        <v>6.5939901085069946E-2</v>
      </c>
      <c r="AB510">
        <v>2.064495569180671</v>
      </c>
      <c r="AC510">
        <v>0.26542717839011809</v>
      </c>
      <c r="AD510">
        <v>1219.726682273244</v>
      </c>
      <c r="AE510">
        <v>50</v>
      </c>
      <c r="AF510">
        <v>84.2896460924986</v>
      </c>
      <c r="AG510">
        <v>2.1280100000000002</v>
      </c>
      <c r="AH510">
        <v>12.511455</v>
      </c>
      <c r="AI510">
        <v>0.21128</v>
      </c>
      <c r="AJ510">
        <v>10.547185000000001</v>
      </c>
      <c r="AK510">
        <v>0.43435000000000001</v>
      </c>
      <c r="AL510">
        <v>2.4173399999999998</v>
      </c>
      <c r="AM510">
        <v>50.003889999999998</v>
      </c>
      <c r="AN510">
        <v>8.5805450000000008</v>
      </c>
      <c r="AO510">
        <v>11.0444</v>
      </c>
      <c r="AP510">
        <v>0.37786999999999998</v>
      </c>
      <c r="AQ510">
        <v>98.290260000000004</v>
      </c>
      <c r="AR510">
        <v>4.7093422517846893E-2</v>
      </c>
      <c r="AS510">
        <v>0.17423154844121161</v>
      </c>
      <c r="AT510">
        <v>2.1925114974993089E-2</v>
      </c>
      <c r="AU510">
        <v>0.1853741817244248</v>
      </c>
      <c r="AV510">
        <v>1.0520403456564249E-2</v>
      </c>
      <c r="AW510">
        <v>3.5166562401109248E-2</v>
      </c>
      <c r="AX510">
        <v>0.46106226248619608</v>
      </c>
      <c r="AY510">
        <v>0.4051107053427907</v>
      </c>
      <c r="AZ510">
        <v>0.14841023100402101</v>
      </c>
      <c r="BA510">
        <v>1.7068639208924791E-2</v>
      </c>
      <c r="BD510" t="s">
        <v>1100</v>
      </c>
      <c r="BE510">
        <v>9.9912640424893603E-2</v>
      </c>
      <c r="BF510">
        <v>2958</v>
      </c>
      <c r="BG510">
        <v>145430.51324945569</v>
      </c>
      <c r="BH510">
        <v>42.71507801459677</v>
      </c>
      <c r="BI510">
        <v>215.15568809604949</v>
      </c>
      <c r="BJ510">
        <v>0.78538412581499262</v>
      </c>
      <c r="BK510">
        <v>42.715078014596777</v>
      </c>
    </row>
    <row r="511" spans="1:63" x14ac:dyDescent="0.2">
      <c r="A511">
        <v>509</v>
      </c>
      <c r="B511" t="s">
        <v>62</v>
      </c>
      <c r="C511" t="s">
        <v>63</v>
      </c>
      <c r="D511" t="s">
        <v>64</v>
      </c>
      <c r="E511">
        <v>-155.26785000000001</v>
      </c>
      <c r="F511">
        <v>19.407830000000001</v>
      </c>
      <c r="G511" t="s">
        <v>65</v>
      </c>
      <c r="H511" t="s">
        <v>872</v>
      </c>
      <c r="I511" t="s">
        <v>1101</v>
      </c>
      <c r="J511" t="s">
        <v>68</v>
      </c>
      <c r="K511">
        <v>6.9756990398437502</v>
      </c>
      <c r="L511">
        <v>6.32911328828125</v>
      </c>
      <c r="M511">
        <v>138.7012826319627</v>
      </c>
      <c r="N511">
        <v>1230.2630233923251</v>
      </c>
      <c r="Q511">
        <v>13.472</v>
      </c>
      <c r="R511">
        <v>1325.0039999999999</v>
      </c>
      <c r="S511">
        <v>50</v>
      </c>
      <c r="T511">
        <v>103.117572</v>
      </c>
      <c r="U511">
        <v>1.5476979740000001E-2</v>
      </c>
      <c r="V511">
        <v>0.14554553919999999</v>
      </c>
      <c r="W511">
        <v>7.3016384890000003E-3</v>
      </c>
      <c r="X511">
        <v>0</v>
      </c>
      <c r="Y511">
        <v>6.3836618817303403E-2</v>
      </c>
      <c r="Z511">
        <v>0.51492357167961345</v>
      </c>
      <c r="AA511">
        <v>3.688235476968954E-2</v>
      </c>
      <c r="AB511">
        <v>2.178261762963853</v>
      </c>
      <c r="AC511">
        <v>0.14770689592175171</v>
      </c>
      <c r="AD511">
        <v>1306.5521453213869</v>
      </c>
      <c r="AE511">
        <v>50</v>
      </c>
      <c r="AF511">
        <v>88.533239539999997</v>
      </c>
      <c r="BE511">
        <v>1.1280737283975379</v>
      </c>
      <c r="BF511">
        <v>32646</v>
      </c>
      <c r="BG511">
        <v>2089562.941908651</v>
      </c>
      <c r="BH511">
        <v>12100.13994345307</v>
      </c>
      <c r="BI511">
        <v>815.55413199419797</v>
      </c>
      <c r="BJ511">
        <v>66.969245340326182</v>
      </c>
      <c r="BK511">
        <v>12100.139943453059</v>
      </c>
    </row>
    <row r="512" spans="1:63" x14ac:dyDescent="0.2">
      <c r="A512">
        <v>510</v>
      </c>
      <c r="B512" t="s">
        <v>69</v>
      </c>
      <c r="C512" t="s">
        <v>91</v>
      </c>
      <c r="D512" t="s">
        <v>92</v>
      </c>
      <c r="E512">
        <v>-155.272412745889</v>
      </c>
      <c r="F512">
        <v>19.3454197541963</v>
      </c>
      <c r="G512" t="s">
        <v>124</v>
      </c>
      <c r="H512" t="s">
        <v>1102</v>
      </c>
      <c r="I512" t="s">
        <v>1103</v>
      </c>
      <c r="J512" t="s">
        <v>68</v>
      </c>
      <c r="K512">
        <v>21.435311428125001</v>
      </c>
      <c r="L512">
        <v>20.559404503124998</v>
      </c>
      <c r="M512">
        <v>1384.4912063046111</v>
      </c>
      <c r="N512">
        <v>38760.876612050517</v>
      </c>
      <c r="O512" t="s">
        <v>1104</v>
      </c>
      <c r="Q512">
        <v>12.006</v>
      </c>
      <c r="R512">
        <v>1325.0039999999999</v>
      </c>
      <c r="S512">
        <v>50</v>
      </c>
      <c r="T512">
        <v>103.1184121889824</v>
      </c>
      <c r="U512">
        <v>2.2719907490416219E-3</v>
      </c>
      <c r="V512">
        <v>0.14587846664392151</v>
      </c>
      <c r="W512">
        <v>3.9902068374050503E-3</v>
      </c>
      <c r="X512">
        <v>2.9342325531223881</v>
      </c>
      <c r="Y512">
        <v>6.2413590110534711E-2</v>
      </c>
      <c r="Z512">
        <v>0.52800841968994838</v>
      </c>
      <c r="AA512">
        <v>2.957406954014842E-2</v>
      </c>
      <c r="AB512">
        <v>2.2306469776545992</v>
      </c>
      <c r="AC512">
        <v>0.1181857754706612</v>
      </c>
      <c r="AD512">
        <v>1343.5689325238261</v>
      </c>
      <c r="AE512">
        <v>50</v>
      </c>
      <c r="AF512">
        <v>89.896816997483143</v>
      </c>
      <c r="AG512">
        <v>2.4452269230769228</v>
      </c>
      <c r="AH512">
        <v>12.97811153846154</v>
      </c>
      <c r="AJ512">
        <v>10.30404615384615</v>
      </c>
      <c r="AK512">
        <v>0.55342692307692309</v>
      </c>
      <c r="AL512">
        <v>2.900669230769231</v>
      </c>
      <c r="AM512">
        <v>50.451046153846157</v>
      </c>
      <c r="AN512">
        <v>6.0883423076923071</v>
      </c>
      <c r="AP512">
        <v>1.6526923076923071E-2</v>
      </c>
      <c r="AQ512">
        <v>97.170811538461535</v>
      </c>
      <c r="AR512">
        <v>0.14452695958247319</v>
      </c>
      <c r="AS512">
        <v>0.56238533005541524</v>
      </c>
      <c r="AU512">
        <v>0.81302815263963402</v>
      </c>
      <c r="AV512">
        <v>0.1071919159552335</v>
      </c>
      <c r="AW512">
        <v>0.48878923864523122</v>
      </c>
      <c r="AX512">
        <v>0.42567582898799372</v>
      </c>
      <c r="AY512">
        <v>0.85490953915514445</v>
      </c>
      <c r="BA512">
        <v>4.3609684880592933E-3</v>
      </c>
      <c r="BB512">
        <v>26</v>
      </c>
      <c r="BC512" t="s">
        <v>86</v>
      </c>
    </row>
    <row r="513" spans="1:63" x14ac:dyDescent="0.2">
      <c r="A513">
        <v>511</v>
      </c>
      <c r="B513" t="s">
        <v>69</v>
      </c>
      <c r="C513" t="s">
        <v>177</v>
      </c>
      <c r="D513" t="s">
        <v>144</v>
      </c>
      <c r="E513">
        <v>-155.2086333</v>
      </c>
      <c r="F513">
        <v>19.347316670000001</v>
      </c>
      <c r="G513" t="s">
        <v>178</v>
      </c>
      <c r="H513" t="s">
        <v>1105</v>
      </c>
      <c r="I513" t="s">
        <v>1106</v>
      </c>
      <c r="J513" t="s">
        <v>68</v>
      </c>
      <c r="K513">
        <v>7.6014215625000006</v>
      </c>
      <c r="L513">
        <v>5.8561746898437503</v>
      </c>
      <c r="M513">
        <v>139.8487904187875</v>
      </c>
      <c r="N513">
        <v>1254.685705223121</v>
      </c>
      <c r="Q513">
        <v>10.005000000000001</v>
      </c>
      <c r="R513">
        <v>1324.9639999999999</v>
      </c>
      <c r="S513">
        <v>50</v>
      </c>
      <c r="T513">
        <v>103.1204856344218</v>
      </c>
      <c r="U513">
        <v>7.3780157374913641E-2</v>
      </c>
      <c r="V513">
        <v>0.14670004896141359</v>
      </c>
      <c r="W513">
        <v>2.9492295773164388E-2</v>
      </c>
      <c r="X513">
        <v>0</v>
      </c>
      <c r="Y513">
        <v>6.4654107540236594E-2</v>
      </c>
      <c r="Z513">
        <v>0.50787520639055383</v>
      </c>
      <c r="AA513">
        <v>0.11569496652984899</v>
      </c>
      <c r="AB513">
        <v>2.149987604784263</v>
      </c>
      <c r="AC513">
        <v>0.46322855079416392</v>
      </c>
      <c r="AD513">
        <v>1271.7319410054081</v>
      </c>
      <c r="AE513">
        <v>50</v>
      </c>
      <c r="AF513">
        <v>87.056934300384327</v>
      </c>
      <c r="AG513">
        <v>2.1216818181818198</v>
      </c>
      <c r="AH513">
        <v>12.5470545454545</v>
      </c>
      <c r="AI513">
        <v>0.27337272727272699</v>
      </c>
      <c r="AJ513">
        <v>10.3521727272727</v>
      </c>
      <c r="AK513">
        <v>0.49205454545454502</v>
      </c>
      <c r="AL513">
        <v>2.5642454545454498</v>
      </c>
      <c r="AM513">
        <v>49.0749</v>
      </c>
      <c r="AN513">
        <v>9.1371454545454505</v>
      </c>
      <c r="AP513">
        <v>0.18198181818181799</v>
      </c>
      <c r="AQ513">
        <v>98.157727272727257</v>
      </c>
      <c r="AR513">
        <v>0.12055145638424999</v>
      </c>
      <c r="AS513">
        <v>0.28907753411026699</v>
      </c>
      <c r="AT513">
        <v>2.8655229571898099E-2</v>
      </c>
      <c r="AU513">
        <v>0.23406218443357801</v>
      </c>
      <c r="AV513">
        <v>5.2241982420968003E-2</v>
      </c>
      <c r="AW513">
        <v>6.6675218239408293E-2</v>
      </c>
      <c r="AX513">
        <v>0.92934608408278196</v>
      </c>
      <c r="AY513">
        <v>0.68994549402635696</v>
      </c>
      <c r="BA513">
        <v>4.8246177427477499E-2</v>
      </c>
      <c r="BE513">
        <v>0.37908292831441198</v>
      </c>
      <c r="BF513">
        <v>1119</v>
      </c>
      <c r="BG513">
        <v>124028.6827645126</v>
      </c>
      <c r="BH513">
        <v>211.1035442344031</v>
      </c>
      <c r="BI513">
        <v>198.69462975706591</v>
      </c>
      <c r="BJ513">
        <v>6.3107428150623557</v>
      </c>
      <c r="BK513">
        <v>211.10354423440319</v>
      </c>
    </row>
    <row r="514" spans="1:63" x14ac:dyDescent="0.2">
      <c r="A514">
        <v>512</v>
      </c>
      <c r="B514" t="s">
        <v>69</v>
      </c>
      <c r="C514" t="s">
        <v>76</v>
      </c>
      <c r="D514" t="s">
        <v>71</v>
      </c>
      <c r="E514">
        <v>-155.29812000000001</v>
      </c>
      <c r="F514">
        <v>19.375624999999999</v>
      </c>
      <c r="G514" t="s">
        <v>77</v>
      </c>
      <c r="H514" t="s">
        <v>1107</v>
      </c>
      <c r="I514" t="s">
        <v>1108</v>
      </c>
      <c r="J514" t="s">
        <v>68</v>
      </c>
      <c r="K514">
        <v>3.4094816531249998</v>
      </c>
      <c r="L514">
        <v>3.0068039007812501</v>
      </c>
      <c r="M514">
        <v>32.206485501173219</v>
      </c>
      <c r="N514">
        <v>137.76400510884591</v>
      </c>
      <c r="Q514">
        <v>12.148</v>
      </c>
      <c r="R514">
        <v>1324.9639999999999</v>
      </c>
      <c r="S514">
        <v>50</v>
      </c>
      <c r="T514">
        <v>103.1216426265182</v>
      </c>
      <c r="U514">
        <v>8.65819322984244E-3</v>
      </c>
      <c r="V514">
        <v>0.14715849567514991</v>
      </c>
      <c r="W514">
        <v>5.1875490306647924E-3</v>
      </c>
      <c r="X514">
        <v>0</v>
      </c>
      <c r="Y514">
        <v>6.5081527670236672E-2</v>
      </c>
      <c r="Z514">
        <v>0.5043033078412078</v>
      </c>
      <c r="AA514">
        <v>3.3921800310835339E-2</v>
      </c>
      <c r="AB514">
        <v>2.1356440805762889</v>
      </c>
      <c r="AC514">
        <v>0.1361884512034402</v>
      </c>
      <c r="AD514">
        <v>1255.740843251828</v>
      </c>
      <c r="AE514">
        <v>50</v>
      </c>
      <c r="AF514">
        <v>86.293896965612248</v>
      </c>
      <c r="AG514">
        <v>2.5039199999999999</v>
      </c>
      <c r="AH514">
        <v>14.096819999999999</v>
      </c>
      <c r="AI514">
        <v>0.27322000000000002</v>
      </c>
      <c r="AJ514">
        <v>10.95044</v>
      </c>
      <c r="AK514">
        <v>0.52094000000000007</v>
      </c>
      <c r="AL514">
        <v>2.9191400000000001</v>
      </c>
      <c r="AM514">
        <v>50.91704</v>
      </c>
      <c r="AN514">
        <v>6.4346599999999992</v>
      </c>
      <c r="AO514">
        <v>10.86684</v>
      </c>
      <c r="AP514">
        <v>0.19492000000000001</v>
      </c>
      <c r="AQ514">
        <v>99.70778</v>
      </c>
      <c r="AR514">
        <v>5.8797253337209539E-2</v>
      </c>
      <c r="AS514">
        <v>0.138496180452748</v>
      </c>
      <c r="AT514">
        <v>2.822688434808206E-2</v>
      </c>
      <c r="AU514">
        <v>7.1287502411011894E-2</v>
      </c>
      <c r="AV514">
        <v>1.2819243347405491E-2</v>
      </c>
      <c r="AW514">
        <v>2.3721045508155889E-2</v>
      </c>
      <c r="AX514">
        <v>0.39733328327740491</v>
      </c>
      <c r="AY514">
        <v>8.3972662218129629E-2</v>
      </c>
      <c r="AZ514">
        <v>5.8132675837260117E-2</v>
      </c>
      <c r="BA514">
        <v>1.931080008699795E-2</v>
      </c>
      <c r="BD514" t="s">
        <v>1109</v>
      </c>
      <c r="BE514">
        <v>9.2579353495096203E-2</v>
      </c>
      <c r="BF514">
        <v>780</v>
      </c>
      <c r="BG514">
        <v>78053.151041074001</v>
      </c>
      <c r="BH514">
        <v>47.219627747602999</v>
      </c>
      <c r="BI514">
        <v>157.623252168487</v>
      </c>
      <c r="BJ514">
        <v>1.69073388883318</v>
      </c>
      <c r="BK514">
        <v>47.219627747602999</v>
      </c>
    </row>
    <row r="515" spans="1:63" x14ac:dyDescent="0.2">
      <c r="A515">
        <v>513</v>
      </c>
      <c r="B515" t="s">
        <v>69</v>
      </c>
      <c r="C515" t="s">
        <v>70</v>
      </c>
      <c r="D515" t="s">
        <v>71</v>
      </c>
      <c r="E515">
        <v>-155.29521700000001</v>
      </c>
      <c r="F515">
        <v>19.380050000000001</v>
      </c>
      <c r="G515" t="s">
        <v>72</v>
      </c>
      <c r="H515" t="s">
        <v>867</v>
      </c>
      <c r="I515" t="s">
        <v>1110</v>
      </c>
      <c r="J515" t="s">
        <v>68</v>
      </c>
      <c r="K515">
        <v>9.9551889640624989</v>
      </c>
      <c r="L515">
        <v>7.3008515906250002</v>
      </c>
      <c r="M515">
        <v>228.3352177798281</v>
      </c>
      <c r="N515">
        <v>2626.774518714743</v>
      </c>
      <c r="O515" t="s">
        <v>1111</v>
      </c>
      <c r="Q515">
        <v>9.9749999999999996</v>
      </c>
      <c r="R515">
        <v>1324.9639999999999</v>
      </c>
      <c r="S515">
        <v>100</v>
      </c>
      <c r="T515">
        <v>103.1221301709375</v>
      </c>
      <c r="U515">
        <v>1.6294875640459269E-2</v>
      </c>
      <c r="V515">
        <v>0.14735168034560789</v>
      </c>
      <c r="W515">
        <v>7.538837771653777E-3</v>
      </c>
      <c r="X515">
        <v>0</v>
      </c>
      <c r="Y515">
        <v>6.8215426881590879E-2</v>
      </c>
      <c r="Z515">
        <v>0.48012932162267341</v>
      </c>
      <c r="AA515">
        <v>4.8160500736975483E-2</v>
      </c>
      <c r="AB515">
        <v>2.0383021741054659</v>
      </c>
      <c r="AC515">
        <v>0.19419058836394279</v>
      </c>
      <c r="AD515">
        <v>1180.0581100576769</v>
      </c>
      <c r="AE515">
        <v>100</v>
      </c>
      <c r="AG515">
        <v>2.2279499999999999</v>
      </c>
      <c r="AH515">
        <v>13.352833333333299</v>
      </c>
      <c r="AI515">
        <v>0.24784999999999999</v>
      </c>
      <c r="AJ515">
        <v>10.769925000000001</v>
      </c>
      <c r="AK515">
        <v>0.458658333333333</v>
      </c>
      <c r="AL515">
        <v>2.5651666666666699</v>
      </c>
      <c r="AM515">
        <v>49.994483333333299</v>
      </c>
      <c r="AN515">
        <v>7.5202</v>
      </c>
      <c r="AP515">
        <v>0.191325</v>
      </c>
      <c r="AQ515">
        <v>98.558233333333263</v>
      </c>
      <c r="AR515">
        <v>0.14304287024271001</v>
      </c>
      <c r="AS515">
        <v>0.3104741808423</v>
      </c>
      <c r="AT515">
        <v>3.4962174365500198E-2</v>
      </c>
      <c r="AU515">
        <v>0.26587969639396197</v>
      </c>
      <c r="AV515">
        <v>3.3980675212226003E-2</v>
      </c>
      <c r="AW515">
        <v>6.29080618237777E-2</v>
      </c>
      <c r="AX515">
        <v>0.87125962713693395</v>
      </c>
      <c r="AY515">
        <v>0.51836887532826603</v>
      </c>
      <c r="BA515">
        <v>4.33659507196393E-2</v>
      </c>
      <c r="BE515">
        <v>0.1774858677258131</v>
      </c>
      <c r="BF515">
        <v>392</v>
      </c>
      <c r="BG515">
        <v>164278.82322369699</v>
      </c>
      <c r="BH515">
        <v>25.55567749192733</v>
      </c>
      <c r="BI515">
        <v>228.67350857224821</v>
      </c>
      <c r="BJ515">
        <v>1.290756632311302</v>
      </c>
      <c r="BK515">
        <v>25.55567749192733</v>
      </c>
    </row>
    <row r="516" spans="1:63" x14ac:dyDescent="0.2">
      <c r="A516">
        <v>514</v>
      </c>
      <c r="B516" t="s">
        <v>69</v>
      </c>
      <c r="C516" t="s">
        <v>91</v>
      </c>
      <c r="D516" t="s">
        <v>92</v>
      </c>
      <c r="E516">
        <v>-155.272412745889</v>
      </c>
      <c r="F516">
        <v>19.3454197541963</v>
      </c>
      <c r="G516" t="s">
        <v>124</v>
      </c>
      <c r="H516" t="s">
        <v>1049</v>
      </c>
      <c r="I516" t="s">
        <v>1112</v>
      </c>
      <c r="J516" t="s">
        <v>68</v>
      </c>
      <c r="K516">
        <v>4.5602136742187493</v>
      </c>
      <c r="L516">
        <v>4.00858757734375</v>
      </c>
      <c r="M516">
        <v>57.428363610269962</v>
      </c>
      <c r="N516">
        <v>328.06148931924503</v>
      </c>
      <c r="O516" t="s">
        <v>1051</v>
      </c>
      <c r="Q516">
        <v>12.039</v>
      </c>
      <c r="R516">
        <v>1325.0039999999999</v>
      </c>
      <c r="S516">
        <v>50</v>
      </c>
      <c r="T516">
        <v>103.1238921686808</v>
      </c>
      <c r="U516">
        <v>4.3218319727454883E-3</v>
      </c>
      <c r="V516">
        <v>0.1480498545834408</v>
      </c>
      <c r="W516">
        <v>4.2537424432931466E-3</v>
      </c>
      <c r="X516">
        <v>0.62174013856221644</v>
      </c>
      <c r="Y516">
        <v>6.6310158018022425E-2</v>
      </c>
      <c r="Z516">
        <v>0.49443146666547511</v>
      </c>
      <c r="AA516">
        <v>2.9173816453334129E-2</v>
      </c>
      <c r="AB516">
        <v>2.0959493523077781</v>
      </c>
      <c r="AC516">
        <v>0.11734797879055529</v>
      </c>
      <c r="AD516">
        <v>1216.1412887649319</v>
      </c>
      <c r="AE516">
        <v>50</v>
      </c>
      <c r="AF516">
        <v>84.06136971820915</v>
      </c>
      <c r="AG516">
        <v>2.4452269230769228</v>
      </c>
      <c r="AH516">
        <v>12.97811153846154</v>
      </c>
      <c r="AJ516">
        <v>10.30404615384615</v>
      </c>
      <c r="AK516">
        <v>0.55342692307692309</v>
      </c>
      <c r="AL516">
        <v>2.900669230769231</v>
      </c>
      <c r="AM516">
        <v>50.451046153846157</v>
      </c>
      <c r="AN516">
        <v>6.0883423076923071</v>
      </c>
      <c r="AP516">
        <v>1.6526923076923071E-2</v>
      </c>
      <c r="AQ516">
        <v>97.170811538461535</v>
      </c>
      <c r="AR516">
        <v>0.14452695958247319</v>
      </c>
      <c r="AS516">
        <v>0.56238533005541524</v>
      </c>
      <c r="AU516">
        <v>0.81302815263963402</v>
      </c>
      <c r="AV516">
        <v>0.1071919159552335</v>
      </c>
      <c r="AW516">
        <v>0.48878923864523122</v>
      </c>
      <c r="AX516">
        <v>0.42567582898799372</v>
      </c>
      <c r="AY516">
        <v>0.85490953915514445</v>
      </c>
      <c r="BA516">
        <v>4.3609684880592933E-3</v>
      </c>
      <c r="BB516">
        <v>26</v>
      </c>
      <c r="BC516" t="s">
        <v>86</v>
      </c>
    </row>
    <row r="517" spans="1:63" x14ac:dyDescent="0.2">
      <c r="A517">
        <v>515</v>
      </c>
      <c r="B517" t="s">
        <v>69</v>
      </c>
      <c r="C517" t="s">
        <v>91</v>
      </c>
      <c r="D517" t="s">
        <v>92</v>
      </c>
      <c r="E517">
        <v>-155.28360000000001</v>
      </c>
      <c r="F517">
        <v>19.4285</v>
      </c>
      <c r="G517" t="s">
        <v>212</v>
      </c>
      <c r="H517" t="s">
        <v>1032</v>
      </c>
      <c r="I517" t="s">
        <v>1113</v>
      </c>
      <c r="J517" t="s">
        <v>68</v>
      </c>
      <c r="K517">
        <v>8.2380115609374993</v>
      </c>
      <c r="L517">
        <v>5.6677663664062514</v>
      </c>
      <c r="M517">
        <v>146.6844948202085</v>
      </c>
      <c r="N517">
        <v>1359.841340236283</v>
      </c>
      <c r="O517" t="s">
        <v>1034</v>
      </c>
      <c r="Q517">
        <v>11.986000000000001</v>
      </c>
      <c r="R517">
        <v>1325.0039999999999</v>
      </c>
      <c r="S517">
        <v>50</v>
      </c>
      <c r="T517">
        <v>103.1252622952907</v>
      </c>
      <c r="U517">
        <v>2.0657419284443772E-3</v>
      </c>
      <c r="V517">
        <v>0.14859275374730879</v>
      </c>
      <c r="W517">
        <v>3.9805294347920643E-3</v>
      </c>
      <c r="X517">
        <v>0</v>
      </c>
      <c r="Y517">
        <v>6.5577712868898796E-2</v>
      </c>
      <c r="Z517">
        <v>0.50026568393234916</v>
      </c>
      <c r="AA517">
        <v>2.9693877365418189E-2</v>
      </c>
      <c r="AB517">
        <v>2.1194181541431698</v>
      </c>
      <c r="AC517">
        <v>0.11924528597513349</v>
      </c>
      <c r="AD517">
        <v>1227.9896578842761</v>
      </c>
      <c r="AE517">
        <v>50</v>
      </c>
      <c r="AF517">
        <v>84.7927726668742</v>
      </c>
      <c r="AG517">
        <v>2.1021777777777779</v>
      </c>
      <c r="AH517">
        <v>12.18196296296296</v>
      </c>
      <c r="AJ517">
        <v>10.35145925925926</v>
      </c>
      <c r="AK517">
        <v>0.4553962962962963</v>
      </c>
      <c r="AL517">
        <v>2.3345296296296301</v>
      </c>
      <c r="AM517">
        <v>49.209007407407412</v>
      </c>
      <c r="AN517">
        <v>9.4706370370370365</v>
      </c>
      <c r="AP517">
        <v>1.7722222222222219E-2</v>
      </c>
      <c r="AQ517">
        <v>97.341288888888897</v>
      </c>
      <c r="AR517">
        <v>3.1603703937420069E-2</v>
      </c>
      <c r="AS517">
        <v>0.1308813941885143</v>
      </c>
      <c r="AU517">
        <v>0.12790190128874709</v>
      </c>
      <c r="AV517">
        <v>3.4622563579722238E-2</v>
      </c>
      <c r="AW517">
        <v>4.9585767303615608E-2</v>
      </c>
      <c r="AX517">
        <v>0.4308268757472053</v>
      </c>
      <c r="AY517">
        <v>0.20483483806030409</v>
      </c>
      <c r="BA517">
        <v>4.922736366426028E-3</v>
      </c>
      <c r="BB517">
        <v>27</v>
      </c>
      <c r="BC517" t="s">
        <v>86</v>
      </c>
    </row>
    <row r="518" spans="1:63" x14ac:dyDescent="0.2">
      <c r="A518">
        <v>516</v>
      </c>
      <c r="B518" t="s">
        <v>69</v>
      </c>
      <c r="C518" t="s">
        <v>177</v>
      </c>
      <c r="D518" t="s">
        <v>144</v>
      </c>
      <c r="E518">
        <v>-155.2086333</v>
      </c>
      <c r="F518">
        <v>19.347316670000001</v>
      </c>
      <c r="G518" t="s">
        <v>178</v>
      </c>
      <c r="H518" t="s">
        <v>757</v>
      </c>
      <c r="I518" t="s">
        <v>1114</v>
      </c>
      <c r="J518" t="s">
        <v>68</v>
      </c>
      <c r="K518">
        <v>9.8397728843749999</v>
      </c>
      <c r="L518">
        <v>9.2651914242187505</v>
      </c>
      <c r="M518">
        <v>286.41076919593951</v>
      </c>
      <c r="N518">
        <v>3647.9116820568711</v>
      </c>
      <c r="Q518">
        <v>10.019</v>
      </c>
      <c r="R518">
        <v>1324.9639999999999</v>
      </c>
      <c r="S518">
        <v>50</v>
      </c>
      <c r="T518">
        <v>103.1289909758959</v>
      </c>
      <c r="U518">
        <v>8.3580314195521432E-3</v>
      </c>
      <c r="V518">
        <v>0.1500702066836439</v>
      </c>
      <c r="W518">
        <v>5.1164679977317839E-3</v>
      </c>
      <c r="X518">
        <v>0</v>
      </c>
      <c r="Y518">
        <v>6.2764643998790115E-2</v>
      </c>
      <c r="Z518">
        <v>0.52475692674615604</v>
      </c>
      <c r="AA518">
        <v>3.3465333454116272E-2</v>
      </c>
      <c r="AB518">
        <v>2.217642202921891</v>
      </c>
      <c r="AC518">
        <v>0.13374710360961639</v>
      </c>
      <c r="AD518">
        <v>1285.334631863587</v>
      </c>
      <c r="AE518">
        <v>50</v>
      </c>
      <c r="AF518">
        <v>87.660556380445897</v>
      </c>
      <c r="AG518">
        <v>2.1216818181818198</v>
      </c>
      <c r="AH518">
        <v>12.5470545454545</v>
      </c>
      <c r="AI518">
        <v>0.27337272727272699</v>
      </c>
      <c r="AJ518">
        <v>10.3521727272727</v>
      </c>
      <c r="AK518">
        <v>0.49205454545454502</v>
      </c>
      <c r="AL518">
        <v>2.5642454545454498</v>
      </c>
      <c r="AM518">
        <v>49.0749</v>
      </c>
      <c r="AN518">
        <v>9.1371454545454505</v>
      </c>
      <c r="AP518">
        <v>0.18198181818181799</v>
      </c>
      <c r="AQ518">
        <v>98.157727272727257</v>
      </c>
      <c r="AR518">
        <v>0.12055145638424999</v>
      </c>
      <c r="AS518">
        <v>0.28907753411026699</v>
      </c>
      <c r="AT518">
        <v>2.8655229571898099E-2</v>
      </c>
      <c r="AU518">
        <v>0.23406218443357801</v>
      </c>
      <c r="AV518">
        <v>5.2241982420968003E-2</v>
      </c>
      <c r="AW518">
        <v>6.6675218239408293E-2</v>
      </c>
      <c r="AX518">
        <v>0.92934608408278196</v>
      </c>
      <c r="AY518">
        <v>0.68994549402635696</v>
      </c>
      <c r="BA518">
        <v>4.8246177427477499E-2</v>
      </c>
      <c r="BE518">
        <v>0.16483338459317529</v>
      </c>
      <c r="BF518">
        <v>1115</v>
      </c>
      <c r="BG518">
        <v>138566.69308374889</v>
      </c>
      <c r="BH518">
        <v>11.233077926071919</v>
      </c>
      <c r="BI518">
        <v>210.0170190826266</v>
      </c>
      <c r="BJ518">
        <v>0.3364041447482039</v>
      </c>
      <c r="BK518">
        <v>11.233077926071919</v>
      </c>
    </row>
    <row r="519" spans="1:63" x14ac:dyDescent="0.2">
      <c r="A519">
        <v>517</v>
      </c>
      <c r="B519" t="s">
        <v>69</v>
      </c>
      <c r="C519" t="s">
        <v>321</v>
      </c>
      <c r="D519" t="s">
        <v>322</v>
      </c>
      <c r="E519">
        <v>-155.27718329999999</v>
      </c>
      <c r="F519">
        <v>19.40966667</v>
      </c>
      <c r="G519" t="s">
        <v>323</v>
      </c>
      <c r="H519" t="s">
        <v>1115</v>
      </c>
      <c r="I519" t="s">
        <v>1116</v>
      </c>
      <c r="J519" t="s">
        <v>68</v>
      </c>
      <c r="K519">
        <v>11.915460758593751</v>
      </c>
      <c r="L519">
        <v>10.58195755390625</v>
      </c>
      <c r="M519">
        <v>396.11996188478872</v>
      </c>
      <c r="N519">
        <v>5941.1176563024319</v>
      </c>
      <c r="O519" t="s">
        <v>1117</v>
      </c>
      <c r="Q519">
        <v>9.9760000000000009</v>
      </c>
      <c r="R519">
        <v>1324.9639999999999</v>
      </c>
      <c r="S519">
        <v>50</v>
      </c>
      <c r="T519">
        <v>103.12983971059209</v>
      </c>
      <c r="U519">
        <v>2.2175254861135831E-2</v>
      </c>
      <c r="V519">
        <v>0.15040650944105491</v>
      </c>
      <c r="W519">
        <v>9.6137977162682915E-3</v>
      </c>
      <c r="X519">
        <v>0</v>
      </c>
      <c r="Y519">
        <v>6.2369590532796448E-2</v>
      </c>
      <c r="Z519">
        <v>0.52851029027624397</v>
      </c>
      <c r="AA519">
        <v>4.780123320456222E-2</v>
      </c>
      <c r="AB519">
        <v>2.2326535356168451</v>
      </c>
      <c r="AC519">
        <v>0.19088728057658669</v>
      </c>
      <c r="AD519">
        <v>1292.7854166413081</v>
      </c>
      <c r="AE519">
        <v>50</v>
      </c>
      <c r="AF519">
        <v>87.975861718200321</v>
      </c>
      <c r="AG519">
        <v>2.3548666666666702</v>
      </c>
      <c r="AH519">
        <v>13.693199999999999</v>
      </c>
      <c r="AI519">
        <v>0.31578888888888901</v>
      </c>
      <c r="AJ519">
        <v>10.647211111111099</v>
      </c>
      <c r="AK519">
        <v>0.57640000000000002</v>
      </c>
      <c r="AL519">
        <v>2.9864222222222199</v>
      </c>
      <c r="AM519">
        <v>50.176744444444402</v>
      </c>
      <c r="AN519">
        <v>6.02064444444445</v>
      </c>
      <c r="AP519">
        <v>0.192211111111111</v>
      </c>
      <c r="AQ519">
        <v>98.596999999999909</v>
      </c>
      <c r="AR519">
        <v>0.13013498760902101</v>
      </c>
      <c r="AS519">
        <v>0.18486291542653999</v>
      </c>
      <c r="AT519">
        <v>3.2683881518435202E-2</v>
      </c>
      <c r="AU519">
        <v>0.25932300054393698</v>
      </c>
      <c r="AV519">
        <v>5.4947019937390602E-2</v>
      </c>
      <c r="AW519">
        <v>8.2598785974398195E-2</v>
      </c>
      <c r="AX519">
        <v>1.0616485472027799</v>
      </c>
      <c r="AY519">
        <v>0.12895273466575999</v>
      </c>
      <c r="BA519">
        <v>3.7379287193726803E-2</v>
      </c>
      <c r="BE519">
        <v>0.3000677860995174</v>
      </c>
      <c r="BF519">
        <v>2616</v>
      </c>
      <c r="BG519">
        <v>1200017.308799186</v>
      </c>
      <c r="BH519">
        <v>1397.130235798541</v>
      </c>
      <c r="BI519">
        <v>618.04318051609289</v>
      </c>
      <c r="BJ519">
        <v>27.316057715035761</v>
      </c>
      <c r="BK519">
        <v>1397.130235798541</v>
      </c>
    </row>
    <row r="520" spans="1:63" x14ac:dyDescent="0.2">
      <c r="A520">
        <v>518</v>
      </c>
      <c r="B520" t="s">
        <v>69</v>
      </c>
      <c r="C520" t="s">
        <v>70</v>
      </c>
      <c r="D520" t="s">
        <v>71</v>
      </c>
      <c r="E520">
        <v>-155.29347999999999</v>
      </c>
      <c r="F520">
        <v>19.377479999999998</v>
      </c>
      <c r="G520" t="s">
        <v>112</v>
      </c>
      <c r="H520" t="s">
        <v>1060</v>
      </c>
      <c r="I520" t="s">
        <v>1118</v>
      </c>
      <c r="J520" t="s">
        <v>68</v>
      </c>
      <c r="K520">
        <v>23.784545871875</v>
      </c>
      <c r="L520">
        <v>21.63319247109375</v>
      </c>
      <c r="M520">
        <v>1616.461445331106</v>
      </c>
      <c r="N520">
        <v>48944.015310363517</v>
      </c>
      <c r="Q520">
        <v>12.021000000000001</v>
      </c>
      <c r="R520">
        <v>1324.9639999999999</v>
      </c>
      <c r="S520">
        <v>50</v>
      </c>
      <c r="T520">
        <v>103.1330891236225</v>
      </c>
      <c r="U520">
        <v>7.436801467923442E-3</v>
      </c>
      <c r="V520">
        <v>0.1516940573250167</v>
      </c>
      <c r="W520">
        <v>4.892228997904419E-3</v>
      </c>
      <c r="X520">
        <v>5.677096723321907</v>
      </c>
      <c r="Y520">
        <v>6.1202086962958702E-2</v>
      </c>
      <c r="Z520">
        <v>0.54014903972428219</v>
      </c>
      <c r="AA520">
        <v>3.064366508395824E-2</v>
      </c>
      <c r="AB520">
        <v>2.2791317642721389</v>
      </c>
      <c r="AC520">
        <v>0.1222355279297144</v>
      </c>
      <c r="AD520">
        <v>1312.917190724176</v>
      </c>
      <c r="AE520">
        <v>50</v>
      </c>
      <c r="AF520">
        <v>88.780859262275669</v>
      </c>
      <c r="AG520">
        <v>2.1280100000000002</v>
      </c>
      <c r="AH520">
        <v>12.511455</v>
      </c>
      <c r="AI520">
        <v>0.21128</v>
      </c>
      <c r="AJ520">
        <v>10.547185000000001</v>
      </c>
      <c r="AK520">
        <v>0.43435000000000001</v>
      </c>
      <c r="AL520">
        <v>2.4173399999999998</v>
      </c>
      <c r="AM520">
        <v>50.003889999999998</v>
      </c>
      <c r="AN520">
        <v>8.5805450000000008</v>
      </c>
      <c r="AO520">
        <v>11.0444</v>
      </c>
      <c r="AP520">
        <v>0.37786999999999998</v>
      </c>
      <c r="AQ520">
        <v>98.290260000000004</v>
      </c>
      <c r="AR520">
        <v>4.7093422517846893E-2</v>
      </c>
      <c r="AS520">
        <v>0.17423154844121161</v>
      </c>
      <c r="AT520">
        <v>2.1925114974993089E-2</v>
      </c>
      <c r="AU520">
        <v>0.1853741817244248</v>
      </c>
      <c r="AV520">
        <v>1.0520403456564249E-2</v>
      </c>
      <c r="AW520">
        <v>3.5166562401109248E-2</v>
      </c>
      <c r="AX520">
        <v>0.46106226248619608</v>
      </c>
      <c r="AY520">
        <v>0.4051107053427907</v>
      </c>
      <c r="AZ520">
        <v>0.14841023100402101</v>
      </c>
      <c r="BA520">
        <v>1.7068639208924791E-2</v>
      </c>
      <c r="BD520" t="s">
        <v>1062</v>
      </c>
      <c r="BE520">
        <v>0.74095207590741397</v>
      </c>
      <c r="BF520">
        <v>13180</v>
      </c>
      <c r="BG520">
        <v>1322702.517348143</v>
      </c>
      <c r="BH520">
        <v>1951.6771865074629</v>
      </c>
      <c r="BI520">
        <v>648.86769664709072</v>
      </c>
      <c r="BJ520">
        <v>17.000053200697099</v>
      </c>
      <c r="BK520">
        <v>1951.6771865074629</v>
      </c>
    </row>
    <row r="521" spans="1:63" x14ac:dyDescent="0.2">
      <c r="A521">
        <v>519</v>
      </c>
      <c r="B521" t="s">
        <v>69</v>
      </c>
      <c r="C521" t="s">
        <v>70</v>
      </c>
      <c r="D521" t="s">
        <v>71</v>
      </c>
      <c r="E521">
        <v>-155.29347999999999</v>
      </c>
      <c r="F521">
        <v>19.377479999999998</v>
      </c>
      <c r="G521" t="s">
        <v>112</v>
      </c>
      <c r="H521" t="s">
        <v>1119</v>
      </c>
      <c r="I521" t="s">
        <v>1120</v>
      </c>
      <c r="J521" t="s">
        <v>68</v>
      </c>
      <c r="K521">
        <v>4.0835557257812498</v>
      </c>
      <c r="L521">
        <v>3.5297793796875001</v>
      </c>
      <c r="M521">
        <v>45.283076091280648</v>
      </c>
      <c r="N521">
        <v>229.83682192623971</v>
      </c>
      <c r="Q521">
        <v>11.954000000000001</v>
      </c>
      <c r="R521">
        <v>1324.9639999999999</v>
      </c>
      <c r="S521">
        <v>50</v>
      </c>
      <c r="T521">
        <v>103.13559260264771</v>
      </c>
      <c r="U521">
        <v>4.0986016946431472E-3</v>
      </c>
      <c r="V521">
        <v>0.15268603621201751</v>
      </c>
      <c r="W521">
        <v>4.2323821687288944E-3</v>
      </c>
      <c r="X521">
        <v>0</v>
      </c>
      <c r="Y521">
        <v>6.280959369153527E-2</v>
      </c>
      <c r="Z521">
        <v>0.52438199999942636</v>
      </c>
      <c r="AA521">
        <v>2.9236518085866511E-2</v>
      </c>
      <c r="AB521">
        <v>2.2161420997301939</v>
      </c>
      <c r="AC521">
        <v>0.11685345329976669</v>
      </c>
      <c r="AD521">
        <v>1255.9084498320719</v>
      </c>
      <c r="AE521">
        <v>50</v>
      </c>
      <c r="AF521">
        <v>86.30223207130993</v>
      </c>
      <c r="AG521">
        <v>2.1280100000000002</v>
      </c>
      <c r="AH521">
        <v>12.511455</v>
      </c>
      <c r="AI521">
        <v>0.21128</v>
      </c>
      <c r="AJ521">
        <v>10.547185000000001</v>
      </c>
      <c r="AK521">
        <v>0.43435000000000001</v>
      </c>
      <c r="AL521">
        <v>2.4173399999999998</v>
      </c>
      <c r="AM521">
        <v>50.003889999999998</v>
      </c>
      <c r="AN521">
        <v>8.5805450000000008</v>
      </c>
      <c r="AO521">
        <v>11.0444</v>
      </c>
      <c r="AP521">
        <v>0.37786999999999998</v>
      </c>
      <c r="AQ521">
        <v>98.290260000000004</v>
      </c>
      <c r="AR521">
        <v>4.7093422517846893E-2</v>
      </c>
      <c r="AS521">
        <v>0.17423154844121161</v>
      </c>
      <c r="AT521">
        <v>2.1925114974993089E-2</v>
      </c>
      <c r="AU521">
        <v>0.1853741817244248</v>
      </c>
      <c r="AV521">
        <v>1.0520403456564249E-2</v>
      </c>
      <c r="AW521">
        <v>3.5166562401109248E-2</v>
      </c>
      <c r="AX521">
        <v>0.46106226248619608</v>
      </c>
      <c r="AY521">
        <v>0.4051107053427907</v>
      </c>
      <c r="AZ521">
        <v>0.14841023100402101</v>
      </c>
      <c r="BA521">
        <v>1.7068639208924791E-2</v>
      </c>
      <c r="BD521" t="s">
        <v>1121</v>
      </c>
      <c r="BE521">
        <v>8.9386319997929981E-2</v>
      </c>
      <c r="BF521">
        <v>4645</v>
      </c>
      <c r="BG521">
        <v>231065.4043943593</v>
      </c>
      <c r="BH521">
        <v>48.042059245756043</v>
      </c>
      <c r="BI521">
        <v>271.20177465086778</v>
      </c>
      <c r="BJ521">
        <v>0.70490202031936278</v>
      </c>
      <c r="BK521">
        <v>48.042059245756043</v>
      </c>
    </row>
    <row r="522" spans="1:63" x14ac:dyDescent="0.2">
      <c r="A522">
        <v>520</v>
      </c>
      <c r="B522" t="s">
        <v>69</v>
      </c>
      <c r="C522" t="s">
        <v>70</v>
      </c>
      <c r="D522" t="s">
        <v>71</v>
      </c>
      <c r="E522">
        <v>-155.29347999999999</v>
      </c>
      <c r="F522">
        <v>19.377479999999998</v>
      </c>
      <c r="G522" t="s">
        <v>112</v>
      </c>
      <c r="H522" t="s">
        <v>1078</v>
      </c>
      <c r="I522" t="s">
        <v>1122</v>
      </c>
      <c r="J522" t="s">
        <v>68</v>
      </c>
      <c r="O522" t="s">
        <v>296</v>
      </c>
      <c r="Q522">
        <v>12.009</v>
      </c>
      <c r="R522">
        <v>1324.9639999999999</v>
      </c>
      <c r="S522">
        <v>50</v>
      </c>
      <c r="T522">
        <v>103.1382602568291</v>
      </c>
      <c r="U522">
        <v>7.5153441648781001E-3</v>
      </c>
      <c r="V522">
        <v>0.15374306788643821</v>
      </c>
      <c r="W522">
        <v>4.9163499296895714E-3</v>
      </c>
      <c r="X522">
        <v>0</v>
      </c>
      <c r="Y522">
        <v>6.0602227515673901E-2</v>
      </c>
      <c r="Z522">
        <v>0.54650228537181578</v>
      </c>
      <c r="AA522">
        <v>3.0881317869656071E-2</v>
      </c>
      <c r="AB522">
        <v>2.3044582240184499</v>
      </c>
      <c r="AC522">
        <v>0.1230317805400003</v>
      </c>
      <c r="AD522">
        <v>1308.7298661033481</v>
      </c>
      <c r="AE522">
        <v>50</v>
      </c>
      <c r="AF522">
        <v>88.618640620302685</v>
      </c>
      <c r="AG522">
        <v>2.1280100000000002</v>
      </c>
      <c r="AH522">
        <v>12.511455</v>
      </c>
      <c r="AI522">
        <v>0.21128</v>
      </c>
      <c r="AJ522">
        <v>10.547185000000001</v>
      </c>
      <c r="AK522">
        <v>0.43435000000000001</v>
      </c>
      <c r="AL522">
        <v>2.4173399999999998</v>
      </c>
      <c r="AM522">
        <v>50.003889999999998</v>
      </c>
      <c r="AN522">
        <v>8.5805450000000008</v>
      </c>
      <c r="AO522">
        <v>11.0444</v>
      </c>
      <c r="AP522">
        <v>0.37786999999999998</v>
      </c>
      <c r="AQ522">
        <v>98.290260000000004</v>
      </c>
      <c r="AR522">
        <v>4.7093422517846893E-2</v>
      </c>
      <c r="AS522">
        <v>0.17423154844121161</v>
      </c>
      <c r="AT522">
        <v>2.1925114974993089E-2</v>
      </c>
      <c r="AU522">
        <v>0.1853741817244248</v>
      </c>
      <c r="AV522">
        <v>1.0520403456564249E-2</v>
      </c>
      <c r="AW522">
        <v>3.5166562401109248E-2</v>
      </c>
      <c r="AX522">
        <v>0.46106226248619608</v>
      </c>
      <c r="AY522">
        <v>0.4051107053427907</v>
      </c>
      <c r="AZ522">
        <v>0.14841023100402101</v>
      </c>
      <c r="BA522">
        <v>1.7068639208924791E-2</v>
      </c>
    </row>
    <row r="523" spans="1:63" x14ac:dyDescent="0.2">
      <c r="A523">
        <v>521</v>
      </c>
      <c r="B523" t="s">
        <v>69</v>
      </c>
      <c r="C523" t="s">
        <v>784</v>
      </c>
      <c r="D523" t="s">
        <v>322</v>
      </c>
      <c r="E523">
        <v>-155.35314403066801</v>
      </c>
      <c r="F523">
        <v>19.349489671806701</v>
      </c>
      <c r="G523" t="s">
        <v>785</v>
      </c>
      <c r="H523" t="s">
        <v>1123</v>
      </c>
      <c r="I523" t="s">
        <v>1124</v>
      </c>
      <c r="J523" t="s">
        <v>68</v>
      </c>
      <c r="K523">
        <v>7.3326404101562499</v>
      </c>
      <c r="L523">
        <v>6.0678870656250004</v>
      </c>
      <c r="M523">
        <v>139.7808733969886</v>
      </c>
      <c r="N523">
        <v>1248.7582896966981</v>
      </c>
      <c r="Q523">
        <v>5.9939999999999998</v>
      </c>
      <c r="R523">
        <v>1324.9639999999999</v>
      </c>
      <c r="S523">
        <v>100</v>
      </c>
      <c r="T523">
        <v>103.1383118269146</v>
      </c>
      <c r="U523">
        <v>1.1815739217025251E-2</v>
      </c>
      <c r="V523">
        <v>0.15376350202448211</v>
      </c>
      <c r="W523">
        <v>6.1010784825456894E-3</v>
      </c>
      <c r="X523">
        <v>0</v>
      </c>
      <c r="Y523">
        <v>6.1655973185920643E-2</v>
      </c>
      <c r="Z523">
        <v>0.5355686743210315</v>
      </c>
      <c r="AA523">
        <v>3.4708269481698702E-2</v>
      </c>
      <c r="AB523">
        <v>2.260853158038425</v>
      </c>
      <c r="AC523">
        <v>0.13851448755614559</v>
      </c>
      <c r="AD523">
        <v>1276.87265937233</v>
      </c>
      <c r="AE523">
        <v>50</v>
      </c>
      <c r="AF523">
        <v>87.289561058570953</v>
      </c>
      <c r="AG523">
        <v>2.3570000000000002</v>
      </c>
      <c r="AH523">
        <v>13.715999999999999</v>
      </c>
      <c r="AI523">
        <v>0.24811</v>
      </c>
      <c r="AJ523">
        <v>11.47284</v>
      </c>
      <c r="AK523">
        <v>0.52964999999999995</v>
      </c>
      <c r="AL523">
        <v>2.8898700000000002</v>
      </c>
      <c r="AM523">
        <v>50.692570000000003</v>
      </c>
      <c r="AN523">
        <v>6.9913700000000008</v>
      </c>
      <c r="AP523">
        <v>0.16611000000000001</v>
      </c>
      <c r="AQ523">
        <v>100.03395</v>
      </c>
      <c r="AR523">
        <v>5.8782724928332357E-2</v>
      </c>
      <c r="AS523">
        <v>0.14197203950074119</v>
      </c>
      <c r="AT523">
        <v>1.8524929149662091E-2</v>
      </c>
      <c r="AU523">
        <v>7.580298806775411E-2</v>
      </c>
      <c r="AV523">
        <v>2.37537365481728E-2</v>
      </c>
      <c r="AW523">
        <v>6.5014994424363204E-2</v>
      </c>
      <c r="AX523">
        <v>0.40904520777048697</v>
      </c>
      <c r="AY523">
        <v>7.4371412518520627E-2</v>
      </c>
      <c r="BA523">
        <v>1.149502066113846E-2</v>
      </c>
      <c r="BB523">
        <v>5</v>
      </c>
      <c r="BC523" t="s">
        <v>86</v>
      </c>
      <c r="BE523">
        <v>1.437187837293135</v>
      </c>
      <c r="BF523">
        <v>11646</v>
      </c>
      <c r="BG523">
        <v>1521640.406292198</v>
      </c>
      <c r="BH523">
        <v>12094.338022469799</v>
      </c>
      <c r="BI523">
        <v>695.95487248781183</v>
      </c>
      <c r="BJ523">
        <v>112.0711193361749</v>
      </c>
      <c r="BK523">
        <v>12094.338022469799</v>
      </c>
    </row>
    <row r="524" spans="1:63" x14ac:dyDescent="0.2">
      <c r="A524">
        <v>522</v>
      </c>
      <c r="B524" t="s">
        <v>69</v>
      </c>
      <c r="C524" t="s">
        <v>70</v>
      </c>
      <c r="D524" t="s">
        <v>71</v>
      </c>
      <c r="E524">
        <v>-155.29347999999999</v>
      </c>
      <c r="F524">
        <v>19.377479999999998</v>
      </c>
      <c r="G524" t="s">
        <v>112</v>
      </c>
      <c r="H524" t="s">
        <v>1125</v>
      </c>
      <c r="I524" t="s">
        <v>1126</v>
      </c>
      <c r="J524" t="s">
        <v>68</v>
      </c>
      <c r="K524">
        <v>1.6640419125000001</v>
      </c>
      <c r="L524">
        <v>1.5536805539062499</v>
      </c>
      <c r="M524">
        <v>8.1222408494200007</v>
      </c>
      <c r="N524">
        <v>17.423411239160881</v>
      </c>
      <c r="Q524">
        <v>9.0850000000000009</v>
      </c>
      <c r="R524">
        <v>1324.9639999999999</v>
      </c>
      <c r="S524">
        <v>100</v>
      </c>
      <c r="T524">
        <v>103.13942179844641</v>
      </c>
      <c r="U524">
        <v>2.3077527872841459E-2</v>
      </c>
      <c r="V524">
        <v>0.15420331730304329</v>
      </c>
      <c r="W524">
        <v>1.0009708604576841E-2</v>
      </c>
      <c r="X524">
        <v>0</v>
      </c>
      <c r="Y524">
        <v>6.2029670734791383E-2</v>
      </c>
      <c r="Z524">
        <v>0.53187307858565058</v>
      </c>
      <c r="AA524">
        <v>4.1630455138899083E-2</v>
      </c>
      <c r="AB524">
        <v>2.2460933985733482</v>
      </c>
      <c r="AC524">
        <v>0.1661613252550018</v>
      </c>
      <c r="AD524">
        <v>1261.5306426530949</v>
      </c>
      <c r="AE524">
        <v>50</v>
      </c>
      <c r="AF524">
        <v>86.577500444598016</v>
      </c>
      <c r="AG524">
        <v>2.1280100000000002</v>
      </c>
      <c r="AH524">
        <v>12.511455</v>
      </c>
      <c r="AI524">
        <v>0.21128</v>
      </c>
      <c r="AJ524">
        <v>10.547185000000001</v>
      </c>
      <c r="AK524">
        <v>0.43435000000000001</v>
      </c>
      <c r="AL524">
        <v>2.4173399999999998</v>
      </c>
      <c r="AM524">
        <v>50.003889999999998</v>
      </c>
      <c r="AN524">
        <v>8.5805450000000008</v>
      </c>
      <c r="AO524">
        <v>11.0444</v>
      </c>
      <c r="AP524">
        <v>0.37786999999999998</v>
      </c>
      <c r="AQ524">
        <v>98.290260000000004</v>
      </c>
      <c r="AR524">
        <v>4.7093422517846893E-2</v>
      </c>
      <c r="AS524">
        <v>0.17423154844121161</v>
      </c>
      <c r="AT524">
        <v>2.1925114974993089E-2</v>
      </c>
      <c r="AU524">
        <v>0.1853741817244248</v>
      </c>
      <c r="AV524">
        <v>1.0520403456564249E-2</v>
      </c>
      <c r="AW524">
        <v>3.5166562401109248E-2</v>
      </c>
      <c r="AX524">
        <v>0.46106226248619608</v>
      </c>
      <c r="AY524">
        <v>0.4051107053427907</v>
      </c>
      <c r="AZ524">
        <v>0.14841023100402101</v>
      </c>
      <c r="BA524">
        <v>1.7068639208924791E-2</v>
      </c>
      <c r="BD524" t="s">
        <v>1127</v>
      </c>
      <c r="BE524">
        <v>2.0034866980083792</v>
      </c>
      <c r="BF524">
        <v>24607</v>
      </c>
      <c r="BG524">
        <v>2461968.4612949681</v>
      </c>
      <c r="BH524">
        <v>22949.70151590895</v>
      </c>
      <c r="BI524">
        <v>885.2507558329919</v>
      </c>
      <c r="BJ524">
        <v>146.30113886084149</v>
      </c>
      <c r="BK524">
        <v>22949.701515908939</v>
      </c>
    </row>
    <row r="525" spans="1:63" x14ac:dyDescent="0.2">
      <c r="A525">
        <v>523</v>
      </c>
      <c r="B525" t="s">
        <v>69</v>
      </c>
      <c r="C525" t="s">
        <v>91</v>
      </c>
      <c r="D525" t="s">
        <v>92</v>
      </c>
      <c r="E525">
        <v>-155.28360000000001</v>
      </c>
      <c r="F525">
        <v>19.4285</v>
      </c>
      <c r="G525" t="s">
        <v>134</v>
      </c>
      <c r="H525" t="s">
        <v>1128</v>
      </c>
      <c r="I525" t="s">
        <v>1129</v>
      </c>
      <c r="J525" t="s">
        <v>68</v>
      </c>
      <c r="K525">
        <v>8.3848677710937505</v>
      </c>
      <c r="L525">
        <v>7.8835110140625</v>
      </c>
      <c r="M525">
        <v>207.6661778161303</v>
      </c>
      <c r="N525">
        <v>2252.261361052279</v>
      </c>
      <c r="O525" t="s">
        <v>1130</v>
      </c>
      <c r="Q525">
        <v>12.01</v>
      </c>
      <c r="R525">
        <v>1325.0039999999999</v>
      </c>
      <c r="S525">
        <v>50</v>
      </c>
      <c r="T525">
        <v>103.1404411300999</v>
      </c>
      <c r="U525">
        <v>1.544124369315939E-2</v>
      </c>
      <c r="V525">
        <v>0.15460721742317671</v>
      </c>
      <c r="W525">
        <v>7.2636455875379176E-3</v>
      </c>
      <c r="X525">
        <v>0</v>
      </c>
      <c r="Y525">
        <v>6.3591924866903793E-2</v>
      </c>
      <c r="Z525">
        <v>0.51725823066169807</v>
      </c>
      <c r="AA525">
        <v>4.8405667112236588E-2</v>
      </c>
      <c r="AB525">
        <v>2.187618465485671</v>
      </c>
      <c r="AC525">
        <v>0.1937361213460646</v>
      </c>
      <c r="AD525">
        <v>1215.3527753610961</v>
      </c>
      <c r="AE525">
        <v>100</v>
      </c>
      <c r="AG525">
        <v>2.5157387096774189</v>
      </c>
      <c r="AH525">
        <v>13.241580645161291</v>
      </c>
      <c r="AJ525">
        <v>11.11674838709677</v>
      </c>
      <c r="AK525">
        <v>0.71593870967741935</v>
      </c>
      <c r="AL525">
        <v>3.0286258064516129</v>
      </c>
      <c r="AM525">
        <v>48.480519354838712</v>
      </c>
      <c r="AN525">
        <v>6.4584548387096774</v>
      </c>
      <c r="AP525">
        <v>1.553225806451613E-2</v>
      </c>
      <c r="AQ525">
        <v>96.565938709677425</v>
      </c>
      <c r="AR525">
        <v>0.13894562408227509</v>
      </c>
      <c r="AS525">
        <v>0.1729350637654776</v>
      </c>
      <c r="AU525">
        <v>0.21495337769071041</v>
      </c>
      <c r="AV525">
        <v>7.7865408140882678E-2</v>
      </c>
      <c r="AW525">
        <v>0.14998665711265111</v>
      </c>
      <c r="AX525">
        <v>0.66558597962965682</v>
      </c>
      <c r="AY525">
        <v>0.26837320636097978</v>
      </c>
      <c r="BA525">
        <v>5.6058533157628621E-3</v>
      </c>
      <c r="BB525">
        <v>31</v>
      </c>
      <c r="BC525" t="s">
        <v>86</v>
      </c>
    </row>
    <row r="526" spans="1:63" x14ac:dyDescent="0.2">
      <c r="A526">
        <v>524</v>
      </c>
      <c r="B526" t="s">
        <v>69</v>
      </c>
      <c r="C526" t="s">
        <v>70</v>
      </c>
      <c r="D526" t="s">
        <v>71</v>
      </c>
      <c r="E526">
        <v>-155.29347999999999</v>
      </c>
      <c r="F526">
        <v>19.377479999999998</v>
      </c>
      <c r="G526" t="s">
        <v>112</v>
      </c>
      <c r="H526" t="s">
        <v>1131</v>
      </c>
      <c r="I526" t="s">
        <v>1132</v>
      </c>
      <c r="J526" t="s">
        <v>68</v>
      </c>
      <c r="K526">
        <v>2.8877265859375001</v>
      </c>
      <c r="L526">
        <v>2.5657122367187499</v>
      </c>
      <c r="M526">
        <v>23.276296965404139</v>
      </c>
      <c r="N526">
        <v>84.623907679207207</v>
      </c>
      <c r="Q526">
        <v>11.973000000000001</v>
      </c>
      <c r="R526">
        <v>1324.9639999999999</v>
      </c>
      <c r="S526">
        <v>50</v>
      </c>
      <c r="T526">
        <v>103.14212807037561</v>
      </c>
      <c r="U526">
        <v>7.0705582209933567E-3</v>
      </c>
      <c r="V526">
        <v>0.15527565087933229</v>
      </c>
      <c r="W526">
        <v>4.8158099596667678E-3</v>
      </c>
      <c r="X526">
        <v>0</v>
      </c>
      <c r="Y526">
        <v>5.9872478005883911E-2</v>
      </c>
      <c r="Z526">
        <v>0.55457525338956748</v>
      </c>
      <c r="AA526">
        <v>3.0374466766564141E-2</v>
      </c>
      <c r="AB526">
        <v>2.336594902592549</v>
      </c>
      <c r="AC526">
        <v>0.12068882387632419</v>
      </c>
      <c r="AD526">
        <v>1315.164971695144</v>
      </c>
      <c r="AE526">
        <v>50</v>
      </c>
      <c r="AF526">
        <v>88.866887536097423</v>
      </c>
      <c r="AG526">
        <v>2.1280100000000002</v>
      </c>
      <c r="AH526">
        <v>12.511455</v>
      </c>
      <c r="AI526">
        <v>0.21128</v>
      </c>
      <c r="AJ526">
        <v>10.547185000000001</v>
      </c>
      <c r="AK526">
        <v>0.43435000000000001</v>
      </c>
      <c r="AL526">
        <v>2.4173399999999998</v>
      </c>
      <c r="AM526">
        <v>50.003889999999998</v>
      </c>
      <c r="AN526">
        <v>8.5805450000000008</v>
      </c>
      <c r="AO526">
        <v>11.0444</v>
      </c>
      <c r="AP526">
        <v>0.37786999999999998</v>
      </c>
      <c r="AQ526">
        <v>98.290260000000004</v>
      </c>
      <c r="AR526">
        <v>4.7093422517846893E-2</v>
      </c>
      <c r="AS526">
        <v>0.17423154844121161</v>
      </c>
      <c r="AT526">
        <v>2.1925114974993089E-2</v>
      </c>
      <c r="AU526">
        <v>0.1853741817244248</v>
      </c>
      <c r="AV526">
        <v>1.0520403456564249E-2</v>
      </c>
      <c r="AW526">
        <v>3.5166562401109248E-2</v>
      </c>
      <c r="AX526">
        <v>0.46106226248619608</v>
      </c>
      <c r="AY526">
        <v>0.4051107053427907</v>
      </c>
      <c r="AZ526">
        <v>0.14841023100402101</v>
      </c>
      <c r="BA526">
        <v>1.7068639208924791E-2</v>
      </c>
    </row>
    <row r="527" spans="1:63" x14ac:dyDescent="0.2">
      <c r="A527">
        <v>525</v>
      </c>
      <c r="B527" t="s">
        <v>69</v>
      </c>
      <c r="C527" t="s">
        <v>70</v>
      </c>
      <c r="D527" t="s">
        <v>71</v>
      </c>
      <c r="E527">
        <v>-155.29347999999999</v>
      </c>
      <c r="F527">
        <v>19.377479999999998</v>
      </c>
      <c r="G527" t="s">
        <v>112</v>
      </c>
      <c r="H527" t="s">
        <v>1055</v>
      </c>
      <c r="I527" t="s">
        <v>1133</v>
      </c>
      <c r="J527" t="s">
        <v>68</v>
      </c>
      <c r="K527">
        <v>7.703529342968749</v>
      </c>
      <c r="L527">
        <v>7.6971367101562498</v>
      </c>
      <c r="M527">
        <v>186.28110868442801</v>
      </c>
      <c r="N527">
        <v>1912.568764569839</v>
      </c>
      <c r="Q527">
        <v>11.954000000000001</v>
      </c>
      <c r="R527">
        <v>1324.9639999999999</v>
      </c>
      <c r="S527">
        <v>50</v>
      </c>
      <c r="T527">
        <v>103.14514727430149</v>
      </c>
      <c r="U527">
        <v>2.0639122301013011E-3</v>
      </c>
      <c r="V527">
        <v>0.15647198067476609</v>
      </c>
      <c r="W527">
        <v>4.0054473720494994E-3</v>
      </c>
      <c r="X527">
        <v>0</v>
      </c>
      <c r="Y527">
        <v>5.946223076183399E-2</v>
      </c>
      <c r="Z527">
        <v>0.55931037210183898</v>
      </c>
      <c r="AA527">
        <v>2.9983104712454509E-2</v>
      </c>
      <c r="AB527">
        <v>2.3554208656273978</v>
      </c>
      <c r="AC527">
        <v>0.1189586100989477</v>
      </c>
      <c r="AD527">
        <v>1315.580800759745</v>
      </c>
      <c r="AE527">
        <v>50</v>
      </c>
      <c r="AF527">
        <v>88.882723529496829</v>
      </c>
      <c r="AG527">
        <v>2.1280100000000002</v>
      </c>
      <c r="AH527">
        <v>12.511455</v>
      </c>
      <c r="AI527">
        <v>0.21128</v>
      </c>
      <c r="AJ527">
        <v>10.547185000000001</v>
      </c>
      <c r="AK527">
        <v>0.43435000000000001</v>
      </c>
      <c r="AL527">
        <v>2.4173399999999998</v>
      </c>
      <c r="AM527">
        <v>50.003889999999998</v>
      </c>
      <c r="AN527">
        <v>8.5805450000000008</v>
      </c>
      <c r="AO527">
        <v>11.0444</v>
      </c>
      <c r="AP527">
        <v>0.37786999999999998</v>
      </c>
      <c r="AQ527">
        <v>98.290260000000004</v>
      </c>
      <c r="AR527">
        <v>4.7093422517846893E-2</v>
      </c>
      <c r="AS527">
        <v>0.17423154844121161</v>
      </c>
      <c r="AT527">
        <v>2.1925114974993089E-2</v>
      </c>
      <c r="AU527">
        <v>0.1853741817244248</v>
      </c>
      <c r="AV527">
        <v>1.0520403456564249E-2</v>
      </c>
      <c r="AW527">
        <v>3.5166562401109248E-2</v>
      </c>
      <c r="AX527">
        <v>0.46106226248619608</v>
      </c>
      <c r="AY527">
        <v>0.4051107053427907</v>
      </c>
      <c r="AZ527">
        <v>0.14841023100402101</v>
      </c>
      <c r="BA527">
        <v>1.7068639208924791E-2</v>
      </c>
      <c r="BD527" t="s">
        <v>1057</v>
      </c>
      <c r="BE527">
        <v>8.9806391716692927E-2</v>
      </c>
      <c r="BF527">
        <v>3343</v>
      </c>
      <c r="BG527">
        <v>164262.72821356071</v>
      </c>
      <c r="BH527">
        <v>56.646579506608603</v>
      </c>
      <c r="BI527">
        <v>228.66230629882449</v>
      </c>
      <c r="BJ527">
        <v>0.97972796070963997</v>
      </c>
      <c r="BK527">
        <v>56.646579506608603</v>
      </c>
    </row>
    <row r="528" spans="1:63" x14ac:dyDescent="0.2">
      <c r="A528">
        <v>526</v>
      </c>
      <c r="B528" t="s">
        <v>69</v>
      </c>
      <c r="C528" t="s">
        <v>70</v>
      </c>
      <c r="D528" t="s">
        <v>71</v>
      </c>
      <c r="E528">
        <v>-155.29347999999999</v>
      </c>
      <c r="F528">
        <v>19.377479999999998</v>
      </c>
      <c r="G528" t="s">
        <v>112</v>
      </c>
      <c r="H528" t="s">
        <v>752</v>
      </c>
      <c r="I528" t="s">
        <v>1134</v>
      </c>
      <c r="J528" t="s">
        <v>68</v>
      </c>
      <c r="K528">
        <v>23.031377496874999</v>
      </c>
      <c r="L528">
        <v>20.831033282812498</v>
      </c>
      <c r="M528">
        <v>1507.233711583204</v>
      </c>
      <c r="N528">
        <v>44073.936132303679</v>
      </c>
      <c r="Q528">
        <v>11.957000000000001</v>
      </c>
      <c r="R528">
        <v>1324.9639999999999</v>
      </c>
      <c r="S528">
        <v>50</v>
      </c>
      <c r="T528">
        <v>103.14572448176629</v>
      </c>
      <c r="U528">
        <v>6.5465033848969524E-3</v>
      </c>
      <c r="V528">
        <v>0.15670069344317741</v>
      </c>
      <c r="W528">
        <v>4.7021004261854514E-3</v>
      </c>
      <c r="X528">
        <v>0</v>
      </c>
      <c r="Y528">
        <v>5.9522068629304307E-2</v>
      </c>
      <c r="Z528">
        <v>0.55861794255303854</v>
      </c>
      <c r="AA528">
        <v>3.0900337038798211E-2</v>
      </c>
      <c r="AB528">
        <v>2.3526689744554679</v>
      </c>
      <c r="AC528">
        <v>0.1226827163550064</v>
      </c>
      <c r="AD528">
        <v>1311.1036828894801</v>
      </c>
      <c r="AE528">
        <v>50</v>
      </c>
      <c r="AF528">
        <v>88.71092019161361</v>
      </c>
      <c r="AG528">
        <v>2.1280100000000002</v>
      </c>
      <c r="AH528">
        <v>12.511455</v>
      </c>
      <c r="AI528">
        <v>0.21128</v>
      </c>
      <c r="AJ528">
        <v>10.547185000000001</v>
      </c>
      <c r="AK528">
        <v>0.43435000000000001</v>
      </c>
      <c r="AL528">
        <v>2.4173399999999998</v>
      </c>
      <c r="AM528">
        <v>50.003889999999998</v>
      </c>
      <c r="AN528">
        <v>8.5805450000000008</v>
      </c>
      <c r="AO528">
        <v>11.0444</v>
      </c>
      <c r="AP528">
        <v>0.37786999999999998</v>
      </c>
      <c r="AQ528">
        <v>98.290260000000004</v>
      </c>
      <c r="AR528">
        <v>4.7093422517846893E-2</v>
      </c>
      <c r="AS528">
        <v>0.17423154844121161</v>
      </c>
      <c r="AT528">
        <v>2.1925114974993089E-2</v>
      </c>
      <c r="AU528">
        <v>0.1853741817244248</v>
      </c>
      <c r="AV528">
        <v>1.0520403456564249E-2</v>
      </c>
      <c r="AW528">
        <v>3.5166562401109248E-2</v>
      </c>
      <c r="AX528">
        <v>0.46106226248619608</v>
      </c>
      <c r="AY528">
        <v>0.4051107053427907</v>
      </c>
      <c r="AZ528">
        <v>0.14841023100402101</v>
      </c>
      <c r="BA528">
        <v>1.7068639208924791E-2</v>
      </c>
      <c r="BD528" t="s">
        <v>754</v>
      </c>
      <c r="BE528">
        <v>0.17157894610142219</v>
      </c>
      <c r="BF528">
        <v>17208</v>
      </c>
      <c r="BG528">
        <v>846132.17746269889</v>
      </c>
      <c r="BH528">
        <v>915.76828801560225</v>
      </c>
      <c r="BI528">
        <v>518.97228934172836</v>
      </c>
      <c r="BJ528">
        <v>6.9810444239475986</v>
      </c>
      <c r="BK528">
        <v>915.76828801560202</v>
      </c>
    </row>
    <row r="529" spans="1:63" x14ac:dyDescent="0.2">
      <c r="A529">
        <v>527</v>
      </c>
      <c r="B529" t="s">
        <v>69</v>
      </c>
      <c r="C529" t="s">
        <v>91</v>
      </c>
      <c r="D529" t="s">
        <v>92</v>
      </c>
      <c r="E529">
        <v>-155.28360000000001</v>
      </c>
      <c r="F529">
        <v>19.4285</v>
      </c>
      <c r="G529" t="s">
        <v>134</v>
      </c>
      <c r="H529" t="s">
        <v>1025</v>
      </c>
      <c r="I529" t="s">
        <v>1135</v>
      </c>
      <c r="J529" t="s">
        <v>68</v>
      </c>
      <c r="K529">
        <v>6.7439370429687502</v>
      </c>
      <c r="L529">
        <v>6.0574845085937499</v>
      </c>
      <c r="M529">
        <v>128.3381256375034</v>
      </c>
      <c r="N529">
        <v>1095.273631615381</v>
      </c>
      <c r="O529" t="s">
        <v>1136</v>
      </c>
      <c r="Q529">
        <v>11.99</v>
      </c>
      <c r="R529">
        <v>1325.0039999999999</v>
      </c>
      <c r="S529">
        <v>50</v>
      </c>
      <c r="T529">
        <v>103.1457452725263</v>
      </c>
      <c r="U529">
        <v>2.640383069413364E-3</v>
      </c>
      <c r="V529">
        <v>0.15670893157690099</v>
      </c>
      <c r="W529">
        <v>4.0590379135575661E-3</v>
      </c>
      <c r="X529">
        <v>0</v>
      </c>
      <c r="Y529">
        <v>6.555707701744895E-2</v>
      </c>
      <c r="Z529">
        <v>0.50057397956541605</v>
      </c>
      <c r="AA529">
        <v>2.8754991113925939E-2</v>
      </c>
      <c r="AB529">
        <v>2.1206575536676882</v>
      </c>
      <c r="AC529">
        <v>0.115501335155935</v>
      </c>
      <c r="AD529">
        <v>1147.262295607253</v>
      </c>
      <c r="AE529">
        <v>50</v>
      </c>
      <c r="AF529">
        <v>77.088814360273119</v>
      </c>
      <c r="AG529">
        <v>2.5157387096774189</v>
      </c>
      <c r="AH529">
        <v>13.241580645161291</v>
      </c>
      <c r="AJ529">
        <v>11.11674838709677</v>
      </c>
      <c r="AK529">
        <v>0.71593870967741935</v>
      </c>
      <c r="AL529">
        <v>3.0286258064516129</v>
      </c>
      <c r="AM529">
        <v>48.480519354838712</v>
      </c>
      <c r="AN529">
        <v>6.4584548387096774</v>
      </c>
      <c r="AP529">
        <v>1.553225806451613E-2</v>
      </c>
      <c r="AQ529">
        <v>96.565938709677425</v>
      </c>
      <c r="AR529">
        <v>0.13894562408227509</v>
      </c>
      <c r="AS529">
        <v>0.1729350637654776</v>
      </c>
      <c r="AU529">
        <v>0.21495337769071041</v>
      </c>
      <c r="AV529">
        <v>7.7865408140882678E-2</v>
      </c>
      <c r="AW529">
        <v>0.14998665711265111</v>
      </c>
      <c r="AX529">
        <v>0.66558597962965682</v>
      </c>
      <c r="AY529">
        <v>0.26837320636097978</v>
      </c>
      <c r="BA529">
        <v>5.6058533157628621E-3</v>
      </c>
      <c r="BB529">
        <v>31</v>
      </c>
      <c r="BC529" t="s">
        <v>86</v>
      </c>
    </row>
    <row r="530" spans="1:63" x14ac:dyDescent="0.2">
      <c r="A530">
        <v>528</v>
      </c>
      <c r="B530" t="s">
        <v>69</v>
      </c>
      <c r="C530" t="s">
        <v>70</v>
      </c>
      <c r="D530" t="s">
        <v>71</v>
      </c>
      <c r="E530">
        <v>-155.29347999999999</v>
      </c>
      <c r="F530">
        <v>19.377479999999998</v>
      </c>
      <c r="G530" t="s">
        <v>112</v>
      </c>
      <c r="H530" t="s">
        <v>1137</v>
      </c>
      <c r="I530" t="s">
        <v>1138</v>
      </c>
      <c r="J530" t="s">
        <v>68</v>
      </c>
      <c r="K530">
        <v>17.014166575000001</v>
      </c>
      <c r="L530">
        <v>15.636786663281249</v>
      </c>
      <c r="M530">
        <v>835.81096451773828</v>
      </c>
      <c r="N530">
        <v>18193.349812340941</v>
      </c>
      <c r="Q530">
        <v>11.973000000000001</v>
      </c>
      <c r="R530">
        <v>1324.9639999999999</v>
      </c>
      <c r="S530">
        <v>50</v>
      </c>
      <c r="T530">
        <v>103.1526911718306</v>
      </c>
      <c r="U530">
        <v>2.363231627578761E-3</v>
      </c>
      <c r="V530">
        <v>0.15946117571072449</v>
      </c>
      <c r="W530">
        <v>4.0415302440694684E-3</v>
      </c>
      <c r="X530">
        <v>0</v>
      </c>
      <c r="Y530">
        <v>5.8968502624389352E-2</v>
      </c>
      <c r="Z530">
        <v>0.56523604943739381</v>
      </c>
      <c r="AA530">
        <v>2.9627635976288071E-2</v>
      </c>
      <c r="AB530">
        <v>2.37895588998229</v>
      </c>
      <c r="AC530">
        <v>0.1176114246685485</v>
      </c>
      <c r="AD530">
        <v>1300.042577226945</v>
      </c>
      <c r="AE530">
        <v>50</v>
      </c>
      <c r="AF530">
        <v>88.273560180627456</v>
      </c>
      <c r="AG530">
        <v>2.1280100000000002</v>
      </c>
      <c r="AH530">
        <v>12.511455</v>
      </c>
      <c r="AI530">
        <v>0.21128</v>
      </c>
      <c r="AJ530">
        <v>10.547185000000001</v>
      </c>
      <c r="AK530">
        <v>0.43435000000000001</v>
      </c>
      <c r="AL530">
        <v>2.4173399999999998</v>
      </c>
      <c r="AM530">
        <v>50.003889999999998</v>
      </c>
      <c r="AN530">
        <v>8.5805450000000008</v>
      </c>
      <c r="AO530">
        <v>11.0444</v>
      </c>
      <c r="AP530">
        <v>0.37786999999999998</v>
      </c>
      <c r="AQ530">
        <v>98.290260000000004</v>
      </c>
      <c r="AR530">
        <v>4.7093422517846893E-2</v>
      </c>
      <c r="AS530">
        <v>0.17423154844121161</v>
      </c>
      <c r="AT530">
        <v>2.1925114974993089E-2</v>
      </c>
      <c r="AU530">
        <v>0.1853741817244248</v>
      </c>
      <c r="AV530">
        <v>1.0520403456564249E-2</v>
      </c>
      <c r="AW530">
        <v>3.5166562401109248E-2</v>
      </c>
      <c r="AX530">
        <v>0.46106226248619608</v>
      </c>
      <c r="AY530">
        <v>0.4051107053427907</v>
      </c>
      <c r="AZ530">
        <v>0.14841023100402101</v>
      </c>
      <c r="BA530">
        <v>1.7068639208924791E-2</v>
      </c>
    </row>
    <row r="531" spans="1:63" x14ac:dyDescent="0.2">
      <c r="A531">
        <v>529</v>
      </c>
      <c r="B531" t="s">
        <v>69</v>
      </c>
      <c r="C531" t="s">
        <v>143</v>
      </c>
      <c r="D531" t="s">
        <v>144</v>
      </c>
      <c r="E531">
        <v>-155.22516669999999</v>
      </c>
      <c r="F531">
        <v>19.371883329999999</v>
      </c>
      <c r="G531" t="s">
        <v>145</v>
      </c>
      <c r="H531" t="s">
        <v>1139</v>
      </c>
      <c r="I531" t="s">
        <v>1140</v>
      </c>
      <c r="J531" t="s">
        <v>68</v>
      </c>
      <c r="K531">
        <v>16.062942812500001</v>
      </c>
      <c r="L531">
        <v>15.86273717578125</v>
      </c>
      <c r="M531">
        <v>800.48484562986619</v>
      </c>
      <c r="N531">
        <v>17037.348678031871</v>
      </c>
      <c r="Q531">
        <v>5.9950000000000001</v>
      </c>
      <c r="R531">
        <v>1324.9639999999999</v>
      </c>
      <c r="S531">
        <v>50</v>
      </c>
      <c r="T531">
        <v>103.1570169859167</v>
      </c>
      <c r="U531">
        <v>2.8884460403107502E-3</v>
      </c>
      <c r="V531">
        <v>0.16117523690294891</v>
      </c>
      <c r="W531">
        <v>4.1007076820475854E-3</v>
      </c>
      <c r="X531">
        <v>1.062584893978036</v>
      </c>
      <c r="Y531">
        <v>6.109623363387906E-2</v>
      </c>
      <c r="Z531">
        <v>0.5414140276614382</v>
      </c>
      <c r="AA531">
        <v>3.0174457604692319E-2</v>
      </c>
      <c r="AB531">
        <v>2.2841769952156268</v>
      </c>
      <c r="AC531">
        <v>0.1202239919449135</v>
      </c>
      <c r="AD531">
        <v>1217.278502319446</v>
      </c>
      <c r="AE531">
        <v>50</v>
      </c>
      <c r="AF531">
        <v>84.134471665220929</v>
      </c>
      <c r="AG531">
        <v>2.1961249999999999</v>
      </c>
      <c r="AH531">
        <v>13.214425</v>
      </c>
      <c r="AI531">
        <v>0.23326250000000001</v>
      </c>
      <c r="AJ531">
        <v>10.8680875</v>
      </c>
      <c r="AK531">
        <v>0.46184999999999998</v>
      </c>
      <c r="AL531">
        <v>2.5506250000000001</v>
      </c>
      <c r="AM531">
        <v>49.975887499999999</v>
      </c>
      <c r="AN531">
        <v>7.4385374999999998</v>
      </c>
      <c r="AP531">
        <v>0.2354</v>
      </c>
      <c r="AQ531">
        <v>98.48666249999998</v>
      </c>
      <c r="AR531">
        <v>5.6378814410075299E-2</v>
      </c>
      <c r="AS531">
        <v>0.24941022862516499</v>
      </c>
      <c r="AT531">
        <v>1.4003870638403601E-2</v>
      </c>
      <c r="AU531">
        <v>0.27584699401505702</v>
      </c>
      <c r="AV531">
        <v>3.1668731762237799E-2</v>
      </c>
      <c r="AW531">
        <v>4.2427543277585897E-2</v>
      </c>
      <c r="AX531">
        <v>0.67605985245919198</v>
      </c>
      <c r="AY531">
        <v>0.10614118545597701</v>
      </c>
      <c r="BA531">
        <v>4.3851209463691802E-2</v>
      </c>
      <c r="BE531">
        <v>0.33874785882501057</v>
      </c>
      <c r="BF531">
        <v>5067</v>
      </c>
      <c r="BG531">
        <v>509275.15567533672</v>
      </c>
      <c r="BH531">
        <v>625.97671524357406</v>
      </c>
      <c r="BI531">
        <v>402.62552929396901</v>
      </c>
      <c r="BJ531">
        <v>8.7939243790940669</v>
      </c>
      <c r="BK531">
        <v>625.97671524357429</v>
      </c>
    </row>
    <row r="532" spans="1:63" x14ac:dyDescent="0.2">
      <c r="A532">
        <v>530</v>
      </c>
      <c r="B532" t="s">
        <v>69</v>
      </c>
      <c r="C532" t="s">
        <v>278</v>
      </c>
      <c r="D532" t="s">
        <v>144</v>
      </c>
      <c r="E532">
        <v>-154.873789449106</v>
      </c>
      <c r="F532">
        <v>19.5537282409346</v>
      </c>
      <c r="G532" t="s">
        <v>279</v>
      </c>
      <c r="H532" t="s">
        <v>280</v>
      </c>
      <c r="I532" t="s">
        <v>1141</v>
      </c>
      <c r="J532" t="s">
        <v>85</v>
      </c>
      <c r="K532">
        <v>10.219843962500001</v>
      </c>
      <c r="L532">
        <v>7.3364759898437502</v>
      </c>
      <c r="M532">
        <v>235.54920253887161</v>
      </c>
      <c r="N532">
        <v>2756.9181095278991</v>
      </c>
      <c r="O532" t="s">
        <v>282</v>
      </c>
      <c r="P532" t="s">
        <v>283</v>
      </c>
      <c r="Q532">
        <v>11.986000000000001</v>
      </c>
      <c r="R532">
        <v>1325.0039999999999</v>
      </c>
      <c r="S532">
        <v>50</v>
      </c>
      <c r="T532">
        <v>103.1584667093109</v>
      </c>
      <c r="U532">
        <v>7.0515895619507173E-3</v>
      </c>
      <c r="V532">
        <v>0.1617496755080339</v>
      </c>
      <c r="W532">
        <v>4.8300731811456634E-3</v>
      </c>
      <c r="X532">
        <v>0</v>
      </c>
      <c r="Y532">
        <v>5.8309988167999822E-2</v>
      </c>
      <c r="Z532">
        <v>0.57347883782910769</v>
      </c>
      <c r="AA532">
        <v>3.0746971112219901E-2</v>
      </c>
      <c r="AB532">
        <v>2.4116488659189912</v>
      </c>
      <c r="AC532">
        <v>0.12173648511158069</v>
      </c>
      <c r="AD532">
        <v>1298.5945891344779</v>
      </c>
      <c r="AE532">
        <v>50</v>
      </c>
      <c r="AF532">
        <v>88.214870208166261</v>
      </c>
    </row>
    <row r="533" spans="1:63" x14ac:dyDescent="0.2">
      <c r="A533">
        <v>531</v>
      </c>
      <c r="B533" t="s">
        <v>69</v>
      </c>
      <c r="C533" t="s">
        <v>70</v>
      </c>
      <c r="D533" t="s">
        <v>71</v>
      </c>
      <c r="E533">
        <v>-155.29347999999999</v>
      </c>
      <c r="F533">
        <v>19.377479999999998</v>
      </c>
      <c r="G533" t="s">
        <v>112</v>
      </c>
      <c r="H533" t="s">
        <v>752</v>
      </c>
      <c r="I533" t="s">
        <v>1142</v>
      </c>
      <c r="J533" t="s">
        <v>68</v>
      </c>
      <c r="K533">
        <v>12.651601484375</v>
      </c>
      <c r="L533">
        <v>10.90094993125</v>
      </c>
      <c r="M533">
        <v>433.27109938291028</v>
      </c>
      <c r="N533">
        <v>6803.0932300802406</v>
      </c>
      <c r="Q533">
        <v>11.949</v>
      </c>
      <c r="R533">
        <v>1324.9639999999999</v>
      </c>
      <c r="S533">
        <v>50</v>
      </c>
      <c r="T533">
        <v>103.16108899889051</v>
      </c>
      <c r="U533">
        <v>2.055836291858472E-3</v>
      </c>
      <c r="V533">
        <v>0.16278873190612589</v>
      </c>
      <c r="W533">
        <v>4.026962291183901E-3</v>
      </c>
      <c r="X533">
        <v>0</v>
      </c>
      <c r="Y533">
        <v>5.7589792187423883E-2</v>
      </c>
      <c r="Z533">
        <v>0.58300837869080058</v>
      </c>
      <c r="AA533">
        <v>3.0385049087305369E-2</v>
      </c>
      <c r="AB533">
        <v>2.4493805549331968</v>
      </c>
      <c r="AC533">
        <v>0.12006610509294439</v>
      </c>
      <c r="AD533">
        <v>1313.528989268746</v>
      </c>
      <c r="AE533">
        <v>50</v>
      </c>
      <c r="AF533">
        <v>88.804346035168606</v>
      </c>
      <c r="AG533">
        <v>2.1280100000000002</v>
      </c>
      <c r="AH533">
        <v>12.511455</v>
      </c>
      <c r="AI533">
        <v>0.21128</v>
      </c>
      <c r="AJ533">
        <v>10.547185000000001</v>
      </c>
      <c r="AK533">
        <v>0.43435000000000001</v>
      </c>
      <c r="AL533">
        <v>2.4173399999999998</v>
      </c>
      <c r="AM533">
        <v>50.003889999999998</v>
      </c>
      <c r="AN533">
        <v>8.5805450000000008</v>
      </c>
      <c r="AO533">
        <v>11.0444</v>
      </c>
      <c r="AP533">
        <v>0.37786999999999998</v>
      </c>
      <c r="AQ533">
        <v>98.290260000000004</v>
      </c>
      <c r="AR533">
        <v>4.7093422517846893E-2</v>
      </c>
      <c r="AS533">
        <v>0.17423154844121161</v>
      </c>
      <c r="AT533">
        <v>2.1925114974993089E-2</v>
      </c>
      <c r="AU533">
        <v>0.1853741817244248</v>
      </c>
      <c r="AV533">
        <v>1.0520403456564249E-2</v>
      </c>
      <c r="AW533">
        <v>3.5166562401109248E-2</v>
      </c>
      <c r="AX533">
        <v>0.46106226248619608</v>
      </c>
      <c r="AY533">
        <v>0.4051107053427907</v>
      </c>
      <c r="AZ533">
        <v>0.14841023100402101</v>
      </c>
      <c r="BA533">
        <v>1.7068639208924791E-2</v>
      </c>
      <c r="BD533" t="s">
        <v>754</v>
      </c>
      <c r="BE533">
        <v>0.17157894610142219</v>
      </c>
      <c r="BF533">
        <v>17208</v>
      </c>
      <c r="BG533">
        <v>846132.17746269889</v>
      </c>
      <c r="BH533">
        <v>915.76828801560225</v>
      </c>
      <c r="BI533">
        <v>518.97228934172836</v>
      </c>
      <c r="BJ533">
        <v>6.9810444239475986</v>
      </c>
      <c r="BK533">
        <v>915.76828801560202</v>
      </c>
    </row>
    <row r="534" spans="1:63" x14ac:dyDescent="0.2">
      <c r="A534">
        <v>532</v>
      </c>
      <c r="B534" t="s">
        <v>69</v>
      </c>
      <c r="C534" t="s">
        <v>594</v>
      </c>
      <c r="D534" t="s">
        <v>64</v>
      </c>
      <c r="E534">
        <v>-155.2816</v>
      </c>
      <c r="F534">
        <v>19.402366669999999</v>
      </c>
      <c r="G534" t="s">
        <v>595</v>
      </c>
      <c r="H534" t="s">
        <v>719</v>
      </c>
      <c r="I534" t="s">
        <v>1143</v>
      </c>
      <c r="O534" t="s">
        <v>1144</v>
      </c>
      <c r="Q534">
        <v>10.023999999999999</v>
      </c>
      <c r="R534">
        <v>1324.9639999999999</v>
      </c>
      <c r="S534">
        <v>100</v>
      </c>
      <c r="T534">
        <v>103.1622990559505</v>
      </c>
      <c r="U534">
        <v>2.7335725929545349E-2</v>
      </c>
      <c r="V534">
        <v>0.16326820508864159</v>
      </c>
      <c r="W534">
        <v>1.152773384131058E-2</v>
      </c>
      <c r="X534">
        <v>0</v>
      </c>
      <c r="Y534">
        <v>6.054863288769452E-2</v>
      </c>
      <c r="Z534">
        <v>0.54724926496113779</v>
      </c>
      <c r="AA534">
        <v>5.2953533080419987E-2</v>
      </c>
      <c r="AB534">
        <v>2.3074339061299902</v>
      </c>
      <c r="AC534">
        <v>0.2108900316270732</v>
      </c>
      <c r="AD534">
        <v>1212.675415796132</v>
      </c>
      <c r="AE534">
        <v>50</v>
      </c>
      <c r="AF534">
        <v>83.834394534382</v>
      </c>
      <c r="AG534">
        <v>2.3161749999999999</v>
      </c>
      <c r="AH534">
        <v>13.236525</v>
      </c>
      <c r="AI534">
        <v>0.23727500000000001</v>
      </c>
      <c r="AJ534">
        <v>11.119225</v>
      </c>
      <c r="AK534">
        <v>0.45182499999999998</v>
      </c>
      <c r="AL534">
        <v>2.5776249999999998</v>
      </c>
      <c r="AM534">
        <v>50.469949999999997</v>
      </c>
      <c r="AN534">
        <v>7.2425499999999996</v>
      </c>
      <c r="AP534">
        <v>0.19814999999999999</v>
      </c>
      <c r="AQ534">
        <v>99.444850000000002</v>
      </c>
      <c r="AR534">
        <v>1.8066578259316259E-2</v>
      </c>
      <c r="AS534">
        <v>1.4495689014328119E-3</v>
      </c>
      <c r="AT534">
        <v>1.4884597743976821E-2</v>
      </c>
      <c r="AU534">
        <v>2.1177848096536729E-2</v>
      </c>
      <c r="AV534">
        <v>1.0217692988145609E-2</v>
      </c>
      <c r="AW534">
        <v>2.5809397513306929E-3</v>
      </c>
      <c r="AX534">
        <v>0.1291884089227876</v>
      </c>
      <c r="AY534">
        <v>4.9073210614347267E-2</v>
      </c>
      <c r="BA534">
        <v>2.2273863607376258E-2</v>
      </c>
      <c r="BB534">
        <v>2</v>
      </c>
      <c r="BC534" t="s">
        <v>86</v>
      </c>
    </row>
    <row r="535" spans="1:63" x14ac:dyDescent="0.2">
      <c r="A535">
        <v>533</v>
      </c>
      <c r="B535" t="s">
        <v>69</v>
      </c>
      <c r="C535" t="s">
        <v>70</v>
      </c>
      <c r="D535" t="s">
        <v>71</v>
      </c>
      <c r="E535">
        <v>-155.29347999999999</v>
      </c>
      <c r="F535">
        <v>19.377479999999998</v>
      </c>
      <c r="G535" t="s">
        <v>112</v>
      </c>
      <c r="H535" t="s">
        <v>1145</v>
      </c>
      <c r="I535" t="s">
        <v>1146</v>
      </c>
      <c r="J535" t="s">
        <v>68</v>
      </c>
      <c r="K535">
        <v>4.3605891859375001</v>
      </c>
      <c r="L535">
        <v>4.3419924359374997</v>
      </c>
      <c r="M535">
        <v>59.481800859428169</v>
      </c>
      <c r="N535">
        <v>345.09681799685882</v>
      </c>
      <c r="Q535">
        <v>11.992000000000001</v>
      </c>
      <c r="R535">
        <v>1324.9639999999999</v>
      </c>
      <c r="S535">
        <v>50</v>
      </c>
      <c r="T535">
        <v>103.1630954250987</v>
      </c>
      <c r="U535">
        <v>3.3236432697904389E-3</v>
      </c>
      <c r="V535">
        <v>0.16358375851383761</v>
      </c>
      <c r="W535">
        <v>4.1606183810618431E-3</v>
      </c>
      <c r="X535">
        <v>0</v>
      </c>
      <c r="Y535">
        <v>5.7428492286305872E-2</v>
      </c>
      <c r="Z535">
        <v>0.58523819808256661</v>
      </c>
      <c r="AA535">
        <v>2.9821025146859949E-2</v>
      </c>
      <c r="AB535">
        <v>2.458199393502642</v>
      </c>
      <c r="AC535">
        <v>0.1177954526052757</v>
      </c>
      <c r="AD535">
        <v>1311.193048937793</v>
      </c>
      <c r="AE535">
        <v>50</v>
      </c>
      <c r="AF535">
        <v>88.714377906466552</v>
      </c>
      <c r="AG535">
        <v>2.1280100000000002</v>
      </c>
      <c r="AH535">
        <v>12.511455</v>
      </c>
      <c r="AI535">
        <v>0.21128</v>
      </c>
      <c r="AJ535">
        <v>10.547185000000001</v>
      </c>
      <c r="AK535">
        <v>0.43435000000000001</v>
      </c>
      <c r="AL535">
        <v>2.4173399999999998</v>
      </c>
      <c r="AM535">
        <v>50.003889999999998</v>
      </c>
      <c r="AN535">
        <v>8.5805450000000008</v>
      </c>
      <c r="AO535">
        <v>11.0444</v>
      </c>
      <c r="AP535">
        <v>0.37786999999999998</v>
      </c>
      <c r="AQ535">
        <v>98.290260000000004</v>
      </c>
      <c r="AR535">
        <v>4.7093422517846893E-2</v>
      </c>
      <c r="AS535">
        <v>0.17423154844121161</v>
      </c>
      <c r="AT535">
        <v>2.1925114974993089E-2</v>
      </c>
      <c r="AU535">
        <v>0.1853741817244248</v>
      </c>
      <c r="AV535">
        <v>1.0520403456564249E-2</v>
      </c>
      <c r="AW535">
        <v>3.5166562401109248E-2</v>
      </c>
      <c r="AX535">
        <v>0.46106226248619608</v>
      </c>
      <c r="AY535">
        <v>0.4051107053427907</v>
      </c>
      <c r="AZ535">
        <v>0.14841023100402101</v>
      </c>
      <c r="BA535">
        <v>1.7068639208924791E-2</v>
      </c>
      <c r="BD535" t="s">
        <v>1147</v>
      </c>
      <c r="BE535">
        <v>1.84102184133488</v>
      </c>
      <c r="BF535">
        <v>18127</v>
      </c>
      <c r="BG535">
        <v>896305.58274970204</v>
      </c>
      <c r="BH535">
        <v>7092.7289736510502</v>
      </c>
      <c r="BI535">
        <v>534.137555345956</v>
      </c>
      <c r="BJ535">
        <v>52.680561780834097</v>
      </c>
      <c r="BK535">
        <v>7092.7289736510502</v>
      </c>
    </row>
    <row r="536" spans="1:63" x14ac:dyDescent="0.2">
      <c r="A536">
        <v>534</v>
      </c>
      <c r="B536" t="s">
        <v>69</v>
      </c>
      <c r="C536" t="s">
        <v>143</v>
      </c>
      <c r="D536" t="s">
        <v>144</v>
      </c>
      <c r="E536">
        <v>-155.22516669999999</v>
      </c>
      <c r="F536">
        <v>19.371883329999999</v>
      </c>
      <c r="G536" t="s">
        <v>145</v>
      </c>
      <c r="H536" t="s">
        <v>1148</v>
      </c>
      <c r="I536" t="s">
        <v>1149</v>
      </c>
      <c r="J536" t="s">
        <v>68</v>
      </c>
      <c r="K536">
        <v>6.0138983757812507</v>
      </c>
      <c r="L536">
        <v>5.9540982015625001</v>
      </c>
      <c r="M536">
        <v>112.4920810123497</v>
      </c>
      <c r="N536">
        <v>897.53656035605127</v>
      </c>
      <c r="Q536">
        <v>10.002000000000001</v>
      </c>
      <c r="R536">
        <v>1324.9639999999999</v>
      </c>
      <c r="S536">
        <v>50</v>
      </c>
      <c r="T536">
        <v>103.1639456023333</v>
      </c>
      <c r="U536">
        <v>9.7844862291004333E-3</v>
      </c>
      <c r="V536">
        <v>0.16392063286288311</v>
      </c>
      <c r="W536">
        <v>5.5333150324345824E-3</v>
      </c>
      <c r="X536">
        <v>0</v>
      </c>
      <c r="Y536">
        <v>5.7905089262831E-2</v>
      </c>
      <c r="Z536">
        <v>0.57879121776512854</v>
      </c>
      <c r="AA536">
        <v>3.4816793616333143E-2</v>
      </c>
      <c r="AB536">
        <v>2.432691500322699</v>
      </c>
      <c r="AC536">
        <v>0.1378032508828296</v>
      </c>
      <c r="AD536">
        <v>1290.467234529151</v>
      </c>
      <c r="AE536">
        <v>50</v>
      </c>
      <c r="AF536">
        <v>87.878844466421015</v>
      </c>
      <c r="AG536">
        <v>2.1961249999999999</v>
      </c>
      <c r="AH536">
        <v>13.214425</v>
      </c>
      <c r="AI536">
        <v>0.23326250000000001</v>
      </c>
      <c r="AJ536">
        <v>10.8680875</v>
      </c>
      <c r="AK536">
        <v>0.46184999999999998</v>
      </c>
      <c r="AL536">
        <v>2.5506250000000001</v>
      </c>
      <c r="AM536">
        <v>49.975887499999999</v>
      </c>
      <c r="AN536">
        <v>7.4385374999999998</v>
      </c>
      <c r="AP536">
        <v>0.2354</v>
      </c>
      <c r="AQ536">
        <v>98.48666249999998</v>
      </c>
      <c r="AR536">
        <v>5.6378814410075299E-2</v>
      </c>
      <c r="AS536">
        <v>0.24941022862516499</v>
      </c>
      <c r="AT536">
        <v>1.4003870638403601E-2</v>
      </c>
      <c r="AU536">
        <v>0.27584699401505702</v>
      </c>
      <c r="AV536">
        <v>3.1668731762237799E-2</v>
      </c>
      <c r="AW536">
        <v>4.2427543277585897E-2</v>
      </c>
      <c r="AX536">
        <v>0.67605985245919198</v>
      </c>
      <c r="AY536">
        <v>0.10614118545597701</v>
      </c>
      <c r="BA536">
        <v>4.3851209463691802E-2</v>
      </c>
      <c r="BE536">
        <v>0.28335130563784111</v>
      </c>
      <c r="BF536">
        <v>14222</v>
      </c>
      <c r="BG536">
        <v>356086.89545572939</v>
      </c>
      <c r="BH536">
        <v>1088.9998574361041</v>
      </c>
      <c r="BI536">
        <v>336.66894594549791</v>
      </c>
      <c r="BJ536">
        <v>9.1316127486834269</v>
      </c>
      <c r="BK536">
        <v>1088.999857436103</v>
      </c>
    </row>
    <row r="537" spans="1:63" x14ac:dyDescent="0.2">
      <c r="A537">
        <v>535</v>
      </c>
      <c r="B537" t="s">
        <v>69</v>
      </c>
      <c r="C537" t="s">
        <v>784</v>
      </c>
      <c r="D537" t="s">
        <v>322</v>
      </c>
      <c r="E537">
        <v>-155.35314403066801</v>
      </c>
      <c r="F537">
        <v>19.349489671806701</v>
      </c>
      <c r="G537" t="s">
        <v>785</v>
      </c>
      <c r="H537" t="s">
        <v>1150</v>
      </c>
      <c r="I537" t="s">
        <v>1151</v>
      </c>
      <c r="J537" t="s">
        <v>68</v>
      </c>
      <c r="K537">
        <v>15.523520832812499</v>
      </c>
      <c r="L537">
        <v>14.224131041406251</v>
      </c>
      <c r="M537">
        <v>693.69065848753121</v>
      </c>
      <c r="N537">
        <v>13757.112144723091</v>
      </c>
      <c r="Q537">
        <v>9.9849999999999994</v>
      </c>
      <c r="R537">
        <v>1324.9639999999999</v>
      </c>
      <c r="S537">
        <v>100</v>
      </c>
      <c r="T537">
        <v>103.1682331676236</v>
      </c>
      <c r="U537">
        <v>1.665715502571475E-2</v>
      </c>
      <c r="V537">
        <v>0.16561953834676049</v>
      </c>
      <c r="W537">
        <v>7.6942045529304059E-3</v>
      </c>
      <c r="X537">
        <v>0</v>
      </c>
      <c r="Y537">
        <v>5.8202522477713403E-2</v>
      </c>
      <c r="Z537">
        <v>0.57493089309425005</v>
      </c>
      <c r="AA537">
        <v>4.0426128125258261E-2</v>
      </c>
      <c r="AB537">
        <v>2.417402683096034</v>
      </c>
      <c r="AC537">
        <v>0.16009630671374381</v>
      </c>
      <c r="AD537">
        <v>1263.1296103350351</v>
      </c>
      <c r="AE537">
        <v>50</v>
      </c>
      <c r="AF537">
        <v>86.654302357135421</v>
      </c>
      <c r="AG537">
        <v>2.3570000000000002</v>
      </c>
      <c r="AH537">
        <v>13.715999999999999</v>
      </c>
      <c r="AI537">
        <v>0.24811</v>
      </c>
      <c r="AJ537">
        <v>11.47284</v>
      </c>
      <c r="AK537">
        <v>0.52964999999999995</v>
      </c>
      <c r="AL537">
        <v>2.8898700000000002</v>
      </c>
      <c r="AM537">
        <v>50.692570000000003</v>
      </c>
      <c r="AN537">
        <v>6.9913700000000008</v>
      </c>
      <c r="AP537">
        <v>0.16611000000000001</v>
      </c>
      <c r="AQ537">
        <v>100.03395</v>
      </c>
      <c r="AR537">
        <v>5.8782724928332357E-2</v>
      </c>
      <c r="AS537">
        <v>0.14197203950074119</v>
      </c>
      <c r="AT537">
        <v>1.8524929149662091E-2</v>
      </c>
      <c r="AU537">
        <v>7.580298806775411E-2</v>
      </c>
      <c r="AV537">
        <v>2.37537365481728E-2</v>
      </c>
      <c r="AW537">
        <v>6.5014994424363204E-2</v>
      </c>
      <c r="AX537">
        <v>0.40904520777048697</v>
      </c>
      <c r="AY537">
        <v>7.4371412518520627E-2</v>
      </c>
      <c r="BA537">
        <v>1.149502066113846E-2</v>
      </c>
      <c r="BB537">
        <v>5</v>
      </c>
      <c r="BC537" t="s">
        <v>86</v>
      </c>
      <c r="BE537">
        <v>0.48669808745556797</v>
      </c>
      <c r="BF537">
        <v>35883</v>
      </c>
      <c r="BG537">
        <v>1454651.8472939699</v>
      </c>
      <c r="BH537">
        <v>3092.582713762687</v>
      </c>
      <c r="BI537">
        <v>680.46312460645834</v>
      </c>
      <c r="BJ537">
        <v>16.325893213442431</v>
      </c>
      <c r="BK537">
        <v>3092.5827137626839</v>
      </c>
    </row>
    <row r="538" spans="1:63" x14ac:dyDescent="0.2">
      <c r="A538">
        <v>536</v>
      </c>
      <c r="B538" t="s">
        <v>69</v>
      </c>
      <c r="C538" t="s">
        <v>91</v>
      </c>
      <c r="D538" t="s">
        <v>92</v>
      </c>
      <c r="E538">
        <v>-155.28360000000001</v>
      </c>
      <c r="F538">
        <v>19.4285</v>
      </c>
      <c r="G538" t="s">
        <v>212</v>
      </c>
      <c r="H538" t="s">
        <v>1152</v>
      </c>
      <c r="I538" t="s">
        <v>1153</v>
      </c>
      <c r="J538" t="s">
        <v>68</v>
      </c>
      <c r="K538">
        <v>12.70640378203125</v>
      </c>
      <c r="L538">
        <v>11.967706003125</v>
      </c>
      <c r="M538">
        <v>477.7310144006745</v>
      </c>
      <c r="N538">
        <v>7858.3916647308688</v>
      </c>
      <c r="O538" t="s">
        <v>1154</v>
      </c>
      <c r="Q538">
        <v>12.12</v>
      </c>
      <c r="R538">
        <v>1325.0039999999999</v>
      </c>
      <c r="S538">
        <v>50</v>
      </c>
      <c r="T538">
        <v>103.1695926326117</v>
      </c>
      <c r="U538">
        <v>2.6737947964116529E-3</v>
      </c>
      <c r="V538">
        <v>0.1661582129480976</v>
      </c>
      <c r="W538">
        <v>4.0959333705086007E-3</v>
      </c>
      <c r="X538">
        <v>0</v>
      </c>
      <c r="Y538">
        <v>5.9369960311626113E-2</v>
      </c>
      <c r="Z538">
        <v>0.56056529194496696</v>
      </c>
      <c r="AA538">
        <v>4.7576237645042263E-2</v>
      </c>
      <c r="AB538">
        <v>2.3604072930468298</v>
      </c>
      <c r="AC538">
        <v>0.18917484813870769</v>
      </c>
      <c r="AD538">
        <v>1220.1822987351841</v>
      </c>
      <c r="AE538">
        <v>100</v>
      </c>
      <c r="AG538">
        <v>2.1021777777777779</v>
      </c>
      <c r="AH538">
        <v>12.18196296296296</v>
      </c>
      <c r="AJ538">
        <v>10.35145925925926</v>
      </c>
      <c r="AK538">
        <v>0.4553962962962963</v>
      </c>
      <c r="AL538">
        <v>2.3345296296296301</v>
      </c>
      <c r="AM538">
        <v>49.209007407407412</v>
      </c>
      <c r="AN538">
        <v>9.4706370370370365</v>
      </c>
      <c r="AP538">
        <v>1.7722222222222219E-2</v>
      </c>
      <c r="AQ538">
        <v>97.341288888888897</v>
      </c>
      <c r="AR538">
        <v>3.1603703937420069E-2</v>
      </c>
      <c r="AS538">
        <v>0.1308813941885143</v>
      </c>
      <c r="AU538">
        <v>0.12790190128874709</v>
      </c>
      <c r="AV538">
        <v>3.4622563579722238E-2</v>
      </c>
      <c r="AW538">
        <v>4.9585767303615608E-2</v>
      </c>
      <c r="AX538">
        <v>0.4308268757472053</v>
      </c>
      <c r="AY538">
        <v>0.20483483806030409</v>
      </c>
      <c r="BA538">
        <v>4.922736366426028E-3</v>
      </c>
      <c r="BB538">
        <v>27</v>
      </c>
      <c r="BC538" t="s">
        <v>86</v>
      </c>
    </row>
    <row r="539" spans="1:63" x14ac:dyDescent="0.2">
      <c r="A539">
        <v>537</v>
      </c>
      <c r="B539" t="s">
        <v>69</v>
      </c>
      <c r="C539" t="s">
        <v>278</v>
      </c>
      <c r="D539" t="s">
        <v>144</v>
      </c>
      <c r="E539">
        <v>-154.873789449106</v>
      </c>
      <c r="F539">
        <v>19.5537282409346</v>
      </c>
      <c r="G539" t="s">
        <v>279</v>
      </c>
      <c r="H539" t="s">
        <v>741</v>
      </c>
      <c r="I539" t="s">
        <v>1155</v>
      </c>
      <c r="J539" t="s">
        <v>68</v>
      </c>
      <c r="K539">
        <v>6.6029504320312498</v>
      </c>
      <c r="L539">
        <v>5.6476005156250002</v>
      </c>
      <c r="M539">
        <v>117.1525858391167</v>
      </c>
      <c r="N539">
        <v>956.78914764784747</v>
      </c>
      <c r="O539" t="s">
        <v>743</v>
      </c>
      <c r="Q539">
        <v>11.971</v>
      </c>
      <c r="R539">
        <v>1325.0039999999999</v>
      </c>
      <c r="S539">
        <v>50</v>
      </c>
      <c r="T539">
        <v>103.17234044279689</v>
      </c>
      <c r="U539">
        <v>4.945340513668834E-2</v>
      </c>
      <c r="V539">
        <v>0.1672470056489033</v>
      </c>
      <c r="W539">
        <v>1.9991712336533341E-2</v>
      </c>
      <c r="X539">
        <v>0</v>
      </c>
      <c r="Y539">
        <v>5.9609245936706363E-2</v>
      </c>
      <c r="Z539">
        <v>0.55779841074141656</v>
      </c>
      <c r="AA539">
        <v>7.3968292856495435E-2</v>
      </c>
      <c r="AB539">
        <v>2.3494114680417688</v>
      </c>
      <c r="AC539">
        <v>0.29341011976599152</v>
      </c>
      <c r="AD539">
        <v>1202.6650308724729</v>
      </c>
      <c r="AE539">
        <v>50</v>
      </c>
      <c r="AF539">
        <v>83.139689043729405</v>
      </c>
    </row>
    <row r="540" spans="1:63" x14ac:dyDescent="0.2">
      <c r="A540">
        <v>538</v>
      </c>
      <c r="B540" t="s">
        <v>69</v>
      </c>
      <c r="C540" t="s">
        <v>91</v>
      </c>
      <c r="D540" t="s">
        <v>92</v>
      </c>
      <c r="E540">
        <v>-155.272412745889</v>
      </c>
      <c r="F540">
        <v>19.3454197541963</v>
      </c>
      <c r="G540" t="s">
        <v>124</v>
      </c>
      <c r="H540" t="s">
        <v>1156</v>
      </c>
      <c r="I540" t="s">
        <v>1157</v>
      </c>
      <c r="J540" t="s">
        <v>68</v>
      </c>
      <c r="K540">
        <v>5.8985404109375006</v>
      </c>
      <c r="L540">
        <v>5.1002168023437502</v>
      </c>
      <c r="M540">
        <v>94.511154755013735</v>
      </c>
      <c r="N540">
        <v>693.00349673149856</v>
      </c>
      <c r="O540" t="s">
        <v>1158</v>
      </c>
      <c r="Q540">
        <v>12.005000000000001</v>
      </c>
      <c r="R540">
        <v>1325.0039999999999</v>
      </c>
      <c r="S540">
        <v>50</v>
      </c>
      <c r="T540">
        <v>103.17453298312491</v>
      </c>
      <c r="U540">
        <v>6.6286389265850414E-3</v>
      </c>
      <c r="V540">
        <v>0.17199413211892531</v>
      </c>
      <c r="W540">
        <v>3.5866659138449669E-3</v>
      </c>
      <c r="X540">
        <v>0</v>
      </c>
      <c r="Y540">
        <v>5.7017997356239469E-2</v>
      </c>
      <c r="Z540">
        <v>0.59118368961596357</v>
      </c>
      <c r="AA540">
        <v>3.0808771330384451E-2</v>
      </c>
      <c r="AB540">
        <v>2.4816950610611732</v>
      </c>
      <c r="AC540">
        <v>0.1216072380330861</v>
      </c>
      <c r="AD540">
        <v>1243.1887709149851</v>
      </c>
      <c r="AE540">
        <v>50</v>
      </c>
      <c r="AF540">
        <v>85.64660860157052</v>
      </c>
      <c r="AG540">
        <v>2.4452269230769228</v>
      </c>
      <c r="AH540">
        <v>12.97811153846154</v>
      </c>
      <c r="AJ540">
        <v>10.30404615384615</v>
      </c>
      <c r="AK540">
        <v>0.55342692307692309</v>
      </c>
      <c r="AL540">
        <v>2.900669230769231</v>
      </c>
      <c r="AM540">
        <v>50.451046153846157</v>
      </c>
      <c r="AN540">
        <v>6.0883423076923071</v>
      </c>
      <c r="AP540">
        <v>1.6526923076923071E-2</v>
      </c>
      <c r="AQ540">
        <v>97.170811538461535</v>
      </c>
      <c r="AR540">
        <v>0.14452695958247319</v>
      </c>
      <c r="AS540">
        <v>0.56238533005541524</v>
      </c>
      <c r="AU540">
        <v>0.81302815263963402</v>
      </c>
      <c r="AV540">
        <v>0.1071919159552335</v>
      </c>
      <c r="AW540">
        <v>0.48878923864523122</v>
      </c>
      <c r="AX540">
        <v>0.42567582898799372</v>
      </c>
      <c r="AY540">
        <v>0.85490953915514445</v>
      </c>
      <c r="BA540">
        <v>4.3609684880592933E-3</v>
      </c>
      <c r="BB540">
        <v>26</v>
      </c>
      <c r="BC540" t="s">
        <v>86</v>
      </c>
    </row>
    <row r="541" spans="1:63" x14ac:dyDescent="0.2">
      <c r="A541">
        <v>539</v>
      </c>
      <c r="B541" t="s">
        <v>69</v>
      </c>
      <c r="C541" t="s">
        <v>70</v>
      </c>
      <c r="D541" t="s">
        <v>71</v>
      </c>
      <c r="E541">
        <v>-155.29347999999999</v>
      </c>
      <c r="F541">
        <v>19.377479999999998</v>
      </c>
      <c r="G541" t="s">
        <v>112</v>
      </c>
      <c r="H541" t="s">
        <v>113</v>
      </c>
      <c r="I541" t="s">
        <v>1159</v>
      </c>
      <c r="J541" t="s">
        <v>85</v>
      </c>
      <c r="K541">
        <v>3.2837211312500001</v>
      </c>
      <c r="L541">
        <v>2.8102594992187502</v>
      </c>
      <c r="M541">
        <v>28.990957876037768</v>
      </c>
      <c r="N541">
        <v>117.78022383687301</v>
      </c>
      <c r="Q541">
        <v>11.948</v>
      </c>
      <c r="R541">
        <v>1324.9639999999999</v>
      </c>
      <c r="S541">
        <v>50</v>
      </c>
      <c r="T541">
        <v>103.1755342215791</v>
      </c>
      <c r="U541">
        <v>2.2537575275575612E-2</v>
      </c>
      <c r="V541">
        <v>0.17240036420298571</v>
      </c>
      <c r="W541">
        <v>9.4477436954252241E-3</v>
      </c>
      <c r="X541">
        <v>0</v>
      </c>
      <c r="Y541">
        <v>5.7393410817414781E-2</v>
      </c>
      <c r="Z541">
        <v>0.58588647347161793</v>
      </c>
      <c r="AA541">
        <v>4.5323943476350159E-2</v>
      </c>
      <c r="AB541">
        <v>2.460762583901031</v>
      </c>
      <c r="AC541">
        <v>0.17883134658646549</v>
      </c>
      <c r="AD541">
        <v>1226.1331232659011</v>
      </c>
      <c r="AE541">
        <v>50</v>
      </c>
      <c r="AF541">
        <v>84.682353864155772</v>
      </c>
      <c r="AG541">
        <v>2.1280100000000002</v>
      </c>
      <c r="AH541">
        <v>12.511455</v>
      </c>
      <c r="AI541">
        <v>0.21128</v>
      </c>
      <c r="AJ541">
        <v>10.547185000000001</v>
      </c>
      <c r="AK541">
        <v>0.43435000000000001</v>
      </c>
      <c r="AL541">
        <v>2.4173399999999998</v>
      </c>
      <c r="AM541">
        <v>50.003889999999998</v>
      </c>
      <c r="AN541">
        <v>8.5805450000000008</v>
      </c>
      <c r="AO541">
        <v>11.0444</v>
      </c>
      <c r="AP541">
        <v>0.37786999999999998</v>
      </c>
      <c r="AQ541">
        <v>98.290260000000004</v>
      </c>
      <c r="AR541">
        <v>4.7093422517846893E-2</v>
      </c>
      <c r="AS541">
        <v>0.17423154844121161</v>
      </c>
      <c r="AT541">
        <v>2.1925114974993089E-2</v>
      </c>
      <c r="AU541">
        <v>0.1853741817244248</v>
      </c>
      <c r="AV541">
        <v>1.0520403456564249E-2</v>
      </c>
      <c r="AW541">
        <v>3.5166562401109248E-2</v>
      </c>
      <c r="AX541">
        <v>0.46106226248619608</v>
      </c>
      <c r="AY541">
        <v>0.4051107053427907</v>
      </c>
      <c r="AZ541">
        <v>0.14841023100402101</v>
      </c>
      <c r="BA541">
        <v>1.7068639208924791E-2</v>
      </c>
      <c r="BD541" t="s">
        <v>967</v>
      </c>
      <c r="BE541">
        <v>1.5315815687044121</v>
      </c>
      <c r="BF541">
        <v>2903</v>
      </c>
      <c r="BG541">
        <v>146364.34951942789</v>
      </c>
      <c r="BH541">
        <v>618.0149717777939</v>
      </c>
      <c r="BI541">
        <v>215.84536000779269</v>
      </c>
      <c r="BJ541">
        <v>11.470318528482659</v>
      </c>
      <c r="BK541">
        <v>618.01497177779379</v>
      </c>
    </row>
    <row r="542" spans="1:63" x14ac:dyDescent="0.2">
      <c r="A542">
        <v>540</v>
      </c>
      <c r="B542" t="s">
        <v>69</v>
      </c>
      <c r="C542" t="s">
        <v>70</v>
      </c>
      <c r="D542" t="s">
        <v>71</v>
      </c>
      <c r="E542">
        <v>-155.29347999999999</v>
      </c>
      <c r="F542">
        <v>19.377479999999998</v>
      </c>
      <c r="G542" t="s">
        <v>112</v>
      </c>
      <c r="H542" t="s">
        <v>1160</v>
      </c>
      <c r="I542" t="s">
        <v>1161</v>
      </c>
      <c r="J542" t="s">
        <v>68</v>
      </c>
      <c r="K542">
        <v>3.4886340703125001</v>
      </c>
      <c r="L542">
        <v>2.71669460078125</v>
      </c>
      <c r="M542">
        <v>29.774611956121241</v>
      </c>
      <c r="N542">
        <v>123.1741688280066</v>
      </c>
      <c r="Q542">
        <v>12.013999999999999</v>
      </c>
      <c r="R542">
        <v>1324.9639999999999</v>
      </c>
      <c r="S542">
        <v>50</v>
      </c>
      <c r="T542">
        <v>103.1841333718516</v>
      </c>
      <c r="U542">
        <v>3.623626867588256E-2</v>
      </c>
      <c r="V542">
        <v>0.1758913438497984</v>
      </c>
      <c r="W542">
        <v>1.490903368337986E-2</v>
      </c>
      <c r="X542">
        <v>0</v>
      </c>
      <c r="Y542">
        <v>5.4730177291667743E-2</v>
      </c>
      <c r="Z542">
        <v>0.62844532160307354</v>
      </c>
      <c r="AA542">
        <v>6.9346609988380006E-2</v>
      </c>
      <c r="AB542">
        <v>2.628339779591037</v>
      </c>
      <c r="AC542">
        <v>0.27157402202629849</v>
      </c>
      <c r="AD542">
        <v>1298.041034781711</v>
      </c>
      <c r="AE542">
        <v>50</v>
      </c>
      <c r="AF542">
        <v>88.192341835518491</v>
      </c>
      <c r="AG542">
        <v>2.1280100000000002</v>
      </c>
      <c r="AH542">
        <v>12.511455</v>
      </c>
      <c r="AI542">
        <v>0.21128</v>
      </c>
      <c r="AJ542">
        <v>10.547185000000001</v>
      </c>
      <c r="AK542">
        <v>0.43435000000000001</v>
      </c>
      <c r="AL542">
        <v>2.4173399999999998</v>
      </c>
      <c r="AM542">
        <v>50.003889999999998</v>
      </c>
      <c r="AN542">
        <v>8.5805450000000008</v>
      </c>
      <c r="AO542">
        <v>11.0444</v>
      </c>
      <c r="AP542">
        <v>0.37786999999999998</v>
      </c>
      <c r="AQ542">
        <v>98.290260000000004</v>
      </c>
      <c r="AR542">
        <v>4.7093422517846893E-2</v>
      </c>
      <c r="AS542">
        <v>0.17423154844121161</v>
      </c>
      <c r="AT542">
        <v>2.1925114974993089E-2</v>
      </c>
      <c r="AU542">
        <v>0.1853741817244248</v>
      </c>
      <c r="AV542">
        <v>1.0520403456564249E-2</v>
      </c>
      <c r="AW542">
        <v>3.5166562401109248E-2</v>
      </c>
      <c r="AX542">
        <v>0.46106226248619608</v>
      </c>
      <c r="AY542">
        <v>0.4051107053427907</v>
      </c>
      <c r="AZ542">
        <v>0.14841023100402101</v>
      </c>
      <c r="BA542">
        <v>1.7068639208924791E-2</v>
      </c>
    </row>
    <row r="543" spans="1:63" x14ac:dyDescent="0.2">
      <c r="A543">
        <v>541</v>
      </c>
      <c r="B543" t="s">
        <v>69</v>
      </c>
      <c r="C543" t="s">
        <v>91</v>
      </c>
      <c r="D543" t="s">
        <v>92</v>
      </c>
      <c r="E543">
        <v>-155.28360000000001</v>
      </c>
      <c r="F543">
        <v>19.4285</v>
      </c>
      <c r="G543" t="s">
        <v>212</v>
      </c>
      <c r="H543" t="s">
        <v>1162</v>
      </c>
      <c r="I543" t="s">
        <v>1163</v>
      </c>
      <c r="J543" t="s">
        <v>68</v>
      </c>
      <c r="K543">
        <v>10.02858801171875</v>
      </c>
      <c r="L543">
        <v>7.6346051382812501</v>
      </c>
      <c r="M543">
        <v>240.53387245335449</v>
      </c>
      <c r="N543">
        <v>2832.3974988407099</v>
      </c>
      <c r="O543" t="s">
        <v>1164</v>
      </c>
      <c r="Q543">
        <v>11.994999999999999</v>
      </c>
      <c r="R543">
        <v>1325.0039999999999</v>
      </c>
      <c r="S543">
        <v>50</v>
      </c>
      <c r="T543">
        <v>103.1859180203293</v>
      </c>
      <c r="U543">
        <v>2.84672934229213E-2</v>
      </c>
      <c r="V543">
        <v>0.17661631658120311</v>
      </c>
      <c r="W543">
        <v>1.1806477021757069E-2</v>
      </c>
      <c r="X543">
        <v>0</v>
      </c>
      <c r="Y543">
        <v>5.6482426665104828E-2</v>
      </c>
      <c r="Z543">
        <v>0.59917986521681221</v>
      </c>
      <c r="AA543">
        <v>6.7834293987031585E-2</v>
      </c>
      <c r="AB543">
        <v>2.5132524266484961</v>
      </c>
      <c r="AC543">
        <v>0.26709045429570938</v>
      </c>
      <c r="AD543">
        <v>1220.1822987351841</v>
      </c>
      <c r="AE543">
        <v>100</v>
      </c>
      <c r="AG543">
        <v>2.1021777777777779</v>
      </c>
      <c r="AH543">
        <v>12.18196296296296</v>
      </c>
      <c r="AJ543">
        <v>10.35145925925926</v>
      </c>
      <c r="AK543">
        <v>0.4553962962962963</v>
      </c>
      <c r="AL543">
        <v>2.3345296296296301</v>
      </c>
      <c r="AM543">
        <v>49.209007407407412</v>
      </c>
      <c r="AN543">
        <v>9.4706370370370365</v>
      </c>
      <c r="AP543">
        <v>1.7722222222222219E-2</v>
      </c>
      <c r="AQ543">
        <v>97.341288888888897</v>
      </c>
      <c r="AR543">
        <v>3.1603703937420069E-2</v>
      </c>
      <c r="AS543">
        <v>0.1308813941885143</v>
      </c>
      <c r="AU543">
        <v>0.12790190128874709</v>
      </c>
      <c r="AV543">
        <v>3.4622563579722238E-2</v>
      </c>
      <c r="AW543">
        <v>4.9585767303615608E-2</v>
      </c>
      <c r="AX543">
        <v>0.4308268757472053</v>
      </c>
      <c r="AY543">
        <v>0.20483483806030409</v>
      </c>
      <c r="BA543">
        <v>4.922736366426028E-3</v>
      </c>
      <c r="BB543">
        <v>27</v>
      </c>
      <c r="BC543" t="s">
        <v>86</v>
      </c>
    </row>
    <row r="544" spans="1:63" x14ac:dyDescent="0.2">
      <c r="A544">
        <v>542</v>
      </c>
      <c r="B544" t="s">
        <v>69</v>
      </c>
      <c r="C544" t="s">
        <v>81</v>
      </c>
      <c r="D544" t="s">
        <v>71</v>
      </c>
      <c r="E544">
        <v>-155.29106999999999</v>
      </c>
      <c r="F544">
        <v>19.383150000000001</v>
      </c>
      <c r="G544" t="s">
        <v>82</v>
      </c>
      <c r="H544" t="s">
        <v>1009</v>
      </c>
      <c r="I544" t="s">
        <v>1165</v>
      </c>
      <c r="J544" t="s">
        <v>68</v>
      </c>
      <c r="K544">
        <v>6.7082545289062496</v>
      </c>
      <c r="L544">
        <v>6.2583294085937498</v>
      </c>
      <c r="M544">
        <v>131.8918086456973</v>
      </c>
      <c r="N544">
        <v>1140.124138315414</v>
      </c>
      <c r="Q544">
        <v>9.9450000000000003</v>
      </c>
      <c r="R544">
        <v>1324.9639999999999</v>
      </c>
      <c r="S544">
        <v>50</v>
      </c>
      <c r="T544">
        <v>103.18714494607489</v>
      </c>
      <c r="U544">
        <v>2.436398354143705E-3</v>
      </c>
      <c r="V544">
        <v>0.17711481991864281</v>
      </c>
      <c r="W544">
        <v>2.5702572343960389E-3</v>
      </c>
      <c r="X544">
        <v>0</v>
      </c>
      <c r="Y544">
        <v>5.6257729675168178E-2</v>
      </c>
      <c r="Z544">
        <v>0.60263750328510257</v>
      </c>
      <c r="AA544">
        <v>3.0717717246354938E-2</v>
      </c>
      <c r="AB544">
        <v>2.5268832173057878</v>
      </c>
      <c r="AC544">
        <v>0.1209913571164811</v>
      </c>
      <c r="AD544">
        <v>1224.028320771152</v>
      </c>
      <c r="AE544">
        <v>50</v>
      </c>
      <c r="AF544">
        <v>84.555376652750937</v>
      </c>
      <c r="AG544">
        <v>2.2102200000000001</v>
      </c>
      <c r="AH544">
        <v>12.516225</v>
      </c>
      <c r="AI544">
        <v>0.22873499999999999</v>
      </c>
      <c r="AJ544">
        <v>10.535360000000001</v>
      </c>
      <c r="AK544">
        <v>0.37534499999999998</v>
      </c>
      <c r="AL544">
        <v>2.4377900000000001</v>
      </c>
      <c r="AM544">
        <v>50.224780000000003</v>
      </c>
      <c r="AN544">
        <v>8.9844449999999991</v>
      </c>
      <c r="AP544">
        <v>0.178455</v>
      </c>
      <c r="AQ544">
        <v>99.610560000000007</v>
      </c>
      <c r="AR544">
        <v>1.7587090435884831E-2</v>
      </c>
      <c r="AS544">
        <v>0.12699126938494701</v>
      </c>
      <c r="AT544">
        <v>8.073250584491971E-3</v>
      </c>
      <c r="AU544">
        <v>6.9056800896073786E-2</v>
      </c>
      <c r="AV544">
        <v>2.248073063759274E-2</v>
      </c>
      <c r="AW544">
        <v>2.1205111412109991E-2</v>
      </c>
      <c r="AX544">
        <v>0.5052093298821787</v>
      </c>
      <c r="AY544">
        <v>0.13192220766421431</v>
      </c>
      <c r="BA544">
        <v>1.2962040734390541E-2</v>
      </c>
      <c r="BB544">
        <v>5</v>
      </c>
      <c r="BC544" t="s">
        <v>86</v>
      </c>
    </row>
    <row r="545" spans="1:63" x14ac:dyDescent="0.2">
      <c r="A545">
        <v>543</v>
      </c>
      <c r="B545" t="s">
        <v>69</v>
      </c>
      <c r="C545" t="s">
        <v>70</v>
      </c>
      <c r="D545" t="s">
        <v>71</v>
      </c>
      <c r="E545">
        <v>-155.29347999999999</v>
      </c>
      <c r="F545">
        <v>19.377479999999998</v>
      </c>
      <c r="G545" t="s">
        <v>112</v>
      </c>
      <c r="H545" t="s">
        <v>851</v>
      </c>
      <c r="I545" t="s">
        <v>1166</v>
      </c>
      <c r="J545" t="s">
        <v>68</v>
      </c>
      <c r="K545">
        <v>4.8651228140624996</v>
      </c>
      <c r="L545">
        <v>3.9536749054687501</v>
      </c>
      <c r="M545">
        <v>60.428892776758268</v>
      </c>
      <c r="N545">
        <v>355.27345454231607</v>
      </c>
      <c r="Q545">
        <v>11.907</v>
      </c>
      <c r="R545">
        <v>1324.9639999999999</v>
      </c>
      <c r="S545">
        <v>100</v>
      </c>
      <c r="T545">
        <v>103.18983270006819</v>
      </c>
      <c r="U545">
        <v>7.9823953844990279E-3</v>
      </c>
      <c r="V545">
        <v>0.17820712661887231</v>
      </c>
      <c r="W545">
        <v>4.0190002661715483E-3</v>
      </c>
      <c r="X545">
        <v>0</v>
      </c>
      <c r="Y545">
        <v>5.3896941380084717E-2</v>
      </c>
      <c r="Z545">
        <v>0.64469842724317872</v>
      </c>
      <c r="AA545">
        <v>3.2190019687147117E-2</v>
      </c>
      <c r="AB545">
        <v>2.6919798881050072</v>
      </c>
      <c r="AC545">
        <v>0.12586088873833429</v>
      </c>
      <c r="AD545">
        <v>1314.9962770108609</v>
      </c>
      <c r="AE545">
        <v>50</v>
      </c>
      <c r="AF545">
        <v>88.860456172445865</v>
      </c>
      <c r="AG545">
        <v>2.1280100000000002</v>
      </c>
      <c r="AH545">
        <v>12.511455</v>
      </c>
      <c r="AI545">
        <v>0.21128</v>
      </c>
      <c r="AJ545">
        <v>10.547185000000001</v>
      </c>
      <c r="AK545">
        <v>0.43435000000000001</v>
      </c>
      <c r="AL545">
        <v>2.4173399999999998</v>
      </c>
      <c r="AM545">
        <v>50.003889999999998</v>
      </c>
      <c r="AN545">
        <v>8.5805450000000008</v>
      </c>
      <c r="AO545">
        <v>11.0444</v>
      </c>
      <c r="AP545">
        <v>0.37786999999999998</v>
      </c>
      <c r="AQ545">
        <v>98.290260000000004</v>
      </c>
      <c r="AR545">
        <v>4.7093422517846893E-2</v>
      </c>
      <c r="AS545">
        <v>0.17423154844121161</v>
      </c>
      <c r="AT545">
        <v>2.1925114974993089E-2</v>
      </c>
      <c r="AU545">
        <v>0.1853741817244248</v>
      </c>
      <c r="AV545">
        <v>1.0520403456564249E-2</v>
      </c>
      <c r="AW545">
        <v>3.5166562401109248E-2</v>
      </c>
      <c r="AX545">
        <v>0.46106226248619608</v>
      </c>
      <c r="AY545">
        <v>0.4051107053427907</v>
      </c>
      <c r="AZ545">
        <v>0.14841023100402101</v>
      </c>
      <c r="BA545">
        <v>1.7068639208924791E-2</v>
      </c>
      <c r="BD545" t="s">
        <v>853</v>
      </c>
      <c r="BE545">
        <v>0.4262306990220433</v>
      </c>
      <c r="BF545">
        <v>43228</v>
      </c>
      <c r="BG545">
        <v>4327656.9875857905</v>
      </c>
      <c r="BH545">
        <v>8325.9519019956424</v>
      </c>
      <c r="BI545">
        <v>1173.6847971925511</v>
      </c>
      <c r="BJ545">
        <v>40.045279231030932</v>
      </c>
      <c r="BK545">
        <v>8325.9519019956388</v>
      </c>
    </row>
    <row r="546" spans="1:63" x14ac:dyDescent="0.2">
      <c r="A546">
        <v>544</v>
      </c>
      <c r="B546" t="s">
        <v>69</v>
      </c>
      <c r="C546" t="s">
        <v>70</v>
      </c>
      <c r="D546" t="s">
        <v>71</v>
      </c>
      <c r="E546">
        <v>-155.29347999999999</v>
      </c>
      <c r="F546">
        <v>19.377479999999998</v>
      </c>
      <c r="G546" t="s">
        <v>112</v>
      </c>
      <c r="H546" t="s">
        <v>1167</v>
      </c>
      <c r="I546" t="s">
        <v>1168</v>
      </c>
      <c r="J546" t="s">
        <v>68</v>
      </c>
      <c r="K546">
        <v>6.0965376835937501</v>
      </c>
      <c r="L546">
        <v>5.0432061406250002</v>
      </c>
      <c r="M546">
        <v>96.591710207514751</v>
      </c>
      <c r="N546">
        <v>717.33793816992659</v>
      </c>
      <c r="O546" t="s">
        <v>1169</v>
      </c>
      <c r="Q546">
        <v>12.018000000000001</v>
      </c>
      <c r="R546">
        <v>1324.9639999999999</v>
      </c>
      <c r="S546">
        <v>50</v>
      </c>
      <c r="T546">
        <v>103.1907459411069</v>
      </c>
      <c r="U546">
        <v>3.3436483029156859E-3</v>
      </c>
      <c r="V546">
        <v>0.17857835190443441</v>
      </c>
      <c r="W546">
        <v>2.733504545887909E-3</v>
      </c>
      <c r="X546">
        <v>1.7525206910476741</v>
      </c>
      <c r="Y546">
        <v>5.3881287922291521E-2</v>
      </c>
      <c r="Z546">
        <v>0.64502707221920041</v>
      </c>
      <c r="AA546">
        <v>3.1965347322183292E-2</v>
      </c>
      <c r="AB546">
        <v>2.6932647050900189</v>
      </c>
      <c r="AC546">
        <v>0.1248588551456703</v>
      </c>
      <c r="AD546">
        <v>1312.174467092671</v>
      </c>
      <c r="AE546">
        <v>50</v>
      </c>
      <c r="AF546">
        <v>88.752273584918768</v>
      </c>
      <c r="AG546">
        <v>2.1280100000000002</v>
      </c>
      <c r="AH546">
        <v>12.511455</v>
      </c>
      <c r="AI546">
        <v>0.21128</v>
      </c>
      <c r="AJ546">
        <v>10.547185000000001</v>
      </c>
      <c r="AK546">
        <v>0.43435000000000001</v>
      </c>
      <c r="AL546">
        <v>2.4173399999999998</v>
      </c>
      <c r="AM546">
        <v>50.003889999999998</v>
      </c>
      <c r="AN546">
        <v>8.5805450000000008</v>
      </c>
      <c r="AO546">
        <v>11.0444</v>
      </c>
      <c r="AP546">
        <v>0.37786999999999998</v>
      </c>
      <c r="AQ546">
        <v>98.290260000000004</v>
      </c>
      <c r="AR546">
        <v>4.7093422517846893E-2</v>
      </c>
      <c r="AS546">
        <v>0.17423154844121161</v>
      </c>
      <c r="AT546">
        <v>2.1925114974993089E-2</v>
      </c>
      <c r="AU546">
        <v>0.1853741817244248</v>
      </c>
      <c r="AV546">
        <v>1.0520403456564249E-2</v>
      </c>
      <c r="AW546">
        <v>3.5166562401109248E-2</v>
      </c>
      <c r="AX546">
        <v>0.46106226248619608</v>
      </c>
      <c r="AY546">
        <v>0.4051107053427907</v>
      </c>
      <c r="AZ546">
        <v>0.14841023100402101</v>
      </c>
      <c r="BA546">
        <v>1.7068639208924791E-2</v>
      </c>
      <c r="BD546" t="s">
        <v>1170</v>
      </c>
      <c r="BE546">
        <v>8.3404362951466124E-2</v>
      </c>
      <c r="BF546">
        <v>3654</v>
      </c>
      <c r="BG546">
        <v>179649.88212722179</v>
      </c>
      <c r="BH546">
        <v>22.41344186092304</v>
      </c>
      <c r="BI546">
        <v>239.1324602241348</v>
      </c>
      <c r="BJ546">
        <v>0.37078681413464343</v>
      </c>
      <c r="BK546">
        <v>22.41344186092304</v>
      </c>
    </row>
    <row r="547" spans="1:63" x14ac:dyDescent="0.2">
      <c r="A547">
        <v>545</v>
      </c>
      <c r="B547" t="s">
        <v>69</v>
      </c>
      <c r="C547" t="s">
        <v>70</v>
      </c>
      <c r="D547" t="s">
        <v>71</v>
      </c>
      <c r="E547">
        <v>-155.29347999999999</v>
      </c>
      <c r="F547">
        <v>19.377479999999998</v>
      </c>
      <c r="G547" t="s">
        <v>112</v>
      </c>
      <c r="H547" t="s">
        <v>1167</v>
      </c>
      <c r="I547" t="s">
        <v>1171</v>
      </c>
      <c r="J547" t="s">
        <v>68</v>
      </c>
      <c r="K547">
        <v>3.8123918648437498</v>
      </c>
      <c r="L547">
        <v>3.8123918648437498</v>
      </c>
      <c r="M547">
        <v>45.66094979134499</v>
      </c>
      <c r="N547">
        <v>232.10324470075</v>
      </c>
      <c r="Q547">
        <v>12.016</v>
      </c>
      <c r="R547">
        <v>1324.9639999999999</v>
      </c>
      <c r="S547">
        <v>50</v>
      </c>
      <c r="T547">
        <v>103.1941793820381</v>
      </c>
      <c r="U547">
        <v>2.4875171690009962E-3</v>
      </c>
      <c r="V547">
        <v>0.17997439624195979</v>
      </c>
      <c r="W547">
        <v>2.578057363008006E-3</v>
      </c>
      <c r="X547">
        <v>0</v>
      </c>
      <c r="Y547">
        <v>5.3613251320067667E-2</v>
      </c>
      <c r="Z547">
        <v>0.65066203624011865</v>
      </c>
      <c r="AA547">
        <v>3.016620740629649E-2</v>
      </c>
      <c r="AB547">
        <v>2.715281875458079</v>
      </c>
      <c r="AC547">
        <v>0.11781177486931101</v>
      </c>
      <c r="AD547">
        <v>1312.174467092671</v>
      </c>
      <c r="AE547">
        <v>50</v>
      </c>
      <c r="AF547">
        <v>88.752273584918768</v>
      </c>
      <c r="AG547">
        <v>2.1280100000000002</v>
      </c>
      <c r="AH547">
        <v>12.511455</v>
      </c>
      <c r="AI547">
        <v>0.21128</v>
      </c>
      <c r="AJ547">
        <v>10.547185000000001</v>
      </c>
      <c r="AK547">
        <v>0.43435000000000001</v>
      </c>
      <c r="AL547">
        <v>2.4173399999999998</v>
      </c>
      <c r="AM547">
        <v>50.003889999999998</v>
      </c>
      <c r="AN547">
        <v>8.5805450000000008</v>
      </c>
      <c r="AO547">
        <v>11.0444</v>
      </c>
      <c r="AP547">
        <v>0.37786999999999998</v>
      </c>
      <c r="AQ547">
        <v>98.290260000000004</v>
      </c>
      <c r="AR547">
        <v>4.7093422517846893E-2</v>
      </c>
      <c r="AS547">
        <v>0.17423154844121161</v>
      </c>
      <c r="AT547">
        <v>2.1925114974993089E-2</v>
      </c>
      <c r="AU547">
        <v>0.1853741817244248</v>
      </c>
      <c r="AV547">
        <v>1.0520403456564249E-2</v>
      </c>
      <c r="AW547">
        <v>3.5166562401109248E-2</v>
      </c>
      <c r="AX547">
        <v>0.46106226248619608</v>
      </c>
      <c r="AY547">
        <v>0.4051107053427907</v>
      </c>
      <c r="AZ547">
        <v>0.14841023100402101</v>
      </c>
      <c r="BA547">
        <v>1.7068639208924791E-2</v>
      </c>
      <c r="BD547" t="s">
        <v>1170</v>
      </c>
      <c r="BE547">
        <v>8.3404362951466124E-2</v>
      </c>
      <c r="BF547">
        <v>3654</v>
      </c>
      <c r="BG547">
        <v>179649.88212722179</v>
      </c>
      <c r="BH547">
        <v>22.41344186092304</v>
      </c>
      <c r="BI547">
        <v>239.1324602241348</v>
      </c>
      <c r="BJ547">
        <v>0.37078681413464343</v>
      </c>
      <c r="BK547">
        <v>22.41344186092304</v>
      </c>
    </row>
    <row r="548" spans="1:63" x14ac:dyDescent="0.2">
      <c r="A548">
        <v>546</v>
      </c>
      <c r="B548" t="s">
        <v>69</v>
      </c>
      <c r="C548" t="s">
        <v>143</v>
      </c>
      <c r="D548" t="s">
        <v>144</v>
      </c>
      <c r="E548">
        <v>-155.22516669999999</v>
      </c>
      <c r="F548">
        <v>19.371883329999999</v>
      </c>
      <c r="G548" t="s">
        <v>145</v>
      </c>
      <c r="H548" t="s">
        <v>1172</v>
      </c>
      <c r="I548" t="s">
        <v>1173</v>
      </c>
      <c r="J548" t="s">
        <v>68</v>
      </c>
      <c r="K548">
        <v>6.8613871421874997</v>
      </c>
      <c r="L548">
        <v>5.7896331937500003</v>
      </c>
      <c r="M548">
        <v>124.79950035432201</v>
      </c>
      <c r="N548">
        <v>1052.5606779315781</v>
      </c>
      <c r="Q548">
        <v>10.005000000000001</v>
      </c>
      <c r="R548">
        <v>1324.9639999999999</v>
      </c>
      <c r="S548">
        <v>50</v>
      </c>
      <c r="T548">
        <v>103.19487891732059</v>
      </c>
      <c r="U548">
        <v>1.359893696964899E-2</v>
      </c>
      <c r="V548">
        <v>0.18025890210083159</v>
      </c>
      <c r="W548">
        <v>6.0179056360148454E-3</v>
      </c>
      <c r="X548">
        <v>0</v>
      </c>
      <c r="Y548">
        <v>5.3721497367082871E-2</v>
      </c>
      <c r="Z548">
        <v>0.64837891428514549</v>
      </c>
      <c r="AA548">
        <v>3.9371551244156693E-2</v>
      </c>
      <c r="AB548">
        <v>2.7063639793888279</v>
      </c>
      <c r="AC548">
        <v>0.15376462649248479</v>
      </c>
      <c r="AD548">
        <v>1304.037150491512</v>
      </c>
      <c r="AE548">
        <v>50</v>
      </c>
      <c r="AF548">
        <v>88.433705306280075</v>
      </c>
      <c r="AG548">
        <v>2.1961249999999999</v>
      </c>
      <c r="AH548">
        <v>13.214425</v>
      </c>
      <c r="AI548">
        <v>0.23326250000000001</v>
      </c>
      <c r="AJ548">
        <v>10.8680875</v>
      </c>
      <c r="AK548">
        <v>0.46184999999999998</v>
      </c>
      <c r="AL548">
        <v>2.5506250000000001</v>
      </c>
      <c r="AM548">
        <v>49.975887499999999</v>
      </c>
      <c r="AN548">
        <v>7.4385374999999998</v>
      </c>
      <c r="AP548">
        <v>0.2354</v>
      </c>
      <c r="AQ548">
        <v>98.48666249999998</v>
      </c>
      <c r="AR548">
        <v>5.6378814410075299E-2</v>
      </c>
      <c r="AS548">
        <v>0.24941022862516499</v>
      </c>
      <c r="AT548">
        <v>1.4003870638403601E-2</v>
      </c>
      <c r="AU548">
        <v>0.27584699401505702</v>
      </c>
      <c r="AV548">
        <v>3.1668731762237799E-2</v>
      </c>
      <c r="AW548">
        <v>4.2427543277585897E-2</v>
      </c>
      <c r="AX548">
        <v>0.67605985245919198</v>
      </c>
      <c r="AY548">
        <v>0.10614118545597701</v>
      </c>
      <c r="BA548">
        <v>4.3851209463691802E-2</v>
      </c>
      <c r="BE548">
        <v>0.21754080855648</v>
      </c>
      <c r="BF548">
        <v>28408</v>
      </c>
      <c r="BG548">
        <v>1402933.3764987439</v>
      </c>
      <c r="BH548">
        <v>790.80475754911583</v>
      </c>
      <c r="BI548">
        <v>668.25710875138191</v>
      </c>
      <c r="BJ548">
        <v>4.6919021226046294</v>
      </c>
      <c r="BK548">
        <v>790.80475754911629</v>
      </c>
    </row>
    <row r="549" spans="1:63" x14ac:dyDescent="0.2">
      <c r="A549">
        <v>547</v>
      </c>
      <c r="B549" t="s">
        <v>69</v>
      </c>
      <c r="C549" t="s">
        <v>70</v>
      </c>
      <c r="D549" t="s">
        <v>71</v>
      </c>
      <c r="E549">
        <v>-155.29347999999999</v>
      </c>
      <c r="F549">
        <v>19.377479999999998</v>
      </c>
      <c r="G549" t="s">
        <v>112</v>
      </c>
      <c r="H549" t="s">
        <v>1167</v>
      </c>
      <c r="I549" t="s">
        <v>1174</v>
      </c>
      <c r="J549" t="s">
        <v>68</v>
      </c>
      <c r="K549">
        <v>3.6440331625</v>
      </c>
      <c r="L549">
        <v>3.6440331625</v>
      </c>
      <c r="M549">
        <v>41.717138756201017</v>
      </c>
      <c r="N549">
        <v>202.69151609628071</v>
      </c>
      <c r="Q549">
        <v>12.016999999999999</v>
      </c>
      <c r="R549">
        <v>1324.9639999999999</v>
      </c>
      <c r="S549">
        <v>50</v>
      </c>
      <c r="T549">
        <v>103.19641897973079</v>
      </c>
      <c r="U549">
        <v>3.2865621412523829E-3</v>
      </c>
      <c r="V549">
        <v>0.18088534389062261</v>
      </c>
      <c r="W549">
        <v>2.7220345263896388E-3</v>
      </c>
      <c r="X549">
        <v>0</v>
      </c>
      <c r="Y549">
        <v>5.3442955906976557E-2</v>
      </c>
      <c r="Z549">
        <v>0.65434829505091985</v>
      </c>
      <c r="AA549">
        <v>3.048909473326071E-2</v>
      </c>
      <c r="AB549">
        <v>2.729672357571217</v>
      </c>
      <c r="AC549">
        <v>0.1189911805805928</v>
      </c>
      <c r="AD549">
        <v>1312.174467092671</v>
      </c>
      <c r="AE549">
        <v>50</v>
      </c>
      <c r="AF549">
        <v>88.752273584918768</v>
      </c>
      <c r="AG549">
        <v>2.1280100000000002</v>
      </c>
      <c r="AH549">
        <v>12.511455</v>
      </c>
      <c r="AI549">
        <v>0.21128</v>
      </c>
      <c r="AJ549">
        <v>10.547185000000001</v>
      </c>
      <c r="AK549">
        <v>0.43435000000000001</v>
      </c>
      <c r="AL549">
        <v>2.4173399999999998</v>
      </c>
      <c r="AM549">
        <v>50.003889999999998</v>
      </c>
      <c r="AN549">
        <v>8.5805450000000008</v>
      </c>
      <c r="AO549">
        <v>11.0444</v>
      </c>
      <c r="AP549">
        <v>0.37786999999999998</v>
      </c>
      <c r="AQ549">
        <v>98.290260000000004</v>
      </c>
      <c r="AR549">
        <v>4.7093422517846893E-2</v>
      </c>
      <c r="AS549">
        <v>0.17423154844121161</v>
      </c>
      <c r="AT549">
        <v>2.1925114974993089E-2</v>
      </c>
      <c r="AU549">
        <v>0.1853741817244248</v>
      </c>
      <c r="AV549">
        <v>1.0520403456564249E-2</v>
      </c>
      <c r="AW549">
        <v>3.5166562401109248E-2</v>
      </c>
      <c r="AX549">
        <v>0.46106226248619608</v>
      </c>
      <c r="AY549">
        <v>0.4051107053427907</v>
      </c>
      <c r="AZ549">
        <v>0.14841023100402101</v>
      </c>
      <c r="BA549">
        <v>1.7068639208924791E-2</v>
      </c>
      <c r="BD549" t="s">
        <v>1170</v>
      </c>
      <c r="BE549">
        <v>8.3404362951466124E-2</v>
      </c>
      <c r="BF549">
        <v>3654</v>
      </c>
      <c r="BG549">
        <v>179649.88212722179</v>
      </c>
      <c r="BH549">
        <v>22.41344186092304</v>
      </c>
      <c r="BI549">
        <v>239.1324602241348</v>
      </c>
      <c r="BJ549">
        <v>0.37078681413464343</v>
      </c>
      <c r="BK549">
        <v>22.41344186092304</v>
      </c>
    </row>
    <row r="550" spans="1:63" x14ac:dyDescent="0.2">
      <c r="A550">
        <v>548</v>
      </c>
      <c r="B550" t="s">
        <v>69</v>
      </c>
      <c r="C550" t="s">
        <v>278</v>
      </c>
      <c r="D550" t="s">
        <v>144</v>
      </c>
      <c r="E550">
        <v>-154.873789449106</v>
      </c>
      <c r="F550">
        <v>19.5537282409346</v>
      </c>
      <c r="G550" t="s">
        <v>279</v>
      </c>
      <c r="H550" t="s">
        <v>1175</v>
      </c>
      <c r="I550" t="s">
        <v>1176</v>
      </c>
      <c r="J550" t="s">
        <v>68</v>
      </c>
      <c r="K550">
        <v>56.070247317187501</v>
      </c>
      <c r="L550">
        <v>48.980701298437488</v>
      </c>
      <c r="M550">
        <v>8627.9445118677268</v>
      </c>
      <c r="N550">
        <v>604249.17038312007</v>
      </c>
      <c r="Q550">
        <v>11.964</v>
      </c>
      <c r="R550">
        <v>1325.0039999999999</v>
      </c>
      <c r="S550">
        <v>50</v>
      </c>
      <c r="T550">
        <v>103.2030620803976</v>
      </c>
      <c r="U550">
        <v>1.0082627294693411E-2</v>
      </c>
      <c r="V550">
        <v>0.18358890559102289</v>
      </c>
      <c r="W550">
        <v>4.7403279434897619E-3</v>
      </c>
      <c r="X550">
        <v>2.886255016381273</v>
      </c>
      <c r="Y550">
        <v>5.3002344960881631E-2</v>
      </c>
      <c r="Z550">
        <v>0.66429498939879739</v>
      </c>
      <c r="AA550">
        <v>3.369077706269874E-2</v>
      </c>
      <c r="AB550">
        <v>2.768452794143355</v>
      </c>
      <c r="AC550">
        <v>0.1311095774106599</v>
      </c>
      <c r="AD550">
        <v>1309.770279823226</v>
      </c>
      <c r="AE550">
        <v>50</v>
      </c>
      <c r="AF550">
        <v>88.659188732035716</v>
      </c>
    </row>
    <row r="551" spans="1:63" x14ac:dyDescent="0.2">
      <c r="A551">
        <v>549</v>
      </c>
      <c r="B551" t="s">
        <v>69</v>
      </c>
      <c r="C551" t="s">
        <v>91</v>
      </c>
      <c r="D551" t="s">
        <v>92</v>
      </c>
      <c r="E551">
        <v>-155.272412745889</v>
      </c>
      <c r="F551">
        <v>19.3454197541963</v>
      </c>
      <c r="G551" t="s">
        <v>124</v>
      </c>
      <c r="H551" t="s">
        <v>1177</v>
      </c>
      <c r="I551" t="s">
        <v>1178</v>
      </c>
      <c r="J551" t="s">
        <v>68</v>
      </c>
      <c r="K551">
        <v>8.1347414835937499</v>
      </c>
      <c r="L551">
        <v>7.2759203226562494</v>
      </c>
      <c r="M551">
        <v>185.9437405153665</v>
      </c>
      <c r="N551">
        <v>1910.3440667142791</v>
      </c>
      <c r="O551" t="s">
        <v>1179</v>
      </c>
      <c r="Q551">
        <v>12.073</v>
      </c>
      <c r="R551">
        <v>1325.0039999999999</v>
      </c>
      <c r="S551">
        <v>50</v>
      </c>
      <c r="T551">
        <v>103.20872304179341</v>
      </c>
      <c r="U551">
        <v>2.317521820091361E-2</v>
      </c>
      <c r="V551">
        <v>0.1858945531985228</v>
      </c>
      <c r="W551">
        <v>9.7354116060134142E-3</v>
      </c>
      <c r="X551">
        <v>0</v>
      </c>
      <c r="Y551">
        <v>5.3453385401395881E-2</v>
      </c>
      <c r="Z551">
        <v>0.65421971003722013</v>
      </c>
      <c r="AA551">
        <v>6.9795346506436609E-2</v>
      </c>
      <c r="AB551">
        <v>2.7291705529209609</v>
      </c>
      <c r="AC551">
        <v>0.27194996471685973</v>
      </c>
      <c r="AD551">
        <v>1265.5426736382669</v>
      </c>
      <c r="AE551">
        <v>100</v>
      </c>
      <c r="AG551">
        <v>2.4452269230769228</v>
      </c>
      <c r="AH551">
        <v>12.97811153846154</v>
      </c>
      <c r="AJ551">
        <v>10.30404615384615</v>
      </c>
      <c r="AK551">
        <v>0.55342692307692309</v>
      </c>
      <c r="AL551">
        <v>2.900669230769231</v>
      </c>
      <c r="AM551">
        <v>50.451046153846157</v>
      </c>
      <c r="AN551">
        <v>6.0883423076923071</v>
      </c>
      <c r="AP551">
        <v>1.6526923076923071E-2</v>
      </c>
      <c r="AQ551">
        <v>97.170811538461535</v>
      </c>
      <c r="AR551">
        <v>0.14452695958247319</v>
      </c>
      <c r="AS551">
        <v>0.56238533005541524</v>
      </c>
      <c r="AU551">
        <v>0.81302815263963402</v>
      </c>
      <c r="AV551">
        <v>0.1071919159552335</v>
      </c>
      <c r="AW551">
        <v>0.48878923864523122</v>
      </c>
      <c r="AX551">
        <v>0.42567582898799372</v>
      </c>
      <c r="AY551">
        <v>0.85490953915514445</v>
      </c>
      <c r="BA551">
        <v>4.3609684880592933E-3</v>
      </c>
      <c r="BB551">
        <v>26</v>
      </c>
      <c r="BC551" t="s">
        <v>86</v>
      </c>
    </row>
    <row r="552" spans="1:63" x14ac:dyDescent="0.2">
      <c r="A552">
        <v>550</v>
      </c>
      <c r="B552" t="s">
        <v>69</v>
      </c>
      <c r="C552" t="s">
        <v>70</v>
      </c>
      <c r="D552" t="s">
        <v>71</v>
      </c>
      <c r="E552">
        <v>-155.29347999999999</v>
      </c>
      <c r="F552">
        <v>19.377479999999998</v>
      </c>
      <c r="G552" t="s">
        <v>112</v>
      </c>
      <c r="H552" t="s">
        <v>842</v>
      </c>
      <c r="I552" t="s">
        <v>1180</v>
      </c>
      <c r="J552" t="s">
        <v>68</v>
      </c>
      <c r="K552">
        <v>54.752891359374992</v>
      </c>
      <c r="L552">
        <v>48.002766853385417</v>
      </c>
      <c r="M552">
        <v>8257.0174303516796</v>
      </c>
      <c r="N552">
        <v>565636.84062001482</v>
      </c>
      <c r="Q552">
        <v>9.0400000000000009</v>
      </c>
      <c r="R552">
        <v>1324.9639999999999</v>
      </c>
      <c r="S552">
        <v>50</v>
      </c>
      <c r="T552">
        <v>103.2087270351919</v>
      </c>
      <c r="U552">
        <v>1.710944308724132E-2</v>
      </c>
      <c r="V552">
        <v>0.18589681671073779</v>
      </c>
      <c r="W552">
        <v>7.3774115579844871E-3</v>
      </c>
      <c r="X552">
        <v>0</v>
      </c>
      <c r="Y552">
        <v>5.2642085823584761E-2</v>
      </c>
      <c r="Z552">
        <v>0.67288435590153417</v>
      </c>
      <c r="AA552">
        <v>3.3316704106934027E-2</v>
      </c>
      <c r="AB552">
        <v>2.801883198994072</v>
      </c>
      <c r="AC552">
        <v>0.12948335256444729</v>
      </c>
      <c r="AD552">
        <v>1307.899927664505</v>
      </c>
      <c r="AE552">
        <v>50</v>
      </c>
      <c r="AF552">
        <v>88.586178788686397</v>
      </c>
      <c r="AG552">
        <v>2.1280100000000002</v>
      </c>
      <c r="AH552">
        <v>12.511455</v>
      </c>
      <c r="AI552">
        <v>0.21128</v>
      </c>
      <c r="AJ552">
        <v>10.547185000000001</v>
      </c>
      <c r="AK552">
        <v>0.43435000000000001</v>
      </c>
      <c r="AL552">
        <v>2.4173399999999998</v>
      </c>
      <c r="AM552">
        <v>50.003889999999998</v>
      </c>
      <c r="AN552">
        <v>8.5805450000000008</v>
      </c>
      <c r="AO552">
        <v>11.0444</v>
      </c>
      <c r="AP552">
        <v>0.37786999999999998</v>
      </c>
      <c r="AQ552">
        <v>98.290260000000004</v>
      </c>
      <c r="AR552">
        <v>4.7093422517846893E-2</v>
      </c>
      <c r="AS552">
        <v>0.17423154844121161</v>
      </c>
      <c r="AT552">
        <v>2.1925114974993089E-2</v>
      </c>
      <c r="AU552">
        <v>0.1853741817244248</v>
      </c>
      <c r="AV552">
        <v>1.0520403456564249E-2</v>
      </c>
      <c r="AW552">
        <v>3.5166562401109248E-2</v>
      </c>
      <c r="AX552">
        <v>0.46106226248619608</v>
      </c>
      <c r="AY552">
        <v>0.4051107053427907</v>
      </c>
      <c r="AZ552">
        <v>0.14841023100402101</v>
      </c>
      <c r="BA552">
        <v>1.7068639208924791E-2</v>
      </c>
    </row>
    <row r="553" spans="1:63" x14ac:dyDescent="0.2">
      <c r="A553">
        <v>551</v>
      </c>
      <c r="B553" t="s">
        <v>69</v>
      </c>
      <c r="C553" t="s">
        <v>70</v>
      </c>
      <c r="D553" t="s">
        <v>71</v>
      </c>
      <c r="E553">
        <v>-155.29347999999999</v>
      </c>
      <c r="F553">
        <v>19.377479999999998</v>
      </c>
      <c r="G553" t="s">
        <v>112</v>
      </c>
      <c r="H553" t="s">
        <v>1181</v>
      </c>
      <c r="I553" t="s">
        <v>1182</v>
      </c>
      <c r="J553" t="s">
        <v>68</v>
      </c>
      <c r="K553">
        <v>9.2614720742187497</v>
      </c>
      <c r="L553">
        <v>6.0471400664062509</v>
      </c>
      <c r="M553">
        <v>175.9462124326655</v>
      </c>
      <c r="N553">
        <v>1795.6615491624591</v>
      </c>
      <c r="Q553">
        <v>11.962</v>
      </c>
      <c r="R553">
        <v>1324.9639999999999</v>
      </c>
      <c r="S553">
        <v>50</v>
      </c>
      <c r="T553">
        <v>103.21230231904551</v>
      </c>
      <c r="U553">
        <v>2.9217502080751509E-2</v>
      </c>
      <c r="V553">
        <v>0.18735320972336919</v>
      </c>
      <c r="W553">
        <v>1.214340508512802E-2</v>
      </c>
      <c r="X553">
        <v>0</v>
      </c>
      <c r="Y553">
        <v>5.2405733109165853E-2</v>
      </c>
      <c r="Z553">
        <v>0.67875102226128925</v>
      </c>
      <c r="AA553">
        <v>5.6080101925150262E-2</v>
      </c>
      <c r="AB553">
        <v>2.8246858897694191</v>
      </c>
      <c r="AC553">
        <v>0.21762431099625221</v>
      </c>
      <c r="AD553">
        <v>1307.7036186960379</v>
      </c>
      <c r="AE553">
        <v>50</v>
      </c>
      <c r="AF553">
        <v>88.578485219253849</v>
      </c>
      <c r="AG553">
        <v>2.1280100000000002</v>
      </c>
      <c r="AH553">
        <v>12.511455</v>
      </c>
      <c r="AI553">
        <v>0.21128</v>
      </c>
      <c r="AJ553">
        <v>10.547185000000001</v>
      </c>
      <c r="AK553">
        <v>0.43435000000000001</v>
      </c>
      <c r="AL553">
        <v>2.4173399999999998</v>
      </c>
      <c r="AM553">
        <v>50.003889999999998</v>
      </c>
      <c r="AN553">
        <v>8.5805450000000008</v>
      </c>
      <c r="AO553">
        <v>11.0444</v>
      </c>
      <c r="AP553">
        <v>0.37786999999999998</v>
      </c>
      <c r="AQ553">
        <v>98.290260000000004</v>
      </c>
      <c r="AR553">
        <v>4.7093422517846893E-2</v>
      </c>
      <c r="AS553">
        <v>0.17423154844121161</v>
      </c>
      <c r="AT553">
        <v>2.1925114974993089E-2</v>
      </c>
      <c r="AU553">
        <v>0.1853741817244248</v>
      </c>
      <c r="AV553">
        <v>1.0520403456564249E-2</v>
      </c>
      <c r="AW553">
        <v>3.5166562401109248E-2</v>
      </c>
      <c r="AX553">
        <v>0.46106226248619608</v>
      </c>
      <c r="AY553">
        <v>0.4051107053427907</v>
      </c>
      <c r="AZ553">
        <v>0.14841023100402101</v>
      </c>
      <c r="BA553">
        <v>1.7068639208924791E-2</v>
      </c>
      <c r="BD553" t="s">
        <v>1183</v>
      </c>
      <c r="BE553">
        <v>6.7134258760815246E-2</v>
      </c>
      <c r="BF553">
        <v>1367</v>
      </c>
      <c r="BG553">
        <v>66958.561680078157</v>
      </c>
      <c r="BH553">
        <v>7.538810321036352</v>
      </c>
      <c r="BI553">
        <v>145.9916851995894</v>
      </c>
      <c r="BJ553">
        <v>0.20390062602590461</v>
      </c>
      <c r="BK553">
        <v>7.5388103210363511</v>
      </c>
    </row>
    <row r="554" spans="1:63" x14ac:dyDescent="0.2">
      <c r="A554">
        <v>552</v>
      </c>
      <c r="B554" t="s">
        <v>62</v>
      </c>
      <c r="C554" t="s">
        <v>63</v>
      </c>
      <c r="D554" t="s">
        <v>64</v>
      </c>
      <c r="E554">
        <v>-155.26785000000001</v>
      </c>
      <c r="F554">
        <v>19.407830000000001</v>
      </c>
      <c r="G554" t="s">
        <v>65</v>
      </c>
      <c r="H554" t="s">
        <v>1083</v>
      </c>
      <c r="I554" t="s">
        <v>1184</v>
      </c>
      <c r="J554" t="s">
        <v>68</v>
      </c>
      <c r="K554">
        <v>1.5660829593750001</v>
      </c>
      <c r="L554">
        <v>1.3560154265625</v>
      </c>
      <c r="M554">
        <v>6.6715887390408506</v>
      </c>
      <c r="N554">
        <v>12.996692457326709</v>
      </c>
      <c r="Q554">
        <v>12.023999999999999</v>
      </c>
      <c r="R554">
        <v>1325.0039999999999</v>
      </c>
      <c r="S554">
        <v>100</v>
      </c>
      <c r="T554">
        <v>103.22017820000001</v>
      </c>
      <c r="U554">
        <v>6.3876244550000001E-3</v>
      </c>
      <c r="V554">
        <v>0.19056522579999999</v>
      </c>
      <c r="W554">
        <v>3.5220336739999998E-3</v>
      </c>
      <c r="X554">
        <v>0</v>
      </c>
      <c r="Y554">
        <v>5.1991762765826073E-2</v>
      </c>
      <c r="Z554">
        <v>0.68949666702892332</v>
      </c>
      <c r="AA554">
        <v>3.3112337338887667E-2</v>
      </c>
      <c r="AB554">
        <v>2.866387828158965</v>
      </c>
      <c r="AC554">
        <v>0.1283892737698952</v>
      </c>
      <c r="AD554">
        <v>1302.3073007231851</v>
      </c>
      <c r="AE554">
        <v>50</v>
      </c>
      <c r="AF554">
        <v>88.364668319999993</v>
      </c>
      <c r="BE554">
        <v>3.1049823243423411</v>
      </c>
      <c r="BF554">
        <v>22400</v>
      </c>
      <c r="BG554">
        <v>1433102.6307972679</v>
      </c>
      <c r="BH554">
        <v>12936.97625156709</v>
      </c>
      <c r="BI554">
        <v>675.40412739245926</v>
      </c>
      <c r="BJ554">
        <v>86.438808489634027</v>
      </c>
      <c r="BK554">
        <v>12936.97625156709</v>
      </c>
    </row>
    <row r="555" spans="1:63" x14ac:dyDescent="0.2">
      <c r="A555">
        <v>553</v>
      </c>
      <c r="B555" t="s">
        <v>69</v>
      </c>
      <c r="C555" t="s">
        <v>784</v>
      </c>
      <c r="D555" t="s">
        <v>322</v>
      </c>
      <c r="E555">
        <v>-155.35314403066801</v>
      </c>
      <c r="F555">
        <v>19.349489671806701</v>
      </c>
      <c r="G555" t="s">
        <v>785</v>
      </c>
      <c r="H555" t="s">
        <v>1150</v>
      </c>
      <c r="I555" t="s">
        <v>1185</v>
      </c>
      <c r="J555" t="s">
        <v>68</v>
      </c>
      <c r="K555">
        <v>11.626920559375</v>
      </c>
      <c r="L555">
        <v>10.94186278125</v>
      </c>
      <c r="M555">
        <v>399.67394935298807</v>
      </c>
      <c r="N555">
        <v>6013.4365132263456</v>
      </c>
      <c r="Q555">
        <v>9.9779999999999998</v>
      </c>
      <c r="R555">
        <v>1324.9639999999999</v>
      </c>
      <c r="S555">
        <v>100</v>
      </c>
      <c r="T555">
        <v>103.22159514853</v>
      </c>
      <c r="U555">
        <v>2.181416135848525E-2</v>
      </c>
      <c r="V555">
        <v>0.19114342237844539</v>
      </c>
      <c r="W555">
        <v>9.2123999991978438E-3</v>
      </c>
      <c r="X555">
        <v>0</v>
      </c>
      <c r="Y555">
        <v>5.2601223923137708E-2</v>
      </c>
      <c r="Z555">
        <v>0.67398566476088551</v>
      </c>
      <c r="AA555">
        <v>4.8662122323841803E-2</v>
      </c>
      <c r="AB555">
        <v>2.8061656921643272</v>
      </c>
      <c r="AC555">
        <v>0.189110298018169</v>
      </c>
      <c r="AD555">
        <v>1263.1296103350351</v>
      </c>
      <c r="AE555">
        <v>50</v>
      </c>
      <c r="AF555">
        <v>86.654302357135421</v>
      </c>
      <c r="AG555">
        <v>2.3570000000000002</v>
      </c>
      <c r="AH555">
        <v>13.715999999999999</v>
      </c>
      <c r="AI555">
        <v>0.24811</v>
      </c>
      <c r="AJ555">
        <v>11.47284</v>
      </c>
      <c r="AK555">
        <v>0.52964999999999995</v>
      </c>
      <c r="AL555">
        <v>2.8898700000000002</v>
      </c>
      <c r="AM555">
        <v>50.692570000000003</v>
      </c>
      <c r="AN555">
        <v>6.9913700000000008</v>
      </c>
      <c r="AP555">
        <v>0.16611000000000001</v>
      </c>
      <c r="AQ555">
        <v>100.03395</v>
      </c>
      <c r="AR555">
        <v>5.8782724928332357E-2</v>
      </c>
      <c r="AS555">
        <v>0.14197203950074119</v>
      </c>
      <c r="AT555">
        <v>1.8524929149662091E-2</v>
      </c>
      <c r="AU555">
        <v>7.580298806775411E-2</v>
      </c>
      <c r="AV555">
        <v>2.37537365481728E-2</v>
      </c>
      <c r="AW555">
        <v>6.5014994424363204E-2</v>
      </c>
      <c r="AX555">
        <v>0.40904520777048697</v>
      </c>
      <c r="AY555">
        <v>7.4371412518520627E-2</v>
      </c>
      <c r="BA555">
        <v>1.149502066113846E-2</v>
      </c>
      <c r="BB555">
        <v>5</v>
      </c>
      <c r="BC555" t="s">
        <v>86</v>
      </c>
      <c r="BE555">
        <v>0.48669808745556797</v>
      </c>
      <c r="BF555">
        <v>35883</v>
      </c>
      <c r="BG555">
        <v>1454651.8472939699</v>
      </c>
      <c r="BH555">
        <v>3092.582713762687</v>
      </c>
      <c r="BI555">
        <v>680.46312460645834</v>
      </c>
      <c r="BJ555">
        <v>16.325893213442431</v>
      </c>
      <c r="BK555">
        <v>3092.5827137626839</v>
      </c>
    </row>
    <row r="556" spans="1:63" x14ac:dyDescent="0.2">
      <c r="A556">
        <v>554</v>
      </c>
      <c r="B556" t="s">
        <v>69</v>
      </c>
      <c r="C556" t="s">
        <v>70</v>
      </c>
      <c r="D556" t="s">
        <v>71</v>
      </c>
      <c r="E556">
        <v>-155.29347999999999</v>
      </c>
      <c r="F556">
        <v>19.377479999999998</v>
      </c>
      <c r="G556" t="s">
        <v>112</v>
      </c>
      <c r="H556" t="s">
        <v>1186</v>
      </c>
      <c r="I556" t="s">
        <v>1187</v>
      </c>
      <c r="J556" t="s">
        <v>68</v>
      </c>
      <c r="K556">
        <v>12.49323853515625</v>
      </c>
      <c r="L556">
        <v>9.7015757859375</v>
      </c>
      <c r="M556">
        <v>380.77391159202148</v>
      </c>
      <c r="N556">
        <v>5634.1375107343238</v>
      </c>
      <c r="Q556">
        <v>12.018000000000001</v>
      </c>
      <c r="R556">
        <v>1324.9639999999999</v>
      </c>
      <c r="S556">
        <v>50</v>
      </c>
      <c r="T556">
        <v>103.2219052874164</v>
      </c>
      <c r="U556">
        <v>9.1846849944345558E-3</v>
      </c>
      <c r="V556">
        <v>0.1912699951262766</v>
      </c>
      <c r="W556">
        <v>4.4341986965361294E-3</v>
      </c>
      <c r="X556">
        <v>0</v>
      </c>
      <c r="Y556">
        <v>5.1709457765468869E-2</v>
      </c>
      <c r="Z556">
        <v>0.69712936688031846</v>
      </c>
      <c r="AA556">
        <v>3.4976004572485793E-2</v>
      </c>
      <c r="AB556">
        <v>2.8959585470216318</v>
      </c>
      <c r="AC556">
        <v>0.13542470180569621</v>
      </c>
      <c r="AD556">
        <v>1312.720579471101</v>
      </c>
      <c r="AE556">
        <v>50</v>
      </c>
      <c r="AF556">
        <v>88.77329994122131</v>
      </c>
      <c r="AG556">
        <v>2.1280100000000002</v>
      </c>
      <c r="AH556">
        <v>12.511455</v>
      </c>
      <c r="AI556">
        <v>0.21128</v>
      </c>
      <c r="AJ556">
        <v>10.547185000000001</v>
      </c>
      <c r="AK556">
        <v>0.43435000000000001</v>
      </c>
      <c r="AL556">
        <v>2.4173399999999998</v>
      </c>
      <c r="AM556">
        <v>50.003889999999998</v>
      </c>
      <c r="AN556">
        <v>8.5805450000000008</v>
      </c>
      <c r="AO556">
        <v>11.0444</v>
      </c>
      <c r="AP556">
        <v>0.37786999999999998</v>
      </c>
      <c r="AQ556">
        <v>98.290260000000004</v>
      </c>
      <c r="AR556">
        <v>4.7093422517846893E-2</v>
      </c>
      <c r="AS556">
        <v>0.17423154844121161</v>
      </c>
      <c r="AT556">
        <v>2.1925114974993089E-2</v>
      </c>
      <c r="AU556">
        <v>0.1853741817244248</v>
      </c>
      <c r="AV556">
        <v>1.0520403456564249E-2</v>
      </c>
      <c r="AW556">
        <v>3.5166562401109248E-2</v>
      </c>
      <c r="AX556">
        <v>0.46106226248619608</v>
      </c>
      <c r="AY556">
        <v>0.4051107053427907</v>
      </c>
      <c r="AZ556">
        <v>0.14841023100402101</v>
      </c>
      <c r="BA556">
        <v>1.7068639208924791E-2</v>
      </c>
      <c r="BD556" t="s">
        <v>1188</v>
      </c>
      <c r="BE556">
        <v>0.37385983734582512</v>
      </c>
      <c r="BF556">
        <v>12221</v>
      </c>
      <c r="BG556">
        <v>599641.24282825226</v>
      </c>
      <c r="BH556">
        <v>1486.075039003086</v>
      </c>
      <c r="BI556">
        <v>436.88869950568392</v>
      </c>
      <c r="BJ556">
        <v>13.44272664773483</v>
      </c>
      <c r="BK556">
        <v>1486.075039003086</v>
      </c>
    </row>
    <row r="557" spans="1:63" x14ac:dyDescent="0.2">
      <c r="A557">
        <v>555</v>
      </c>
      <c r="B557" t="s">
        <v>69</v>
      </c>
      <c r="C557" t="s">
        <v>70</v>
      </c>
      <c r="D557" t="s">
        <v>71</v>
      </c>
      <c r="E557">
        <v>-155.29347999999999</v>
      </c>
      <c r="F557">
        <v>19.377479999999998</v>
      </c>
      <c r="G557" t="s">
        <v>112</v>
      </c>
      <c r="H557" t="s">
        <v>1125</v>
      </c>
      <c r="I557" t="s">
        <v>1189</v>
      </c>
      <c r="J557" t="s">
        <v>68</v>
      </c>
      <c r="K557">
        <v>1.6862115703125</v>
      </c>
      <c r="L557">
        <v>1.685008565625</v>
      </c>
      <c r="M557">
        <v>8.9261473261059887</v>
      </c>
      <c r="N557">
        <v>20.06133840140879</v>
      </c>
      <c r="Q557">
        <v>9.0609999999999999</v>
      </c>
      <c r="R557">
        <v>1324.9639999999999</v>
      </c>
      <c r="S557">
        <v>100</v>
      </c>
      <c r="T557">
        <v>103.22701278049161</v>
      </c>
      <c r="U557">
        <v>1.7576149827225371E-2</v>
      </c>
      <c r="V557">
        <v>0.19337719105624271</v>
      </c>
      <c r="W557">
        <v>7.5586491358411757E-3</v>
      </c>
      <c r="X557">
        <v>0</v>
      </c>
      <c r="Y557">
        <v>5.227514709350034E-2</v>
      </c>
      <c r="Z557">
        <v>0.6821792118229516</v>
      </c>
      <c r="AA557">
        <v>7.7257458674313717E-2</v>
      </c>
      <c r="AB557">
        <v>2.837999129085234</v>
      </c>
      <c r="AC557">
        <v>0.2994694778891025</v>
      </c>
      <c r="AD557">
        <v>1261.5306426530949</v>
      </c>
      <c r="AE557">
        <v>50</v>
      </c>
      <c r="AF557">
        <v>86.577500444598016</v>
      </c>
      <c r="AG557">
        <v>2.1280100000000002</v>
      </c>
      <c r="AH557">
        <v>12.511455</v>
      </c>
      <c r="AI557">
        <v>0.21128</v>
      </c>
      <c r="AJ557">
        <v>10.547185000000001</v>
      </c>
      <c r="AK557">
        <v>0.43435000000000001</v>
      </c>
      <c r="AL557">
        <v>2.4173399999999998</v>
      </c>
      <c r="AM557">
        <v>50.003889999999998</v>
      </c>
      <c r="AN557">
        <v>8.5805450000000008</v>
      </c>
      <c r="AO557">
        <v>11.0444</v>
      </c>
      <c r="AP557">
        <v>0.37786999999999998</v>
      </c>
      <c r="AQ557">
        <v>98.290260000000004</v>
      </c>
      <c r="AR557">
        <v>4.7093422517846893E-2</v>
      </c>
      <c r="AS557">
        <v>0.17423154844121161</v>
      </c>
      <c r="AT557">
        <v>2.1925114974993089E-2</v>
      </c>
      <c r="AU557">
        <v>0.1853741817244248</v>
      </c>
      <c r="AV557">
        <v>1.0520403456564249E-2</v>
      </c>
      <c r="AW557">
        <v>3.5166562401109248E-2</v>
      </c>
      <c r="AX557">
        <v>0.46106226248619608</v>
      </c>
      <c r="AY557">
        <v>0.4051107053427907</v>
      </c>
      <c r="AZ557">
        <v>0.14841023100402101</v>
      </c>
      <c r="BA557">
        <v>1.7068639208924791E-2</v>
      </c>
      <c r="BD557" t="s">
        <v>1127</v>
      </c>
      <c r="BE557">
        <v>2.0034866980083792</v>
      </c>
      <c r="BF557">
        <v>24607</v>
      </c>
      <c r="BG557">
        <v>2461968.4612949681</v>
      </c>
      <c r="BH557">
        <v>22949.70151590895</v>
      </c>
      <c r="BI557">
        <v>885.2507558329919</v>
      </c>
      <c r="BJ557">
        <v>146.30113886084149</v>
      </c>
      <c r="BK557">
        <v>22949.701515908939</v>
      </c>
    </row>
    <row r="558" spans="1:63" x14ac:dyDescent="0.2">
      <c r="A558">
        <v>556</v>
      </c>
      <c r="B558" t="s">
        <v>69</v>
      </c>
      <c r="C558" t="s">
        <v>784</v>
      </c>
      <c r="D558" t="s">
        <v>322</v>
      </c>
      <c r="E558">
        <v>-155.35314403066801</v>
      </c>
      <c r="F558">
        <v>19.349489671806701</v>
      </c>
      <c r="G558" t="s">
        <v>785</v>
      </c>
      <c r="H558" t="s">
        <v>1123</v>
      </c>
      <c r="I558" t="s">
        <v>1190</v>
      </c>
      <c r="J558" t="s">
        <v>68</v>
      </c>
      <c r="K558">
        <v>45.844708100000013</v>
      </c>
      <c r="L558">
        <v>41.122702700781247</v>
      </c>
      <c r="M558">
        <v>5922.7136304269816</v>
      </c>
      <c r="N558">
        <v>343388.71290181979</v>
      </c>
      <c r="O558" t="s">
        <v>1191</v>
      </c>
      <c r="Q558">
        <v>5.99</v>
      </c>
      <c r="R558">
        <v>1324.9639999999999</v>
      </c>
      <c r="S558">
        <v>50</v>
      </c>
      <c r="T558">
        <v>103.2289086301676</v>
      </c>
      <c r="U558">
        <v>2.8358951570818698E-3</v>
      </c>
      <c r="V558">
        <v>0.19412952873608449</v>
      </c>
      <c r="W558">
        <v>2.6362652766195259E-3</v>
      </c>
      <c r="X558">
        <v>0</v>
      </c>
      <c r="Y558">
        <v>5.1828154409733762E-2</v>
      </c>
      <c r="Z558">
        <v>0.69395222235493115</v>
      </c>
      <c r="AA558">
        <v>3.4647795086274302E-2</v>
      </c>
      <c r="AB558">
        <v>2.8836546813657811</v>
      </c>
      <c r="AC558">
        <v>0.13415964769749181</v>
      </c>
      <c r="AD558">
        <v>1280.323966648572</v>
      </c>
      <c r="AE558">
        <v>50</v>
      </c>
      <c r="AF558">
        <v>87.44260884733248</v>
      </c>
      <c r="AG558">
        <v>2.3570000000000002</v>
      </c>
      <c r="AH558">
        <v>13.715999999999999</v>
      </c>
      <c r="AI558">
        <v>0.24811</v>
      </c>
      <c r="AJ558">
        <v>11.47284</v>
      </c>
      <c r="AK558">
        <v>0.52964999999999995</v>
      </c>
      <c r="AL558">
        <v>2.8898700000000002</v>
      </c>
      <c r="AM558">
        <v>50.692570000000003</v>
      </c>
      <c r="AN558">
        <v>6.9913700000000008</v>
      </c>
      <c r="AP558">
        <v>0.16611000000000001</v>
      </c>
      <c r="AQ558">
        <v>100.03395</v>
      </c>
      <c r="AR558">
        <v>5.8782724928332357E-2</v>
      </c>
      <c r="AS558">
        <v>0.14197203950074119</v>
      </c>
      <c r="AT558">
        <v>1.8524929149662091E-2</v>
      </c>
      <c r="AU558">
        <v>7.580298806775411E-2</v>
      </c>
      <c r="AV558">
        <v>2.37537365481728E-2</v>
      </c>
      <c r="AW558">
        <v>6.5014994424363204E-2</v>
      </c>
      <c r="AX558">
        <v>0.40904520777048697</v>
      </c>
      <c r="AY558">
        <v>7.4371412518520627E-2</v>
      </c>
      <c r="BA558">
        <v>1.149502066113846E-2</v>
      </c>
      <c r="BB558">
        <v>5</v>
      </c>
      <c r="BC558" t="s">
        <v>86</v>
      </c>
      <c r="BE558">
        <v>1.1627707276960639</v>
      </c>
      <c r="BF558">
        <v>10591</v>
      </c>
      <c r="BG558">
        <v>1385707.376546809</v>
      </c>
      <c r="BH558">
        <v>11329.98368415752</v>
      </c>
      <c r="BI558">
        <v>664.14182018048962</v>
      </c>
      <c r="BJ558">
        <v>110.0932773686519</v>
      </c>
      <c r="BK558">
        <v>11329.983684157531</v>
      </c>
    </row>
    <row r="559" spans="1:63" x14ac:dyDescent="0.2">
      <c r="A559">
        <v>557</v>
      </c>
      <c r="B559" t="s">
        <v>69</v>
      </c>
      <c r="C559" t="s">
        <v>671</v>
      </c>
      <c r="D559" t="s">
        <v>144</v>
      </c>
      <c r="E559">
        <v>-155.21461669999999</v>
      </c>
      <c r="F559">
        <v>19.36376667</v>
      </c>
      <c r="G559" t="s">
        <v>672</v>
      </c>
      <c r="H559" t="s">
        <v>828</v>
      </c>
      <c r="I559" t="s">
        <v>1192</v>
      </c>
      <c r="J559" t="s">
        <v>68</v>
      </c>
      <c r="K559">
        <v>6.2590267867187492</v>
      </c>
      <c r="L559">
        <v>5.6584098765624997</v>
      </c>
      <c r="M559">
        <v>111.2630820620805</v>
      </c>
      <c r="N559">
        <v>883.98048895753925</v>
      </c>
      <c r="O559" t="s">
        <v>1193</v>
      </c>
      <c r="Q559">
        <v>10.005000000000001</v>
      </c>
      <c r="R559">
        <v>1324.9639999999999</v>
      </c>
      <c r="S559">
        <v>50</v>
      </c>
      <c r="T559">
        <v>103.23073002236291</v>
      </c>
      <c r="U559">
        <v>2.6777767235660551E-2</v>
      </c>
      <c r="V559">
        <v>0.1948736479425861</v>
      </c>
      <c r="W559">
        <v>1.1194728917731E-2</v>
      </c>
      <c r="X559">
        <v>0</v>
      </c>
      <c r="Y559">
        <v>5.1434249400517773E-2</v>
      </c>
      <c r="Z559">
        <v>0.70488672901670568</v>
      </c>
      <c r="AA559">
        <v>5.7812632350300042E-2</v>
      </c>
      <c r="AB559">
        <v>2.925969525043806</v>
      </c>
      <c r="AC559">
        <v>0.22316689774185411</v>
      </c>
      <c r="AD559">
        <v>1297.229248946865</v>
      </c>
      <c r="AE559">
        <v>50</v>
      </c>
      <c r="AF559">
        <v>88.159211478704322</v>
      </c>
      <c r="AG559">
        <v>2.1139333333333301</v>
      </c>
      <c r="AH559">
        <v>13.587583333333299</v>
      </c>
      <c r="AI559">
        <v>0.29523333333333301</v>
      </c>
      <c r="AJ559">
        <v>10.4225166666667</v>
      </c>
      <c r="AK559">
        <v>0.52931666666666699</v>
      </c>
      <c r="AL559">
        <v>2.6979166666666701</v>
      </c>
      <c r="AM559">
        <v>50.566133333333298</v>
      </c>
      <c r="AN559">
        <v>7.4192666666666698</v>
      </c>
      <c r="AP559">
        <v>0.115333333333333</v>
      </c>
      <c r="AQ559">
        <v>98.28573333333334</v>
      </c>
      <c r="AR559">
        <v>0.57645847609924805</v>
      </c>
      <c r="AS559">
        <v>1.26245867483521</v>
      </c>
      <c r="AT559">
        <v>5.29901751899979E-2</v>
      </c>
      <c r="AU559">
        <v>1.9081872417733701</v>
      </c>
      <c r="AV559">
        <v>0.16521048897290599</v>
      </c>
      <c r="AW559">
        <v>0.109080345006177</v>
      </c>
      <c r="AX559">
        <v>2.5946244064732502</v>
      </c>
      <c r="AY559">
        <v>1.98528395920248</v>
      </c>
      <c r="BA559">
        <v>4.7953505259435099E-2</v>
      </c>
      <c r="BE559">
        <v>0.29409500124561971</v>
      </c>
      <c r="BF559">
        <v>9166</v>
      </c>
      <c r="BG559">
        <v>334215.49299504049</v>
      </c>
      <c r="BH559">
        <v>1062.589367040445</v>
      </c>
      <c r="BI559">
        <v>326.16574856368783</v>
      </c>
      <c r="BJ559">
        <v>11.098787575084719</v>
      </c>
      <c r="BK559">
        <v>1062.5893670404439</v>
      </c>
    </row>
    <row r="560" spans="1:63" x14ac:dyDescent="0.2">
      <c r="A560">
        <v>558</v>
      </c>
      <c r="B560" t="s">
        <v>69</v>
      </c>
      <c r="C560" t="s">
        <v>70</v>
      </c>
      <c r="D560" t="s">
        <v>71</v>
      </c>
      <c r="E560">
        <v>-155.29347999999999</v>
      </c>
      <c r="F560">
        <v>19.377479999999998</v>
      </c>
      <c r="G560" t="s">
        <v>112</v>
      </c>
      <c r="H560" t="s">
        <v>1160</v>
      </c>
      <c r="I560" t="s">
        <v>1194</v>
      </c>
      <c r="J560" t="s">
        <v>68</v>
      </c>
      <c r="K560">
        <v>3.8148326882812502</v>
      </c>
      <c r="L560">
        <v>2.980361646875</v>
      </c>
      <c r="M560">
        <v>35.71859224891854</v>
      </c>
      <c r="N560">
        <v>161.80985047307149</v>
      </c>
      <c r="Q560">
        <v>12.023</v>
      </c>
      <c r="R560">
        <v>1324.9639999999999</v>
      </c>
      <c r="S560">
        <v>50</v>
      </c>
      <c r="T560">
        <v>103.2345298330812</v>
      </c>
      <c r="U560">
        <v>1.3285925659973601E-2</v>
      </c>
      <c r="V560">
        <v>0.19642660900717601</v>
      </c>
      <c r="W560">
        <v>5.9248759719617997E-3</v>
      </c>
      <c r="X560">
        <v>0</v>
      </c>
      <c r="Y560">
        <v>5.1198736839166981E-2</v>
      </c>
      <c r="Z560">
        <v>0.71168500143385283</v>
      </c>
      <c r="AA560">
        <v>3.906402763303906E-2</v>
      </c>
      <c r="AB560">
        <v>2.9522348144961832</v>
      </c>
      <c r="AC560">
        <v>0.1506465824022386</v>
      </c>
      <c r="AD560">
        <v>1298.041034781711</v>
      </c>
      <c r="AE560">
        <v>50</v>
      </c>
      <c r="AF560">
        <v>88.192341835518491</v>
      </c>
      <c r="AG560">
        <v>2.1280100000000002</v>
      </c>
      <c r="AH560">
        <v>12.511455</v>
      </c>
      <c r="AI560">
        <v>0.21128</v>
      </c>
      <c r="AJ560">
        <v>10.547185000000001</v>
      </c>
      <c r="AK560">
        <v>0.43435000000000001</v>
      </c>
      <c r="AL560">
        <v>2.4173399999999998</v>
      </c>
      <c r="AM560">
        <v>50.003889999999998</v>
      </c>
      <c r="AN560">
        <v>8.5805450000000008</v>
      </c>
      <c r="AO560">
        <v>11.0444</v>
      </c>
      <c r="AP560">
        <v>0.37786999999999998</v>
      </c>
      <c r="AQ560">
        <v>98.290260000000004</v>
      </c>
      <c r="AR560">
        <v>4.7093422517846893E-2</v>
      </c>
      <c r="AS560">
        <v>0.17423154844121161</v>
      </c>
      <c r="AT560">
        <v>2.1925114974993089E-2</v>
      </c>
      <c r="AU560">
        <v>0.1853741817244248</v>
      </c>
      <c r="AV560">
        <v>1.0520403456564249E-2</v>
      </c>
      <c r="AW560">
        <v>3.5166562401109248E-2</v>
      </c>
      <c r="AX560">
        <v>0.46106226248619608</v>
      </c>
      <c r="AY560">
        <v>0.4051107053427907</v>
      </c>
      <c r="AZ560">
        <v>0.14841023100402101</v>
      </c>
      <c r="BA560">
        <v>1.7068639208924791E-2</v>
      </c>
    </row>
    <row r="561" spans="1:63" x14ac:dyDescent="0.2">
      <c r="A561">
        <v>559</v>
      </c>
      <c r="B561" t="s">
        <v>69</v>
      </c>
      <c r="C561" t="s">
        <v>177</v>
      </c>
      <c r="D561" t="s">
        <v>144</v>
      </c>
      <c r="E561">
        <v>-155.2086333</v>
      </c>
      <c r="F561">
        <v>19.347316670000001</v>
      </c>
      <c r="G561" t="s">
        <v>178</v>
      </c>
      <c r="H561" t="s">
        <v>1195</v>
      </c>
      <c r="I561" t="s">
        <v>1196</v>
      </c>
      <c r="J561" t="s">
        <v>68</v>
      </c>
      <c r="K561">
        <v>9.0052437281250004</v>
      </c>
      <c r="L561">
        <v>8.172690476562499</v>
      </c>
      <c r="M561">
        <v>231.2120133569359</v>
      </c>
      <c r="N561">
        <v>2647.829835185848</v>
      </c>
      <c r="O561" t="s">
        <v>1197</v>
      </c>
      <c r="Q561">
        <v>9.9529999999999994</v>
      </c>
      <c r="R561">
        <v>1324.9639999999999</v>
      </c>
      <c r="S561">
        <v>50</v>
      </c>
      <c r="T561">
        <v>103.288402149443</v>
      </c>
      <c r="U561">
        <v>2.0983678500095158E-2</v>
      </c>
      <c r="V561">
        <v>0.2185290664128843</v>
      </c>
      <c r="W561">
        <v>8.958257855837046E-3</v>
      </c>
      <c r="X561">
        <v>4.7382552911127833</v>
      </c>
      <c r="Y561">
        <v>4.8295608136910029E-2</v>
      </c>
      <c r="Z561">
        <v>0.80059061659978303</v>
      </c>
      <c r="AA561">
        <v>5.5265047052582533E-2</v>
      </c>
      <c r="AB561">
        <v>3.2927530540134171</v>
      </c>
      <c r="AC561">
        <v>0.2097289908135006</v>
      </c>
      <c r="AD561">
        <v>1290.0195409734929</v>
      </c>
      <c r="AE561">
        <v>50</v>
      </c>
      <c r="AF561">
        <v>87.859997236720261</v>
      </c>
      <c r="AG561">
        <v>2.1216818181818198</v>
      </c>
      <c r="AH561">
        <v>12.5470545454545</v>
      </c>
      <c r="AI561">
        <v>0.27337272727272699</v>
      </c>
      <c r="AJ561">
        <v>10.3521727272727</v>
      </c>
      <c r="AK561">
        <v>0.49205454545454502</v>
      </c>
      <c r="AL561">
        <v>2.5642454545454498</v>
      </c>
      <c r="AM561">
        <v>49.0749</v>
      </c>
      <c r="AN561">
        <v>9.1371454545454505</v>
      </c>
      <c r="AP561">
        <v>0.18198181818181799</v>
      </c>
      <c r="AQ561">
        <v>98.157727272727257</v>
      </c>
      <c r="AR561">
        <v>0.12055145638424999</v>
      </c>
      <c r="AS561">
        <v>0.28907753411026699</v>
      </c>
      <c r="AT561">
        <v>2.8655229571898099E-2</v>
      </c>
      <c r="AU561">
        <v>0.23406218443357801</v>
      </c>
      <c r="AV561">
        <v>5.2241982420968003E-2</v>
      </c>
      <c r="AW561">
        <v>6.6675218239408293E-2</v>
      </c>
      <c r="AX561">
        <v>0.92934608408278196</v>
      </c>
      <c r="AY561">
        <v>0.68994549402635696</v>
      </c>
      <c r="BA561">
        <v>4.8246177427477499E-2</v>
      </c>
      <c r="BE561">
        <v>0.43100438936247082</v>
      </c>
      <c r="BF561">
        <v>2224</v>
      </c>
      <c r="BG561">
        <v>318369.25716586917</v>
      </c>
      <c r="BH561">
        <v>1597.394748677028</v>
      </c>
      <c r="BI561">
        <v>318.33957029072872</v>
      </c>
      <c r="BJ561">
        <v>33.872313553919398</v>
      </c>
      <c r="BK561">
        <v>1597.3947486770289</v>
      </c>
    </row>
    <row r="562" spans="1:63" x14ac:dyDescent="0.2">
      <c r="A562">
        <v>560</v>
      </c>
      <c r="B562" t="s">
        <v>69</v>
      </c>
      <c r="C562" t="s">
        <v>70</v>
      </c>
      <c r="D562" t="s">
        <v>71</v>
      </c>
      <c r="E562">
        <v>-155.29347999999999</v>
      </c>
      <c r="F562">
        <v>19.377479999999998</v>
      </c>
      <c r="G562" t="s">
        <v>112</v>
      </c>
      <c r="H562" t="s">
        <v>1198</v>
      </c>
      <c r="I562" t="s">
        <v>1199</v>
      </c>
      <c r="J562" t="s">
        <v>68</v>
      </c>
      <c r="K562">
        <v>73.035587290885417</v>
      </c>
      <c r="L562">
        <v>70.626647902604162</v>
      </c>
      <c r="M562">
        <v>16205.147662221591</v>
      </c>
      <c r="N562">
        <v>1552045.156530204</v>
      </c>
      <c r="Q562">
        <v>12.224</v>
      </c>
      <c r="R562">
        <v>1324.9639999999999</v>
      </c>
      <c r="S562">
        <v>50</v>
      </c>
      <c r="T562">
        <v>103.307508503035</v>
      </c>
      <c r="U562">
        <v>9.8556714924595418E-3</v>
      </c>
      <c r="V562">
        <v>0.22640739322923761</v>
      </c>
      <c r="W562">
        <v>4.7050998113592748E-3</v>
      </c>
      <c r="X562">
        <v>0</v>
      </c>
      <c r="Y562">
        <v>4.6962551764748173E-2</v>
      </c>
      <c r="Z562">
        <v>0.83585969221569656</v>
      </c>
      <c r="AA562">
        <v>4.3474880685117213E-2</v>
      </c>
      <c r="AB562">
        <v>3.4263476145112839</v>
      </c>
      <c r="AC562">
        <v>0.1640397623911572</v>
      </c>
      <c r="AD562">
        <v>1292.882121523935</v>
      </c>
      <c r="AE562">
        <v>50</v>
      </c>
      <c r="AF562">
        <v>87.979888148057796</v>
      </c>
      <c r="AG562">
        <v>2.1280100000000002</v>
      </c>
      <c r="AH562">
        <v>12.511455</v>
      </c>
      <c r="AI562">
        <v>0.21128</v>
      </c>
      <c r="AJ562">
        <v>10.547185000000001</v>
      </c>
      <c r="AK562">
        <v>0.43435000000000001</v>
      </c>
      <c r="AL562">
        <v>2.4173399999999998</v>
      </c>
      <c r="AM562">
        <v>50.003889999999998</v>
      </c>
      <c r="AN562">
        <v>8.5805450000000008</v>
      </c>
      <c r="AO562">
        <v>11.0444</v>
      </c>
      <c r="AP562">
        <v>0.37786999999999998</v>
      </c>
      <c r="AQ562">
        <v>98.290260000000004</v>
      </c>
      <c r="AR562">
        <v>4.7093422517846893E-2</v>
      </c>
      <c r="AS562">
        <v>0.17423154844121161</v>
      </c>
      <c r="AT562">
        <v>2.1925114974993089E-2</v>
      </c>
      <c r="AU562">
        <v>0.1853741817244248</v>
      </c>
      <c r="AV562">
        <v>1.0520403456564249E-2</v>
      </c>
      <c r="AW562">
        <v>3.5166562401109248E-2</v>
      </c>
      <c r="AX562">
        <v>0.46106226248619608</v>
      </c>
      <c r="AY562">
        <v>0.4051107053427907</v>
      </c>
      <c r="AZ562">
        <v>0.14841023100402101</v>
      </c>
      <c r="BA562">
        <v>1.7068639208924791E-2</v>
      </c>
    </row>
    <row r="563" spans="1:63" x14ac:dyDescent="0.2">
      <c r="A563">
        <v>561</v>
      </c>
      <c r="B563" t="s">
        <v>69</v>
      </c>
      <c r="C563" t="s">
        <v>70</v>
      </c>
      <c r="D563" t="s">
        <v>71</v>
      </c>
      <c r="E563">
        <v>-155.29347999999999</v>
      </c>
      <c r="F563">
        <v>19.377479999999998</v>
      </c>
      <c r="G563" t="s">
        <v>1200</v>
      </c>
      <c r="H563" t="s">
        <v>1201</v>
      </c>
      <c r="I563" t="s">
        <v>1202</v>
      </c>
      <c r="J563" t="s">
        <v>90</v>
      </c>
      <c r="K563">
        <v>4.665924575</v>
      </c>
      <c r="L563">
        <v>4.5979302078125004</v>
      </c>
      <c r="M563">
        <v>67.398458175376902</v>
      </c>
      <c r="N563">
        <v>416.24635274810242</v>
      </c>
      <c r="Q563">
        <v>6.0149999999999997</v>
      </c>
      <c r="R563">
        <v>1324.9639999999999</v>
      </c>
      <c r="S563">
        <v>50</v>
      </c>
      <c r="T563">
        <v>103.3124670816116</v>
      </c>
      <c r="U563">
        <v>8.0314034325916061E-3</v>
      </c>
      <c r="V563">
        <v>0.22845550388956329</v>
      </c>
      <c r="W563">
        <v>4.0729279306187588E-3</v>
      </c>
      <c r="X563">
        <v>0</v>
      </c>
      <c r="Y563">
        <v>4.6355745012576888E-2</v>
      </c>
      <c r="Z563">
        <v>0.84992039262563546</v>
      </c>
      <c r="AA563">
        <v>4.2241080914778371E-2</v>
      </c>
      <c r="AB563">
        <v>3.4793782751519151</v>
      </c>
      <c r="AC563">
        <v>0.15902071079814931</v>
      </c>
      <c r="AD563">
        <v>1302.299200110549</v>
      </c>
      <c r="AE563">
        <v>50</v>
      </c>
      <c r="AF563">
        <v>88.364343911207271</v>
      </c>
      <c r="AG563">
        <v>2.09778181818182</v>
      </c>
      <c r="AH563">
        <v>12.7813454545455</v>
      </c>
      <c r="AI563">
        <v>0.22330909090909101</v>
      </c>
      <c r="AJ563">
        <v>10.434745454545499</v>
      </c>
      <c r="AK563">
        <v>0.39159090909090899</v>
      </c>
      <c r="AL563">
        <v>2.20926363636364</v>
      </c>
      <c r="AM563">
        <v>49.627472727272703</v>
      </c>
      <c r="AN563">
        <v>8.5483636363636393</v>
      </c>
      <c r="AP563">
        <v>0.184054545454545</v>
      </c>
      <c r="AQ563">
        <v>97.738981818181841</v>
      </c>
      <c r="AR563">
        <v>0.23290595448885301</v>
      </c>
      <c r="AS563">
        <v>0.201025209183507</v>
      </c>
      <c r="AT563">
        <v>2.64811047558615E-2</v>
      </c>
      <c r="AU563">
        <v>0.24469090446371899</v>
      </c>
      <c r="AV563">
        <v>0.102489350222796</v>
      </c>
      <c r="AW563">
        <v>0.57551727388971996</v>
      </c>
      <c r="AX563">
        <v>0.69240001168530996</v>
      </c>
      <c r="AY563">
        <v>0.34531358001887902</v>
      </c>
      <c r="BA563">
        <v>5.2833651466397097E-2</v>
      </c>
      <c r="BE563">
        <v>1.352978030666198</v>
      </c>
      <c r="BF563">
        <v>10308</v>
      </c>
      <c r="BG563">
        <v>3338785.7340126261</v>
      </c>
      <c r="BH563">
        <v>12975.419788965821</v>
      </c>
      <c r="BI563">
        <v>1030.90664319599</v>
      </c>
      <c r="BJ563">
        <v>127.80098832706049</v>
      </c>
      <c r="BK563">
        <v>12975.41978896581</v>
      </c>
    </row>
    <row r="564" spans="1:63" x14ac:dyDescent="0.2">
      <c r="A564">
        <v>562</v>
      </c>
      <c r="B564" t="s">
        <v>69</v>
      </c>
      <c r="C564" t="s">
        <v>70</v>
      </c>
      <c r="D564" t="s">
        <v>71</v>
      </c>
      <c r="E564">
        <v>-155.29347999999999</v>
      </c>
      <c r="F564">
        <v>19.377479999999998</v>
      </c>
      <c r="G564" t="s">
        <v>112</v>
      </c>
      <c r="H564" t="s">
        <v>1203</v>
      </c>
      <c r="I564" t="s">
        <v>1204</v>
      </c>
      <c r="J564" t="s">
        <v>68</v>
      </c>
      <c r="K564">
        <v>9.3298151304687504</v>
      </c>
      <c r="L564">
        <v>8.7987035734374999</v>
      </c>
      <c r="M564">
        <v>257.8942134413258</v>
      </c>
      <c r="N564">
        <v>3116.8267146668441</v>
      </c>
      <c r="Q564">
        <v>11.907999999999999</v>
      </c>
      <c r="R564">
        <v>1324.9639999999999</v>
      </c>
      <c r="S564">
        <v>50</v>
      </c>
      <c r="T564">
        <v>103.3672995929729</v>
      </c>
      <c r="U564">
        <v>1.089644717788194E-2</v>
      </c>
      <c r="V564">
        <v>0.25120257962953468</v>
      </c>
      <c r="W564">
        <v>5.1146660998579114E-3</v>
      </c>
      <c r="X564">
        <v>0</v>
      </c>
      <c r="Y564">
        <v>3.9889883193226172E-2</v>
      </c>
      <c r="Z564">
        <v>0.95117995467078886</v>
      </c>
      <c r="AA564">
        <v>4.6938995298943603E-2</v>
      </c>
      <c r="AB564">
        <v>3.857542190521051</v>
      </c>
      <c r="AC564">
        <v>0.17370880726731319</v>
      </c>
      <c r="AD564">
        <v>1307.5780761554829</v>
      </c>
      <c r="AE564">
        <v>50</v>
      </c>
      <c r="AF564">
        <v>88.57356199990744</v>
      </c>
      <c r="AG564">
        <v>2.1280100000000002</v>
      </c>
      <c r="AH564">
        <v>12.511455</v>
      </c>
      <c r="AI564">
        <v>0.21128</v>
      </c>
      <c r="AJ564">
        <v>10.547185000000001</v>
      </c>
      <c r="AK564">
        <v>0.43435000000000001</v>
      </c>
      <c r="AL564">
        <v>2.4173399999999998</v>
      </c>
      <c r="AM564">
        <v>50.003889999999998</v>
      </c>
      <c r="AN564">
        <v>8.5805450000000008</v>
      </c>
      <c r="AO564">
        <v>11.0444</v>
      </c>
      <c r="AP564">
        <v>0.37786999999999998</v>
      </c>
      <c r="AQ564">
        <v>98.290260000000004</v>
      </c>
      <c r="AR564">
        <v>4.7093422517846893E-2</v>
      </c>
      <c r="AS564">
        <v>0.17423154844121161</v>
      </c>
      <c r="AT564">
        <v>2.1925114974993089E-2</v>
      </c>
      <c r="AU564">
        <v>0.1853741817244248</v>
      </c>
      <c r="AV564">
        <v>1.0520403456564249E-2</v>
      </c>
      <c r="AW564">
        <v>3.5166562401109248E-2</v>
      </c>
      <c r="AX564">
        <v>0.46106226248619608</v>
      </c>
      <c r="AY564">
        <v>0.4051107053427907</v>
      </c>
      <c r="AZ564">
        <v>0.14841023100402101</v>
      </c>
      <c r="BA564">
        <v>1.7068639208924791E-2</v>
      </c>
      <c r="BD564" t="s">
        <v>1205</v>
      </c>
      <c r="BE564">
        <v>0.26659132994744361</v>
      </c>
      <c r="BF564">
        <v>11148</v>
      </c>
      <c r="BG564">
        <v>1116235.739660067</v>
      </c>
      <c r="BH564">
        <v>1936.307287382127</v>
      </c>
      <c r="BI564">
        <v>596.07790702682098</v>
      </c>
      <c r="BJ564">
        <v>18.33900630948116</v>
      </c>
      <c r="BK564">
        <v>1936.3072873821261</v>
      </c>
    </row>
    <row r="565" spans="1:63" x14ac:dyDescent="0.2">
      <c r="A565">
        <v>563</v>
      </c>
      <c r="B565" t="s">
        <v>69</v>
      </c>
      <c r="C565" t="s">
        <v>70</v>
      </c>
      <c r="D565" t="s">
        <v>71</v>
      </c>
      <c r="E565">
        <v>-155.29347999999999</v>
      </c>
      <c r="F565">
        <v>19.377479999999998</v>
      </c>
      <c r="G565" t="s">
        <v>112</v>
      </c>
      <c r="H565" t="s">
        <v>1203</v>
      </c>
      <c r="I565" t="s">
        <v>1206</v>
      </c>
      <c r="J565" t="s">
        <v>68</v>
      </c>
      <c r="K565">
        <v>14.734786173437501</v>
      </c>
      <c r="L565">
        <v>11.55090634375</v>
      </c>
      <c r="M565">
        <v>534.69949402164093</v>
      </c>
      <c r="N565">
        <v>9369.9643259657259</v>
      </c>
      <c r="Q565">
        <v>11.888</v>
      </c>
      <c r="R565">
        <v>1324.9639999999999</v>
      </c>
      <c r="S565">
        <v>50</v>
      </c>
      <c r="T565">
        <v>103.38023567081029</v>
      </c>
      <c r="U565">
        <v>5.1451743332989481E-3</v>
      </c>
      <c r="V565">
        <v>0.25659624462969077</v>
      </c>
      <c r="W565">
        <v>3.1885296198723989E-3</v>
      </c>
      <c r="X565">
        <v>0</v>
      </c>
      <c r="Y565">
        <v>3.76629001996589E-2</v>
      </c>
      <c r="Z565">
        <v>0.97461674742420201</v>
      </c>
      <c r="AA565">
        <v>4.3037628440845292E-2</v>
      </c>
      <c r="AB565">
        <v>3.9441605067865</v>
      </c>
      <c r="AC565">
        <v>0.15864995120942391</v>
      </c>
      <c r="AD565">
        <v>1308.3020571643649</v>
      </c>
      <c r="AE565">
        <v>50</v>
      </c>
      <c r="AF565">
        <v>88.601920478670223</v>
      </c>
      <c r="AG565">
        <v>2.1280100000000002</v>
      </c>
      <c r="AH565">
        <v>12.511455</v>
      </c>
      <c r="AI565">
        <v>0.21128</v>
      </c>
      <c r="AJ565">
        <v>10.547185000000001</v>
      </c>
      <c r="AK565">
        <v>0.43435000000000001</v>
      </c>
      <c r="AL565">
        <v>2.4173399999999998</v>
      </c>
      <c r="AM565">
        <v>50.003889999999998</v>
      </c>
      <c r="AN565">
        <v>8.5805450000000008</v>
      </c>
      <c r="AO565">
        <v>11.0444</v>
      </c>
      <c r="AP565">
        <v>0.37786999999999998</v>
      </c>
      <c r="AQ565">
        <v>98.290260000000004</v>
      </c>
      <c r="AR565">
        <v>4.7093422517846893E-2</v>
      </c>
      <c r="AS565">
        <v>0.17423154844121161</v>
      </c>
      <c r="AT565">
        <v>2.1925114974993089E-2</v>
      </c>
      <c r="AU565">
        <v>0.1853741817244248</v>
      </c>
      <c r="AV565">
        <v>1.0520403456564249E-2</v>
      </c>
      <c r="AW565">
        <v>3.5166562401109248E-2</v>
      </c>
      <c r="AX565">
        <v>0.46106226248619608</v>
      </c>
      <c r="AY565">
        <v>0.4051107053427907</v>
      </c>
      <c r="AZ565">
        <v>0.14841023100402101</v>
      </c>
      <c r="BA565">
        <v>1.7068639208924791E-2</v>
      </c>
      <c r="BD565" t="s">
        <v>1205</v>
      </c>
      <c r="BE565">
        <v>0.26659132994744361</v>
      </c>
      <c r="BF565">
        <v>11148</v>
      </c>
      <c r="BG565">
        <v>1116235.739660067</v>
      </c>
      <c r="BH565">
        <v>1936.307287382127</v>
      </c>
      <c r="BI565">
        <v>596.07790702682098</v>
      </c>
      <c r="BJ565">
        <v>18.33900630948116</v>
      </c>
      <c r="BK565">
        <v>1936.3072873821261</v>
      </c>
    </row>
    <row r="566" spans="1:63" x14ac:dyDescent="0.2">
      <c r="A566">
        <v>564</v>
      </c>
      <c r="B566" t="s">
        <v>69</v>
      </c>
      <c r="C566" t="s">
        <v>70</v>
      </c>
      <c r="D566" t="s">
        <v>71</v>
      </c>
      <c r="E566">
        <v>-155.29347999999999</v>
      </c>
      <c r="F566">
        <v>19.377479999999998</v>
      </c>
      <c r="G566" t="s">
        <v>112</v>
      </c>
      <c r="H566" t="s">
        <v>1203</v>
      </c>
      <c r="I566" t="s">
        <v>1207</v>
      </c>
      <c r="J566" t="s">
        <v>68</v>
      </c>
      <c r="K566">
        <v>22.213469185937502</v>
      </c>
      <c r="L566">
        <v>20.8891481265625</v>
      </c>
      <c r="M566">
        <v>1457.763231274434</v>
      </c>
      <c r="N566">
        <v>41888.940459903577</v>
      </c>
      <c r="Q566">
        <v>11.89</v>
      </c>
      <c r="R566">
        <v>1324.9639999999999</v>
      </c>
      <c r="S566">
        <v>50</v>
      </c>
      <c r="T566">
        <v>103.40313928117919</v>
      </c>
      <c r="U566">
        <v>7.4453166834477823E-3</v>
      </c>
      <c r="V566">
        <v>0.26617216929298593</v>
      </c>
      <c r="W566">
        <v>3.9081785060329013E-3</v>
      </c>
      <c r="X566">
        <v>0</v>
      </c>
      <c r="Y566">
        <v>3.3766737867658492E-2</v>
      </c>
      <c r="Z566">
        <v>1.008752152656059</v>
      </c>
      <c r="AA566">
        <v>4.45249889966658E-2</v>
      </c>
      <c r="AB566">
        <v>4.069729310841721</v>
      </c>
      <c r="AC566">
        <v>0.16325715297168431</v>
      </c>
      <c r="AD566">
        <v>1298.226753988848</v>
      </c>
      <c r="AE566">
        <v>50</v>
      </c>
      <c r="AF566">
        <v>88.199905860694003</v>
      </c>
      <c r="AG566">
        <v>2.1280100000000002</v>
      </c>
      <c r="AH566">
        <v>12.511455</v>
      </c>
      <c r="AI566">
        <v>0.21128</v>
      </c>
      <c r="AJ566">
        <v>10.547185000000001</v>
      </c>
      <c r="AK566">
        <v>0.43435000000000001</v>
      </c>
      <c r="AL566">
        <v>2.4173399999999998</v>
      </c>
      <c r="AM566">
        <v>50.003889999999998</v>
      </c>
      <c r="AN566">
        <v>8.5805450000000008</v>
      </c>
      <c r="AO566">
        <v>11.0444</v>
      </c>
      <c r="AP566">
        <v>0.37786999999999998</v>
      </c>
      <c r="AQ566">
        <v>98.290260000000004</v>
      </c>
      <c r="AR566">
        <v>4.7093422517846893E-2</v>
      </c>
      <c r="AS566">
        <v>0.17423154844121161</v>
      </c>
      <c r="AT566">
        <v>2.1925114974993089E-2</v>
      </c>
      <c r="AU566">
        <v>0.1853741817244248</v>
      </c>
      <c r="AV566">
        <v>1.0520403456564249E-2</v>
      </c>
      <c r="AW566">
        <v>3.5166562401109248E-2</v>
      </c>
      <c r="AX566">
        <v>0.46106226248619608</v>
      </c>
      <c r="AY566">
        <v>0.4051107053427907</v>
      </c>
      <c r="AZ566">
        <v>0.14841023100402101</v>
      </c>
      <c r="BA566">
        <v>1.7068639208924791E-2</v>
      </c>
      <c r="BD566" t="s">
        <v>1205</v>
      </c>
      <c r="BE566">
        <v>0.26659132994744361</v>
      </c>
      <c r="BF566">
        <v>11148</v>
      </c>
      <c r="BG566">
        <v>1116235.739660067</v>
      </c>
      <c r="BH566">
        <v>1936.307287382127</v>
      </c>
      <c r="BI566">
        <v>596.07790702682098</v>
      </c>
      <c r="BJ566">
        <v>18.33900630948116</v>
      </c>
      <c r="BK566">
        <v>1936.3072873821261</v>
      </c>
    </row>
    <row r="567" spans="1:63" x14ac:dyDescent="0.2">
      <c r="A567">
        <v>565</v>
      </c>
      <c r="B567" t="s">
        <v>69</v>
      </c>
      <c r="C567" t="s">
        <v>70</v>
      </c>
      <c r="D567" t="s">
        <v>71</v>
      </c>
      <c r="E567">
        <v>-155.29347999999999</v>
      </c>
      <c r="F567">
        <v>19.377479999999998</v>
      </c>
      <c r="G567" t="s">
        <v>112</v>
      </c>
      <c r="H567" t="s">
        <v>1208</v>
      </c>
      <c r="I567" t="s">
        <v>1209</v>
      </c>
      <c r="J567" t="s">
        <v>68</v>
      </c>
      <c r="K567">
        <v>7.0711236132812498</v>
      </c>
      <c r="L567">
        <v>6.5124656203124998</v>
      </c>
      <c r="M567">
        <v>144.67175361900229</v>
      </c>
      <c r="N567">
        <v>1310.107783242805</v>
      </c>
      <c r="Q567">
        <v>12.253500000000001</v>
      </c>
      <c r="R567">
        <v>1324.9639999999999</v>
      </c>
      <c r="S567">
        <v>50</v>
      </c>
      <c r="T567">
        <v>103.4128494003312</v>
      </c>
      <c r="U567">
        <v>5.0376834428799266E-3</v>
      </c>
      <c r="V567">
        <v>0.27024538656041841</v>
      </c>
      <c r="W567">
        <v>3.1646144119008251E-3</v>
      </c>
      <c r="X567">
        <v>0</v>
      </c>
      <c r="Y567">
        <v>3.0687021685890992E-2</v>
      </c>
      <c r="Z567">
        <v>1.031391548241839</v>
      </c>
      <c r="AA567">
        <v>4.8779519485696463E-2</v>
      </c>
      <c r="AB567">
        <v>4.1526308146157964</v>
      </c>
      <c r="AC567">
        <v>0.1782413119911789</v>
      </c>
      <c r="AD567">
        <v>1307.8360239327419</v>
      </c>
      <c r="AE567">
        <v>50</v>
      </c>
      <c r="AF567">
        <v>88.58367497099097</v>
      </c>
      <c r="AG567">
        <v>2.1280100000000002</v>
      </c>
      <c r="AH567">
        <v>12.511455</v>
      </c>
      <c r="AI567">
        <v>0.21128</v>
      </c>
      <c r="AJ567">
        <v>10.547185000000001</v>
      </c>
      <c r="AK567">
        <v>0.43435000000000001</v>
      </c>
      <c r="AL567">
        <v>2.4173399999999998</v>
      </c>
      <c r="AM567">
        <v>50.003889999999998</v>
      </c>
      <c r="AN567">
        <v>8.5805450000000008</v>
      </c>
      <c r="AO567">
        <v>11.0444</v>
      </c>
      <c r="AP567">
        <v>0.37786999999999998</v>
      </c>
      <c r="AQ567">
        <v>98.290260000000004</v>
      </c>
      <c r="AR567">
        <v>4.7093422517846893E-2</v>
      </c>
      <c r="AS567">
        <v>0.17423154844121161</v>
      </c>
      <c r="AT567">
        <v>2.1925114974993089E-2</v>
      </c>
      <c r="AU567">
        <v>0.1853741817244248</v>
      </c>
      <c r="AV567">
        <v>1.0520403456564249E-2</v>
      </c>
      <c r="AW567">
        <v>3.5166562401109248E-2</v>
      </c>
      <c r="AX567">
        <v>0.46106226248619608</v>
      </c>
      <c r="AY567">
        <v>0.4051107053427907</v>
      </c>
      <c r="AZ567">
        <v>0.14841023100402101</v>
      </c>
      <c r="BA567">
        <v>1.7068639208924791E-2</v>
      </c>
      <c r="BD567" t="s">
        <v>1210</v>
      </c>
      <c r="BE567">
        <v>0.1189079659553397</v>
      </c>
      <c r="BF567">
        <v>2376</v>
      </c>
      <c r="BG567">
        <v>104105.49309153391</v>
      </c>
      <c r="BH567">
        <v>91.106124517139449</v>
      </c>
      <c r="BI567">
        <v>182.03792917157011</v>
      </c>
      <c r="BJ567">
        <v>1.869064784027239</v>
      </c>
      <c r="BK567">
        <v>91.106124517139449</v>
      </c>
    </row>
    <row r="568" spans="1:63" x14ac:dyDescent="0.2">
      <c r="A568">
        <v>566</v>
      </c>
      <c r="B568" t="s">
        <v>69</v>
      </c>
      <c r="C568" t="s">
        <v>76</v>
      </c>
      <c r="D568" t="s">
        <v>71</v>
      </c>
      <c r="E568">
        <v>-155.29812000000001</v>
      </c>
      <c r="F568">
        <v>19.375624999999999</v>
      </c>
      <c r="G568" t="s">
        <v>77</v>
      </c>
      <c r="H568" t="s">
        <v>1211</v>
      </c>
      <c r="I568" t="s">
        <v>1212</v>
      </c>
      <c r="J568" t="s">
        <v>85</v>
      </c>
      <c r="K568">
        <v>17.850729750781252</v>
      </c>
      <c r="L568">
        <v>13.98446542578125</v>
      </c>
      <c r="M568">
        <v>784.24492565282196</v>
      </c>
      <c r="N568">
        <v>16644.393516257551</v>
      </c>
      <c r="P568" t="s">
        <v>1213</v>
      </c>
      <c r="Q568">
        <v>12.000999999999999</v>
      </c>
      <c r="R568">
        <v>1324.9639999999999</v>
      </c>
      <c r="S568">
        <v>50</v>
      </c>
      <c r="T568">
        <v>103.4240051640036</v>
      </c>
      <c r="U568">
        <v>2.2101843152756359E-2</v>
      </c>
      <c r="V568">
        <v>0.27492602080928918</v>
      </c>
      <c r="W568">
        <v>9.5816558788566816E-3</v>
      </c>
      <c r="X568">
        <v>0</v>
      </c>
      <c r="Y568">
        <v>3.1789212175503227E-2</v>
      </c>
      <c r="Z568">
        <v>1.0237671050548149</v>
      </c>
      <c r="AA568">
        <v>6.1442086462671977E-2</v>
      </c>
      <c r="AB568">
        <v>4.1247447782965976</v>
      </c>
      <c r="AC568">
        <v>0.2246680064122033</v>
      </c>
      <c r="AD568">
        <v>1264.415634949401</v>
      </c>
      <c r="AE568">
        <v>50</v>
      </c>
      <c r="AF568">
        <v>86.715612920334806</v>
      </c>
      <c r="AG568">
        <v>2.5039199999999999</v>
      </c>
      <c r="AH568">
        <v>14.096819999999999</v>
      </c>
      <c r="AI568">
        <v>0.27322000000000002</v>
      </c>
      <c r="AJ568">
        <v>10.95044</v>
      </c>
      <c r="AK568">
        <v>0.52094000000000007</v>
      </c>
      <c r="AL568">
        <v>2.9191400000000001</v>
      </c>
      <c r="AM568">
        <v>50.91704</v>
      </c>
      <c r="AN568">
        <v>6.4346599999999992</v>
      </c>
      <c r="AO568">
        <v>10.86684</v>
      </c>
      <c r="AP568">
        <v>0.19492000000000001</v>
      </c>
      <c r="AQ568">
        <v>99.70778</v>
      </c>
      <c r="AR568">
        <v>5.8797253337209539E-2</v>
      </c>
      <c r="AS568">
        <v>0.138496180452748</v>
      </c>
      <c r="AT568">
        <v>2.822688434808206E-2</v>
      </c>
      <c r="AU568">
        <v>7.1287502411011894E-2</v>
      </c>
      <c r="AV568">
        <v>1.2819243347405491E-2</v>
      </c>
      <c r="AW568">
        <v>2.3721045508155889E-2</v>
      </c>
      <c r="AX568">
        <v>0.39733328327740491</v>
      </c>
      <c r="AY568">
        <v>8.3972662218129629E-2</v>
      </c>
      <c r="AZ568">
        <v>5.8132675837260117E-2</v>
      </c>
      <c r="BA568">
        <v>1.931080008699795E-2</v>
      </c>
      <c r="BD568" t="s">
        <v>1214</v>
      </c>
      <c r="BE568">
        <v>0.57409288566474448</v>
      </c>
      <c r="BF568">
        <v>38170</v>
      </c>
      <c r="BG568">
        <v>3876037.5994402771</v>
      </c>
      <c r="BH568">
        <v>9232.6744020562746</v>
      </c>
      <c r="BI568">
        <v>1110.756988329098</v>
      </c>
      <c r="BJ568">
        <v>47.257031784021521</v>
      </c>
      <c r="BK568">
        <v>9232.6744020562583</v>
      </c>
    </row>
    <row r="569" spans="1:63" x14ac:dyDescent="0.2">
      <c r="A569">
        <v>567</v>
      </c>
      <c r="B569" t="s">
        <v>69</v>
      </c>
      <c r="C569" t="s">
        <v>70</v>
      </c>
      <c r="D569" t="s">
        <v>71</v>
      </c>
      <c r="E569">
        <v>-155.29347999999999</v>
      </c>
      <c r="F569">
        <v>19.377479999999998</v>
      </c>
      <c r="G569" t="s">
        <v>112</v>
      </c>
      <c r="H569" t="s">
        <v>1215</v>
      </c>
      <c r="I569" t="s">
        <v>1216</v>
      </c>
      <c r="J569" t="s">
        <v>68</v>
      </c>
      <c r="K569">
        <v>29.472652433593751</v>
      </c>
      <c r="L569">
        <v>24.729318886718751</v>
      </c>
      <c r="M569">
        <v>2289.7140557140569</v>
      </c>
      <c r="N569">
        <v>82738.01038635314</v>
      </c>
      <c r="Q569">
        <v>6.0179999999999998</v>
      </c>
      <c r="R569">
        <v>1324.9639999999999</v>
      </c>
      <c r="S569">
        <v>50</v>
      </c>
      <c r="T569">
        <v>103.4409745558565</v>
      </c>
      <c r="U569">
        <v>1.260138938429166E-2</v>
      </c>
      <c r="V569">
        <v>0.28206665310062817</v>
      </c>
      <c r="W569">
        <v>5.8081991696251854E-3</v>
      </c>
      <c r="X569">
        <v>0</v>
      </c>
      <c r="Y569">
        <v>2.09604831281569E-2</v>
      </c>
      <c r="Z569">
        <v>1.088043932916426</v>
      </c>
      <c r="AA569">
        <v>4.5968491244618187E-2</v>
      </c>
      <c r="AB569">
        <v>4.3587934618869948</v>
      </c>
      <c r="AC569">
        <v>0.16647431945439639</v>
      </c>
      <c r="AD569">
        <v>1323.293165354781</v>
      </c>
      <c r="AE569">
        <v>50</v>
      </c>
      <c r="AF569">
        <v>89.172108449185288</v>
      </c>
      <c r="AG569">
        <v>2.1280100000000002</v>
      </c>
      <c r="AH569">
        <v>12.511455</v>
      </c>
      <c r="AI569">
        <v>0.21128</v>
      </c>
      <c r="AJ569">
        <v>10.547185000000001</v>
      </c>
      <c r="AK569">
        <v>0.43435000000000001</v>
      </c>
      <c r="AL569">
        <v>2.4173399999999998</v>
      </c>
      <c r="AM569">
        <v>50.003889999999998</v>
      </c>
      <c r="AN569">
        <v>8.5805450000000008</v>
      </c>
      <c r="AO569">
        <v>11.0444</v>
      </c>
      <c r="AP569">
        <v>0.37786999999999998</v>
      </c>
      <c r="AQ569">
        <v>98.290260000000004</v>
      </c>
      <c r="AR569">
        <v>4.7093422517846893E-2</v>
      </c>
      <c r="AS569">
        <v>0.17423154844121161</v>
      </c>
      <c r="AT569">
        <v>2.1925114974993089E-2</v>
      </c>
      <c r="AU569">
        <v>0.1853741817244248</v>
      </c>
      <c r="AV569">
        <v>1.0520403456564249E-2</v>
      </c>
      <c r="AW569">
        <v>3.5166562401109248E-2</v>
      </c>
      <c r="AX569">
        <v>0.46106226248619608</v>
      </c>
      <c r="AY569">
        <v>0.4051107053427907</v>
      </c>
      <c r="AZ569">
        <v>0.14841023100402101</v>
      </c>
      <c r="BA569">
        <v>1.7068639208924791E-2</v>
      </c>
      <c r="BD569" t="s">
        <v>1217</v>
      </c>
      <c r="BE569">
        <v>0.32948714905157361</v>
      </c>
      <c r="BF569">
        <v>22526</v>
      </c>
      <c r="BG569">
        <v>1103866.885584861</v>
      </c>
      <c r="BH569">
        <v>2146.8754240649541</v>
      </c>
      <c r="BI569">
        <v>592.76617878601382</v>
      </c>
      <c r="BJ569">
        <v>14.30424054098062</v>
      </c>
      <c r="BK569">
        <v>2146.8754240649519</v>
      </c>
    </row>
    <row r="570" spans="1:63" x14ac:dyDescent="0.2">
      <c r="A570">
        <v>568</v>
      </c>
      <c r="B570" t="s">
        <v>69</v>
      </c>
      <c r="C570" t="s">
        <v>76</v>
      </c>
      <c r="D570" t="s">
        <v>71</v>
      </c>
      <c r="E570">
        <v>-155.29812000000001</v>
      </c>
      <c r="F570">
        <v>19.375624999999999</v>
      </c>
      <c r="G570" t="s">
        <v>77</v>
      </c>
      <c r="H570" t="s">
        <v>1211</v>
      </c>
      <c r="I570" t="s">
        <v>1218</v>
      </c>
      <c r="J570" t="s">
        <v>85</v>
      </c>
      <c r="K570">
        <v>29.092523240624999</v>
      </c>
      <c r="L570">
        <v>20.293064174218749</v>
      </c>
      <c r="M570">
        <v>1854.7222902497999</v>
      </c>
      <c r="N570">
        <v>61064.366530260471</v>
      </c>
      <c r="O570" t="s">
        <v>1219</v>
      </c>
      <c r="P570" t="s">
        <v>1213</v>
      </c>
      <c r="Q570">
        <v>6.0030000000000001</v>
      </c>
      <c r="R570">
        <v>1324.9639999999999</v>
      </c>
      <c r="S570">
        <v>50</v>
      </c>
      <c r="T570">
        <v>103.4952488780866</v>
      </c>
      <c r="U570">
        <v>1.666982827792508E-2</v>
      </c>
      <c r="V570">
        <v>0.30503851186585962</v>
      </c>
      <c r="W570">
        <v>7.4675635399023841E-3</v>
      </c>
      <c r="X570">
        <v>1.8017674134749759</v>
      </c>
      <c r="Y570">
        <v>8.7561611490180047E-3</v>
      </c>
      <c r="Z570">
        <v>1.1411090558401631</v>
      </c>
      <c r="AA570">
        <v>5.4549582746147483E-2</v>
      </c>
      <c r="AB570">
        <v>4.5502844951739601</v>
      </c>
      <c r="AC570">
        <v>0.19597528546107981</v>
      </c>
      <c r="AD570">
        <v>1267.2782688404361</v>
      </c>
      <c r="AE570">
        <v>50</v>
      </c>
      <c r="AF570">
        <v>86.850650206370574</v>
      </c>
      <c r="AG570">
        <v>2.5039199999999999</v>
      </c>
      <c r="AH570">
        <v>14.096819999999999</v>
      </c>
      <c r="AI570">
        <v>0.27322000000000002</v>
      </c>
      <c r="AJ570">
        <v>10.95044</v>
      </c>
      <c r="AK570">
        <v>0.52094000000000007</v>
      </c>
      <c r="AL570">
        <v>2.9191400000000001</v>
      </c>
      <c r="AM570">
        <v>50.91704</v>
      </c>
      <c r="AN570">
        <v>6.4346599999999992</v>
      </c>
      <c r="AO570">
        <v>10.86684</v>
      </c>
      <c r="AP570">
        <v>0.19492000000000001</v>
      </c>
      <c r="AQ570">
        <v>99.70778</v>
      </c>
      <c r="AR570">
        <v>5.8797253337209539E-2</v>
      </c>
      <c r="AS570">
        <v>0.138496180452748</v>
      </c>
      <c r="AT570">
        <v>2.822688434808206E-2</v>
      </c>
      <c r="AU570">
        <v>7.1287502411011894E-2</v>
      </c>
      <c r="AV570">
        <v>1.2819243347405491E-2</v>
      </c>
      <c r="AW570">
        <v>2.3721045508155889E-2</v>
      </c>
      <c r="AX570">
        <v>0.39733328327740491</v>
      </c>
      <c r="AY570">
        <v>8.3972662218129629E-2</v>
      </c>
      <c r="AZ570">
        <v>5.8132675837260117E-2</v>
      </c>
      <c r="BA570">
        <v>1.931080008699795E-2</v>
      </c>
      <c r="BD570" t="s">
        <v>1214</v>
      </c>
      <c r="BE570">
        <v>0.57409288566474448</v>
      </c>
      <c r="BF570">
        <v>38170</v>
      </c>
      <c r="BG570">
        <v>3876037.5994402771</v>
      </c>
      <c r="BH570">
        <v>9232.6744020562746</v>
      </c>
      <c r="BI570">
        <v>1110.756988329098</v>
      </c>
      <c r="BJ570">
        <v>47.257031784021521</v>
      </c>
      <c r="BK570">
        <v>9232.6744020562583</v>
      </c>
    </row>
    <row r="571" spans="1:63" x14ac:dyDescent="0.2">
      <c r="A571">
        <v>569</v>
      </c>
      <c r="B571" t="s">
        <v>69</v>
      </c>
      <c r="C571" t="s">
        <v>70</v>
      </c>
      <c r="D571" t="s">
        <v>71</v>
      </c>
      <c r="E571">
        <v>-155.29347999999999</v>
      </c>
      <c r="F571">
        <v>19.377479999999998</v>
      </c>
      <c r="G571" t="s">
        <v>1200</v>
      </c>
      <c r="H571" t="s">
        <v>1201</v>
      </c>
      <c r="I571" t="s">
        <v>1220</v>
      </c>
      <c r="J571" t="s">
        <v>90</v>
      </c>
      <c r="K571">
        <v>4.9506873093749997</v>
      </c>
      <c r="L571">
        <v>3.99556985234375</v>
      </c>
      <c r="M571">
        <v>62.143269248942502</v>
      </c>
      <c r="N571">
        <v>370.63311171397879</v>
      </c>
      <c r="O571" t="s">
        <v>1221</v>
      </c>
      <c r="Q571">
        <v>6.032</v>
      </c>
      <c r="R571">
        <v>1324.9639999999999</v>
      </c>
      <c r="S571">
        <v>50</v>
      </c>
      <c r="T571">
        <v>103.4960117955921</v>
      </c>
      <c r="U571">
        <v>1.127489127768949E-2</v>
      </c>
      <c r="V571">
        <v>0.30536290547570388</v>
      </c>
      <c r="W571">
        <v>5.3400737466802956E-3</v>
      </c>
      <c r="X571">
        <v>0</v>
      </c>
      <c r="Y571">
        <v>2.7326473101172422E-3</v>
      </c>
      <c r="Z571">
        <v>1.1629398224448499</v>
      </c>
      <c r="AA571">
        <v>4.7673597552317433E-2</v>
      </c>
      <c r="AB571">
        <v>4.6286236284394997</v>
      </c>
      <c r="AC571">
        <v>0.17075259817458571</v>
      </c>
      <c r="AD571">
        <v>1302.299200110549</v>
      </c>
      <c r="AE571">
        <v>50</v>
      </c>
      <c r="AF571">
        <v>88.364343911207271</v>
      </c>
      <c r="AG571">
        <v>2.09778181818182</v>
      </c>
      <c r="AH571">
        <v>12.7813454545455</v>
      </c>
      <c r="AI571">
        <v>0.22330909090909101</v>
      </c>
      <c r="AJ571">
        <v>10.434745454545499</v>
      </c>
      <c r="AK571">
        <v>0.39159090909090899</v>
      </c>
      <c r="AL571">
        <v>2.20926363636364</v>
      </c>
      <c r="AM571">
        <v>49.627472727272703</v>
      </c>
      <c r="AN571">
        <v>8.5483636363636393</v>
      </c>
      <c r="AP571">
        <v>0.184054545454545</v>
      </c>
      <c r="AQ571">
        <v>97.738981818181841</v>
      </c>
      <c r="AR571">
        <v>0.23290595448885301</v>
      </c>
      <c r="AS571">
        <v>0.201025209183507</v>
      </c>
      <c r="AT571">
        <v>2.64811047558615E-2</v>
      </c>
      <c r="AU571">
        <v>0.24469090446371899</v>
      </c>
      <c r="AV571">
        <v>0.102489350222796</v>
      </c>
      <c r="AW571">
        <v>0.57551727388971996</v>
      </c>
      <c r="AX571">
        <v>0.69240001168530996</v>
      </c>
      <c r="AY571">
        <v>0.34531358001887902</v>
      </c>
      <c r="BA571">
        <v>5.2833651466397097E-2</v>
      </c>
      <c r="BE571">
        <v>1.352978030666198</v>
      </c>
      <c r="BF571">
        <v>10308</v>
      </c>
      <c r="BG571">
        <v>3338785.7340126261</v>
      </c>
      <c r="BH571">
        <v>12975.419788965821</v>
      </c>
      <c r="BI571">
        <v>1030.90664319599</v>
      </c>
      <c r="BJ571">
        <v>127.80098832706049</v>
      </c>
      <c r="BK571">
        <v>12975.41978896581</v>
      </c>
    </row>
    <row r="572" spans="1:63" x14ac:dyDescent="0.2">
      <c r="A572">
        <v>570</v>
      </c>
      <c r="B572" t="s">
        <v>69</v>
      </c>
      <c r="C572" t="s">
        <v>76</v>
      </c>
      <c r="D572" t="s">
        <v>71</v>
      </c>
      <c r="E572">
        <v>-155.29812000000001</v>
      </c>
      <c r="F572">
        <v>19.375624999999999</v>
      </c>
      <c r="G572" t="s">
        <v>77</v>
      </c>
      <c r="H572" t="s">
        <v>1211</v>
      </c>
      <c r="I572" t="s">
        <v>1222</v>
      </c>
      <c r="J572" t="s">
        <v>85</v>
      </c>
      <c r="K572">
        <v>20.717302533593749</v>
      </c>
      <c r="L572">
        <v>18.423335306249999</v>
      </c>
      <c r="M572">
        <v>1199.0887741294939</v>
      </c>
      <c r="N572">
        <v>31288.732964016479</v>
      </c>
      <c r="O572" t="s">
        <v>1219</v>
      </c>
      <c r="P572" t="s">
        <v>1213</v>
      </c>
      <c r="Q572">
        <v>6.0049999999999999</v>
      </c>
      <c r="R572">
        <v>1324.9639999999999</v>
      </c>
      <c r="S572">
        <v>50</v>
      </c>
      <c r="T572">
        <v>103.52252905900789</v>
      </c>
      <c r="U572">
        <v>2.317038284803135E-2</v>
      </c>
      <c r="V572">
        <v>0.31666436430168687</v>
      </c>
      <c r="W572">
        <v>1.0173022597552379E-2</v>
      </c>
      <c r="X572">
        <v>0</v>
      </c>
      <c r="Y572">
        <v>0</v>
      </c>
      <c r="Z572">
        <v>1.1859403788529239</v>
      </c>
      <c r="AA572">
        <v>6.5154992190634975E-2</v>
      </c>
      <c r="AB572">
        <v>4.7108902742650782</v>
      </c>
      <c r="AC572">
        <v>0.23253158413338609</v>
      </c>
      <c r="AD572">
        <v>1267.2782688404361</v>
      </c>
      <c r="AE572">
        <v>50</v>
      </c>
      <c r="AF572">
        <v>86.850650206370574</v>
      </c>
      <c r="AG572">
        <v>2.5039199999999999</v>
      </c>
      <c r="AH572">
        <v>14.096819999999999</v>
      </c>
      <c r="AI572">
        <v>0.27322000000000002</v>
      </c>
      <c r="AJ572">
        <v>10.95044</v>
      </c>
      <c r="AK572">
        <v>0.52094000000000007</v>
      </c>
      <c r="AL572">
        <v>2.9191400000000001</v>
      </c>
      <c r="AM572">
        <v>50.91704</v>
      </c>
      <c r="AN572">
        <v>6.4346599999999992</v>
      </c>
      <c r="AO572">
        <v>10.86684</v>
      </c>
      <c r="AP572">
        <v>0.19492000000000001</v>
      </c>
      <c r="AQ572">
        <v>99.70778</v>
      </c>
      <c r="AR572">
        <v>5.8797253337209539E-2</v>
      </c>
      <c r="AS572">
        <v>0.138496180452748</v>
      </c>
      <c r="AT572">
        <v>2.822688434808206E-2</v>
      </c>
      <c r="AU572">
        <v>7.1287502411011894E-2</v>
      </c>
      <c r="AV572">
        <v>1.2819243347405491E-2</v>
      </c>
      <c r="AW572">
        <v>2.3721045508155889E-2</v>
      </c>
      <c r="AX572">
        <v>0.39733328327740491</v>
      </c>
      <c r="AY572">
        <v>8.3972662218129629E-2</v>
      </c>
      <c r="AZ572">
        <v>5.8132675837260117E-2</v>
      </c>
      <c r="BA572">
        <v>1.931080008699795E-2</v>
      </c>
      <c r="BD572" t="s">
        <v>1214</v>
      </c>
      <c r="BE572">
        <v>0.57409288566474448</v>
      </c>
      <c r="BF572">
        <v>38170</v>
      </c>
      <c r="BG572">
        <v>3876037.5994402771</v>
      </c>
      <c r="BH572">
        <v>9232.6744020562746</v>
      </c>
      <c r="BI572">
        <v>1110.756988329098</v>
      </c>
      <c r="BJ572">
        <v>47.257031784021521</v>
      </c>
      <c r="BK572">
        <v>9232.6744020562583</v>
      </c>
    </row>
    <row r="573" spans="1:63" x14ac:dyDescent="0.2">
      <c r="A573">
        <v>571</v>
      </c>
      <c r="B573" t="s">
        <v>69</v>
      </c>
      <c r="C573" t="s">
        <v>278</v>
      </c>
      <c r="D573" t="s">
        <v>144</v>
      </c>
      <c r="E573">
        <v>-154.873789449106</v>
      </c>
      <c r="F573">
        <v>19.5537282409346</v>
      </c>
      <c r="G573" t="s">
        <v>279</v>
      </c>
      <c r="H573" t="s">
        <v>1223</v>
      </c>
      <c r="I573" t="s">
        <v>1224</v>
      </c>
      <c r="J573" t="s">
        <v>68</v>
      </c>
      <c r="K573">
        <v>16.220840842968752</v>
      </c>
      <c r="L573">
        <v>14.406902225</v>
      </c>
      <c r="M573">
        <v>734.16528413134074</v>
      </c>
      <c r="N573">
        <v>14990.55046119798</v>
      </c>
      <c r="O573" t="s">
        <v>1225</v>
      </c>
      <c r="Q573">
        <v>11.989000000000001</v>
      </c>
      <c r="R573">
        <v>1325.0039999999999</v>
      </c>
      <c r="S573">
        <v>50</v>
      </c>
      <c r="T573">
        <v>103.5567794872146</v>
      </c>
      <c r="U573">
        <v>6.1281107800597026E-3</v>
      </c>
      <c r="V573">
        <v>0.33133875688326953</v>
      </c>
      <c r="W573">
        <v>3.5294039161369172E-3</v>
      </c>
      <c r="X573">
        <v>0</v>
      </c>
      <c r="Y573">
        <v>0</v>
      </c>
      <c r="Z573">
        <v>1.2847641294160621</v>
      </c>
      <c r="AA573">
        <v>4.7786761418230211E-2</v>
      </c>
      <c r="AB573">
        <v>5.061318593744037</v>
      </c>
      <c r="AC573">
        <v>0.16833045901559551</v>
      </c>
      <c r="AD573">
        <v>1295.8552101502271</v>
      </c>
      <c r="AE573">
        <v>50</v>
      </c>
      <c r="AF573">
        <v>88.102881464918781</v>
      </c>
    </row>
    <row r="574" spans="1:63" x14ac:dyDescent="0.2">
      <c r="A574">
        <v>572</v>
      </c>
      <c r="B574" t="s">
        <v>69</v>
      </c>
      <c r="C574" t="s">
        <v>177</v>
      </c>
      <c r="D574" t="s">
        <v>144</v>
      </c>
      <c r="E574">
        <v>-155.2086333</v>
      </c>
      <c r="F574">
        <v>19.347316670000001</v>
      </c>
      <c r="G574" t="s">
        <v>178</v>
      </c>
      <c r="H574" t="s">
        <v>1226</v>
      </c>
      <c r="I574" t="s">
        <v>1227</v>
      </c>
      <c r="J574" t="s">
        <v>68</v>
      </c>
      <c r="K574">
        <v>25.562395171875</v>
      </c>
      <c r="L574">
        <v>17.662844460937499</v>
      </c>
      <c r="M574">
        <v>1418.4435657431991</v>
      </c>
      <c r="N574">
        <v>40875.042023247202</v>
      </c>
      <c r="O574" t="s">
        <v>1228</v>
      </c>
      <c r="P574" t="s">
        <v>1213</v>
      </c>
      <c r="Q574">
        <v>6.0119999999999996</v>
      </c>
      <c r="R574">
        <v>1324.9639999999999</v>
      </c>
      <c r="S574">
        <v>50</v>
      </c>
      <c r="T574">
        <v>103.56270149232211</v>
      </c>
      <c r="U574">
        <v>7.8906088610411311E-3</v>
      </c>
      <c r="V574">
        <v>0.33388500577166269</v>
      </c>
      <c r="W574">
        <v>4.1283509010534561E-3</v>
      </c>
      <c r="X574">
        <v>0.36120656728488082</v>
      </c>
      <c r="Y574">
        <v>0</v>
      </c>
      <c r="Z574">
        <v>1.2793469014754211</v>
      </c>
      <c r="AA574">
        <v>4.9095851037241262E-2</v>
      </c>
      <c r="AB574">
        <v>5.0422327569409546</v>
      </c>
      <c r="AC574">
        <v>0.17301931038235671</v>
      </c>
      <c r="AD574">
        <v>1275.365786973935</v>
      </c>
      <c r="AE574">
        <v>50</v>
      </c>
      <c r="AF574">
        <v>87.22196147112129</v>
      </c>
      <c r="AG574">
        <v>2.1216818181818198</v>
      </c>
      <c r="AH574">
        <v>12.5470545454545</v>
      </c>
      <c r="AI574">
        <v>0.27337272727272699</v>
      </c>
      <c r="AJ574">
        <v>10.3521727272727</v>
      </c>
      <c r="AK574">
        <v>0.49205454545454502</v>
      </c>
      <c r="AL574">
        <v>2.5642454545454498</v>
      </c>
      <c r="AM574">
        <v>49.0749</v>
      </c>
      <c r="AN574">
        <v>9.1371454545454505</v>
      </c>
      <c r="AP574">
        <v>0.18198181818181799</v>
      </c>
      <c r="AQ574">
        <v>98.157727272727257</v>
      </c>
      <c r="AR574">
        <v>0.12055145638424999</v>
      </c>
      <c r="AS574">
        <v>0.28907753411026699</v>
      </c>
      <c r="AT574">
        <v>2.8655229571898099E-2</v>
      </c>
      <c r="AU574">
        <v>0.23406218443357801</v>
      </c>
      <c r="AV574">
        <v>5.2241982420968003E-2</v>
      </c>
      <c r="AW574">
        <v>6.6675218239408293E-2</v>
      </c>
      <c r="AX574">
        <v>0.92934608408278196</v>
      </c>
      <c r="AY574">
        <v>0.68994549402635696</v>
      </c>
      <c r="BA574">
        <v>4.8246177427477499E-2</v>
      </c>
      <c r="BE574">
        <v>1.2000537794693911</v>
      </c>
      <c r="BF574">
        <v>31280</v>
      </c>
      <c r="BG574">
        <v>783458.14519374445</v>
      </c>
      <c r="BH574">
        <v>3780.6947989016799</v>
      </c>
      <c r="BI574">
        <v>499.38209121511812</v>
      </c>
      <c r="BJ574">
        <v>21.376581141653521</v>
      </c>
      <c r="BK574">
        <v>3780.694798901678</v>
      </c>
    </row>
    <row r="575" spans="1:63" x14ac:dyDescent="0.2">
      <c r="A575">
        <v>573</v>
      </c>
      <c r="B575" t="s">
        <v>69</v>
      </c>
      <c r="C575" t="s">
        <v>143</v>
      </c>
      <c r="D575" t="s">
        <v>144</v>
      </c>
      <c r="E575">
        <v>-155.22516669999999</v>
      </c>
      <c r="F575">
        <v>19.371883329999999</v>
      </c>
      <c r="G575" t="s">
        <v>145</v>
      </c>
      <c r="H575" t="s">
        <v>1229</v>
      </c>
      <c r="I575" t="s">
        <v>1230</v>
      </c>
      <c r="J575" t="s">
        <v>68</v>
      </c>
      <c r="K575">
        <v>64.387876214062501</v>
      </c>
      <c r="L575">
        <v>56.193741360156253</v>
      </c>
      <c r="M575">
        <v>11366.896913197519</v>
      </c>
      <c r="N575">
        <v>913759.21106183389</v>
      </c>
      <c r="O575" t="s">
        <v>1231</v>
      </c>
      <c r="P575" t="s">
        <v>283</v>
      </c>
      <c r="Q575">
        <v>6.0720000000000001</v>
      </c>
      <c r="R575">
        <v>1324.9639999999999</v>
      </c>
      <c r="S575">
        <v>50</v>
      </c>
      <c r="T575">
        <v>103.5744619466536</v>
      </c>
      <c r="U575">
        <v>1.4793657928941731E-2</v>
      </c>
      <c r="V575">
        <v>0.33894957221673389</v>
      </c>
      <c r="W575">
        <v>6.7965385615590826E-3</v>
      </c>
      <c r="X575">
        <v>0.49358900950705931</v>
      </c>
      <c r="Y575">
        <v>0</v>
      </c>
      <c r="Z575">
        <v>1.3277628990411889</v>
      </c>
      <c r="AA575">
        <v>5.9619334353036041E-2</v>
      </c>
      <c r="AB575">
        <v>5.2123223540431773</v>
      </c>
      <c r="AC575">
        <v>0.2086279944061929</v>
      </c>
      <c r="AD575">
        <v>1299.4682930579461</v>
      </c>
      <c r="AE575">
        <v>50</v>
      </c>
      <c r="AF575">
        <v>88.250324559925062</v>
      </c>
      <c r="AG575">
        <v>2.1961249999999999</v>
      </c>
      <c r="AH575">
        <v>13.214425</v>
      </c>
      <c r="AI575">
        <v>0.23326250000000001</v>
      </c>
      <c r="AJ575">
        <v>10.8680875</v>
      </c>
      <c r="AK575">
        <v>0.46184999999999998</v>
      </c>
      <c r="AL575">
        <v>2.5506250000000001</v>
      </c>
      <c r="AM575">
        <v>49.975887499999999</v>
      </c>
      <c r="AN575">
        <v>7.4385374999999998</v>
      </c>
      <c r="AP575">
        <v>0.2354</v>
      </c>
      <c r="AQ575">
        <v>98.48666249999998</v>
      </c>
      <c r="AR575">
        <v>5.6378814410075299E-2</v>
      </c>
      <c r="AS575">
        <v>0.24941022862516499</v>
      </c>
      <c r="AT575">
        <v>1.4003870638403601E-2</v>
      </c>
      <c r="AU575">
        <v>0.27584699401505702</v>
      </c>
      <c r="AV575">
        <v>3.1668731762237799E-2</v>
      </c>
      <c r="AW575">
        <v>4.2427543277585897E-2</v>
      </c>
      <c r="AX575">
        <v>0.67605985245919198</v>
      </c>
      <c r="AY575">
        <v>0.10614118545597701</v>
      </c>
      <c r="BA575">
        <v>4.3851209463691802E-2</v>
      </c>
      <c r="BE575">
        <v>0.96151788340201594</v>
      </c>
      <c r="BF575">
        <v>29940</v>
      </c>
      <c r="BG575">
        <v>3011371.648166969</v>
      </c>
      <c r="BH575">
        <v>9341.8645118181157</v>
      </c>
      <c r="BI575">
        <v>979.05534398476277</v>
      </c>
      <c r="BJ575">
        <v>53.989296224212772</v>
      </c>
      <c r="BK575">
        <v>9341.8645118181157</v>
      </c>
    </row>
    <row r="576" spans="1:63" x14ac:dyDescent="0.2">
      <c r="A576">
        <v>574</v>
      </c>
      <c r="B576" t="s">
        <v>69</v>
      </c>
      <c r="C576" t="s">
        <v>76</v>
      </c>
      <c r="D576" t="s">
        <v>71</v>
      </c>
      <c r="E576">
        <v>-155.29812000000001</v>
      </c>
      <c r="F576">
        <v>19.375624999999999</v>
      </c>
      <c r="G576" t="s">
        <v>77</v>
      </c>
      <c r="H576" t="s">
        <v>1211</v>
      </c>
      <c r="I576" t="s">
        <v>1232</v>
      </c>
      <c r="J576" t="s">
        <v>85</v>
      </c>
      <c r="K576">
        <v>36.257851015624993</v>
      </c>
      <c r="L576">
        <v>28.406884314062498</v>
      </c>
      <c r="M576">
        <v>3235.7542884567251</v>
      </c>
      <c r="N576">
        <v>139492.79643663691</v>
      </c>
      <c r="O576" t="s">
        <v>1219</v>
      </c>
      <c r="P576" t="s">
        <v>1213</v>
      </c>
      <c r="Q576">
        <v>6.0119999999999996</v>
      </c>
      <c r="R576">
        <v>1324.9639999999999</v>
      </c>
      <c r="S576">
        <v>50</v>
      </c>
      <c r="T576">
        <v>103.59292130705759</v>
      </c>
      <c r="U576">
        <v>1.2288419075355829E-2</v>
      </c>
      <c r="V576">
        <v>0.34692066340539901</v>
      </c>
      <c r="W576">
        <v>5.8112273068255246E-3</v>
      </c>
      <c r="X576">
        <v>2.3888133677344721</v>
      </c>
      <c r="Y576">
        <v>0</v>
      </c>
      <c r="Z576">
        <v>1.341648768229589</v>
      </c>
      <c r="AA576">
        <v>5.6219711306925643E-2</v>
      </c>
      <c r="AB576">
        <v>5.2609050299895346</v>
      </c>
      <c r="AC576">
        <v>0.1964518011411607</v>
      </c>
      <c r="AD576">
        <v>1269.7980005119589</v>
      </c>
      <c r="AE576">
        <v>50</v>
      </c>
      <c r="AF576">
        <v>86.967915316031423</v>
      </c>
      <c r="AG576">
        <v>2.5039199999999999</v>
      </c>
      <c r="AH576">
        <v>14.096819999999999</v>
      </c>
      <c r="AI576">
        <v>0.27322000000000002</v>
      </c>
      <c r="AJ576">
        <v>10.95044</v>
      </c>
      <c r="AK576">
        <v>0.52094000000000007</v>
      </c>
      <c r="AL576">
        <v>2.9191400000000001</v>
      </c>
      <c r="AM576">
        <v>50.91704</v>
      </c>
      <c r="AN576">
        <v>6.4346599999999992</v>
      </c>
      <c r="AO576">
        <v>10.86684</v>
      </c>
      <c r="AP576">
        <v>0.19492000000000001</v>
      </c>
      <c r="AQ576">
        <v>99.70778</v>
      </c>
      <c r="AR576">
        <v>5.8797253337209539E-2</v>
      </c>
      <c r="AS576">
        <v>0.138496180452748</v>
      </c>
      <c r="AT576">
        <v>2.822688434808206E-2</v>
      </c>
      <c r="AU576">
        <v>7.1287502411011894E-2</v>
      </c>
      <c r="AV576">
        <v>1.2819243347405491E-2</v>
      </c>
      <c r="AW576">
        <v>2.3721045508155889E-2</v>
      </c>
      <c r="AX576">
        <v>0.39733328327740491</v>
      </c>
      <c r="AY576">
        <v>8.3972662218129629E-2</v>
      </c>
      <c r="AZ576">
        <v>5.8132675837260117E-2</v>
      </c>
      <c r="BA576">
        <v>1.931080008699795E-2</v>
      </c>
      <c r="BD576" t="s">
        <v>1214</v>
      </c>
      <c r="BE576">
        <v>0.57409288566474448</v>
      </c>
      <c r="BF576">
        <v>38170</v>
      </c>
      <c r="BG576">
        <v>3876037.5994402771</v>
      </c>
      <c r="BH576">
        <v>9232.6744020562746</v>
      </c>
      <c r="BI576">
        <v>1110.756988329098</v>
      </c>
      <c r="BJ576">
        <v>47.257031784021521</v>
      </c>
      <c r="BK576">
        <v>9232.6744020562583</v>
      </c>
    </row>
    <row r="577" spans="1:63" x14ac:dyDescent="0.2">
      <c r="A577">
        <v>575</v>
      </c>
      <c r="B577" t="s">
        <v>69</v>
      </c>
      <c r="C577" t="s">
        <v>177</v>
      </c>
      <c r="D577" t="s">
        <v>144</v>
      </c>
      <c r="E577">
        <v>-155.2086333</v>
      </c>
      <c r="F577">
        <v>19.347316670000001</v>
      </c>
      <c r="G577" t="s">
        <v>178</v>
      </c>
      <c r="H577" t="s">
        <v>1233</v>
      </c>
      <c r="I577" t="s">
        <v>1234</v>
      </c>
      <c r="J577" t="s">
        <v>68</v>
      </c>
      <c r="K577">
        <v>7.2187353164062502</v>
      </c>
      <c r="L577">
        <v>4.8257403953124998</v>
      </c>
      <c r="M577">
        <v>109.4397130956109</v>
      </c>
      <c r="N577">
        <v>878.76264418503547</v>
      </c>
      <c r="Q577">
        <v>10</v>
      </c>
      <c r="R577">
        <v>1324.9639999999999</v>
      </c>
      <c r="S577">
        <v>100</v>
      </c>
      <c r="T577">
        <v>103.59775436586099</v>
      </c>
      <c r="U577">
        <v>1.9883166187291971E-2</v>
      </c>
      <c r="V577">
        <v>0.34901208898554609</v>
      </c>
      <c r="W577">
        <v>8.9227492406388515E-3</v>
      </c>
      <c r="X577">
        <v>1.124817117396629</v>
      </c>
      <c r="Y577">
        <v>0</v>
      </c>
      <c r="Z577">
        <v>1.368560028478738</v>
      </c>
      <c r="AA577">
        <v>7.0517441129567107E-2</v>
      </c>
      <c r="AB577">
        <v>5.3548132237363939</v>
      </c>
      <c r="AC577">
        <v>0.24567416219829061</v>
      </c>
      <c r="AD577">
        <v>1286.272111242027</v>
      </c>
      <c r="AE577">
        <v>50</v>
      </c>
      <c r="AF577">
        <v>87.70079396533265</v>
      </c>
      <c r="AG577">
        <v>2.1216818181818198</v>
      </c>
      <c r="AH577">
        <v>12.5470545454545</v>
      </c>
      <c r="AI577">
        <v>0.27337272727272699</v>
      </c>
      <c r="AJ577">
        <v>10.3521727272727</v>
      </c>
      <c r="AK577">
        <v>0.49205454545454502</v>
      </c>
      <c r="AL577">
        <v>2.5642454545454498</v>
      </c>
      <c r="AM577">
        <v>49.0749</v>
      </c>
      <c r="AN577">
        <v>9.1371454545454505</v>
      </c>
      <c r="AP577">
        <v>0.18198181818181799</v>
      </c>
      <c r="AQ577">
        <v>98.157727272727257</v>
      </c>
      <c r="AR577">
        <v>0.12055145638424999</v>
      </c>
      <c r="AS577">
        <v>0.28907753411026699</v>
      </c>
      <c r="AT577">
        <v>2.8655229571898099E-2</v>
      </c>
      <c r="AU577">
        <v>0.23406218443357801</v>
      </c>
      <c r="AV577">
        <v>5.2241982420968003E-2</v>
      </c>
      <c r="AW577">
        <v>6.6675218239408293E-2</v>
      </c>
      <c r="AX577">
        <v>0.92934608408278196</v>
      </c>
      <c r="AY577">
        <v>0.68994549402635696</v>
      </c>
      <c r="BA577">
        <v>4.8246177427477499E-2</v>
      </c>
    </row>
    <row r="578" spans="1:63" x14ac:dyDescent="0.2">
      <c r="A578">
        <v>576</v>
      </c>
      <c r="B578" t="s">
        <v>69</v>
      </c>
      <c r="C578" t="s">
        <v>278</v>
      </c>
      <c r="D578" t="s">
        <v>144</v>
      </c>
      <c r="E578">
        <v>-154.873789449106</v>
      </c>
      <c r="F578">
        <v>19.5537282409346</v>
      </c>
      <c r="G578" t="s">
        <v>279</v>
      </c>
      <c r="H578" t="s">
        <v>1235</v>
      </c>
      <c r="I578" t="s">
        <v>1236</v>
      </c>
      <c r="J578" t="s">
        <v>68</v>
      </c>
      <c r="K578">
        <v>24.56677166875</v>
      </c>
      <c r="L578">
        <v>24.078432636718748</v>
      </c>
      <c r="M578">
        <v>1858.3442814782741</v>
      </c>
      <c r="N578">
        <v>60266.358161606753</v>
      </c>
      <c r="O578" t="s">
        <v>1237</v>
      </c>
      <c r="P578" t="s">
        <v>1213</v>
      </c>
      <c r="Q578">
        <v>8.9945000000000004</v>
      </c>
      <c r="R578">
        <v>1325.0039999999999</v>
      </c>
      <c r="S578">
        <v>50</v>
      </c>
      <c r="T578">
        <v>103.6216621230824</v>
      </c>
      <c r="U578">
        <v>8.0763683855402009E-3</v>
      </c>
      <c r="V578">
        <v>0.35938519565388571</v>
      </c>
      <c r="W578">
        <v>4.2289978164116327E-3</v>
      </c>
      <c r="X578">
        <v>1.093932263935707</v>
      </c>
      <c r="Y578">
        <v>0</v>
      </c>
      <c r="Z578">
        <v>1.446587183689291</v>
      </c>
      <c r="AA578">
        <v>5.0662368487911787E-2</v>
      </c>
      <c r="AB578">
        <v>5.6253203907439309</v>
      </c>
      <c r="AC578">
        <v>0.17482859841263959</v>
      </c>
      <c r="AD578">
        <v>1308.2678009546451</v>
      </c>
      <c r="AE578">
        <v>50</v>
      </c>
      <c r="AF578">
        <v>88.600580443456721</v>
      </c>
    </row>
    <row r="579" spans="1:63" x14ac:dyDescent="0.2">
      <c r="A579">
        <v>577</v>
      </c>
      <c r="B579" t="s">
        <v>69</v>
      </c>
      <c r="C579" t="s">
        <v>143</v>
      </c>
      <c r="D579" t="s">
        <v>144</v>
      </c>
      <c r="E579">
        <v>-155.22516669999999</v>
      </c>
      <c r="F579">
        <v>19.371883329999999</v>
      </c>
      <c r="G579" t="s">
        <v>145</v>
      </c>
      <c r="H579" t="s">
        <v>1229</v>
      </c>
      <c r="I579" t="s">
        <v>1238</v>
      </c>
      <c r="J579" t="s">
        <v>68</v>
      </c>
      <c r="K579">
        <v>34.833746769531253</v>
      </c>
      <c r="L579">
        <v>28.261248515624999</v>
      </c>
      <c r="M579">
        <v>3092.7257270786049</v>
      </c>
      <c r="N579">
        <v>130090.34344553731</v>
      </c>
      <c r="O579" t="s">
        <v>1231</v>
      </c>
      <c r="P579" t="s">
        <v>283</v>
      </c>
      <c r="Q579">
        <v>6.01</v>
      </c>
      <c r="R579">
        <v>1324.9639999999999</v>
      </c>
      <c r="S579">
        <v>50</v>
      </c>
      <c r="T579">
        <v>103.6366697890884</v>
      </c>
      <c r="U579">
        <v>2.0490494601012009E-2</v>
      </c>
      <c r="V579">
        <v>0.36592020708667411</v>
      </c>
      <c r="W579">
        <v>9.2386970717314616E-3</v>
      </c>
      <c r="X579">
        <v>0.47504189092524163</v>
      </c>
      <c r="Y579">
        <v>0</v>
      </c>
      <c r="Z579">
        <v>1.473918033824438</v>
      </c>
      <c r="AA579">
        <v>7.4091763408941927E-2</v>
      </c>
      <c r="AB579">
        <v>5.7194746078807102</v>
      </c>
      <c r="AC579">
        <v>0.25464545730690441</v>
      </c>
      <c r="AD579">
        <v>1299.4682930579461</v>
      </c>
      <c r="AE579">
        <v>50</v>
      </c>
      <c r="AF579">
        <v>88.250324559925062</v>
      </c>
      <c r="AG579">
        <v>2.1961249999999999</v>
      </c>
      <c r="AH579">
        <v>13.214425</v>
      </c>
      <c r="AI579">
        <v>0.23326250000000001</v>
      </c>
      <c r="AJ579">
        <v>10.8680875</v>
      </c>
      <c r="AK579">
        <v>0.46184999999999998</v>
      </c>
      <c r="AL579">
        <v>2.5506250000000001</v>
      </c>
      <c r="AM579">
        <v>49.975887499999999</v>
      </c>
      <c r="AN579">
        <v>7.4385374999999998</v>
      </c>
      <c r="AP579">
        <v>0.2354</v>
      </c>
      <c r="AQ579">
        <v>98.48666249999998</v>
      </c>
      <c r="AR579">
        <v>5.6378814410075299E-2</v>
      </c>
      <c r="AS579">
        <v>0.24941022862516499</v>
      </c>
      <c r="AT579">
        <v>1.4003870638403601E-2</v>
      </c>
      <c r="AU579">
        <v>0.27584699401505702</v>
      </c>
      <c r="AV579">
        <v>3.1668731762237799E-2</v>
      </c>
      <c r="AW579">
        <v>4.2427543277585897E-2</v>
      </c>
      <c r="AX579">
        <v>0.67605985245919198</v>
      </c>
      <c r="AY579">
        <v>0.10614118545597701</v>
      </c>
      <c r="BA579">
        <v>4.3851209463691802E-2</v>
      </c>
      <c r="BE579">
        <v>0.96151788340201594</v>
      </c>
      <c r="BF579">
        <v>29940</v>
      </c>
      <c r="BG579">
        <v>3011371.648166969</v>
      </c>
      <c r="BH579">
        <v>9341.8645118181157</v>
      </c>
      <c r="BI579">
        <v>979.05534398476277</v>
      </c>
      <c r="BJ579">
        <v>53.989296224212772</v>
      </c>
      <c r="BK579">
        <v>9341.8645118181157</v>
      </c>
    </row>
    <row r="580" spans="1:63" x14ac:dyDescent="0.2">
      <c r="A580">
        <v>578</v>
      </c>
      <c r="B580" t="s">
        <v>69</v>
      </c>
      <c r="C580" t="s">
        <v>70</v>
      </c>
      <c r="D580" t="s">
        <v>71</v>
      </c>
      <c r="E580">
        <v>-155.29347999999999</v>
      </c>
      <c r="F580">
        <v>19.377479999999998</v>
      </c>
      <c r="G580" t="s">
        <v>1200</v>
      </c>
      <c r="H580" t="s">
        <v>1201</v>
      </c>
      <c r="I580" t="s">
        <v>1239</v>
      </c>
      <c r="J580" t="s">
        <v>68</v>
      </c>
      <c r="K580">
        <v>16.957853291406249</v>
      </c>
      <c r="L580">
        <v>15.27740446953125</v>
      </c>
      <c r="M580">
        <v>813.8986406416484</v>
      </c>
      <c r="N580">
        <v>17490.821648240111</v>
      </c>
      <c r="O580" t="s">
        <v>1240</v>
      </c>
      <c r="P580" t="s">
        <v>283</v>
      </c>
      <c r="Q580">
        <v>6.0259999999999998</v>
      </c>
      <c r="R580">
        <v>1324.9639999999999</v>
      </c>
      <c r="S580">
        <v>50</v>
      </c>
      <c r="T580">
        <v>103.6622934513526</v>
      </c>
      <c r="U580">
        <v>4.8138943508378596E-3</v>
      </c>
      <c r="V580">
        <v>0.37712078499316698</v>
      </c>
      <c r="W580">
        <v>3.156671443864703E-3</v>
      </c>
      <c r="X580">
        <v>0</v>
      </c>
      <c r="Y580">
        <v>0</v>
      </c>
      <c r="Z580">
        <v>1.543060572441596</v>
      </c>
      <c r="AA580">
        <v>5.6145838241148292E-2</v>
      </c>
      <c r="AB580">
        <v>5.9563652192777274</v>
      </c>
      <c r="AC580">
        <v>0.19163209000977949</v>
      </c>
      <c r="AD580">
        <v>1304.946003717962</v>
      </c>
      <c r="AE580">
        <v>50</v>
      </c>
      <c r="AF580">
        <v>88.469787879829468</v>
      </c>
      <c r="AG580">
        <v>2.09778181818182</v>
      </c>
      <c r="AH580">
        <v>12.7813454545455</v>
      </c>
      <c r="AI580">
        <v>0.22330909090909101</v>
      </c>
      <c r="AJ580">
        <v>10.434745454545499</v>
      </c>
      <c r="AK580">
        <v>0.39159090909090899</v>
      </c>
      <c r="AL580">
        <v>2.20926363636364</v>
      </c>
      <c r="AM580">
        <v>49.627472727272703</v>
      </c>
      <c r="AN580">
        <v>8.5483636363636393</v>
      </c>
      <c r="AP580">
        <v>0.184054545454545</v>
      </c>
      <c r="AQ580">
        <v>97.738981818181841</v>
      </c>
      <c r="AR580">
        <v>0.23290595448885301</v>
      </c>
      <c r="AS580">
        <v>0.201025209183507</v>
      </c>
      <c r="AT580">
        <v>2.64811047558615E-2</v>
      </c>
      <c r="AU580">
        <v>0.24469090446371899</v>
      </c>
      <c r="AV580">
        <v>0.102489350222796</v>
      </c>
      <c r="AW580">
        <v>0.57551727388971996</v>
      </c>
      <c r="AX580">
        <v>0.69240001168530996</v>
      </c>
      <c r="AY580">
        <v>0.34531358001887902</v>
      </c>
      <c r="BA580">
        <v>5.2833651466397097E-2</v>
      </c>
      <c r="BE580">
        <v>1.352978030666198</v>
      </c>
      <c r="BF580">
        <v>10308</v>
      </c>
      <c r="BG580">
        <v>3338785.7340126261</v>
      </c>
      <c r="BH580">
        <v>12975.419788965821</v>
      </c>
      <c r="BI580">
        <v>1030.90664319599</v>
      </c>
      <c r="BJ580">
        <v>127.80098832706049</v>
      </c>
      <c r="BK580">
        <v>12975.41978896581</v>
      </c>
    </row>
    <row r="581" spans="1:63" x14ac:dyDescent="0.2">
      <c r="A581">
        <v>579</v>
      </c>
      <c r="B581" t="s">
        <v>69</v>
      </c>
      <c r="C581" t="s">
        <v>143</v>
      </c>
      <c r="D581" t="s">
        <v>144</v>
      </c>
      <c r="E581">
        <v>-155.22516669999999</v>
      </c>
      <c r="F581">
        <v>19.371883329999999</v>
      </c>
      <c r="G581" t="s">
        <v>145</v>
      </c>
      <c r="H581" t="s">
        <v>1229</v>
      </c>
      <c r="I581" t="s">
        <v>1241</v>
      </c>
      <c r="J581" t="s">
        <v>68</v>
      </c>
      <c r="O581" t="s">
        <v>296</v>
      </c>
      <c r="P581" t="s">
        <v>283</v>
      </c>
      <c r="Q581">
        <v>6</v>
      </c>
      <c r="R581">
        <v>1324.9639999999999</v>
      </c>
      <c r="S581">
        <v>50</v>
      </c>
      <c r="T581">
        <v>103.6701053499433</v>
      </c>
      <c r="U581">
        <v>1.052973505641637E-2</v>
      </c>
      <c r="V581">
        <v>0.38054639590154687</v>
      </c>
      <c r="W581">
        <v>5.1834041390213213E-3</v>
      </c>
      <c r="X581">
        <v>0.62987064803744053</v>
      </c>
      <c r="Y581">
        <v>0</v>
      </c>
      <c r="Z581">
        <v>1.5567953489286299</v>
      </c>
      <c r="AA581">
        <v>6.3691287866506199E-2</v>
      </c>
      <c r="AB581">
        <v>6.003208258981263</v>
      </c>
      <c r="AC581">
        <v>0.21695346119003889</v>
      </c>
      <c r="AD581">
        <v>1299.4682930579461</v>
      </c>
      <c r="AE581">
        <v>50</v>
      </c>
      <c r="AF581">
        <v>88.250324559925062</v>
      </c>
      <c r="AG581">
        <v>2.1961249999999999</v>
      </c>
      <c r="AH581">
        <v>13.214425</v>
      </c>
      <c r="AI581">
        <v>0.23326250000000001</v>
      </c>
      <c r="AJ581">
        <v>10.8680875</v>
      </c>
      <c r="AK581">
        <v>0.46184999999999998</v>
      </c>
      <c r="AL581">
        <v>2.5506250000000001</v>
      </c>
      <c r="AM581">
        <v>49.975887499999999</v>
      </c>
      <c r="AN581">
        <v>7.4385374999999998</v>
      </c>
      <c r="AP581">
        <v>0.2354</v>
      </c>
      <c r="AQ581">
        <v>98.48666249999998</v>
      </c>
      <c r="AR581">
        <v>5.6378814410075299E-2</v>
      </c>
      <c r="AS581">
        <v>0.24941022862516499</v>
      </c>
      <c r="AT581">
        <v>1.4003870638403601E-2</v>
      </c>
      <c r="AU581">
        <v>0.27584699401505702</v>
      </c>
      <c r="AV581">
        <v>3.1668731762237799E-2</v>
      </c>
      <c r="AW581">
        <v>4.2427543277585897E-2</v>
      </c>
      <c r="AX581">
        <v>0.67605985245919198</v>
      </c>
      <c r="AY581">
        <v>0.10614118545597701</v>
      </c>
      <c r="BA581">
        <v>4.3851209463691802E-2</v>
      </c>
      <c r="BE581">
        <v>0.96151788340201594</v>
      </c>
      <c r="BF581">
        <v>29940</v>
      </c>
      <c r="BG581">
        <v>3011371.648166969</v>
      </c>
      <c r="BH581">
        <v>9341.8645118181157</v>
      </c>
      <c r="BI581">
        <v>979.05534398476277</v>
      </c>
      <c r="BJ581">
        <v>53.989296224212772</v>
      </c>
      <c r="BK581">
        <v>9341.8645118181157</v>
      </c>
    </row>
    <row r="582" spans="1:63" x14ac:dyDescent="0.2">
      <c r="A582">
        <v>580</v>
      </c>
      <c r="B582" t="s">
        <v>69</v>
      </c>
      <c r="C582" t="s">
        <v>278</v>
      </c>
      <c r="D582" t="s">
        <v>144</v>
      </c>
      <c r="E582">
        <v>-154.873789449106</v>
      </c>
      <c r="F582">
        <v>19.5537282409346</v>
      </c>
      <c r="G582" t="s">
        <v>279</v>
      </c>
      <c r="H582" t="s">
        <v>1235</v>
      </c>
      <c r="I582" t="s">
        <v>1242</v>
      </c>
      <c r="J582" t="s">
        <v>68</v>
      </c>
      <c r="K582">
        <v>42.84987585703125</v>
      </c>
      <c r="L582">
        <v>36.796691846874999</v>
      </c>
      <c r="M582">
        <v>4953.4549381781653</v>
      </c>
      <c r="N582">
        <v>263017.12273457058</v>
      </c>
      <c r="O582" t="s">
        <v>1243</v>
      </c>
      <c r="P582" t="s">
        <v>1213</v>
      </c>
      <c r="Q582">
        <v>5.9950000000000001</v>
      </c>
      <c r="R582">
        <v>1325.0039999999999</v>
      </c>
      <c r="S582">
        <v>50</v>
      </c>
      <c r="T582">
        <v>103.67720760928989</v>
      </c>
      <c r="U582">
        <v>6.0679101643104742E-3</v>
      </c>
      <c r="V582">
        <v>0.38366528627375368</v>
      </c>
      <c r="W582">
        <v>3.553202477474645E-3</v>
      </c>
      <c r="X582">
        <v>2.3999254487127928</v>
      </c>
      <c r="Y582">
        <v>0</v>
      </c>
      <c r="Z582">
        <v>1.579519532949424</v>
      </c>
      <c r="AA582">
        <v>5.8089314404915847E-2</v>
      </c>
      <c r="AB582">
        <v>6.0805603202064589</v>
      </c>
      <c r="AC582">
        <v>0.1975320727416785</v>
      </c>
      <c r="AD582">
        <v>1303.721560836809</v>
      </c>
      <c r="AE582">
        <v>50</v>
      </c>
      <c r="AF582">
        <v>88.421145690759616</v>
      </c>
    </row>
    <row r="583" spans="1:63" x14ac:dyDescent="0.2">
      <c r="A583">
        <v>581</v>
      </c>
      <c r="B583" t="s">
        <v>69</v>
      </c>
      <c r="C583" t="s">
        <v>70</v>
      </c>
      <c r="D583" t="s">
        <v>71</v>
      </c>
      <c r="E583">
        <v>-155.29347999999999</v>
      </c>
      <c r="F583">
        <v>19.377479999999998</v>
      </c>
      <c r="G583" t="s">
        <v>112</v>
      </c>
      <c r="H583" t="s">
        <v>1244</v>
      </c>
      <c r="I583" t="s">
        <v>1245</v>
      </c>
      <c r="J583" t="s">
        <v>68</v>
      </c>
      <c r="K583">
        <v>23.955519742187501</v>
      </c>
      <c r="L583">
        <v>23.715621667187499</v>
      </c>
      <c r="M583">
        <v>1784.801753592189</v>
      </c>
      <c r="N583">
        <v>56722.357855462476</v>
      </c>
      <c r="P583" t="s">
        <v>1213</v>
      </c>
      <c r="Q583">
        <v>8.9845000000000006</v>
      </c>
      <c r="R583">
        <v>1324.9639999999999</v>
      </c>
      <c r="S583">
        <v>50</v>
      </c>
      <c r="T583">
        <v>103.69041511463099</v>
      </c>
      <c r="U583">
        <v>3.9243579355589427E-3</v>
      </c>
      <c r="V583">
        <v>0.38952862659516541</v>
      </c>
      <c r="W583">
        <v>2.9163524745473182E-3</v>
      </c>
      <c r="X583">
        <v>0.57737826203667175</v>
      </c>
      <c r="Y583">
        <v>0</v>
      </c>
      <c r="Z583">
        <v>1.6289685881042251</v>
      </c>
      <c r="AA583">
        <v>0.13134083516944581</v>
      </c>
      <c r="AB583">
        <v>6.2482585564097963</v>
      </c>
      <c r="AC583">
        <v>0.44424704742474591</v>
      </c>
      <c r="AD583">
        <v>1317.1028979257339</v>
      </c>
      <c r="AE583">
        <v>50</v>
      </c>
      <c r="AF583">
        <v>88.94048217382236</v>
      </c>
      <c r="AG583">
        <v>2.1280100000000002</v>
      </c>
      <c r="AH583">
        <v>12.511455</v>
      </c>
      <c r="AI583">
        <v>0.21128</v>
      </c>
      <c r="AJ583">
        <v>10.547185000000001</v>
      </c>
      <c r="AK583">
        <v>0.43435000000000001</v>
      </c>
      <c r="AL583">
        <v>2.4173399999999998</v>
      </c>
      <c r="AM583">
        <v>50.003889999999998</v>
      </c>
      <c r="AN583">
        <v>8.5805450000000008</v>
      </c>
      <c r="AO583">
        <v>11.0444</v>
      </c>
      <c r="AP583">
        <v>0.37786999999999998</v>
      </c>
      <c r="AQ583">
        <v>98.290260000000004</v>
      </c>
      <c r="AR583">
        <v>4.7093422517846893E-2</v>
      </c>
      <c r="AS583">
        <v>0.17423154844121161</v>
      </c>
      <c r="AT583">
        <v>2.1925114974993089E-2</v>
      </c>
      <c r="AU583">
        <v>0.1853741817244248</v>
      </c>
      <c r="AV583">
        <v>1.0520403456564249E-2</v>
      </c>
      <c r="AW583">
        <v>3.5166562401109248E-2</v>
      </c>
      <c r="AX583">
        <v>0.46106226248619608</v>
      </c>
      <c r="AY583">
        <v>0.4051107053427907</v>
      </c>
      <c r="AZ583">
        <v>0.14841023100402101</v>
      </c>
      <c r="BA583">
        <v>1.7068639208924791E-2</v>
      </c>
      <c r="BD583" t="s">
        <v>1246</v>
      </c>
      <c r="BE583">
        <v>0.63592189179371061</v>
      </c>
      <c r="BF583">
        <v>37809</v>
      </c>
      <c r="BG583">
        <v>1551936.2774120569</v>
      </c>
      <c r="BH583">
        <v>6118.6787996239609</v>
      </c>
      <c r="BI583">
        <v>702.84895946962013</v>
      </c>
      <c r="BJ583">
        <v>31.467341981615981</v>
      </c>
      <c r="BK583">
        <v>6118.6787996239691</v>
      </c>
    </row>
    <row r="584" spans="1:63" x14ac:dyDescent="0.2">
      <c r="A584">
        <v>582</v>
      </c>
      <c r="B584" t="s">
        <v>69</v>
      </c>
      <c r="C584" t="s">
        <v>177</v>
      </c>
      <c r="D584" t="s">
        <v>144</v>
      </c>
      <c r="E584">
        <v>-155.2086333</v>
      </c>
      <c r="F584">
        <v>19.347316670000001</v>
      </c>
      <c r="G584" t="s">
        <v>178</v>
      </c>
      <c r="H584" t="s">
        <v>275</v>
      </c>
      <c r="I584" t="s">
        <v>1247</v>
      </c>
      <c r="J584" t="s">
        <v>68</v>
      </c>
      <c r="K584">
        <v>37.535331510937503</v>
      </c>
      <c r="L584">
        <v>35.861159092187492</v>
      </c>
      <c r="M584">
        <v>4228.7737620392936</v>
      </c>
      <c r="N584">
        <v>206918.10245883901</v>
      </c>
      <c r="O584" t="s">
        <v>1248</v>
      </c>
      <c r="P584" t="s">
        <v>1213</v>
      </c>
      <c r="Q584">
        <v>6.0019999999999998</v>
      </c>
      <c r="R584">
        <v>1324.9639999999999</v>
      </c>
      <c r="S584">
        <v>50</v>
      </c>
      <c r="T584">
        <v>103.69530061562379</v>
      </c>
      <c r="U584">
        <v>5.8139478298031202E-3</v>
      </c>
      <c r="V584">
        <v>0.3916300510372821</v>
      </c>
      <c r="W584">
        <v>3.4768895202601409E-3</v>
      </c>
      <c r="X584">
        <v>0</v>
      </c>
      <c r="Y584">
        <v>0</v>
      </c>
      <c r="Z584">
        <v>1.603026326139237</v>
      </c>
      <c r="AA584">
        <v>0.1167637698375288</v>
      </c>
      <c r="AB584">
        <v>6.1603843962734599</v>
      </c>
      <c r="AC584">
        <v>0.39635626659887663</v>
      </c>
      <c r="AD584">
        <v>1283.3867389732591</v>
      </c>
      <c r="AE584">
        <v>100</v>
      </c>
      <c r="AG584">
        <v>2.1216818181818198</v>
      </c>
      <c r="AH584">
        <v>12.5470545454545</v>
      </c>
      <c r="AI584">
        <v>0.27337272727272699</v>
      </c>
      <c r="AJ584">
        <v>10.3521727272727</v>
      </c>
      <c r="AK584">
        <v>0.49205454545454502</v>
      </c>
      <c r="AL584">
        <v>2.5642454545454498</v>
      </c>
      <c r="AM584">
        <v>49.0749</v>
      </c>
      <c r="AN584">
        <v>9.1371454545454505</v>
      </c>
      <c r="AP584">
        <v>0.18198181818181799</v>
      </c>
      <c r="AQ584">
        <v>98.157727272727257</v>
      </c>
      <c r="AR584">
        <v>0.12055145638424999</v>
      </c>
      <c r="AS584">
        <v>0.28907753411026699</v>
      </c>
      <c r="AT584">
        <v>2.8655229571898099E-2</v>
      </c>
      <c r="AU584">
        <v>0.23406218443357801</v>
      </c>
      <c r="AV584">
        <v>5.2241982420968003E-2</v>
      </c>
      <c r="AW584">
        <v>6.6675218239408293E-2</v>
      </c>
      <c r="AX584">
        <v>0.92934608408278196</v>
      </c>
      <c r="AY584">
        <v>0.68994549402635696</v>
      </c>
      <c r="BA584">
        <v>4.8246177427477499E-2</v>
      </c>
      <c r="BE584">
        <v>1.3429178010011591</v>
      </c>
      <c r="BF584">
        <v>46052</v>
      </c>
      <c r="BG584">
        <v>4616395.5157231241</v>
      </c>
      <c r="BH584">
        <v>14753.18791037255</v>
      </c>
      <c r="BI584">
        <v>1212.2063896833699</v>
      </c>
      <c r="BJ584">
        <v>68.748246587206111</v>
      </c>
      <c r="BK584">
        <v>14753.18791037253</v>
      </c>
    </row>
    <row r="585" spans="1:63" x14ac:dyDescent="0.2">
      <c r="A585">
        <v>583</v>
      </c>
      <c r="B585" t="s">
        <v>69</v>
      </c>
      <c r="C585" t="s">
        <v>70</v>
      </c>
      <c r="D585" t="s">
        <v>71</v>
      </c>
      <c r="E585">
        <v>-155.29347999999999</v>
      </c>
      <c r="F585">
        <v>19.377479999999998</v>
      </c>
      <c r="G585" t="s">
        <v>112</v>
      </c>
      <c r="H585" t="s">
        <v>1249</v>
      </c>
      <c r="I585" t="s">
        <v>1250</v>
      </c>
      <c r="J585" t="s">
        <v>68</v>
      </c>
      <c r="K585">
        <v>71.809722909375012</v>
      </c>
      <c r="L585">
        <v>51.386074681250001</v>
      </c>
      <c r="M585">
        <v>11592.53904583539</v>
      </c>
      <c r="N585">
        <v>952101.39590143599</v>
      </c>
      <c r="O585" t="s">
        <v>1251</v>
      </c>
      <c r="P585" t="s">
        <v>1213</v>
      </c>
      <c r="Q585">
        <v>12.064</v>
      </c>
      <c r="R585">
        <v>1324.9639999999999</v>
      </c>
      <c r="S585">
        <v>50</v>
      </c>
      <c r="T585">
        <v>103.69792121840671</v>
      </c>
      <c r="U585">
        <v>1.4873721887781429E-2</v>
      </c>
      <c r="V585">
        <v>0.39278599951103388</v>
      </c>
      <c r="W585">
        <v>6.97008031511177E-3</v>
      </c>
      <c r="X585">
        <v>0</v>
      </c>
      <c r="Y585">
        <v>0</v>
      </c>
      <c r="Z585">
        <v>1.6558365621533331</v>
      </c>
      <c r="AA585">
        <v>7.2751803625258862E-2</v>
      </c>
      <c r="AB585">
        <v>6.3390321705522883</v>
      </c>
      <c r="AC585">
        <v>0.2454501334672598</v>
      </c>
      <c r="AD585">
        <v>1323.5918232725669</v>
      </c>
      <c r="AE585">
        <v>50</v>
      </c>
      <c r="AF585">
        <v>89.183153799494448</v>
      </c>
      <c r="AG585">
        <v>2.1280100000000002</v>
      </c>
      <c r="AH585">
        <v>12.511455</v>
      </c>
      <c r="AI585">
        <v>0.21128</v>
      </c>
      <c r="AJ585">
        <v>10.547185000000001</v>
      </c>
      <c r="AK585">
        <v>0.43435000000000001</v>
      </c>
      <c r="AL585">
        <v>2.4173399999999998</v>
      </c>
      <c r="AM585">
        <v>50.003889999999998</v>
      </c>
      <c r="AN585">
        <v>8.5805450000000008</v>
      </c>
      <c r="AO585">
        <v>11.0444</v>
      </c>
      <c r="AP585">
        <v>0.37786999999999998</v>
      </c>
      <c r="AQ585">
        <v>98.290260000000004</v>
      </c>
      <c r="AR585">
        <v>4.7093422517846893E-2</v>
      </c>
      <c r="AS585">
        <v>0.17423154844121161</v>
      </c>
      <c r="AT585">
        <v>2.1925114974993089E-2</v>
      </c>
      <c r="AU585">
        <v>0.1853741817244248</v>
      </c>
      <c r="AV585">
        <v>1.0520403456564249E-2</v>
      </c>
      <c r="AW585">
        <v>3.5166562401109248E-2</v>
      </c>
      <c r="AX585">
        <v>0.46106226248619608</v>
      </c>
      <c r="AY585">
        <v>0.4051107053427907</v>
      </c>
      <c r="AZ585">
        <v>0.14841023100402101</v>
      </c>
      <c r="BA585">
        <v>1.7068639208924791E-2</v>
      </c>
      <c r="BD585" t="s">
        <v>1252</v>
      </c>
      <c r="BE585">
        <v>0.428471956991268</v>
      </c>
      <c r="BF585">
        <v>59518</v>
      </c>
      <c r="BG585">
        <v>6108666.672950983</v>
      </c>
      <c r="BH585">
        <v>15948.866007357439</v>
      </c>
      <c r="BI585">
        <v>1394.4350086690099</v>
      </c>
      <c r="BJ585">
        <v>65.374088233463027</v>
      </c>
      <c r="BK585">
        <v>15948.86600735741</v>
      </c>
    </row>
    <row r="586" spans="1:63" x14ac:dyDescent="0.2">
      <c r="A586">
        <v>584</v>
      </c>
      <c r="B586" t="s">
        <v>69</v>
      </c>
      <c r="C586" t="s">
        <v>143</v>
      </c>
      <c r="D586" t="s">
        <v>144</v>
      </c>
      <c r="E586">
        <v>-155.22516669999999</v>
      </c>
      <c r="F586">
        <v>19.371883329999999</v>
      </c>
      <c r="G586" t="s">
        <v>145</v>
      </c>
      <c r="H586" t="s">
        <v>1229</v>
      </c>
      <c r="I586" t="s">
        <v>1253</v>
      </c>
      <c r="J586" t="s">
        <v>68</v>
      </c>
      <c r="K586">
        <v>40.855606878906237</v>
      </c>
      <c r="L586">
        <v>33.151786961718749</v>
      </c>
      <c r="M586">
        <v>4255.0873668409577</v>
      </c>
      <c r="N586">
        <v>209938.61772271109</v>
      </c>
      <c r="O586" t="s">
        <v>1231</v>
      </c>
      <c r="P586" t="s">
        <v>283</v>
      </c>
      <c r="Q586">
        <v>5.9989999999999997</v>
      </c>
      <c r="R586">
        <v>1324.9639999999999</v>
      </c>
      <c r="S586">
        <v>50</v>
      </c>
      <c r="T586">
        <v>103.7075226418102</v>
      </c>
      <c r="U586">
        <v>4.0990890355130389E-3</v>
      </c>
      <c r="V586">
        <v>0.39702626139842317</v>
      </c>
      <c r="W586">
        <v>2.9662905170354881E-3</v>
      </c>
      <c r="X586">
        <v>0.80642406558881985</v>
      </c>
      <c r="Y586">
        <v>0</v>
      </c>
      <c r="Z586">
        <v>1.65339865056726</v>
      </c>
      <c r="AA586">
        <v>5.9981326383264047E-2</v>
      </c>
      <c r="AB586">
        <v>6.3308053810023832</v>
      </c>
      <c r="AC586">
        <v>0.20242965841452881</v>
      </c>
      <c r="AD586">
        <v>1299.4682930579461</v>
      </c>
      <c r="AE586">
        <v>50</v>
      </c>
      <c r="AF586">
        <v>88.250324559925062</v>
      </c>
      <c r="AG586">
        <v>2.1961249999999999</v>
      </c>
      <c r="AH586">
        <v>13.214425</v>
      </c>
      <c r="AI586">
        <v>0.23326250000000001</v>
      </c>
      <c r="AJ586">
        <v>10.8680875</v>
      </c>
      <c r="AK586">
        <v>0.46184999999999998</v>
      </c>
      <c r="AL586">
        <v>2.5506250000000001</v>
      </c>
      <c r="AM586">
        <v>49.975887499999999</v>
      </c>
      <c r="AN586">
        <v>7.4385374999999998</v>
      </c>
      <c r="AP586">
        <v>0.2354</v>
      </c>
      <c r="AQ586">
        <v>98.48666249999998</v>
      </c>
      <c r="AR586">
        <v>5.6378814410075299E-2</v>
      </c>
      <c r="AS586">
        <v>0.24941022862516499</v>
      </c>
      <c r="AT586">
        <v>1.4003870638403601E-2</v>
      </c>
      <c r="AU586">
        <v>0.27584699401505702</v>
      </c>
      <c r="AV586">
        <v>3.1668731762237799E-2</v>
      </c>
      <c r="AW586">
        <v>4.2427543277585897E-2</v>
      </c>
      <c r="AX586">
        <v>0.67605985245919198</v>
      </c>
      <c r="AY586">
        <v>0.10614118545597701</v>
      </c>
      <c r="BA586">
        <v>4.3851209463691802E-2</v>
      </c>
      <c r="BE586">
        <v>0.96151788340201594</v>
      </c>
      <c r="BF586">
        <v>29940</v>
      </c>
      <c r="BG586">
        <v>3011371.648166969</v>
      </c>
      <c r="BH586">
        <v>9341.8645118181157</v>
      </c>
      <c r="BI586">
        <v>979.05534398476277</v>
      </c>
      <c r="BJ586">
        <v>53.989296224212772</v>
      </c>
      <c r="BK586">
        <v>9341.8645118181157</v>
      </c>
    </row>
    <row r="587" spans="1:63" x14ac:dyDescent="0.2">
      <c r="A587">
        <v>585</v>
      </c>
      <c r="B587" t="s">
        <v>69</v>
      </c>
      <c r="C587" t="s">
        <v>177</v>
      </c>
      <c r="D587" t="s">
        <v>144</v>
      </c>
      <c r="E587">
        <v>-155.2086333</v>
      </c>
      <c r="F587">
        <v>19.347316670000001</v>
      </c>
      <c r="G587" t="s">
        <v>178</v>
      </c>
      <c r="H587" t="s">
        <v>1233</v>
      </c>
      <c r="I587" t="s">
        <v>1254</v>
      </c>
      <c r="J587" t="s">
        <v>85</v>
      </c>
      <c r="K587">
        <v>12.73133505</v>
      </c>
      <c r="L587">
        <v>10.75944028671875</v>
      </c>
      <c r="M587">
        <v>430.34176815228312</v>
      </c>
      <c r="N587">
        <v>6739.3745291143923</v>
      </c>
      <c r="O587" t="s">
        <v>1255</v>
      </c>
      <c r="P587" t="s">
        <v>283</v>
      </c>
      <c r="Q587">
        <v>9.9849999999999994</v>
      </c>
      <c r="R587">
        <v>1324.9639999999999</v>
      </c>
      <c r="S587">
        <v>50</v>
      </c>
      <c r="T587">
        <v>103.72262649657161</v>
      </c>
      <c r="U587">
        <v>7.284250167809609E-3</v>
      </c>
      <c r="V587">
        <v>0.40371280076578842</v>
      </c>
      <c r="W587">
        <v>3.9933033452397822E-3</v>
      </c>
      <c r="X587">
        <v>0.36941067533605959</v>
      </c>
      <c r="Y587">
        <v>0</v>
      </c>
      <c r="Z587">
        <v>1.677846736144166</v>
      </c>
      <c r="AA587">
        <v>6.6579486521091913E-2</v>
      </c>
      <c r="AB587">
        <v>6.4132200896195313</v>
      </c>
      <c r="AC587">
        <v>0.2242599649654278</v>
      </c>
      <c r="AD587">
        <v>1286.272111242027</v>
      </c>
      <c r="AE587">
        <v>50</v>
      </c>
      <c r="AF587">
        <v>87.70079396533265</v>
      </c>
      <c r="AG587">
        <v>2.1216818181818198</v>
      </c>
      <c r="AH587">
        <v>12.5470545454545</v>
      </c>
      <c r="AI587">
        <v>0.27337272727272699</v>
      </c>
      <c r="AJ587">
        <v>10.3521727272727</v>
      </c>
      <c r="AK587">
        <v>0.49205454545454502</v>
      </c>
      <c r="AL587">
        <v>2.5642454545454498</v>
      </c>
      <c r="AM587">
        <v>49.0749</v>
      </c>
      <c r="AN587">
        <v>9.1371454545454505</v>
      </c>
      <c r="AP587">
        <v>0.18198181818181799</v>
      </c>
      <c r="AQ587">
        <v>98.157727272727257</v>
      </c>
      <c r="AR587">
        <v>0.12055145638424999</v>
      </c>
      <c r="AS587">
        <v>0.28907753411026699</v>
      </c>
      <c r="AT587">
        <v>2.8655229571898099E-2</v>
      </c>
      <c r="AU587">
        <v>0.23406218443357801</v>
      </c>
      <c r="AV587">
        <v>5.2241982420968003E-2</v>
      </c>
      <c r="AW587">
        <v>6.6675218239408293E-2</v>
      </c>
      <c r="AX587">
        <v>0.92934608408278196</v>
      </c>
      <c r="AY587">
        <v>0.68994549402635696</v>
      </c>
      <c r="BA587">
        <v>4.8246177427477499E-2</v>
      </c>
    </row>
    <row r="588" spans="1:63" x14ac:dyDescent="0.2">
      <c r="A588">
        <v>586</v>
      </c>
      <c r="B588" t="s">
        <v>69</v>
      </c>
      <c r="C588" t="s">
        <v>70</v>
      </c>
      <c r="D588" t="s">
        <v>71</v>
      </c>
      <c r="E588">
        <v>-155.29347999999999</v>
      </c>
      <c r="F588">
        <v>19.377479999999998</v>
      </c>
      <c r="G588" t="s">
        <v>112</v>
      </c>
      <c r="H588" t="s">
        <v>1244</v>
      </c>
      <c r="I588" t="s">
        <v>1256</v>
      </c>
      <c r="J588" t="s">
        <v>68</v>
      </c>
      <c r="K588">
        <v>48.106363474218753</v>
      </c>
      <c r="L588">
        <v>44.524629424218752</v>
      </c>
      <c r="M588">
        <v>6729.0338742404892</v>
      </c>
      <c r="N588">
        <v>415544.72601207742</v>
      </c>
      <c r="P588" t="s">
        <v>1213</v>
      </c>
      <c r="Q588">
        <v>8.9845000000000006</v>
      </c>
      <c r="R588">
        <v>1324.9639999999999</v>
      </c>
      <c r="S588">
        <v>50</v>
      </c>
      <c r="T588">
        <v>103.7270190407381</v>
      </c>
      <c r="U588">
        <v>4.0462594560830081E-3</v>
      </c>
      <c r="V588">
        <v>0.40573534787836252</v>
      </c>
      <c r="W588">
        <v>2.9591565779088268E-3</v>
      </c>
      <c r="X588">
        <v>0.64833021305092386</v>
      </c>
      <c r="Y588">
        <v>0</v>
      </c>
      <c r="Z588">
        <v>1.7210174581305431</v>
      </c>
      <c r="AA588">
        <v>0.163947311752458</v>
      </c>
      <c r="AB588">
        <v>6.5582958418995929</v>
      </c>
      <c r="AC588">
        <v>0.54916845402144343</v>
      </c>
      <c r="AD588">
        <v>1312.058664968451</v>
      </c>
      <c r="AE588">
        <v>50</v>
      </c>
      <c r="AF588">
        <v>88.74780941493708</v>
      </c>
      <c r="AG588">
        <v>2.1280100000000002</v>
      </c>
      <c r="AH588">
        <v>12.511455</v>
      </c>
      <c r="AI588">
        <v>0.21128</v>
      </c>
      <c r="AJ588">
        <v>10.547185000000001</v>
      </c>
      <c r="AK588">
        <v>0.43435000000000001</v>
      </c>
      <c r="AL588">
        <v>2.4173399999999998</v>
      </c>
      <c r="AM588">
        <v>50.003889999999998</v>
      </c>
      <c r="AN588">
        <v>8.5805450000000008</v>
      </c>
      <c r="AO588">
        <v>11.0444</v>
      </c>
      <c r="AP588">
        <v>0.37786999999999998</v>
      </c>
      <c r="AQ588">
        <v>98.290260000000004</v>
      </c>
      <c r="AR588">
        <v>4.7093422517846893E-2</v>
      </c>
      <c r="AS588">
        <v>0.17423154844121161</v>
      </c>
      <c r="AT588">
        <v>2.1925114974993089E-2</v>
      </c>
      <c r="AU588">
        <v>0.1853741817244248</v>
      </c>
      <c r="AV588">
        <v>1.0520403456564249E-2</v>
      </c>
      <c r="AW588">
        <v>3.5166562401109248E-2</v>
      </c>
      <c r="AX588">
        <v>0.46106226248619608</v>
      </c>
      <c r="AY588">
        <v>0.4051107053427907</v>
      </c>
      <c r="AZ588">
        <v>0.14841023100402101</v>
      </c>
      <c r="BA588">
        <v>1.7068639208924791E-2</v>
      </c>
      <c r="BD588" t="s">
        <v>1246</v>
      </c>
      <c r="BE588">
        <v>0.63592189179371061</v>
      </c>
      <c r="BF588">
        <v>37809</v>
      </c>
      <c r="BG588">
        <v>1551936.2774120569</v>
      </c>
      <c r="BH588">
        <v>6118.6787996239609</v>
      </c>
      <c r="BI588">
        <v>702.84895946962013</v>
      </c>
      <c r="BJ588">
        <v>31.467341981615981</v>
      </c>
      <c r="BK588">
        <v>6118.6787996239691</v>
      </c>
    </row>
    <row r="589" spans="1:63" x14ac:dyDescent="0.2">
      <c r="A589">
        <v>587</v>
      </c>
      <c r="B589" t="s">
        <v>69</v>
      </c>
      <c r="C589" t="s">
        <v>143</v>
      </c>
      <c r="D589" t="s">
        <v>144</v>
      </c>
      <c r="E589">
        <v>-155.22516669999999</v>
      </c>
      <c r="F589">
        <v>19.371883329999999</v>
      </c>
      <c r="G589" t="s">
        <v>145</v>
      </c>
      <c r="H589" t="s">
        <v>1229</v>
      </c>
      <c r="I589" t="s">
        <v>1257</v>
      </c>
      <c r="J589" t="s">
        <v>68</v>
      </c>
      <c r="K589">
        <v>18.4885401609375</v>
      </c>
      <c r="L589">
        <v>13.82232501171875</v>
      </c>
      <c r="M589">
        <v>802.84848881236735</v>
      </c>
      <c r="N589">
        <v>17293.819517391479</v>
      </c>
      <c r="O589" t="s">
        <v>1231</v>
      </c>
      <c r="P589" t="s">
        <v>283</v>
      </c>
      <c r="Q589">
        <v>5.94</v>
      </c>
      <c r="R589">
        <v>1324.9639999999999</v>
      </c>
      <c r="S589">
        <v>50</v>
      </c>
      <c r="T589">
        <v>103.7291685710541</v>
      </c>
      <c r="U589">
        <v>9.958656717030126E-3</v>
      </c>
      <c r="V589">
        <v>0.40661522215123108</v>
      </c>
      <c r="W589">
        <v>5.0062531167444574E-3</v>
      </c>
      <c r="X589">
        <v>0</v>
      </c>
      <c r="Y589">
        <v>0</v>
      </c>
      <c r="Z589">
        <v>1.711239795280765</v>
      </c>
      <c r="AA589">
        <v>6.9169076272621643E-2</v>
      </c>
      <c r="AB589">
        <v>6.5254872735630087</v>
      </c>
      <c r="AC589">
        <v>0.2321085358359582</v>
      </c>
      <c r="AD589">
        <v>1299.4682930579461</v>
      </c>
      <c r="AE589">
        <v>50</v>
      </c>
      <c r="AF589">
        <v>88.250324559925062</v>
      </c>
      <c r="AG589">
        <v>2.1961249999999999</v>
      </c>
      <c r="AH589">
        <v>13.214425</v>
      </c>
      <c r="AI589">
        <v>0.23326250000000001</v>
      </c>
      <c r="AJ589">
        <v>10.8680875</v>
      </c>
      <c r="AK589">
        <v>0.46184999999999998</v>
      </c>
      <c r="AL589">
        <v>2.5506250000000001</v>
      </c>
      <c r="AM589">
        <v>49.975887499999999</v>
      </c>
      <c r="AN589">
        <v>7.4385374999999998</v>
      </c>
      <c r="AP589">
        <v>0.2354</v>
      </c>
      <c r="AQ589">
        <v>98.48666249999998</v>
      </c>
      <c r="AR589">
        <v>5.6378814410075299E-2</v>
      </c>
      <c r="AS589">
        <v>0.24941022862516499</v>
      </c>
      <c r="AT589">
        <v>1.4003870638403601E-2</v>
      </c>
      <c r="AU589">
        <v>0.27584699401505702</v>
      </c>
      <c r="AV589">
        <v>3.1668731762237799E-2</v>
      </c>
      <c r="AW589">
        <v>4.2427543277585897E-2</v>
      </c>
      <c r="AX589">
        <v>0.67605985245919198</v>
      </c>
      <c r="AY589">
        <v>0.10614118545597701</v>
      </c>
      <c r="BA589">
        <v>4.3851209463691802E-2</v>
      </c>
      <c r="BE589">
        <v>0.96151788340201594</v>
      </c>
      <c r="BF589">
        <v>29940</v>
      </c>
      <c r="BG589">
        <v>3011371.648166969</v>
      </c>
      <c r="BH589">
        <v>9341.8645118181157</v>
      </c>
      <c r="BI589">
        <v>979.05534398476277</v>
      </c>
      <c r="BJ589">
        <v>53.989296224212772</v>
      </c>
      <c r="BK589">
        <v>9341.8645118181157</v>
      </c>
    </row>
    <row r="590" spans="1:63" x14ac:dyDescent="0.2">
      <c r="A590">
        <v>588</v>
      </c>
      <c r="B590" t="s">
        <v>69</v>
      </c>
      <c r="C590" t="s">
        <v>143</v>
      </c>
      <c r="D590" t="s">
        <v>144</v>
      </c>
      <c r="E590">
        <v>-155.22516669999999</v>
      </c>
      <c r="F590">
        <v>19.371883329999999</v>
      </c>
      <c r="G590" t="s">
        <v>145</v>
      </c>
      <c r="H590" t="s">
        <v>1229</v>
      </c>
      <c r="I590" t="s">
        <v>1258</v>
      </c>
      <c r="J590" t="s">
        <v>68</v>
      </c>
      <c r="K590">
        <v>15.86320209453125</v>
      </c>
      <c r="L590">
        <v>15.5674556546875</v>
      </c>
      <c r="M590">
        <v>775.81534808307367</v>
      </c>
      <c r="N590">
        <v>16256.257788126741</v>
      </c>
      <c r="O590" t="s">
        <v>1231</v>
      </c>
      <c r="P590" t="s">
        <v>283</v>
      </c>
      <c r="Q590">
        <v>5.9690000000000003</v>
      </c>
      <c r="R590">
        <v>1324.9639999999999</v>
      </c>
      <c r="S590">
        <v>50</v>
      </c>
      <c r="T590">
        <v>103.74798902226961</v>
      </c>
      <c r="U590">
        <v>3.6308697474558439E-3</v>
      </c>
      <c r="V590">
        <v>0.41498618734294718</v>
      </c>
      <c r="W590">
        <v>2.852290432514496E-3</v>
      </c>
      <c r="X590">
        <v>0.38335598074284349</v>
      </c>
      <c r="Y590">
        <v>0</v>
      </c>
      <c r="Z590">
        <v>1.7627460405320881</v>
      </c>
      <c r="AA590">
        <v>6.3811223440314771E-2</v>
      </c>
      <c r="AB590">
        <v>6.6980018426923573</v>
      </c>
      <c r="AC590">
        <v>0.21326597844396911</v>
      </c>
      <c r="AD590">
        <v>1299.4682930579461</v>
      </c>
      <c r="AE590">
        <v>50</v>
      </c>
      <c r="AF590">
        <v>88.250324559925062</v>
      </c>
      <c r="AG590">
        <v>2.1961249999999999</v>
      </c>
      <c r="AH590">
        <v>13.214425</v>
      </c>
      <c r="AI590">
        <v>0.23326250000000001</v>
      </c>
      <c r="AJ590">
        <v>10.8680875</v>
      </c>
      <c r="AK590">
        <v>0.46184999999999998</v>
      </c>
      <c r="AL590">
        <v>2.5506250000000001</v>
      </c>
      <c r="AM590">
        <v>49.975887499999999</v>
      </c>
      <c r="AN590">
        <v>7.4385374999999998</v>
      </c>
      <c r="AP590">
        <v>0.2354</v>
      </c>
      <c r="AQ590">
        <v>98.48666249999998</v>
      </c>
      <c r="AR590">
        <v>5.6378814410075299E-2</v>
      </c>
      <c r="AS590">
        <v>0.24941022862516499</v>
      </c>
      <c r="AT590">
        <v>1.4003870638403601E-2</v>
      </c>
      <c r="AU590">
        <v>0.27584699401505702</v>
      </c>
      <c r="AV590">
        <v>3.1668731762237799E-2</v>
      </c>
      <c r="AW590">
        <v>4.2427543277585897E-2</v>
      </c>
      <c r="AX590">
        <v>0.67605985245919198</v>
      </c>
      <c r="AY590">
        <v>0.10614118545597701</v>
      </c>
      <c r="BA590">
        <v>4.3851209463691802E-2</v>
      </c>
      <c r="BE590">
        <v>0.96151788340201594</v>
      </c>
      <c r="BF590">
        <v>29940</v>
      </c>
      <c r="BG590">
        <v>3011371.648166969</v>
      </c>
      <c r="BH590">
        <v>9341.8645118181157</v>
      </c>
      <c r="BI590">
        <v>979.05534398476277</v>
      </c>
      <c r="BJ590">
        <v>53.989296224212772</v>
      </c>
      <c r="BK590">
        <v>9341.8645118181157</v>
      </c>
    </row>
    <row r="591" spans="1:63" x14ac:dyDescent="0.2">
      <c r="A591">
        <v>589</v>
      </c>
      <c r="B591" t="s">
        <v>69</v>
      </c>
      <c r="C591" t="s">
        <v>70</v>
      </c>
      <c r="D591" t="s">
        <v>71</v>
      </c>
      <c r="E591">
        <v>-155.29347999999999</v>
      </c>
      <c r="F591">
        <v>19.377479999999998</v>
      </c>
      <c r="G591" t="s">
        <v>112</v>
      </c>
      <c r="H591" t="s">
        <v>1259</v>
      </c>
      <c r="I591" t="s">
        <v>1260</v>
      </c>
      <c r="J591" t="s">
        <v>68</v>
      </c>
      <c r="K591">
        <v>9.5333333132812506</v>
      </c>
      <c r="L591">
        <v>7.779950362500001</v>
      </c>
      <c r="M591">
        <v>233.00834559587329</v>
      </c>
      <c r="N591">
        <v>2689.4263907505529</v>
      </c>
      <c r="O591" t="s">
        <v>1261</v>
      </c>
      <c r="P591" t="s">
        <v>283</v>
      </c>
      <c r="Q591">
        <v>9.0609999999999999</v>
      </c>
      <c r="R591">
        <v>1324.9639999999999</v>
      </c>
      <c r="S591">
        <v>50</v>
      </c>
      <c r="T591">
        <v>103.7547507716085</v>
      </c>
      <c r="U591">
        <v>4.1703625617688887E-3</v>
      </c>
      <c r="V591">
        <v>0.41807439933381829</v>
      </c>
      <c r="W591">
        <v>3.000157112030403E-3</v>
      </c>
      <c r="X591">
        <v>0</v>
      </c>
      <c r="Y591">
        <v>0</v>
      </c>
      <c r="Z591">
        <v>1.7999299904065369</v>
      </c>
      <c r="AA591">
        <v>0.18398314151432499</v>
      </c>
      <c r="AB591">
        <v>6.822083529630631</v>
      </c>
      <c r="AC591">
        <v>0.61281644872061114</v>
      </c>
      <c r="AD591">
        <v>1313.732879145475</v>
      </c>
      <c r="AE591">
        <v>50</v>
      </c>
      <c r="AF591">
        <v>88.812161344763453</v>
      </c>
      <c r="AG591">
        <v>2.1280100000000002</v>
      </c>
      <c r="AH591">
        <v>12.511455</v>
      </c>
      <c r="AI591">
        <v>0.21128</v>
      </c>
      <c r="AJ591">
        <v>10.547185000000001</v>
      </c>
      <c r="AK591">
        <v>0.43435000000000001</v>
      </c>
      <c r="AL591">
        <v>2.4173399999999998</v>
      </c>
      <c r="AM591">
        <v>50.003889999999998</v>
      </c>
      <c r="AN591">
        <v>8.5805450000000008</v>
      </c>
      <c r="AO591">
        <v>11.0444</v>
      </c>
      <c r="AP591">
        <v>0.37786999999999998</v>
      </c>
      <c r="AQ591">
        <v>98.290260000000004</v>
      </c>
      <c r="AR591">
        <v>4.7093422517846893E-2</v>
      </c>
      <c r="AS591">
        <v>0.17423154844121161</v>
      </c>
      <c r="AT591">
        <v>2.1925114974993089E-2</v>
      </c>
      <c r="AU591">
        <v>0.1853741817244248</v>
      </c>
      <c r="AV591">
        <v>1.0520403456564249E-2</v>
      </c>
      <c r="AW591">
        <v>3.5166562401109248E-2</v>
      </c>
      <c r="AX591">
        <v>0.46106226248619608</v>
      </c>
      <c r="AY591">
        <v>0.4051107053427907</v>
      </c>
      <c r="AZ591">
        <v>0.14841023100402101</v>
      </c>
      <c r="BA591">
        <v>1.7068639208924791E-2</v>
      </c>
    </row>
    <row r="592" spans="1:63" x14ac:dyDescent="0.2">
      <c r="A592">
        <v>590</v>
      </c>
      <c r="B592" t="s">
        <v>69</v>
      </c>
      <c r="C592" t="s">
        <v>70</v>
      </c>
      <c r="D592" t="s">
        <v>71</v>
      </c>
      <c r="E592">
        <v>-155.29347999999999</v>
      </c>
      <c r="F592">
        <v>19.377479999999998</v>
      </c>
      <c r="G592" t="s">
        <v>112</v>
      </c>
      <c r="H592" t="s">
        <v>1244</v>
      </c>
      <c r="I592" t="s">
        <v>1262</v>
      </c>
      <c r="J592" t="s">
        <v>68</v>
      </c>
      <c r="K592">
        <v>12.537057127343751</v>
      </c>
      <c r="L592">
        <v>9.9805270359375005</v>
      </c>
      <c r="M592">
        <v>393.09629716715682</v>
      </c>
      <c r="N592">
        <v>5901.0526371571113</v>
      </c>
      <c r="O592" t="s">
        <v>1263</v>
      </c>
      <c r="P592" t="s">
        <v>283</v>
      </c>
      <c r="Q592">
        <v>8.9845000000000006</v>
      </c>
      <c r="R592">
        <v>1324.9639999999999</v>
      </c>
      <c r="S592">
        <v>50</v>
      </c>
      <c r="T592">
        <v>103.75668007209239</v>
      </c>
      <c r="U592">
        <v>8.5165448285787464E-3</v>
      </c>
      <c r="V592">
        <v>0.41888686847596551</v>
      </c>
      <c r="W592">
        <v>4.5176531621519541E-3</v>
      </c>
      <c r="X592">
        <v>1.248986761548833</v>
      </c>
      <c r="Y592">
        <v>0</v>
      </c>
      <c r="Z592">
        <v>1.8015293858114489</v>
      </c>
      <c r="AA592">
        <v>0.1073504667487617</v>
      </c>
      <c r="AB592">
        <v>6.8274123573871712</v>
      </c>
      <c r="AC592">
        <v>0.35734472686553409</v>
      </c>
      <c r="AD592">
        <v>1310.9268672740191</v>
      </c>
      <c r="AE592">
        <v>50</v>
      </c>
      <c r="AF592">
        <v>88.704075453719057</v>
      </c>
      <c r="AG592">
        <v>2.1280100000000002</v>
      </c>
      <c r="AH592">
        <v>12.511455</v>
      </c>
      <c r="AI592">
        <v>0.21128</v>
      </c>
      <c r="AJ592">
        <v>10.547185000000001</v>
      </c>
      <c r="AK592">
        <v>0.43435000000000001</v>
      </c>
      <c r="AL592">
        <v>2.4173399999999998</v>
      </c>
      <c r="AM592">
        <v>50.003889999999998</v>
      </c>
      <c r="AN592">
        <v>8.5805450000000008</v>
      </c>
      <c r="AO592">
        <v>11.0444</v>
      </c>
      <c r="AP592">
        <v>0.37786999999999998</v>
      </c>
      <c r="AQ592">
        <v>98.290260000000004</v>
      </c>
      <c r="AR592">
        <v>4.7093422517846893E-2</v>
      </c>
      <c r="AS592">
        <v>0.17423154844121161</v>
      </c>
      <c r="AT592">
        <v>2.1925114974993089E-2</v>
      </c>
      <c r="AU592">
        <v>0.1853741817244248</v>
      </c>
      <c r="AV592">
        <v>1.0520403456564249E-2</v>
      </c>
      <c r="AW592">
        <v>3.5166562401109248E-2</v>
      </c>
      <c r="AX592">
        <v>0.46106226248619608</v>
      </c>
      <c r="AY592">
        <v>0.4051107053427907</v>
      </c>
      <c r="AZ592">
        <v>0.14841023100402101</v>
      </c>
      <c r="BA592">
        <v>1.7068639208924791E-2</v>
      </c>
      <c r="BD592" t="s">
        <v>1246</v>
      </c>
      <c r="BE592">
        <v>0.63592189179371061</v>
      </c>
      <c r="BF592">
        <v>37809</v>
      </c>
      <c r="BG592">
        <v>1551936.2774120569</v>
      </c>
      <c r="BH592">
        <v>6118.6787996239609</v>
      </c>
      <c r="BI592">
        <v>702.84895946962013</v>
      </c>
      <c r="BJ592">
        <v>31.467341981615981</v>
      </c>
      <c r="BK592">
        <v>6118.6787996239691</v>
      </c>
    </row>
    <row r="593" spans="1:63" x14ac:dyDescent="0.2">
      <c r="A593">
        <v>591</v>
      </c>
      <c r="B593" t="s">
        <v>69</v>
      </c>
      <c r="C593" t="s">
        <v>143</v>
      </c>
      <c r="D593" t="s">
        <v>144</v>
      </c>
      <c r="E593">
        <v>-155.22516669999999</v>
      </c>
      <c r="F593">
        <v>19.371883329999999</v>
      </c>
      <c r="G593" t="s">
        <v>145</v>
      </c>
      <c r="H593" t="s">
        <v>1229</v>
      </c>
      <c r="I593" t="s">
        <v>1264</v>
      </c>
      <c r="J593" t="s">
        <v>68</v>
      </c>
      <c r="K593">
        <v>29.587080560937501</v>
      </c>
      <c r="L593">
        <v>25.822110408593751</v>
      </c>
      <c r="M593">
        <v>2400.179491978944</v>
      </c>
      <c r="N593">
        <v>88661.335888142523</v>
      </c>
      <c r="O593" t="s">
        <v>1231</v>
      </c>
      <c r="P593" t="s">
        <v>283</v>
      </c>
      <c r="Q593">
        <v>6.0330000000000004</v>
      </c>
      <c r="R593">
        <v>1324.9639999999999</v>
      </c>
      <c r="S593">
        <v>40</v>
      </c>
      <c r="T593">
        <v>103.8121687726822</v>
      </c>
      <c r="U593">
        <v>9.5472760993033107E-3</v>
      </c>
      <c r="V593">
        <v>0.4437885370443837</v>
      </c>
      <c r="W593">
        <v>4.9233932984446586E-3</v>
      </c>
      <c r="X593">
        <v>0.74310781475378207</v>
      </c>
      <c r="Y593">
        <v>0</v>
      </c>
      <c r="Z593">
        <v>1.94747140803297</v>
      </c>
      <c r="AA593">
        <v>9.687903093604977E-2</v>
      </c>
      <c r="AB593">
        <v>7.3110476507066648</v>
      </c>
      <c r="AC593">
        <v>0.3193667042054818</v>
      </c>
      <c r="AD593">
        <v>1299.4682930579461</v>
      </c>
      <c r="AE593">
        <v>50</v>
      </c>
      <c r="AF593">
        <v>88.250324559925062</v>
      </c>
      <c r="AG593">
        <v>2.1961249999999999</v>
      </c>
      <c r="AH593">
        <v>13.214425</v>
      </c>
      <c r="AI593">
        <v>0.23326250000000001</v>
      </c>
      <c r="AJ593">
        <v>10.8680875</v>
      </c>
      <c r="AK593">
        <v>0.46184999999999998</v>
      </c>
      <c r="AL593">
        <v>2.5506250000000001</v>
      </c>
      <c r="AM593">
        <v>49.975887499999999</v>
      </c>
      <c r="AN593">
        <v>7.4385374999999998</v>
      </c>
      <c r="AP593">
        <v>0.2354</v>
      </c>
      <c r="AQ593">
        <v>98.48666249999998</v>
      </c>
      <c r="AR593">
        <v>5.6378814410075299E-2</v>
      </c>
      <c r="AS593">
        <v>0.24941022862516499</v>
      </c>
      <c r="AT593">
        <v>1.4003870638403601E-2</v>
      </c>
      <c r="AU593">
        <v>0.27584699401505702</v>
      </c>
      <c r="AV593">
        <v>3.1668731762237799E-2</v>
      </c>
      <c r="AW593">
        <v>4.2427543277585897E-2</v>
      </c>
      <c r="AX593">
        <v>0.67605985245919198</v>
      </c>
      <c r="AY593">
        <v>0.10614118545597701</v>
      </c>
      <c r="BA593">
        <v>4.3851209463691802E-2</v>
      </c>
      <c r="BE593">
        <v>0.96151788340201594</v>
      </c>
      <c r="BF593">
        <v>29940</v>
      </c>
      <c r="BG593">
        <v>3011371.648166969</v>
      </c>
      <c r="BH593">
        <v>9341.8645118181157</v>
      </c>
      <c r="BI593">
        <v>979.05534398476277</v>
      </c>
      <c r="BJ593">
        <v>53.989296224212772</v>
      </c>
      <c r="BK593">
        <v>9341.8645118181157</v>
      </c>
    </row>
    <row r="594" spans="1:63" x14ac:dyDescent="0.2">
      <c r="A594">
        <v>592</v>
      </c>
      <c r="B594" t="s">
        <v>69</v>
      </c>
      <c r="C594" t="s">
        <v>70</v>
      </c>
      <c r="D594" t="s">
        <v>71</v>
      </c>
      <c r="E594">
        <v>-155.29347999999999</v>
      </c>
      <c r="F594">
        <v>19.377479999999998</v>
      </c>
      <c r="G594" t="s">
        <v>112</v>
      </c>
      <c r="H594" t="s">
        <v>1265</v>
      </c>
      <c r="I594" t="s">
        <v>1266</v>
      </c>
      <c r="J594" t="s">
        <v>68</v>
      </c>
      <c r="K594">
        <v>12.853434336718751</v>
      </c>
      <c r="L594">
        <v>11.40864120625</v>
      </c>
      <c r="M594">
        <v>460.68383980712679</v>
      </c>
      <c r="N594">
        <v>7451.4307485502841</v>
      </c>
      <c r="Q594">
        <v>11.988</v>
      </c>
      <c r="R594">
        <v>1324.9639999999999</v>
      </c>
      <c r="S594">
        <v>50</v>
      </c>
      <c r="T594">
        <v>103.8311888685934</v>
      </c>
      <c r="U594">
        <v>3.2795024119896912E-3</v>
      </c>
      <c r="V594">
        <v>0.45237938191530702</v>
      </c>
      <c r="W594">
        <v>2.781556153003106E-3</v>
      </c>
      <c r="X594">
        <v>0</v>
      </c>
      <c r="Y594">
        <v>0</v>
      </c>
      <c r="Z594">
        <v>2.029176301283715</v>
      </c>
      <c r="AA594">
        <v>7.5245233768337125E-2</v>
      </c>
      <c r="AB594">
        <v>7.5798447533254407</v>
      </c>
      <c r="AC594">
        <v>0.24721058560246259</v>
      </c>
      <c r="AD594">
        <v>1306.68743193316</v>
      </c>
      <c r="AE594">
        <v>50</v>
      </c>
      <c r="AF594">
        <v>88.538565961043702</v>
      </c>
      <c r="AG594">
        <v>2.1280100000000002</v>
      </c>
      <c r="AH594">
        <v>12.511455</v>
      </c>
      <c r="AI594">
        <v>0.21128</v>
      </c>
      <c r="AJ594">
        <v>10.547185000000001</v>
      </c>
      <c r="AK594">
        <v>0.43435000000000001</v>
      </c>
      <c r="AL594">
        <v>2.4173399999999998</v>
      </c>
      <c r="AM594">
        <v>50.003889999999998</v>
      </c>
      <c r="AN594">
        <v>8.5805450000000008</v>
      </c>
      <c r="AO594">
        <v>11.0444</v>
      </c>
      <c r="AP594">
        <v>0.37786999999999998</v>
      </c>
      <c r="AQ594">
        <v>98.290260000000004</v>
      </c>
      <c r="AR594">
        <v>4.7093422517846893E-2</v>
      </c>
      <c r="AS594">
        <v>0.17423154844121161</v>
      </c>
      <c r="AT594">
        <v>2.1925114974993089E-2</v>
      </c>
      <c r="AU594">
        <v>0.1853741817244248</v>
      </c>
      <c r="AV594">
        <v>1.0520403456564249E-2</v>
      </c>
      <c r="AW594">
        <v>3.5166562401109248E-2</v>
      </c>
      <c r="AX594">
        <v>0.46106226248619608</v>
      </c>
      <c r="AY594">
        <v>0.4051107053427907</v>
      </c>
      <c r="AZ594">
        <v>0.14841023100402101</v>
      </c>
      <c r="BA594">
        <v>1.7068639208924791E-2</v>
      </c>
      <c r="BD594" t="s">
        <v>1267</v>
      </c>
      <c r="BE594">
        <v>0.55434055257325399</v>
      </c>
      <c r="BF594">
        <v>9574</v>
      </c>
      <c r="BG594">
        <v>468948.06747421803</v>
      </c>
      <c r="BH594">
        <v>1659.31449852642</v>
      </c>
      <c r="BI594">
        <v>386.35580231675999</v>
      </c>
      <c r="BJ594">
        <v>16.958287601795401</v>
      </c>
      <c r="BK594">
        <v>1659.31449852642</v>
      </c>
    </row>
    <row r="595" spans="1:63" x14ac:dyDescent="0.2">
      <c r="A595">
        <v>0</v>
      </c>
      <c r="B595" t="s">
        <v>1268</v>
      </c>
      <c r="C595" t="s">
        <v>1269</v>
      </c>
      <c r="D595" t="s">
        <v>144</v>
      </c>
      <c r="E595">
        <v>-154.91439</v>
      </c>
      <c r="F595">
        <v>19.4624766666666</v>
      </c>
      <c r="G595" t="s">
        <v>1270</v>
      </c>
      <c r="H595" t="s">
        <v>1271</v>
      </c>
      <c r="I595" t="s">
        <v>1272</v>
      </c>
      <c r="J595" t="s">
        <v>68</v>
      </c>
      <c r="K595">
        <v>12.925787317187501</v>
      </c>
      <c r="L595">
        <v>11.9129618203125</v>
      </c>
      <c r="M595">
        <v>483.75629375904572</v>
      </c>
      <c r="N595">
        <v>8010.600816245129</v>
      </c>
      <c r="O595" t="s">
        <v>1273</v>
      </c>
      <c r="Q595">
        <v>12.0936666666666</v>
      </c>
      <c r="R595">
        <v>1325.0039999999999</v>
      </c>
      <c r="S595">
        <v>50</v>
      </c>
      <c r="T595">
        <v>103.186144050322</v>
      </c>
      <c r="U595">
        <v>6.46086841877422E-3</v>
      </c>
      <c r="V595">
        <v>0.176604951887081</v>
      </c>
      <c r="W595">
        <v>1.31438535658824E-3</v>
      </c>
      <c r="X595">
        <v>4.0881718106739564</v>
      </c>
      <c r="Y595">
        <v>5.5465554563855053E-2</v>
      </c>
      <c r="Z595">
        <v>0.61546543623171213</v>
      </c>
      <c r="AA595">
        <v>2.8431289240271069E-2</v>
      </c>
      <c r="AB595">
        <v>2.5773751737202968</v>
      </c>
      <c r="AC595">
        <v>0.11160350280808209</v>
      </c>
      <c r="AD595">
        <v>1259.723186707316</v>
      </c>
      <c r="AE595">
        <v>50</v>
      </c>
      <c r="AF595">
        <v>86.489905550885695</v>
      </c>
      <c r="AG595">
        <v>2.5121921052631579</v>
      </c>
      <c r="AH595">
        <v>13.074163157894739</v>
      </c>
      <c r="AI595">
        <v>0.29389473684210532</v>
      </c>
      <c r="AJ595">
        <v>10.20886842105263</v>
      </c>
      <c r="AK595">
        <v>0.54598421052631574</v>
      </c>
      <c r="AL595">
        <v>2.8679000000000001</v>
      </c>
      <c r="AM595">
        <v>50.490678947368423</v>
      </c>
      <c r="AN595">
        <v>5.942205263157895</v>
      </c>
      <c r="AO595">
        <v>11.55592894736842</v>
      </c>
      <c r="AP595">
        <v>0.19241315789473681</v>
      </c>
      <c r="AQ595">
        <v>97.684228947368425</v>
      </c>
      <c r="AR595">
        <v>0.10033019549794051</v>
      </c>
      <c r="AS595">
        <v>0.14738958187412449</v>
      </c>
      <c r="AT595">
        <v>3.0546807865311158E-2</v>
      </c>
      <c r="AU595">
        <v>9.5648373992287164E-2</v>
      </c>
      <c r="AV595">
        <v>2.3881269116608591E-2</v>
      </c>
      <c r="AW595">
        <v>3.1785360886210923E-2</v>
      </c>
      <c r="AX595">
        <v>0.60766890503239923</v>
      </c>
      <c r="AY595">
        <v>7.4290807893217653E-2</v>
      </c>
      <c r="AZ595">
        <v>0.1755272860363162</v>
      </c>
      <c r="BA595">
        <v>3.9832708649583118E-2</v>
      </c>
      <c r="BB595">
        <v>19</v>
      </c>
      <c r="BC595" t="s">
        <v>86</v>
      </c>
    </row>
    <row r="596" spans="1:63" x14ac:dyDescent="0.2">
      <c r="A596">
        <v>1</v>
      </c>
      <c r="B596" t="s">
        <v>1268</v>
      </c>
      <c r="C596" t="s">
        <v>1269</v>
      </c>
      <c r="D596" t="s">
        <v>144</v>
      </c>
      <c r="E596">
        <v>-154.91439</v>
      </c>
      <c r="F596">
        <v>19.4624766666666</v>
      </c>
      <c r="G596" t="s">
        <v>1270</v>
      </c>
      <c r="H596" t="s">
        <v>1271</v>
      </c>
      <c r="I596" t="s">
        <v>1274</v>
      </c>
      <c r="J596" t="s">
        <v>68</v>
      </c>
      <c r="K596">
        <v>6.7839781703125004</v>
      </c>
      <c r="L596">
        <v>6.2562953890625002</v>
      </c>
      <c r="M596">
        <v>133.33727034139491</v>
      </c>
      <c r="N596">
        <v>1159.169653941419</v>
      </c>
      <c r="O596" t="s">
        <v>1275</v>
      </c>
      <c r="Q596">
        <v>12.03</v>
      </c>
      <c r="R596">
        <v>1325.0039999999999</v>
      </c>
      <c r="S596">
        <v>50</v>
      </c>
      <c r="T596">
        <v>103.195893758613</v>
      </c>
      <c r="U596">
        <v>7.1369543055768E-3</v>
      </c>
      <c r="V596">
        <v>0.180577572768015</v>
      </c>
      <c r="W596">
        <v>2.90975971256557E-3</v>
      </c>
      <c r="X596">
        <v>2.4066012687123961</v>
      </c>
      <c r="Y596">
        <v>5.4643423432043203E-2</v>
      </c>
      <c r="Z596">
        <v>0.6301446839289121</v>
      </c>
      <c r="AA596">
        <v>3.0795539859998711E-2</v>
      </c>
      <c r="AB596">
        <v>2.635002911089098</v>
      </c>
      <c r="AC596">
        <v>0.1205283609472886</v>
      </c>
      <c r="AD596">
        <v>1258.0651633997079</v>
      </c>
      <c r="AE596">
        <v>50</v>
      </c>
      <c r="AF596">
        <v>86.408809713159599</v>
      </c>
      <c r="AG596">
        <v>2.5121921052631579</v>
      </c>
      <c r="AH596">
        <v>13.074163157894739</v>
      </c>
      <c r="AI596">
        <v>0.29389473684210532</v>
      </c>
      <c r="AJ596">
        <v>10.20886842105263</v>
      </c>
      <c r="AK596">
        <v>0.54598421052631574</v>
      </c>
      <c r="AL596">
        <v>2.8679000000000001</v>
      </c>
      <c r="AM596">
        <v>50.490678947368423</v>
      </c>
      <c r="AN596">
        <v>5.942205263157895</v>
      </c>
      <c r="AO596">
        <v>11.55592894736842</v>
      </c>
      <c r="AP596">
        <v>0.19241315789473681</v>
      </c>
      <c r="AQ596">
        <v>97.684228947368425</v>
      </c>
      <c r="AR596">
        <v>0.10033019549794051</v>
      </c>
      <c r="AS596">
        <v>0.14738958187412449</v>
      </c>
      <c r="AT596">
        <v>3.0546807865311158E-2</v>
      </c>
      <c r="AU596">
        <v>9.5648373992287164E-2</v>
      </c>
      <c r="AV596">
        <v>2.3881269116608591E-2</v>
      </c>
      <c r="AW596">
        <v>3.1785360886210923E-2</v>
      </c>
      <c r="AX596">
        <v>0.60766890503239923</v>
      </c>
      <c r="AY596">
        <v>7.4290807893217653E-2</v>
      </c>
      <c r="AZ596">
        <v>0.1755272860363162</v>
      </c>
      <c r="BA596">
        <v>3.9832708649583118E-2</v>
      </c>
      <c r="BB596">
        <v>19</v>
      </c>
      <c r="BC596" t="s">
        <v>86</v>
      </c>
    </row>
    <row r="597" spans="1:63" x14ac:dyDescent="0.2">
      <c r="A597">
        <v>2</v>
      </c>
      <c r="B597" t="s">
        <v>1268</v>
      </c>
      <c r="C597" t="s">
        <v>1269</v>
      </c>
      <c r="D597" t="s">
        <v>144</v>
      </c>
      <c r="E597">
        <v>-154.91439</v>
      </c>
      <c r="F597">
        <v>19.4624766666666</v>
      </c>
      <c r="G597" t="s">
        <v>1270</v>
      </c>
      <c r="H597" t="s">
        <v>1271</v>
      </c>
      <c r="I597" t="s">
        <v>1276</v>
      </c>
      <c r="J597" t="s">
        <v>68</v>
      </c>
      <c r="K597">
        <v>9.5718634546874988</v>
      </c>
      <c r="L597">
        <v>8.11254161328125</v>
      </c>
      <c r="M597">
        <v>243.95139442185709</v>
      </c>
      <c r="N597">
        <v>2876.0901839012881</v>
      </c>
      <c r="O597" t="s">
        <v>1277</v>
      </c>
      <c r="Q597">
        <v>9.0533333333333292</v>
      </c>
      <c r="R597">
        <v>1325.0039999999999</v>
      </c>
      <c r="S597">
        <v>50</v>
      </c>
      <c r="T597">
        <v>103.196578034059</v>
      </c>
      <c r="U597">
        <v>1.0404055257992701E-2</v>
      </c>
      <c r="V597">
        <v>0.18085846801962599</v>
      </c>
      <c r="W597">
        <v>4.0288599854556104E-3</v>
      </c>
      <c r="X597">
        <v>6.4927512354750618</v>
      </c>
      <c r="Y597">
        <v>5.4514328843285657E-2</v>
      </c>
      <c r="Z597">
        <v>0.63257748156119975</v>
      </c>
      <c r="AA597">
        <v>3.2788116573402332E-2</v>
      </c>
      <c r="AB597">
        <v>2.6445380789770949</v>
      </c>
      <c r="AC597">
        <v>0.12825751204012209</v>
      </c>
      <c r="AD597">
        <v>1261.2156165537881</v>
      </c>
      <c r="AE597">
        <v>50</v>
      </c>
      <c r="AF597">
        <v>86.562293269696298</v>
      </c>
      <c r="AG597">
        <v>2.5121921052631579</v>
      </c>
      <c r="AH597">
        <v>13.074163157894739</v>
      </c>
      <c r="AI597">
        <v>0.29389473684210532</v>
      </c>
      <c r="AJ597">
        <v>10.20886842105263</v>
      </c>
      <c r="AK597">
        <v>0.54598421052631574</v>
      </c>
      <c r="AL597">
        <v>2.8679000000000001</v>
      </c>
      <c r="AM597">
        <v>50.490678947368423</v>
      </c>
      <c r="AN597">
        <v>5.942205263157895</v>
      </c>
      <c r="AO597">
        <v>11.55592894736842</v>
      </c>
      <c r="AP597">
        <v>0.19241315789473681</v>
      </c>
      <c r="AQ597">
        <v>97.684228947368425</v>
      </c>
      <c r="AR597">
        <v>0.10033019549794051</v>
      </c>
      <c r="AS597">
        <v>0.14738958187412449</v>
      </c>
      <c r="AT597">
        <v>3.0546807865311158E-2</v>
      </c>
      <c r="AU597">
        <v>9.5648373992287164E-2</v>
      </c>
      <c r="AV597">
        <v>2.3881269116608591E-2</v>
      </c>
      <c r="AW597">
        <v>3.1785360886210923E-2</v>
      </c>
      <c r="AX597">
        <v>0.60766890503239923</v>
      </c>
      <c r="AY597">
        <v>7.4290807893217653E-2</v>
      </c>
      <c r="AZ597">
        <v>0.1755272860363162</v>
      </c>
      <c r="BA597">
        <v>3.9832708649583118E-2</v>
      </c>
      <c r="BB597">
        <v>19</v>
      </c>
      <c r="BC597" t="s">
        <v>86</v>
      </c>
    </row>
    <row r="598" spans="1:63" x14ac:dyDescent="0.2">
      <c r="A598">
        <v>3</v>
      </c>
      <c r="B598" t="s">
        <v>1268</v>
      </c>
      <c r="C598" t="s">
        <v>1269</v>
      </c>
      <c r="D598" t="s">
        <v>144</v>
      </c>
      <c r="E598">
        <v>-154.91439</v>
      </c>
      <c r="F598">
        <v>19.4624766666666</v>
      </c>
      <c r="G598" t="s">
        <v>1270</v>
      </c>
      <c r="H598" t="s">
        <v>1278</v>
      </c>
      <c r="I598" t="s">
        <v>1279</v>
      </c>
      <c r="J598" t="s">
        <v>68</v>
      </c>
      <c r="K598">
        <v>13.71981042734375</v>
      </c>
      <c r="L598">
        <v>12.43082319296875</v>
      </c>
      <c r="M598">
        <v>535.79403300369142</v>
      </c>
      <c r="N598">
        <v>9340.9023020194381</v>
      </c>
      <c r="Q598">
        <v>9.0248333333333299</v>
      </c>
      <c r="R598">
        <v>1325.0039999999999</v>
      </c>
      <c r="S598">
        <v>50</v>
      </c>
      <c r="T598">
        <v>103.12240542382</v>
      </c>
      <c r="U598">
        <v>1.7658603739808801E-3</v>
      </c>
      <c r="V598">
        <v>0.14731699770651299</v>
      </c>
      <c r="W598">
        <v>1.6955283387665801E-3</v>
      </c>
      <c r="X598">
        <v>0</v>
      </c>
      <c r="Y598">
        <v>6.6753013648853998E-2</v>
      </c>
      <c r="Z598">
        <v>0.49099070862782562</v>
      </c>
      <c r="AA598">
        <v>2.5090771075798868E-2</v>
      </c>
      <c r="AB598">
        <v>2.0820957731887639</v>
      </c>
      <c r="AC598">
        <v>0.1009072434556791</v>
      </c>
      <c r="AD598">
        <v>1213.4680269532189</v>
      </c>
      <c r="AE598">
        <v>50</v>
      </c>
      <c r="AF598">
        <v>83.886871213778903</v>
      </c>
      <c r="AG598">
        <v>2.5121921052631579</v>
      </c>
      <c r="AH598">
        <v>13.074163157894739</v>
      </c>
      <c r="AI598">
        <v>0.29389473684210532</v>
      </c>
      <c r="AJ598">
        <v>10.20886842105263</v>
      </c>
      <c r="AK598">
        <v>0.54598421052631574</v>
      </c>
      <c r="AL598">
        <v>2.8679000000000001</v>
      </c>
      <c r="AM598">
        <v>50.490678947368423</v>
      </c>
      <c r="AN598">
        <v>5.942205263157895</v>
      </c>
      <c r="AO598">
        <v>11.55592894736842</v>
      </c>
      <c r="AP598">
        <v>0.19241315789473681</v>
      </c>
      <c r="AQ598">
        <v>97.684228947368425</v>
      </c>
      <c r="AR598">
        <v>0.10033019549794051</v>
      </c>
      <c r="AS598">
        <v>0.14738958187412449</v>
      </c>
      <c r="AT598">
        <v>3.0546807865311158E-2</v>
      </c>
      <c r="AU598">
        <v>9.5648373992287164E-2</v>
      </c>
      <c r="AV598">
        <v>2.3881269116608591E-2</v>
      </c>
      <c r="AW598">
        <v>3.1785360886210923E-2</v>
      </c>
      <c r="AX598">
        <v>0.60766890503239923</v>
      </c>
      <c r="AY598">
        <v>7.4290807893217653E-2</v>
      </c>
      <c r="AZ598">
        <v>0.1755272860363162</v>
      </c>
      <c r="BA598">
        <v>3.9832708649583118E-2</v>
      </c>
      <c r="BB598">
        <v>19</v>
      </c>
      <c r="BC598" t="s">
        <v>86</v>
      </c>
    </row>
    <row r="599" spans="1:63" x14ac:dyDescent="0.2">
      <c r="A599">
        <v>4</v>
      </c>
      <c r="B599" t="s">
        <v>1268</v>
      </c>
      <c r="C599" t="s">
        <v>1269</v>
      </c>
      <c r="D599" t="s">
        <v>144</v>
      </c>
      <c r="E599">
        <v>-154.91439</v>
      </c>
      <c r="F599">
        <v>19.4624766666666</v>
      </c>
      <c r="G599" t="s">
        <v>1270</v>
      </c>
      <c r="H599" t="s">
        <v>1278</v>
      </c>
      <c r="I599" t="s">
        <v>1280</v>
      </c>
      <c r="J599" t="s">
        <v>68</v>
      </c>
      <c r="K599">
        <v>12.173490664843751</v>
      </c>
      <c r="L599">
        <v>9.4074565617187513</v>
      </c>
      <c r="M599">
        <v>359.78016896365602</v>
      </c>
      <c r="N599">
        <v>5176.2645597122664</v>
      </c>
      <c r="O599" t="s">
        <v>1281</v>
      </c>
      <c r="Q599">
        <v>12.028</v>
      </c>
      <c r="R599">
        <v>1325.0039999999999</v>
      </c>
      <c r="S599">
        <v>50</v>
      </c>
      <c r="T599">
        <v>102.9533449378</v>
      </c>
      <c r="U599">
        <v>7.4312223527708597E-3</v>
      </c>
      <c r="V599">
        <v>8.0377751244867499E-2</v>
      </c>
      <c r="W599">
        <v>2.9423813706763698E-3</v>
      </c>
      <c r="X599">
        <v>0</v>
      </c>
      <c r="Y599">
        <v>0.1160646830022766</v>
      </c>
      <c r="Z599">
        <v>0.27762272756669371</v>
      </c>
      <c r="AA599">
        <v>2.2966463183533001E-2</v>
      </c>
      <c r="AB599">
        <v>1.203838339080344</v>
      </c>
      <c r="AC599">
        <v>9.6462659752075491E-2</v>
      </c>
      <c r="AD599">
        <v>1261.0580748436571</v>
      </c>
      <c r="AE599">
        <v>50</v>
      </c>
      <c r="AF599">
        <v>86.554678858297805</v>
      </c>
      <c r="AG599">
        <v>2.5121921052631579</v>
      </c>
      <c r="AH599">
        <v>13.074163157894739</v>
      </c>
      <c r="AI599">
        <v>0.29389473684210532</v>
      </c>
      <c r="AJ599">
        <v>10.20886842105263</v>
      </c>
      <c r="AK599">
        <v>0.54598421052631574</v>
      </c>
      <c r="AL599">
        <v>2.8679000000000001</v>
      </c>
      <c r="AM599">
        <v>50.490678947368423</v>
      </c>
      <c r="AN599">
        <v>5.942205263157895</v>
      </c>
      <c r="AO599">
        <v>11.55592894736842</v>
      </c>
      <c r="AP599">
        <v>0.19241315789473681</v>
      </c>
      <c r="AQ599">
        <v>97.684228947368425</v>
      </c>
      <c r="AR599">
        <v>0.10033019549794051</v>
      </c>
      <c r="AS599">
        <v>0.14738958187412449</v>
      </c>
      <c r="AT599">
        <v>3.0546807865311158E-2</v>
      </c>
      <c r="AU599">
        <v>9.5648373992287164E-2</v>
      </c>
      <c r="AV599">
        <v>2.3881269116608591E-2</v>
      </c>
      <c r="AW599">
        <v>3.1785360886210923E-2</v>
      </c>
      <c r="AX599">
        <v>0.60766890503239923</v>
      </c>
      <c r="AY599">
        <v>7.4290807893217653E-2</v>
      </c>
      <c r="AZ599">
        <v>0.1755272860363162</v>
      </c>
      <c r="BA599">
        <v>3.9832708649583118E-2</v>
      </c>
      <c r="BB599">
        <v>19</v>
      </c>
      <c r="BC599" t="s">
        <v>86</v>
      </c>
    </row>
    <row r="600" spans="1:63" x14ac:dyDescent="0.2">
      <c r="A600">
        <v>5</v>
      </c>
      <c r="B600" t="s">
        <v>1268</v>
      </c>
      <c r="C600" t="s">
        <v>1269</v>
      </c>
      <c r="D600" t="s">
        <v>144</v>
      </c>
      <c r="E600">
        <v>-154.91439</v>
      </c>
      <c r="F600">
        <v>19.4624766666666</v>
      </c>
      <c r="G600" t="s">
        <v>1270</v>
      </c>
      <c r="H600" t="s">
        <v>1282</v>
      </c>
      <c r="I600" t="s">
        <v>1283</v>
      </c>
      <c r="J600" t="s">
        <v>68</v>
      </c>
      <c r="K600">
        <v>64.333538835156261</v>
      </c>
      <c r="L600">
        <v>62.320150073437503</v>
      </c>
      <c r="M600">
        <v>12595.511383668811</v>
      </c>
      <c r="N600">
        <v>1063511.98695456</v>
      </c>
      <c r="Q600">
        <v>10.021333333333301</v>
      </c>
      <c r="R600">
        <v>1325.0039999999999</v>
      </c>
      <c r="S600">
        <v>50</v>
      </c>
      <c r="T600">
        <v>103.253378281954</v>
      </c>
      <c r="U600">
        <v>2.3008358798033202E-2</v>
      </c>
      <c r="V600">
        <v>0.20409748058834001</v>
      </c>
      <c r="W600">
        <v>6.2265588462040999E-3</v>
      </c>
      <c r="X600">
        <v>4.8964658612038114</v>
      </c>
      <c r="Y600">
        <v>4.9966106885790618E-2</v>
      </c>
      <c r="Z600">
        <v>0.74941900810951756</v>
      </c>
      <c r="AA600">
        <v>4.2140451867919773E-2</v>
      </c>
      <c r="AB600">
        <v>3.0974284792586579</v>
      </c>
      <c r="AC600">
        <v>0.1612723222140742</v>
      </c>
      <c r="AD600">
        <v>1309.704737696105</v>
      </c>
      <c r="AE600">
        <v>50</v>
      </c>
      <c r="AF600">
        <v>88.656639126118307</v>
      </c>
      <c r="AG600">
        <v>2.5121921052631579</v>
      </c>
      <c r="AH600">
        <v>13.074163157894739</v>
      </c>
      <c r="AI600">
        <v>0.29389473684210532</v>
      </c>
      <c r="AJ600">
        <v>10.20886842105263</v>
      </c>
      <c r="AK600">
        <v>0.54598421052631574</v>
      </c>
      <c r="AL600">
        <v>2.8679000000000001</v>
      </c>
      <c r="AM600">
        <v>50.490678947368423</v>
      </c>
      <c r="AN600">
        <v>5.942205263157895</v>
      </c>
      <c r="AO600">
        <v>11.55592894736842</v>
      </c>
      <c r="AP600">
        <v>0.19241315789473681</v>
      </c>
      <c r="AQ600">
        <v>97.684228947368425</v>
      </c>
      <c r="AR600">
        <v>0.10033019549794051</v>
      </c>
      <c r="AS600">
        <v>0.14738958187412449</v>
      </c>
      <c r="AT600">
        <v>3.0546807865311158E-2</v>
      </c>
      <c r="AU600">
        <v>9.5648373992287164E-2</v>
      </c>
      <c r="AV600">
        <v>2.3881269116608591E-2</v>
      </c>
      <c r="AW600">
        <v>3.1785360886210923E-2</v>
      </c>
      <c r="AX600">
        <v>0.60766890503239923</v>
      </c>
      <c r="AY600">
        <v>7.4290807893217653E-2</v>
      </c>
      <c r="AZ600">
        <v>0.1755272860363162</v>
      </c>
      <c r="BA600">
        <v>3.9832708649583118E-2</v>
      </c>
      <c r="BB600">
        <v>19</v>
      </c>
      <c r="BC600" t="s">
        <v>86</v>
      </c>
    </row>
    <row r="601" spans="1:63" x14ac:dyDescent="0.2">
      <c r="A601">
        <v>6</v>
      </c>
      <c r="B601" t="s">
        <v>1268</v>
      </c>
      <c r="C601" t="s">
        <v>1269</v>
      </c>
      <c r="D601" t="s">
        <v>144</v>
      </c>
      <c r="E601">
        <v>-154.91439</v>
      </c>
      <c r="F601">
        <v>19.4624766666666</v>
      </c>
      <c r="G601" t="s">
        <v>1270</v>
      </c>
      <c r="H601" t="s">
        <v>1284</v>
      </c>
      <c r="I601" t="s">
        <v>1285</v>
      </c>
      <c r="J601" t="s">
        <v>68</v>
      </c>
      <c r="K601">
        <v>8.0648874414062508</v>
      </c>
      <c r="L601">
        <v>6.6451999234375014</v>
      </c>
      <c r="M601">
        <v>168.36671349007571</v>
      </c>
      <c r="N601">
        <v>1651.1260431804201</v>
      </c>
      <c r="O601" t="s">
        <v>1286</v>
      </c>
      <c r="Q601">
        <v>6.0270000000000001</v>
      </c>
      <c r="R601">
        <v>1324.9870000000001</v>
      </c>
      <c r="S601">
        <v>50</v>
      </c>
      <c r="T601">
        <v>103.07193160664001</v>
      </c>
      <c r="U601">
        <v>1.04114705420089E-2</v>
      </c>
      <c r="V601">
        <v>0.12733196532218399</v>
      </c>
      <c r="W601">
        <v>4.1224061816400497E-3</v>
      </c>
      <c r="X601">
        <v>3.821651902089811</v>
      </c>
      <c r="Y601">
        <v>7.7814399086413966E-2</v>
      </c>
      <c r="Z601">
        <v>0.4211169872146886</v>
      </c>
      <c r="AA601">
        <v>2.7139724739788131E-2</v>
      </c>
      <c r="AB601">
        <v>1.798689461498391</v>
      </c>
      <c r="AC601">
        <v>0.1106698197728473</v>
      </c>
      <c r="AD601">
        <v>1208.0051195116339</v>
      </c>
      <c r="AE601">
        <v>50</v>
      </c>
      <c r="AF601">
        <v>83.517936671080506</v>
      </c>
      <c r="AG601">
        <v>2.5121921052631579</v>
      </c>
      <c r="AH601">
        <v>13.074163157894739</v>
      </c>
      <c r="AI601">
        <v>0.29389473684210532</v>
      </c>
      <c r="AJ601">
        <v>10.20886842105263</v>
      </c>
      <c r="AK601">
        <v>0.54598421052631574</v>
      </c>
      <c r="AL601">
        <v>2.8679000000000001</v>
      </c>
      <c r="AM601">
        <v>50.490678947368423</v>
      </c>
      <c r="AN601">
        <v>5.942205263157895</v>
      </c>
      <c r="AO601">
        <v>11.55592894736842</v>
      </c>
      <c r="AP601">
        <v>0.19241315789473681</v>
      </c>
      <c r="AQ601">
        <v>97.684228947368425</v>
      </c>
      <c r="AR601">
        <v>0.10033019549794051</v>
      </c>
      <c r="AS601">
        <v>0.14738958187412449</v>
      </c>
      <c r="AT601">
        <v>3.0546807865311158E-2</v>
      </c>
      <c r="AU601">
        <v>9.5648373992287164E-2</v>
      </c>
      <c r="AV601">
        <v>2.3881269116608591E-2</v>
      </c>
      <c r="AW601">
        <v>3.1785360886210923E-2</v>
      </c>
      <c r="AX601">
        <v>0.60766890503239923</v>
      </c>
      <c r="AY601">
        <v>7.4290807893217653E-2</v>
      </c>
      <c r="AZ601">
        <v>0.1755272860363162</v>
      </c>
      <c r="BA601">
        <v>3.9832708649583118E-2</v>
      </c>
      <c r="BB601">
        <v>19</v>
      </c>
      <c r="BC601" t="s">
        <v>86</v>
      </c>
    </row>
    <row r="602" spans="1:63" x14ac:dyDescent="0.2">
      <c r="A602">
        <v>7</v>
      </c>
      <c r="B602" t="s">
        <v>1268</v>
      </c>
      <c r="C602" t="s">
        <v>1269</v>
      </c>
      <c r="D602" t="s">
        <v>144</v>
      </c>
      <c r="E602">
        <v>-154.91439</v>
      </c>
      <c r="F602">
        <v>19.4624766666666</v>
      </c>
      <c r="G602" t="s">
        <v>1270</v>
      </c>
      <c r="H602" t="s">
        <v>1284</v>
      </c>
      <c r="I602" t="s">
        <v>1287</v>
      </c>
      <c r="J602" t="s">
        <v>68</v>
      </c>
      <c r="K602">
        <v>9.9138693101562509</v>
      </c>
      <c r="L602">
        <v>8.31803570078125</v>
      </c>
      <c r="M602">
        <v>259.06804166033658</v>
      </c>
      <c r="N602">
        <v>3148.8692846139029</v>
      </c>
      <c r="O602" t="s">
        <v>1288</v>
      </c>
      <c r="Q602">
        <v>9.0340000000000007</v>
      </c>
      <c r="R602">
        <v>1324.9870000000001</v>
      </c>
      <c r="S602">
        <v>50</v>
      </c>
      <c r="T602">
        <v>103.06739803843899</v>
      </c>
      <c r="U602">
        <v>3.9132847044522096E-3</v>
      </c>
      <c r="V602">
        <v>0.12553690577662299</v>
      </c>
      <c r="W602">
        <v>1.0462394446131701E-3</v>
      </c>
      <c r="X602">
        <v>1.64365119289829</v>
      </c>
      <c r="Y602">
        <v>7.8918750519165637E-2</v>
      </c>
      <c r="Z602">
        <v>0.41535793928327558</v>
      </c>
      <c r="AA602">
        <v>2.277732906218952E-2</v>
      </c>
      <c r="AB602">
        <v>1.7751523015011581</v>
      </c>
      <c r="AC602">
        <v>9.3008146153089541E-2</v>
      </c>
      <c r="AD602">
        <v>1208.880982110152</v>
      </c>
      <c r="AE602">
        <v>50</v>
      </c>
      <c r="AF602">
        <v>83.578259635179407</v>
      </c>
      <c r="AG602">
        <v>2.5121921052631579</v>
      </c>
      <c r="AH602">
        <v>13.074163157894739</v>
      </c>
      <c r="AI602">
        <v>0.29389473684210532</v>
      </c>
      <c r="AJ602">
        <v>10.20886842105263</v>
      </c>
      <c r="AK602">
        <v>0.54598421052631574</v>
      </c>
      <c r="AL602">
        <v>2.8679000000000001</v>
      </c>
      <c r="AM602">
        <v>50.490678947368423</v>
      </c>
      <c r="AN602">
        <v>5.942205263157895</v>
      </c>
      <c r="AO602">
        <v>11.55592894736842</v>
      </c>
      <c r="AP602">
        <v>0.19241315789473681</v>
      </c>
      <c r="AQ602">
        <v>97.684228947368425</v>
      </c>
      <c r="AR602">
        <v>0.10033019549794051</v>
      </c>
      <c r="AS602">
        <v>0.14738958187412449</v>
      </c>
      <c r="AT602">
        <v>3.0546807865311158E-2</v>
      </c>
      <c r="AU602">
        <v>9.5648373992287164E-2</v>
      </c>
      <c r="AV602">
        <v>2.3881269116608591E-2</v>
      </c>
      <c r="AW602">
        <v>3.1785360886210923E-2</v>
      </c>
      <c r="AX602">
        <v>0.60766890503239923</v>
      </c>
      <c r="AY602">
        <v>7.4290807893217653E-2</v>
      </c>
      <c r="AZ602">
        <v>0.1755272860363162</v>
      </c>
      <c r="BA602">
        <v>3.9832708649583118E-2</v>
      </c>
      <c r="BB602">
        <v>19</v>
      </c>
      <c r="BC602" t="s">
        <v>86</v>
      </c>
    </row>
    <row r="603" spans="1:63" x14ac:dyDescent="0.2">
      <c r="A603">
        <v>8</v>
      </c>
      <c r="B603" t="s">
        <v>1268</v>
      </c>
      <c r="C603" t="s">
        <v>1269</v>
      </c>
      <c r="D603" t="s">
        <v>144</v>
      </c>
      <c r="E603">
        <v>-154.91439</v>
      </c>
      <c r="F603">
        <v>19.4624766666666</v>
      </c>
      <c r="G603" t="s">
        <v>1270</v>
      </c>
      <c r="H603" t="s">
        <v>1289</v>
      </c>
      <c r="I603" t="s">
        <v>1290</v>
      </c>
      <c r="J603" t="s">
        <v>85</v>
      </c>
      <c r="K603">
        <v>19.619687479687499</v>
      </c>
      <c r="L603">
        <v>17.235758474218748</v>
      </c>
      <c r="M603">
        <v>1062.361583530256</v>
      </c>
      <c r="N603">
        <v>26102.53995020374</v>
      </c>
      <c r="O603" t="s">
        <v>1291</v>
      </c>
      <c r="Q603">
        <v>6.008</v>
      </c>
      <c r="R603">
        <v>1325.0039999999999</v>
      </c>
      <c r="S603">
        <v>50</v>
      </c>
      <c r="T603">
        <v>103.174009778222</v>
      </c>
      <c r="U603">
        <v>2.4754603411765899E-2</v>
      </c>
      <c r="V603">
        <v>0.16774966461274901</v>
      </c>
      <c r="W603">
        <v>1.19000045430972E-2</v>
      </c>
      <c r="X603">
        <v>4.1777650560004949</v>
      </c>
      <c r="Y603">
        <v>5.6419180932174573E-2</v>
      </c>
      <c r="Z603">
        <v>0.59997728933833805</v>
      </c>
      <c r="AA603">
        <v>5.4938205933963043E-2</v>
      </c>
      <c r="AB603">
        <v>2.5163968536648071</v>
      </c>
      <c r="AC603">
        <v>0.21615556358663129</v>
      </c>
      <c r="AD603">
        <v>1307.147021100903</v>
      </c>
      <c r="AE603">
        <v>50</v>
      </c>
      <c r="AF603">
        <v>88.556639692000701</v>
      </c>
      <c r="AG603">
        <v>2.5121921052631579</v>
      </c>
      <c r="AH603">
        <v>13.074163157894739</v>
      </c>
      <c r="AI603">
        <v>0.29389473684210532</v>
      </c>
      <c r="AJ603">
        <v>10.20886842105263</v>
      </c>
      <c r="AK603">
        <v>0.54598421052631574</v>
      </c>
      <c r="AL603">
        <v>2.8679000000000001</v>
      </c>
      <c r="AM603">
        <v>50.490678947368423</v>
      </c>
      <c r="AN603">
        <v>5.942205263157895</v>
      </c>
      <c r="AO603">
        <v>11.55592894736842</v>
      </c>
      <c r="AP603">
        <v>0.19241315789473681</v>
      </c>
      <c r="AQ603">
        <v>97.684228947368425</v>
      </c>
      <c r="AR603">
        <v>0.10033019549794051</v>
      </c>
      <c r="AS603">
        <v>0.14738958187412449</v>
      </c>
      <c r="AT603">
        <v>3.0546807865311158E-2</v>
      </c>
      <c r="AU603">
        <v>9.5648373992287164E-2</v>
      </c>
      <c r="AV603">
        <v>2.3881269116608591E-2</v>
      </c>
      <c r="AW603">
        <v>3.1785360886210923E-2</v>
      </c>
      <c r="AX603">
        <v>0.60766890503239923</v>
      </c>
      <c r="AY603">
        <v>7.4290807893217653E-2</v>
      </c>
      <c r="AZ603">
        <v>0.1755272860363162</v>
      </c>
      <c r="BA603">
        <v>3.9832708649583118E-2</v>
      </c>
      <c r="BB603">
        <v>19</v>
      </c>
      <c r="BC603" t="s">
        <v>86</v>
      </c>
    </row>
    <row r="604" spans="1:63" x14ac:dyDescent="0.2">
      <c r="A604">
        <v>9</v>
      </c>
      <c r="B604" t="s">
        <v>1268</v>
      </c>
      <c r="C604" t="s">
        <v>1269</v>
      </c>
      <c r="D604" t="s">
        <v>144</v>
      </c>
      <c r="E604">
        <v>-154.91439</v>
      </c>
      <c r="F604">
        <v>19.4624766666666</v>
      </c>
      <c r="G604" t="s">
        <v>1270</v>
      </c>
      <c r="H604" t="s">
        <v>1289</v>
      </c>
      <c r="I604" t="s">
        <v>1292</v>
      </c>
      <c r="J604" t="s">
        <v>85</v>
      </c>
      <c r="K604">
        <v>8.9301012351562505</v>
      </c>
      <c r="L604">
        <v>8.3387245851562497</v>
      </c>
      <c r="M604">
        <v>233.94075380535151</v>
      </c>
      <c r="N604">
        <v>2693.2547531581481</v>
      </c>
      <c r="O604" t="s">
        <v>1291</v>
      </c>
      <c r="Q604">
        <v>6.048</v>
      </c>
      <c r="R604">
        <v>1325.0039999999999</v>
      </c>
      <c r="S604">
        <v>50</v>
      </c>
      <c r="T604">
        <v>103.153681188452</v>
      </c>
      <c r="U604">
        <v>8.5988493448731704E-3</v>
      </c>
      <c r="V604">
        <v>0.159700589912212</v>
      </c>
      <c r="W604">
        <v>3.40470153099659E-3</v>
      </c>
      <c r="X604">
        <v>4.2023816814414108</v>
      </c>
      <c r="Y604">
        <v>5.8818927776839058E-2</v>
      </c>
      <c r="Z604">
        <v>0.56706472520501006</v>
      </c>
      <c r="AA604">
        <v>2.907465202869465E-2</v>
      </c>
      <c r="AB604">
        <v>2.3862133844272462</v>
      </c>
      <c r="AC604">
        <v>0.11518412592809379</v>
      </c>
      <c r="AD604">
        <v>1302.5617616717791</v>
      </c>
      <c r="AE604">
        <v>50</v>
      </c>
      <c r="AF604">
        <v>88.374853490891198</v>
      </c>
      <c r="AG604">
        <v>2.5121921052631579</v>
      </c>
      <c r="AH604">
        <v>13.074163157894739</v>
      </c>
      <c r="AI604">
        <v>0.29389473684210532</v>
      </c>
      <c r="AJ604">
        <v>10.20886842105263</v>
      </c>
      <c r="AK604">
        <v>0.54598421052631574</v>
      </c>
      <c r="AL604">
        <v>2.8679000000000001</v>
      </c>
      <c r="AM604">
        <v>50.490678947368423</v>
      </c>
      <c r="AN604">
        <v>5.942205263157895</v>
      </c>
      <c r="AO604">
        <v>11.55592894736842</v>
      </c>
      <c r="AP604">
        <v>0.19241315789473681</v>
      </c>
      <c r="AQ604">
        <v>97.684228947368425</v>
      </c>
      <c r="AR604">
        <v>0.10033019549794051</v>
      </c>
      <c r="AS604">
        <v>0.14738958187412449</v>
      </c>
      <c r="AT604">
        <v>3.0546807865311158E-2</v>
      </c>
      <c r="AU604">
        <v>9.5648373992287164E-2</v>
      </c>
      <c r="AV604">
        <v>2.3881269116608591E-2</v>
      </c>
      <c r="AW604">
        <v>3.1785360886210923E-2</v>
      </c>
      <c r="AX604">
        <v>0.60766890503239923</v>
      </c>
      <c r="AY604">
        <v>7.4290807893217653E-2</v>
      </c>
      <c r="AZ604">
        <v>0.1755272860363162</v>
      </c>
      <c r="BA604">
        <v>3.9832708649583118E-2</v>
      </c>
      <c r="BB604">
        <v>19</v>
      </c>
      <c r="BC604" t="s">
        <v>86</v>
      </c>
    </row>
    <row r="605" spans="1:63" x14ac:dyDescent="0.2">
      <c r="A605">
        <v>10</v>
      </c>
      <c r="B605" t="s">
        <v>1268</v>
      </c>
      <c r="C605" t="s">
        <v>1269</v>
      </c>
      <c r="D605" t="s">
        <v>144</v>
      </c>
      <c r="E605">
        <v>-154.91439</v>
      </c>
      <c r="F605">
        <v>19.4624766666666</v>
      </c>
      <c r="G605" t="s">
        <v>1270</v>
      </c>
      <c r="H605" t="s">
        <v>1289</v>
      </c>
      <c r="I605" t="s">
        <v>1293</v>
      </c>
      <c r="J605" t="s">
        <v>85</v>
      </c>
      <c r="K605">
        <v>13.267095794531251</v>
      </c>
      <c r="L605">
        <v>10.226062250781251</v>
      </c>
      <c r="M605">
        <v>426.22033864075257</v>
      </c>
      <c r="N605">
        <v>6675.5078518758764</v>
      </c>
      <c r="O605" t="s">
        <v>1291</v>
      </c>
      <c r="Q605">
        <v>6.0490000000000004</v>
      </c>
      <c r="R605">
        <v>1325.0039999999999</v>
      </c>
      <c r="S605">
        <v>50</v>
      </c>
      <c r="T605">
        <v>103.18535221773899</v>
      </c>
      <c r="U605">
        <v>1.3635185233962699E-2</v>
      </c>
      <c r="V605">
        <v>0.176282331531183</v>
      </c>
      <c r="W605">
        <v>7.4986137877246497E-3</v>
      </c>
      <c r="X605">
        <v>4.3851682492656279</v>
      </c>
      <c r="Y605">
        <v>5.4509335118035573E-2</v>
      </c>
      <c r="Z605">
        <v>0.6325842387203453</v>
      </c>
      <c r="AA605">
        <v>4.0049788908504837E-2</v>
      </c>
      <c r="AB605">
        <v>2.6445645570372678</v>
      </c>
      <c r="AC605">
        <v>0.15676449559090189</v>
      </c>
      <c r="AD605">
        <v>1304.3390335761289</v>
      </c>
      <c r="AE605">
        <v>50</v>
      </c>
      <c r="AF605">
        <v>88.445704780608594</v>
      </c>
      <c r="AG605">
        <v>2.5121921052631579</v>
      </c>
      <c r="AH605">
        <v>13.074163157894739</v>
      </c>
      <c r="AI605">
        <v>0.29389473684210532</v>
      </c>
      <c r="AJ605">
        <v>10.20886842105263</v>
      </c>
      <c r="AK605">
        <v>0.54598421052631574</v>
      </c>
      <c r="AL605">
        <v>2.8679000000000001</v>
      </c>
      <c r="AM605">
        <v>50.490678947368423</v>
      </c>
      <c r="AN605">
        <v>5.942205263157895</v>
      </c>
      <c r="AO605">
        <v>11.55592894736842</v>
      </c>
      <c r="AP605">
        <v>0.19241315789473681</v>
      </c>
      <c r="AQ605">
        <v>97.684228947368425</v>
      </c>
      <c r="AR605">
        <v>0.10033019549794051</v>
      </c>
      <c r="AS605">
        <v>0.14738958187412449</v>
      </c>
      <c r="AT605">
        <v>3.0546807865311158E-2</v>
      </c>
      <c r="AU605">
        <v>9.5648373992287164E-2</v>
      </c>
      <c r="AV605">
        <v>2.3881269116608591E-2</v>
      </c>
      <c r="AW605">
        <v>3.1785360886210923E-2</v>
      </c>
      <c r="AX605">
        <v>0.60766890503239923</v>
      </c>
      <c r="AY605">
        <v>7.4290807893217653E-2</v>
      </c>
      <c r="AZ605">
        <v>0.1755272860363162</v>
      </c>
      <c r="BA605">
        <v>3.9832708649583118E-2</v>
      </c>
      <c r="BB605">
        <v>19</v>
      </c>
      <c r="BC605" t="s">
        <v>86</v>
      </c>
    </row>
    <row r="606" spans="1:63" x14ac:dyDescent="0.2">
      <c r="A606">
        <v>11</v>
      </c>
      <c r="B606" t="s">
        <v>1268</v>
      </c>
      <c r="C606" t="s">
        <v>1269</v>
      </c>
      <c r="D606" t="s">
        <v>144</v>
      </c>
      <c r="E606">
        <v>-154.91439</v>
      </c>
      <c r="F606">
        <v>19.4624766666666</v>
      </c>
      <c r="G606" t="s">
        <v>1270</v>
      </c>
      <c r="H606" t="s">
        <v>1289</v>
      </c>
      <c r="I606" t="s">
        <v>1294</v>
      </c>
      <c r="J606" t="s">
        <v>85</v>
      </c>
      <c r="K606">
        <v>10.501933414062499</v>
      </c>
      <c r="L606">
        <v>9.2493841867187498</v>
      </c>
      <c r="M606">
        <v>305.16305357200508</v>
      </c>
      <c r="N606">
        <v>4018.2482607499301</v>
      </c>
      <c r="O606" t="s">
        <v>1291</v>
      </c>
      <c r="Q606">
        <v>6.0179999999999998</v>
      </c>
      <c r="R606">
        <v>1325.0039999999999</v>
      </c>
      <c r="S606">
        <v>50</v>
      </c>
      <c r="T606">
        <v>103.17336342061699</v>
      </c>
      <c r="U606">
        <v>8.6301726752515493E-3</v>
      </c>
      <c r="V606">
        <v>0.16749374028608999</v>
      </c>
      <c r="W606">
        <v>5.4191336510278597E-3</v>
      </c>
      <c r="X606">
        <v>4.8111241715191673</v>
      </c>
      <c r="Y606">
        <v>5.6492844594396407E-2</v>
      </c>
      <c r="Z606">
        <v>0.59885218721439404</v>
      </c>
      <c r="AA606">
        <v>3.3726264941740268E-2</v>
      </c>
      <c r="AB606">
        <v>2.511960177506793</v>
      </c>
      <c r="AC606">
        <v>0.13286339522598359</v>
      </c>
      <c r="AD606">
        <v>1306.8281230551529</v>
      </c>
      <c r="AE606">
        <v>50</v>
      </c>
      <c r="AF606">
        <v>88.544102189610001</v>
      </c>
      <c r="AG606">
        <v>2.5121921052631579</v>
      </c>
      <c r="AH606">
        <v>13.074163157894739</v>
      </c>
      <c r="AI606">
        <v>0.29389473684210532</v>
      </c>
      <c r="AJ606">
        <v>10.20886842105263</v>
      </c>
      <c r="AK606">
        <v>0.54598421052631574</v>
      </c>
      <c r="AL606">
        <v>2.8679000000000001</v>
      </c>
      <c r="AM606">
        <v>50.490678947368423</v>
      </c>
      <c r="AN606">
        <v>5.942205263157895</v>
      </c>
      <c r="AO606">
        <v>11.55592894736842</v>
      </c>
      <c r="AP606">
        <v>0.19241315789473681</v>
      </c>
      <c r="AQ606">
        <v>97.684228947368425</v>
      </c>
      <c r="AR606">
        <v>0.10033019549794051</v>
      </c>
      <c r="AS606">
        <v>0.14738958187412449</v>
      </c>
      <c r="AT606">
        <v>3.0546807865311158E-2</v>
      </c>
      <c r="AU606">
        <v>9.5648373992287164E-2</v>
      </c>
      <c r="AV606">
        <v>2.3881269116608591E-2</v>
      </c>
      <c r="AW606">
        <v>3.1785360886210923E-2</v>
      </c>
      <c r="AX606">
        <v>0.60766890503239923</v>
      </c>
      <c r="AY606">
        <v>7.4290807893217653E-2</v>
      </c>
      <c r="AZ606">
        <v>0.1755272860363162</v>
      </c>
      <c r="BA606">
        <v>3.9832708649583118E-2</v>
      </c>
      <c r="BB606">
        <v>19</v>
      </c>
      <c r="BC606" t="s">
        <v>86</v>
      </c>
    </row>
    <row r="607" spans="1:63" x14ac:dyDescent="0.2">
      <c r="A607">
        <v>12</v>
      </c>
      <c r="B607" t="s">
        <v>1268</v>
      </c>
      <c r="C607" t="s">
        <v>1269</v>
      </c>
      <c r="D607" t="s">
        <v>144</v>
      </c>
      <c r="E607">
        <v>-154.91439</v>
      </c>
      <c r="F607">
        <v>19.4624766666666</v>
      </c>
      <c r="G607" t="s">
        <v>1270</v>
      </c>
      <c r="H607" t="s">
        <v>1289</v>
      </c>
      <c r="I607" t="s">
        <v>1295</v>
      </c>
      <c r="J607" t="s">
        <v>85</v>
      </c>
      <c r="K607">
        <v>7.8362055312500001</v>
      </c>
      <c r="L607">
        <v>7.8362055312500001</v>
      </c>
      <c r="M607">
        <v>192.9130064547775</v>
      </c>
      <c r="N607">
        <v>2015.607957641326</v>
      </c>
      <c r="O607" t="s">
        <v>1291</v>
      </c>
      <c r="Q607">
        <v>6.0090000000000003</v>
      </c>
      <c r="R607">
        <v>1325.0039999999999</v>
      </c>
      <c r="S607">
        <v>50</v>
      </c>
      <c r="T607">
        <v>103.186617090073</v>
      </c>
      <c r="U607">
        <v>8.4393393626751908E-3</v>
      </c>
      <c r="V607">
        <v>0.17679744436463801</v>
      </c>
      <c r="W607">
        <v>3.4371304454907602E-3</v>
      </c>
      <c r="X607">
        <v>4.4527023928279279</v>
      </c>
      <c r="Y607">
        <v>5.4342262659642149E-2</v>
      </c>
      <c r="Z607">
        <v>0.63579598358196121</v>
      </c>
      <c r="AA607">
        <v>3.1364471190220483E-2</v>
      </c>
      <c r="AB607">
        <v>2.6571460093486841</v>
      </c>
      <c r="AC607">
        <v>0.1226891996633989</v>
      </c>
      <c r="AD607">
        <v>1307.147021100903</v>
      </c>
      <c r="AE607">
        <v>50</v>
      </c>
      <c r="AF607">
        <v>88.556639692000701</v>
      </c>
      <c r="AG607">
        <v>2.5121921052631579</v>
      </c>
      <c r="AH607">
        <v>13.074163157894739</v>
      </c>
      <c r="AI607">
        <v>0.29389473684210532</v>
      </c>
      <c r="AJ607">
        <v>10.20886842105263</v>
      </c>
      <c r="AK607">
        <v>0.54598421052631574</v>
      </c>
      <c r="AL607">
        <v>2.8679000000000001</v>
      </c>
      <c r="AM607">
        <v>50.490678947368423</v>
      </c>
      <c r="AN607">
        <v>5.942205263157895</v>
      </c>
      <c r="AO607">
        <v>11.55592894736842</v>
      </c>
      <c r="AP607">
        <v>0.19241315789473681</v>
      </c>
      <c r="AQ607">
        <v>97.684228947368425</v>
      </c>
      <c r="AR607">
        <v>0.10033019549794051</v>
      </c>
      <c r="AS607">
        <v>0.14738958187412449</v>
      </c>
      <c r="AT607">
        <v>3.0546807865311158E-2</v>
      </c>
      <c r="AU607">
        <v>9.5648373992287164E-2</v>
      </c>
      <c r="AV607">
        <v>2.3881269116608591E-2</v>
      </c>
      <c r="AW607">
        <v>3.1785360886210923E-2</v>
      </c>
      <c r="AX607">
        <v>0.60766890503239923</v>
      </c>
      <c r="AY607">
        <v>7.4290807893217653E-2</v>
      </c>
      <c r="AZ607">
        <v>0.1755272860363162</v>
      </c>
      <c r="BA607">
        <v>3.9832708649583118E-2</v>
      </c>
      <c r="BB607">
        <v>19</v>
      </c>
      <c r="BC607" t="s">
        <v>86</v>
      </c>
    </row>
    <row r="608" spans="1:63" x14ac:dyDescent="0.2">
      <c r="A608">
        <v>13</v>
      </c>
      <c r="B608" t="s">
        <v>1268</v>
      </c>
      <c r="C608" t="s">
        <v>1269</v>
      </c>
      <c r="D608" t="s">
        <v>144</v>
      </c>
      <c r="E608">
        <v>-154.91439</v>
      </c>
      <c r="F608">
        <v>19.4624766666666</v>
      </c>
      <c r="G608" t="s">
        <v>1270</v>
      </c>
      <c r="H608" t="s">
        <v>1289</v>
      </c>
      <c r="I608" t="s">
        <v>1296</v>
      </c>
      <c r="J608" t="s">
        <v>85</v>
      </c>
      <c r="K608">
        <v>14.993164768750001</v>
      </c>
      <c r="L608">
        <v>14.993164768750001</v>
      </c>
      <c r="M608">
        <v>706.21428846570814</v>
      </c>
      <c r="N608">
        <v>14117.8495853492</v>
      </c>
      <c r="O608" t="s">
        <v>1291</v>
      </c>
      <c r="Q608">
        <v>5.9989999999999997</v>
      </c>
      <c r="R608">
        <v>1325.0039999999999</v>
      </c>
      <c r="S608">
        <v>50</v>
      </c>
      <c r="T608">
        <v>103.18546815469</v>
      </c>
      <c r="U608">
        <v>1.2664325072423E-2</v>
      </c>
      <c r="V608">
        <v>0.176329543211977</v>
      </c>
      <c r="W608">
        <v>7.1091255241739698E-3</v>
      </c>
      <c r="X608">
        <v>4.2164059324102823</v>
      </c>
      <c r="Y608">
        <v>5.4438958299726559E-2</v>
      </c>
      <c r="Z608">
        <v>0.63392568376686453</v>
      </c>
      <c r="AA608">
        <v>3.9055361805603581E-2</v>
      </c>
      <c r="AB608">
        <v>2.6498203648774821</v>
      </c>
      <c r="AC608">
        <v>0.1528319130350155</v>
      </c>
      <c r="AD608">
        <v>1307.147021100903</v>
      </c>
      <c r="AE608">
        <v>50</v>
      </c>
      <c r="AF608">
        <v>88.556639692000701</v>
      </c>
      <c r="AG608">
        <v>2.5121921052631579</v>
      </c>
      <c r="AH608">
        <v>13.074163157894739</v>
      </c>
      <c r="AI608">
        <v>0.29389473684210532</v>
      </c>
      <c r="AJ608">
        <v>10.20886842105263</v>
      </c>
      <c r="AK608">
        <v>0.54598421052631574</v>
      </c>
      <c r="AL608">
        <v>2.8679000000000001</v>
      </c>
      <c r="AM608">
        <v>50.490678947368423</v>
      </c>
      <c r="AN608">
        <v>5.942205263157895</v>
      </c>
      <c r="AO608">
        <v>11.55592894736842</v>
      </c>
      <c r="AP608">
        <v>0.19241315789473681</v>
      </c>
      <c r="AQ608">
        <v>97.684228947368425</v>
      </c>
      <c r="AR608">
        <v>0.10033019549794051</v>
      </c>
      <c r="AS608">
        <v>0.14738958187412449</v>
      </c>
      <c r="AT608">
        <v>3.0546807865311158E-2</v>
      </c>
      <c r="AU608">
        <v>9.5648373992287164E-2</v>
      </c>
      <c r="AV608">
        <v>2.3881269116608591E-2</v>
      </c>
      <c r="AW608">
        <v>3.1785360886210923E-2</v>
      </c>
      <c r="AX608">
        <v>0.60766890503239923</v>
      </c>
      <c r="AY608">
        <v>7.4290807893217653E-2</v>
      </c>
      <c r="AZ608">
        <v>0.1755272860363162</v>
      </c>
      <c r="BA608">
        <v>3.9832708649583118E-2</v>
      </c>
      <c r="BB608">
        <v>19</v>
      </c>
      <c r="BC608" t="s">
        <v>86</v>
      </c>
    </row>
    <row r="609" spans="1:55" x14ac:dyDescent="0.2">
      <c r="A609">
        <v>14</v>
      </c>
      <c r="B609" t="s">
        <v>1268</v>
      </c>
      <c r="C609" t="s">
        <v>1269</v>
      </c>
      <c r="D609" t="s">
        <v>144</v>
      </c>
      <c r="E609">
        <v>-154.91439</v>
      </c>
      <c r="F609">
        <v>19.4624766666666</v>
      </c>
      <c r="G609" t="s">
        <v>1270</v>
      </c>
      <c r="H609" t="s">
        <v>1289</v>
      </c>
      <c r="I609" t="s">
        <v>1297</v>
      </c>
      <c r="J609" t="s">
        <v>85</v>
      </c>
      <c r="K609">
        <v>18.535729414062502</v>
      </c>
      <c r="L609">
        <v>18.533462935156251</v>
      </c>
      <c r="M609">
        <v>1079.235264069868</v>
      </c>
      <c r="N609">
        <v>26670.919729243869</v>
      </c>
      <c r="O609" t="s">
        <v>1291</v>
      </c>
      <c r="Q609">
        <v>6.0179999999999998</v>
      </c>
      <c r="R609">
        <v>1325.0039999999999</v>
      </c>
      <c r="S609">
        <v>50</v>
      </c>
      <c r="T609">
        <v>103.191596150808</v>
      </c>
      <c r="U609">
        <v>9.9840766957963196E-3</v>
      </c>
      <c r="V609">
        <v>0.178825855862669</v>
      </c>
      <c r="W609">
        <v>4.0685558778932301E-3</v>
      </c>
      <c r="X609">
        <v>5.2988573371303964</v>
      </c>
      <c r="Y609">
        <v>5.3935258574700502E-2</v>
      </c>
      <c r="Z609">
        <v>0.64392654623970658</v>
      </c>
      <c r="AA609">
        <v>3.2668311108029729E-2</v>
      </c>
      <c r="AB609">
        <v>2.688961954520281</v>
      </c>
      <c r="AC609">
        <v>0.1275912733874876</v>
      </c>
      <c r="AD609">
        <v>1307.147021100903</v>
      </c>
      <c r="AE609">
        <v>50</v>
      </c>
      <c r="AF609">
        <v>88.556639692000701</v>
      </c>
      <c r="AG609">
        <v>2.5121921052631579</v>
      </c>
      <c r="AH609">
        <v>13.074163157894739</v>
      </c>
      <c r="AI609">
        <v>0.29389473684210532</v>
      </c>
      <c r="AJ609">
        <v>10.20886842105263</v>
      </c>
      <c r="AK609">
        <v>0.54598421052631574</v>
      </c>
      <c r="AL609">
        <v>2.8679000000000001</v>
      </c>
      <c r="AM609">
        <v>50.490678947368423</v>
      </c>
      <c r="AN609">
        <v>5.942205263157895</v>
      </c>
      <c r="AO609">
        <v>11.55592894736842</v>
      </c>
      <c r="AP609">
        <v>0.19241315789473681</v>
      </c>
      <c r="AQ609">
        <v>97.684228947368425</v>
      </c>
      <c r="AR609">
        <v>0.10033019549794051</v>
      </c>
      <c r="AS609">
        <v>0.14738958187412449</v>
      </c>
      <c r="AT609">
        <v>3.0546807865311158E-2</v>
      </c>
      <c r="AU609">
        <v>9.5648373992287164E-2</v>
      </c>
      <c r="AV609">
        <v>2.3881269116608591E-2</v>
      </c>
      <c r="AW609">
        <v>3.1785360886210923E-2</v>
      </c>
      <c r="AX609">
        <v>0.60766890503239923</v>
      </c>
      <c r="AY609">
        <v>7.4290807893217653E-2</v>
      </c>
      <c r="AZ609">
        <v>0.1755272860363162</v>
      </c>
      <c r="BA609">
        <v>3.9832708649583118E-2</v>
      </c>
      <c r="BB609">
        <v>19</v>
      </c>
      <c r="BC609" t="s">
        <v>86</v>
      </c>
    </row>
    <row r="610" spans="1:55" x14ac:dyDescent="0.2">
      <c r="A610">
        <v>15</v>
      </c>
      <c r="B610" t="s">
        <v>1268</v>
      </c>
      <c r="C610" t="s">
        <v>1269</v>
      </c>
      <c r="D610" t="s">
        <v>144</v>
      </c>
      <c r="E610">
        <v>-154.91439</v>
      </c>
      <c r="F610">
        <v>19.4624766666666</v>
      </c>
      <c r="G610" t="s">
        <v>1270</v>
      </c>
      <c r="H610" t="s">
        <v>1289</v>
      </c>
      <c r="I610" t="s">
        <v>1298</v>
      </c>
      <c r="J610" t="s">
        <v>85</v>
      </c>
      <c r="K610">
        <v>9.8956793640624987</v>
      </c>
      <c r="L610">
        <v>8.8287489476562495</v>
      </c>
      <c r="M610">
        <v>274.46985646360179</v>
      </c>
      <c r="N610">
        <v>3426.1941007202968</v>
      </c>
      <c r="O610" t="s">
        <v>1291</v>
      </c>
      <c r="Q610">
        <v>5.9960000000000004</v>
      </c>
      <c r="R610">
        <v>1325.0039999999999</v>
      </c>
      <c r="S610">
        <v>50</v>
      </c>
      <c r="T610">
        <v>103.18573418878699</v>
      </c>
      <c r="U610">
        <v>8.09295457146403E-3</v>
      </c>
      <c r="V610">
        <v>0.17643787957967999</v>
      </c>
      <c r="W610">
        <v>3.2957286348391699E-3</v>
      </c>
      <c r="X610">
        <v>4.1127064655440844</v>
      </c>
      <c r="Y610">
        <v>5.441647368760294E-2</v>
      </c>
      <c r="Z610">
        <v>0.63435855369775296</v>
      </c>
      <c r="AA610">
        <v>3.1109662773033831E-2</v>
      </c>
      <c r="AB610">
        <v>2.651516072927218</v>
      </c>
      <c r="AC610">
        <v>0.1217260761759159</v>
      </c>
      <c r="AD610">
        <v>1307.147021100903</v>
      </c>
      <c r="AE610">
        <v>50</v>
      </c>
      <c r="AF610">
        <v>88.556639692000701</v>
      </c>
      <c r="AG610">
        <v>2.5121921052631579</v>
      </c>
      <c r="AH610">
        <v>13.074163157894739</v>
      </c>
      <c r="AI610">
        <v>0.29389473684210532</v>
      </c>
      <c r="AJ610">
        <v>10.20886842105263</v>
      </c>
      <c r="AK610">
        <v>0.54598421052631574</v>
      </c>
      <c r="AL610">
        <v>2.8679000000000001</v>
      </c>
      <c r="AM610">
        <v>50.490678947368423</v>
      </c>
      <c r="AN610">
        <v>5.942205263157895</v>
      </c>
      <c r="AO610">
        <v>11.55592894736842</v>
      </c>
      <c r="AP610">
        <v>0.19241315789473681</v>
      </c>
      <c r="AQ610">
        <v>97.684228947368425</v>
      </c>
      <c r="AR610">
        <v>0.10033019549794051</v>
      </c>
      <c r="AS610">
        <v>0.14738958187412449</v>
      </c>
      <c r="AT610">
        <v>3.0546807865311158E-2</v>
      </c>
      <c r="AU610">
        <v>9.5648373992287164E-2</v>
      </c>
      <c r="AV610">
        <v>2.3881269116608591E-2</v>
      </c>
      <c r="AW610">
        <v>3.1785360886210923E-2</v>
      </c>
      <c r="AX610">
        <v>0.60766890503239923</v>
      </c>
      <c r="AY610">
        <v>7.4290807893217653E-2</v>
      </c>
      <c r="AZ610">
        <v>0.1755272860363162</v>
      </c>
      <c r="BA610">
        <v>3.9832708649583118E-2</v>
      </c>
      <c r="BB610">
        <v>19</v>
      </c>
      <c r="BC610" t="s">
        <v>86</v>
      </c>
    </row>
    <row r="611" spans="1:55" x14ac:dyDescent="0.2">
      <c r="A611">
        <v>16</v>
      </c>
      <c r="B611" t="s">
        <v>1268</v>
      </c>
      <c r="C611" t="s">
        <v>1269</v>
      </c>
      <c r="D611" t="s">
        <v>144</v>
      </c>
      <c r="E611">
        <v>-154.91439</v>
      </c>
      <c r="F611">
        <v>19.4624766666666</v>
      </c>
      <c r="G611" t="s">
        <v>1270</v>
      </c>
      <c r="H611" t="s">
        <v>1289</v>
      </c>
      <c r="I611" t="s">
        <v>1299</v>
      </c>
      <c r="J611" t="s">
        <v>85</v>
      </c>
      <c r="K611">
        <v>7.16468851171875</v>
      </c>
      <c r="L611">
        <v>6.3908312523437489</v>
      </c>
      <c r="M611">
        <v>143.84823482222109</v>
      </c>
      <c r="N611">
        <v>1299.9583934387481</v>
      </c>
      <c r="O611" t="s">
        <v>1291</v>
      </c>
      <c r="Q611">
        <v>6.0069999999999997</v>
      </c>
      <c r="R611">
        <v>1325.0039999999999</v>
      </c>
      <c r="S611">
        <v>50</v>
      </c>
      <c r="T611">
        <v>103.182461789629</v>
      </c>
      <c r="U611">
        <v>6.7432709238903496E-3</v>
      </c>
      <c r="V611">
        <v>0.175105493895898</v>
      </c>
      <c r="W611">
        <v>2.7450818552097098E-3</v>
      </c>
      <c r="X611">
        <v>4.5654009710249559</v>
      </c>
      <c r="Y611">
        <v>5.4697088708685622E-2</v>
      </c>
      <c r="Z611">
        <v>0.62904215494233129</v>
      </c>
      <c r="AA611">
        <v>3.0212461204269309E-2</v>
      </c>
      <c r="AB611">
        <v>2.6306801837472591</v>
      </c>
      <c r="AC611">
        <v>0.1183369431871014</v>
      </c>
      <c r="AD611">
        <v>1307.147021100903</v>
      </c>
      <c r="AE611">
        <v>50</v>
      </c>
      <c r="AF611">
        <v>88.556639692000701</v>
      </c>
      <c r="AG611">
        <v>2.5121921052631579</v>
      </c>
      <c r="AH611">
        <v>13.074163157894739</v>
      </c>
      <c r="AI611">
        <v>0.29389473684210532</v>
      </c>
      <c r="AJ611">
        <v>10.20886842105263</v>
      </c>
      <c r="AK611">
        <v>0.54598421052631574</v>
      </c>
      <c r="AL611">
        <v>2.8679000000000001</v>
      </c>
      <c r="AM611">
        <v>50.490678947368423</v>
      </c>
      <c r="AN611">
        <v>5.942205263157895</v>
      </c>
      <c r="AO611">
        <v>11.55592894736842</v>
      </c>
      <c r="AP611">
        <v>0.19241315789473681</v>
      </c>
      <c r="AQ611">
        <v>97.684228947368425</v>
      </c>
      <c r="AR611">
        <v>0.10033019549794051</v>
      </c>
      <c r="AS611">
        <v>0.14738958187412449</v>
      </c>
      <c r="AT611">
        <v>3.0546807865311158E-2</v>
      </c>
      <c r="AU611">
        <v>9.5648373992287164E-2</v>
      </c>
      <c r="AV611">
        <v>2.3881269116608591E-2</v>
      </c>
      <c r="AW611">
        <v>3.1785360886210923E-2</v>
      </c>
      <c r="AX611">
        <v>0.60766890503239923</v>
      </c>
      <c r="AY611">
        <v>7.4290807893217653E-2</v>
      </c>
      <c r="AZ611">
        <v>0.1755272860363162</v>
      </c>
      <c r="BA611">
        <v>3.9832708649583118E-2</v>
      </c>
      <c r="BB611">
        <v>19</v>
      </c>
      <c r="BC611" t="s">
        <v>86</v>
      </c>
    </row>
    <row r="612" spans="1:55" x14ac:dyDescent="0.2">
      <c r="A612">
        <v>17</v>
      </c>
      <c r="B612" t="s">
        <v>1268</v>
      </c>
      <c r="C612" t="s">
        <v>1269</v>
      </c>
      <c r="D612" t="s">
        <v>144</v>
      </c>
      <c r="E612">
        <v>-154.91439</v>
      </c>
      <c r="F612">
        <v>19.4624766666666</v>
      </c>
      <c r="G612" t="s">
        <v>1270</v>
      </c>
      <c r="H612" t="s">
        <v>1289</v>
      </c>
      <c r="I612" t="s">
        <v>1300</v>
      </c>
      <c r="J612" t="s">
        <v>85</v>
      </c>
      <c r="K612">
        <v>16.363454669531251</v>
      </c>
      <c r="L612">
        <v>16.359502860156251</v>
      </c>
      <c r="M612">
        <v>840.99801824460451</v>
      </c>
      <c r="N612">
        <v>18346.628289046359</v>
      </c>
      <c r="O612" t="s">
        <v>1291</v>
      </c>
      <c r="Q612">
        <v>6.0170000000000003</v>
      </c>
      <c r="R612">
        <v>1325.0039999999999</v>
      </c>
      <c r="S612">
        <v>50</v>
      </c>
      <c r="T612">
        <v>103.155728400315</v>
      </c>
      <c r="U612">
        <v>2.6009111038438601E-2</v>
      </c>
      <c r="V612">
        <v>0.16051118038596701</v>
      </c>
      <c r="W612">
        <v>1.2298875963612199E-2</v>
      </c>
      <c r="X612">
        <v>3.78151860606037</v>
      </c>
      <c r="Y612">
        <v>5.8436478050247209E-2</v>
      </c>
      <c r="Z612">
        <v>0.57184618614523974</v>
      </c>
      <c r="AA612">
        <v>5.2978857493408159E-2</v>
      </c>
      <c r="AB612">
        <v>2.405177499877484</v>
      </c>
      <c r="AC612">
        <v>0.20983377905931291</v>
      </c>
      <c r="AD612">
        <v>1307.147021100903</v>
      </c>
      <c r="AE612">
        <v>50</v>
      </c>
      <c r="AF612">
        <v>88.556639692000701</v>
      </c>
      <c r="AG612">
        <v>2.5121921052631579</v>
      </c>
      <c r="AH612">
        <v>13.074163157894739</v>
      </c>
      <c r="AI612">
        <v>0.29389473684210532</v>
      </c>
      <c r="AJ612">
        <v>10.20886842105263</v>
      </c>
      <c r="AK612">
        <v>0.54598421052631574</v>
      </c>
      <c r="AL612">
        <v>2.8679000000000001</v>
      </c>
      <c r="AM612">
        <v>50.490678947368423</v>
      </c>
      <c r="AN612">
        <v>5.942205263157895</v>
      </c>
      <c r="AO612">
        <v>11.55592894736842</v>
      </c>
      <c r="AP612">
        <v>0.19241315789473681</v>
      </c>
      <c r="AQ612">
        <v>97.684228947368425</v>
      </c>
      <c r="AR612">
        <v>0.10033019549794051</v>
      </c>
      <c r="AS612">
        <v>0.14738958187412449</v>
      </c>
      <c r="AT612">
        <v>3.0546807865311158E-2</v>
      </c>
      <c r="AU612">
        <v>9.5648373992287164E-2</v>
      </c>
      <c r="AV612">
        <v>2.3881269116608591E-2</v>
      </c>
      <c r="AW612">
        <v>3.1785360886210923E-2</v>
      </c>
      <c r="AX612">
        <v>0.60766890503239923</v>
      </c>
      <c r="AY612">
        <v>7.4290807893217653E-2</v>
      </c>
      <c r="AZ612">
        <v>0.1755272860363162</v>
      </c>
      <c r="BA612">
        <v>3.9832708649583118E-2</v>
      </c>
      <c r="BB612">
        <v>19</v>
      </c>
      <c r="BC612" t="s">
        <v>86</v>
      </c>
    </row>
    <row r="613" spans="1:55" x14ac:dyDescent="0.2">
      <c r="A613">
        <v>18</v>
      </c>
      <c r="B613" t="s">
        <v>1268</v>
      </c>
      <c r="C613" t="s">
        <v>1269</v>
      </c>
      <c r="D613" t="s">
        <v>144</v>
      </c>
      <c r="E613">
        <v>-154.91439</v>
      </c>
      <c r="F613">
        <v>19.4624766666666</v>
      </c>
      <c r="G613" t="s">
        <v>1270</v>
      </c>
      <c r="H613" t="s">
        <v>1289</v>
      </c>
      <c r="I613" t="s">
        <v>1301</v>
      </c>
      <c r="J613" t="s">
        <v>85</v>
      </c>
      <c r="K613">
        <v>7.4858311382812506</v>
      </c>
      <c r="L613">
        <v>7.4774626007812506</v>
      </c>
      <c r="M613">
        <v>175.85071906922201</v>
      </c>
      <c r="N613">
        <v>1754.203975772085</v>
      </c>
      <c r="O613" t="s">
        <v>1291</v>
      </c>
      <c r="Q613">
        <v>6.0229999999999997</v>
      </c>
      <c r="R613">
        <v>1325.0039999999999</v>
      </c>
      <c r="S613">
        <v>50</v>
      </c>
      <c r="T613">
        <v>103.18680788116799</v>
      </c>
      <c r="U613">
        <v>6.2995981968857898E-3</v>
      </c>
      <c r="V613">
        <v>0.17687514943281701</v>
      </c>
      <c r="W613">
        <v>2.5657202922957298E-3</v>
      </c>
      <c r="X613">
        <v>4.1606768734933999</v>
      </c>
      <c r="Y613">
        <v>5.4326308306491773E-2</v>
      </c>
      <c r="Z613">
        <v>0.63610677634665702</v>
      </c>
      <c r="AA613">
        <v>3.0288076053646779E-2</v>
      </c>
      <c r="AB613">
        <v>2.658363080338348</v>
      </c>
      <c r="AC613">
        <v>0.1184747241914839</v>
      </c>
      <c r="AD613">
        <v>1307.147021100903</v>
      </c>
      <c r="AE613">
        <v>50</v>
      </c>
      <c r="AF613">
        <v>88.556639692000701</v>
      </c>
      <c r="AG613">
        <v>2.5121921052631579</v>
      </c>
      <c r="AH613">
        <v>13.074163157894739</v>
      </c>
      <c r="AI613">
        <v>0.29389473684210532</v>
      </c>
      <c r="AJ613">
        <v>10.20886842105263</v>
      </c>
      <c r="AK613">
        <v>0.54598421052631574</v>
      </c>
      <c r="AL613">
        <v>2.8679000000000001</v>
      </c>
      <c r="AM613">
        <v>50.490678947368423</v>
      </c>
      <c r="AN613">
        <v>5.942205263157895</v>
      </c>
      <c r="AO613">
        <v>11.55592894736842</v>
      </c>
      <c r="AP613">
        <v>0.19241315789473681</v>
      </c>
      <c r="AQ613">
        <v>97.684228947368425</v>
      </c>
      <c r="AR613">
        <v>0.10033019549794051</v>
      </c>
      <c r="AS613">
        <v>0.14738958187412449</v>
      </c>
      <c r="AT613">
        <v>3.0546807865311158E-2</v>
      </c>
      <c r="AU613">
        <v>9.5648373992287164E-2</v>
      </c>
      <c r="AV613">
        <v>2.3881269116608591E-2</v>
      </c>
      <c r="AW613">
        <v>3.1785360886210923E-2</v>
      </c>
      <c r="AX613">
        <v>0.60766890503239923</v>
      </c>
      <c r="AY613">
        <v>7.4290807893217653E-2</v>
      </c>
      <c r="AZ613">
        <v>0.1755272860363162</v>
      </c>
      <c r="BA613">
        <v>3.9832708649583118E-2</v>
      </c>
      <c r="BB613">
        <v>19</v>
      </c>
      <c r="BC613" t="s">
        <v>86</v>
      </c>
    </row>
    <row r="614" spans="1:55" x14ac:dyDescent="0.2">
      <c r="A614">
        <v>19</v>
      </c>
      <c r="B614" t="s">
        <v>1268</v>
      </c>
      <c r="C614" t="s">
        <v>1269</v>
      </c>
      <c r="D614" t="s">
        <v>144</v>
      </c>
      <c r="E614">
        <v>-154.91439</v>
      </c>
      <c r="F614">
        <v>19.4624766666666</v>
      </c>
      <c r="G614" t="s">
        <v>1270</v>
      </c>
      <c r="H614" t="s">
        <v>1289</v>
      </c>
      <c r="I614" t="s">
        <v>1302</v>
      </c>
      <c r="J614" t="s">
        <v>85</v>
      </c>
      <c r="K614">
        <v>6.0203491234374997</v>
      </c>
      <c r="L614">
        <v>6.0120387007812486</v>
      </c>
      <c r="M614">
        <v>113.7086012509902</v>
      </c>
      <c r="N614">
        <v>912.12399280090585</v>
      </c>
      <c r="O614" t="s">
        <v>1291</v>
      </c>
      <c r="Q614">
        <v>6.0209999999999999</v>
      </c>
      <c r="R614">
        <v>1325.0039999999999</v>
      </c>
      <c r="S614">
        <v>50</v>
      </c>
      <c r="T614">
        <v>103.149131173417</v>
      </c>
      <c r="U614">
        <v>3.1023320183501998E-2</v>
      </c>
      <c r="V614">
        <v>0.157899018267635</v>
      </c>
      <c r="W614">
        <v>1.42754852548172E-2</v>
      </c>
      <c r="X614">
        <v>5.607219233751791</v>
      </c>
      <c r="Y614">
        <v>5.9252123822495339E-2</v>
      </c>
      <c r="Z614">
        <v>0.56180734832884172</v>
      </c>
      <c r="AA614">
        <v>5.9419028089084627E-2</v>
      </c>
      <c r="AB614">
        <v>2.365341411045502</v>
      </c>
      <c r="AC614">
        <v>0.23580541145319239</v>
      </c>
      <c r="AD614">
        <v>1307.147021100903</v>
      </c>
      <c r="AE614">
        <v>50</v>
      </c>
      <c r="AF614">
        <v>88.556639692000701</v>
      </c>
      <c r="AG614">
        <v>2.5121921052631579</v>
      </c>
      <c r="AH614">
        <v>13.074163157894739</v>
      </c>
      <c r="AI614">
        <v>0.29389473684210532</v>
      </c>
      <c r="AJ614">
        <v>10.20886842105263</v>
      </c>
      <c r="AK614">
        <v>0.54598421052631574</v>
      </c>
      <c r="AL614">
        <v>2.8679000000000001</v>
      </c>
      <c r="AM614">
        <v>50.490678947368423</v>
      </c>
      <c r="AN614">
        <v>5.942205263157895</v>
      </c>
      <c r="AO614">
        <v>11.55592894736842</v>
      </c>
      <c r="AP614">
        <v>0.19241315789473681</v>
      </c>
      <c r="AQ614">
        <v>97.684228947368425</v>
      </c>
      <c r="AR614">
        <v>0.10033019549794051</v>
      </c>
      <c r="AS614">
        <v>0.14738958187412449</v>
      </c>
      <c r="AT614">
        <v>3.0546807865311158E-2</v>
      </c>
      <c r="AU614">
        <v>9.5648373992287164E-2</v>
      </c>
      <c r="AV614">
        <v>2.3881269116608591E-2</v>
      </c>
      <c r="AW614">
        <v>3.1785360886210923E-2</v>
      </c>
      <c r="AX614">
        <v>0.60766890503239923</v>
      </c>
      <c r="AY614">
        <v>7.4290807893217653E-2</v>
      </c>
      <c r="AZ614">
        <v>0.1755272860363162</v>
      </c>
      <c r="BA614">
        <v>3.9832708649583118E-2</v>
      </c>
      <c r="BB614">
        <v>19</v>
      </c>
      <c r="BC614" t="s">
        <v>86</v>
      </c>
    </row>
    <row r="615" spans="1:55" x14ac:dyDescent="0.2">
      <c r="A615">
        <v>20</v>
      </c>
      <c r="B615" t="s">
        <v>1268</v>
      </c>
      <c r="C615" t="s">
        <v>1269</v>
      </c>
      <c r="D615" t="s">
        <v>144</v>
      </c>
      <c r="E615">
        <v>-154.91439</v>
      </c>
      <c r="F615">
        <v>19.4624766666666</v>
      </c>
      <c r="G615" t="s">
        <v>1270</v>
      </c>
      <c r="H615" t="s">
        <v>1303</v>
      </c>
      <c r="I615" t="s">
        <v>1304</v>
      </c>
      <c r="J615" t="s">
        <v>68</v>
      </c>
      <c r="K615">
        <v>15.236549734375</v>
      </c>
      <c r="L615">
        <v>13.02219984296875</v>
      </c>
      <c r="M615">
        <v>623.33406585996102</v>
      </c>
      <c r="N615">
        <v>11743.09418010942</v>
      </c>
      <c r="O615" t="s">
        <v>1305</v>
      </c>
      <c r="Q615">
        <v>12.009</v>
      </c>
      <c r="R615">
        <v>1325.0039999999999</v>
      </c>
      <c r="S615">
        <v>50</v>
      </c>
      <c r="T615">
        <v>103.007035489602</v>
      </c>
      <c r="U615">
        <v>1.26714849832103E-2</v>
      </c>
      <c r="V615">
        <v>0.101636444889678</v>
      </c>
      <c r="W615">
        <v>5.0172555178029602E-3</v>
      </c>
      <c r="X615">
        <v>3.398276872921397</v>
      </c>
      <c r="Y615">
        <v>9.8034996289193543E-2</v>
      </c>
      <c r="Z615">
        <v>0.33455671556547939</v>
      </c>
      <c r="AA615">
        <v>2.842978780218507E-2</v>
      </c>
      <c r="AB615">
        <v>1.4419762070012581</v>
      </c>
      <c r="AC615">
        <v>0.11808227556885351</v>
      </c>
      <c r="AD615">
        <v>1197.838707049076</v>
      </c>
      <c r="AE615">
        <v>50</v>
      </c>
      <c r="AF615">
        <v>82.781020600115397</v>
      </c>
      <c r="AG615">
        <v>2.5121921052631579</v>
      </c>
      <c r="AH615">
        <v>13.074163157894739</v>
      </c>
      <c r="AI615">
        <v>0.29389473684210532</v>
      </c>
      <c r="AJ615">
        <v>10.20886842105263</v>
      </c>
      <c r="AK615">
        <v>0.54598421052631574</v>
      </c>
      <c r="AL615">
        <v>2.8679000000000001</v>
      </c>
      <c r="AM615">
        <v>50.490678947368423</v>
      </c>
      <c r="AN615">
        <v>5.942205263157895</v>
      </c>
      <c r="AO615">
        <v>11.55592894736842</v>
      </c>
      <c r="AP615">
        <v>0.19241315789473681</v>
      </c>
      <c r="AQ615">
        <v>97.684228947368425</v>
      </c>
      <c r="AR615">
        <v>0.10033019549794051</v>
      </c>
      <c r="AS615">
        <v>0.14738958187412449</v>
      </c>
      <c r="AT615">
        <v>3.0546807865311158E-2</v>
      </c>
      <c r="AU615">
        <v>9.5648373992287164E-2</v>
      </c>
      <c r="AV615">
        <v>2.3881269116608591E-2</v>
      </c>
      <c r="AW615">
        <v>3.1785360886210923E-2</v>
      </c>
      <c r="AX615">
        <v>0.60766890503239923</v>
      </c>
      <c r="AY615">
        <v>7.4290807893217653E-2</v>
      </c>
      <c r="AZ615">
        <v>0.1755272860363162</v>
      </c>
      <c r="BA615">
        <v>3.9832708649583118E-2</v>
      </c>
      <c r="BB615">
        <v>19</v>
      </c>
      <c r="BC615" t="s">
        <v>86</v>
      </c>
    </row>
    <row r="616" spans="1:55" x14ac:dyDescent="0.2">
      <c r="A616">
        <v>21</v>
      </c>
      <c r="B616" t="s">
        <v>1268</v>
      </c>
      <c r="C616" t="s">
        <v>1269</v>
      </c>
      <c r="D616" t="s">
        <v>144</v>
      </c>
      <c r="E616">
        <v>-154.91439</v>
      </c>
      <c r="F616">
        <v>19.4624766666666</v>
      </c>
      <c r="G616" t="s">
        <v>1270</v>
      </c>
      <c r="H616" t="s">
        <v>1303</v>
      </c>
      <c r="I616" t="s">
        <v>1306</v>
      </c>
      <c r="J616" t="s">
        <v>68</v>
      </c>
      <c r="K616">
        <v>5.2280694585937502</v>
      </c>
      <c r="L616">
        <v>5.2221417445312506</v>
      </c>
      <c r="M616">
        <v>85.770882237906449</v>
      </c>
      <c r="N616">
        <v>597.54922297632345</v>
      </c>
      <c r="O616" t="s">
        <v>1305</v>
      </c>
      <c r="Q616">
        <v>12.054</v>
      </c>
      <c r="R616">
        <v>1325.0039999999999</v>
      </c>
      <c r="S616">
        <v>50</v>
      </c>
      <c r="T616">
        <v>103.007457789763</v>
      </c>
      <c r="U616">
        <v>3.8882012071930303E-2</v>
      </c>
      <c r="V616">
        <v>0.10180365400654499</v>
      </c>
      <c r="W616">
        <v>1.5395274497791401E-2</v>
      </c>
      <c r="X616">
        <v>0</v>
      </c>
      <c r="Y616">
        <v>9.7772078537558205E-2</v>
      </c>
      <c r="Z616">
        <v>0.33549015125718218</v>
      </c>
      <c r="AA616">
        <v>6.0455688430606253E-2</v>
      </c>
      <c r="AB616">
        <v>1.4458569400667849</v>
      </c>
      <c r="AC616">
        <v>0.25088716768665031</v>
      </c>
      <c r="AD616">
        <v>1199.6775413709131</v>
      </c>
      <c r="AE616">
        <v>50</v>
      </c>
      <c r="AF616">
        <v>82.919679381356303</v>
      </c>
      <c r="AG616">
        <v>2.5121921052631579</v>
      </c>
      <c r="AH616">
        <v>13.074163157894739</v>
      </c>
      <c r="AI616">
        <v>0.29389473684210532</v>
      </c>
      <c r="AJ616">
        <v>10.20886842105263</v>
      </c>
      <c r="AK616">
        <v>0.54598421052631574</v>
      </c>
      <c r="AL616">
        <v>2.8679000000000001</v>
      </c>
      <c r="AM616">
        <v>50.490678947368423</v>
      </c>
      <c r="AN616">
        <v>5.942205263157895</v>
      </c>
      <c r="AO616">
        <v>11.55592894736842</v>
      </c>
      <c r="AP616">
        <v>0.19241315789473681</v>
      </c>
      <c r="AQ616">
        <v>97.684228947368425</v>
      </c>
      <c r="AR616">
        <v>0.10033019549794051</v>
      </c>
      <c r="AS616">
        <v>0.14738958187412449</v>
      </c>
      <c r="AT616">
        <v>3.0546807865311158E-2</v>
      </c>
      <c r="AU616">
        <v>9.5648373992287164E-2</v>
      </c>
      <c r="AV616">
        <v>2.3881269116608591E-2</v>
      </c>
      <c r="AW616">
        <v>3.1785360886210923E-2</v>
      </c>
      <c r="AX616">
        <v>0.60766890503239923</v>
      </c>
      <c r="AY616">
        <v>7.4290807893217653E-2</v>
      </c>
      <c r="AZ616">
        <v>0.1755272860363162</v>
      </c>
      <c r="BA616">
        <v>3.9832708649583118E-2</v>
      </c>
      <c r="BB616">
        <v>19</v>
      </c>
      <c r="BC616" t="s">
        <v>86</v>
      </c>
    </row>
    <row r="617" spans="1:55" x14ac:dyDescent="0.2">
      <c r="A617">
        <v>22</v>
      </c>
      <c r="B617" t="s">
        <v>1268</v>
      </c>
      <c r="C617" t="s">
        <v>1269</v>
      </c>
      <c r="D617" t="s">
        <v>144</v>
      </c>
      <c r="E617">
        <v>-154.91439</v>
      </c>
      <c r="F617">
        <v>19.4624766666666</v>
      </c>
      <c r="G617" t="s">
        <v>1270</v>
      </c>
      <c r="H617" t="s">
        <v>1307</v>
      </c>
      <c r="I617" t="s">
        <v>1308</v>
      </c>
      <c r="J617" t="s">
        <v>68</v>
      </c>
      <c r="K617">
        <v>13.01941033046875</v>
      </c>
      <c r="L617">
        <v>11.547884371875</v>
      </c>
      <c r="M617">
        <v>472.32791569482868</v>
      </c>
      <c r="N617">
        <v>7735.8794006790868</v>
      </c>
      <c r="Q617">
        <v>6.0410000000000004</v>
      </c>
      <c r="R617">
        <v>1325.0039999999999</v>
      </c>
      <c r="S617">
        <v>50</v>
      </c>
      <c r="T617">
        <v>103.037370278846</v>
      </c>
      <c r="U617">
        <v>5.4371904864018699E-3</v>
      </c>
      <c r="V617">
        <v>0.11364745929851899</v>
      </c>
      <c r="W617">
        <v>2.1528474370136001E-3</v>
      </c>
      <c r="X617">
        <v>3.8153034911955301</v>
      </c>
      <c r="Y617">
        <v>8.7915499795884089E-2</v>
      </c>
      <c r="Z617">
        <v>0.37361902303651578</v>
      </c>
      <c r="AA617">
        <v>2.3601843542232069E-2</v>
      </c>
      <c r="AB617">
        <v>1.6037371008508441</v>
      </c>
      <c r="AC617">
        <v>9.7277983429489373E-2</v>
      </c>
      <c r="AD617">
        <v>1198.9673150791491</v>
      </c>
      <c r="AE617">
        <v>50</v>
      </c>
      <c r="AF617">
        <v>82.866425540232797</v>
      </c>
      <c r="AG617">
        <v>2.5121921052631579</v>
      </c>
      <c r="AH617">
        <v>13.074163157894739</v>
      </c>
      <c r="AI617">
        <v>0.29389473684210532</v>
      </c>
      <c r="AJ617">
        <v>10.20886842105263</v>
      </c>
      <c r="AK617">
        <v>0.54598421052631574</v>
      </c>
      <c r="AL617">
        <v>2.8679000000000001</v>
      </c>
      <c r="AM617">
        <v>50.490678947368423</v>
      </c>
      <c r="AN617">
        <v>5.942205263157895</v>
      </c>
      <c r="AO617">
        <v>11.55592894736842</v>
      </c>
      <c r="AP617">
        <v>0.19241315789473681</v>
      </c>
      <c r="AQ617">
        <v>97.684228947368425</v>
      </c>
      <c r="AR617">
        <v>0.10033019549794051</v>
      </c>
      <c r="AS617">
        <v>0.14738958187412449</v>
      </c>
      <c r="AT617">
        <v>3.0546807865311158E-2</v>
      </c>
      <c r="AU617">
        <v>9.5648373992287164E-2</v>
      </c>
      <c r="AV617">
        <v>2.3881269116608591E-2</v>
      </c>
      <c r="AW617">
        <v>3.1785360886210923E-2</v>
      </c>
      <c r="AX617">
        <v>0.60766890503239923</v>
      </c>
      <c r="AY617">
        <v>7.4290807893217653E-2</v>
      </c>
      <c r="AZ617">
        <v>0.1755272860363162</v>
      </c>
      <c r="BA617">
        <v>3.9832708649583118E-2</v>
      </c>
      <c r="BB617">
        <v>19</v>
      </c>
      <c r="BC617" t="s">
        <v>86</v>
      </c>
    </row>
    <row r="618" spans="1:55" x14ac:dyDescent="0.2">
      <c r="A618">
        <v>23</v>
      </c>
      <c r="B618" t="s">
        <v>1268</v>
      </c>
      <c r="C618" t="s">
        <v>1269</v>
      </c>
      <c r="D618" t="s">
        <v>144</v>
      </c>
      <c r="E618">
        <v>-154.91439</v>
      </c>
      <c r="F618">
        <v>19.4624766666666</v>
      </c>
      <c r="G618" t="s">
        <v>1270</v>
      </c>
      <c r="H618" t="s">
        <v>1307</v>
      </c>
      <c r="I618" t="s">
        <v>1309</v>
      </c>
      <c r="J618" t="s">
        <v>68</v>
      </c>
      <c r="K618">
        <v>8.0135720343749988</v>
      </c>
      <c r="L618">
        <v>6.8058293515624992</v>
      </c>
      <c r="M618">
        <v>171.3393335540926</v>
      </c>
      <c r="N618">
        <v>1692.764238091419</v>
      </c>
      <c r="O618" t="s">
        <v>1310</v>
      </c>
      <c r="Q618">
        <v>6.0510000000000002</v>
      </c>
      <c r="R618">
        <v>1325.0039999999999</v>
      </c>
      <c r="S618">
        <v>50</v>
      </c>
      <c r="T618">
        <v>103.037417740389</v>
      </c>
      <c r="U618">
        <v>4.1714804556209299E-3</v>
      </c>
      <c r="V618">
        <v>0.113666251625609</v>
      </c>
      <c r="W618">
        <v>1.6516914443052101E-3</v>
      </c>
      <c r="X618">
        <v>7.7206801021484024</v>
      </c>
      <c r="Y618">
        <v>8.8123944996102876E-2</v>
      </c>
      <c r="Z618">
        <v>0.37274693901117761</v>
      </c>
      <c r="AA618">
        <v>2.299293799926537E-2</v>
      </c>
      <c r="AB618">
        <v>1.6001399310810069</v>
      </c>
      <c r="AC618">
        <v>9.479126365966016E-2</v>
      </c>
      <c r="AD618">
        <v>1195.1316708757311</v>
      </c>
      <c r="AE618">
        <v>50</v>
      </c>
      <c r="AF618">
        <v>82.572119495469494</v>
      </c>
      <c r="AG618">
        <v>2.5121921052631579</v>
      </c>
      <c r="AH618">
        <v>13.074163157894739</v>
      </c>
      <c r="AI618">
        <v>0.29389473684210532</v>
      </c>
      <c r="AJ618">
        <v>10.20886842105263</v>
      </c>
      <c r="AK618">
        <v>0.54598421052631574</v>
      </c>
      <c r="AL618">
        <v>2.8679000000000001</v>
      </c>
      <c r="AM618">
        <v>50.490678947368423</v>
      </c>
      <c r="AN618">
        <v>5.942205263157895</v>
      </c>
      <c r="AO618">
        <v>11.55592894736842</v>
      </c>
      <c r="AP618">
        <v>0.19241315789473681</v>
      </c>
      <c r="AQ618">
        <v>97.684228947368425</v>
      </c>
      <c r="AR618">
        <v>0.10033019549794051</v>
      </c>
      <c r="AS618">
        <v>0.14738958187412449</v>
      </c>
      <c r="AT618">
        <v>3.0546807865311158E-2</v>
      </c>
      <c r="AU618">
        <v>9.5648373992287164E-2</v>
      </c>
      <c r="AV618">
        <v>2.3881269116608591E-2</v>
      </c>
      <c r="AW618">
        <v>3.1785360886210923E-2</v>
      </c>
      <c r="AX618">
        <v>0.60766890503239923</v>
      </c>
      <c r="AY618">
        <v>7.4290807893217653E-2</v>
      </c>
      <c r="AZ618">
        <v>0.1755272860363162</v>
      </c>
      <c r="BA618">
        <v>3.9832708649583118E-2</v>
      </c>
      <c r="BB618">
        <v>19</v>
      </c>
      <c r="BC618" t="s">
        <v>86</v>
      </c>
    </row>
    <row r="619" spans="1:55" x14ac:dyDescent="0.2">
      <c r="A619">
        <v>24</v>
      </c>
      <c r="B619" t="s">
        <v>1268</v>
      </c>
      <c r="C619" t="s">
        <v>1269</v>
      </c>
      <c r="D619" t="s">
        <v>144</v>
      </c>
      <c r="E619">
        <v>-154.91439</v>
      </c>
      <c r="F619">
        <v>19.4624766666666</v>
      </c>
      <c r="G619" t="s">
        <v>1270</v>
      </c>
      <c r="H619" t="s">
        <v>1307</v>
      </c>
      <c r="I619" t="s">
        <v>1311</v>
      </c>
      <c r="J619" t="s">
        <v>68</v>
      </c>
      <c r="K619">
        <v>10.1125639609375</v>
      </c>
      <c r="L619">
        <v>8.7316390437499987</v>
      </c>
      <c r="M619">
        <v>277.40030123587621</v>
      </c>
      <c r="N619">
        <v>3484.925060033544</v>
      </c>
      <c r="Q619">
        <v>6.024</v>
      </c>
      <c r="R619">
        <v>1325.0039999999999</v>
      </c>
      <c r="S619">
        <v>50</v>
      </c>
      <c r="T619">
        <v>103.040073499429</v>
      </c>
      <c r="U619">
        <v>5.3525987120733101E-3</v>
      </c>
      <c r="V619">
        <v>0.11471779544364499</v>
      </c>
      <c r="W619">
        <v>2.1193534505492499E-3</v>
      </c>
      <c r="X619">
        <v>1.463710228751407</v>
      </c>
      <c r="Y619">
        <v>8.7316482606801582E-2</v>
      </c>
      <c r="Z619">
        <v>0.37616370782563852</v>
      </c>
      <c r="AA619">
        <v>2.3630190389439251E-2</v>
      </c>
      <c r="AB619">
        <v>1.61422972293862</v>
      </c>
      <c r="AC619">
        <v>9.7344569731262945E-2</v>
      </c>
      <c r="AD619">
        <v>1195.1316708757311</v>
      </c>
      <c r="AE619">
        <v>50</v>
      </c>
      <c r="AF619">
        <v>82.572119495469494</v>
      </c>
      <c r="AG619">
        <v>2.5121921052631579</v>
      </c>
      <c r="AH619">
        <v>13.074163157894739</v>
      </c>
      <c r="AI619">
        <v>0.29389473684210532</v>
      </c>
      <c r="AJ619">
        <v>10.20886842105263</v>
      </c>
      <c r="AK619">
        <v>0.54598421052631574</v>
      </c>
      <c r="AL619">
        <v>2.8679000000000001</v>
      </c>
      <c r="AM619">
        <v>50.490678947368423</v>
      </c>
      <c r="AN619">
        <v>5.942205263157895</v>
      </c>
      <c r="AO619">
        <v>11.55592894736842</v>
      </c>
      <c r="AP619">
        <v>0.19241315789473681</v>
      </c>
      <c r="AQ619">
        <v>97.684228947368425</v>
      </c>
      <c r="AR619">
        <v>0.10033019549794051</v>
      </c>
      <c r="AS619">
        <v>0.14738958187412449</v>
      </c>
      <c r="AT619">
        <v>3.0546807865311158E-2</v>
      </c>
      <c r="AU619">
        <v>9.5648373992287164E-2</v>
      </c>
      <c r="AV619">
        <v>2.3881269116608591E-2</v>
      </c>
      <c r="AW619">
        <v>3.1785360886210923E-2</v>
      </c>
      <c r="AX619">
        <v>0.60766890503239923</v>
      </c>
      <c r="AY619">
        <v>7.4290807893217653E-2</v>
      </c>
      <c r="AZ619">
        <v>0.1755272860363162</v>
      </c>
      <c r="BA619">
        <v>3.9832708649583118E-2</v>
      </c>
      <c r="BB619">
        <v>19</v>
      </c>
      <c r="BC619" t="s">
        <v>86</v>
      </c>
    </row>
    <row r="620" spans="1:55" x14ac:dyDescent="0.2">
      <c r="A620">
        <v>25</v>
      </c>
      <c r="B620" t="s">
        <v>1268</v>
      </c>
      <c r="C620" t="s">
        <v>1269</v>
      </c>
      <c r="D620" t="s">
        <v>144</v>
      </c>
      <c r="E620">
        <v>-154.91439</v>
      </c>
      <c r="F620">
        <v>19.4624766666666</v>
      </c>
      <c r="G620" t="s">
        <v>1270</v>
      </c>
      <c r="H620" t="s">
        <v>1312</v>
      </c>
      <c r="I620" t="s">
        <v>1312</v>
      </c>
      <c r="J620" t="s">
        <v>68</v>
      </c>
      <c r="K620">
        <v>7.2323341898437503</v>
      </c>
      <c r="L620">
        <v>5.9760656124999993</v>
      </c>
      <c r="M620">
        <v>135.78247338845679</v>
      </c>
      <c r="N620">
        <v>1195.646129777225</v>
      </c>
      <c r="O620" t="s">
        <v>1313</v>
      </c>
      <c r="Q620">
        <v>6.0270000000000001</v>
      </c>
      <c r="R620">
        <v>1325.0039999999999</v>
      </c>
      <c r="S620">
        <v>50</v>
      </c>
      <c r="T620">
        <v>102.93790694269499</v>
      </c>
      <c r="U620">
        <v>9.6879827867858703E-3</v>
      </c>
      <c r="V620">
        <v>7.4265100184362595E-2</v>
      </c>
      <c r="W620">
        <v>3.83594228756578E-3</v>
      </c>
      <c r="X620">
        <v>7.2297341231940067</v>
      </c>
      <c r="Y620">
        <v>0.1215069314373167</v>
      </c>
      <c r="Z620">
        <v>0.26265384523429491</v>
      </c>
      <c r="AA620">
        <v>2.48794123559174E-2</v>
      </c>
      <c r="AB620">
        <v>1.140753365653385</v>
      </c>
      <c r="AC620">
        <v>0.1048953260223149</v>
      </c>
      <c r="AD620">
        <v>1294.1646676512059</v>
      </c>
      <c r="AE620">
        <v>50</v>
      </c>
      <c r="AF620">
        <v>88.033133594191199</v>
      </c>
      <c r="AG620">
        <v>2.5121921052631579</v>
      </c>
      <c r="AH620">
        <v>13.074163157894739</v>
      </c>
      <c r="AI620">
        <v>0.29389473684210532</v>
      </c>
      <c r="AJ620">
        <v>10.20886842105263</v>
      </c>
      <c r="AK620">
        <v>0.54598421052631574</v>
      </c>
      <c r="AL620">
        <v>2.8679000000000001</v>
      </c>
      <c r="AM620">
        <v>50.490678947368423</v>
      </c>
      <c r="AN620">
        <v>5.942205263157895</v>
      </c>
      <c r="AO620">
        <v>11.55592894736842</v>
      </c>
      <c r="AP620">
        <v>0.19241315789473681</v>
      </c>
      <c r="AQ620">
        <v>97.684228947368425</v>
      </c>
      <c r="AR620">
        <v>0.10033019549794051</v>
      </c>
      <c r="AS620">
        <v>0.14738958187412449</v>
      </c>
      <c r="AT620">
        <v>3.0546807865311158E-2</v>
      </c>
      <c r="AU620">
        <v>9.5648373992287164E-2</v>
      </c>
      <c r="AV620">
        <v>2.3881269116608591E-2</v>
      </c>
      <c r="AW620">
        <v>3.1785360886210923E-2</v>
      </c>
      <c r="AX620">
        <v>0.60766890503239923</v>
      </c>
      <c r="AY620">
        <v>7.4290807893217653E-2</v>
      </c>
      <c r="AZ620">
        <v>0.1755272860363162</v>
      </c>
      <c r="BA620">
        <v>3.9832708649583118E-2</v>
      </c>
      <c r="BB620">
        <v>19</v>
      </c>
      <c r="BC620" t="s">
        <v>86</v>
      </c>
    </row>
    <row r="621" spans="1:55" x14ac:dyDescent="0.2">
      <c r="A621">
        <v>26</v>
      </c>
      <c r="B621" t="s">
        <v>1268</v>
      </c>
      <c r="C621" t="s">
        <v>1269</v>
      </c>
      <c r="D621" t="s">
        <v>144</v>
      </c>
      <c r="E621">
        <v>-154.91439</v>
      </c>
      <c r="F621">
        <v>19.4624766666666</v>
      </c>
      <c r="G621" t="s">
        <v>1270</v>
      </c>
      <c r="H621" t="s">
        <v>1314</v>
      </c>
      <c r="I621" t="s">
        <v>1315</v>
      </c>
      <c r="J621" t="s">
        <v>68</v>
      </c>
      <c r="K621">
        <v>9.6517132500000002</v>
      </c>
      <c r="L621">
        <v>9.2688526593749998</v>
      </c>
      <c r="M621">
        <v>281.04784647855217</v>
      </c>
      <c r="N621">
        <v>3545.056201990235</v>
      </c>
      <c r="Q621">
        <v>15.987</v>
      </c>
      <c r="R621">
        <v>1325.0039999999999</v>
      </c>
      <c r="S621">
        <v>50</v>
      </c>
      <c r="T621">
        <v>102.863447826252</v>
      </c>
      <c r="U621">
        <v>1.7801127804030301E-2</v>
      </c>
      <c r="V621">
        <v>4.4783124447263803E-2</v>
      </c>
      <c r="W621">
        <v>2.66770404247104E-3</v>
      </c>
      <c r="X621">
        <v>11.1195150201498</v>
      </c>
      <c r="Y621">
        <v>0.1714259513423011</v>
      </c>
      <c r="Z621">
        <v>0.15335572327870151</v>
      </c>
      <c r="AA621">
        <v>1.9706066865311261E-2</v>
      </c>
      <c r="AB621">
        <v>0.67396897231128983</v>
      </c>
      <c r="AC621">
        <v>8.5028046630222121E-2</v>
      </c>
      <c r="AD621">
        <v>1190.693141307323</v>
      </c>
      <c r="AE621">
        <v>50</v>
      </c>
      <c r="AF621">
        <v>82.216318883567794</v>
      </c>
      <c r="AG621">
        <v>2.5121921052631579</v>
      </c>
      <c r="AH621">
        <v>13.074163157894739</v>
      </c>
      <c r="AI621">
        <v>0.29389473684210532</v>
      </c>
      <c r="AJ621">
        <v>10.20886842105263</v>
      </c>
      <c r="AK621">
        <v>0.54598421052631574</v>
      </c>
      <c r="AL621">
        <v>2.8679000000000001</v>
      </c>
      <c r="AM621">
        <v>50.490678947368423</v>
      </c>
      <c r="AN621">
        <v>5.942205263157895</v>
      </c>
      <c r="AO621">
        <v>11.55592894736842</v>
      </c>
      <c r="AP621">
        <v>0.19241315789473681</v>
      </c>
      <c r="AQ621">
        <v>97.684228947368425</v>
      </c>
      <c r="AR621">
        <v>0.10033019549794051</v>
      </c>
      <c r="AS621">
        <v>0.14738958187412449</v>
      </c>
      <c r="AT621">
        <v>3.0546807865311158E-2</v>
      </c>
      <c r="AU621">
        <v>9.5648373992287164E-2</v>
      </c>
      <c r="AV621">
        <v>2.3881269116608591E-2</v>
      </c>
      <c r="AW621">
        <v>3.1785360886210923E-2</v>
      </c>
      <c r="AX621">
        <v>0.60766890503239923</v>
      </c>
      <c r="AY621">
        <v>7.4290807893217653E-2</v>
      </c>
      <c r="AZ621">
        <v>0.1755272860363162</v>
      </c>
      <c r="BA621">
        <v>3.9832708649583118E-2</v>
      </c>
      <c r="BB621">
        <v>19</v>
      </c>
      <c r="BC621" t="s">
        <v>86</v>
      </c>
    </row>
    <row r="622" spans="1:55" x14ac:dyDescent="0.2">
      <c r="A622">
        <v>27</v>
      </c>
      <c r="B622" t="s">
        <v>1268</v>
      </c>
      <c r="C622" t="s">
        <v>1269</v>
      </c>
      <c r="D622" t="s">
        <v>144</v>
      </c>
      <c r="E622">
        <v>-154.91439</v>
      </c>
      <c r="F622">
        <v>19.4624766666666</v>
      </c>
      <c r="G622" t="s">
        <v>1270</v>
      </c>
      <c r="H622" t="s">
        <v>1314</v>
      </c>
      <c r="I622" t="s">
        <v>1316</v>
      </c>
      <c r="J622" t="s">
        <v>68</v>
      </c>
      <c r="K622">
        <v>12.69989491953125</v>
      </c>
      <c r="L622">
        <v>10.94110728828125</v>
      </c>
      <c r="M622">
        <v>436.52716706467533</v>
      </c>
      <c r="N622">
        <v>6879.9598135640836</v>
      </c>
      <c r="O622" t="s">
        <v>1317</v>
      </c>
      <c r="Q622">
        <v>12.037000000000001</v>
      </c>
      <c r="R622">
        <v>1325.0039999999999</v>
      </c>
      <c r="S622">
        <v>50</v>
      </c>
      <c r="T622">
        <v>102.860665998645</v>
      </c>
      <c r="U622">
        <v>1.02117300110715E-2</v>
      </c>
      <c r="V622">
        <v>4.3681663969266503E-2</v>
      </c>
      <c r="W622">
        <v>4.0433192172990504E-3</v>
      </c>
      <c r="X622">
        <v>10.922823354337391</v>
      </c>
      <c r="Y622">
        <v>0.17334586088504589</v>
      </c>
      <c r="Z622">
        <v>0.14984667413588831</v>
      </c>
      <c r="AA622">
        <v>2.2814875931669181E-2</v>
      </c>
      <c r="AB622">
        <v>0.65879980010986783</v>
      </c>
      <c r="AC622">
        <v>9.8492536234043471E-2</v>
      </c>
      <c r="AD622">
        <v>1190.9131070804631</v>
      </c>
      <c r="AE622">
        <v>50</v>
      </c>
      <c r="AF622">
        <v>82.234364308974506</v>
      </c>
      <c r="AG622">
        <v>2.5121921052631579</v>
      </c>
      <c r="AH622">
        <v>13.074163157894739</v>
      </c>
      <c r="AI622">
        <v>0.29389473684210532</v>
      </c>
      <c r="AJ622">
        <v>10.20886842105263</v>
      </c>
      <c r="AK622">
        <v>0.54598421052631574</v>
      </c>
      <c r="AL622">
        <v>2.8679000000000001</v>
      </c>
      <c r="AM622">
        <v>50.490678947368423</v>
      </c>
      <c r="AN622">
        <v>5.942205263157895</v>
      </c>
      <c r="AO622">
        <v>11.55592894736842</v>
      </c>
      <c r="AP622">
        <v>0.19241315789473681</v>
      </c>
      <c r="AQ622">
        <v>97.684228947368425</v>
      </c>
      <c r="AR622">
        <v>0.10033019549794051</v>
      </c>
      <c r="AS622">
        <v>0.14738958187412449</v>
      </c>
      <c r="AT622">
        <v>3.0546807865311158E-2</v>
      </c>
      <c r="AU622">
        <v>9.5648373992287164E-2</v>
      </c>
      <c r="AV622">
        <v>2.3881269116608591E-2</v>
      </c>
      <c r="AW622">
        <v>3.1785360886210923E-2</v>
      </c>
      <c r="AX622">
        <v>0.60766890503239923</v>
      </c>
      <c r="AY622">
        <v>7.4290807893217653E-2</v>
      </c>
      <c r="AZ622">
        <v>0.1755272860363162</v>
      </c>
      <c r="BA622">
        <v>3.9832708649583118E-2</v>
      </c>
      <c r="BB622">
        <v>19</v>
      </c>
      <c r="BC622" t="s">
        <v>86</v>
      </c>
    </row>
    <row r="623" spans="1:55" x14ac:dyDescent="0.2">
      <c r="A623">
        <v>28</v>
      </c>
      <c r="B623" t="s">
        <v>1268</v>
      </c>
      <c r="C623" t="s">
        <v>1269</v>
      </c>
      <c r="D623" t="s">
        <v>144</v>
      </c>
      <c r="E623">
        <v>-154.91439</v>
      </c>
      <c r="F623">
        <v>19.4624766666666</v>
      </c>
      <c r="G623" t="s">
        <v>1270</v>
      </c>
      <c r="H623" t="s">
        <v>1318</v>
      </c>
      <c r="I623" t="s">
        <v>1318</v>
      </c>
      <c r="J623" t="s">
        <v>68</v>
      </c>
      <c r="K623">
        <v>20.99729985078125</v>
      </c>
      <c r="L623">
        <v>14.948823142968751</v>
      </c>
      <c r="M623">
        <v>986.09856486825333</v>
      </c>
      <c r="N623">
        <v>23630.946864476398</v>
      </c>
      <c r="O623" t="s">
        <v>1319</v>
      </c>
      <c r="P623" t="s">
        <v>1213</v>
      </c>
      <c r="Q623">
        <v>5.9950000000000001</v>
      </c>
      <c r="R623">
        <v>1325.0039999999999</v>
      </c>
      <c r="S623">
        <v>50</v>
      </c>
      <c r="T623">
        <v>103.477516642981</v>
      </c>
      <c r="U623">
        <v>5.9780473222561603E-3</v>
      </c>
      <c r="V623">
        <v>0.29753171128686501</v>
      </c>
      <c r="W623">
        <v>2.5340699885418802E-3</v>
      </c>
      <c r="X623">
        <v>1.466006416401175</v>
      </c>
      <c r="Y623">
        <v>5.5819738660300988E-3</v>
      </c>
      <c r="Z623">
        <v>1.152849928641781</v>
      </c>
      <c r="AA623">
        <v>4.2107016174894582E-2</v>
      </c>
      <c r="AB623">
        <v>4.5924476249975763</v>
      </c>
      <c r="AC623">
        <v>0.15109821679322541</v>
      </c>
      <c r="AD623">
        <v>1333.8718069055139</v>
      </c>
      <c r="AE623">
        <v>50</v>
      </c>
      <c r="AF623">
        <v>89.556404687837102</v>
      </c>
      <c r="AG623">
        <v>2.5121921052631579</v>
      </c>
      <c r="AH623">
        <v>13.074163157894739</v>
      </c>
      <c r="AI623">
        <v>0.29389473684210532</v>
      </c>
      <c r="AJ623">
        <v>10.20886842105263</v>
      </c>
      <c r="AK623">
        <v>0.54598421052631574</v>
      </c>
      <c r="AL623">
        <v>2.8679000000000001</v>
      </c>
      <c r="AM623">
        <v>50.490678947368423</v>
      </c>
      <c r="AN623">
        <v>5.942205263157895</v>
      </c>
      <c r="AO623">
        <v>11.55592894736842</v>
      </c>
      <c r="AP623">
        <v>0.19241315789473681</v>
      </c>
      <c r="AQ623">
        <v>97.684228947368425</v>
      </c>
      <c r="AR623">
        <v>0.10033019549794051</v>
      </c>
      <c r="AS623">
        <v>0.14738958187412449</v>
      </c>
      <c r="AT623">
        <v>3.0546807865311158E-2</v>
      </c>
      <c r="AU623">
        <v>9.5648373992287164E-2</v>
      </c>
      <c r="AV623">
        <v>2.3881269116608591E-2</v>
      </c>
      <c r="AW623">
        <v>3.1785360886210923E-2</v>
      </c>
      <c r="AX623">
        <v>0.60766890503239923</v>
      </c>
      <c r="AY623">
        <v>7.4290807893217653E-2</v>
      </c>
      <c r="AZ623">
        <v>0.1755272860363162</v>
      </c>
      <c r="BA623">
        <v>3.9832708649583118E-2</v>
      </c>
      <c r="BB623">
        <v>19</v>
      </c>
      <c r="BC623" t="s">
        <v>86</v>
      </c>
    </row>
    <row r="624" spans="1:55" x14ac:dyDescent="0.2">
      <c r="A624">
        <v>29</v>
      </c>
      <c r="B624" t="s">
        <v>1268</v>
      </c>
      <c r="C624" t="s">
        <v>1269</v>
      </c>
      <c r="D624" t="s">
        <v>144</v>
      </c>
      <c r="E624">
        <v>-154.91439</v>
      </c>
      <c r="F624">
        <v>19.4624766666666</v>
      </c>
      <c r="G624" t="s">
        <v>1270</v>
      </c>
      <c r="H624" t="s">
        <v>1320</v>
      </c>
      <c r="I624" t="s">
        <v>1320</v>
      </c>
      <c r="J624" t="s">
        <v>68</v>
      </c>
      <c r="K624">
        <v>9.2431077835937501</v>
      </c>
      <c r="L624">
        <v>8.726292478125</v>
      </c>
      <c r="M624">
        <v>253.39477480099751</v>
      </c>
      <c r="N624">
        <v>3035.5680884181379</v>
      </c>
      <c r="Q624">
        <v>11.962</v>
      </c>
      <c r="R624">
        <v>1325.0039999999999</v>
      </c>
      <c r="S624">
        <v>50</v>
      </c>
      <c r="T624">
        <v>103.09694978993601</v>
      </c>
      <c r="U624">
        <v>6.98899227976025E-3</v>
      </c>
      <c r="V624">
        <v>0.13723787756156</v>
      </c>
      <c r="W624">
        <v>2.7672810350125501E-3</v>
      </c>
      <c r="X624">
        <v>3.817723809486762</v>
      </c>
      <c r="Y624">
        <v>7.2674205233789535E-2</v>
      </c>
      <c r="Z624">
        <v>0.45040901344116901</v>
      </c>
      <c r="AA624">
        <v>2.6378423041950119E-2</v>
      </c>
      <c r="AB624">
        <v>1.9179818169519349</v>
      </c>
      <c r="AC624">
        <v>0.1070372007710217</v>
      </c>
      <c r="AD624">
        <v>1194.292795867121</v>
      </c>
      <c r="AE624">
        <v>50</v>
      </c>
      <c r="AF624">
        <v>82.506176816654005</v>
      </c>
      <c r="AG624">
        <v>2.5121921052631579</v>
      </c>
      <c r="AH624">
        <v>13.074163157894739</v>
      </c>
      <c r="AI624">
        <v>0.29389473684210532</v>
      </c>
      <c r="AJ624">
        <v>10.20886842105263</v>
      </c>
      <c r="AK624">
        <v>0.54598421052631574</v>
      </c>
      <c r="AL624">
        <v>2.8679000000000001</v>
      </c>
      <c r="AM624">
        <v>50.490678947368423</v>
      </c>
      <c r="AN624">
        <v>5.942205263157895</v>
      </c>
      <c r="AO624">
        <v>11.55592894736842</v>
      </c>
      <c r="AP624">
        <v>0.19241315789473681</v>
      </c>
      <c r="AQ624">
        <v>97.684228947368425</v>
      </c>
      <c r="AR624">
        <v>0.10033019549794051</v>
      </c>
      <c r="AS624">
        <v>0.14738958187412449</v>
      </c>
      <c r="AT624">
        <v>3.0546807865311158E-2</v>
      </c>
      <c r="AU624">
        <v>9.5648373992287164E-2</v>
      </c>
      <c r="AV624">
        <v>2.3881269116608591E-2</v>
      </c>
      <c r="AW624">
        <v>3.1785360886210923E-2</v>
      </c>
      <c r="AX624">
        <v>0.60766890503239923</v>
      </c>
      <c r="AY624">
        <v>7.4290807893217653E-2</v>
      </c>
      <c r="AZ624">
        <v>0.1755272860363162</v>
      </c>
      <c r="BA624">
        <v>3.9832708649583118E-2</v>
      </c>
      <c r="BB624">
        <v>19</v>
      </c>
      <c r="BC624" t="s">
        <v>86</v>
      </c>
    </row>
    <row r="625" spans="1:55" x14ac:dyDescent="0.2">
      <c r="A625">
        <v>30</v>
      </c>
      <c r="B625" t="s">
        <v>1268</v>
      </c>
      <c r="C625" t="s">
        <v>1269</v>
      </c>
      <c r="D625" t="s">
        <v>144</v>
      </c>
      <c r="E625">
        <v>-154.91439</v>
      </c>
      <c r="F625">
        <v>19.4624766666666</v>
      </c>
      <c r="G625" t="s">
        <v>1270</v>
      </c>
      <c r="H625" t="s">
        <v>1321</v>
      </c>
      <c r="I625" t="s">
        <v>1322</v>
      </c>
      <c r="J625" t="s">
        <v>68</v>
      </c>
      <c r="K625">
        <v>6.0763718328125007</v>
      </c>
      <c r="L625">
        <v>5.4145018773437501</v>
      </c>
      <c r="M625">
        <v>103.360052968023</v>
      </c>
      <c r="N625">
        <v>791.79821022040846</v>
      </c>
      <c r="O625" t="s">
        <v>1323</v>
      </c>
      <c r="Q625">
        <v>9.0259999999999998</v>
      </c>
      <c r="R625">
        <v>1325.0039999999999</v>
      </c>
      <c r="S625">
        <v>50</v>
      </c>
      <c r="T625">
        <v>102.928311833615</v>
      </c>
      <c r="U625">
        <v>4.1101780321415099E-3</v>
      </c>
      <c r="V625">
        <v>7.0465931101825405E-2</v>
      </c>
      <c r="W625">
        <v>3.79746811339912E-3</v>
      </c>
      <c r="X625">
        <v>5.4855347634404854</v>
      </c>
      <c r="Y625">
        <v>0.1321389712042402</v>
      </c>
      <c r="Z625">
        <v>0.23571839560588681</v>
      </c>
      <c r="AA625">
        <v>2.3004965557053728E-2</v>
      </c>
      <c r="AB625">
        <v>1.026731049358679</v>
      </c>
      <c r="AC625">
        <v>9.7582512155832191E-2</v>
      </c>
      <c r="AD625">
        <v>1198.33338181114</v>
      </c>
      <c r="AE625">
        <v>50</v>
      </c>
      <c r="AF625">
        <v>82.818573207248505</v>
      </c>
      <c r="AG625">
        <v>2.5121921052631579</v>
      </c>
      <c r="AH625">
        <v>13.074163157894739</v>
      </c>
      <c r="AI625">
        <v>0.29389473684210532</v>
      </c>
      <c r="AJ625">
        <v>10.20886842105263</v>
      </c>
      <c r="AK625">
        <v>0.54598421052631574</v>
      </c>
      <c r="AL625">
        <v>2.8679000000000001</v>
      </c>
      <c r="AM625">
        <v>50.490678947368423</v>
      </c>
      <c r="AN625">
        <v>5.942205263157895</v>
      </c>
      <c r="AO625">
        <v>11.55592894736842</v>
      </c>
      <c r="AP625">
        <v>0.19241315789473681</v>
      </c>
      <c r="AQ625">
        <v>97.684228947368425</v>
      </c>
      <c r="AR625">
        <v>0.10033019549794051</v>
      </c>
      <c r="AS625">
        <v>0.14738958187412449</v>
      </c>
      <c r="AT625">
        <v>3.0546807865311158E-2</v>
      </c>
      <c r="AU625">
        <v>9.5648373992287164E-2</v>
      </c>
      <c r="AV625">
        <v>2.3881269116608591E-2</v>
      </c>
      <c r="AW625">
        <v>3.1785360886210923E-2</v>
      </c>
      <c r="AX625">
        <v>0.60766890503239923</v>
      </c>
      <c r="AY625">
        <v>7.4290807893217653E-2</v>
      </c>
      <c r="AZ625">
        <v>0.1755272860363162</v>
      </c>
      <c r="BA625">
        <v>3.9832708649583118E-2</v>
      </c>
      <c r="BB625">
        <v>19</v>
      </c>
      <c r="BC625" t="s">
        <v>86</v>
      </c>
    </row>
    <row r="626" spans="1:55" x14ac:dyDescent="0.2">
      <c r="A626">
        <v>31</v>
      </c>
      <c r="B626" t="s">
        <v>1268</v>
      </c>
      <c r="C626" t="s">
        <v>1269</v>
      </c>
      <c r="D626" t="s">
        <v>144</v>
      </c>
      <c r="E626">
        <v>-154.91439</v>
      </c>
      <c r="F626">
        <v>19.4624766666666</v>
      </c>
      <c r="G626" t="s">
        <v>1270</v>
      </c>
      <c r="H626" t="s">
        <v>1321</v>
      </c>
      <c r="I626" t="s">
        <v>1324</v>
      </c>
      <c r="J626" t="s">
        <v>68</v>
      </c>
      <c r="K626">
        <v>8.8394420789062504</v>
      </c>
      <c r="L626">
        <v>8.0613424359374992</v>
      </c>
      <c r="M626">
        <v>223.86288530025311</v>
      </c>
      <c r="N626">
        <v>2522.305590220506</v>
      </c>
      <c r="O626" t="s">
        <v>1323</v>
      </c>
      <c r="Q626">
        <v>6.0294999999999996</v>
      </c>
      <c r="R626">
        <v>1325.0039999999999</v>
      </c>
      <c r="S626">
        <v>50</v>
      </c>
      <c r="T626">
        <v>102.93984761948801</v>
      </c>
      <c r="U626">
        <v>6.2769690320999402E-3</v>
      </c>
      <c r="V626">
        <v>7.5033508256549197E-2</v>
      </c>
      <c r="W626">
        <v>5.2421421856405697E-3</v>
      </c>
      <c r="X626">
        <v>3.5032626685773329</v>
      </c>
      <c r="Y626">
        <v>0.12633168622132171</v>
      </c>
      <c r="Z626">
        <v>0.25014262130268139</v>
      </c>
      <c r="AA626">
        <v>2.615038884665416E-2</v>
      </c>
      <c r="AB626">
        <v>1.087872374823994</v>
      </c>
      <c r="AC626">
        <v>0.11059438957429379</v>
      </c>
      <c r="AD626">
        <v>1198.33338181114</v>
      </c>
      <c r="AE626">
        <v>50</v>
      </c>
      <c r="AF626">
        <v>82.818573207248505</v>
      </c>
      <c r="AG626">
        <v>2.5121921052631579</v>
      </c>
      <c r="AH626">
        <v>13.074163157894739</v>
      </c>
      <c r="AI626">
        <v>0.29389473684210532</v>
      </c>
      <c r="AJ626">
        <v>10.20886842105263</v>
      </c>
      <c r="AK626">
        <v>0.54598421052631574</v>
      </c>
      <c r="AL626">
        <v>2.8679000000000001</v>
      </c>
      <c r="AM626">
        <v>50.490678947368423</v>
      </c>
      <c r="AN626">
        <v>5.942205263157895</v>
      </c>
      <c r="AO626">
        <v>11.55592894736842</v>
      </c>
      <c r="AP626">
        <v>0.19241315789473681</v>
      </c>
      <c r="AQ626">
        <v>97.684228947368425</v>
      </c>
      <c r="AR626">
        <v>0.10033019549794051</v>
      </c>
      <c r="AS626">
        <v>0.14738958187412449</v>
      </c>
      <c r="AT626">
        <v>3.0546807865311158E-2</v>
      </c>
      <c r="AU626">
        <v>9.5648373992287164E-2</v>
      </c>
      <c r="AV626">
        <v>2.3881269116608591E-2</v>
      </c>
      <c r="AW626">
        <v>3.1785360886210923E-2</v>
      </c>
      <c r="AX626">
        <v>0.60766890503239923</v>
      </c>
      <c r="AY626">
        <v>7.4290807893217653E-2</v>
      </c>
      <c r="AZ626">
        <v>0.1755272860363162</v>
      </c>
      <c r="BA626">
        <v>3.9832708649583118E-2</v>
      </c>
      <c r="BB626">
        <v>19</v>
      </c>
      <c r="BC626" t="s">
        <v>86</v>
      </c>
    </row>
    <row r="627" spans="1:55" x14ac:dyDescent="0.2">
      <c r="A627">
        <v>32</v>
      </c>
      <c r="B627" t="s">
        <v>1268</v>
      </c>
      <c r="C627" t="s">
        <v>1269</v>
      </c>
      <c r="D627" t="s">
        <v>144</v>
      </c>
      <c r="E627">
        <v>-154.91439</v>
      </c>
      <c r="F627">
        <v>19.4624766666666</v>
      </c>
      <c r="G627" t="s">
        <v>1270</v>
      </c>
      <c r="H627" t="s">
        <v>1321</v>
      </c>
      <c r="I627" t="s">
        <v>1325</v>
      </c>
      <c r="J627" t="s">
        <v>68</v>
      </c>
      <c r="K627">
        <v>5.2750262523437499</v>
      </c>
      <c r="L627">
        <v>5.0737164335937504</v>
      </c>
      <c r="M627">
        <v>84.081546146831059</v>
      </c>
      <c r="N627">
        <v>580.09219047288957</v>
      </c>
      <c r="Q627">
        <v>12.058</v>
      </c>
      <c r="R627">
        <v>1325.0039999999999</v>
      </c>
      <c r="S627">
        <v>50</v>
      </c>
      <c r="T627">
        <v>102.978703328381</v>
      </c>
      <c r="U627">
        <v>1.85255672410829E-2</v>
      </c>
      <c r="V627">
        <v>9.0418368049782302E-2</v>
      </c>
      <c r="W627">
        <v>7.3351706279005599E-3</v>
      </c>
      <c r="X627">
        <v>0</v>
      </c>
      <c r="Y627">
        <v>0.1088699997915918</v>
      </c>
      <c r="Z627">
        <v>0.29885098163825152</v>
      </c>
      <c r="AA627">
        <v>3.1791663850182547E-2</v>
      </c>
      <c r="AB627">
        <v>1.292962144881834</v>
      </c>
      <c r="AC627">
        <v>0.13309626890176379</v>
      </c>
      <c r="AD627">
        <v>1198.33338181114</v>
      </c>
      <c r="AE627">
        <v>50</v>
      </c>
      <c r="AF627">
        <v>82.818573207248505</v>
      </c>
      <c r="AG627">
        <v>2.5121921052631579</v>
      </c>
      <c r="AH627">
        <v>13.074163157894739</v>
      </c>
      <c r="AI627">
        <v>0.29389473684210532</v>
      </c>
      <c r="AJ627">
        <v>10.20886842105263</v>
      </c>
      <c r="AK627">
        <v>0.54598421052631574</v>
      </c>
      <c r="AL627">
        <v>2.8679000000000001</v>
      </c>
      <c r="AM627">
        <v>50.490678947368423</v>
      </c>
      <c r="AN627">
        <v>5.942205263157895</v>
      </c>
      <c r="AO627">
        <v>11.55592894736842</v>
      </c>
      <c r="AP627">
        <v>0.19241315789473681</v>
      </c>
      <c r="AQ627">
        <v>97.684228947368425</v>
      </c>
      <c r="AR627">
        <v>0.10033019549794051</v>
      </c>
      <c r="AS627">
        <v>0.14738958187412449</v>
      </c>
      <c r="AT627">
        <v>3.0546807865311158E-2</v>
      </c>
      <c r="AU627">
        <v>9.5648373992287164E-2</v>
      </c>
      <c r="AV627">
        <v>2.3881269116608591E-2</v>
      </c>
      <c r="AW627">
        <v>3.1785360886210923E-2</v>
      </c>
      <c r="AX627">
        <v>0.60766890503239923</v>
      </c>
      <c r="AY627">
        <v>7.4290807893217653E-2</v>
      </c>
      <c r="AZ627">
        <v>0.1755272860363162</v>
      </c>
      <c r="BA627">
        <v>3.9832708649583118E-2</v>
      </c>
      <c r="BB627">
        <v>19</v>
      </c>
      <c r="BC627" t="s">
        <v>86</v>
      </c>
    </row>
    <row r="628" spans="1:55" x14ac:dyDescent="0.2">
      <c r="A628">
        <v>33</v>
      </c>
      <c r="B628" t="s">
        <v>1268</v>
      </c>
      <c r="C628" t="s">
        <v>1269</v>
      </c>
      <c r="D628" t="s">
        <v>144</v>
      </c>
      <c r="E628">
        <v>-154.91439</v>
      </c>
      <c r="F628">
        <v>19.4624766666666</v>
      </c>
      <c r="G628" t="s">
        <v>1270</v>
      </c>
      <c r="H628" t="s">
        <v>1321</v>
      </c>
      <c r="I628" t="s">
        <v>1326</v>
      </c>
      <c r="J628" t="s">
        <v>68</v>
      </c>
      <c r="K628">
        <v>5.4752900039062506</v>
      </c>
      <c r="L628">
        <v>5.0845257945312499</v>
      </c>
      <c r="M628">
        <v>87.459593514874939</v>
      </c>
      <c r="N628">
        <v>615.70479821553226</v>
      </c>
      <c r="Q628">
        <v>5.9939999999999998</v>
      </c>
      <c r="R628">
        <v>1325.0039999999999</v>
      </c>
      <c r="S628">
        <v>50</v>
      </c>
      <c r="T628">
        <v>102.94967867625</v>
      </c>
      <c r="U628">
        <v>9.5955809838506496E-3</v>
      </c>
      <c r="V628">
        <v>7.8926100470212604E-2</v>
      </c>
      <c r="W628">
        <v>3.7993559319637799E-3</v>
      </c>
      <c r="X628">
        <v>4.3623738115980428</v>
      </c>
      <c r="Y628">
        <v>0.1216156409161475</v>
      </c>
      <c r="Z628">
        <v>0.26244085933707628</v>
      </c>
      <c r="AA628">
        <v>2.3381881137623101E-2</v>
      </c>
      <c r="AB628">
        <v>1.139854314432255</v>
      </c>
      <c r="AC628">
        <v>9.8633158981126942E-2</v>
      </c>
      <c r="AD628">
        <v>1198.33338181114</v>
      </c>
      <c r="AE628">
        <v>50</v>
      </c>
      <c r="AF628">
        <v>82.818573207248505</v>
      </c>
      <c r="AG628">
        <v>2.5121921052631579</v>
      </c>
      <c r="AH628">
        <v>13.074163157894739</v>
      </c>
      <c r="AI628">
        <v>0.29389473684210532</v>
      </c>
      <c r="AJ628">
        <v>10.20886842105263</v>
      </c>
      <c r="AK628">
        <v>0.54598421052631574</v>
      </c>
      <c r="AL628">
        <v>2.8679000000000001</v>
      </c>
      <c r="AM628">
        <v>50.490678947368423</v>
      </c>
      <c r="AN628">
        <v>5.942205263157895</v>
      </c>
      <c r="AO628">
        <v>11.55592894736842</v>
      </c>
      <c r="AP628">
        <v>0.19241315789473681</v>
      </c>
      <c r="AQ628">
        <v>97.684228947368425</v>
      </c>
      <c r="AR628">
        <v>0.10033019549794051</v>
      </c>
      <c r="AS628">
        <v>0.14738958187412449</v>
      </c>
      <c r="AT628">
        <v>3.0546807865311158E-2</v>
      </c>
      <c r="AU628">
        <v>9.5648373992287164E-2</v>
      </c>
      <c r="AV628">
        <v>2.3881269116608591E-2</v>
      </c>
      <c r="AW628">
        <v>3.1785360886210923E-2</v>
      </c>
      <c r="AX628">
        <v>0.60766890503239923</v>
      </c>
      <c r="AY628">
        <v>7.4290807893217653E-2</v>
      </c>
      <c r="AZ628">
        <v>0.1755272860363162</v>
      </c>
      <c r="BA628">
        <v>3.9832708649583118E-2</v>
      </c>
      <c r="BB628">
        <v>19</v>
      </c>
      <c r="BC628" t="s">
        <v>86</v>
      </c>
    </row>
    <row r="629" spans="1:55" x14ac:dyDescent="0.2">
      <c r="A629">
        <v>34</v>
      </c>
      <c r="B629" t="s">
        <v>1268</v>
      </c>
      <c r="C629" t="s">
        <v>1269</v>
      </c>
      <c r="D629" t="s">
        <v>144</v>
      </c>
      <c r="E629">
        <v>-154.91439</v>
      </c>
      <c r="F629">
        <v>19.4624766666666</v>
      </c>
      <c r="G629" t="s">
        <v>1270</v>
      </c>
      <c r="H629" t="s">
        <v>1321</v>
      </c>
      <c r="I629" t="s">
        <v>1327</v>
      </c>
      <c r="J629" t="s">
        <v>68</v>
      </c>
      <c r="K629">
        <v>5.3518540757812492</v>
      </c>
      <c r="L629">
        <v>4.6578466117187496</v>
      </c>
      <c r="M629">
        <v>78.313984124569402</v>
      </c>
      <c r="N629">
        <v>522.59969382171084</v>
      </c>
      <c r="Q629">
        <v>12.002000000000001</v>
      </c>
      <c r="R629">
        <v>1325.0039999999999</v>
      </c>
      <c r="S629">
        <v>50</v>
      </c>
      <c r="T629">
        <v>102.894675530569</v>
      </c>
      <c r="U629">
        <v>1.6058758266018599E-2</v>
      </c>
      <c r="V629">
        <v>5.7147687243322302E-2</v>
      </c>
      <c r="W629">
        <v>3.8077880246027799E-4</v>
      </c>
      <c r="X629">
        <v>3.8855148668134341</v>
      </c>
      <c r="Y629">
        <v>0.1508887064189777</v>
      </c>
      <c r="Z629">
        <v>0.19358112039691561</v>
      </c>
      <c r="AA629">
        <v>1.8506781270507151E-2</v>
      </c>
      <c r="AB629">
        <v>0.84703699084413797</v>
      </c>
      <c r="AC629">
        <v>7.9176393998602282E-2</v>
      </c>
      <c r="AD629">
        <v>1198.33338181114</v>
      </c>
      <c r="AE629">
        <v>50</v>
      </c>
      <c r="AF629">
        <v>82.818573207248505</v>
      </c>
      <c r="AG629">
        <v>2.5121921052631579</v>
      </c>
      <c r="AH629">
        <v>13.074163157894739</v>
      </c>
      <c r="AI629">
        <v>0.29389473684210532</v>
      </c>
      <c r="AJ629">
        <v>10.20886842105263</v>
      </c>
      <c r="AK629">
        <v>0.54598421052631574</v>
      </c>
      <c r="AL629">
        <v>2.8679000000000001</v>
      </c>
      <c r="AM629">
        <v>50.490678947368423</v>
      </c>
      <c r="AN629">
        <v>5.942205263157895</v>
      </c>
      <c r="AO629">
        <v>11.55592894736842</v>
      </c>
      <c r="AP629">
        <v>0.19241315789473681</v>
      </c>
      <c r="AQ629">
        <v>97.684228947368425</v>
      </c>
      <c r="AR629">
        <v>0.10033019549794051</v>
      </c>
      <c r="AS629">
        <v>0.14738958187412449</v>
      </c>
      <c r="AT629">
        <v>3.0546807865311158E-2</v>
      </c>
      <c r="AU629">
        <v>9.5648373992287164E-2</v>
      </c>
      <c r="AV629">
        <v>2.3881269116608591E-2</v>
      </c>
      <c r="AW629">
        <v>3.1785360886210923E-2</v>
      </c>
      <c r="AX629">
        <v>0.60766890503239923</v>
      </c>
      <c r="AY629">
        <v>7.4290807893217653E-2</v>
      </c>
      <c r="AZ629">
        <v>0.1755272860363162</v>
      </c>
      <c r="BA629">
        <v>3.9832708649583118E-2</v>
      </c>
      <c r="BB629">
        <v>19</v>
      </c>
      <c r="BC629" t="s">
        <v>86</v>
      </c>
    </row>
    <row r="630" spans="1:55" x14ac:dyDescent="0.2">
      <c r="A630">
        <v>35</v>
      </c>
      <c r="B630" t="s">
        <v>1268</v>
      </c>
      <c r="C630" t="s">
        <v>1269</v>
      </c>
      <c r="D630" t="s">
        <v>144</v>
      </c>
      <c r="E630">
        <v>-154.91439</v>
      </c>
      <c r="F630">
        <v>19.4624766666666</v>
      </c>
      <c r="G630" t="s">
        <v>1270</v>
      </c>
      <c r="H630" t="s">
        <v>1321</v>
      </c>
      <c r="I630" t="s">
        <v>1328</v>
      </c>
      <c r="J630" t="s">
        <v>68</v>
      </c>
      <c r="K630">
        <v>9.1017143687500006</v>
      </c>
      <c r="L630">
        <v>7.4133038132812503</v>
      </c>
      <c r="M630">
        <v>211.9751121970873</v>
      </c>
      <c r="N630">
        <v>2333.8485547153409</v>
      </c>
      <c r="O630" t="s">
        <v>1329</v>
      </c>
      <c r="Q630">
        <v>12.082000000000001</v>
      </c>
      <c r="R630">
        <v>1325.0039999999999</v>
      </c>
      <c r="S630">
        <v>50</v>
      </c>
      <c r="T630">
        <v>102.930126863415</v>
      </c>
      <c r="U630">
        <v>9.6995282819656997E-3</v>
      </c>
      <c r="V630">
        <v>7.1184589435361503E-2</v>
      </c>
      <c r="W630">
        <v>3.84051370911109E-3</v>
      </c>
      <c r="X630">
        <v>3.9152789437800282</v>
      </c>
      <c r="Y630">
        <v>0.1312051879463639</v>
      </c>
      <c r="Z630">
        <v>0.2379878839323725</v>
      </c>
      <c r="AA630">
        <v>2.3116957111928141E-2</v>
      </c>
      <c r="AB630">
        <v>1.036363392324771</v>
      </c>
      <c r="AC630">
        <v>9.8011440341953901E-2</v>
      </c>
      <c r="AD630">
        <v>1198.33338181114</v>
      </c>
      <c r="AE630">
        <v>50</v>
      </c>
      <c r="AF630">
        <v>82.818573207248505</v>
      </c>
      <c r="AG630">
        <v>2.5121921052631579</v>
      </c>
      <c r="AH630">
        <v>13.074163157894739</v>
      </c>
      <c r="AI630">
        <v>0.29389473684210532</v>
      </c>
      <c r="AJ630">
        <v>10.20886842105263</v>
      </c>
      <c r="AK630">
        <v>0.54598421052631574</v>
      </c>
      <c r="AL630">
        <v>2.8679000000000001</v>
      </c>
      <c r="AM630">
        <v>50.490678947368423</v>
      </c>
      <c r="AN630">
        <v>5.942205263157895</v>
      </c>
      <c r="AO630">
        <v>11.55592894736842</v>
      </c>
      <c r="AP630">
        <v>0.19241315789473681</v>
      </c>
      <c r="AQ630">
        <v>97.684228947368425</v>
      </c>
      <c r="AR630">
        <v>0.10033019549794051</v>
      </c>
      <c r="AS630">
        <v>0.14738958187412449</v>
      </c>
      <c r="AT630">
        <v>3.0546807865311158E-2</v>
      </c>
      <c r="AU630">
        <v>9.5648373992287164E-2</v>
      </c>
      <c r="AV630">
        <v>2.3881269116608591E-2</v>
      </c>
      <c r="AW630">
        <v>3.1785360886210923E-2</v>
      </c>
      <c r="AX630">
        <v>0.60766890503239923</v>
      </c>
      <c r="AY630">
        <v>7.4290807893217653E-2</v>
      </c>
      <c r="AZ630">
        <v>0.1755272860363162</v>
      </c>
      <c r="BA630">
        <v>3.9832708649583118E-2</v>
      </c>
      <c r="BB630">
        <v>19</v>
      </c>
      <c r="BC630" t="s">
        <v>86</v>
      </c>
    </row>
    <row r="631" spans="1:55" x14ac:dyDescent="0.2">
      <c r="A631">
        <v>36</v>
      </c>
      <c r="B631" t="s">
        <v>1268</v>
      </c>
      <c r="C631" t="s">
        <v>1269</v>
      </c>
      <c r="D631" t="s">
        <v>144</v>
      </c>
      <c r="E631">
        <v>-154.91439</v>
      </c>
      <c r="F631">
        <v>19.4624766666666</v>
      </c>
      <c r="G631" t="s">
        <v>1270</v>
      </c>
      <c r="H631" t="s">
        <v>1321</v>
      </c>
      <c r="I631" t="s">
        <v>1330</v>
      </c>
      <c r="J631" t="s">
        <v>68</v>
      </c>
      <c r="K631">
        <v>16.29906342265625</v>
      </c>
      <c r="L631">
        <v>14.628494124218751</v>
      </c>
      <c r="M631">
        <v>749.05230361248323</v>
      </c>
      <c r="N631">
        <v>15444.238817062909</v>
      </c>
      <c r="Q631">
        <v>6.0149999999999997</v>
      </c>
      <c r="R631">
        <v>1325.0039999999999</v>
      </c>
      <c r="S631">
        <v>50</v>
      </c>
      <c r="T631">
        <v>102.934173040912</v>
      </c>
      <c r="U631">
        <v>5.79855377488161E-3</v>
      </c>
      <c r="V631">
        <v>7.2786667360659807E-2</v>
      </c>
      <c r="W631">
        <v>2.29592869034789E-3</v>
      </c>
      <c r="X631">
        <v>2.9197811723947358</v>
      </c>
      <c r="Y631">
        <v>0.12915071869563891</v>
      </c>
      <c r="Z631">
        <v>0.24304699252196821</v>
      </c>
      <c r="AA631">
        <v>2.084188904292748E-2</v>
      </c>
      <c r="AB631">
        <v>1.057818913564238</v>
      </c>
      <c r="AC631">
        <v>8.8265966659255984E-2</v>
      </c>
      <c r="AD631">
        <v>1198.33338181114</v>
      </c>
      <c r="AE631">
        <v>50</v>
      </c>
      <c r="AF631">
        <v>82.818573207248505</v>
      </c>
      <c r="AG631">
        <v>2.5121921052631579</v>
      </c>
      <c r="AH631">
        <v>13.074163157894739</v>
      </c>
      <c r="AI631">
        <v>0.29389473684210532</v>
      </c>
      <c r="AJ631">
        <v>10.20886842105263</v>
      </c>
      <c r="AK631">
        <v>0.54598421052631574</v>
      </c>
      <c r="AL631">
        <v>2.8679000000000001</v>
      </c>
      <c r="AM631">
        <v>50.490678947368423</v>
      </c>
      <c r="AN631">
        <v>5.942205263157895</v>
      </c>
      <c r="AO631">
        <v>11.55592894736842</v>
      </c>
      <c r="AP631">
        <v>0.19241315789473681</v>
      </c>
      <c r="AQ631">
        <v>97.684228947368425</v>
      </c>
      <c r="AR631">
        <v>0.10033019549794051</v>
      </c>
      <c r="AS631">
        <v>0.14738958187412449</v>
      </c>
      <c r="AT631">
        <v>3.0546807865311158E-2</v>
      </c>
      <c r="AU631">
        <v>9.5648373992287164E-2</v>
      </c>
      <c r="AV631">
        <v>2.3881269116608591E-2</v>
      </c>
      <c r="AW631">
        <v>3.1785360886210923E-2</v>
      </c>
      <c r="AX631">
        <v>0.60766890503239923</v>
      </c>
      <c r="AY631">
        <v>7.4290807893217653E-2</v>
      </c>
      <c r="AZ631">
        <v>0.1755272860363162</v>
      </c>
      <c r="BA631">
        <v>3.9832708649583118E-2</v>
      </c>
      <c r="BB631">
        <v>19</v>
      </c>
      <c r="BC631" t="s">
        <v>86</v>
      </c>
    </row>
    <row r="632" spans="1:55" x14ac:dyDescent="0.2">
      <c r="A632">
        <v>37</v>
      </c>
      <c r="B632" t="s">
        <v>1268</v>
      </c>
      <c r="C632" t="s">
        <v>1269</v>
      </c>
      <c r="D632" t="s">
        <v>144</v>
      </c>
      <c r="E632">
        <v>-154.91439</v>
      </c>
      <c r="F632">
        <v>19.4624766666666</v>
      </c>
      <c r="G632" t="s">
        <v>1270</v>
      </c>
      <c r="H632" t="s">
        <v>1321</v>
      </c>
      <c r="I632" t="s">
        <v>1331</v>
      </c>
      <c r="J632" t="s">
        <v>68</v>
      </c>
      <c r="K632">
        <v>5.9651981367187501</v>
      </c>
      <c r="L632">
        <v>5.2004067929687503</v>
      </c>
      <c r="M632">
        <v>97.456781137124565</v>
      </c>
      <c r="N632">
        <v>725.44261059743599</v>
      </c>
      <c r="Q632">
        <v>6.0330000000000004</v>
      </c>
      <c r="R632">
        <v>1325.0039999999999</v>
      </c>
      <c r="S632">
        <v>50</v>
      </c>
      <c r="T632">
        <v>102.93316234080299</v>
      </c>
      <c r="U632">
        <v>8.23380223414928E-3</v>
      </c>
      <c r="V632">
        <v>7.2386482164738197E-2</v>
      </c>
      <c r="W632">
        <v>3.2601616737473098E-3</v>
      </c>
      <c r="X632">
        <v>5.31957624871192</v>
      </c>
      <c r="Y632">
        <v>0.12966041371041989</v>
      </c>
      <c r="Z632">
        <v>0.2417832727178007</v>
      </c>
      <c r="AA632">
        <v>2.2172062828057788E-2</v>
      </c>
      <c r="AB632">
        <v>1.052461682271848</v>
      </c>
      <c r="AC632">
        <v>9.3929217454090969E-2</v>
      </c>
      <c r="AD632">
        <v>1198.33338181114</v>
      </c>
      <c r="AE632">
        <v>50</v>
      </c>
      <c r="AF632">
        <v>82.818573207248505</v>
      </c>
      <c r="AG632">
        <v>2.5121921052631579</v>
      </c>
      <c r="AH632">
        <v>13.074163157894739</v>
      </c>
      <c r="AI632">
        <v>0.29389473684210532</v>
      </c>
      <c r="AJ632">
        <v>10.20886842105263</v>
      </c>
      <c r="AK632">
        <v>0.54598421052631574</v>
      </c>
      <c r="AL632">
        <v>2.8679000000000001</v>
      </c>
      <c r="AM632">
        <v>50.490678947368423</v>
      </c>
      <c r="AN632">
        <v>5.942205263157895</v>
      </c>
      <c r="AO632">
        <v>11.55592894736842</v>
      </c>
      <c r="AP632">
        <v>0.19241315789473681</v>
      </c>
      <c r="AQ632">
        <v>97.684228947368425</v>
      </c>
      <c r="AR632">
        <v>0.10033019549794051</v>
      </c>
      <c r="AS632">
        <v>0.14738958187412449</v>
      </c>
      <c r="AT632">
        <v>3.0546807865311158E-2</v>
      </c>
      <c r="AU632">
        <v>9.5648373992287164E-2</v>
      </c>
      <c r="AV632">
        <v>2.3881269116608591E-2</v>
      </c>
      <c r="AW632">
        <v>3.1785360886210923E-2</v>
      </c>
      <c r="AX632">
        <v>0.60766890503239923</v>
      </c>
      <c r="AY632">
        <v>7.4290807893217653E-2</v>
      </c>
      <c r="AZ632">
        <v>0.1755272860363162</v>
      </c>
      <c r="BA632">
        <v>3.9832708649583118E-2</v>
      </c>
      <c r="BB632">
        <v>19</v>
      </c>
      <c r="BC632" t="s">
        <v>86</v>
      </c>
    </row>
    <row r="633" spans="1:55" x14ac:dyDescent="0.2">
      <c r="A633">
        <v>38</v>
      </c>
      <c r="B633" t="s">
        <v>1268</v>
      </c>
      <c r="C633" t="s">
        <v>1269</v>
      </c>
      <c r="D633" t="s">
        <v>144</v>
      </c>
      <c r="E633">
        <v>-154.91439</v>
      </c>
      <c r="F633">
        <v>19.4624766666666</v>
      </c>
      <c r="G633" t="s">
        <v>1270</v>
      </c>
      <c r="H633" t="s">
        <v>1321</v>
      </c>
      <c r="I633" t="s">
        <v>1332</v>
      </c>
      <c r="J633" t="s">
        <v>68</v>
      </c>
      <c r="K633">
        <v>5.7528464976562503</v>
      </c>
      <c r="L633">
        <v>5.0096157609375007</v>
      </c>
      <c r="M633">
        <v>90.53928808316239</v>
      </c>
      <c r="N633">
        <v>649.61711394332121</v>
      </c>
      <c r="O633" t="s">
        <v>1329</v>
      </c>
      <c r="Q633">
        <v>12.036</v>
      </c>
      <c r="R633">
        <v>1325.0039999999999</v>
      </c>
      <c r="S633">
        <v>50</v>
      </c>
      <c r="T633">
        <v>102.963690621846</v>
      </c>
      <c r="U633">
        <v>5.96664602517398E-3</v>
      </c>
      <c r="V633">
        <v>8.4474109361892105E-2</v>
      </c>
      <c r="W633">
        <v>2.3624845653245001E-3</v>
      </c>
      <c r="X633">
        <v>2.1877364104360462</v>
      </c>
      <c r="Y633">
        <v>0.1152488876878062</v>
      </c>
      <c r="Z633">
        <v>0.27999326321590862</v>
      </c>
      <c r="AA633">
        <v>2.1479879610633169E-2</v>
      </c>
      <c r="AB633">
        <v>1.2138104642933889</v>
      </c>
      <c r="AC633">
        <v>9.0275682199738666E-2</v>
      </c>
      <c r="AD633">
        <v>1198.33338181114</v>
      </c>
      <c r="AE633">
        <v>50</v>
      </c>
      <c r="AF633">
        <v>82.818573207248505</v>
      </c>
      <c r="AG633">
        <v>2.5121921052631579</v>
      </c>
      <c r="AH633">
        <v>13.074163157894739</v>
      </c>
      <c r="AI633">
        <v>0.29389473684210532</v>
      </c>
      <c r="AJ633">
        <v>10.20886842105263</v>
      </c>
      <c r="AK633">
        <v>0.54598421052631574</v>
      </c>
      <c r="AL633">
        <v>2.8679000000000001</v>
      </c>
      <c r="AM633">
        <v>50.490678947368423</v>
      </c>
      <c r="AN633">
        <v>5.942205263157895</v>
      </c>
      <c r="AO633">
        <v>11.55592894736842</v>
      </c>
      <c r="AP633">
        <v>0.19241315789473681</v>
      </c>
      <c r="AQ633">
        <v>97.684228947368425</v>
      </c>
      <c r="AR633">
        <v>0.10033019549794051</v>
      </c>
      <c r="AS633">
        <v>0.14738958187412449</v>
      </c>
      <c r="AT633">
        <v>3.0546807865311158E-2</v>
      </c>
      <c r="AU633">
        <v>9.5648373992287164E-2</v>
      </c>
      <c r="AV633">
        <v>2.3881269116608591E-2</v>
      </c>
      <c r="AW633">
        <v>3.1785360886210923E-2</v>
      </c>
      <c r="AX633">
        <v>0.60766890503239923</v>
      </c>
      <c r="AY633">
        <v>7.4290807893217653E-2</v>
      </c>
      <c r="AZ633">
        <v>0.1755272860363162</v>
      </c>
      <c r="BA633">
        <v>3.9832708649583118E-2</v>
      </c>
      <c r="BB633">
        <v>19</v>
      </c>
      <c r="BC633" t="s">
        <v>86</v>
      </c>
    </row>
    <row r="634" spans="1:55" x14ac:dyDescent="0.2">
      <c r="A634">
        <v>39</v>
      </c>
      <c r="B634" t="s">
        <v>1268</v>
      </c>
      <c r="C634" t="s">
        <v>1269</v>
      </c>
      <c r="D634" t="s">
        <v>144</v>
      </c>
      <c r="E634">
        <v>-154.91439</v>
      </c>
      <c r="F634">
        <v>19.4624766666666</v>
      </c>
      <c r="G634" t="s">
        <v>1270</v>
      </c>
      <c r="H634" t="s">
        <v>1321</v>
      </c>
      <c r="I634" t="s">
        <v>1333</v>
      </c>
      <c r="J634" t="s">
        <v>68</v>
      </c>
      <c r="K634">
        <v>10.235011936718751</v>
      </c>
      <c r="L634">
        <v>8.9162699023437497</v>
      </c>
      <c r="M634">
        <v>286.69586727445329</v>
      </c>
      <c r="N634">
        <v>3660.3955708450071</v>
      </c>
      <c r="O634" t="s">
        <v>1323</v>
      </c>
      <c r="Q634">
        <v>12.069000000000001</v>
      </c>
      <c r="R634">
        <v>1325.0039999999999</v>
      </c>
      <c r="S634">
        <v>50</v>
      </c>
      <c r="T634">
        <v>102.910597264882</v>
      </c>
      <c r="U634">
        <v>7.8722447058654898E-3</v>
      </c>
      <c r="V634">
        <v>6.3451874119564794E-2</v>
      </c>
      <c r="W634">
        <v>3.1170035114520501E-3</v>
      </c>
      <c r="X634">
        <v>5.1692320859115499</v>
      </c>
      <c r="Y634">
        <v>0.14166209851612099</v>
      </c>
      <c r="Z634">
        <v>0.2135539607603304</v>
      </c>
      <c r="AA634">
        <v>2.1476878888111822E-2</v>
      </c>
      <c r="AB634">
        <v>0.93241323396313336</v>
      </c>
      <c r="AC634">
        <v>9.1519648712327872E-2</v>
      </c>
      <c r="AD634">
        <v>1198.33338181114</v>
      </c>
      <c r="AE634">
        <v>50</v>
      </c>
      <c r="AF634">
        <v>82.818573207248505</v>
      </c>
      <c r="AG634">
        <v>2.5121921052631579</v>
      </c>
      <c r="AH634">
        <v>13.074163157894739</v>
      </c>
      <c r="AI634">
        <v>0.29389473684210532</v>
      </c>
      <c r="AJ634">
        <v>10.20886842105263</v>
      </c>
      <c r="AK634">
        <v>0.54598421052631574</v>
      </c>
      <c r="AL634">
        <v>2.8679000000000001</v>
      </c>
      <c r="AM634">
        <v>50.490678947368423</v>
      </c>
      <c r="AN634">
        <v>5.942205263157895</v>
      </c>
      <c r="AO634">
        <v>11.55592894736842</v>
      </c>
      <c r="AP634">
        <v>0.19241315789473681</v>
      </c>
      <c r="AQ634">
        <v>97.684228947368425</v>
      </c>
      <c r="AR634">
        <v>0.10033019549794051</v>
      </c>
      <c r="AS634">
        <v>0.14738958187412449</v>
      </c>
      <c r="AT634">
        <v>3.0546807865311158E-2</v>
      </c>
      <c r="AU634">
        <v>9.5648373992287164E-2</v>
      </c>
      <c r="AV634">
        <v>2.3881269116608591E-2</v>
      </c>
      <c r="AW634">
        <v>3.1785360886210923E-2</v>
      </c>
      <c r="AX634">
        <v>0.60766890503239923</v>
      </c>
      <c r="AY634">
        <v>7.4290807893217653E-2</v>
      </c>
      <c r="AZ634">
        <v>0.1755272860363162</v>
      </c>
      <c r="BA634">
        <v>3.9832708649583118E-2</v>
      </c>
      <c r="BB634">
        <v>19</v>
      </c>
      <c r="BC634" t="s">
        <v>86</v>
      </c>
    </row>
    <row r="635" spans="1:55" x14ac:dyDescent="0.2">
      <c r="A635">
        <v>40</v>
      </c>
      <c r="B635" t="s">
        <v>1268</v>
      </c>
      <c r="C635" t="s">
        <v>1269</v>
      </c>
      <c r="D635" t="s">
        <v>144</v>
      </c>
      <c r="E635">
        <v>-154.91439</v>
      </c>
      <c r="F635">
        <v>19.4624766666666</v>
      </c>
      <c r="G635" t="s">
        <v>1270</v>
      </c>
      <c r="H635" t="s">
        <v>1334</v>
      </c>
      <c r="I635" t="s">
        <v>1335</v>
      </c>
      <c r="J635" t="s">
        <v>68</v>
      </c>
      <c r="K635">
        <v>9.3134267445312489</v>
      </c>
      <c r="L635">
        <v>8.8870962507812497</v>
      </c>
      <c r="M635">
        <v>260.027487350672</v>
      </c>
      <c r="N635">
        <v>3155.0908419594898</v>
      </c>
      <c r="Q635">
        <v>6.0389999999999997</v>
      </c>
      <c r="R635">
        <v>1325.0039999999999</v>
      </c>
      <c r="S635">
        <v>50</v>
      </c>
      <c r="T635">
        <v>103.31119150943501</v>
      </c>
      <c r="U635">
        <v>3.6996299161512099E-3</v>
      </c>
      <c r="V635">
        <v>0.22791513007905401</v>
      </c>
      <c r="W635">
        <v>3.4582261089380201E-3</v>
      </c>
      <c r="X635">
        <v>2.4890461063068838</v>
      </c>
      <c r="Y635">
        <v>4.6669526461912691E-2</v>
      </c>
      <c r="Z635">
        <v>0.84280772183448638</v>
      </c>
      <c r="AA635">
        <v>4.1201303089385237E-2</v>
      </c>
      <c r="AB635">
        <v>3.4525686702400238</v>
      </c>
      <c r="AC635">
        <v>0.15525862208280841</v>
      </c>
      <c r="AD635">
        <v>1293.7230749573971</v>
      </c>
      <c r="AE635">
        <v>50</v>
      </c>
      <c r="AF635">
        <v>88.014833116267496</v>
      </c>
      <c r="AG635">
        <v>2.5121921052631579</v>
      </c>
      <c r="AH635">
        <v>13.074163157894739</v>
      </c>
      <c r="AI635">
        <v>0.29389473684210532</v>
      </c>
      <c r="AJ635">
        <v>10.20886842105263</v>
      </c>
      <c r="AK635">
        <v>0.54598421052631574</v>
      </c>
      <c r="AL635">
        <v>2.8679000000000001</v>
      </c>
      <c r="AM635">
        <v>50.490678947368423</v>
      </c>
      <c r="AN635">
        <v>5.942205263157895</v>
      </c>
      <c r="AO635">
        <v>11.55592894736842</v>
      </c>
      <c r="AP635">
        <v>0.19241315789473681</v>
      </c>
      <c r="AQ635">
        <v>97.684228947368425</v>
      </c>
      <c r="AR635">
        <v>0.10033019549794051</v>
      </c>
      <c r="AS635">
        <v>0.14738958187412449</v>
      </c>
      <c r="AT635">
        <v>3.0546807865311158E-2</v>
      </c>
      <c r="AU635">
        <v>9.5648373992287164E-2</v>
      </c>
      <c r="AV635">
        <v>2.3881269116608591E-2</v>
      </c>
      <c r="AW635">
        <v>3.1785360886210923E-2</v>
      </c>
      <c r="AX635">
        <v>0.60766890503239923</v>
      </c>
      <c r="AY635">
        <v>7.4290807893217653E-2</v>
      </c>
      <c r="AZ635">
        <v>0.1755272860363162</v>
      </c>
      <c r="BA635">
        <v>3.9832708649583118E-2</v>
      </c>
      <c r="BB635">
        <v>19</v>
      </c>
      <c r="BC635" t="s">
        <v>86</v>
      </c>
    </row>
    <row r="636" spans="1:55" x14ac:dyDescent="0.2">
      <c r="A636">
        <v>41</v>
      </c>
      <c r="B636" t="s">
        <v>1268</v>
      </c>
      <c r="C636" t="s">
        <v>1269</v>
      </c>
      <c r="D636" t="s">
        <v>144</v>
      </c>
      <c r="E636">
        <v>-154.91439</v>
      </c>
      <c r="F636">
        <v>19.4624766666666</v>
      </c>
      <c r="G636" t="s">
        <v>1270</v>
      </c>
      <c r="H636" t="s">
        <v>1336</v>
      </c>
      <c r="I636" t="s">
        <v>1337</v>
      </c>
      <c r="J636" t="s">
        <v>90</v>
      </c>
      <c r="K636">
        <v>6.9081114765624996</v>
      </c>
      <c r="L636">
        <v>6.8298888968749996</v>
      </c>
      <c r="M636">
        <v>148.22547435710661</v>
      </c>
      <c r="N636">
        <v>1357.5477480472539</v>
      </c>
      <c r="O636" t="s">
        <v>1338</v>
      </c>
      <c r="P636" t="s">
        <v>1213</v>
      </c>
      <c r="Q636">
        <v>6.0289999999999999</v>
      </c>
      <c r="R636">
        <v>1325.0039999999999</v>
      </c>
      <c r="S636">
        <v>50</v>
      </c>
      <c r="T636">
        <v>102.99486430031099</v>
      </c>
      <c r="U636">
        <v>7.1347896587240301E-3</v>
      </c>
      <c r="V636">
        <v>9.6817280702737193E-2</v>
      </c>
      <c r="W636">
        <v>2.82500928904383E-3</v>
      </c>
      <c r="X636">
        <v>1.6571902810512731</v>
      </c>
      <c r="Y636">
        <v>0.1035083051851403</v>
      </c>
      <c r="Z636">
        <v>0.31588638207693331</v>
      </c>
      <c r="AA636">
        <v>2.4119097475767862E-2</v>
      </c>
      <c r="AB636">
        <v>1.3641961976088139</v>
      </c>
      <c r="AC636">
        <v>0.1005668491435117</v>
      </c>
      <c r="AD636">
        <v>1181.985851775818</v>
      </c>
      <c r="AE636">
        <v>50</v>
      </c>
      <c r="AF636">
        <v>81.462903837255595</v>
      </c>
      <c r="AG636">
        <v>2.5121921052631579</v>
      </c>
      <c r="AH636">
        <v>13.074163157894739</v>
      </c>
      <c r="AI636">
        <v>0.29389473684210532</v>
      </c>
      <c r="AJ636">
        <v>10.20886842105263</v>
      </c>
      <c r="AK636">
        <v>0.54598421052631574</v>
      </c>
      <c r="AL636">
        <v>2.8679000000000001</v>
      </c>
      <c r="AM636">
        <v>50.490678947368423</v>
      </c>
      <c r="AN636">
        <v>5.942205263157895</v>
      </c>
      <c r="AO636">
        <v>11.55592894736842</v>
      </c>
      <c r="AP636">
        <v>0.19241315789473681</v>
      </c>
      <c r="AQ636">
        <v>97.684228947368425</v>
      </c>
      <c r="AR636">
        <v>0.10033019549794051</v>
      </c>
      <c r="AS636">
        <v>0.14738958187412449</v>
      </c>
      <c r="AT636">
        <v>3.0546807865311158E-2</v>
      </c>
      <c r="AU636">
        <v>9.5648373992287164E-2</v>
      </c>
      <c r="AV636">
        <v>2.3881269116608591E-2</v>
      </c>
      <c r="AW636">
        <v>3.1785360886210923E-2</v>
      </c>
      <c r="AX636">
        <v>0.60766890503239923</v>
      </c>
      <c r="AY636">
        <v>7.4290807893217653E-2</v>
      </c>
      <c r="AZ636">
        <v>0.1755272860363162</v>
      </c>
      <c r="BA636">
        <v>3.9832708649583118E-2</v>
      </c>
      <c r="BB636">
        <v>19</v>
      </c>
      <c r="BC636" t="s">
        <v>86</v>
      </c>
    </row>
    <row r="637" spans="1:55" x14ac:dyDescent="0.2">
      <c r="A637">
        <v>42</v>
      </c>
      <c r="B637" t="s">
        <v>1268</v>
      </c>
      <c r="C637" t="s">
        <v>1269</v>
      </c>
      <c r="D637" t="s">
        <v>144</v>
      </c>
      <c r="E637">
        <v>-154.91439</v>
      </c>
      <c r="F637">
        <v>19.4624766666666</v>
      </c>
      <c r="G637" t="s">
        <v>1270</v>
      </c>
      <c r="H637" t="s">
        <v>1339</v>
      </c>
      <c r="I637" t="s">
        <v>1340</v>
      </c>
      <c r="J637" t="s">
        <v>68</v>
      </c>
      <c r="K637">
        <v>8.4762824203125007</v>
      </c>
      <c r="L637">
        <v>7.5478396765624991</v>
      </c>
      <c r="M637">
        <v>200.99162337937409</v>
      </c>
      <c r="N637">
        <v>2147.142875653471</v>
      </c>
      <c r="O637" t="s">
        <v>1341</v>
      </c>
      <c r="Q637">
        <v>12.02</v>
      </c>
      <c r="R637">
        <v>1325.1020000000001</v>
      </c>
      <c r="S637">
        <v>50</v>
      </c>
      <c r="T637">
        <v>102.98669025599</v>
      </c>
      <c r="U637">
        <v>4.5171456415088896E-3</v>
      </c>
      <c r="V637">
        <v>9.3580780085353796E-2</v>
      </c>
      <c r="W637">
        <v>1.7885570574094299E-3</v>
      </c>
      <c r="X637">
        <v>4.9718619099223966</v>
      </c>
      <c r="Y637">
        <v>9.8995759035799935E-2</v>
      </c>
      <c r="Z637">
        <v>0.33105221842141058</v>
      </c>
      <c r="AA637">
        <v>2.260184451478264E-2</v>
      </c>
      <c r="AB637">
        <v>1.4273996332456209</v>
      </c>
      <c r="AC637">
        <v>9.3941129156627098E-2</v>
      </c>
      <c r="AD637">
        <v>1310.8907644911019</v>
      </c>
      <c r="AE637">
        <v>50</v>
      </c>
      <c r="AF637">
        <v>88.702677307423997</v>
      </c>
      <c r="AG637">
        <v>2.5121921052631579</v>
      </c>
      <c r="AH637">
        <v>13.074163157894739</v>
      </c>
      <c r="AI637">
        <v>0.29389473684210532</v>
      </c>
      <c r="AJ637">
        <v>10.20886842105263</v>
      </c>
      <c r="AK637">
        <v>0.54598421052631574</v>
      </c>
      <c r="AL637">
        <v>2.8679000000000001</v>
      </c>
      <c r="AM637">
        <v>50.490678947368423</v>
      </c>
      <c r="AN637">
        <v>5.942205263157895</v>
      </c>
      <c r="AO637">
        <v>11.55592894736842</v>
      </c>
      <c r="AP637">
        <v>0.19241315789473681</v>
      </c>
      <c r="AQ637">
        <v>97.684228947368425</v>
      </c>
      <c r="AR637">
        <v>0.10033019549794051</v>
      </c>
      <c r="AS637">
        <v>0.14738958187412449</v>
      </c>
      <c r="AT637">
        <v>3.0546807865311158E-2</v>
      </c>
      <c r="AU637">
        <v>9.5648373992287164E-2</v>
      </c>
      <c r="AV637">
        <v>2.3881269116608591E-2</v>
      </c>
      <c r="AW637">
        <v>3.1785360886210923E-2</v>
      </c>
      <c r="AX637">
        <v>0.60766890503239923</v>
      </c>
      <c r="AY637">
        <v>7.4290807893217653E-2</v>
      </c>
      <c r="AZ637">
        <v>0.1755272860363162</v>
      </c>
      <c r="BA637">
        <v>3.9832708649583118E-2</v>
      </c>
      <c r="BB637">
        <v>19</v>
      </c>
      <c r="BC637" t="s">
        <v>86</v>
      </c>
    </row>
    <row r="638" spans="1:55" x14ac:dyDescent="0.2">
      <c r="A638">
        <v>43</v>
      </c>
      <c r="B638" t="s">
        <v>1268</v>
      </c>
      <c r="C638" t="s">
        <v>1269</v>
      </c>
      <c r="D638" t="s">
        <v>144</v>
      </c>
      <c r="E638">
        <v>-154.91439</v>
      </c>
      <c r="F638">
        <v>19.4624766666666</v>
      </c>
      <c r="G638" t="s">
        <v>1270</v>
      </c>
      <c r="H638" t="s">
        <v>1339</v>
      </c>
      <c r="I638" t="s">
        <v>1342</v>
      </c>
      <c r="J638" t="s">
        <v>68</v>
      </c>
      <c r="K638">
        <v>7.0285835476562504</v>
      </c>
      <c r="L638">
        <v>6.0055298382812499</v>
      </c>
      <c r="M638">
        <v>132.60778269365539</v>
      </c>
      <c r="N638">
        <v>1152.2832503245761</v>
      </c>
      <c r="O638" t="s">
        <v>1341</v>
      </c>
      <c r="Q638">
        <v>12.025</v>
      </c>
      <c r="R638">
        <v>1325.1020000000001</v>
      </c>
      <c r="S638">
        <v>50</v>
      </c>
      <c r="T638">
        <v>102.98766084842801</v>
      </c>
      <c r="U638">
        <v>4.2321878584338302E-3</v>
      </c>
      <c r="V638">
        <v>9.3965084708500499E-2</v>
      </c>
      <c r="W638">
        <v>1.67572844960517E-3</v>
      </c>
      <c r="X638">
        <v>7.7591211676860743</v>
      </c>
      <c r="Y638">
        <v>9.8619838261280401E-2</v>
      </c>
      <c r="Z638">
        <v>0.33237141291928729</v>
      </c>
      <c r="AA638">
        <v>2.2485784385910638E-2</v>
      </c>
      <c r="AB638">
        <v>1.432887925858241</v>
      </c>
      <c r="AC638">
        <v>9.343184526888014E-2</v>
      </c>
      <c r="AD638">
        <v>1310.8907644911019</v>
      </c>
      <c r="AE638">
        <v>50</v>
      </c>
      <c r="AF638">
        <v>88.702677307423997</v>
      </c>
      <c r="AG638">
        <v>2.5121921052631579</v>
      </c>
      <c r="AH638">
        <v>13.074163157894739</v>
      </c>
      <c r="AI638">
        <v>0.29389473684210532</v>
      </c>
      <c r="AJ638">
        <v>10.20886842105263</v>
      </c>
      <c r="AK638">
        <v>0.54598421052631574</v>
      </c>
      <c r="AL638">
        <v>2.8679000000000001</v>
      </c>
      <c r="AM638">
        <v>50.490678947368423</v>
      </c>
      <c r="AN638">
        <v>5.942205263157895</v>
      </c>
      <c r="AO638">
        <v>11.55592894736842</v>
      </c>
      <c r="AP638">
        <v>0.19241315789473681</v>
      </c>
      <c r="AQ638">
        <v>97.684228947368425</v>
      </c>
      <c r="AR638">
        <v>0.10033019549794051</v>
      </c>
      <c r="AS638">
        <v>0.14738958187412449</v>
      </c>
      <c r="AT638">
        <v>3.0546807865311158E-2</v>
      </c>
      <c r="AU638">
        <v>9.5648373992287164E-2</v>
      </c>
      <c r="AV638">
        <v>2.3881269116608591E-2</v>
      </c>
      <c r="AW638">
        <v>3.1785360886210923E-2</v>
      </c>
      <c r="AX638">
        <v>0.60766890503239923</v>
      </c>
      <c r="AY638">
        <v>7.4290807893217653E-2</v>
      </c>
      <c r="AZ638">
        <v>0.1755272860363162</v>
      </c>
      <c r="BA638">
        <v>3.9832708649583118E-2</v>
      </c>
      <c r="BB638">
        <v>19</v>
      </c>
      <c r="BC638" t="s">
        <v>86</v>
      </c>
    </row>
    <row r="639" spans="1:55" x14ac:dyDescent="0.2">
      <c r="A639">
        <v>44</v>
      </c>
      <c r="B639" t="s">
        <v>1268</v>
      </c>
      <c r="C639" t="s">
        <v>1269</v>
      </c>
      <c r="D639" t="s">
        <v>144</v>
      </c>
      <c r="E639">
        <v>-154.91439</v>
      </c>
      <c r="F639">
        <v>19.4624766666666</v>
      </c>
      <c r="G639" t="s">
        <v>1270</v>
      </c>
      <c r="H639" t="s">
        <v>1339</v>
      </c>
      <c r="I639" t="s">
        <v>1343</v>
      </c>
      <c r="J639" t="s">
        <v>68</v>
      </c>
      <c r="K639">
        <v>9.45290236953125</v>
      </c>
      <c r="L639">
        <v>8.0827286984374993</v>
      </c>
      <c r="M639">
        <v>240.03415722256909</v>
      </c>
      <c r="N639">
        <v>2806.1002831771848</v>
      </c>
      <c r="O639" t="s">
        <v>1341</v>
      </c>
      <c r="Q639">
        <v>12.010999999999999</v>
      </c>
      <c r="R639">
        <v>1325.1020000000001</v>
      </c>
      <c r="S639">
        <v>50</v>
      </c>
      <c r="T639">
        <v>102.938844903415</v>
      </c>
      <c r="U639">
        <v>6.2386058405330203E-3</v>
      </c>
      <c r="V639">
        <v>7.46364843278257E-2</v>
      </c>
      <c r="W639">
        <v>2.4701666472637298E-3</v>
      </c>
      <c r="X639">
        <v>6.5876606142563476</v>
      </c>
      <c r="Y639">
        <v>0.1200718343781163</v>
      </c>
      <c r="Z639">
        <v>0.26650034380155291</v>
      </c>
      <c r="AA639">
        <v>2.2774929220581969E-2</v>
      </c>
      <c r="AB639">
        <v>1.1569831434200111</v>
      </c>
      <c r="AC639">
        <v>9.5943850341632594E-2</v>
      </c>
      <c r="AD639">
        <v>1310.8907644911019</v>
      </c>
      <c r="AE639">
        <v>50</v>
      </c>
      <c r="AF639">
        <v>88.702677307423997</v>
      </c>
      <c r="AG639">
        <v>2.5121921052631579</v>
      </c>
      <c r="AH639">
        <v>13.074163157894739</v>
      </c>
      <c r="AI639">
        <v>0.29389473684210532</v>
      </c>
      <c r="AJ639">
        <v>10.20886842105263</v>
      </c>
      <c r="AK639">
        <v>0.54598421052631574</v>
      </c>
      <c r="AL639">
        <v>2.8679000000000001</v>
      </c>
      <c r="AM639">
        <v>50.490678947368423</v>
      </c>
      <c r="AN639">
        <v>5.942205263157895</v>
      </c>
      <c r="AO639">
        <v>11.55592894736842</v>
      </c>
      <c r="AP639">
        <v>0.19241315789473681</v>
      </c>
      <c r="AQ639">
        <v>97.684228947368425</v>
      </c>
      <c r="AR639">
        <v>0.10033019549794051</v>
      </c>
      <c r="AS639">
        <v>0.14738958187412449</v>
      </c>
      <c r="AT639">
        <v>3.0546807865311158E-2</v>
      </c>
      <c r="AU639">
        <v>9.5648373992287164E-2</v>
      </c>
      <c r="AV639">
        <v>2.3881269116608591E-2</v>
      </c>
      <c r="AW639">
        <v>3.1785360886210923E-2</v>
      </c>
      <c r="AX639">
        <v>0.60766890503239923</v>
      </c>
      <c r="AY639">
        <v>7.4290807893217653E-2</v>
      </c>
      <c r="AZ639">
        <v>0.1755272860363162</v>
      </c>
      <c r="BA639">
        <v>3.9832708649583118E-2</v>
      </c>
      <c r="BB639">
        <v>19</v>
      </c>
      <c r="BC639" t="s">
        <v>86</v>
      </c>
    </row>
    <row r="640" spans="1:55" x14ac:dyDescent="0.2">
      <c r="A640">
        <v>45</v>
      </c>
      <c r="B640" t="s">
        <v>1268</v>
      </c>
      <c r="C640" t="s">
        <v>1269</v>
      </c>
      <c r="D640" t="s">
        <v>144</v>
      </c>
      <c r="E640">
        <v>-154.91439</v>
      </c>
      <c r="F640">
        <v>19.4624766666666</v>
      </c>
      <c r="G640" t="s">
        <v>1270</v>
      </c>
      <c r="H640" t="s">
        <v>1344</v>
      </c>
      <c r="I640" t="s">
        <v>1345</v>
      </c>
      <c r="J640" t="s">
        <v>68</v>
      </c>
      <c r="K640">
        <v>5.4783119757812502</v>
      </c>
      <c r="L640">
        <v>5.0024095203124999</v>
      </c>
      <c r="M640">
        <v>86.094592635639103</v>
      </c>
      <c r="N640">
        <v>601.55563182251831</v>
      </c>
      <c r="O640" t="s">
        <v>1346</v>
      </c>
      <c r="Q640">
        <v>12.052</v>
      </c>
      <c r="R640">
        <v>1325.1020000000001</v>
      </c>
      <c r="S640">
        <v>50</v>
      </c>
      <c r="T640">
        <v>103.071739478338</v>
      </c>
      <c r="U640">
        <v>6.4130437212138102E-3</v>
      </c>
      <c r="V640">
        <v>0.12725589240830701</v>
      </c>
      <c r="W640">
        <v>2.5392350650932302E-3</v>
      </c>
      <c r="X640">
        <v>3.798632197899702</v>
      </c>
      <c r="Y640">
        <v>7.8956372861314961E-2</v>
      </c>
      <c r="Z640">
        <v>0.41519477570229429</v>
      </c>
      <c r="AA640">
        <v>2.5487125225446421E-2</v>
      </c>
      <c r="AB640">
        <v>1.7744850527081339</v>
      </c>
      <c r="AC640">
        <v>0.1041324102053066</v>
      </c>
      <c r="AD640">
        <v>1187.492405128794</v>
      </c>
      <c r="AE640">
        <v>50</v>
      </c>
      <c r="AF640">
        <v>81.948522819732204</v>
      </c>
      <c r="AG640">
        <v>2.5121921052631579</v>
      </c>
      <c r="AH640">
        <v>13.074163157894739</v>
      </c>
      <c r="AI640">
        <v>0.29389473684210532</v>
      </c>
      <c r="AJ640">
        <v>10.20886842105263</v>
      </c>
      <c r="AK640">
        <v>0.54598421052631574</v>
      </c>
      <c r="AL640">
        <v>2.8679000000000001</v>
      </c>
      <c r="AM640">
        <v>50.490678947368423</v>
      </c>
      <c r="AN640">
        <v>5.942205263157895</v>
      </c>
      <c r="AO640">
        <v>11.55592894736842</v>
      </c>
      <c r="AP640">
        <v>0.19241315789473681</v>
      </c>
      <c r="AQ640">
        <v>97.684228947368425</v>
      </c>
      <c r="AR640">
        <v>0.10033019549794051</v>
      </c>
      <c r="AS640">
        <v>0.14738958187412449</v>
      </c>
      <c r="AT640">
        <v>3.0546807865311158E-2</v>
      </c>
      <c r="AU640">
        <v>9.5648373992287164E-2</v>
      </c>
      <c r="AV640">
        <v>2.3881269116608591E-2</v>
      </c>
      <c r="AW640">
        <v>3.1785360886210923E-2</v>
      </c>
      <c r="AX640">
        <v>0.60766890503239923</v>
      </c>
      <c r="AY640">
        <v>7.4290807893217653E-2</v>
      </c>
      <c r="AZ640">
        <v>0.1755272860363162</v>
      </c>
      <c r="BA640">
        <v>3.9832708649583118E-2</v>
      </c>
      <c r="BB640">
        <v>19</v>
      </c>
      <c r="BC640" t="s">
        <v>86</v>
      </c>
    </row>
    <row r="641" spans="1:55" x14ac:dyDescent="0.2">
      <c r="A641">
        <v>46</v>
      </c>
      <c r="B641" t="s">
        <v>1268</v>
      </c>
      <c r="C641" t="s">
        <v>1269</v>
      </c>
      <c r="D641" t="s">
        <v>144</v>
      </c>
      <c r="E641">
        <v>-154.91439</v>
      </c>
      <c r="F641">
        <v>19.4624766666666</v>
      </c>
      <c r="G641" t="s">
        <v>1270</v>
      </c>
      <c r="H641" t="s">
        <v>1344</v>
      </c>
      <c r="I641" t="s">
        <v>1347</v>
      </c>
      <c r="J641" t="s">
        <v>68</v>
      </c>
      <c r="O641" t="s">
        <v>1348</v>
      </c>
      <c r="Q641">
        <v>12.167</v>
      </c>
      <c r="R641">
        <v>1325.0039999999999</v>
      </c>
      <c r="S641">
        <v>100</v>
      </c>
      <c r="T641">
        <v>103.13419012918401</v>
      </c>
      <c r="U641">
        <v>6.7478747787245198E-3</v>
      </c>
      <c r="V641">
        <v>0.151983134161113</v>
      </c>
      <c r="W641">
        <v>2.6718109212815399E-3</v>
      </c>
      <c r="X641">
        <v>2.3930919436147118</v>
      </c>
      <c r="Y641">
        <v>6.5808287824801859E-2</v>
      </c>
      <c r="Z641">
        <v>0.49846939967385751</v>
      </c>
      <c r="AA641">
        <v>2.783062581943142E-2</v>
      </c>
      <c r="AB641">
        <v>2.1121952882654589</v>
      </c>
      <c r="AC641">
        <v>0.11182988805817309</v>
      </c>
      <c r="AD641">
        <v>1187.492405128794</v>
      </c>
      <c r="AE641">
        <v>50</v>
      </c>
      <c r="AF641">
        <v>81.948522819732204</v>
      </c>
      <c r="AG641">
        <v>2.5121921052631579</v>
      </c>
      <c r="AH641">
        <v>13.074163157894739</v>
      </c>
      <c r="AI641">
        <v>0.29389473684210532</v>
      </c>
      <c r="AJ641">
        <v>10.20886842105263</v>
      </c>
      <c r="AK641">
        <v>0.54598421052631574</v>
      </c>
      <c r="AL641">
        <v>2.8679000000000001</v>
      </c>
      <c r="AM641">
        <v>50.490678947368423</v>
      </c>
      <c r="AN641">
        <v>5.942205263157895</v>
      </c>
      <c r="AO641">
        <v>11.55592894736842</v>
      </c>
      <c r="AP641">
        <v>0.19241315789473681</v>
      </c>
      <c r="AQ641">
        <v>97.684228947368425</v>
      </c>
      <c r="AR641">
        <v>0.10033019549794051</v>
      </c>
      <c r="AS641">
        <v>0.14738958187412449</v>
      </c>
      <c r="AT641">
        <v>3.0546807865311158E-2</v>
      </c>
      <c r="AU641">
        <v>9.5648373992287164E-2</v>
      </c>
      <c r="AV641">
        <v>2.3881269116608591E-2</v>
      </c>
      <c r="AW641">
        <v>3.1785360886210923E-2</v>
      </c>
      <c r="AX641">
        <v>0.60766890503239923</v>
      </c>
      <c r="AY641">
        <v>7.4290807893217653E-2</v>
      </c>
      <c r="AZ641">
        <v>0.1755272860363162</v>
      </c>
      <c r="BA641">
        <v>3.9832708649583118E-2</v>
      </c>
      <c r="BB641">
        <v>19</v>
      </c>
      <c r="BC641" t="s">
        <v>86</v>
      </c>
    </row>
    <row r="642" spans="1:55" x14ac:dyDescent="0.2">
      <c r="A642">
        <v>47</v>
      </c>
      <c r="B642" t="s">
        <v>1268</v>
      </c>
      <c r="C642" t="s">
        <v>1269</v>
      </c>
      <c r="D642" t="s">
        <v>144</v>
      </c>
      <c r="E642">
        <v>-154.91439</v>
      </c>
      <c r="F642">
        <v>19.4624766666666</v>
      </c>
      <c r="G642" t="s">
        <v>1270</v>
      </c>
      <c r="H642" t="s">
        <v>1349</v>
      </c>
      <c r="I642" t="s">
        <v>1350</v>
      </c>
      <c r="J642" t="s">
        <v>68</v>
      </c>
      <c r="K642">
        <v>25.681821175781248</v>
      </c>
      <c r="L642">
        <v>23.106055071093749</v>
      </c>
      <c r="M642">
        <v>1864.238593176945</v>
      </c>
      <c r="N642">
        <v>60634.827852376751</v>
      </c>
      <c r="O642" t="s">
        <v>1351</v>
      </c>
      <c r="Q642">
        <v>12.031000000000001</v>
      </c>
      <c r="R642">
        <v>1325.1020000000001</v>
      </c>
      <c r="S642">
        <v>50</v>
      </c>
      <c r="T642">
        <v>103.077204877347</v>
      </c>
      <c r="U642">
        <v>3.93477458325154E-2</v>
      </c>
      <c r="V642">
        <v>0.12941990896771199</v>
      </c>
      <c r="W642">
        <v>1.5579681083376999E-2</v>
      </c>
      <c r="X642">
        <v>6.2840645633918859</v>
      </c>
      <c r="Y642">
        <v>7.2332421312240713E-2</v>
      </c>
      <c r="Z642">
        <v>0.45237919372478541</v>
      </c>
      <c r="AA642">
        <v>6.7438704468626154E-2</v>
      </c>
      <c r="AB642">
        <v>1.9259801471987099</v>
      </c>
      <c r="AC642">
        <v>0.27344457774404318</v>
      </c>
      <c r="AD642">
        <v>1294.3098050925121</v>
      </c>
      <c r="AE642">
        <v>50</v>
      </c>
      <c r="AF642">
        <v>88.039140977941699</v>
      </c>
      <c r="AG642">
        <v>2.5121921052631579</v>
      </c>
      <c r="AH642">
        <v>13.074163157894739</v>
      </c>
      <c r="AI642">
        <v>0.29389473684210532</v>
      </c>
      <c r="AJ642">
        <v>10.20886842105263</v>
      </c>
      <c r="AK642">
        <v>0.54598421052631574</v>
      </c>
      <c r="AL642">
        <v>2.8679000000000001</v>
      </c>
      <c r="AM642">
        <v>50.490678947368423</v>
      </c>
      <c r="AN642">
        <v>5.942205263157895</v>
      </c>
      <c r="AO642">
        <v>11.55592894736842</v>
      </c>
      <c r="AP642">
        <v>0.19241315789473681</v>
      </c>
      <c r="AQ642">
        <v>97.684228947368425</v>
      </c>
      <c r="AR642">
        <v>0.10033019549794051</v>
      </c>
      <c r="AS642">
        <v>0.14738958187412449</v>
      </c>
      <c r="AT642">
        <v>3.0546807865311158E-2</v>
      </c>
      <c r="AU642">
        <v>9.5648373992287164E-2</v>
      </c>
      <c r="AV642">
        <v>2.3881269116608591E-2</v>
      </c>
      <c r="AW642">
        <v>3.1785360886210923E-2</v>
      </c>
      <c r="AX642">
        <v>0.60766890503239923</v>
      </c>
      <c r="AY642">
        <v>7.4290807893217653E-2</v>
      </c>
      <c r="AZ642">
        <v>0.1755272860363162</v>
      </c>
      <c r="BA642">
        <v>3.9832708649583118E-2</v>
      </c>
      <c r="BB642">
        <v>19</v>
      </c>
      <c r="BC642" t="s">
        <v>86</v>
      </c>
    </row>
    <row r="643" spans="1:55" x14ac:dyDescent="0.2">
      <c r="A643">
        <v>48</v>
      </c>
      <c r="B643" t="s">
        <v>1268</v>
      </c>
      <c r="C643" t="s">
        <v>1269</v>
      </c>
      <c r="D643" t="s">
        <v>144</v>
      </c>
      <c r="E643">
        <v>-154.91439</v>
      </c>
      <c r="F643">
        <v>19.4624766666666</v>
      </c>
      <c r="G643" t="s">
        <v>1270</v>
      </c>
      <c r="H643" t="s">
        <v>1349</v>
      </c>
      <c r="I643" t="s">
        <v>1352</v>
      </c>
      <c r="J643" t="s">
        <v>68</v>
      </c>
      <c r="K643">
        <v>16.848074351562499</v>
      </c>
      <c r="L643">
        <v>14.814171050000001</v>
      </c>
      <c r="M643">
        <v>784.11091248058972</v>
      </c>
      <c r="N643">
        <v>16551.141422002351</v>
      </c>
      <c r="O643" t="s">
        <v>1353</v>
      </c>
      <c r="Q643">
        <v>12.038</v>
      </c>
      <c r="R643">
        <v>1325.1020000000001</v>
      </c>
      <c r="S643">
        <v>50</v>
      </c>
      <c r="T643">
        <v>103.215454788692</v>
      </c>
      <c r="U643">
        <v>4.1979741526794997E-2</v>
      </c>
      <c r="V643">
        <v>0.188561663471773</v>
      </c>
      <c r="W643">
        <v>1.91105889133176E-2</v>
      </c>
      <c r="X643">
        <v>0</v>
      </c>
      <c r="Y643">
        <v>5.2448472349923447E-2</v>
      </c>
      <c r="Z643">
        <v>0.67770596239810899</v>
      </c>
      <c r="AA643">
        <v>8.9477017086115496E-2</v>
      </c>
      <c r="AB643">
        <v>2.8206257516200171</v>
      </c>
      <c r="AC643">
        <v>0.34720713830336031</v>
      </c>
      <c r="AD643">
        <v>1294.3098050925121</v>
      </c>
      <c r="AE643">
        <v>50</v>
      </c>
      <c r="AF643">
        <v>88.039140977941699</v>
      </c>
      <c r="AG643">
        <v>2.5121921052631579</v>
      </c>
      <c r="AH643">
        <v>13.074163157894739</v>
      </c>
      <c r="AI643">
        <v>0.29389473684210532</v>
      </c>
      <c r="AJ643">
        <v>10.20886842105263</v>
      </c>
      <c r="AK643">
        <v>0.54598421052631574</v>
      </c>
      <c r="AL643">
        <v>2.8679000000000001</v>
      </c>
      <c r="AM643">
        <v>50.490678947368423</v>
      </c>
      <c r="AN643">
        <v>5.942205263157895</v>
      </c>
      <c r="AO643">
        <v>11.55592894736842</v>
      </c>
      <c r="AP643">
        <v>0.19241315789473681</v>
      </c>
      <c r="AQ643">
        <v>97.684228947368425</v>
      </c>
      <c r="AR643">
        <v>0.10033019549794051</v>
      </c>
      <c r="AS643">
        <v>0.14738958187412449</v>
      </c>
      <c r="AT643">
        <v>3.0546807865311158E-2</v>
      </c>
      <c r="AU643">
        <v>9.5648373992287164E-2</v>
      </c>
      <c r="AV643">
        <v>2.3881269116608591E-2</v>
      </c>
      <c r="AW643">
        <v>3.1785360886210923E-2</v>
      </c>
      <c r="AX643">
        <v>0.60766890503239923</v>
      </c>
      <c r="AY643">
        <v>7.4290807893217653E-2</v>
      </c>
      <c r="AZ643">
        <v>0.1755272860363162</v>
      </c>
      <c r="BA643">
        <v>3.9832708649583118E-2</v>
      </c>
      <c r="BB643">
        <v>19</v>
      </c>
      <c r="BC643" t="s">
        <v>86</v>
      </c>
    </row>
    <row r="644" spans="1:55" x14ac:dyDescent="0.2">
      <c r="A644">
        <v>49</v>
      </c>
      <c r="B644" t="s">
        <v>1268</v>
      </c>
      <c r="C644" t="s">
        <v>1269</v>
      </c>
      <c r="D644" t="s">
        <v>144</v>
      </c>
      <c r="E644">
        <v>-154.91439</v>
      </c>
      <c r="F644">
        <v>19.4624766666666</v>
      </c>
      <c r="G644" t="s">
        <v>1270</v>
      </c>
      <c r="H644" t="s">
        <v>1354</v>
      </c>
      <c r="I644" t="s">
        <v>1355</v>
      </c>
      <c r="J644" t="s">
        <v>68</v>
      </c>
      <c r="K644">
        <v>4.9427255757812496</v>
      </c>
      <c r="L644">
        <v>4.140333928125</v>
      </c>
      <c r="M644">
        <v>64.291230926463143</v>
      </c>
      <c r="N644">
        <v>389.30738405629489</v>
      </c>
      <c r="O644" t="s">
        <v>1356</v>
      </c>
      <c r="Q644">
        <v>11.968999999999999</v>
      </c>
      <c r="R644">
        <v>1325.1020000000001</v>
      </c>
      <c r="S644">
        <v>50</v>
      </c>
      <c r="T644">
        <v>103.078784353112</v>
      </c>
      <c r="U644">
        <v>6.9232307634425599E-3</v>
      </c>
      <c r="V644">
        <v>0.130045300033131</v>
      </c>
      <c r="W644">
        <v>2.7412428610311601E-3</v>
      </c>
      <c r="X644">
        <v>4.6937192727141177</v>
      </c>
      <c r="Y644">
        <v>7.6568380514805856E-2</v>
      </c>
      <c r="Z644">
        <v>0.42783149471167231</v>
      </c>
      <c r="AA644">
        <v>2.5994364688096981E-2</v>
      </c>
      <c r="AB644">
        <v>1.826096872322059</v>
      </c>
      <c r="AC644">
        <v>0.1059372931117103</v>
      </c>
      <c r="AD644">
        <v>1199.58570773305</v>
      </c>
      <c r="AE644">
        <v>50</v>
      </c>
      <c r="AF644">
        <v>82.912814606809405</v>
      </c>
      <c r="AG644">
        <v>2.5121921052631579</v>
      </c>
      <c r="AH644">
        <v>13.074163157894739</v>
      </c>
      <c r="AI644">
        <v>0.29389473684210532</v>
      </c>
      <c r="AJ644">
        <v>10.20886842105263</v>
      </c>
      <c r="AK644">
        <v>0.54598421052631574</v>
      </c>
      <c r="AL644">
        <v>2.8679000000000001</v>
      </c>
      <c r="AM644">
        <v>50.490678947368423</v>
      </c>
      <c r="AN644">
        <v>5.942205263157895</v>
      </c>
      <c r="AO644">
        <v>11.55592894736842</v>
      </c>
      <c r="AP644">
        <v>0.19241315789473681</v>
      </c>
      <c r="AQ644">
        <v>97.684228947368425</v>
      </c>
      <c r="AR644">
        <v>0.10033019549794051</v>
      </c>
      <c r="AS644">
        <v>0.14738958187412449</v>
      </c>
      <c r="AT644">
        <v>3.0546807865311158E-2</v>
      </c>
      <c r="AU644">
        <v>9.5648373992287164E-2</v>
      </c>
      <c r="AV644">
        <v>2.3881269116608591E-2</v>
      </c>
      <c r="AW644">
        <v>3.1785360886210923E-2</v>
      </c>
      <c r="AX644">
        <v>0.60766890503239923</v>
      </c>
      <c r="AY644">
        <v>7.4290807893217653E-2</v>
      </c>
      <c r="AZ644">
        <v>0.1755272860363162</v>
      </c>
      <c r="BA644">
        <v>3.9832708649583118E-2</v>
      </c>
      <c r="BB644">
        <v>19</v>
      </c>
      <c r="BC644" t="s">
        <v>86</v>
      </c>
    </row>
    <row r="645" spans="1:55" x14ac:dyDescent="0.2">
      <c r="A645">
        <v>50</v>
      </c>
      <c r="B645" t="s">
        <v>1268</v>
      </c>
      <c r="C645" t="s">
        <v>1269</v>
      </c>
      <c r="D645" t="s">
        <v>144</v>
      </c>
      <c r="E645">
        <v>-154.91439</v>
      </c>
      <c r="F645">
        <v>19.4624766666666</v>
      </c>
      <c r="G645" t="s">
        <v>1270</v>
      </c>
      <c r="H645" t="s">
        <v>1354</v>
      </c>
      <c r="I645" t="s">
        <v>1357</v>
      </c>
      <c r="J645" t="s">
        <v>68</v>
      </c>
      <c r="K645">
        <v>30.978233690625</v>
      </c>
      <c r="L645">
        <v>26.600442510937501</v>
      </c>
      <c r="M645">
        <v>2588.7814364083679</v>
      </c>
      <c r="N645">
        <v>99372.405389048843</v>
      </c>
      <c r="O645" t="s">
        <v>1358</v>
      </c>
      <c r="Q645">
        <v>11.976000000000001</v>
      </c>
      <c r="R645">
        <v>1325.1020000000001</v>
      </c>
      <c r="S645">
        <v>50</v>
      </c>
      <c r="T645">
        <v>103.110989571644</v>
      </c>
      <c r="U645">
        <v>7.0910396992607504E-3</v>
      </c>
      <c r="V645">
        <v>0.14279690811989099</v>
      </c>
      <c r="W645">
        <v>2.8076865580608499E-3</v>
      </c>
      <c r="X645">
        <v>2.729228604196706</v>
      </c>
      <c r="Y645">
        <v>6.9518023688542097E-2</v>
      </c>
      <c r="Z645">
        <v>0.47090939681442701</v>
      </c>
      <c r="AA645">
        <v>2.738138949779478E-2</v>
      </c>
      <c r="AB645">
        <v>2.00105256399649</v>
      </c>
      <c r="AC645">
        <v>0.11061070906740381</v>
      </c>
      <c r="AD645">
        <v>1199.58570773305</v>
      </c>
      <c r="AE645">
        <v>50</v>
      </c>
      <c r="AF645">
        <v>82.912814606809405</v>
      </c>
      <c r="AG645">
        <v>2.5121921052631579</v>
      </c>
      <c r="AH645">
        <v>13.074163157894739</v>
      </c>
      <c r="AI645">
        <v>0.29389473684210532</v>
      </c>
      <c r="AJ645">
        <v>10.20886842105263</v>
      </c>
      <c r="AK645">
        <v>0.54598421052631574</v>
      </c>
      <c r="AL645">
        <v>2.8679000000000001</v>
      </c>
      <c r="AM645">
        <v>50.490678947368423</v>
      </c>
      <c r="AN645">
        <v>5.942205263157895</v>
      </c>
      <c r="AO645">
        <v>11.55592894736842</v>
      </c>
      <c r="AP645">
        <v>0.19241315789473681</v>
      </c>
      <c r="AQ645">
        <v>97.684228947368425</v>
      </c>
      <c r="AR645">
        <v>0.10033019549794051</v>
      </c>
      <c r="AS645">
        <v>0.14738958187412449</v>
      </c>
      <c r="AT645">
        <v>3.0546807865311158E-2</v>
      </c>
      <c r="AU645">
        <v>9.5648373992287164E-2</v>
      </c>
      <c r="AV645">
        <v>2.3881269116608591E-2</v>
      </c>
      <c r="AW645">
        <v>3.1785360886210923E-2</v>
      </c>
      <c r="AX645">
        <v>0.60766890503239923</v>
      </c>
      <c r="AY645">
        <v>7.4290807893217653E-2</v>
      </c>
      <c r="AZ645">
        <v>0.1755272860363162</v>
      </c>
      <c r="BA645">
        <v>3.9832708649583118E-2</v>
      </c>
      <c r="BB645">
        <v>19</v>
      </c>
      <c r="BC645" t="s">
        <v>86</v>
      </c>
    </row>
    <row r="646" spans="1:55" x14ac:dyDescent="0.2">
      <c r="A646">
        <v>51</v>
      </c>
      <c r="B646" t="s">
        <v>1268</v>
      </c>
      <c r="C646" t="s">
        <v>1269</v>
      </c>
      <c r="D646" t="s">
        <v>144</v>
      </c>
      <c r="E646">
        <v>-154.91075000000001</v>
      </c>
      <c r="F646">
        <v>19.464649999999999</v>
      </c>
      <c r="G646" t="s">
        <v>1359</v>
      </c>
      <c r="H646" t="s">
        <v>1360</v>
      </c>
      <c r="I646" t="s">
        <v>1361</v>
      </c>
      <c r="J646" t="s">
        <v>68</v>
      </c>
      <c r="K646">
        <v>12.35120585703125</v>
      </c>
      <c r="L646">
        <v>9.8559869257812505</v>
      </c>
      <c r="M646">
        <v>382.43651463041442</v>
      </c>
      <c r="N646">
        <v>5661.8942717230047</v>
      </c>
      <c r="O646" t="s">
        <v>1362</v>
      </c>
      <c r="Q646">
        <v>6.9089999999999998</v>
      </c>
      <c r="R646">
        <v>1324.99914285714</v>
      </c>
      <c r="S646">
        <v>50</v>
      </c>
      <c r="T646">
        <v>103.40780430331</v>
      </c>
      <c r="U646">
        <v>4.5960160444744403E-3</v>
      </c>
      <c r="V646">
        <v>0.26814943819954301</v>
      </c>
      <c r="W646">
        <v>6.5585962418735402E-3</v>
      </c>
      <c r="X646">
        <v>0</v>
      </c>
      <c r="Y646">
        <v>3.2447350192343571E-2</v>
      </c>
      <c r="Z646">
        <v>1.01883401895868</v>
      </c>
      <c r="AA646">
        <v>5.3062794349291183E-2</v>
      </c>
      <c r="AB646">
        <v>4.1066842537020429</v>
      </c>
      <c r="AC646">
        <v>0.1941627594759418</v>
      </c>
      <c r="AD646">
        <v>1301.345852110456</v>
      </c>
      <c r="AE646">
        <v>50</v>
      </c>
      <c r="AF646">
        <v>88.326091232468897</v>
      </c>
      <c r="AG646">
        <v>2.412158823529412</v>
      </c>
      <c r="AH646">
        <v>13.31596764705882</v>
      </c>
      <c r="AI646">
        <v>0.26384411764705878</v>
      </c>
      <c r="AJ646">
        <v>10.713205882352939</v>
      </c>
      <c r="AK646">
        <v>0.48052647058823528</v>
      </c>
      <c r="AL646">
        <v>2.598767647058823</v>
      </c>
      <c r="AM646">
        <v>50.359617647058833</v>
      </c>
      <c r="AN646">
        <v>6.4328941176470593</v>
      </c>
      <c r="AO646">
        <v>11.028091176470589</v>
      </c>
      <c r="AP646">
        <v>0.1712794117647059</v>
      </c>
      <c r="AQ646">
        <v>97.776352941176455</v>
      </c>
      <c r="AR646">
        <v>3.7831023294769867E-2</v>
      </c>
      <c r="AS646">
        <v>9.7793826398283795E-2</v>
      </c>
      <c r="AT646">
        <v>2.1746335052953029E-2</v>
      </c>
      <c r="AU646">
        <v>8.7677885043694934E-2</v>
      </c>
      <c r="AV646">
        <v>3.2037439610004839E-2</v>
      </c>
      <c r="AW646">
        <v>1.7700996980894869E-2</v>
      </c>
      <c r="AX646">
        <v>0.56022311374051337</v>
      </c>
      <c r="AY646">
        <v>0.14038789219777931</v>
      </c>
      <c r="AZ646">
        <v>0.21560045674471309</v>
      </c>
      <c r="BA646">
        <v>3.6928719594407182E-2</v>
      </c>
      <c r="BB646">
        <v>17</v>
      </c>
      <c r="BC646" t="s">
        <v>86</v>
      </c>
    </row>
    <row r="647" spans="1:55" x14ac:dyDescent="0.2">
      <c r="A647">
        <v>52</v>
      </c>
      <c r="B647" t="s">
        <v>1268</v>
      </c>
      <c r="C647" t="s">
        <v>1269</v>
      </c>
      <c r="D647" t="s">
        <v>144</v>
      </c>
      <c r="E647">
        <v>-154.91075000000001</v>
      </c>
      <c r="F647">
        <v>19.464649999999999</v>
      </c>
      <c r="G647" t="s">
        <v>1359</v>
      </c>
      <c r="H647" t="s">
        <v>1363</v>
      </c>
      <c r="I647" t="s">
        <v>1364</v>
      </c>
      <c r="J647" t="s">
        <v>68</v>
      </c>
      <c r="K647">
        <v>28.587156559375</v>
      </c>
      <c r="L647">
        <v>27.980437590625002</v>
      </c>
      <c r="M647">
        <v>2512.900744594438</v>
      </c>
      <c r="N647">
        <v>94765.832972967313</v>
      </c>
      <c r="O647" t="s">
        <v>1365</v>
      </c>
      <c r="Q647">
        <v>5.9989999999999997</v>
      </c>
      <c r="R647">
        <v>1324.9870000000001</v>
      </c>
      <c r="S647">
        <v>50</v>
      </c>
      <c r="T647">
        <v>103.27481822119</v>
      </c>
      <c r="U647">
        <v>2.7989996896829902E-2</v>
      </c>
      <c r="V647">
        <v>0.21290669941481599</v>
      </c>
      <c r="W647">
        <v>1.1521530132995301E-2</v>
      </c>
      <c r="X647">
        <v>0</v>
      </c>
      <c r="Y647">
        <v>4.9996262978502459E-2</v>
      </c>
      <c r="Z647">
        <v>0.74866767565858283</v>
      </c>
      <c r="AA647">
        <v>6.2353687679802122E-2</v>
      </c>
      <c r="AB647">
        <v>3.0945472027621852</v>
      </c>
      <c r="AC647">
        <v>0.2388368866011471</v>
      </c>
      <c r="AD647">
        <v>1236.294021187023</v>
      </c>
      <c r="AE647">
        <v>50</v>
      </c>
      <c r="AF647">
        <v>85.269756182914804</v>
      </c>
      <c r="AG647">
        <v>2.412158823529412</v>
      </c>
      <c r="AH647">
        <v>13.31596764705882</v>
      </c>
      <c r="AI647">
        <v>0.26384411764705878</v>
      </c>
      <c r="AJ647">
        <v>10.713205882352939</v>
      </c>
      <c r="AK647">
        <v>0.48052647058823528</v>
      </c>
      <c r="AL647">
        <v>2.598767647058823</v>
      </c>
      <c r="AM647">
        <v>50.359617647058833</v>
      </c>
      <c r="AN647">
        <v>6.4328941176470593</v>
      </c>
      <c r="AO647">
        <v>11.028091176470589</v>
      </c>
      <c r="AP647">
        <v>0.1712794117647059</v>
      </c>
      <c r="AQ647">
        <v>97.776352941176455</v>
      </c>
      <c r="AR647">
        <v>3.7831023294769867E-2</v>
      </c>
      <c r="AS647">
        <v>9.7793826398283795E-2</v>
      </c>
      <c r="AT647">
        <v>2.1746335052953029E-2</v>
      </c>
      <c r="AU647">
        <v>8.7677885043694934E-2</v>
      </c>
      <c r="AV647">
        <v>3.2037439610004839E-2</v>
      </c>
      <c r="AW647">
        <v>1.7700996980894869E-2</v>
      </c>
      <c r="AX647">
        <v>0.56022311374051337</v>
      </c>
      <c r="AY647">
        <v>0.14038789219777931</v>
      </c>
      <c r="AZ647">
        <v>0.21560045674471309</v>
      </c>
      <c r="BA647">
        <v>3.6928719594407182E-2</v>
      </c>
      <c r="BB647">
        <v>17</v>
      </c>
      <c r="BC647" t="s">
        <v>86</v>
      </c>
    </row>
    <row r="648" spans="1:55" x14ac:dyDescent="0.2">
      <c r="A648">
        <v>53</v>
      </c>
      <c r="B648" t="s">
        <v>1268</v>
      </c>
      <c r="C648" t="s">
        <v>1269</v>
      </c>
      <c r="D648" t="s">
        <v>144</v>
      </c>
      <c r="E648">
        <v>-154.91075000000001</v>
      </c>
      <c r="F648">
        <v>19.464649999999999</v>
      </c>
      <c r="G648" t="s">
        <v>1359</v>
      </c>
      <c r="H648" t="s">
        <v>1366</v>
      </c>
      <c r="I648" t="s">
        <v>1367</v>
      </c>
      <c r="J648" t="s">
        <v>68</v>
      </c>
      <c r="K648">
        <v>3.8382529703124999</v>
      </c>
      <c r="L648">
        <v>3.6937794687499999</v>
      </c>
      <c r="M648">
        <v>44.540432556414217</v>
      </c>
      <c r="N648">
        <v>223.65332190985831</v>
      </c>
      <c r="O648" t="s">
        <v>1368</v>
      </c>
      <c r="Q648">
        <v>11.993</v>
      </c>
      <c r="R648">
        <v>1325.0039999999999</v>
      </c>
      <c r="S648">
        <v>50</v>
      </c>
      <c r="T648">
        <v>103.006324342726</v>
      </c>
      <c r="U648">
        <v>9.6830906029820099E-3</v>
      </c>
      <c r="V648">
        <v>0.101354867348469</v>
      </c>
      <c r="W648">
        <v>3.8340052347081099E-3</v>
      </c>
      <c r="X648">
        <v>0</v>
      </c>
      <c r="Y648">
        <v>9.5600901354327972E-2</v>
      </c>
      <c r="Z648">
        <v>0.34331284716961169</v>
      </c>
      <c r="AA648">
        <v>2.6183391321227462E-2</v>
      </c>
      <c r="AB648">
        <v>1.478350026596406</v>
      </c>
      <c r="AC648">
        <v>0.1085499987144047</v>
      </c>
      <c r="AD648">
        <v>1242.851707460308</v>
      </c>
      <c r="AE648">
        <v>50</v>
      </c>
      <c r="AF648">
        <v>85.628559071922695</v>
      </c>
      <c r="AG648">
        <v>2.412158823529412</v>
      </c>
      <c r="AH648">
        <v>13.31596764705882</v>
      </c>
      <c r="AI648">
        <v>0.26384411764705878</v>
      </c>
      <c r="AJ648">
        <v>10.713205882352939</v>
      </c>
      <c r="AK648">
        <v>0.48052647058823528</v>
      </c>
      <c r="AL648">
        <v>2.598767647058823</v>
      </c>
      <c r="AM648">
        <v>50.359617647058833</v>
      </c>
      <c r="AN648">
        <v>6.4328941176470593</v>
      </c>
      <c r="AO648">
        <v>11.028091176470589</v>
      </c>
      <c r="AP648">
        <v>0.1712794117647059</v>
      </c>
      <c r="AQ648">
        <v>97.776352941176455</v>
      </c>
      <c r="AR648">
        <v>3.7831023294769867E-2</v>
      </c>
      <c r="AS648">
        <v>9.7793826398283795E-2</v>
      </c>
      <c r="AT648">
        <v>2.1746335052953029E-2</v>
      </c>
      <c r="AU648">
        <v>8.7677885043694934E-2</v>
      </c>
      <c r="AV648">
        <v>3.2037439610004839E-2</v>
      </c>
      <c r="AW648">
        <v>1.7700996980894869E-2</v>
      </c>
      <c r="AX648">
        <v>0.56022311374051337</v>
      </c>
      <c r="AY648">
        <v>0.14038789219777931</v>
      </c>
      <c r="AZ648">
        <v>0.21560045674471309</v>
      </c>
      <c r="BA648">
        <v>3.6928719594407182E-2</v>
      </c>
      <c r="BB648">
        <v>17</v>
      </c>
      <c r="BC648" t="s">
        <v>86</v>
      </c>
    </row>
    <row r="649" spans="1:55" x14ac:dyDescent="0.2">
      <c r="A649">
        <v>54</v>
      </c>
      <c r="B649" t="s">
        <v>1268</v>
      </c>
      <c r="C649" t="s">
        <v>1269</v>
      </c>
      <c r="D649" t="s">
        <v>144</v>
      </c>
      <c r="E649">
        <v>-154.91075000000001</v>
      </c>
      <c r="F649">
        <v>19.464649999999999</v>
      </c>
      <c r="G649" t="s">
        <v>1359</v>
      </c>
      <c r="H649" t="s">
        <v>1366</v>
      </c>
      <c r="I649" t="s">
        <v>1369</v>
      </c>
      <c r="J649" t="s">
        <v>68</v>
      </c>
      <c r="K649">
        <v>6.3016830820312499</v>
      </c>
      <c r="L649">
        <v>5.8889514617187499</v>
      </c>
      <c r="M649">
        <v>116.5854640650053</v>
      </c>
      <c r="N649">
        <v>947.50052368665183</v>
      </c>
      <c r="Q649">
        <v>12.016999999999999</v>
      </c>
      <c r="R649">
        <v>1325.0039999999999</v>
      </c>
      <c r="S649">
        <v>50</v>
      </c>
      <c r="T649">
        <v>103.00147157554601</v>
      </c>
      <c r="U649">
        <v>6.11880383019172E-3</v>
      </c>
      <c r="V649">
        <v>9.9433421445112899E-2</v>
      </c>
      <c r="W649">
        <v>2.4227312205375899E-3</v>
      </c>
      <c r="X649">
        <v>0</v>
      </c>
      <c r="Y649">
        <v>9.7485599649918098E-2</v>
      </c>
      <c r="Z649">
        <v>0.33646874775630647</v>
      </c>
      <c r="AA649">
        <v>2.3415297894971061E-2</v>
      </c>
      <c r="AB649">
        <v>1.4499246197066209</v>
      </c>
      <c r="AC649">
        <v>9.7208633657149018E-2</v>
      </c>
      <c r="AD649">
        <v>1240.4965355746881</v>
      </c>
      <c r="AE649">
        <v>50</v>
      </c>
      <c r="AF649">
        <v>85.501392237885995</v>
      </c>
      <c r="AG649">
        <v>2.412158823529412</v>
      </c>
      <c r="AH649">
        <v>13.31596764705882</v>
      </c>
      <c r="AI649">
        <v>0.26384411764705878</v>
      </c>
      <c r="AJ649">
        <v>10.713205882352939</v>
      </c>
      <c r="AK649">
        <v>0.48052647058823528</v>
      </c>
      <c r="AL649">
        <v>2.598767647058823</v>
      </c>
      <c r="AM649">
        <v>50.359617647058833</v>
      </c>
      <c r="AN649">
        <v>6.4328941176470593</v>
      </c>
      <c r="AO649">
        <v>11.028091176470589</v>
      </c>
      <c r="AP649">
        <v>0.1712794117647059</v>
      </c>
      <c r="AQ649">
        <v>97.776352941176455</v>
      </c>
      <c r="AR649">
        <v>3.7831023294769867E-2</v>
      </c>
      <c r="AS649">
        <v>9.7793826398283795E-2</v>
      </c>
      <c r="AT649">
        <v>2.1746335052953029E-2</v>
      </c>
      <c r="AU649">
        <v>8.7677885043694934E-2</v>
      </c>
      <c r="AV649">
        <v>3.2037439610004839E-2</v>
      </c>
      <c r="AW649">
        <v>1.7700996980894869E-2</v>
      </c>
      <c r="AX649">
        <v>0.56022311374051337</v>
      </c>
      <c r="AY649">
        <v>0.14038789219777931</v>
      </c>
      <c r="AZ649">
        <v>0.21560045674471309</v>
      </c>
      <c r="BA649">
        <v>3.6928719594407182E-2</v>
      </c>
      <c r="BB649">
        <v>17</v>
      </c>
      <c r="BC649" t="s">
        <v>86</v>
      </c>
    </row>
    <row r="650" spans="1:55" x14ac:dyDescent="0.2">
      <c r="A650">
        <v>55</v>
      </c>
      <c r="B650" t="s">
        <v>1268</v>
      </c>
      <c r="C650" t="s">
        <v>1269</v>
      </c>
      <c r="D650" t="s">
        <v>144</v>
      </c>
      <c r="E650">
        <v>-154.91075000000001</v>
      </c>
      <c r="F650">
        <v>19.464649999999999</v>
      </c>
      <c r="G650" t="s">
        <v>1359</v>
      </c>
      <c r="H650" t="s">
        <v>1366</v>
      </c>
      <c r="I650" t="s">
        <v>1370</v>
      </c>
      <c r="J650" t="s">
        <v>68</v>
      </c>
      <c r="K650">
        <v>4.7801783578125008</v>
      </c>
      <c r="L650">
        <v>3.6513556328124999</v>
      </c>
      <c r="M650">
        <v>54.833770266780682</v>
      </c>
      <c r="N650">
        <v>308.22186522565579</v>
      </c>
      <c r="O650" t="s">
        <v>1317</v>
      </c>
      <c r="Q650">
        <v>12.037000000000001</v>
      </c>
      <c r="R650">
        <v>1325.0039999999999</v>
      </c>
      <c r="S650">
        <v>50</v>
      </c>
      <c r="T650">
        <v>102.921159522336</v>
      </c>
      <c r="U650">
        <v>1.8577826563285001E-2</v>
      </c>
      <c r="V650">
        <v>6.7633984153367493E-2</v>
      </c>
      <c r="W650">
        <v>7.3558626283265396E-3</v>
      </c>
      <c r="X650">
        <v>0</v>
      </c>
      <c r="Y650">
        <v>0.13433943041586849</v>
      </c>
      <c r="Z650">
        <v>0.23042335336055361</v>
      </c>
      <c r="AA650">
        <v>3.4093595028758937E-2</v>
      </c>
      <c r="AB650">
        <v>1.0042392794959289</v>
      </c>
      <c r="AC650">
        <v>0.14474162139682989</v>
      </c>
      <c r="AD650">
        <v>1223.8875401405751</v>
      </c>
      <c r="AE650">
        <v>50</v>
      </c>
      <c r="AF650">
        <v>84.546814108056196</v>
      </c>
      <c r="AG650">
        <v>2.412158823529412</v>
      </c>
      <c r="AH650">
        <v>13.31596764705882</v>
      </c>
      <c r="AI650">
        <v>0.26384411764705878</v>
      </c>
      <c r="AJ650">
        <v>10.713205882352939</v>
      </c>
      <c r="AK650">
        <v>0.48052647058823528</v>
      </c>
      <c r="AL650">
        <v>2.598767647058823</v>
      </c>
      <c r="AM650">
        <v>50.359617647058833</v>
      </c>
      <c r="AN650">
        <v>6.4328941176470593</v>
      </c>
      <c r="AO650">
        <v>11.028091176470589</v>
      </c>
      <c r="AP650">
        <v>0.1712794117647059</v>
      </c>
      <c r="AQ650">
        <v>97.776352941176455</v>
      </c>
      <c r="AR650">
        <v>3.7831023294769867E-2</v>
      </c>
      <c r="AS650">
        <v>9.7793826398283795E-2</v>
      </c>
      <c r="AT650">
        <v>2.1746335052953029E-2</v>
      </c>
      <c r="AU650">
        <v>8.7677885043694934E-2</v>
      </c>
      <c r="AV650">
        <v>3.2037439610004839E-2</v>
      </c>
      <c r="AW650">
        <v>1.7700996980894869E-2</v>
      </c>
      <c r="AX650">
        <v>0.56022311374051337</v>
      </c>
      <c r="AY650">
        <v>0.14038789219777931</v>
      </c>
      <c r="AZ650">
        <v>0.21560045674471309</v>
      </c>
      <c r="BA650">
        <v>3.6928719594407182E-2</v>
      </c>
      <c r="BB650">
        <v>17</v>
      </c>
      <c r="BC650" t="s">
        <v>86</v>
      </c>
    </row>
    <row r="651" spans="1:55" x14ac:dyDescent="0.2">
      <c r="A651">
        <v>56</v>
      </c>
      <c r="B651" t="s">
        <v>1268</v>
      </c>
      <c r="C651" t="s">
        <v>1269</v>
      </c>
      <c r="D651" t="s">
        <v>144</v>
      </c>
      <c r="E651">
        <v>-154.91075000000001</v>
      </c>
      <c r="F651">
        <v>19.464649999999999</v>
      </c>
      <c r="G651" t="s">
        <v>1359</v>
      </c>
      <c r="H651" t="s">
        <v>1371</v>
      </c>
      <c r="I651" t="s">
        <v>1371</v>
      </c>
      <c r="J651" t="s">
        <v>68</v>
      </c>
      <c r="O651" t="s">
        <v>1372</v>
      </c>
      <c r="Q651">
        <v>6.0039999999999996</v>
      </c>
      <c r="R651">
        <v>1324.9870000000001</v>
      </c>
      <c r="S651">
        <v>50</v>
      </c>
      <c r="T651">
        <v>102.980113499002</v>
      </c>
      <c r="U651">
        <v>5.8887914062637596E-3</v>
      </c>
      <c r="V651">
        <v>9.0976722997098095E-2</v>
      </c>
      <c r="W651">
        <v>2.33165814546509E-3</v>
      </c>
      <c r="X651">
        <v>0</v>
      </c>
      <c r="Y651">
        <v>0.10916826220602829</v>
      </c>
      <c r="Z651">
        <v>0.297951478242171</v>
      </c>
      <c r="AA651">
        <v>2.2713155828230022E-2</v>
      </c>
      <c r="AB651">
        <v>1.289193771627555</v>
      </c>
      <c r="AC651">
        <v>9.5046475405689917E-2</v>
      </c>
      <c r="AD651">
        <v>1184.411810431292</v>
      </c>
      <c r="AE651">
        <v>50</v>
      </c>
      <c r="AF651">
        <v>81.680971982745305</v>
      </c>
      <c r="AG651">
        <v>2.412158823529412</v>
      </c>
      <c r="AH651">
        <v>13.31596764705882</v>
      </c>
      <c r="AI651">
        <v>0.26384411764705878</v>
      </c>
      <c r="AJ651">
        <v>10.713205882352939</v>
      </c>
      <c r="AK651">
        <v>0.48052647058823528</v>
      </c>
      <c r="AL651">
        <v>2.598767647058823</v>
      </c>
      <c r="AM651">
        <v>50.359617647058833</v>
      </c>
      <c r="AN651">
        <v>6.4328941176470593</v>
      </c>
      <c r="AO651">
        <v>11.028091176470589</v>
      </c>
      <c r="AP651">
        <v>0.1712794117647059</v>
      </c>
      <c r="AQ651">
        <v>97.776352941176455</v>
      </c>
      <c r="AR651">
        <v>3.7831023294769867E-2</v>
      </c>
      <c r="AS651">
        <v>9.7793826398283795E-2</v>
      </c>
      <c r="AT651">
        <v>2.1746335052953029E-2</v>
      </c>
      <c r="AU651">
        <v>8.7677885043694934E-2</v>
      </c>
      <c r="AV651">
        <v>3.2037439610004839E-2</v>
      </c>
      <c r="AW651">
        <v>1.7700996980894869E-2</v>
      </c>
      <c r="AX651">
        <v>0.56022311374051337</v>
      </c>
      <c r="AY651">
        <v>0.14038789219777931</v>
      </c>
      <c r="AZ651">
        <v>0.21560045674471309</v>
      </c>
      <c r="BA651">
        <v>3.6928719594407182E-2</v>
      </c>
      <c r="BB651">
        <v>17</v>
      </c>
      <c r="BC651" t="s">
        <v>86</v>
      </c>
    </row>
    <row r="652" spans="1:55" x14ac:dyDescent="0.2">
      <c r="A652">
        <v>57</v>
      </c>
      <c r="B652" t="s">
        <v>1268</v>
      </c>
      <c r="C652" t="s">
        <v>1269</v>
      </c>
      <c r="D652" t="s">
        <v>144</v>
      </c>
      <c r="E652">
        <v>-154.91075000000001</v>
      </c>
      <c r="F652">
        <v>19.464649999999999</v>
      </c>
      <c r="G652" t="s">
        <v>1359</v>
      </c>
      <c r="H652" t="s">
        <v>1373</v>
      </c>
      <c r="I652" t="s">
        <v>1374</v>
      </c>
      <c r="J652" t="s">
        <v>68</v>
      </c>
      <c r="K652">
        <v>7.2124007984374998</v>
      </c>
      <c r="L652">
        <v>6.5381523812500006</v>
      </c>
      <c r="M652">
        <v>148.14423774323501</v>
      </c>
      <c r="N652">
        <v>1358.043479568413</v>
      </c>
      <c r="O652" t="s">
        <v>1375</v>
      </c>
      <c r="Q652">
        <v>6.0469999999999997</v>
      </c>
      <c r="R652">
        <v>1324.9870000000001</v>
      </c>
      <c r="S652">
        <v>50</v>
      </c>
      <c r="T652">
        <v>102.970396550488</v>
      </c>
      <c r="U652">
        <v>1.2530721857194499E-2</v>
      </c>
      <c r="V652">
        <v>8.7129311773381304E-2</v>
      </c>
      <c r="W652">
        <v>4.9615205686883703E-3</v>
      </c>
      <c r="X652">
        <v>1.699160053931039</v>
      </c>
      <c r="Y652">
        <v>0.10976866131379889</v>
      </c>
      <c r="Z652">
        <v>0.29606847870208258</v>
      </c>
      <c r="AA652">
        <v>2.8143213314293852E-2</v>
      </c>
      <c r="AB652">
        <v>1.281302842554918</v>
      </c>
      <c r="AC652">
        <v>0.11782897649217471</v>
      </c>
      <c r="AD652">
        <v>1240.1069914222969</v>
      </c>
      <c r="AE652">
        <v>50</v>
      </c>
      <c r="AF652">
        <v>85.480179271112107</v>
      </c>
      <c r="AG652">
        <v>2.412158823529412</v>
      </c>
      <c r="AH652">
        <v>13.31596764705882</v>
      </c>
      <c r="AI652">
        <v>0.26384411764705878</v>
      </c>
      <c r="AJ652">
        <v>10.713205882352939</v>
      </c>
      <c r="AK652">
        <v>0.48052647058823528</v>
      </c>
      <c r="AL652">
        <v>2.598767647058823</v>
      </c>
      <c r="AM652">
        <v>50.359617647058833</v>
      </c>
      <c r="AN652">
        <v>6.4328941176470593</v>
      </c>
      <c r="AO652">
        <v>11.028091176470589</v>
      </c>
      <c r="AP652">
        <v>0.1712794117647059</v>
      </c>
      <c r="AQ652">
        <v>97.776352941176455</v>
      </c>
      <c r="AR652">
        <v>3.7831023294769867E-2</v>
      </c>
      <c r="AS652">
        <v>9.7793826398283795E-2</v>
      </c>
      <c r="AT652">
        <v>2.1746335052953029E-2</v>
      </c>
      <c r="AU652">
        <v>8.7677885043694934E-2</v>
      </c>
      <c r="AV652">
        <v>3.2037439610004839E-2</v>
      </c>
      <c r="AW652">
        <v>1.7700996980894869E-2</v>
      </c>
      <c r="AX652">
        <v>0.56022311374051337</v>
      </c>
      <c r="AY652">
        <v>0.14038789219777931</v>
      </c>
      <c r="AZ652">
        <v>0.21560045674471309</v>
      </c>
      <c r="BA652">
        <v>3.6928719594407182E-2</v>
      </c>
      <c r="BB652">
        <v>17</v>
      </c>
      <c r="BC652" t="s">
        <v>86</v>
      </c>
    </row>
    <row r="653" spans="1:55" x14ac:dyDescent="0.2">
      <c r="A653">
        <v>58</v>
      </c>
      <c r="B653" t="s">
        <v>1268</v>
      </c>
      <c r="C653" t="s">
        <v>1269</v>
      </c>
      <c r="D653" t="s">
        <v>144</v>
      </c>
      <c r="E653">
        <v>-154.91075000000001</v>
      </c>
      <c r="F653">
        <v>19.464649999999999</v>
      </c>
      <c r="G653" t="s">
        <v>1359</v>
      </c>
      <c r="H653" t="s">
        <v>1376</v>
      </c>
      <c r="I653" t="s">
        <v>1377</v>
      </c>
      <c r="J653" t="s">
        <v>68</v>
      </c>
      <c r="K653">
        <v>8.1492120796874996</v>
      </c>
      <c r="L653">
        <v>6.5590156101562496</v>
      </c>
      <c r="M653">
        <v>167.92066964040799</v>
      </c>
      <c r="N653">
        <v>1646.543628601436</v>
      </c>
      <c r="Q653">
        <v>9.0663333333333291</v>
      </c>
      <c r="R653">
        <v>1325.0039999999999</v>
      </c>
      <c r="S653">
        <v>50</v>
      </c>
      <c r="T653">
        <v>103.07887878123699</v>
      </c>
      <c r="U653">
        <v>7.8837811568584406E-3</v>
      </c>
      <c r="V653">
        <v>0.13008268870821799</v>
      </c>
      <c r="W653">
        <v>3.1623235824190699E-3</v>
      </c>
      <c r="X653">
        <v>0</v>
      </c>
      <c r="Y653">
        <v>7.2756650034892845E-2</v>
      </c>
      <c r="Z653">
        <v>0.44978289588341652</v>
      </c>
      <c r="AA653">
        <v>2.6948970250706548E-2</v>
      </c>
      <c r="AB653">
        <v>1.9154393071858069</v>
      </c>
      <c r="AC653">
        <v>0.10932950994968151</v>
      </c>
      <c r="AD653">
        <v>1276.715493542559</v>
      </c>
      <c r="AE653">
        <v>50</v>
      </c>
      <c r="AF653">
        <v>87.282532846356901</v>
      </c>
      <c r="AG653">
        <v>2.412158823529412</v>
      </c>
      <c r="AH653">
        <v>13.31596764705882</v>
      </c>
      <c r="AI653">
        <v>0.26384411764705878</v>
      </c>
      <c r="AJ653">
        <v>10.713205882352939</v>
      </c>
      <c r="AK653">
        <v>0.48052647058823528</v>
      </c>
      <c r="AL653">
        <v>2.598767647058823</v>
      </c>
      <c r="AM653">
        <v>50.359617647058833</v>
      </c>
      <c r="AN653">
        <v>6.4328941176470593</v>
      </c>
      <c r="AO653">
        <v>11.028091176470589</v>
      </c>
      <c r="AP653">
        <v>0.1712794117647059</v>
      </c>
      <c r="AQ653">
        <v>97.776352941176455</v>
      </c>
      <c r="AR653">
        <v>3.7831023294769867E-2</v>
      </c>
      <c r="AS653">
        <v>9.7793826398283795E-2</v>
      </c>
      <c r="AT653">
        <v>2.1746335052953029E-2</v>
      </c>
      <c r="AU653">
        <v>8.7677885043694934E-2</v>
      </c>
      <c r="AV653">
        <v>3.2037439610004839E-2</v>
      </c>
      <c r="AW653">
        <v>1.7700996980894869E-2</v>
      </c>
      <c r="AX653">
        <v>0.56022311374051337</v>
      </c>
      <c r="AY653">
        <v>0.14038789219777931</v>
      </c>
      <c r="AZ653">
        <v>0.21560045674471309</v>
      </c>
      <c r="BA653">
        <v>3.6928719594407182E-2</v>
      </c>
      <c r="BB653">
        <v>17</v>
      </c>
      <c r="BC653" t="s">
        <v>86</v>
      </c>
    </row>
    <row r="654" spans="1:55" x14ac:dyDescent="0.2">
      <c r="A654">
        <v>59</v>
      </c>
      <c r="B654" t="s">
        <v>1268</v>
      </c>
      <c r="C654" t="s">
        <v>1269</v>
      </c>
      <c r="D654" t="s">
        <v>144</v>
      </c>
      <c r="E654">
        <v>-154.91075000000001</v>
      </c>
      <c r="F654">
        <v>19.464649999999999</v>
      </c>
      <c r="G654" t="s">
        <v>1359</v>
      </c>
      <c r="H654" t="s">
        <v>1378</v>
      </c>
      <c r="I654" t="s">
        <v>1379</v>
      </c>
      <c r="J654" t="s">
        <v>68</v>
      </c>
      <c r="O654" t="s">
        <v>1380</v>
      </c>
      <c r="Q654">
        <v>12.058999999999999</v>
      </c>
      <c r="R654">
        <v>1324.9870000000001</v>
      </c>
      <c r="S654">
        <v>50</v>
      </c>
      <c r="T654">
        <v>103.08826056000601</v>
      </c>
      <c r="U654">
        <v>1.37278377770107E-2</v>
      </c>
      <c r="V654">
        <v>0.133797389972969</v>
      </c>
      <c r="W654">
        <v>5.4355168258055598E-3</v>
      </c>
      <c r="X654">
        <v>0</v>
      </c>
      <c r="Y654">
        <v>7.1285115695817636E-2</v>
      </c>
      <c r="Z654">
        <v>0.45905263638980193</v>
      </c>
      <c r="AA654">
        <v>3.2503957946146633E-2</v>
      </c>
      <c r="AB654">
        <v>1.953048771943164</v>
      </c>
      <c r="AC654">
        <v>0.13162230283573101</v>
      </c>
      <c r="AD654">
        <v>1263.3284886890731</v>
      </c>
      <c r="AE654">
        <v>50</v>
      </c>
      <c r="AF654">
        <v>86.663810383406897</v>
      </c>
      <c r="AG654">
        <v>2.412158823529412</v>
      </c>
      <c r="AH654">
        <v>13.31596764705882</v>
      </c>
      <c r="AI654">
        <v>0.26384411764705878</v>
      </c>
      <c r="AJ654">
        <v>10.713205882352939</v>
      </c>
      <c r="AK654">
        <v>0.48052647058823528</v>
      </c>
      <c r="AL654">
        <v>2.598767647058823</v>
      </c>
      <c r="AM654">
        <v>50.359617647058833</v>
      </c>
      <c r="AN654">
        <v>6.4328941176470593</v>
      </c>
      <c r="AO654">
        <v>11.028091176470589</v>
      </c>
      <c r="AP654">
        <v>0.1712794117647059</v>
      </c>
      <c r="AQ654">
        <v>97.776352941176455</v>
      </c>
      <c r="AR654">
        <v>3.7831023294769867E-2</v>
      </c>
      <c r="AS654">
        <v>9.7793826398283795E-2</v>
      </c>
      <c r="AT654">
        <v>2.1746335052953029E-2</v>
      </c>
      <c r="AU654">
        <v>8.7677885043694934E-2</v>
      </c>
      <c r="AV654">
        <v>3.2037439610004839E-2</v>
      </c>
      <c r="AW654">
        <v>1.7700996980894869E-2</v>
      </c>
      <c r="AX654">
        <v>0.56022311374051337</v>
      </c>
      <c r="AY654">
        <v>0.14038789219777931</v>
      </c>
      <c r="AZ654">
        <v>0.21560045674471309</v>
      </c>
      <c r="BA654">
        <v>3.6928719594407182E-2</v>
      </c>
      <c r="BB654">
        <v>17</v>
      </c>
      <c r="BC654" t="s">
        <v>86</v>
      </c>
    </row>
    <row r="655" spans="1:55" x14ac:dyDescent="0.2">
      <c r="A655">
        <v>60</v>
      </c>
      <c r="B655" t="s">
        <v>1268</v>
      </c>
      <c r="C655" t="s">
        <v>1269</v>
      </c>
      <c r="D655" t="s">
        <v>144</v>
      </c>
      <c r="E655">
        <v>-154.91075000000001</v>
      </c>
      <c r="F655">
        <v>19.464649999999999</v>
      </c>
      <c r="G655" t="s">
        <v>1359</v>
      </c>
      <c r="H655" t="s">
        <v>1381</v>
      </c>
      <c r="I655" t="s">
        <v>1382</v>
      </c>
      <c r="J655" t="s">
        <v>68</v>
      </c>
      <c r="K655">
        <v>9.8622633289062502</v>
      </c>
      <c r="L655">
        <v>9.2021949335937503</v>
      </c>
      <c r="M655">
        <v>285.11357509841002</v>
      </c>
      <c r="N655">
        <v>3623.6905683571972</v>
      </c>
      <c r="Q655">
        <v>6.008</v>
      </c>
      <c r="R655">
        <v>1324.9870000000001</v>
      </c>
      <c r="S655">
        <v>50</v>
      </c>
      <c r="T655">
        <v>102.885093745528</v>
      </c>
      <c r="U655">
        <v>5.4089629346406702E-3</v>
      </c>
      <c r="V655">
        <v>5.3353793794471402E-2</v>
      </c>
      <c r="W655">
        <v>2.14167078013005E-3</v>
      </c>
      <c r="X655">
        <v>0</v>
      </c>
      <c r="Y655">
        <v>0.1567247756494263</v>
      </c>
      <c r="Z655">
        <v>0.18160403957131341</v>
      </c>
      <c r="AA655">
        <v>1.848983272503138E-2</v>
      </c>
      <c r="AB655">
        <v>0.79566332780923399</v>
      </c>
      <c r="AC655">
        <v>7.927479281457378E-2</v>
      </c>
      <c r="AD655">
        <v>1199.068620040387</v>
      </c>
      <c r="AE655">
        <v>50</v>
      </c>
      <c r="AF655">
        <v>82.874044500269505</v>
      </c>
      <c r="AG655">
        <v>2.412158823529412</v>
      </c>
      <c r="AH655">
        <v>13.31596764705882</v>
      </c>
      <c r="AI655">
        <v>0.26384411764705878</v>
      </c>
      <c r="AJ655">
        <v>10.713205882352939</v>
      </c>
      <c r="AK655">
        <v>0.48052647058823528</v>
      </c>
      <c r="AL655">
        <v>2.598767647058823</v>
      </c>
      <c r="AM655">
        <v>50.359617647058833</v>
      </c>
      <c r="AN655">
        <v>6.4328941176470593</v>
      </c>
      <c r="AO655">
        <v>11.028091176470589</v>
      </c>
      <c r="AP655">
        <v>0.1712794117647059</v>
      </c>
      <c r="AQ655">
        <v>97.776352941176455</v>
      </c>
      <c r="AR655">
        <v>3.7831023294769867E-2</v>
      </c>
      <c r="AS655">
        <v>9.7793826398283795E-2</v>
      </c>
      <c r="AT655">
        <v>2.1746335052953029E-2</v>
      </c>
      <c r="AU655">
        <v>8.7677885043694934E-2</v>
      </c>
      <c r="AV655">
        <v>3.2037439610004839E-2</v>
      </c>
      <c r="AW655">
        <v>1.7700996980894869E-2</v>
      </c>
      <c r="AX655">
        <v>0.56022311374051337</v>
      </c>
      <c r="AY655">
        <v>0.14038789219777931</v>
      </c>
      <c r="AZ655">
        <v>0.21560045674471309</v>
      </c>
      <c r="BA655">
        <v>3.6928719594407182E-2</v>
      </c>
      <c r="BB655">
        <v>17</v>
      </c>
      <c r="BC655" t="s">
        <v>86</v>
      </c>
    </row>
    <row r="656" spans="1:55" x14ac:dyDescent="0.2">
      <c r="A656">
        <v>61</v>
      </c>
      <c r="B656" t="s">
        <v>1268</v>
      </c>
      <c r="C656" t="s">
        <v>1269</v>
      </c>
      <c r="D656" t="s">
        <v>144</v>
      </c>
      <c r="E656">
        <v>-154.91075000000001</v>
      </c>
      <c r="F656">
        <v>19.464649999999999</v>
      </c>
      <c r="G656" t="s">
        <v>1359</v>
      </c>
      <c r="H656" t="s">
        <v>1383</v>
      </c>
      <c r="I656" t="s">
        <v>1383</v>
      </c>
      <c r="J656" t="s">
        <v>68</v>
      </c>
      <c r="K656">
        <v>7.1659670382812504</v>
      </c>
      <c r="L656">
        <v>6.9585551609374994</v>
      </c>
      <c r="M656">
        <v>156.6548168364092</v>
      </c>
      <c r="N656">
        <v>1475.116292013606</v>
      </c>
      <c r="O656" t="s">
        <v>1384</v>
      </c>
      <c r="Q656">
        <v>6.0019999999999998</v>
      </c>
      <c r="R656">
        <v>1324.9870000000001</v>
      </c>
      <c r="S656">
        <v>50</v>
      </c>
      <c r="T656">
        <v>103.208415032692</v>
      </c>
      <c r="U656">
        <v>7.4624030483129598E-3</v>
      </c>
      <c r="V656">
        <v>0.18568622162729301</v>
      </c>
      <c r="W656">
        <v>4.7489860498627599E-4</v>
      </c>
      <c r="X656">
        <v>0</v>
      </c>
      <c r="Y656">
        <v>5.5279134979781208E-2</v>
      </c>
      <c r="Z656">
        <v>0.61882671859277583</v>
      </c>
      <c r="AA656">
        <v>2.7991323283944759E-2</v>
      </c>
      <c r="AB656">
        <v>2.5905850841828322</v>
      </c>
      <c r="AC656">
        <v>0.1099185391950295</v>
      </c>
      <c r="AD656">
        <v>1187.093797257249</v>
      </c>
      <c r="AE656">
        <v>50</v>
      </c>
      <c r="AF656">
        <v>81.914464142502595</v>
      </c>
      <c r="AG656">
        <v>2.412158823529412</v>
      </c>
      <c r="AH656">
        <v>13.31596764705882</v>
      </c>
      <c r="AI656">
        <v>0.26384411764705878</v>
      </c>
      <c r="AJ656">
        <v>10.713205882352939</v>
      </c>
      <c r="AK656">
        <v>0.48052647058823528</v>
      </c>
      <c r="AL656">
        <v>2.598767647058823</v>
      </c>
      <c r="AM656">
        <v>50.359617647058833</v>
      </c>
      <c r="AN656">
        <v>6.4328941176470593</v>
      </c>
      <c r="AO656">
        <v>11.028091176470589</v>
      </c>
      <c r="AP656">
        <v>0.1712794117647059</v>
      </c>
      <c r="AQ656">
        <v>97.776352941176455</v>
      </c>
      <c r="AR656">
        <v>3.7831023294769867E-2</v>
      </c>
      <c r="AS656">
        <v>9.7793826398283795E-2</v>
      </c>
      <c r="AT656">
        <v>2.1746335052953029E-2</v>
      </c>
      <c r="AU656">
        <v>8.7677885043694934E-2</v>
      </c>
      <c r="AV656">
        <v>3.2037439610004839E-2</v>
      </c>
      <c r="AW656">
        <v>1.7700996980894869E-2</v>
      </c>
      <c r="AX656">
        <v>0.56022311374051337</v>
      </c>
      <c r="AY656">
        <v>0.14038789219777931</v>
      </c>
      <c r="AZ656">
        <v>0.21560045674471309</v>
      </c>
      <c r="BA656">
        <v>3.6928719594407182E-2</v>
      </c>
      <c r="BB656">
        <v>17</v>
      </c>
      <c r="BC656" t="s">
        <v>86</v>
      </c>
    </row>
    <row r="657" spans="1:55" x14ac:dyDescent="0.2">
      <c r="A657">
        <v>62</v>
      </c>
      <c r="B657" t="s">
        <v>1268</v>
      </c>
      <c r="C657" t="s">
        <v>1269</v>
      </c>
      <c r="D657" t="s">
        <v>144</v>
      </c>
      <c r="E657">
        <v>-154.91075000000001</v>
      </c>
      <c r="F657">
        <v>19.464649999999999</v>
      </c>
      <c r="G657" t="s">
        <v>1359</v>
      </c>
      <c r="H657" t="s">
        <v>1385</v>
      </c>
      <c r="I657" t="s">
        <v>1386</v>
      </c>
      <c r="J657" t="s">
        <v>68</v>
      </c>
      <c r="K657">
        <v>9.3699724875000001</v>
      </c>
      <c r="L657">
        <v>8.3378528625000001</v>
      </c>
      <c r="M657">
        <v>245.43834583051199</v>
      </c>
      <c r="N657">
        <v>2897.4529081064038</v>
      </c>
      <c r="O657" t="s">
        <v>1387</v>
      </c>
      <c r="Q657">
        <v>6.0389999999999997</v>
      </c>
      <c r="R657">
        <v>1324.9870000000001</v>
      </c>
      <c r="S657">
        <v>50</v>
      </c>
      <c r="T657">
        <v>102.97459521741</v>
      </c>
      <c r="U657">
        <v>1.4115577280112901E-2</v>
      </c>
      <c r="V657">
        <v>8.8791767658285795E-2</v>
      </c>
      <c r="W657">
        <v>5.5890417018531402E-3</v>
      </c>
      <c r="X657">
        <v>0</v>
      </c>
      <c r="Y657">
        <v>0.106079452406714</v>
      </c>
      <c r="Z657">
        <v>0.30749006255149569</v>
      </c>
      <c r="AA657">
        <v>2.7593533686682461E-2</v>
      </c>
      <c r="AB657">
        <v>1.32911847900711</v>
      </c>
      <c r="AC657">
        <v>0.1152178866301944</v>
      </c>
      <c r="AD657">
        <v>1272.2901831661461</v>
      </c>
      <c r="AE657">
        <v>50</v>
      </c>
      <c r="AF657">
        <v>87.0824743177823</v>
      </c>
      <c r="AG657">
        <v>2.412158823529412</v>
      </c>
      <c r="AH657">
        <v>13.31596764705882</v>
      </c>
      <c r="AI657">
        <v>0.26384411764705878</v>
      </c>
      <c r="AJ657">
        <v>10.713205882352939</v>
      </c>
      <c r="AK657">
        <v>0.48052647058823528</v>
      </c>
      <c r="AL657">
        <v>2.598767647058823</v>
      </c>
      <c r="AM657">
        <v>50.359617647058833</v>
      </c>
      <c r="AN657">
        <v>6.4328941176470593</v>
      </c>
      <c r="AO657">
        <v>11.028091176470589</v>
      </c>
      <c r="AP657">
        <v>0.1712794117647059</v>
      </c>
      <c r="AQ657">
        <v>97.776352941176455</v>
      </c>
      <c r="AR657">
        <v>3.7831023294769867E-2</v>
      </c>
      <c r="AS657">
        <v>9.7793826398283795E-2</v>
      </c>
      <c r="AT657">
        <v>2.1746335052953029E-2</v>
      </c>
      <c r="AU657">
        <v>8.7677885043694934E-2</v>
      </c>
      <c r="AV657">
        <v>3.2037439610004839E-2</v>
      </c>
      <c r="AW657">
        <v>1.7700996980894869E-2</v>
      </c>
      <c r="AX657">
        <v>0.56022311374051337</v>
      </c>
      <c r="AY657">
        <v>0.14038789219777931</v>
      </c>
      <c r="AZ657">
        <v>0.21560045674471309</v>
      </c>
      <c r="BA657">
        <v>3.6928719594407182E-2</v>
      </c>
      <c r="BB657">
        <v>17</v>
      </c>
      <c r="BC657" t="s">
        <v>86</v>
      </c>
    </row>
    <row r="658" spans="1:55" x14ac:dyDescent="0.2">
      <c r="A658">
        <v>63</v>
      </c>
      <c r="B658" t="s">
        <v>1268</v>
      </c>
      <c r="C658" t="s">
        <v>1269</v>
      </c>
      <c r="D658" t="s">
        <v>144</v>
      </c>
      <c r="E658">
        <v>-154.91075000000001</v>
      </c>
      <c r="F658">
        <v>19.464649999999999</v>
      </c>
      <c r="G658" t="s">
        <v>1359</v>
      </c>
      <c r="H658" t="s">
        <v>1385</v>
      </c>
      <c r="I658" t="s">
        <v>1388</v>
      </c>
      <c r="J658" t="s">
        <v>68</v>
      </c>
      <c r="K658">
        <v>5.1277632382812497</v>
      </c>
      <c r="L658">
        <v>4.6785936109374999</v>
      </c>
      <c r="M658">
        <v>75.369070727419086</v>
      </c>
      <c r="N658">
        <v>492.73066863138558</v>
      </c>
      <c r="Q658">
        <v>6.1139999999999999</v>
      </c>
      <c r="R658">
        <v>1324.9870000000001</v>
      </c>
      <c r="S658">
        <v>50</v>
      </c>
      <c r="T658">
        <v>102.93520675475</v>
      </c>
      <c r="U658">
        <v>3.0898073072054898E-2</v>
      </c>
      <c r="V658">
        <v>7.3195964808071695E-2</v>
      </c>
      <c r="W658">
        <v>1.2234045797754301E-2</v>
      </c>
      <c r="X658">
        <v>0</v>
      </c>
      <c r="Y658">
        <v>0.1234963276721619</v>
      </c>
      <c r="Z658">
        <v>0.25740221785420719</v>
      </c>
      <c r="AA658">
        <v>4.7864843192196672E-2</v>
      </c>
      <c r="AB658">
        <v>1.1185734802671361</v>
      </c>
      <c r="AC658">
        <v>0.20202498316290551</v>
      </c>
      <c r="AD658">
        <v>1283.2848190374041</v>
      </c>
      <c r="AE658">
        <v>50</v>
      </c>
      <c r="AF658">
        <v>87.571990099122004</v>
      </c>
      <c r="AG658">
        <v>2.412158823529412</v>
      </c>
      <c r="AH658">
        <v>13.31596764705882</v>
      </c>
      <c r="AI658">
        <v>0.26384411764705878</v>
      </c>
      <c r="AJ658">
        <v>10.713205882352939</v>
      </c>
      <c r="AK658">
        <v>0.48052647058823528</v>
      </c>
      <c r="AL658">
        <v>2.598767647058823</v>
      </c>
      <c r="AM658">
        <v>50.359617647058833</v>
      </c>
      <c r="AN658">
        <v>6.4328941176470593</v>
      </c>
      <c r="AO658">
        <v>11.028091176470589</v>
      </c>
      <c r="AP658">
        <v>0.1712794117647059</v>
      </c>
      <c r="AQ658">
        <v>97.776352941176455</v>
      </c>
      <c r="AR658">
        <v>3.7831023294769867E-2</v>
      </c>
      <c r="AS658">
        <v>9.7793826398283795E-2</v>
      </c>
      <c r="AT658">
        <v>2.1746335052953029E-2</v>
      </c>
      <c r="AU658">
        <v>8.7677885043694934E-2</v>
      </c>
      <c r="AV658">
        <v>3.2037439610004839E-2</v>
      </c>
      <c r="AW658">
        <v>1.7700996980894869E-2</v>
      </c>
      <c r="AX658">
        <v>0.56022311374051337</v>
      </c>
      <c r="AY658">
        <v>0.14038789219777931</v>
      </c>
      <c r="AZ658">
        <v>0.21560045674471309</v>
      </c>
      <c r="BA658">
        <v>3.6928719594407182E-2</v>
      </c>
      <c r="BB658">
        <v>17</v>
      </c>
      <c r="BC658" t="s">
        <v>86</v>
      </c>
    </row>
    <row r="659" spans="1:55" x14ac:dyDescent="0.2">
      <c r="A659">
        <v>64</v>
      </c>
      <c r="B659" t="s">
        <v>1268</v>
      </c>
      <c r="C659" t="s">
        <v>1269</v>
      </c>
      <c r="D659" t="s">
        <v>144</v>
      </c>
      <c r="E659">
        <v>-154.91075000000001</v>
      </c>
      <c r="F659">
        <v>19.464649999999999</v>
      </c>
      <c r="G659" t="s">
        <v>1359</v>
      </c>
      <c r="H659" t="s">
        <v>1389</v>
      </c>
      <c r="I659" t="s">
        <v>1389</v>
      </c>
      <c r="J659" t="s">
        <v>68</v>
      </c>
      <c r="K659">
        <v>8.5296899617187503</v>
      </c>
      <c r="L659">
        <v>7.2747580257812503</v>
      </c>
      <c r="M659">
        <v>194.94031822376709</v>
      </c>
      <c r="N659">
        <v>2053.9494133561511</v>
      </c>
      <c r="O659" t="s">
        <v>1390</v>
      </c>
      <c r="Q659">
        <v>6.1180000000000003</v>
      </c>
      <c r="R659">
        <v>1324.9870000000001</v>
      </c>
      <c r="S659">
        <v>50</v>
      </c>
      <c r="T659">
        <v>102.95375671344</v>
      </c>
      <c r="U659">
        <v>5.6222682890597099E-3</v>
      </c>
      <c r="V659">
        <v>8.0540793193613E-2</v>
      </c>
      <c r="W659">
        <v>4.8996515697164299E-3</v>
      </c>
      <c r="X659">
        <v>0</v>
      </c>
      <c r="Y659">
        <v>0.1189525930714237</v>
      </c>
      <c r="Z659">
        <v>0.26963085449275231</v>
      </c>
      <c r="AA659">
        <v>2.515771875373831E-2</v>
      </c>
      <c r="AB659">
        <v>1.1701821627664011</v>
      </c>
      <c r="AC659">
        <v>0.1058739749507903</v>
      </c>
      <c r="AD659">
        <v>1210.627049253746</v>
      </c>
      <c r="AE659">
        <v>50</v>
      </c>
      <c r="AF659">
        <v>83.697153965168795</v>
      </c>
      <c r="AG659">
        <v>2.412158823529412</v>
      </c>
      <c r="AH659">
        <v>13.31596764705882</v>
      </c>
      <c r="AI659">
        <v>0.26384411764705878</v>
      </c>
      <c r="AJ659">
        <v>10.713205882352939</v>
      </c>
      <c r="AK659">
        <v>0.48052647058823528</v>
      </c>
      <c r="AL659">
        <v>2.598767647058823</v>
      </c>
      <c r="AM659">
        <v>50.359617647058833</v>
      </c>
      <c r="AN659">
        <v>6.4328941176470593</v>
      </c>
      <c r="AO659">
        <v>11.028091176470589</v>
      </c>
      <c r="AP659">
        <v>0.1712794117647059</v>
      </c>
      <c r="AQ659">
        <v>97.776352941176455</v>
      </c>
      <c r="AR659">
        <v>3.7831023294769867E-2</v>
      </c>
      <c r="AS659">
        <v>9.7793826398283795E-2</v>
      </c>
      <c r="AT659">
        <v>2.1746335052953029E-2</v>
      </c>
      <c r="AU659">
        <v>8.7677885043694934E-2</v>
      </c>
      <c r="AV659">
        <v>3.2037439610004839E-2</v>
      </c>
      <c r="AW659">
        <v>1.7700996980894869E-2</v>
      </c>
      <c r="AX659">
        <v>0.56022311374051337</v>
      </c>
      <c r="AY659">
        <v>0.14038789219777931</v>
      </c>
      <c r="AZ659">
        <v>0.21560045674471309</v>
      </c>
      <c r="BA659">
        <v>3.6928719594407182E-2</v>
      </c>
      <c r="BB659">
        <v>17</v>
      </c>
      <c r="BC659" t="s">
        <v>86</v>
      </c>
    </row>
    <row r="660" spans="1:55" x14ac:dyDescent="0.2">
      <c r="A660">
        <v>65</v>
      </c>
      <c r="B660" t="s">
        <v>1268</v>
      </c>
      <c r="C660" t="s">
        <v>1269</v>
      </c>
      <c r="D660" t="s">
        <v>144</v>
      </c>
      <c r="E660">
        <v>-154.91075000000001</v>
      </c>
      <c r="F660">
        <v>19.464649999999999</v>
      </c>
      <c r="G660" t="s">
        <v>1359</v>
      </c>
      <c r="H660" t="s">
        <v>1391</v>
      </c>
      <c r="I660" t="s">
        <v>1391</v>
      </c>
      <c r="J660" t="s">
        <v>68</v>
      </c>
      <c r="K660">
        <v>12.773235852343751</v>
      </c>
      <c r="L660">
        <v>11.3964370890625</v>
      </c>
      <c r="M660">
        <v>457.31969107281219</v>
      </c>
      <c r="N660">
        <v>7368.8449085965431</v>
      </c>
      <c r="O660" t="s">
        <v>1390</v>
      </c>
      <c r="Q660">
        <v>6.0419999999999998</v>
      </c>
      <c r="R660">
        <v>1324.9870000000001</v>
      </c>
      <c r="S660">
        <v>50</v>
      </c>
      <c r="T660">
        <v>103.044057001328</v>
      </c>
      <c r="U660">
        <v>6.09561494943992E-3</v>
      </c>
      <c r="V660">
        <v>0.116295057059424</v>
      </c>
      <c r="W660">
        <v>2.4135496179020699E-3</v>
      </c>
      <c r="X660">
        <v>0</v>
      </c>
      <c r="Y660">
        <v>8.43247468601519E-2</v>
      </c>
      <c r="Z660">
        <v>0.38927246339920402</v>
      </c>
      <c r="AA660">
        <v>2.2269021811896231E-2</v>
      </c>
      <c r="AB660">
        <v>1.668194914419987</v>
      </c>
      <c r="AC660">
        <v>9.1456168177580163E-2</v>
      </c>
      <c r="AD660">
        <v>1227.111247661853</v>
      </c>
      <c r="AE660">
        <v>50</v>
      </c>
      <c r="AF660">
        <v>84.7407099595072</v>
      </c>
      <c r="AG660">
        <v>2.412158823529412</v>
      </c>
      <c r="AH660">
        <v>13.31596764705882</v>
      </c>
      <c r="AI660">
        <v>0.26384411764705878</v>
      </c>
      <c r="AJ660">
        <v>10.713205882352939</v>
      </c>
      <c r="AK660">
        <v>0.48052647058823528</v>
      </c>
      <c r="AL660">
        <v>2.598767647058823</v>
      </c>
      <c r="AM660">
        <v>50.359617647058833</v>
      </c>
      <c r="AN660">
        <v>6.4328941176470593</v>
      </c>
      <c r="AO660">
        <v>11.028091176470589</v>
      </c>
      <c r="AP660">
        <v>0.1712794117647059</v>
      </c>
      <c r="AQ660">
        <v>97.776352941176455</v>
      </c>
      <c r="AR660">
        <v>3.7831023294769867E-2</v>
      </c>
      <c r="AS660">
        <v>9.7793826398283795E-2</v>
      </c>
      <c r="AT660">
        <v>2.1746335052953029E-2</v>
      </c>
      <c r="AU660">
        <v>8.7677885043694934E-2</v>
      </c>
      <c r="AV660">
        <v>3.2037439610004839E-2</v>
      </c>
      <c r="AW660">
        <v>1.7700996980894869E-2</v>
      </c>
      <c r="AX660">
        <v>0.56022311374051337</v>
      </c>
      <c r="AY660">
        <v>0.14038789219777931</v>
      </c>
      <c r="AZ660">
        <v>0.21560045674471309</v>
      </c>
      <c r="BA660">
        <v>3.6928719594407182E-2</v>
      </c>
      <c r="BB660">
        <v>17</v>
      </c>
      <c r="BC660" t="s">
        <v>86</v>
      </c>
    </row>
    <row r="661" spans="1:55" x14ac:dyDescent="0.2">
      <c r="A661">
        <v>66</v>
      </c>
      <c r="B661" t="s">
        <v>1268</v>
      </c>
      <c r="C661" t="s">
        <v>1269</v>
      </c>
      <c r="D661" t="s">
        <v>144</v>
      </c>
      <c r="E661">
        <v>-154.91075000000001</v>
      </c>
      <c r="F661">
        <v>19.464649999999999</v>
      </c>
      <c r="G661" t="s">
        <v>1359</v>
      </c>
      <c r="H661" t="s">
        <v>1392</v>
      </c>
      <c r="I661" t="s">
        <v>1392</v>
      </c>
      <c r="J661" t="s">
        <v>68</v>
      </c>
      <c r="K661">
        <v>12.7084378015625</v>
      </c>
      <c r="L661">
        <v>12.0615033609375</v>
      </c>
      <c r="M661">
        <v>481.55232340885078</v>
      </c>
      <c r="N661">
        <v>7952.0151450016047</v>
      </c>
      <c r="Q661">
        <v>6.0209999999999999</v>
      </c>
      <c r="R661">
        <v>1324.9870000000001</v>
      </c>
      <c r="S661">
        <v>50</v>
      </c>
      <c r="T661">
        <v>103.071344913361</v>
      </c>
      <c r="U661">
        <v>9.9702288420353505E-3</v>
      </c>
      <c r="V661">
        <v>0.127099664996279</v>
      </c>
      <c r="W661">
        <v>3.9476971907958999E-3</v>
      </c>
      <c r="X661">
        <v>0</v>
      </c>
      <c r="Y661">
        <v>7.5946525693768141E-2</v>
      </c>
      <c r="Z661">
        <v>0.43119612392820361</v>
      </c>
      <c r="AA661">
        <v>2.5575074101654261E-2</v>
      </c>
      <c r="AB661">
        <v>1.839816669105381</v>
      </c>
      <c r="AC661">
        <v>0.10413344088999341</v>
      </c>
      <c r="AD661">
        <v>1247.398884624924</v>
      </c>
      <c r="AE661">
        <v>50</v>
      </c>
      <c r="AF661">
        <v>85.868997003856705</v>
      </c>
      <c r="AG661">
        <v>2.412158823529412</v>
      </c>
      <c r="AH661">
        <v>13.31596764705882</v>
      </c>
      <c r="AI661">
        <v>0.26384411764705878</v>
      </c>
      <c r="AJ661">
        <v>10.713205882352939</v>
      </c>
      <c r="AK661">
        <v>0.48052647058823528</v>
      </c>
      <c r="AL661">
        <v>2.598767647058823</v>
      </c>
      <c r="AM661">
        <v>50.359617647058833</v>
      </c>
      <c r="AN661">
        <v>6.4328941176470593</v>
      </c>
      <c r="AO661">
        <v>11.028091176470589</v>
      </c>
      <c r="AP661">
        <v>0.1712794117647059</v>
      </c>
      <c r="AQ661">
        <v>97.776352941176455</v>
      </c>
      <c r="AR661">
        <v>3.7831023294769867E-2</v>
      </c>
      <c r="AS661">
        <v>9.7793826398283795E-2</v>
      </c>
      <c r="AT661">
        <v>2.1746335052953029E-2</v>
      </c>
      <c r="AU661">
        <v>8.7677885043694934E-2</v>
      </c>
      <c r="AV661">
        <v>3.2037439610004839E-2</v>
      </c>
      <c r="AW661">
        <v>1.7700996980894869E-2</v>
      </c>
      <c r="AX661">
        <v>0.56022311374051337</v>
      </c>
      <c r="AY661">
        <v>0.14038789219777931</v>
      </c>
      <c r="AZ661">
        <v>0.21560045674471309</v>
      </c>
      <c r="BA661">
        <v>3.6928719594407182E-2</v>
      </c>
      <c r="BB661">
        <v>17</v>
      </c>
      <c r="BC661" t="s">
        <v>86</v>
      </c>
    </row>
    <row r="662" spans="1:55" x14ac:dyDescent="0.2">
      <c r="A662">
        <v>67</v>
      </c>
      <c r="B662" t="s">
        <v>1268</v>
      </c>
      <c r="C662" t="s">
        <v>1269</v>
      </c>
      <c r="D662" t="s">
        <v>144</v>
      </c>
      <c r="E662">
        <v>-154.91075000000001</v>
      </c>
      <c r="F662">
        <v>19.464649999999999</v>
      </c>
      <c r="G662" t="s">
        <v>1359</v>
      </c>
      <c r="H662" t="s">
        <v>1393</v>
      </c>
      <c r="I662" t="s">
        <v>1394</v>
      </c>
      <c r="J662" t="s">
        <v>85</v>
      </c>
      <c r="K662">
        <v>8.246031409375</v>
      </c>
      <c r="L662">
        <v>7.76850173828125</v>
      </c>
      <c r="M662">
        <v>201.24825560920189</v>
      </c>
      <c r="N662">
        <v>2148.597906907708</v>
      </c>
      <c r="O662" t="s">
        <v>1395</v>
      </c>
      <c r="Q662">
        <v>12.004</v>
      </c>
      <c r="R662">
        <v>1325.1020000000001</v>
      </c>
      <c r="S662">
        <v>50</v>
      </c>
      <c r="T662">
        <v>102.916432293312</v>
      </c>
      <c r="U662">
        <v>5.73426683572227E-3</v>
      </c>
      <c r="V662">
        <v>6.5762244895008495E-2</v>
      </c>
      <c r="W662">
        <v>2.1148486331087298E-3</v>
      </c>
      <c r="X662">
        <v>0</v>
      </c>
      <c r="Y662">
        <v>0.136271486513273</v>
      </c>
      <c r="Z662">
        <v>0.22586333844607831</v>
      </c>
      <c r="AA662">
        <v>1.9370549560644448E-2</v>
      </c>
      <c r="AB662">
        <v>0.98484930941143078</v>
      </c>
      <c r="AC662">
        <v>8.2279617557263665E-2</v>
      </c>
      <c r="AD662">
        <v>1234.3497230954811</v>
      </c>
      <c r="AE662">
        <v>50</v>
      </c>
      <c r="AF662">
        <v>85.160449172767997</v>
      </c>
      <c r="AG662">
        <v>2.412158823529412</v>
      </c>
      <c r="AH662">
        <v>13.31596764705882</v>
      </c>
      <c r="AI662">
        <v>0.26384411764705878</v>
      </c>
      <c r="AJ662">
        <v>10.713205882352939</v>
      </c>
      <c r="AK662">
        <v>0.48052647058823528</v>
      </c>
      <c r="AL662">
        <v>2.598767647058823</v>
      </c>
      <c r="AM662">
        <v>50.359617647058833</v>
      </c>
      <c r="AN662">
        <v>6.4328941176470593</v>
      </c>
      <c r="AO662">
        <v>11.028091176470589</v>
      </c>
      <c r="AP662">
        <v>0.1712794117647059</v>
      </c>
      <c r="AQ662">
        <v>97.776352941176455</v>
      </c>
      <c r="AR662">
        <v>3.7831023294769867E-2</v>
      </c>
      <c r="AS662">
        <v>9.7793826398283795E-2</v>
      </c>
      <c r="AT662">
        <v>2.1746335052953029E-2</v>
      </c>
      <c r="AU662">
        <v>8.7677885043694934E-2</v>
      </c>
      <c r="AV662">
        <v>3.2037439610004839E-2</v>
      </c>
      <c r="AW662">
        <v>1.7700996980894869E-2</v>
      </c>
      <c r="AX662">
        <v>0.56022311374051337</v>
      </c>
      <c r="AY662">
        <v>0.14038789219777931</v>
      </c>
      <c r="AZ662">
        <v>0.21560045674471309</v>
      </c>
      <c r="BA662">
        <v>3.6928719594407182E-2</v>
      </c>
      <c r="BB662">
        <v>17</v>
      </c>
      <c r="BC662" t="s">
        <v>86</v>
      </c>
    </row>
    <row r="663" spans="1:55" x14ac:dyDescent="0.2">
      <c r="A663">
        <v>68</v>
      </c>
      <c r="B663" t="s">
        <v>1268</v>
      </c>
      <c r="C663" t="s">
        <v>1269</v>
      </c>
      <c r="D663" t="s">
        <v>144</v>
      </c>
      <c r="E663">
        <v>-154.91075000000001</v>
      </c>
      <c r="F663">
        <v>19.464649999999999</v>
      </c>
      <c r="G663" t="s">
        <v>1359</v>
      </c>
      <c r="H663" t="s">
        <v>1393</v>
      </c>
      <c r="I663" t="s">
        <v>1396</v>
      </c>
      <c r="J663" t="s">
        <v>68</v>
      </c>
      <c r="K663">
        <v>8.0204877007812492</v>
      </c>
      <c r="L663">
        <v>7.5617872390624994</v>
      </c>
      <c r="M663">
        <v>190.53514885744639</v>
      </c>
      <c r="N663">
        <v>1979.314050133856</v>
      </c>
      <c r="O663" t="s">
        <v>1397</v>
      </c>
      <c r="Q663">
        <v>11.983000000000001</v>
      </c>
      <c r="R663">
        <v>1325.1020000000001</v>
      </c>
      <c r="S663">
        <v>50</v>
      </c>
      <c r="T663">
        <v>102.89157036652399</v>
      </c>
      <c r="U663">
        <v>8.1291013223611999E-3</v>
      </c>
      <c r="V663">
        <v>5.5918202186184297E-2</v>
      </c>
      <c r="W663">
        <v>3.2187055044055001E-3</v>
      </c>
      <c r="X663">
        <v>2.912066558771317</v>
      </c>
      <c r="Y663">
        <v>0.15069475561577181</v>
      </c>
      <c r="Z663">
        <v>0.19396709306752299</v>
      </c>
      <c r="AA663">
        <v>2.0609654687746091E-2</v>
      </c>
      <c r="AB663">
        <v>0.84869035140026017</v>
      </c>
      <c r="AC663">
        <v>8.8125791275612E-2</v>
      </c>
      <c r="AD663">
        <v>1234.3497230954811</v>
      </c>
      <c r="AE663">
        <v>50</v>
      </c>
      <c r="AF663">
        <v>85.160449172767997</v>
      </c>
      <c r="AG663">
        <v>2.412158823529412</v>
      </c>
      <c r="AH663">
        <v>13.31596764705882</v>
      </c>
      <c r="AI663">
        <v>0.26384411764705878</v>
      </c>
      <c r="AJ663">
        <v>10.713205882352939</v>
      </c>
      <c r="AK663">
        <v>0.48052647058823528</v>
      </c>
      <c r="AL663">
        <v>2.598767647058823</v>
      </c>
      <c r="AM663">
        <v>50.359617647058833</v>
      </c>
      <c r="AN663">
        <v>6.4328941176470593</v>
      </c>
      <c r="AO663">
        <v>11.028091176470589</v>
      </c>
      <c r="AP663">
        <v>0.1712794117647059</v>
      </c>
      <c r="AQ663">
        <v>97.776352941176455</v>
      </c>
      <c r="AR663">
        <v>3.7831023294769867E-2</v>
      </c>
      <c r="AS663">
        <v>9.7793826398283795E-2</v>
      </c>
      <c r="AT663">
        <v>2.1746335052953029E-2</v>
      </c>
      <c r="AU663">
        <v>8.7677885043694934E-2</v>
      </c>
      <c r="AV663">
        <v>3.2037439610004839E-2</v>
      </c>
      <c r="AW663">
        <v>1.7700996980894869E-2</v>
      </c>
      <c r="AX663">
        <v>0.56022311374051337</v>
      </c>
      <c r="AY663">
        <v>0.14038789219777931</v>
      </c>
      <c r="AZ663">
        <v>0.21560045674471309</v>
      </c>
      <c r="BA663">
        <v>3.6928719594407182E-2</v>
      </c>
      <c r="BB663">
        <v>17</v>
      </c>
      <c r="BC663" t="s">
        <v>86</v>
      </c>
    </row>
    <row r="664" spans="1:55" x14ac:dyDescent="0.2">
      <c r="A664">
        <v>69</v>
      </c>
      <c r="B664" t="s">
        <v>1268</v>
      </c>
      <c r="C664" t="s">
        <v>1269</v>
      </c>
      <c r="D664" t="s">
        <v>144</v>
      </c>
      <c r="E664">
        <v>-154.91075000000001</v>
      </c>
      <c r="F664">
        <v>19.464649999999999</v>
      </c>
      <c r="G664" t="s">
        <v>1359</v>
      </c>
      <c r="H664" t="s">
        <v>1398</v>
      </c>
      <c r="I664" t="s">
        <v>1399</v>
      </c>
      <c r="J664" t="s">
        <v>68</v>
      </c>
      <c r="O664" t="s">
        <v>1400</v>
      </c>
      <c r="Q664">
        <v>12.012</v>
      </c>
      <c r="R664">
        <v>1325.0039999999999</v>
      </c>
      <c r="S664">
        <v>50</v>
      </c>
      <c r="T664">
        <v>102.909068774056</v>
      </c>
      <c r="U664">
        <v>5.4059418245965499E-3</v>
      </c>
      <c r="V664">
        <v>6.2846670464324406E-2</v>
      </c>
      <c r="W664">
        <v>2.1404745761266501E-3</v>
      </c>
      <c r="X664">
        <v>0</v>
      </c>
      <c r="Y664">
        <v>0.136816376693914</v>
      </c>
      <c r="Z664">
        <v>0.2245528462807837</v>
      </c>
      <c r="AA664">
        <v>1.9374565643876809E-2</v>
      </c>
      <c r="AB664">
        <v>0.97927337613487242</v>
      </c>
      <c r="AC664">
        <v>8.2318588441833415E-2</v>
      </c>
      <c r="AD664">
        <v>1295.7147965232621</v>
      </c>
      <c r="AE664">
        <v>50</v>
      </c>
      <c r="AF664">
        <v>88.097107009832399</v>
      </c>
      <c r="AG664">
        <v>2.412158823529412</v>
      </c>
      <c r="AH664">
        <v>13.31596764705882</v>
      </c>
      <c r="AI664">
        <v>0.26384411764705878</v>
      </c>
      <c r="AJ664">
        <v>10.713205882352939</v>
      </c>
      <c r="AK664">
        <v>0.48052647058823528</v>
      </c>
      <c r="AL664">
        <v>2.598767647058823</v>
      </c>
      <c r="AM664">
        <v>50.359617647058833</v>
      </c>
      <c r="AN664">
        <v>6.4328941176470593</v>
      </c>
      <c r="AO664">
        <v>11.028091176470589</v>
      </c>
      <c r="AP664">
        <v>0.1712794117647059</v>
      </c>
      <c r="AQ664">
        <v>97.776352941176455</v>
      </c>
      <c r="AR664">
        <v>3.7831023294769867E-2</v>
      </c>
      <c r="AS664">
        <v>9.7793826398283795E-2</v>
      </c>
      <c r="AT664">
        <v>2.1746335052953029E-2</v>
      </c>
      <c r="AU664">
        <v>8.7677885043694934E-2</v>
      </c>
      <c r="AV664">
        <v>3.2037439610004839E-2</v>
      </c>
      <c r="AW664">
        <v>1.7700996980894869E-2</v>
      </c>
      <c r="AX664">
        <v>0.56022311374051337</v>
      </c>
      <c r="AY664">
        <v>0.14038789219777931</v>
      </c>
      <c r="AZ664">
        <v>0.21560045674471309</v>
      </c>
      <c r="BA664">
        <v>3.6928719594407182E-2</v>
      </c>
      <c r="BB664">
        <v>17</v>
      </c>
      <c r="BC664" t="s">
        <v>86</v>
      </c>
    </row>
    <row r="665" spans="1:55" x14ac:dyDescent="0.2">
      <c r="A665">
        <v>70</v>
      </c>
      <c r="B665" t="s">
        <v>1268</v>
      </c>
      <c r="C665" t="s">
        <v>1269</v>
      </c>
      <c r="D665" t="s">
        <v>144</v>
      </c>
      <c r="E665">
        <v>-154.91075000000001</v>
      </c>
      <c r="F665">
        <v>19.464649999999999</v>
      </c>
      <c r="G665" t="s">
        <v>1359</v>
      </c>
      <c r="H665" t="s">
        <v>1398</v>
      </c>
      <c r="I665" t="s">
        <v>1401</v>
      </c>
      <c r="J665" t="s">
        <v>68</v>
      </c>
      <c r="O665" t="s">
        <v>1402</v>
      </c>
      <c r="Q665">
        <v>12.023</v>
      </c>
      <c r="R665">
        <v>1325.0039999999999</v>
      </c>
      <c r="S665">
        <v>100</v>
      </c>
      <c r="T665">
        <v>103.290522277433</v>
      </c>
      <c r="U665">
        <v>6.5606634916469302E-3</v>
      </c>
      <c r="V665">
        <v>0.21937735348183199</v>
      </c>
      <c r="W665">
        <v>2.7059970561822402E-3</v>
      </c>
      <c r="X665">
        <v>0</v>
      </c>
      <c r="Y665">
        <v>4.8059336701331452E-2</v>
      </c>
      <c r="Z665">
        <v>0.80726455061542612</v>
      </c>
      <c r="AA665">
        <v>3.9591994998669972E-2</v>
      </c>
      <c r="AB665">
        <v>3.318096701523146</v>
      </c>
      <c r="AC665">
        <v>0.1501790660481114</v>
      </c>
      <c r="AD665">
        <v>1295.7147965232621</v>
      </c>
      <c r="AE665">
        <v>50</v>
      </c>
      <c r="AF665">
        <v>88.097107009832399</v>
      </c>
      <c r="AG665">
        <v>2.412158823529412</v>
      </c>
      <c r="AH665">
        <v>13.31596764705882</v>
      </c>
      <c r="AI665">
        <v>0.26384411764705878</v>
      </c>
      <c r="AJ665">
        <v>10.713205882352939</v>
      </c>
      <c r="AK665">
        <v>0.48052647058823528</v>
      </c>
      <c r="AL665">
        <v>2.598767647058823</v>
      </c>
      <c r="AM665">
        <v>50.359617647058833</v>
      </c>
      <c r="AN665">
        <v>6.4328941176470593</v>
      </c>
      <c r="AO665">
        <v>11.028091176470589</v>
      </c>
      <c r="AP665">
        <v>0.1712794117647059</v>
      </c>
      <c r="AQ665">
        <v>97.776352941176455</v>
      </c>
      <c r="AR665">
        <v>3.7831023294769867E-2</v>
      </c>
      <c r="AS665">
        <v>9.7793826398283795E-2</v>
      </c>
      <c r="AT665">
        <v>2.1746335052953029E-2</v>
      </c>
      <c r="AU665">
        <v>8.7677885043694934E-2</v>
      </c>
      <c r="AV665">
        <v>3.2037439610004839E-2</v>
      </c>
      <c r="AW665">
        <v>1.7700996980894869E-2</v>
      </c>
      <c r="AX665">
        <v>0.56022311374051337</v>
      </c>
      <c r="AY665">
        <v>0.14038789219777931</v>
      </c>
      <c r="AZ665">
        <v>0.21560045674471309</v>
      </c>
      <c r="BA665">
        <v>3.6928719594407182E-2</v>
      </c>
      <c r="BB665">
        <v>17</v>
      </c>
      <c r="BC665" t="s">
        <v>86</v>
      </c>
    </row>
    <row r="666" spans="1:55" x14ac:dyDescent="0.2">
      <c r="A666">
        <v>71</v>
      </c>
      <c r="B666" t="s">
        <v>1268</v>
      </c>
      <c r="C666" t="s">
        <v>1269</v>
      </c>
      <c r="D666" t="s">
        <v>144</v>
      </c>
      <c r="E666">
        <v>-154.91075000000001</v>
      </c>
      <c r="F666">
        <v>19.464649999999999</v>
      </c>
      <c r="G666" t="s">
        <v>1359</v>
      </c>
      <c r="H666" t="s">
        <v>1403</v>
      </c>
      <c r="I666" t="s">
        <v>1404</v>
      </c>
      <c r="J666" t="s">
        <v>68</v>
      </c>
      <c r="O666" t="s">
        <v>1405</v>
      </c>
      <c r="Q666">
        <v>12.032</v>
      </c>
      <c r="R666">
        <v>1325.0039999999999</v>
      </c>
      <c r="S666">
        <v>50</v>
      </c>
      <c r="T666">
        <v>103.07035427132099</v>
      </c>
      <c r="U666">
        <v>9.9199491285798802E-3</v>
      </c>
      <c r="V666">
        <v>0.126707421762873</v>
      </c>
      <c r="W666">
        <v>3.9277890134883304E-3</v>
      </c>
      <c r="X666">
        <v>0</v>
      </c>
      <c r="Y666">
        <v>7.5013326683921466E-2</v>
      </c>
      <c r="Z666">
        <v>0.43642900773108151</v>
      </c>
      <c r="AA666">
        <v>2.8208394921786891E-2</v>
      </c>
      <c r="AB666">
        <v>1.86113601896689</v>
      </c>
      <c r="AC666">
        <v>0.1147868959373686</v>
      </c>
      <c r="AD666">
        <v>1271.403868470059</v>
      </c>
      <c r="AE666">
        <v>50</v>
      </c>
      <c r="AF666">
        <v>87.041892373569894</v>
      </c>
      <c r="AG666">
        <v>2.412158823529412</v>
      </c>
      <c r="AH666">
        <v>13.31596764705882</v>
      </c>
      <c r="AI666">
        <v>0.26384411764705878</v>
      </c>
      <c r="AJ666">
        <v>10.713205882352939</v>
      </c>
      <c r="AK666">
        <v>0.48052647058823528</v>
      </c>
      <c r="AL666">
        <v>2.598767647058823</v>
      </c>
      <c r="AM666">
        <v>50.359617647058833</v>
      </c>
      <c r="AN666">
        <v>6.4328941176470593</v>
      </c>
      <c r="AO666">
        <v>11.028091176470589</v>
      </c>
      <c r="AP666">
        <v>0.1712794117647059</v>
      </c>
      <c r="AQ666">
        <v>97.776352941176455</v>
      </c>
      <c r="AR666">
        <v>3.7831023294769867E-2</v>
      </c>
      <c r="AS666">
        <v>9.7793826398283795E-2</v>
      </c>
      <c r="AT666">
        <v>2.1746335052953029E-2</v>
      </c>
      <c r="AU666">
        <v>8.7677885043694934E-2</v>
      </c>
      <c r="AV666">
        <v>3.2037439610004839E-2</v>
      </c>
      <c r="AW666">
        <v>1.7700996980894869E-2</v>
      </c>
      <c r="AX666">
        <v>0.56022311374051337</v>
      </c>
      <c r="AY666">
        <v>0.14038789219777931</v>
      </c>
      <c r="AZ666">
        <v>0.21560045674471309</v>
      </c>
      <c r="BA666">
        <v>3.6928719594407182E-2</v>
      </c>
      <c r="BB666">
        <v>17</v>
      </c>
      <c r="BC666" t="s">
        <v>86</v>
      </c>
    </row>
    <row r="667" spans="1:55" x14ac:dyDescent="0.2">
      <c r="A667">
        <v>72</v>
      </c>
      <c r="B667" t="s">
        <v>1268</v>
      </c>
      <c r="C667" t="s">
        <v>1269</v>
      </c>
      <c r="D667" t="s">
        <v>144</v>
      </c>
      <c r="E667">
        <v>-154.91075000000001</v>
      </c>
      <c r="F667">
        <v>19.464649999999999</v>
      </c>
      <c r="G667" t="s">
        <v>1359</v>
      </c>
      <c r="H667" t="s">
        <v>1406</v>
      </c>
      <c r="I667" t="s">
        <v>1407</v>
      </c>
      <c r="J667" t="s">
        <v>68</v>
      </c>
      <c r="K667">
        <v>8.4587317374999991</v>
      </c>
      <c r="L667">
        <v>7.2300095960937503</v>
      </c>
      <c r="M667">
        <v>192.12947598365241</v>
      </c>
      <c r="N667">
        <v>2009.51310084429</v>
      </c>
      <c r="O667" t="s">
        <v>1408</v>
      </c>
      <c r="Q667">
        <v>12.013999999999999</v>
      </c>
      <c r="R667">
        <v>1325.1020000000001</v>
      </c>
      <c r="S667">
        <v>50</v>
      </c>
      <c r="T667">
        <v>102.949048995542</v>
      </c>
      <c r="U667">
        <v>6.93543696380171E-3</v>
      </c>
      <c r="V667">
        <v>7.8676779336355196E-2</v>
      </c>
      <c r="W667">
        <v>2.74607588779929E-3</v>
      </c>
      <c r="X667">
        <v>0</v>
      </c>
      <c r="Y667">
        <v>0.1191538350109308</v>
      </c>
      <c r="Z667">
        <v>0.26905230236259181</v>
      </c>
      <c r="AA667">
        <v>2.3310439166098949E-2</v>
      </c>
      <c r="AB667">
        <v>1.1677434997614009</v>
      </c>
      <c r="AC667">
        <v>9.8143522909298758E-2</v>
      </c>
      <c r="AD667">
        <v>1243.0559294412301</v>
      </c>
      <c r="AE667">
        <v>50</v>
      </c>
      <c r="AF667">
        <v>85.639499457165996</v>
      </c>
      <c r="AG667">
        <v>2.412158823529412</v>
      </c>
      <c r="AH667">
        <v>13.31596764705882</v>
      </c>
      <c r="AI667">
        <v>0.26384411764705878</v>
      </c>
      <c r="AJ667">
        <v>10.713205882352939</v>
      </c>
      <c r="AK667">
        <v>0.48052647058823528</v>
      </c>
      <c r="AL667">
        <v>2.598767647058823</v>
      </c>
      <c r="AM667">
        <v>50.359617647058833</v>
      </c>
      <c r="AN667">
        <v>6.4328941176470593</v>
      </c>
      <c r="AO667">
        <v>11.028091176470589</v>
      </c>
      <c r="AP667">
        <v>0.1712794117647059</v>
      </c>
      <c r="AQ667">
        <v>97.776352941176455</v>
      </c>
      <c r="AR667">
        <v>3.7831023294769867E-2</v>
      </c>
      <c r="AS667">
        <v>9.7793826398283795E-2</v>
      </c>
      <c r="AT667">
        <v>2.1746335052953029E-2</v>
      </c>
      <c r="AU667">
        <v>8.7677885043694934E-2</v>
      </c>
      <c r="AV667">
        <v>3.2037439610004839E-2</v>
      </c>
      <c r="AW667">
        <v>1.7700996980894869E-2</v>
      </c>
      <c r="AX667">
        <v>0.56022311374051337</v>
      </c>
      <c r="AY667">
        <v>0.14038789219777931</v>
      </c>
      <c r="AZ667">
        <v>0.21560045674471309</v>
      </c>
      <c r="BA667">
        <v>3.6928719594407182E-2</v>
      </c>
      <c r="BB667">
        <v>17</v>
      </c>
      <c r="BC667" t="s">
        <v>86</v>
      </c>
    </row>
    <row r="668" spans="1:55" x14ac:dyDescent="0.2">
      <c r="A668">
        <v>73</v>
      </c>
      <c r="B668" t="s">
        <v>1268</v>
      </c>
      <c r="C668" t="s">
        <v>1269</v>
      </c>
      <c r="D668" t="s">
        <v>144</v>
      </c>
      <c r="E668">
        <v>-154.90857099999999</v>
      </c>
      <c r="F668">
        <v>19.471917999999999</v>
      </c>
      <c r="G668" t="s">
        <v>1409</v>
      </c>
      <c r="H668" t="s">
        <v>1410</v>
      </c>
      <c r="I668" t="s">
        <v>1411</v>
      </c>
      <c r="J668" t="s">
        <v>68</v>
      </c>
      <c r="K668">
        <v>8.9802543453125008</v>
      </c>
      <c r="L668">
        <v>8.3702228304687498</v>
      </c>
      <c r="M668">
        <v>236.14324658816901</v>
      </c>
      <c r="N668">
        <v>2731.4653400952729</v>
      </c>
      <c r="Q668">
        <v>9.0105000000000004</v>
      </c>
      <c r="R668">
        <v>1324.9870000000001</v>
      </c>
      <c r="S668">
        <v>50</v>
      </c>
      <c r="T668">
        <v>102.978485065632</v>
      </c>
      <c r="U668">
        <v>7.0698319138856802E-3</v>
      </c>
      <c r="V668">
        <v>9.0331947241132499E-2</v>
      </c>
      <c r="W668">
        <v>4.2645482796223998E-3</v>
      </c>
      <c r="X668">
        <v>0</v>
      </c>
      <c r="Y668">
        <v>0.1097228519239177</v>
      </c>
      <c r="Z668">
        <v>0.29625977698523459</v>
      </c>
      <c r="AA668">
        <v>2.6347621189701471E-2</v>
      </c>
      <c r="AB668">
        <v>1.282104642671783</v>
      </c>
      <c r="AC668">
        <v>0.1103139617825243</v>
      </c>
      <c r="AD668">
        <v>1186.185262784174</v>
      </c>
      <c r="AE668">
        <v>50</v>
      </c>
      <c r="AF668">
        <v>81.836223350990906</v>
      </c>
      <c r="AG668">
        <v>2.3677299999999999</v>
      </c>
      <c r="AH668">
        <v>13.308756000000001</v>
      </c>
      <c r="AI668">
        <v>0.24448800000000001</v>
      </c>
      <c r="AJ668">
        <v>10.79589</v>
      </c>
      <c r="AK668">
        <v>0.47592200000000001</v>
      </c>
      <c r="AL668">
        <v>2.5593219999999999</v>
      </c>
      <c r="AM668">
        <v>50.618228000000002</v>
      </c>
      <c r="AN668">
        <v>6.5893940000000004</v>
      </c>
      <c r="AO668">
        <v>10.933992</v>
      </c>
      <c r="AP668">
        <v>0.18284600000000001</v>
      </c>
      <c r="AQ668">
        <v>98.076568000000009</v>
      </c>
      <c r="AR668">
        <v>5.2300639336436437E-2</v>
      </c>
      <c r="AS668">
        <v>0.12943046662848259</v>
      </c>
      <c r="AT668">
        <v>2.770541568598698E-2</v>
      </c>
      <c r="AU668">
        <v>7.0180845261842303E-2</v>
      </c>
      <c r="AV668">
        <v>2.2529245252929951E-2</v>
      </c>
      <c r="AW668">
        <v>2.0093806467001991E-2</v>
      </c>
      <c r="AX668">
        <v>0.25138096672845722</v>
      </c>
      <c r="AY668">
        <v>8.7160523986875155E-2</v>
      </c>
      <c r="AZ668">
        <v>0.208340688376834</v>
      </c>
      <c r="BA668">
        <v>4.0415856314900307E-2</v>
      </c>
      <c r="BB668">
        <v>25</v>
      </c>
      <c r="BC668" t="s">
        <v>86</v>
      </c>
    </row>
    <row r="669" spans="1:55" x14ac:dyDescent="0.2">
      <c r="A669">
        <v>74</v>
      </c>
      <c r="B669" t="s">
        <v>1268</v>
      </c>
      <c r="C669" t="s">
        <v>1269</v>
      </c>
      <c r="D669" t="s">
        <v>144</v>
      </c>
      <c r="E669">
        <v>-154.90857099999999</v>
      </c>
      <c r="F669">
        <v>19.471917999999999</v>
      </c>
      <c r="G669" t="s">
        <v>1409</v>
      </c>
      <c r="H669" t="s">
        <v>1412</v>
      </c>
      <c r="I669" t="s">
        <v>1413</v>
      </c>
      <c r="J669" t="s">
        <v>68</v>
      </c>
      <c r="K669">
        <v>5.3924182367187514</v>
      </c>
      <c r="L669">
        <v>4.725666634375</v>
      </c>
      <c r="M669">
        <v>80.056485977766428</v>
      </c>
      <c r="N669">
        <v>540.01221306971161</v>
      </c>
      <c r="Q669">
        <v>12.042999999999999</v>
      </c>
      <c r="R669">
        <v>1325.0039999999999</v>
      </c>
      <c r="S669">
        <v>50</v>
      </c>
      <c r="T669">
        <v>103.069108884294</v>
      </c>
      <c r="U669">
        <v>2.6864263105143E-3</v>
      </c>
      <c r="V669">
        <v>0.126214312632939</v>
      </c>
      <c r="W669">
        <v>1.06368647774957E-3</v>
      </c>
      <c r="X669">
        <v>0</v>
      </c>
      <c r="Y669">
        <v>7.5063449890650613E-2</v>
      </c>
      <c r="Z669">
        <v>0.43613555540283572</v>
      </c>
      <c r="AA669">
        <v>2.436286461520085E-2</v>
      </c>
      <c r="AB669">
        <v>1.859941058228189</v>
      </c>
      <c r="AC669">
        <v>9.9138034251859228E-2</v>
      </c>
      <c r="AD669">
        <v>1276.6538757561691</v>
      </c>
      <c r="AE669">
        <v>50</v>
      </c>
      <c r="AF669">
        <v>87.279775979174602</v>
      </c>
      <c r="AG669">
        <v>2.3677299999999999</v>
      </c>
      <c r="AH669">
        <v>13.308756000000001</v>
      </c>
      <c r="AI669">
        <v>0.24448800000000001</v>
      </c>
      <c r="AJ669">
        <v>10.79589</v>
      </c>
      <c r="AK669">
        <v>0.47592200000000001</v>
      </c>
      <c r="AL669">
        <v>2.5593219999999999</v>
      </c>
      <c r="AM669">
        <v>50.618228000000002</v>
      </c>
      <c r="AN669">
        <v>6.5893940000000004</v>
      </c>
      <c r="AO669">
        <v>10.933992</v>
      </c>
      <c r="AP669">
        <v>0.18284600000000001</v>
      </c>
      <c r="AQ669">
        <v>98.076568000000009</v>
      </c>
      <c r="AR669">
        <v>5.2300639336436437E-2</v>
      </c>
      <c r="AS669">
        <v>0.12943046662848259</v>
      </c>
      <c r="AT669">
        <v>2.770541568598698E-2</v>
      </c>
      <c r="AU669">
        <v>7.0180845261842303E-2</v>
      </c>
      <c r="AV669">
        <v>2.2529245252929951E-2</v>
      </c>
      <c r="AW669">
        <v>2.0093806467001991E-2</v>
      </c>
      <c r="AX669">
        <v>0.25138096672845722</v>
      </c>
      <c r="AY669">
        <v>8.7160523986875155E-2</v>
      </c>
      <c r="AZ669">
        <v>0.208340688376834</v>
      </c>
      <c r="BA669">
        <v>4.0415856314900307E-2</v>
      </c>
      <c r="BB669">
        <v>25</v>
      </c>
      <c r="BC669" t="s">
        <v>86</v>
      </c>
    </row>
    <row r="670" spans="1:55" x14ac:dyDescent="0.2">
      <c r="A670">
        <v>75</v>
      </c>
      <c r="B670" t="s">
        <v>1268</v>
      </c>
      <c r="C670" t="s">
        <v>1269</v>
      </c>
      <c r="D670" t="s">
        <v>144</v>
      </c>
      <c r="E670">
        <v>-154.90857099999999</v>
      </c>
      <c r="F670">
        <v>19.471917999999999</v>
      </c>
      <c r="G670" t="s">
        <v>1409</v>
      </c>
      <c r="H670" t="s">
        <v>1412</v>
      </c>
      <c r="I670" t="s">
        <v>1414</v>
      </c>
      <c r="J670" t="s">
        <v>68</v>
      </c>
      <c r="K670">
        <v>11.26422581953125</v>
      </c>
      <c r="L670">
        <v>9.6194595117187518</v>
      </c>
      <c r="M670">
        <v>340.40967279060158</v>
      </c>
      <c r="N670">
        <v>4739.3389935151326</v>
      </c>
      <c r="Q670">
        <v>8.9994999999999994</v>
      </c>
      <c r="R670">
        <v>1325.0039999999999</v>
      </c>
      <c r="S670">
        <v>50</v>
      </c>
      <c r="T670">
        <v>102.94497502368399</v>
      </c>
      <c r="U670">
        <v>7.7487784985943503E-3</v>
      </c>
      <c r="V670">
        <v>7.7063696275295898E-2</v>
      </c>
      <c r="W670">
        <v>6.18454813380957E-3</v>
      </c>
      <c r="X670">
        <v>0</v>
      </c>
      <c r="Y670">
        <v>0.1213018541915112</v>
      </c>
      <c r="Z670">
        <v>0.26324475994944357</v>
      </c>
      <c r="AA670">
        <v>3.0464693852035651E-2</v>
      </c>
      <c r="AB670">
        <v>1.143247509114697</v>
      </c>
      <c r="AC670">
        <v>0.12843884744933781</v>
      </c>
      <c r="AD670">
        <v>1239.595167475296</v>
      </c>
      <c r="AE670">
        <v>50</v>
      </c>
      <c r="AF670">
        <v>85.452228647210006</v>
      </c>
      <c r="AG670">
        <v>2.3677299999999999</v>
      </c>
      <c r="AH670">
        <v>13.308756000000001</v>
      </c>
      <c r="AI670">
        <v>0.24448800000000001</v>
      </c>
      <c r="AJ670">
        <v>10.79589</v>
      </c>
      <c r="AK670">
        <v>0.47592200000000001</v>
      </c>
      <c r="AL670">
        <v>2.5593219999999999</v>
      </c>
      <c r="AM670">
        <v>50.618228000000002</v>
      </c>
      <c r="AN670">
        <v>6.5893940000000004</v>
      </c>
      <c r="AO670">
        <v>10.933992</v>
      </c>
      <c r="AP670">
        <v>0.18284600000000001</v>
      </c>
      <c r="AQ670">
        <v>98.076568000000009</v>
      </c>
      <c r="AR670">
        <v>5.2300639336436437E-2</v>
      </c>
      <c r="AS670">
        <v>0.12943046662848259</v>
      </c>
      <c r="AT670">
        <v>2.770541568598698E-2</v>
      </c>
      <c r="AU670">
        <v>7.0180845261842303E-2</v>
      </c>
      <c r="AV670">
        <v>2.2529245252929951E-2</v>
      </c>
      <c r="AW670">
        <v>2.0093806467001991E-2</v>
      </c>
      <c r="AX670">
        <v>0.25138096672845722</v>
      </c>
      <c r="AY670">
        <v>8.7160523986875155E-2</v>
      </c>
      <c r="AZ670">
        <v>0.208340688376834</v>
      </c>
      <c r="BA670">
        <v>4.0415856314900307E-2</v>
      </c>
      <c r="BB670">
        <v>25</v>
      </c>
      <c r="BC670" t="s">
        <v>86</v>
      </c>
    </row>
    <row r="671" spans="1:55" x14ac:dyDescent="0.2">
      <c r="A671">
        <v>76</v>
      </c>
      <c r="B671" t="s">
        <v>1268</v>
      </c>
      <c r="C671" t="s">
        <v>1269</v>
      </c>
      <c r="D671" t="s">
        <v>144</v>
      </c>
      <c r="E671">
        <v>-154.90857099999999</v>
      </c>
      <c r="F671">
        <v>19.471917999999999</v>
      </c>
      <c r="G671" t="s">
        <v>1409</v>
      </c>
      <c r="H671" t="s">
        <v>1415</v>
      </c>
      <c r="I671" t="s">
        <v>1416</v>
      </c>
      <c r="J671" t="s">
        <v>68</v>
      </c>
      <c r="K671">
        <v>5.8073001062499996</v>
      </c>
      <c r="L671">
        <v>4.3606473007812498</v>
      </c>
      <c r="M671">
        <v>79.556396556668687</v>
      </c>
      <c r="N671">
        <v>539.28350405408605</v>
      </c>
      <c r="Q671">
        <v>19.984000000000002</v>
      </c>
      <c r="R671">
        <v>1325.1020000000001</v>
      </c>
      <c r="S671">
        <v>50</v>
      </c>
      <c r="T671">
        <v>102.858629848436</v>
      </c>
      <c r="U671">
        <v>1.4699367679336399E-2</v>
      </c>
      <c r="V671">
        <v>4.2875453340698699E-2</v>
      </c>
      <c r="W671">
        <v>5.8201926368610596E-3</v>
      </c>
      <c r="X671">
        <v>0</v>
      </c>
      <c r="Y671">
        <v>0.17515925493276249</v>
      </c>
      <c r="Z671">
        <v>0.14657029157634119</v>
      </c>
      <c r="AA671">
        <v>2.710316446181851E-2</v>
      </c>
      <c r="AB671">
        <v>0.64462596621834323</v>
      </c>
      <c r="AC671">
        <v>0.11710433385574059</v>
      </c>
      <c r="AD671">
        <v>1183.542024132144</v>
      </c>
      <c r="AE671">
        <v>50</v>
      </c>
      <c r="AF671">
        <v>81.603564433964394</v>
      </c>
      <c r="AG671">
        <v>2.3677299999999999</v>
      </c>
      <c r="AH671">
        <v>13.308756000000001</v>
      </c>
      <c r="AI671">
        <v>0.24448800000000001</v>
      </c>
      <c r="AJ671">
        <v>10.79589</v>
      </c>
      <c r="AK671">
        <v>0.47592200000000001</v>
      </c>
      <c r="AL671">
        <v>2.5593219999999999</v>
      </c>
      <c r="AM671">
        <v>50.618228000000002</v>
      </c>
      <c r="AN671">
        <v>6.5893940000000004</v>
      </c>
      <c r="AO671">
        <v>10.933992</v>
      </c>
      <c r="AP671">
        <v>0.18284600000000001</v>
      </c>
      <c r="AQ671">
        <v>98.076568000000009</v>
      </c>
      <c r="AR671">
        <v>5.2300639336436437E-2</v>
      </c>
      <c r="AS671">
        <v>0.12943046662848259</v>
      </c>
      <c r="AT671">
        <v>2.770541568598698E-2</v>
      </c>
      <c r="AU671">
        <v>7.0180845261842303E-2</v>
      </c>
      <c r="AV671">
        <v>2.2529245252929951E-2</v>
      </c>
      <c r="AW671">
        <v>2.0093806467001991E-2</v>
      </c>
      <c r="AX671">
        <v>0.25138096672845722</v>
      </c>
      <c r="AY671">
        <v>8.7160523986875155E-2</v>
      </c>
      <c r="AZ671">
        <v>0.208340688376834</v>
      </c>
      <c r="BA671">
        <v>4.0415856314900307E-2</v>
      </c>
      <c r="BB671">
        <v>25</v>
      </c>
      <c r="BC671" t="s">
        <v>86</v>
      </c>
    </row>
    <row r="672" spans="1:55" x14ac:dyDescent="0.2">
      <c r="A672">
        <v>77</v>
      </c>
      <c r="B672" t="s">
        <v>1268</v>
      </c>
      <c r="C672" t="s">
        <v>1269</v>
      </c>
      <c r="D672" t="s">
        <v>144</v>
      </c>
      <c r="E672">
        <v>-154.90857099999999</v>
      </c>
      <c r="F672">
        <v>19.471917999999999</v>
      </c>
      <c r="G672" t="s">
        <v>1409</v>
      </c>
      <c r="H672" t="s">
        <v>1417</v>
      </c>
      <c r="I672" t="s">
        <v>1418</v>
      </c>
      <c r="J672" t="s">
        <v>68</v>
      </c>
      <c r="K672">
        <v>5.72820580390625</v>
      </c>
      <c r="L672">
        <v>5.1565300859375007</v>
      </c>
      <c r="M672">
        <v>92.795313147231226</v>
      </c>
      <c r="N672">
        <v>673.36831694863815</v>
      </c>
      <c r="O672" t="s">
        <v>1419</v>
      </c>
      <c r="Q672">
        <v>30.058</v>
      </c>
      <c r="R672">
        <v>1325.1020000000001</v>
      </c>
      <c r="S672">
        <v>50</v>
      </c>
      <c r="T672">
        <v>102.951427801393</v>
      </c>
      <c r="U672">
        <v>2.1625155039695101E-2</v>
      </c>
      <c r="V672">
        <v>7.9618663953269206E-2</v>
      </c>
      <c r="W672">
        <v>8.5624477786119205E-3</v>
      </c>
      <c r="X672">
        <v>0</v>
      </c>
      <c r="Y672">
        <v>0.1216634711652268</v>
      </c>
      <c r="Z672">
        <v>0.2623251757504248</v>
      </c>
      <c r="AA672">
        <v>3.6268192677183612E-2</v>
      </c>
      <c r="AB672">
        <v>1.1393659765161721</v>
      </c>
      <c r="AC672">
        <v>0.152943707342969</v>
      </c>
      <c r="AD672">
        <v>1184.6037831298081</v>
      </c>
      <c r="AE672">
        <v>50</v>
      </c>
      <c r="AF672">
        <v>81.697942877346094</v>
      </c>
      <c r="AG672">
        <v>2.3677299999999999</v>
      </c>
      <c r="AH672">
        <v>13.308756000000001</v>
      </c>
      <c r="AI672">
        <v>0.24448800000000001</v>
      </c>
      <c r="AJ672">
        <v>10.79589</v>
      </c>
      <c r="AK672">
        <v>0.47592200000000001</v>
      </c>
      <c r="AL672">
        <v>2.5593219999999999</v>
      </c>
      <c r="AM672">
        <v>50.618228000000002</v>
      </c>
      <c r="AN672">
        <v>6.5893940000000004</v>
      </c>
      <c r="AO672">
        <v>10.933992</v>
      </c>
      <c r="AP672">
        <v>0.18284600000000001</v>
      </c>
      <c r="AQ672">
        <v>98.076568000000009</v>
      </c>
      <c r="AR672">
        <v>5.2300639336436437E-2</v>
      </c>
      <c r="AS672">
        <v>0.12943046662848259</v>
      </c>
      <c r="AT672">
        <v>2.770541568598698E-2</v>
      </c>
      <c r="AU672">
        <v>7.0180845261842303E-2</v>
      </c>
      <c r="AV672">
        <v>2.2529245252929951E-2</v>
      </c>
      <c r="AW672">
        <v>2.0093806467001991E-2</v>
      </c>
      <c r="AX672">
        <v>0.25138096672845722</v>
      </c>
      <c r="AY672">
        <v>8.7160523986875155E-2</v>
      </c>
      <c r="AZ672">
        <v>0.208340688376834</v>
      </c>
      <c r="BA672">
        <v>4.0415856314900307E-2</v>
      </c>
      <c r="BB672">
        <v>25</v>
      </c>
      <c r="BC672" t="s">
        <v>86</v>
      </c>
    </row>
    <row r="673" spans="1:55" x14ac:dyDescent="0.2">
      <c r="A673">
        <v>78</v>
      </c>
      <c r="B673" t="s">
        <v>1268</v>
      </c>
      <c r="C673" t="s">
        <v>1269</v>
      </c>
      <c r="D673" t="s">
        <v>144</v>
      </c>
      <c r="E673">
        <v>-154.90857099999999</v>
      </c>
      <c r="F673">
        <v>19.471917999999999</v>
      </c>
      <c r="G673" t="s">
        <v>1409</v>
      </c>
      <c r="H673" t="s">
        <v>1420</v>
      </c>
      <c r="I673" t="s">
        <v>1421</v>
      </c>
      <c r="J673" t="s">
        <v>68</v>
      </c>
      <c r="K673">
        <v>43.497158986718752</v>
      </c>
      <c r="L673">
        <v>39.533552298437499</v>
      </c>
      <c r="M673">
        <v>5402.2739609224982</v>
      </c>
      <c r="N673">
        <v>299036.43302178232</v>
      </c>
      <c r="Q673">
        <v>12.061</v>
      </c>
      <c r="R673">
        <v>1325.0039999999999</v>
      </c>
      <c r="S673">
        <v>50</v>
      </c>
      <c r="T673">
        <v>103.11327477996301</v>
      </c>
      <c r="U673">
        <v>6.3312366207895002E-3</v>
      </c>
      <c r="V673">
        <v>0.14370173293423899</v>
      </c>
      <c r="W673">
        <v>2.5068436660937699E-3</v>
      </c>
      <c r="X673">
        <v>5.493469669521601</v>
      </c>
      <c r="Y673">
        <v>6.8997923539156014E-2</v>
      </c>
      <c r="Z673">
        <v>0.47451887593823122</v>
      </c>
      <c r="AA673">
        <v>2.7308079778601661E-2</v>
      </c>
      <c r="AB673">
        <v>2.0156434627048352</v>
      </c>
      <c r="AC673">
        <v>0.1102779936523291</v>
      </c>
      <c r="AD673">
        <v>1201.196868066465</v>
      </c>
      <c r="AE673">
        <v>50</v>
      </c>
      <c r="AF673">
        <v>83.032361094366806</v>
      </c>
      <c r="AG673">
        <v>2.3677299999999999</v>
      </c>
      <c r="AH673">
        <v>13.308756000000001</v>
      </c>
      <c r="AI673">
        <v>0.24448800000000001</v>
      </c>
      <c r="AJ673">
        <v>10.79589</v>
      </c>
      <c r="AK673">
        <v>0.47592200000000001</v>
      </c>
      <c r="AL673">
        <v>2.5593219999999999</v>
      </c>
      <c r="AM673">
        <v>50.618228000000002</v>
      </c>
      <c r="AN673">
        <v>6.5893940000000004</v>
      </c>
      <c r="AO673">
        <v>10.933992</v>
      </c>
      <c r="AP673">
        <v>0.18284600000000001</v>
      </c>
      <c r="AQ673">
        <v>98.076568000000009</v>
      </c>
      <c r="AR673">
        <v>5.2300639336436437E-2</v>
      </c>
      <c r="AS673">
        <v>0.12943046662848259</v>
      </c>
      <c r="AT673">
        <v>2.770541568598698E-2</v>
      </c>
      <c r="AU673">
        <v>7.0180845261842303E-2</v>
      </c>
      <c r="AV673">
        <v>2.2529245252929951E-2</v>
      </c>
      <c r="AW673">
        <v>2.0093806467001991E-2</v>
      </c>
      <c r="AX673">
        <v>0.25138096672845722</v>
      </c>
      <c r="AY673">
        <v>8.7160523986875155E-2</v>
      </c>
      <c r="AZ673">
        <v>0.208340688376834</v>
      </c>
      <c r="BA673">
        <v>4.0415856314900307E-2</v>
      </c>
      <c r="BB673">
        <v>25</v>
      </c>
      <c r="BC673" t="s">
        <v>86</v>
      </c>
    </row>
    <row r="674" spans="1:55" x14ac:dyDescent="0.2">
      <c r="A674">
        <v>79</v>
      </c>
      <c r="B674" t="s">
        <v>1268</v>
      </c>
      <c r="C674" t="s">
        <v>1269</v>
      </c>
      <c r="D674" t="s">
        <v>144</v>
      </c>
      <c r="E674">
        <v>-154.90857099999999</v>
      </c>
      <c r="F674">
        <v>19.471917999999999</v>
      </c>
      <c r="G674" t="s">
        <v>1409</v>
      </c>
      <c r="H674" t="s">
        <v>1422</v>
      </c>
      <c r="I674" t="s">
        <v>1423</v>
      </c>
      <c r="J674" t="s">
        <v>68</v>
      </c>
      <c r="K674">
        <v>9.3382417828125011</v>
      </c>
      <c r="L674">
        <v>8.4693086390625005</v>
      </c>
      <c r="M674">
        <v>248.4636991738391</v>
      </c>
      <c r="N674">
        <v>2949.6865673624802</v>
      </c>
      <c r="O674" t="s">
        <v>1424</v>
      </c>
      <c r="Q674">
        <v>12.026</v>
      </c>
      <c r="R674">
        <v>1325.0039999999999</v>
      </c>
      <c r="S674">
        <v>50</v>
      </c>
      <c r="T674">
        <v>102.967689042277</v>
      </c>
      <c r="U674">
        <v>3.4177643471427099E-2</v>
      </c>
      <c r="V674">
        <v>8.6057277948682995E-2</v>
      </c>
      <c r="W674">
        <v>1.3532586789917599E-2</v>
      </c>
      <c r="X674">
        <v>0</v>
      </c>
      <c r="Y674">
        <v>0.1082825238601548</v>
      </c>
      <c r="Z674">
        <v>0.30057832159803188</v>
      </c>
      <c r="AA674">
        <v>5.3982198330406322E-2</v>
      </c>
      <c r="AB674">
        <v>1.300196657019532</v>
      </c>
      <c r="AC674">
        <v>0.22586785184995989</v>
      </c>
      <c r="AD674">
        <v>1284.488355949803</v>
      </c>
      <c r="AE674">
        <v>50</v>
      </c>
      <c r="AF674">
        <v>87.624089468490496</v>
      </c>
      <c r="AG674">
        <v>2.3677299999999999</v>
      </c>
      <c r="AH674">
        <v>13.308756000000001</v>
      </c>
      <c r="AI674">
        <v>0.24448800000000001</v>
      </c>
      <c r="AJ674">
        <v>10.79589</v>
      </c>
      <c r="AK674">
        <v>0.47592200000000001</v>
      </c>
      <c r="AL674">
        <v>2.5593219999999999</v>
      </c>
      <c r="AM674">
        <v>50.618228000000002</v>
      </c>
      <c r="AN674">
        <v>6.5893940000000004</v>
      </c>
      <c r="AO674">
        <v>10.933992</v>
      </c>
      <c r="AP674">
        <v>0.18284600000000001</v>
      </c>
      <c r="AQ674">
        <v>98.076568000000009</v>
      </c>
      <c r="AR674">
        <v>5.2300639336436437E-2</v>
      </c>
      <c r="AS674">
        <v>0.12943046662848259</v>
      </c>
      <c r="AT674">
        <v>2.770541568598698E-2</v>
      </c>
      <c r="AU674">
        <v>7.0180845261842303E-2</v>
      </c>
      <c r="AV674">
        <v>2.2529245252929951E-2</v>
      </c>
      <c r="AW674">
        <v>2.0093806467001991E-2</v>
      </c>
      <c r="AX674">
        <v>0.25138096672845722</v>
      </c>
      <c r="AY674">
        <v>8.7160523986875155E-2</v>
      </c>
      <c r="AZ674">
        <v>0.208340688376834</v>
      </c>
      <c r="BA674">
        <v>4.0415856314900307E-2</v>
      </c>
      <c r="BB674">
        <v>25</v>
      </c>
      <c r="BC674" t="s">
        <v>86</v>
      </c>
    </row>
    <row r="675" spans="1:55" x14ac:dyDescent="0.2">
      <c r="A675">
        <v>80</v>
      </c>
      <c r="B675" t="s">
        <v>1268</v>
      </c>
      <c r="C675" t="s">
        <v>1269</v>
      </c>
      <c r="D675" t="s">
        <v>144</v>
      </c>
      <c r="E675">
        <v>-154.90857099999999</v>
      </c>
      <c r="F675">
        <v>19.471917999999999</v>
      </c>
      <c r="G675" t="s">
        <v>1409</v>
      </c>
      <c r="H675" t="s">
        <v>1422</v>
      </c>
      <c r="I675" t="s">
        <v>1425</v>
      </c>
      <c r="J675" t="s">
        <v>68</v>
      </c>
      <c r="K675">
        <v>5.2961219406250004</v>
      </c>
      <c r="L675">
        <v>4.5322604343749999</v>
      </c>
      <c r="M675">
        <v>75.408917438588688</v>
      </c>
      <c r="N675">
        <v>494.09845004750338</v>
      </c>
      <c r="O675" t="s">
        <v>1426</v>
      </c>
      <c r="Q675">
        <v>12.048999999999999</v>
      </c>
      <c r="R675">
        <v>1325.0039999999999</v>
      </c>
      <c r="S675">
        <v>50</v>
      </c>
      <c r="T675">
        <v>103.050120607762</v>
      </c>
      <c r="U675">
        <v>2.62158494914532E-2</v>
      </c>
      <c r="V675">
        <v>0.11869593295389</v>
      </c>
      <c r="W675">
        <v>1.0380126377384599E-2</v>
      </c>
      <c r="X675">
        <v>0</v>
      </c>
      <c r="Y675">
        <v>8.0088788011668632E-2</v>
      </c>
      <c r="Z675">
        <v>0.40934581387914271</v>
      </c>
      <c r="AA675">
        <v>4.6366697668487812E-2</v>
      </c>
      <c r="AB675">
        <v>1.7505514059846889</v>
      </c>
      <c r="AC675">
        <v>0.18945779534459381</v>
      </c>
      <c r="AD675">
        <v>1274.447462264046</v>
      </c>
      <c r="AE675">
        <v>50</v>
      </c>
      <c r="AF675">
        <v>87.180527578710795</v>
      </c>
      <c r="AG675">
        <v>2.3677299999999999</v>
      </c>
      <c r="AH675">
        <v>13.308756000000001</v>
      </c>
      <c r="AI675">
        <v>0.24448800000000001</v>
      </c>
      <c r="AJ675">
        <v>10.79589</v>
      </c>
      <c r="AK675">
        <v>0.47592200000000001</v>
      </c>
      <c r="AL675">
        <v>2.5593219999999999</v>
      </c>
      <c r="AM675">
        <v>50.618228000000002</v>
      </c>
      <c r="AN675">
        <v>6.5893940000000004</v>
      </c>
      <c r="AO675">
        <v>10.933992</v>
      </c>
      <c r="AP675">
        <v>0.18284600000000001</v>
      </c>
      <c r="AQ675">
        <v>98.076568000000009</v>
      </c>
      <c r="AR675">
        <v>5.2300639336436437E-2</v>
      </c>
      <c r="AS675">
        <v>0.12943046662848259</v>
      </c>
      <c r="AT675">
        <v>2.770541568598698E-2</v>
      </c>
      <c r="AU675">
        <v>7.0180845261842303E-2</v>
      </c>
      <c r="AV675">
        <v>2.2529245252929951E-2</v>
      </c>
      <c r="AW675">
        <v>2.0093806467001991E-2</v>
      </c>
      <c r="AX675">
        <v>0.25138096672845722</v>
      </c>
      <c r="AY675">
        <v>8.7160523986875155E-2</v>
      </c>
      <c r="AZ675">
        <v>0.208340688376834</v>
      </c>
      <c r="BA675">
        <v>4.0415856314900307E-2</v>
      </c>
      <c r="BB675">
        <v>25</v>
      </c>
      <c r="BC675" t="s">
        <v>86</v>
      </c>
    </row>
    <row r="676" spans="1:55" x14ac:dyDescent="0.2">
      <c r="A676">
        <v>81</v>
      </c>
      <c r="B676" t="s">
        <v>1268</v>
      </c>
      <c r="C676" t="s">
        <v>1269</v>
      </c>
      <c r="D676" t="s">
        <v>144</v>
      </c>
      <c r="E676">
        <v>-154.90857099999999</v>
      </c>
      <c r="F676">
        <v>19.471917999999999</v>
      </c>
      <c r="G676" t="s">
        <v>1409</v>
      </c>
      <c r="H676" t="s">
        <v>1422</v>
      </c>
      <c r="I676" t="s">
        <v>1427</v>
      </c>
      <c r="J676" t="s">
        <v>68</v>
      </c>
      <c r="K676">
        <v>4.4465410398437504</v>
      </c>
      <c r="L676">
        <v>3.9447193640624998</v>
      </c>
      <c r="M676">
        <v>55.10465525674099</v>
      </c>
      <c r="N676">
        <v>308.26500781786342</v>
      </c>
      <c r="O676" t="s">
        <v>1428</v>
      </c>
      <c r="Q676">
        <v>12.045999999999999</v>
      </c>
      <c r="R676">
        <v>1325.0039999999999</v>
      </c>
      <c r="S676">
        <v>50</v>
      </c>
      <c r="T676">
        <v>103.008086568255</v>
      </c>
      <c r="U676">
        <v>4.8683818971121798E-2</v>
      </c>
      <c r="V676">
        <v>0.10205261790944301</v>
      </c>
      <c r="W676">
        <v>1.92762852723369E-2</v>
      </c>
      <c r="X676">
        <v>0</v>
      </c>
      <c r="Y676">
        <v>9.2834920711442503E-2</v>
      </c>
      <c r="Z676">
        <v>0.3537004563743229</v>
      </c>
      <c r="AA676">
        <v>7.7103512159332421E-2</v>
      </c>
      <c r="AB676">
        <v>1.5214156056594419</v>
      </c>
      <c r="AC676">
        <v>0.31842977636875802</v>
      </c>
      <c r="AD676">
        <v>1280.337734011161</v>
      </c>
      <c r="AE676">
        <v>50</v>
      </c>
      <c r="AF676">
        <v>87.443214488115103</v>
      </c>
      <c r="AG676">
        <v>2.3677299999999999</v>
      </c>
      <c r="AH676">
        <v>13.308756000000001</v>
      </c>
      <c r="AI676">
        <v>0.24448800000000001</v>
      </c>
      <c r="AJ676">
        <v>10.79589</v>
      </c>
      <c r="AK676">
        <v>0.47592200000000001</v>
      </c>
      <c r="AL676">
        <v>2.5593219999999999</v>
      </c>
      <c r="AM676">
        <v>50.618228000000002</v>
      </c>
      <c r="AN676">
        <v>6.5893940000000004</v>
      </c>
      <c r="AO676">
        <v>10.933992</v>
      </c>
      <c r="AP676">
        <v>0.18284600000000001</v>
      </c>
      <c r="AQ676">
        <v>98.076568000000009</v>
      </c>
      <c r="AR676">
        <v>5.2300639336436437E-2</v>
      </c>
      <c r="AS676">
        <v>0.12943046662848259</v>
      </c>
      <c r="AT676">
        <v>2.770541568598698E-2</v>
      </c>
      <c r="AU676">
        <v>7.0180845261842303E-2</v>
      </c>
      <c r="AV676">
        <v>2.2529245252929951E-2</v>
      </c>
      <c r="AW676">
        <v>2.0093806467001991E-2</v>
      </c>
      <c r="AX676">
        <v>0.25138096672845722</v>
      </c>
      <c r="AY676">
        <v>8.7160523986875155E-2</v>
      </c>
      <c r="AZ676">
        <v>0.208340688376834</v>
      </c>
      <c r="BA676">
        <v>4.0415856314900307E-2</v>
      </c>
      <c r="BB676">
        <v>25</v>
      </c>
      <c r="BC676" t="s">
        <v>86</v>
      </c>
    </row>
    <row r="677" spans="1:55" x14ac:dyDescent="0.2">
      <c r="A677">
        <v>82</v>
      </c>
      <c r="B677" t="s">
        <v>1268</v>
      </c>
      <c r="C677" t="s">
        <v>1269</v>
      </c>
      <c r="D677" t="s">
        <v>144</v>
      </c>
      <c r="E677">
        <v>-154.90857099999999</v>
      </c>
      <c r="F677">
        <v>19.471917999999999</v>
      </c>
      <c r="G677" t="s">
        <v>1409</v>
      </c>
      <c r="H677" t="s">
        <v>1429</v>
      </c>
      <c r="I677" t="s">
        <v>1430</v>
      </c>
      <c r="J677" t="s">
        <v>68</v>
      </c>
      <c r="K677">
        <v>11.40858309140625</v>
      </c>
      <c r="L677">
        <v>10.152779432812499</v>
      </c>
      <c r="M677">
        <v>363.88699438974629</v>
      </c>
      <c r="N677">
        <v>5230.5996025904506</v>
      </c>
      <c r="Q677">
        <v>12.045</v>
      </c>
      <c r="R677">
        <v>1325.0039999999999</v>
      </c>
      <c r="S677">
        <v>50</v>
      </c>
      <c r="T677">
        <v>102.96132307860699</v>
      </c>
      <c r="U677">
        <v>7.1253626454399104E-3</v>
      </c>
      <c r="V677">
        <v>8.3536684159348298E-2</v>
      </c>
      <c r="W677">
        <v>2.8212766772419602E-3</v>
      </c>
      <c r="X677">
        <v>0</v>
      </c>
      <c r="Y677">
        <v>0.1119430136964342</v>
      </c>
      <c r="Z677">
        <v>0.28952776158139509</v>
      </c>
      <c r="AA677">
        <v>2.3461266619558011E-2</v>
      </c>
      <c r="AB677">
        <v>1.253868942140006</v>
      </c>
      <c r="AC677">
        <v>9.8257660061322402E-2</v>
      </c>
      <c r="AD677">
        <v>1269.5879562576081</v>
      </c>
      <c r="AE677">
        <v>50</v>
      </c>
      <c r="AF677">
        <v>86.958196036454794</v>
      </c>
      <c r="AG677">
        <v>2.3677299999999999</v>
      </c>
      <c r="AH677">
        <v>13.308756000000001</v>
      </c>
      <c r="AI677">
        <v>0.24448800000000001</v>
      </c>
      <c r="AJ677">
        <v>10.79589</v>
      </c>
      <c r="AK677">
        <v>0.47592200000000001</v>
      </c>
      <c r="AL677">
        <v>2.5593219999999999</v>
      </c>
      <c r="AM677">
        <v>50.618228000000002</v>
      </c>
      <c r="AN677">
        <v>6.5893940000000004</v>
      </c>
      <c r="AO677">
        <v>10.933992</v>
      </c>
      <c r="AP677">
        <v>0.18284600000000001</v>
      </c>
      <c r="AQ677">
        <v>98.076568000000009</v>
      </c>
      <c r="AR677">
        <v>5.2300639336436437E-2</v>
      </c>
      <c r="AS677">
        <v>0.12943046662848259</v>
      </c>
      <c r="AT677">
        <v>2.770541568598698E-2</v>
      </c>
      <c r="AU677">
        <v>7.0180845261842303E-2</v>
      </c>
      <c r="AV677">
        <v>2.2529245252929951E-2</v>
      </c>
      <c r="AW677">
        <v>2.0093806467001991E-2</v>
      </c>
      <c r="AX677">
        <v>0.25138096672845722</v>
      </c>
      <c r="AY677">
        <v>8.7160523986875155E-2</v>
      </c>
      <c r="AZ677">
        <v>0.208340688376834</v>
      </c>
      <c r="BA677">
        <v>4.0415856314900307E-2</v>
      </c>
      <c r="BB677">
        <v>25</v>
      </c>
      <c r="BC677" t="s">
        <v>86</v>
      </c>
    </row>
    <row r="678" spans="1:55" x14ac:dyDescent="0.2">
      <c r="A678">
        <v>83</v>
      </c>
      <c r="B678" t="s">
        <v>1268</v>
      </c>
      <c r="C678" t="s">
        <v>1269</v>
      </c>
      <c r="D678" t="s">
        <v>144</v>
      </c>
      <c r="E678">
        <v>-154.90857099999999</v>
      </c>
      <c r="F678">
        <v>19.471917999999999</v>
      </c>
      <c r="G678" t="s">
        <v>1409</v>
      </c>
      <c r="H678" t="s">
        <v>1429</v>
      </c>
      <c r="I678" t="s">
        <v>1431</v>
      </c>
      <c r="J678" t="s">
        <v>68</v>
      </c>
      <c r="K678">
        <v>12.581805557031251</v>
      </c>
      <c r="L678">
        <v>10.576262299218749</v>
      </c>
      <c r="M678">
        <v>418.04694590006369</v>
      </c>
      <c r="N678">
        <v>6454.1063601678316</v>
      </c>
      <c r="Q678">
        <v>12.028</v>
      </c>
      <c r="R678">
        <v>1325.0039999999999</v>
      </c>
      <c r="S678">
        <v>50</v>
      </c>
      <c r="T678">
        <v>102.96483289356399</v>
      </c>
      <c r="U678">
        <v>1.67868871824031E-2</v>
      </c>
      <c r="V678">
        <v>8.4926390139372601E-2</v>
      </c>
      <c r="W678">
        <v>6.6467428603829096E-3</v>
      </c>
      <c r="X678">
        <v>0</v>
      </c>
      <c r="Y678">
        <v>0.1099457402027666</v>
      </c>
      <c r="Z678">
        <v>0.29549796336379308</v>
      </c>
      <c r="AA678">
        <v>3.3149874258753417E-2</v>
      </c>
      <c r="AB678">
        <v>1.278911415687618</v>
      </c>
      <c r="AC678">
        <v>0.13866103320796011</v>
      </c>
      <c r="AD678">
        <v>1277.2314975872889</v>
      </c>
      <c r="AE678">
        <v>50</v>
      </c>
      <c r="AF678">
        <v>87.305588350799994</v>
      </c>
      <c r="AG678">
        <v>2.3677299999999999</v>
      </c>
      <c r="AH678">
        <v>13.308756000000001</v>
      </c>
      <c r="AI678">
        <v>0.24448800000000001</v>
      </c>
      <c r="AJ678">
        <v>10.79589</v>
      </c>
      <c r="AK678">
        <v>0.47592200000000001</v>
      </c>
      <c r="AL678">
        <v>2.5593219999999999</v>
      </c>
      <c r="AM678">
        <v>50.618228000000002</v>
      </c>
      <c r="AN678">
        <v>6.5893940000000004</v>
      </c>
      <c r="AO678">
        <v>10.933992</v>
      </c>
      <c r="AP678">
        <v>0.18284600000000001</v>
      </c>
      <c r="AQ678">
        <v>98.076568000000009</v>
      </c>
      <c r="AR678">
        <v>5.2300639336436437E-2</v>
      </c>
      <c r="AS678">
        <v>0.12943046662848259</v>
      </c>
      <c r="AT678">
        <v>2.770541568598698E-2</v>
      </c>
      <c r="AU678">
        <v>7.0180845261842303E-2</v>
      </c>
      <c r="AV678">
        <v>2.2529245252929951E-2</v>
      </c>
      <c r="AW678">
        <v>2.0093806467001991E-2</v>
      </c>
      <c r="AX678">
        <v>0.25138096672845722</v>
      </c>
      <c r="AY678">
        <v>8.7160523986875155E-2</v>
      </c>
      <c r="AZ678">
        <v>0.208340688376834</v>
      </c>
      <c r="BA678">
        <v>4.0415856314900307E-2</v>
      </c>
      <c r="BB678">
        <v>25</v>
      </c>
      <c r="BC678" t="s">
        <v>86</v>
      </c>
    </row>
    <row r="679" spans="1:55" x14ac:dyDescent="0.2">
      <c r="A679">
        <v>84</v>
      </c>
      <c r="B679" t="s">
        <v>1268</v>
      </c>
      <c r="C679" t="s">
        <v>1269</v>
      </c>
      <c r="D679" t="s">
        <v>144</v>
      </c>
      <c r="E679">
        <v>-154.90857099999999</v>
      </c>
      <c r="F679">
        <v>19.471917999999999</v>
      </c>
      <c r="G679" t="s">
        <v>1409</v>
      </c>
      <c r="H679" t="s">
        <v>1429</v>
      </c>
      <c r="I679" t="s">
        <v>1432</v>
      </c>
      <c r="J679" t="s">
        <v>68</v>
      </c>
      <c r="K679">
        <v>6.6939001625000003</v>
      </c>
      <c r="L679">
        <v>6.173423621875</v>
      </c>
      <c r="M679">
        <v>129.82405881603671</v>
      </c>
      <c r="N679">
        <v>1113.6587998584589</v>
      </c>
      <c r="Q679">
        <v>12.02</v>
      </c>
      <c r="R679">
        <v>1325.0039999999999</v>
      </c>
      <c r="S679">
        <v>50</v>
      </c>
      <c r="T679">
        <v>102.986453825884</v>
      </c>
      <c r="U679">
        <v>6.6905317186987797E-3</v>
      </c>
      <c r="V679">
        <v>9.3487165938512307E-2</v>
      </c>
      <c r="W679">
        <v>2.6491060224706998E-3</v>
      </c>
      <c r="X679">
        <v>6.7957276171346717</v>
      </c>
      <c r="Y679">
        <v>0.1010048954313387</v>
      </c>
      <c r="Z679">
        <v>0.32415488173473322</v>
      </c>
      <c r="AA679">
        <v>2.3524508445937169E-2</v>
      </c>
      <c r="AB679">
        <v>1.398679840603956</v>
      </c>
      <c r="AC679">
        <v>9.7823932217060539E-2</v>
      </c>
      <c r="AD679">
        <v>1277.2838570745939</v>
      </c>
      <c r="AE679">
        <v>50</v>
      </c>
      <c r="AF679">
        <v>87.307924705257705</v>
      </c>
      <c r="AG679">
        <v>2.3677299999999999</v>
      </c>
      <c r="AH679">
        <v>13.308756000000001</v>
      </c>
      <c r="AI679">
        <v>0.24448800000000001</v>
      </c>
      <c r="AJ679">
        <v>10.79589</v>
      </c>
      <c r="AK679">
        <v>0.47592200000000001</v>
      </c>
      <c r="AL679">
        <v>2.5593219999999999</v>
      </c>
      <c r="AM679">
        <v>50.618228000000002</v>
      </c>
      <c r="AN679">
        <v>6.5893940000000004</v>
      </c>
      <c r="AO679">
        <v>10.933992</v>
      </c>
      <c r="AP679">
        <v>0.18284600000000001</v>
      </c>
      <c r="AQ679">
        <v>98.076568000000009</v>
      </c>
      <c r="AR679">
        <v>5.2300639336436437E-2</v>
      </c>
      <c r="AS679">
        <v>0.12943046662848259</v>
      </c>
      <c r="AT679">
        <v>2.770541568598698E-2</v>
      </c>
      <c r="AU679">
        <v>7.0180845261842303E-2</v>
      </c>
      <c r="AV679">
        <v>2.2529245252929951E-2</v>
      </c>
      <c r="AW679">
        <v>2.0093806467001991E-2</v>
      </c>
      <c r="AX679">
        <v>0.25138096672845722</v>
      </c>
      <c r="AY679">
        <v>8.7160523986875155E-2</v>
      </c>
      <c r="AZ679">
        <v>0.208340688376834</v>
      </c>
      <c r="BA679">
        <v>4.0415856314900307E-2</v>
      </c>
      <c r="BB679">
        <v>25</v>
      </c>
      <c r="BC679" t="s">
        <v>86</v>
      </c>
    </row>
    <row r="680" spans="1:55" x14ac:dyDescent="0.2">
      <c r="A680">
        <v>85</v>
      </c>
      <c r="B680" t="s">
        <v>1268</v>
      </c>
      <c r="C680" t="s">
        <v>1269</v>
      </c>
      <c r="D680" t="s">
        <v>144</v>
      </c>
      <c r="E680">
        <v>-154.90857099999999</v>
      </c>
      <c r="F680">
        <v>19.471917999999999</v>
      </c>
      <c r="G680" t="s">
        <v>1409</v>
      </c>
      <c r="H680" t="s">
        <v>1429</v>
      </c>
      <c r="I680" t="s">
        <v>1433</v>
      </c>
      <c r="J680" t="s">
        <v>68</v>
      </c>
      <c r="K680">
        <v>5.1799503679687504</v>
      </c>
      <c r="L680">
        <v>4.4869889710937514</v>
      </c>
      <c r="M680">
        <v>73.018090799946904</v>
      </c>
      <c r="N680">
        <v>470.57430294482953</v>
      </c>
      <c r="Q680">
        <v>12.028</v>
      </c>
      <c r="R680">
        <v>1325.0039999999999</v>
      </c>
      <c r="S680">
        <v>50</v>
      </c>
      <c r="T680">
        <v>102.953971082482</v>
      </c>
      <c r="U680">
        <v>5.34973312374795E-3</v>
      </c>
      <c r="V680">
        <v>8.0625672295035103E-2</v>
      </c>
      <c r="W680">
        <v>2.1182188251387402E-3</v>
      </c>
      <c r="X680">
        <v>0</v>
      </c>
      <c r="Y680">
        <v>0.1148648101857649</v>
      </c>
      <c r="Z680">
        <v>0.28102161388505542</v>
      </c>
      <c r="AA680">
        <v>2.2149967591655599E-2</v>
      </c>
      <c r="AB680">
        <v>1.218134874049674</v>
      </c>
      <c r="AC680">
        <v>9.2929260360572197E-2</v>
      </c>
      <c r="AD680">
        <v>1276.358984160421</v>
      </c>
      <c r="AE680">
        <v>50</v>
      </c>
      <c r="AF680">
        <v>87.266571051565407</v>
      </c>
      <c r="AG680">
        <v>2.3677299999999999</v>
      </c>
      <c r="AH680">
        <v>13.308756000000001</v>
      </c>
      <c r="AI680">
        <v>0.24448800000000001</v>
      </c>
      <c r="AJ680">
        <v>10.79589</v>
      </c>
      <c r="AK680">
        <v>0.47592200000000001</v>
      </c>
      <c r="AL680">
        <v>2.5593219999999999</v>
      </c>
      <c r="AM680">
        <v>50.618228000000002</v>
      </c>
      <c r="AN680">
        <v>6.5893940000000004</v>
      </c>
      <c r="AO680">
        <v>10.933992</v>
      </c>
      <c r="AP680">
        <v>0.18284600000000001</v>
      </c>
      <c r="AQ680">
        <v>98.076568000000009</v>
      </c>
      <c r="AR680">
        <v>5.2300639336436437E-2</v>
      </c>
      <c r="AS680">
        <v>0.12943046662848259</v>
      </c>
      <c r="AT680">
        <v>2.770541568598698E-2</v>
      </c>
      <c r="AU680">
        <v>7.0180845261842303E-2</v>
      </c>
      <c r="AV680">
        <v>2.2529245252929951E-2</v>
      </c>
      <c r="AW680">
        <v>2.0093806467001991E-2</v>
      </c>
      <c r="AX680">
        <v>0.25138096672845722</v>
      </c>
      <c r="AY680">
        <v>8.7160523986875155E-2</v>
      </c>
      <c r="AZ680">
        <v>0.208340688376834</v>
      </c>
      <c r="BA680">
        <v>4.0415856314900307E-2</v>
      </c>
      <c r="BB680">
        <v>25</v>
      </c>
      <c r="BC680" t="s">
        <v>86</v>
      </c>
    </row>
    <row r="681" spans="1:55" x14ac:dyDescent="0.2">
      <c r="A681">
        <v>86</v>
      </c>
      <c r="B681" t="s">
        <v>1268</v>
      </c>
      <c r="C681" t="s">
        <v>1269</v>
      </c>
      <c r="D681" t="s">
        <v>144</v>
      </c>
      <c r="E681">
        <v>-154.90857099999999</v>
      </c>
      <c r="F681">
        <v>19.471917999999999</v>
      </c>
      <c r="G681" t="s">
        <v>1409</v>
      </c>
      <c r="H681" t="s">
        <v>1434</v>
      </c>
      <c r="I681" t="s">
        <v>1435</v>
      </c>
      <c r="J681" t="s">
        <v>68</v>
      </c>
      <c r="K681">
        <v>8.7523279281250002</v>
      </c>
      <c r="L681">
        <v>7.2478508531249997</v>
      </c>
      <c r="M681">
        <v>199.28871264797331</v>
      </c>
      <c r="N681">
        <v>2125.7700209684872</v>
      </c>
      <c r="Q681">
        <v>9.0239999999999991</v>
      </c>
      <c r="R681">
        <v>1325.0039999999999</v>
      </c>
      <c r="S681">
        <v>50</v>
      </c>
      <c r="T681">
        <v>103.08026440568101</v>
      </c>
      <c r="U681">
        <v>1.8259616580663599E-3</v>
      </c>
      <c r="V681">
        <v>0.130631324633256</v>
      </c>
      <c r="W681">
        <v>7.4223255029445996E-4</v>
      </c>
      <c r="X681">
        <v>0.2031154252940105</v>
      </c>
      <c r="Y681">
        <v>7.3518828597870067E-2</v>
      </c>
      <c r="Z681">
        <v>0.44519646690169579</v>
      </c>
      <c r="AA681">
        <v>2.3148966473861259E-2</v>
      </c>
      <c r="AB681">
        <v>1.8968051719190651</v>
      </c>
      <c r="AC681">
        <v>9.3938010492858548E-2</v>
      </c>
      <c r="AD681">
        <v>1253.7387803421159</v>
      </c>
      <c r="AE681">
        <v>50</v>
      </c>
      <c r="AF681">
        <v>86.193736669941799</v>
      </c>
      <c r="AG681">
        <v>2.3677299999999999</v>
      </c>
      <c r="AH681">
        <v>13.308756000000001</v>
      </c>
      <c r="AI681">
        <v>0.24448800000000001</v>
      </c>
      <c r="AJ681">
        <v>10.79589</v>
      </c>
      <c r="AK681">
        <v>0.47592200000000001</v>
      </c>
      <c r="AL681">
        <v>2.5593219999999999</v>
      </c>
      <c r="AM681">
        <v>50.618228000000002</v>
      </c>
      <c r="AN681">
        <v>6.5893940000000004</v>
      </c>
      <c r="AO681">
        <v>10.933992</v>
      </c>
      <c r="AP681">
        <v>0.18284600000000001</v>
      </c>
      <c r="AQ681">
        <v>98.076568000000009</v>
      </c>
      <c r="AR681">
        <v>5.2300639336436437E-2</v>
      </c>
      <c r="AS681">
        <v>0.12943046662848259</v>
      </c>
      <c r="AT681">
        <v>2.770541568598698E-2</v>
      </c>
      <c r="AU681">
        <v>7.0180845261842303E-2</v>
      </c>
      <c r="AV681">
        <v>2.2529245252929951E-2</v>
      </c>
      <c r="AW681">
        <v>2.0093806467001991E-2</v>
      </c>
      <c r="AX681">
        <v>0.25138096672845722</v>
      </c>
      <c r="AY681">
        <v>8.7160523986875155E-2</v>
      </c>
      <c r="AZ681">
        <v>0.208340688376834</v>
      </c>
      <c r="BA681">
        <v>4.0415856314900307E-2</v>
      </c>
      <c r="BB681">
        <v>25</v>
      </c>
      <c r="BC681" t="s">
        <v>86</v>
      </c>
    </row>
    <row r="682" spans="1:55" x14ac:dyDescent="0.2">
      <c r="A682">
        <v>87</v>
      </c>
      <c r="B682" t="s">
        <v>1268</v>
      </c>
      <c r="C682" t="s">
        <v>1269</v>
      </c>
      <c r="D682" t="s">
        <v>144</v>
      </c>
      <c r="E682">
        <v>-154.90857099999999</v>
      </c>
      <c r="F682">
        <v>19.471917999999999</v>
      </c>
      <c r="G682" t="s">
        <v>1409</v>
      </c>
      <c r="H682" t="s">
        <v>1434</v>
      </c>
      <c r="I682" t="s">
        <v>1436</v>
      </c>
      <c r="J682" t="s">
        <v>68</v>
      </c>
      <c r="K682">
        <v>12.1640179453125</v>
      </c>
      <c r="L682">
        <v>9.8018820062499987</v>
      </c>
      <c r="M682">
        <v>374.5729359879752</v>
      </c>
      <c r="N682">
        <v>5485.2210909832575</v>
      </c>
      <c r="Q682">
        <v>9.0414999999999992</v>
      </c>
      <c r="R682">
        <v>1325.0039999999999</v>
      </c>
      <c r="S682">
        <v>50</v>
      </c>
      <c r="T682">
        <v>103.04818257529701</v>
      </c>
      <c r="U682">
        <v>3.0020393832427801E-3</v>
      </c>
      <c r="V682">
        <v>0.117928571899216</v>
      </c>
      <c r="W682">
        <v>2.3940558151447902E-3</v>
      </c>
      <c r="X682">
        <v>0</v>
      </c>
      <c r="Y682">
        <v>8.1727693423873538E-2</v>
      </c>
      <c r="Z682">
        <v>0.40135077789496509</v>
      </c>
      <c r="AA682">
        <v>2.4234191637048159E-2</v>
      </c>
      <c r="AB682">
        <v>1.7177899864461861</v>
      </c>
      <c r="AC682">
        <v>9.920471942708918E-2</v>
      </c>
      <c r="AD682">
        <v>1253.3032091768459</v>
      </c>
      <c r="AE682">
        <v>50</v>
      </c>
      <c r="AF682">
        <v>86.171797937100806</v>
      </c>
      <c r="AG682">
        <v>2.3677299999999999</v>
      </c>
      <c r="AH682">
        <v>13.308756000000001</v>
      </c>
      <c r="AI682">
        <v>0.24448800000000001</v>
      </c>
      <c r="AJ682">
        <v>10.79589</v>
      </c>
      <c r="AK682">
        <v>0.47592200000000001</v>
      </c>
      <c r="AL682">
        <v>2.5593219999999999</v>
      </c>
      <c r="AM682">
        <v>50.618228000000002</v>
      </c>
      <c r="AN682">
        <v>6.5893940000000004</v>
      </c>
      <c r="AO682">
        <v>10.933992</v>
      </c>
      <c r="AP682">
        <v>0.18284600000000001</v>
      </c>
      <c r="AQ682">
        <v>98.076568000000009</v>
      </c>
      <c r="AR682">
        <v>5.2300639336436437E-2</v>
      </c>
      <c r="AS682">
        <v>0.12943046662848259</v>
      </c>
      <c r="AT682">
        <v>2.770541568598698E-2</v>
      </c>
      <c r="AU682">
        <v>7.0180845261842303E-2</v>
      </c>
      <c r="AV682">
        <v>2.2529245252929951E-2</v>
      </c>
      <c r="AW682">
        <v>2.0093806467001991E-2</v>
      </c>
      <c r="AX682">
        <v>0.25138096672845722</v>
      </c>
      <c r="AY682">
        <v>8.7160523986875155E-2</v>
      </c>
      <c r="AZ682">
        <v>0.208340688376834</v>
      </c>
      <c r="BA682">
        <v>4.0415856314900307E-2</v>
      </c>
      <c r="BB682">
        <v>25</v>
      </c>
      <c r="BC682" t="s">
        <v>86</v>
      </c>
    </row>
    <row r="683" spans="1:55" x14ac:dyDescent="0.2">
      <c r="A683">
        <v>88</v>
      </c>
      <c r="B683" t="s">
        <v>1268</v>
      </c>
      <c r="C683" t="s">
        <v>1269</v>
      </c>
      <c r="D683" t="s">
        <v>144</v>
      </c>
      <c r="E683">
        <v>-154.90857099999999</v>
      </c>
      <c r="F683">
        <v>19.471917999999999</v>
      </c>
      <c r="G683" t="s">
        <v>1409</v>
      </c>
      <c r="H683" t="s">
        <v>1434</v>
      </c>
      <c r="I683" t="s">
        <v>1437</v>
      </c>
      <c r="J683" t="s">
        <v>68</v>
      </c>
      <c r="K683">
        <v>12.6169650375</v>
      </c>
      <c r="L683">
        <v>10.31811616328125</v>
      </c>
      <c r="M683">
        <v>408.98293309625927</v>
      </c>
      <c r="N683">
        <v>6253.3711868642604</v>
      </c>
      <c r="Q683">
        <v>8.9774999999999991</v>
      </c>
      <c r="R683">
        <v>1325.0039999999999</v>
      </c>
      <c r="S683">
        <v>50</v>
      </c>
      <c r="T683">
        <v>103.04508403633</v>
      </c>
      <c r="U683">
        <v>4.6606014362058201E-3</v>
      </c>
      <c r="V683">
        <v>0.11670171003199301</v>
      </c>
      <c r="W683">
        <v>6.3060523521223598E-4</v>
      </c>
      <c r="X683">
        <v>0</v>
      </c>
      <c r="Y683">
        <v>8.2582883648192329E-2</v>
      </c>
      <c r="Z683">
        <v>0.39728455407788138</v>
      </c>
      <c r="AA683">
        <v>2.2137623181795602E-2</v>
      </c>
      <c r="AB683">
        <v>1.7011072305990109</v>
      </c>
      <c r="AC683">
        <v>9.070268153039808E-2</v>
      </c>
      <c r="AD683">
        <v>1253.7387803421159</v>
      </c>
      <c r="AE683">
        <v>50</v>
      </c>
      <c r="AF683">
        <v>86.193736669941799</v>
      </c>
      <c r="AG683">
        <v>2.3677299999999999</v>
      </c>
      <c r="AH683">
        <v>13.308756000000001</v>
      </c>
      <c r="AI683">
        <v>0.24448800000000001</v>
      </c>
      <c r="AJ683">
        <v>10.79589</v>
      </c>
      <c r="AK683">
        <v>0.47592200000000001</v>
      </c>
      <c r="AL683">
        <v>2.5593219999999999</v>
      </c>
      <c r="AM683">
        <v>50.618228000000002</v>
      </c>
      <c r="AN683">
        <v>6.5893940000000004</v>
      </c>
      <c r="AO683">
        <v>10.933992</v>
      </c>
      <c r="AP683">
        <v>0.18284600000000001</v>
      </c>
      <c r="AQ683">
        <v>98.076568000000009</v>
      </c>
      <c r="AR683">
        <v>5.2300639336436437E-2</v>
      </c>
      <c r="AS683">
        <v>0.12943046662848259</v>
      </c>
      <c r="AT683">
        <v>2.770541568598698E-2</v>
      </c>
      <c r="AU683">
        <v>7.0180845261842303E-2</v>
      </c>
      <c r="AV683">
        <v>2.2529245252929951E-2</v>
      </c>
      <c r="AW683">
        <v>2.0093806467001991E-2</v>
      </c>
      <c r="AX683">
        <v>0.25138096672845722</v>
      </c>
      <c r="AY683">
        <v>8.7160523986875155E-2</v>
      </c>
      <c r="AZ683">
        <v>0.208340688376834</v>
      </c>
      <c r="BA683">
        <v>4.0415856314900307E-2</v>
      </c>
      <c r="BB683">
        <v>25</v>
      </c>
      <c r="BC683" t="s">
        <v>86</v>
      </c>
    </row>
    <row r="684" spans="1:55" x14ac:dyDescent="0.2">
      <c r="A684">
        <v>89</v>
      </c>
      <c r="B684" t="s">
        <v>1268</v>
      </c>
      <c r="C684" t="s">
        <v>1269</v>
      </c>
      <c r="D684" t="s">
        <v>144</v>
      </c>
      <c r="E684">
        <v>-154.90857099999999</v>
      </c>
      <c r="F684">
        <v>19.471917999999999</v>
      </c>
      <c r="G684" t="s">
        <v>1409</v>
      </c>
      <c r="H684" t="s">
        <v>1438</v>
      </c>
      <c r="I684" t="s">
        <v>1439</v>
      </c>
      <c r="J684" t="s">
        <v>68</v>
      </c>
      <c r="K684">
        <v>27.789762788281251</v>
      </c>
      <c r="L684">
        <v>27.789065410156251</v>
      </c>
      <c r="M684">
        <v>2426.099751769505</v>
      </c>
      <c r="N684">
        <v>89893.187530579424</v>
      </c>
      <c r="O684" t="s">
        <v>1440</v>
      </c>
      <c r="Q684">
        <v>7.5190000000000001</v>
      </c>
      <c r="R684">
        <v>1325.0039999999999</v>
      </c>
      <c r="S684">
        <v>50</v>
      </c>
      <c r="T684">
        <v>103.24090595738301</v>
      </c>
      <c r="U684">
        <v>7.1675652100556698E-3</v>
      </c>
      <c r="V684">
        <v>0.198978768034521</v>
      </c>
      <c r="W684">
        <v>3.3320451727783099E-3</v>
      </c>
      <c r="X684">
        <v>0.5259593552057632</v>
      </c>
      <c r="Y684">
        <v>5.0674127190128322E-2</v>
      </c>
      <c r="Z684">
        <v>0.7273692935282311</v>
      </c>
      <c r="AA684">
        <v>3.5658948111562623E-2</v>
      </c>
      <c r="AB684">
        <v>3.0127065722575059</v>
      </c>
      <c r="AC684">
        <v>0.13703690004821939</v>
      </c>
      <c r="AD684">
        <v>1308.6835634347519</v>
      </c>
      <c r="AE684">
        <v>50</v>
      </c>
      <c r="AF684">
        <v>88.616832293529299</v>
      </c>
      <c r="AG684">
        <v>2.3677299999999999</v>
      </c>
      <c r="AH684">
        <v>13.308756000000001</v>
      </c>
      <c r="AI684">
        <v>0.24448800000000001</v>
      </c>
      <c r="AJ684">
        <v>10.79589</v>
      </c>
      <c r="AK684">
        <v>0.47592200000000001</v>
      </c>
      <c r="AL684">
        <v>2.5593219999999999</v>
      </c>
      <c r="AM684">
        <v>50.618228000000002</v>
      </c>
      <c r="AN684">
        <v>6.5893940000000004</v>
      </c>
      <c r="AO684">
        <v>10.933992</v>
      </c>
      <c r="AP684">
        <v>0.18284600000000001</v>
      </c>
      <c r="AQ684">
        <v>98.076568000000009</v>
      </c>
      <c r="AR684">
        <v>5.2300639336436437E-2</v>
      </c>
      <c r="AS684">
        <v>0.12943046662848259</v>
      </c>
      <c r="AT684">
        <v>2.770541568598698E-2</v>
      </c>
      <c r="AU684">
        <v>7.0180845261842303E-2</v>
      </c>
      <c r="AV684">
        <v>2.2529245252929951E-2</v>
      </c>
      <c r="AW684">
        <v>2.0093806467001991E-2</v>
      </c>
      <c r="AX684">
        <v>0.25138096672845722</v>
      </c>
      <c r="AY684">
        <v>8.7160523986875155E-2</v>
      </c>
      <c r="AZ684">
        <v>0.208340688376834</v>
      </c>
      <c r="BA684">
        <v>4.0415856314900307E-2</v>
      </c>
      <c r="BB684">
        <v>25</v>
      </c>
      <c r="BC684" t="s">
        <v>86</v>
      </c>
    </row>
    <row r="685" spans="1:55" x14ac:dyDescent="0.2">
      <c r="A685">
        <v>90</v>
      </c>
      <c r="B685" t="s">
        <v>1268</v>
      </c>
      <c r="C685" t="s">
        <v>1269</v>
      </c>
      <c r="D685" t="s">
        <v>144</v>
      </c>
      <c r="E685">
        <v>-154.90857099999999</v>
      </c>
      <c r="F685">
        <v>19.471917999999999</v>
      </c>
      <c r="G685" t="s">
        <v>1409</v>
      </c>
      <c r="H685" t="s">
        <v>1438</v>
      </c>
      <c r="I685" t="s">
        <v>1441</v>
      </c>
      <c r="J685" t="s">
        <v>68</v>
      </c>
      <c r="K685">
        <v>24.0859294515625</v>
      </c>
      <c r="L685">
        <v>24.08191952734375</v>
      </c>
      <c r="M685">
        <v>1822.234997938132</v>
      </c>
      <c r="N685">
        <v>58515.426789840982</v>
      </c>
      <c r="O685" t="s">
        <v>1442</v>
      </c>
      <c r="Q685">
        <v>12.0495</v>
      </c>
      <c r="R685">
        <v>1325.0039999999999</v>
      </c>
      <c r="S685">
        <v>50</v>
      </c>
      <c r="T685">
        <v>103.05941504178899</v>
      </c>
      <c r="U685">
        <v>7.94804033498046E-3</v>
      </c>
      <c r="V685">
        <v>0.12237605019879499</v>
      </c>
      <c r="W685">
        <v>3.9976174234929501E-3</v>
      </c>
      <c r="X685">
        <v>3.0812249993966399</v>
      </c>
      <c r="Y685">
        <v>7.5945592374826454E-2</v>
      </c>
      <c r="Z685">
        <v>0.43112100120893943</v>
      </c>
      <c r="AA685">
        <v>2.699818984143906E-2</v>
      </c>
      <c r="AB685">
        <v>1.839510446530632</v>
      </c>
      <c r="AC685">
        <v>0.1098940661951549</v>
      </c>
      <c r="AD685">
        <v>1308.6835634347519</v>
      </c>
      <c r="AE685">
        <v>50</v>
      </c>
      <c r="AF685">
        <v>88.616832293529299</v>
      </c>
      <c r="AG685">
        <v>2.3677299999999999</v>
      </c>
      <c r="AH685">
        <v>13.308756000000001</v>
      </c>
      <c r="AI685">
        <v>0.24448800000000001</v>
      </c>
      <c r="AJ685">
        <v>10.79589</v>
      </c>
      <c r="AK685">
        <v>0.47592200000000001</v>
      </c>
      <c r="AL685">
        <v>2.5593219999999999</v>
      </c>
      <c r="AM685">
        <v>50.618228000000002</v>
      </c>
      <c r="AN685">
        <v>6.5893940000000004</v>
      </c>
      <c r="AO685">
        <v>10.933992</v>
      </c>
      <c r="AP685">
        <v>0.18284600000000001</v>
      </c>
      <c r="AQ685">
        <v>98.076568000000009</v>
      </c>
      <c r="AR685">
        <v>5.2300639336436437E-2</v>
      </c>
      <c r="AS685">
        <v>0.12943046662848259</v>
      </c>
      <c r="AT685">
        <v>2.770541568598698E-2</v>
      </c>
      <c r="AU685">
        <v>7.0180845261842303E-2</v>
      </c>
      <c r="AV685">
        <v>2.2529245252929951E-2</v>
      </c>
      <c r="AW685">
        <v>2.0093806467001991E-2</v>
      </c>
      <c r="AX685">
        <v>0.25138096672845722</v>
      </c>
      <c r="AY685">
        <v>8.7160523986875155E-2</v>
      </c>
      <c r="AZ685">
        <v>0.208340688376834</v>
      </c>
      <c r="BA685">
        <v>4.0415856314900307E-2</v>
      </c>
      <c r="BB685">
        <v>25</v>
      </c>
      <c r="BC685" t="s">
        <v>86</v>
      </c>
    </row>
    <row r="686" spans="1:55" x14ac:dyDescent="0.2">
      <c r="A686">
        <v>91</v>
      </c>
      <c r="B686" t="s">
        <v>1268</v>
      </c>
      <c r="C686" t="s">
        <v>1269</v>
      </c>
      <c r="D686" t="s">
        <v>144</v>
      </c>
      <c r="E686">
        <v>-154.90857099999999</v>
      </c>
      <c r="F686">
        <v>19.471917999999999</v>
      </c>
      <c r="G686" t="s">
        <v>1409</v>
      </c>
      <c r="H686" t="s">
        <v>1438</v>
      </c>
      <c r="I686" t="s">
        <v>1443</v>
      </c>
      <c r="J686" t="s">
        <v>68</v>
      </c>
      <c r="K686">
        <v>13.965461871875</v>
      </c>
      <c r="L686">
        <v>13.089090028125</v>
      </c>
      <c r="M686">
        <v>574.26801886942917</v>
      </c>
      <c r="N686">
        <v>10357.709280675441</v>
      </c>
      <c r="O686" t="s">
        <v>1444</v>
      </c>
      <c r="Q686">
        <v>12.045999999999999</v>
      </c>
      <c r="R686">
        <v>1325.0039999999999</v>
      </c>
      <c r="S686">
        <v>50</v>
      </c>
      <c r="T686">
        <v>103.06950269582801</v>
      </c>
      <c r="U686">
        <v>4.5948819262001299E-3</v>
      </c>
      <c r="V686">
        <v>0.12637024172050099</v>
      </c>
      <c r="W686">
        <v>1.8193366230079199E-3</v>
      </c>
      <c r="X686">
        <v>2.0135649273670451</v>
      </c>
      <c r="Y686">
        <v>7.3469366109358059E-2</v>
      </c>
      <c r="Z686">
        <v>0.44541867721930911</v>
      </c>
      <c r="AA686">
        <v>2.3868632847886592E-2</v>
      </c>
      <c r="AB686">
        <v>1.89770838372127</v>
      </c>
      <c r="AC686">
        <v>9.6912212708838194E-2</v>
      </c>
      <c r="AD686">
        <v>1308.6835634347519</v>
      </c>
      <c r="AE686">
        <v>50</v>
      </c>
      <c r="AF686">
        <v>88.616832293529299</v>
      </c>
      <c r="AG686">
        <v>2.3677299999999999</v>
      </c>
      <c r="AH686">
        <v>13.308756000000001</v>
      </c>
      <c r="AI686">
        <v>0.24448800000000001</v>
      </c>
      <c r="AJ686">
        <v>10.79589</v>
      </c>
      <c r="AK686">
        <v>0.47592200000000001</v>
      </c>
      <c r="AL686">
        <v>2.5593219999999999</v>
      </c>
      <c r="AM686">
        <v>50.618228000000002</v>
      </c>
      <c r="AN686">
        <v>6.5893940000000004</v>
      </c>
      <c r="AO686">
        <v>10.933992</v>
      </c>
      <c r="AP686">
        <v>0.18284600000000001</v>
      </c>
      <c r="AQ686">
        <v>98.076568000000009</v>
      </c>
      <c r="AR686">
        <v>5.2300639336436437E-2</v>
      </c>
      <c r="AS686">
        <v>0.12943046662848259</v>
      </c>
      <c r="AT686">
        <v>2.770541568598698E-2</v>
      </c>
      <c r="AU686">
        <v>7.0180845261842303E-2</v>
      </c>
      <c r="AV686">
        <v>2.2529245252929951E-2</v>
      </c>
      <c r="AW686">
        <v>2.0093806467001991E-2</v>
      </c>
      <c r="AX686">
        <v>0.25138096672845722</v>
      </c>
      <c r="AY686">
        <v>8.7160523986875155E-2</v>
      </c>
      <c r="AZ686">
        <v>0.208340688376834</v>
      </c>
      <c r="BA686">
        <v>4.0415856314900307E-2</v>
      </c>
      <c r="BB686">
        <v>25</v>
      </c>
      <c r="BC686" t="s">
        <v>86</v>
      </c>
    </row>
    <row r="687" spans="1:55" x14ac:dyDescent="0.2">
      <c r="A687">
        <v>92</v>
      </c>
      <c r="B687" t="s">
        <v>1268</v>
      </c>
      <c r="C687" t="s">
        <v>1269</v>
      </c>
      <c r="D687" t="s">
        <v>144</v>
      </c>
      <c r="E687">
        <v>-154.90857099999999</v>
      </c>
      <c r="F687">
        <v>19.471917999999999</v>
      </c>
      <c r="G687" t="s">
        <v>1409</v>
      </c>
      <c r="H687" t="s">
        <v>1438</v>
      </c>
      <c r="I687" t="s">
        <v>1445</v>
      </c>
      <c r="J687" t="s">
        <v>68</v>
      </c>
      <c r="K687">
        <v>12.027564292187501</v>
      </c>
      <c r="L687">
        <v>11.2727687015625</v>
      </c>
      <c r="M687">
        <v>425.94954223544408</v>
      </c>
      <c r="N687">
        <v>6616.5107817474855</v>
      </c>
      <c r="O687" t="s">
        <v>1446</v>
      </c>
      <c r="Q687">
        <v>8.3978000000000002</v>
      </c>
      <c r="R687">
        <v>1325.0039999999999</v>
      </c>
      <c r="S687">
        <v>50</v>
      </c>
      <c r="T687">
        <v>103.05473268454</v>
      </c>
      <c r="U687">
        <v>3.9093762375192404E-3</v>
      </c>
      <c r="V687">
        <v>0.120522077852676</v>
      </c>
      <c r="W687">
        <v>1.5725147781416901E-3</v>
      </c>
      <c r="X687">
        <v>4.6809534585387764</v>
      </c>
      <c r="Y687">
        <v>7.7151937996533526E-2</v>
      </c>
      <c r="Z687">
        <v>0.42451864116567178</v>
      </c>
      <c r="AA687">
        <v>2.3151607239249909E-2</v>
      </c>
      <c r="AB687">
        <v>1.8125790625459259</v>
      </c>
      <c r="AC687">
        <v>9.4398479548677333E-2</v>
      </c>
      <c r="AD687">
        <v>1308.6835634347519</v>
      </c>
      <c r="AE687">
        <v>50</v>
      </c>
      <c r="AF687">
        <v>88.616832293529299</v>
      </c>
      <c r="AG687">
        <v>2.3677299999999999</v>
      </c>
      <c r="AH687">
        <v>13.308756000000001</v>
      </c>
      <c r="AI687">
        <v>0.24448800000000001</v>
      </c>
      <c r="AJ687">
        <v>10.79589</v>
      </c>
      <c r="AK687">
        <v>0.47592200000000001</v>
      </c>
      <c r="AL687">
        <v>2.5593219999999999</v>
      </c>
      <c r="AM687">
        <v>50.618228000000002</v>
      </c>
      <c r="AN687">
        <v>6.5893940000000004</v>
      </c>
      <c r="AO687">
        <v>10.933992</v>
      </c>
      <c r="AP687">
        <v>0.18284600000000001</v>
      </c>
      <c r="AQ687">
        <v>98.076568000000009</v>
      </c>
      <c r="AR687">
        <v>5.2300639336436437E-2</v>
      </c>
      <c r="AS687">
        <v>0.12943046662848259</v>
      </c>
      <c r="AT687">
        <v>2.770541568598698E-2</v>
      </c>
      <c r="AU687">
        <v>7.0180845261842303E-2</v>
      </c>
      <c r="AV687">
        <v>2.2529245252929951E-2</v>
      </c>
      <c r="AW687">
        <v>2.0093806467001991E-2</v>
      </c>
      <c r="AX687">
        <v>0.25138096672845722</v>
      </c>
      <c r="AY687">
        <v>8.7160523986875155E-2</v>
      </c>
      <c r="AZ687">
        <v>0.208340688376834</v>
      </c>
      <c r="BA687">
        <v>4.0415856314900307E-2</v>
      </c>
      <c r="BB687">
        <v>25</v>
      </c>
      <c r="BC687" t="s">
        <v>86</v>
      </c>
    </row>
    <row r="688" spans="1:55" x14ac:dyDescent="0.2">
      <c r="A688">
        <v>93</v>
      </c>
      <c r="B688" t="s">
        <v>1268</v>
      </c>
      <c r="C688" t="s">
        <v>1269</v>
      </c>
      <c r="D688" t="s">
        <v>144</v>
      </c>
      <c r="E688">
        <v>-154.90857099999999</v>
      </c>
      <c r="F688">
        <v>19.471917999999999</v>
      </c>
      <c r="G688" t="s">
        <v>1409</v>
      </c>
      <c r="H688" t="s">
        <v>1438</v>
      </c>
      <c r="I688" t="s">
        <v>1447</v>
      </c>
      <c r="J688" t="s">
        <v>68</v>
      </c>
      <c r="K688">
        <v>14.658771957812499</v>
      </c>
      <c r="L688">
        <v>12.925903546875</v>
      </c>
      <c r="M688">
        <v>595.26229208261748</v>
      </c>
      <c r="N688">
        <v>10946.74477818368</v>
      </c>
      <c r="O688" t="s">
        <v>1448</v>
      </c>
      <c r="Q688">
        <v>12.037000000000001</v>
      </c>
      <c r="R688">
        <v>1325.0039999999999</v>
      </c>
      <c r="S688">
        <v>50</v>
      </c>
      <c r="T688">
        <v>103.079270527308</v>
      </c>
      <c r="U688">
        <v>1.49684312134829E-3</v>
      </c>
      <c r="V688">
        <v>0.130237799978736</v>
      </c>
      <c r="W688">
        <v>5.9267279405617003E-4</v>
      </c>
      <c r="X688">
        <v>0</v>
      </c>
      <c r="Y688">
        <v>7.1227283612688042E-2</v>
      </c>
      <c r="Z688">
        <v>0.4593630437403049</v>
      </c>
      <c r="AA688">
        <v>2.3504795546262929E-2</v>
      </c>
      <c r="AB688">
        <v>1.9543069548510099</v>
      </c>
      <c r="AC688">
        <v>9.5181644536786805E-2</v>
      </c>
      <c r="AD688">
        <v>1308.6835634347519</v>
      </c>
      <c r="AE688">
        <v>50</v>
      </c>
      <c r="AF688">
        <v>88.616832293529299</v>
      </c>
      <c r="AG688">
        <v>2.3677299999999999</v>
      </c>
      <c r="AH688">
        <v>13.308756000000001</v>
      </c>
      <c r="AI688">
        <v>0.24448800000000001</v>
      </c>
      <c r="AJ688">
        <v>10.79589</v>
      </c>
      <c r="AK688">
        <v>0.47592200000000001</v>
      </c>
      <c r="AL688">
        <v>2.5593219999999999</v>
      </c>
      <c r="AM688">
        <v>50.618228000000002</v>
      </c>
      <c r="AN688">
        <v>6.5893940000000004</v>
      </c>
      <c r="AO688">
        <v>10.933992</v>
      </c>
      <c r="AP688">
        <v>0.18284600000000001</v>
      </c>
      <c r="AQ688">
        <v>98.076568000000009</v>
      </c>
      <c r="AR688">
        <v>5.2300639336436437E-2</v>
      </c>
      <c r="AS688">
        <v>0.12943046662848259</v>
      </c>
      <c r="AT688">
        <v>2.770541568598698E-2</v>
      </c>
      <c r="AU688">
        <v>7.0180845261842303E-2</v>
      </c>
      <c r="AV688">
        <v>2.2529245252929951E-2</v>
      </c>
      <c r="AW688">
        <v>2.0093806467001991E-2</v>
      </c>
      <c r="AX688">
        <v>0.25138096672845722</v>
      </c>
      <c r="AY688">
        <v>8.7160523986875155E-2</v>
      </c>
      <c r="AZ688">
        <v>0.208340688376834</v>
      </c>
      <c r="BA688">
        <v>4.0415856314900307E-2</v>
      </c>
      <c r="BB688">
        <v>25</v>
      </c>
      <c r="BC688" t="s">
        <v>86</v>
      </c>
    </row>
    <row r="689" spans="1:55" x14ac:dyDescent="0.2">
      <c r="A689">
        <v>94</v>
      </c>
      <c r="B689" t="s">
        <v>1268</v>
      </c>
      <c r="C689" t="s">
        <v>1269</v>
      </c>
      <c r="D689" t="s">
        <v>144</v>
      </c>
      <c r="E689">
        <v>-154.90857099999999</v>
      </c>
      <c r="F689">
        <v>19.471917999999999</v>
      </c>
      <c r="G689" t="s">
        <v>1409</v>
      </c>
      <c r="H689" t="s">
        <v>1438</v>
      </c>
      <c r="I689" t="s">
        <v>1449</v>
      </c>
      <c r="J689" t="s">
        <v>68</v>
      </c>
      <c r="O689" t="s">
        <v>1450</v>
      </c>
      <c r="Q689">
        <v>10.4855</v>
      </c>
      <c r="R689">
        <v>1325.0039999999999</v>
      </c>
      <c r="S689">
        <v>50</v>
      </c>
      <c r="T689">
        <v>103.09247328059701</v>
      </c>
      <c r="U689">
        <v>5.5948955108426103E-3</v>
      </c>
      <c r="V689">
        <v>0.13546541038735899</v>
      </c>
      <c r="W689">
        <v>4.0986633491683598E-3</v>
      </c>
      <c r="X689">
        <v>3.8319630645606768</v>
      </c>
      <c r="Y689">
        <v>6.8431401017294169E-2</v>
      </c>
      <c r="Z689">
        <v>0.47837591930439838</v>
      </c>
      <c r="AA689">
        <v>2.8353213641922261E-2</v>
      </c>
      <c r="AB689">
        <v>2.031223493276102</v>
      </c>
      <c r="AC689">
        <v>0.11432455311012139</v>
      </c>
      <c r="AD689">
        <v>1308.6835634347519</v>
      </c>
      <c r="AE689">
        <v>50</v>
      </c>
      <c r="AF689">
        <v>88.616832293529299</v>
      </c>
      <c r="AG689">
        <v>2.3677299999999999</v>
      </c>
      <c r="AH689">
        <v>13.308756000000001</v>
      </c>
      <c r="AI689">
        <v>0.24448800000000001</v>
      </c>
      <c r="AJ689">
        <v>10.79589</v>
      </c>
      <c r="AK689">
        <v>0.47592200000000001</v>
      </c>
      <c r="AL689">
        <v>2.5593219999999999</v>
      </c>
      <c r="AM689">
        <v>50.618228000000002</v>
      </c>
      <c r="AN689">
        <v>6.5893940000000004</v>
      </c>
      <c r="AO689">
        <v>10.933992</v>
      </c>
      <c r="AP689">
        <v>0.18284600000000001</v>
      </c>
      <c r="AQ689">
        <v>98.076568000000009</v>
      </c>
      <c r="AR689">
        <v>5.2300639336436437E-2</v>
      </c>
      <c r="AS689">
        <v>0.12943046662848259</v>
      </c>
      <c r="AT689">
        <v>2.770541568598698E-2</v>
      </c>
      <c r="AU689">
        <v>7.0180845261842303E-2</v>
      </c>
      <c r="AV689">
        <v>2.2529245252929951E-2</v>
      </c>
      <c r="AW689">
        <v>2.0093806467001991E-2</v>
      </c>
      <c r="AX689">
        <v>0.25138096672845722</v>
      </c>
      <c r="AY689">
        <v>8.7160523986875155E-2</v>
      </c>
      <c r="AZ689">
        <v>0.208340688376834</v>
      </c>
      <c r="BA689">
        <v>4.0415856314900307E-2</v>
      </c>
      <c r="BB689">
        <v>25</v>
      </c>
      <c r="BC689" t="s">
        <v>86</v>
      </c>
    </row>
    <row r="690" spans="1:55" x14ac:dyDescent="0.2">
      <c r="A690">
        <v>95</v>
      </c>
      <c r="B690" t="s">
        <v>1268</v>
      </c>
      <c r="C690" t="s">
        <v>1269</v>
      </c>
      <c r="D690" t="s">
        <v>144</v>
      </c>
      <c r="E690">
        <v>-154.90857099999999</v>
      </c>
      <c r="F690">
        <v>19.471917999999999</v>
      </c>
      <c r="G690" t="s">
        <v>1409</v>
      </c>
      <c r="H690" t="s">
        <v>1451</v>
      </c>
      <c r="I690" t="s">
        <v>1452</v>
      </c>
      <c r="J690" t="s">
        <v>68</v>
      </c>
      <c r="O690" t="s">
        <v>1453</v>
      </c>
      <c r="Q690">
        <v>12.0326666666666</v>
      </c>
      <c r="R690">
        <v>1325.0039999999999</v>
      </c>
      <c r="S690">
        <v>50</v>
      </c>
      <c r="T690">
        <v>103.06695431774</v>
      </c>
      <c r="U690">
        <v>1.83648076819143E-2</v>
      </c>
      <c r="V690">
        <v>0.12536121522996499</v>
      </c>
      <c r="W690">
        <v>1.5522485177975101E-2</v>
      </c>
      <c r="X690">
        <v>3.6838301810924121</v>
      </c>
      <c r="Y690">
        <v>7.419911067301399E-2</v>
      </c>
      <c r="Z690">
        <v>0.44109696503837781</v>
      </c>
      <c r="AA690">
        <v>6.4473715692384012E-2</v>
      </c>
      <c r="AB690">
        <v>1.880134787372147</v>
      </c>
      <c r="AC690">
        <v>0.26156893665591141</v>
      </c>
      <c r="AD690">
        <v>1306.0856466133</v>
      </c>
      <c r="AE690">
        <v>50</v>
      </c>
      <c r="AF690">
        <v>88.5148512756857</v>
      </c>
      <c r="AG690">
        <v>2.3677299999999999</v>
      </c>
      <c r="AH690">
        <v>13.308756000000001</v>
      </c>
      <c r="AI690">
        <v>0.24448800000000001</v>
      </c>
      <c r="AJ690">
        <v>10.79589</v>
      </c>
      <c r="AK690">
        <v>0.47592200000000001</v>
      </c>
      <c r="AL690">
        <v>2.5593219999999999</v>
      </c>
      <c r="AM690">
        <v>50.618228000000002</v>
      </c>
      <c r="AN690">
        <v>6.5893940000000004</v>
      </c>
      <c r="AO690">
        <v>10.933992</v>
      </c>
      <c r="AP690">
        <v>0.18284600000000001</v>
      </c>
      <c r="AQ690">
        <v>98.076568000000009</v>
      </c>
      <c r="AR690">
        <v>5.2300639336436437E-2</v>
      </c>
      <c r="AS690">
        <v>0.12943046662848259</v>
      </c>
      <c r="AT690">
        <v>2.770541568598698E-2</v>
      </c>
      <c r="AU690">
        <v>7.0180845261842303E-2</v>
      </c>
      <c r="AV690">
        <v>2.2529245252929951E-2</v>
      </c>
      <c r="AW690">
        <v>2.0093806467001991E-2</v>
      </c>
      <c r="AX690">
        <v>0.25138096672845722</v>
      </c>
      <c r="AY690">
        <v>8.7160523986875155E-2</v>
      </c>
      <c r="AZ690">
        <v>0.208340688376834</v>
      </c>
      <c r="BA690">
        <v>4.0415856314900307E-2</v>
      </c>
      <c r="BB690">
        <v>25</v>
      </c>
      <c r="BC690" t="s">
        <v>86</v>
      </c>
    </row>
    <row r="691" spans="1:55" x14ac:dyDescent="0.2">
      <c r="A691">
        <v>96</v>
      </c>
      <c r="B691" t="s">
        <v>1268</v>
      </c>
      <c r="C691" t="s">
        <v>1269</v>
      </c>
      <c r="D691" t="s">
        <v>144</v>
      </c>
      <c r="E691">
        <v>-154.90857099999999</v>
      </c>
      <c r="F691">
        <v>19.471917999999999</v>
      </c>
      <c r="G691" t="s">
        <v>1409</v>
      </c>
      <c r="H691" t="s">
        <v>1451</v>
      </c>
      <c r="I691" t="s">
        <v>1454</v>
      </c>
      <c r="J691" t="s">
        <v>68</v>
      </c>
      <c r="K691">
        <v>17.575323506250001</v>
      </c>
      <c r="L691">
        <v>14.88233976171875</v>
      </c>
      <c r="M691">
        <v>821.72105610037477</v>
      </c>
      <c r="N691">
        <v>17780.763559403738</v>
      </c>
      <c r="O691" t="s">
        <v>1455</v>
      </c>
      <c r="Q691">
        <v>12.055</v>
      </c>
      <c r="R691">
        <v>1319.9739999999999</v>
      </c>
      <c r="S691">
        <v>50</v>
      </c>
      <c r="T691">
        <v>103.039063224809</v>
      </c>
      <c r="U691">
        <v>1.70139778151045E-3</v>
      </c>
      <c r="V691">
        <v>0.114317778719446</v>
      </c>
      <c r="W691">
        <v>6.7366590566208997E-4</v>
      </c>
      <c r="X691">
        <v>1.0783913044489779</v>
      </c>
      <c r="Y691">
        <v>8.1591305703700878E-2</v>
      </c>
      <c r="Z691">
        <v>0.40194227006996402</v>
      </c>
      <c r="AA691">
        <v>2.21945397998153E-2</v>
      </c>
      <c r="AB691">
        <v>1.720215585659234</v>
      </c>
      <c r="AC691">
        <v>9.0916534981515654E-2</v>
      </c>
      <c r="AD691">
        <v>1306.0856466133021</v>
      </c>
      <c r="AE691">
        <v>50</v>
      </c>
      <c r="AF691">
        <v>88.5148512756858</v>
      </c>
      <c r="AG691">
        <v>2.3677299999999999</v>
      </c>
      <c r="AH691">
        <v>13.308756000000001</v>
      </c>
      <c r="AI691">
        <v>0.24448800000000001</v>
      </c>
      <c r="AJ691">
        <v>10.79589</v>
      </c>
      <c r="AK691">
        <v>0.47592200000000001</v>
      </c>
      <c r="AL691">
        <v>2.5593219999999999</v>
      </c>
      <c r="AM691">
        <v>50.618228000000002</v>
      </c>
      <c r="AN691">
        <v>6.5893940000000004</v>
      </c>
      <c r="AO691">
        <v>10.933992</v>
      </c>
      <c r="AP691">
        <v>0.18284600000000001</v>
      </c>
      <c r="AQ691">
        <v>98.076568000000009</v>
      </c>
      <c r="AR691">
        <v>5.2300639336436437E-2</v>
      </c>
      <c r="AS691">
        <v>0.12943046662848259</v>
      </c>
      <c r="AT691">
        <v>2.770541568598698E-2</v>
      </c>
      <c r="AU691">
        <v>7.0180845261842303E-2</v>
      </c>
      <c r="AV691">
        <v>2.2529245252929951E-2</v>
      </c>
      <c r="AW691">
        <v>2.0093806467001991E-2</v>
      </c>
      <c r="AX691">
        <v>0.25138096672845722</v>
      </c>
      <c r="AY691">
        <v>8.7160523986875155E-2</v>
      </c>
      <c r="AZ691">
        <v>0.208340688376834</v>
      </c>
      <c r="BA691">
        <v>4.0415856314900307E-2</v>
      </c>
      <c r="BB691">
        <v>25</v>
      </c>
      <c r="BC691" t="s">
        <v>86</v>
      </c>
    </row>
    <row r="692" spans="1:55" x14ac:dyDescent="0.2">
      <c r="A692">
        <v>97</v>
      </c>
      <c r="B692" t="s">
        <v>1268</v>
      </c>
      <c r="C692" t="s">
        <v>1269</v>
      </c>
      <c r="D692" t="s">
        <v>144</v>
      </c>
      <c r="E692">
        <v>-154.90857099999999</v>
      </c>
      <c r="F692">
        <v>19.471917999999999</v>
      </c>
      <c r="G692" t="s">
        <v>1409</v>
      </c>
      <c r="H692" t="s">
        <v>1456</v>
      </c>
      <c r="I692" t="s">
        <v>1457</v>
      </c>
      <c r="J692" t="s">
        <v>68</v>
      </c>
      <c r="O692" t="s">
        <v>1458</v>
      </c>
      <c r="Q692">
        <v>12.032</v>
      </c>
      <c r="R692">
        <v>1325.0039999999999</v>
      </c>
      <c r="S692">
        <v>50</v>
      </c>
      <c r="T692">
        <v>103.04787419360601</v>
      </c>
      <c r="U692">
        <v>4.5654637839932399E-2</v>
      </c>
      <c r="V692">
        <v>0.11780646863029801</v>
      </c>
      <c r="W692">
        <v>1.8076885536235199E-2</v>
      </c>
      <c r="X692">
        <v>0</v>
      </c>
      <c r="Y692">
        <v>8.1525741452312173E-2</v>
      </c>
      <c r="Z692">
        <v>0.40231569689179603</v>
      </c>
      <c r="AA692">
        <v>7.1464070815730849E-2</v>
      </c>
      <c r="AB692">
        <v>1.7217467887473881</v>
      </c>
      <c r="AC692">
        <v>0.29214818693458322</v>
      </c>
      <c r="AD692">
        <v>1258.774022619994</v>
      </c>
      <c r="AE692">
        <v>50</v>
      </c>
      <c r="AF692">
        <v>86.443568878623793</v>
      </c>
      <c r="AG692">
        <v>2.3677299999999999</v>
      </c>
      <c r="AH692">
        <v>13.308756000000001</v>
      </c>
      <c r="AI692">
        <v>0.24448800000000001</v>
      </c>
      <c r="AJ692">
        <v>10.79589</v>
      </c>
      <c r="AK692">
        <v>0.47592200000000001</v>
      </c>
      <c r="AL692">
        <v>2.5593219999999999</v>
      </c>
      <c r="AM692">
        <v>50.618228000000002</v>
      </c>
      <c r="AN692">
        <v>6.5893940000000004</v>
      </c>
      <c r="AO692">
        <v>10.933992</v>
      </c>
      <c r="AP692">
        <v>0.18284600000000001</v>
      </c>
      <c r="AQ692">
        <v>98.076568000000009</v>
      </c>
      <c r="AR692">
        <v>5.2300639336436437E-2</v>
      </c>
      <c r="AS692">
        <v>0.12943046662848259</v>
      </c>
      <c r="AT692">
        <v>2.770541568598698E-2</v>
      </c>
      <c r="AU692">
        <v>7.0180845261842303E-2</v>
      </c>
      <c r="AV692">
        <v>2.2529245252929951E-2</v>
      </c>
      <c r="AW692">
        <v>2.0093806467001991E-2</v>
      </c>
      <c r="AX692">
        <v>0.25138096672845722</v>
      </c>
      <c r="AY692">
        <v>8.7160523986875155E-2</v>
      </c>
      <c r="AZ692">
        <v>0.208340688376834</v>
      </c>
      <c r="BA692">
        <v>4.0415856314900307E-2</v>
      </c>
      <c r="BB692">
        <v>25</v>
      </c>
      <c r="BC692" t="s">
        <v>86</v>
      </c>
    </row>
    <row r="693" spans="1:55" x14ac:dyDescent="0.2">
      <c r="A693">
        <v>98</v>
      </c>
      <c r="B693" t="s">
        <v>1268</v>
      </c>
      <c r="C693" t="s">
        <v>1269</v>
      </c>
      <c r="D693" t="s">
        <v>144</v>
      </c>
      <c r="E693">
        <v>-154.90857099999999</v>
      </c>
      <c r="F693">
        <v>19.471917999999999</v>
      </c>
      <c r="G693" t="s">
        <v>1409</v>
      </c>
      <c r="H693" t="s">
        <v>1456</v>
      </c>
      <c r="I693" t="s">
        <v>1459</v>
      </c>
      <c r="J693" t="s">
        <v>68</v>
      </c>
      <c r="K693">
        <v>6.0114575523437503</v>
      </c>
      <c r="L693">
        <v>4.76477792421875</v>
      </c>
      <c r="M693">
        <v>89.985455937887821</v>
      </c>
      <c r="N693">
        <v>646.46964176834558</v>
      </c>
      <c r="O693" t="s">
        <v>1460</v>
      </c>
      <c r="Q693">
        <v>12.061</v>
      </c>
      <c r="R693">
        <v>1319.9739999999999</v>
      </c>
      <c r="S693">
        <v>50</v>
      </c>
      <c r="T693">
        <v>103.02675359860601</v>
      </c>
      <c r="U693">
        <v>6.9260277099682703E-3</v>
      </c>
      <c r="V693">
        <v>0.109443800644349</v>
      </c>
      <c r="W693">
        <v>5.7394653650921596E-3</v>
      </c>
      <c r="X693">
        <v>0</v>
      </c>
      <c r="Y693">
        <v>8.7831084935207193E-2</v>
      </c>
      <c r="Z693">
        <v>0.37390252242134969</v>
      </c>
      <c r="AA693">
        <v>2.9966698290797612E-2</v>
      </c>
      <c r="AB693">
        <v>1.6049063393650651</v>
      </c>
      <c r="AC693">
        <v>0.12336373854553639</v>
      </c>
      <c r="AD693">
        <v>1258.774022619994</v>
      </c>
      <c r="AE693">
        <v>50</v>
      </c>
      <c r="AF693">
        <v>86.443568878623793</v>
      </c>
      <c r="AG693">
        <v>2.3677299999999999</v>
      </c>
      <c r="AH693">
        <v>13.308756000000001</v>
      </c>
      <c r="AI693">
        <v>0.24448800000000001</v>
      </c>
      <c r="AJ693">
        <v>10.79589</v>
      </c>
      <c r="AK693">
        <v>0.47592200000000001</v>
      </c>
      <c r="AL693">
        <v>2.5593219999999999</v>
      </c>
      <c r="AM693">
        <v>50.618228000000002</v>
      </c>
      <c r="AN693">
        <v>6.5893940000000004</v>
      </c>
      <c r="AO693">
        <v>10.933992</v>
      </c>
      <c r="AP693">
        <v>0.18284600000000001</v>
      </c>
      <c r="AQ693">
        <v>98.076568000000009</v>
      </c>
      <c r="AR693">
        <v>5.2300639336436437E-2</v>
      </c>
      <c r="AS693">
        <v>0.12943046662848259</v>
      </c>
      <c r="AT693">
        <v>2.770541568598698E-2</v>
      </c>
      <c r="AU693">
        <v>7.0180845261842303E-2</v>
      </c>
      <c r="AV693">
        <v>2.2529245252929951E-2</v>
      </c>
      <c r="AW693">
        <v>2.0093806467001991E-2</v>
      </c>
      <c r="AX693">
        <v>0.25138096672845722</v>
      </c>
      <c r="AY693">
        <v>8.7160523986875155E-2</v>
      </c>
      <c r="AZ693">
        <v>0.208340688376834</v>
      </c>
      <c r="BA693">
        <v>4.0415856314900307E-2</v>
      </c>
      <c r="BB693">
        <v>25</v>
      </c>
      <c r="BC693" t="s">
        <v>86</v>
      </c>
    </row>
    <row r="694" spans="1:55" x14ac:dyDescent="0.2">
      <c r="A694">
        <v>99</v>
      </c>
      <c r="B694" t="s">
        <v>1268</v>
      </c>
      <c r="C694" t="s">
        <v>1269</v>
      </c>
      <c r="D694" t="s">
        <v>144</v>
      </c>
      <c r="E694">
        <v>-154.90857099999999</v>
      </c>
      <c r="F694">
        <v>19.471917999999999</v>
      </c>
      <c r="G694" t="s">
        <v>1409</v>
      </c>
      <c r="H694" t="s">
        <v>1456</v>
      </c>
      <c r="I694" t="s">
        <v>1461</v>
      </c>
      <c r="J694" t="s">
        <v>68</v>
      </c>
      <c r="K694">
        <v>7.1440577421875</v>
      </c>
      <c r="L694">
        <v>6.5766244078125</v>
      </c>
      <c r="M694">
        <v>147.60391227988421</v>
      </c>
      <c r="N694">
        <v>1350.1509096591819</v>
      </c>
      <c r="O694" t="s">
        <v>1462</v>
      </c>
      <c r="Q694">
        <v>12.055</v>
      </c>
      <c r="R694">
        <v>1319.9739999999999</v>
      </c>
      <c r="S694">
        <v>50</v>
      </c>
      <c r="T694">
        <v>103.08951230879499</v>
      </c>
      <c r="U694">
        <v>3.0023001877320602E-3</v>
      </c>
      <c r="V694">
        <v>0.13429301803308299</v>
      </c>
      <c r="W694">
        <v>1.18875626676384E-3</v>
      </c>
      <c r="X694">
        <v>6.0230118370798067</v>
      </c>
      <c r="Y694">
        <v>7.1222354751481642E-2</v>
      </c>
      <c r="Z694">
        <v>0.45946413910630152</v>
      </c>
      <c r="AA694">
        <v>2.4165056846136849E-2</v>
      </c>
      <c r="AB694">
        <v>1.954716710649085</v>
      </c>
      <c r="AC694">
        <v>9.7848644056185236E-2</v>
      </c>
      <c r="AD694">
        <v>1258.774022619994</v>
      </c>
      <c r="AE694">
        <v>50</v>
      </c>
      <c r="AF694">
        <v>86.443568878623793</v>
      </c>
      <c r="AG694">
        <v>2.3677299999999999</v>
      </c>
      <c r="AH694">
        <v>13.308756000000001</v>
      </c>
      <c r="AI694">
        <v>0.24448800000000001</v>
      </c>
      <c r="AJ694">
        <v>10.79589</v>
      </c>
      <c r="AK694">
        <v>0.47592200000000001</v>
      </c>
      <c r="AL694">
        <v>2.5593219999999999</v>
      </c>
      <c r="AM694">
        <v>50.618228000000002</v>
      </c>
      <c r="AN694">
        <v>6.5893940000000004</v>
      </c>
      <c r="AO694">
        <v>10.933992</v>
      </c>
      <c r="AP694">
        <v>0.18284600000000001</v>
      </c>
      <c r="AQ694">
        <v>98.076568000000009</v>
      </c>
      <c r="AR694">
        <v>5.2300639336436437E-2</v>
      </c>
      <c r="AS694">
        <v>0.12943046662848259</v>
      </c>
      <c r="AT694">
        <v>2.770541568598698E-2</v>
      </c>
      <c r="AU694">
        <v>7.0180845261842303E-2</v>
      </c>
      <c r="AV694">
        <v>2.2529245252929951E-2</v>
      </c>
      <c r="AW694">
        <v>2.0093806467001991E-2</v>
      </c>
      <c r="AX694">
        <v>0.25138096672845722</v>
      </c>
      <c r="AY694">
        <v>8.7160523986875155E-2</v>
      </c>
      <c r="AZ694">
        <v>0.208340688376834</v>
      </c>
      <c r="BA694">
        <v>4.0415856314900307E-2</v>
      </c>
      <c r="BB694">
        <v>25</v>
      </c>
      <c r="BC694" t="s">
        <v>86</v>
      </c>
    </row>
    <row r="695" spans="1:55" x14ac:dyDescent="0.2">
      <c r="A695">
        <v>100</v>
      </c>
      <c r="B695" t="s">
        <v>1268</v>
      </c>
      <c r="C695" t="s">
        <v>1269</v>
      </c>
      <c r="D695" t="s">
        <v>144</v>
      </c>
      <c r="E695">
        <v>-154.90857099999999</v>
      </c>
      <c r="F695">
        <v>19.471917999999999</v>
      </c>
      <c r="G695" t="s">
        <v>1409</v>
      </c>
      <c r="H695" t="s">
        <v>1456</v>
      </c>
      <c r="I695" t="s">
        <v>1463</v>
      </c>
      <c r="J695" t="s">
        <v>68</v>
      </c>
      <c r="K695">
        <v>4.8747893234374997</v>
      </c>
      <c r="L695">
        <v>4.8701982507812493</v>
      </c>
      <c r="M695">
        <v>74.585149461001549</v>
      </c>
      <c r="N695">
        <v>484.55423647913892</v>
      </c>
      <c r="O695" t="s">
        <v>1462</v>
      </c>
      <c r="Q695">
        <v>12.058999999999999</v>
      </c>
      <c r="R695">
        <v>1319.9739999999999</v>
      </c>
      <c r="S695">
        <v>50</v>
      </c>
      <c r="T695">
        <v>103.05721501951901</v>
      </c>
      <c r="U695">
        <v>5.5553709500711099E-3</v>
      </c>
      <c r="V695">
        <v>0.121504954673092</v>
      </c>
      <c r="W695">
        <v>2.1996408147622001E-3</v>
      </c>
      <c r="X695">
        <v>1.258355555638927</v>
      </c>
      <c r="Y695">
        <v>7.8976014857041532E-2</v>
      </c>
      <c r="Z695">
        <v>0.41499698464049328</v>
      </c>
      <c r="AA695">
        <v>2.5350945355876928E-2</v>
      </c>
      <c r="AB695">
        <v>1.7736761670010961</v>
      </c>
      <c r="AC695">
        <v>0.1036281285646545</v>
      </c>
      <c r="AD695">
        <v>1258.774022619994</v>
      </c>
      <c r="AE695">
        <v>50</v>
      </c>
      <c r="AF695">
        <v>86.443568878623793</v>
      </c>
      <c r="AG695">
        <v>2.3677299999999999</v>
      </c>
      <c r="AH695">
        <v>13.308756000000001</v>
      </c>
      <c r="AI695">
        <v>0.24448800000000001</v>
      </c>
      <c r="AJ695">
        <v>10.79589</v>
      </c>
      <c r="AK695">
        <v>0.47592200000000001</v>
      </c>
      <c r="AL695">
        <v>2.5593219999999999</v>
      </c>
      <c r="AM695">
        <v>50.618228000000002</v>
      </c>
      <c r="AN695">
        <v>6.5893940000000004</v>
      </c>
      <c r="AO695">
        <v>10.933992</v>
      </c>
      <c r="AP695">
        <v>0.18284600000000001</v>
      </c>
      <c r="AQ695">
        <v>98.076568000000009</v>
      </c>
      <c r="AR695">
        <v>5.2300639336436437E-2</v>
      </c>
      <c r="AS695">
        <v>0.12943046662848259</v>
      </c>
      <c r="AT695">
        <v>2.770541568598698E-2</v>
      </c>
      <c r="AU695">
        <v>7.0180845261842303E-2</v>
      </c>
      <c r="AV695">
        <v>2.2529245252929951E-2</v>
      </c>
      <c r="AW695">
        <v>2.0093806467001991E-2</v>
      </c>
      <c r="AX695">
        <v>0.25138096672845722</v>
      </c>
      <c r="AY695">
        <v>8.7160523986875155E-2</v>
      </c>
      <c r="AZ695">
        <v>0.208340688376834</v>
      </c>
      <c r="BA695">
        <v>4.0415856314900307E-2</v>
      </c>
      <c r="BB695">
        <v>25</v>
      </c>
      <c r="BC695" t="s">
        <v>86</v>
      </c>
    </row>
    <row r="696" spans="1:55" x14ac:dyDescent="0.2">
      <c r="A696">
        <v>101</v>
      </c>
      <c r="B696" t="s">
        <v>1268</v>
      </c>
      <c r="C696" t="s">
        <v>1269</v>
      </c>
      <c r="D696" t="s">
        <v>144</v>
      </c>
      <c r="E696">
        <v>-154.90857099999999</v>
      </c>
      <c r="F696">
        <v>19.471917999999999</v>
      </c>
      <c r="G696" t="s">
        <v>1409</v>
      </c>
      <c r="H696" t="s">
        <v>1464</v>
      </c>
      <c r="I696" t="s">
        <v>1465</v>
      </c>
      <c r="J696" t="s">
        <v>85</v>
      </c>
      <c r="K696">
        <v>5.2108674648437496</v>
      </c>
      <c r="L696">
        <v>4.7533293000000008</v>
      </c>
      <c r="M696">
        <v>77.814011044435574</v>
      </c>
      <c r="N696">
        <v>516.90274473898717</v>
      </c>
      <c r="O696" t="s">
        <v>1466</v>
      </c>
      <c r="Q696">
        <v>12.009</v>
      </c>
      <c r="R696">
        <v>1319.9739999999999</v>
      </c>
      <c r="S696">
        <v>50</v>
      </c>
      <c r="T696">
        <v>102.910084560915</v>
      </c>
      <c r="U696">
        <v>1.8152677367102E-3</v>
      </c>
      <c r="V696">
        <v>6.3248869751028197E-2</v>
      </c>
      <c r="W696">
        <v>7.1875254402797796E-4</v>
      </c>
      <c r="X696">
        <v>0</v>
      </c>
      <c r="Y696">
        <v>0.13627635047399611</v>
      </c>
      <c r="Z696">
        <v>0.22581254367536291</v>
      </c>
      <c r="AA696">
        <v>1.9899012169020621E-2</v>
      </c>
      <c r="AB696">
        <v>0.98463321492061895</v>
      </c>
      <c r="AC696">
        <v>8.456598527344307E-2</v>
      </c>
      <c r="AD696">
        <v>1295.0239539938209</v>
      </c>
      <c r="AE696">
        <v>50</v>
      </c>
      <c r="AF696">
        <v>88.068647226854594</v>
      </c>
      <c r="AG696">
        <v>2.3677299999999999</v>
      </c>
      <c r="AH696">
        <v>13.308756000000001</v>
      </c>
      <c r="AI696">
        <v>0.24448800000000001</v>
      </c>
      <c r="AJ696">
        <v>10.79589</v>
      </c>
      <c r="AK696">
        <v>0.47592200000000001</v>
      </c>
      <c r="AL696">
        <v>2.5593219999999999</v>
      </c>
      <c r="AM696">
        <v>50.618228000000002</v>
      </c>
      <c r="AN696">
        <v>6.5893940000000004</v>
      </c>
      <c r="AO696">
        <v>10.933992</v>
      </c>
      <c r="AP696">
        <v>0.18284600000000001</v>
      </c>
      <c r="AQ696">
        <v>98.076568000000009</v>
      </c>
      <c r="AR696">
        <v>5.2300639336436437E-2</v>
      </c>
      <c r="AS696">
        <v>0.12943046662848259</v>
      </c>
      <c r="AT696">
        <v>2.770541568598698E-2</v>
      </c>
      <c r="AU696">
        <v>7.0180845261842303E-2</v>
      </c>
      <c r="AV696">
        <v>2.2529245252929951E-2</v>
      </c>
      <c r="AW696">
        <v>2.0093806467001991E-2</v>
      </c>
      <c r="AX696">
        <v>0.25138096672845722</v>
      </c>
      <c r="AY696">
        <v>8.7160523986875155E-2</v>
      </c>
      <c r="AZ696">
        <v>0.208340688376834</v>
      </c>
      <c r="BA696">
        <v>4.0415856314900307E-2</v>
      </c>
      <c r="BB696">
        <v>25</v>
      </c>
      <c r="BC696" t="s">
        <v>86</v>
      </c>
    </row>
    <row r="697" spans="1:55" x14ac:dyDescent="0.2">
      <c r="A697">
        <v>0</v>
      </c>
      <c r="B697" t="s">
        <v>1467</v>
      </c>
      <c r="C697" t="s">
        <v>1468</v>
      </c>
      <c r="D697" t="s">
        <v>92</v>
      </c>
      <c r="E697">
        <v>-155.25163000000001</v>
      </c>
      <c r="F697">
        <v>19.42567</v>
      </c>
      <c r="G697" t="s">
        <v>1469</v>
      </c>
      <c r="H697" t="s">
        <v>1470</v>
      </c>
      <c r="I697" t="s">
        <v>1471</v>
      </c>
      <c r="J697" t="s">
        <v>68</v>
      </c>
      <c r="K697">
        <v>12.5</v>
      </c>
      <c r="L697">
        <v>12.5</v>
      </c>
      <c r="M697">
        <v>490.87385212340519</v>
      </c>
      <c r="N697">
        <v>8181.230868723419</v>
      </c>
      <c r="O697" t="s">
        <v>1472</v>
      </c>
      <c r="T697">
        <v>102.92959856463069</v>
      </c>
      <c r="U697">
        <v>8.8162815354821521E-3</v>
      </c>
      <c r="V697">
        <v>0.12000749044388929</v>
      </c>
      <c r="W697">
        <v>3.1297799450945752E-3</v>
      </c>
      <c r="Y697">
        <v>8.3273375898760937E-2</v>
      </c>
      <c r="Z697">
        <v>0.39413041615848993</v>
      </c>
      <c r="AA697">
        <v>2.5568756700360368E-2</v>
      </c>
      <c r="AB697">
        <v>1.6881570005427491</v>
      </c>
      <c r="AC697">
        <v>0.10493327634374661</v>
      </c>
      <c r="AD697">
        <v>1197.851615983647</v>
      </c>
      <c r="AE697">
        <v>50</v>
      </c>
      <c r="AF697">
        <v>82.782002950574778</v>
      </c>
      <c r="AG697">
        <v>2.2635773333333331</v>
      </c>
      <c r="AH697">
        <v>13.886380000000001</v>
      </c>
      <c r="AI697">
        <v>0.2177118666666667</v>
      </c>
      <c r="AJ697">
        <v>10.761366666666669</v>
      </c>
      <c r="AK697">
        <v>0.40469953333333331</v>
      </c>
      <c r="AL697">
        <v>2.243736666666666</v>
      </c>
      <c r="AM697">
        <v>51.022860000000001</v>
      </c>
      <c r="AN697">
        <v>7.588878666666667</v>
      </c>
      <c r="AO697">
        <v>10.781546666666671</v>
      </c>
      <c r="AP697">
        <v>0.16453186666666669</v>
      </c>
      <c r="AQ697">
        <v>99.335289266666678</v>
      </c>
      <c r="AR697">
        <v>0.1008070208344824</v>
      </c>
      <c r="AS697">
        <v>0.50918127869298979</v>
      </c>
      <c r="AT697">
        <v>9.8559070892729559E-3</v>
      </c>
      <c r="AU697">
        <v>9.2254188187286965E-2</v>
      </c>
      <c r="AV697">
        <v>2.5645157467880399E-2</v>
      </c>
      <c r="AW697">
        <v>2.8151647926051869E-2</v>
      </c>
      <c r="AX697">
        <v>0.64615058594284736</v>
      </c>
      <c r="AY697">
        <v>0.1576115970563926</v>
      </c>
      <c r="AZ697">
        <v>0.38957662526437797</v>
      </c>
      <c r="BA697">
        <v>8.3271460971817632E-3</v>
      </c>
      <c r="BB697">
        <v>15</v>
      </c>
      <c r="BC697" t="s">
        <v>86</v>
      </c>
    </row>
    <row r="698" spans="1:55" x14ac:dyDescent="0.2">
      <c r="A698">
        <v>1</v>
      </c>
      <c r="B698" t="s">
        <v>1467</v>
      </c>
      <c r="C698" t="s">
        <v>1468</v>
      </c>
      <c r="D698" t="s">
        <v>92</v>
      </c>
      <c r="E698">
        <v>-155.25163000000001</v>
      </c>
      <c r="F698">
        <v>19.42567</v>
      </c>
      <c r="G698" t="s">
        <v>1469</v>
      </c>
      <c r="H698" t="s">
        <v>1473</v>
      </c>
      <c r="I698" t="s">
        <v>1474</v>
      </c>
      <c r="J698" t="s">
        <v>68</v>
      </c>
      <c r="K698">
        <v>3</v>
      </c>
      <c r="L698">
        <v>3</v>
      </c>
      <c r="M698">
        <v>28.274333882308142</v>
      </c>
      <c r="N698">
        <v>113.09733552923259</v>
      </c>
      <c r="O698" t="s">
        <v>1472</v>
      </c>
      <c r="T698">
        <v>102.9786599265138</v>
      </c>
      <c r="U698">
        <v>7.5865203911229963E-14</v>
      </c>
      <c r="V698">
        <v>0.13742427391238721</v>
      </c>
      <c r="W698">
        <v>2.6053234465902281E-14</v>
      </c>
      <c r="Y698">
        <v>7.1719467231323941E-2</v>
      </c>
      <c r="Z698">
        <v>0.45634939482236908</v>
      </c>
      <c r="AA698">
        <v>2.402228040144912E-2</v>
      </c>
      <c r="AB698">
        <v>1.942088332544198</v>
      </c>
      <c r="AC698">
        <v>9.7390755323305031E-2</v>
      </c>
      <c r="AD698">
        <v>1211.870696177594</v>
      </c>
      <c r="AE698">
        <v>50</v>
      </c>
      <c r="AF698">
        <v>83.780760588423277</v>
      </c>
      <c r="AG698">
        <v>2.2635773333333331</v>
      </c>
      <c r="AH698">
        <v>13.886380000000001</v>
      </c>
      <c r="AI698">
        <v>0.2177118666666667</v>
      </c>
      <c r="AJ698">
        <v>10.761366666666669</v>
      </c>
      <c r="AK698">
        <v>0.40469953333333331</v>
      </c>
      <c r="AL698">
        <v>2.243736666666666</v>
      </c>
      <c r="AM698">
        <v>51.022860000000001</v>
      </c>
      <c r="AN698">
        <v>7.588878666666667</v>
      </c>
      <c r="AO698">
        <v>10.781546666666671</v>
      </c>
      <c r="AP698">
        <v>0.16453186666666669</v>
      </c>
      <c r="AQ698">
        <v>99.335289266666678</v>
      </c>
      <c r="AR698">
        <v>0.1008070208344824</v>
      </c>
      <c r="AS698">
        <v>0.50918127869298979</v>
      </c>
      <c r="AT698">
        <v>9.8559070892729559E-3</v>
      </c>
      <c r="AU698">
        <v>9.2254188187286965E-2</v>
      </c>
      <c r="AV698">
        <v>2.5645157467880399E-2</v>
      </c>
      <c r="AW698">
        <v>2.8151647926051869E-2</v>
      </c>
      <c r="AX698">
        <v>0.64615058594284736</v>
      </c>
      <c r="AY698">
        <v>0.1576115970563926</v>
      </c>
      <c r="AZ698">
        <v>0.38957662526437797</v>
      </c>
      <c r="BA698">
        <v>8.3271460971817632E-3</v>
      </c>
      <c r="BB698">
        <v>15</v>
      </c>
      <c r="BC698" t="s">
        <v>86</v>
      </c>
    </row>
    <row r="699" spans="1:55" x14ac:dyDescent="0.2">
      <c r="A699">
        <v>2</v>
      </c>
      <c r="B699" t="s">
        <v>1467</v>
      </c>
      <c r="C699" t="s">
        <v>1468</v>
      </c>
      <c r="D699" t="s">
        <v>92</v>
      </c>
      <c r="E699">
        <v>-155.25163000000001</v>
      </c>
      <c r="F699">
        <v>19.42567</v>
      </c>
      <c r="G699" t="s">
        <v>1469</v>
      </c>
      <c r="H699" t="s">
        <v>1475</v>
      </c>
      <c r="I699" t="s">
        <v>1476</v>
      </c>
      <c r="J699" t="s">
        <v>68</v>
      </c>
      <c r="K699">
        <v>10</v>
      </c>
      <c r="L699">
        <v>10</v>
      </c>
      <c r="M699">
        <v>314.15926535897933</v>
      </c>
      <c r="N699">
        <v>4188.7902047863909</v>
      </c>
      <c r="O699" t="s">
        <v>1472</v>
      </c>
      <c r="T699">
        <v>102.948908771793</v>
      </c>
      <c r="U699">
        <v>2.5290660348152492E-3</v>
      </c>
      <c r="V699">
        <v>0.12686261398651771</v>
      </c>
      <c r="W699">
        <v>8.9781844236114239E-4</v>
      </c>
      <c r="Y699">
        <v>7.8321990178027989E-2</v>
      </c>
      <c r="Z699">
        <v>0.41845557588515081</v>
      </c>
      <c r="AA699">
        <v>2.3377675698989239E-2</v>
      </c>
      <c r="AB699">
        <v>1.7878157262226759</v>
      </c>
      <c r="AC699">
        <v>9.5494155831829172E-2</v>
      </c>
      <c r="AD699">
        <v>1204.038877941304</v>
      </c>
      <c r="AE699">
        <v>50</v>
      </c>
      <c r="AF699">
        <v>83.238780345356503</v>
      </c>
      <c r="AG699">
        <v>2.2635773333333331</v>
      </c>
      <c r="AH699">
        <v>13.886380000000001</v>
      </c>
      <c r="AI699">
        <v>0.2177118666666667</v>
      </c>
      <c r="AJ699">
        <v>10.761366666666669</v>
      </c>
      <c r="AK699">
        <v>0.40469953333333331</v>
      </c>
      <c r="AL699">
        <v>2.243736666666666</v>
      </c>
      <c r="AM699">
        <v>51.022860000000001</v>
      </c>
      <c r="AN699">
        <v>7.588878666666667</v>
      </c>
      <c r="AO699">
        <v>10.781546666666671</v>
      </c>
      <c r="AP699">
        <v>0.16453186666666669</v>
      </c>
      <c r="AQ699">
        <v>99.335289266666678</v>
      </c>
      <c r="AR699">
        <v>0.1008070208344824</v>
      </c>
      <c r="AS699">
        <v>0.50918127869298979</v>
      </c>
      <c r="AT699">
        <v>9.8559070892729559E-3</v>
      </c>
      <c r="AU699">
        <v>9.2254188187286965E-2</v>
      </c>
      <c r="AV699">
        <v>2.5645157467880399E-2</v>
      </c>
      <c r="AW699">
        <v>2.8151647926051869E-2</v>
      </c>
      <c r="AX699">
        <v>0.64615058594284736</v>
      </c>
      <c r="AY699">
        <v>0.1576115970563926</v>
      </c>
      <c r="AZ699">
        <v>0.38957662526437797</v>
      </c>
      <c r="BA699">
        <v>8.3271460971817632E-3</v>
      </c>
      <c r="BB699">
        <v>15</v>
      </c>
      <c r="BC699" t="s">
        <v>86</v>
      </c>
    </row>
    <row r="700" spans="1:55" x14ac:dyDescent="0.2">
      <c r="A700">
        <v>3</v>
      </c>
      <c r="B700" t="s">
        <v>1467</v>
      </c>
      <c r="C700" t="s">
        <v>1468</v>
      </c>
      <c r="D700" t="s">
        <v>92</v>
      </c>
      <c r="E700">
        <v>-155.25163000000001</v>
      </c>
      <c r="F700">
        <v>19.42567</v>
      </c>
      <c r="G700" t="s">
        <v>1469</v>
      </c>
      <c r="H700" t="s">
        <v>1475</v>
      </c>
      <c r="I700" t="s">
        <v>1477</v>
      </c>
      <c r="J700" t="s">
        <v>68</v>
      </c>
      <c r="K700">
        <v>17.618246830162231</v>
      </c>
      <c r="L700">
        <v>17.618246830162231</v>
      </c>
      <c r="M700">
        <v>975.1585949463614</v>
      </c>
      <c r="N700">
        <v>22907.446432425579</v>
      </c>
      <c r="O700" t="s">
        <v>1472</v>
      </c>
      <c r="T700">
        <v>102.9138611312631</v>
      </c>
      <c r="U700">
        <v>6.5779781091486701E-3</v>
      </c>
      <c r="V700">
        <v>0.11442070159839091</v>
      </c>
      <c r="W700">
        <v>2.335182228748304E-3</v>
      </c>
      <c r="Y700">
        <v>8.7029258077447547E-2</v>
      </c>
      <c r="Z700">
        <v>0.37738071328366513</v>
      </c>
      <c r="AA700">
        <v>2.2927659552761711E-2</v>
      </c>
      <c r="AB700">
        <v>1.6192459208040539</v>
      </c>
      <c r="AC700">
        <v>9.4460826446576426E-2</v>
      </c>
      <c r="AD700">
        <v>1204.038877941304</v>
      </c>
      <c r="AE700">
        <v>50</v>
      </c>
      <c r="AF700">
        <v>83.238780345356503</v>
      </c>
      <c r="AG700">
        <v>2.2635773333333331</v>
      </c>
      <c r="AH700">
        <v>13.886380000000001</v>
      </c>
      <c r="AI700">
        <v>0.2177118666666667</v>
      </c>
      <c r="AJ700">
        <v>10.761366666666669</v>
      </c>
      <c r="AK700">
        <v>0.40469953333333331</v>
      </c>
      <c r="AL700">
        <v>2.243736666666666</v>
      </c>
      <c r="AM700">
        <v>51.022860000000001</v>
      </c>
      <c r="AN700">
        <v>7.588878666666667</v>
      </c>
      <c r="AO700">
        <v>10.781546666666671</v>
      </c>
      <c r="AP700">
        <v>0.16453186666666669</v>
      </c>
      <c r="AQ700">
        <v>99.335289266666678</v>
      </c>
      <c r="AR700">
        <v>0.1008070208344824</v>
      </c>
      <c r="AS700">
        <v>0.50918127869298979</v>
      </c>
      <c r="AT700">
        <v>9.8559070892729559E-3</v>
      </c>
      <c r="AU700">
        <v>9.2254188187286965E-2</v>
      </c>
      <c r="AV700">
        <v>2.5645157467880399E-2</v>
      </c>
      <c r="AW700">
        <v>2.8151647926051869E-2</v>
      </c>
      <c r="AX700">
        <v>0.64615058594284736</v>
      </c>
      <c r="AY700">
        <v>0.1576115970563926</v>
      </c>
      <c r="AZ700">
        <v>0.38957662526437797</v>
      </c>
      <c r="BA700">
        <v>8.3271460971817632E-3</v>
      </c>
      <c r="BB700">
        <v>15</v>
      </c>
      <c r="BC700" t="s">
        <v>86</v>
      </c>
    </row>
    <row r="701" spans="1:55" x14ac:dyDescent="0.2">
      <c r="A701">
        <v>4</v>
      </c>
      <c r="B701" t="s">
        <v>1467</v>
      </c>
      <c r="C701" t="s">
        <v>1468</v>
      </c>
      <c r="D701" t="s">
        <v>92</v>
      </c>
      <c r="E701">
        <v>-155.25163000000001</v>
      </c>
      <c r="F701">
        <v>19.42567</v>
      </c>
      <c r="G701" t="s">
        <v>1469</v>
      </c>
      <c r="H701" t="s">
        <v>1475</v>
      </c>
      <c r="I701" t="s">
        <v>1478</v>
      </c>
      <c r="J701" t="s">
        <v>68</v>
      </c>
      <c r="K701">
        <v>12.5</v>
      </c>
      <c r="L701">
        <v>12.5</v>
      </c>
      <c r="M701">
        <v>490.87385212340519</v>
      </c>
      <c r="N701">
        <v>8181.230868723419</v>
      </c>
      <c r="O701" t="s">
        <v>1472</v>
      </c>
      <c r="T701">
        <v>102.9246605092362</v>
      </c>
      <c r="U701">
        <v>8.0290083173887683E-4</v>
      </c>
      <c r="V701">
        <v>0.1182544807788517</v>
      </c>
      <c r="W701">
        <v>2.8502979526715921E-4</v>
      </c>
      <c r="Y701">
        <v>8.4180708281261118E-2</v>
      </c>
      <c r="Z701">
        <v>0.38995608068008358</v>
      </c>
      <c r="AA701">
        <v>2.197233960431362E-2</v>
      </c>
      <c r="AB701">
        <v>1.671005204606381</v>
      </c>
      <c r="AC701">
        <v>9.0281175990094373E-2</v>
      </c>
      <c r="AD701">
        <v>1204.038877941304</v>
      </c>
      <c r="AE701">
        <v>50</v>
      </c>
      <c r="AF701">
        <v>83.238780345356503</v>
      </c>
      <c r="AG701">
        <v>2.2635773333333331</v>
      </c>
      <c r="AH701">
        <v>13.886380000000001</v>
      </c>
      <c r="AI701">
        <v>0.2177118666666667</v>
      </c>
      <c r="AJ701">
        <v>10.761366666666669</v>
      </c>
      <c r="AK701">
        <v>0.40469953333333331</v>
      </c>
      <c r="AL701">
        <v>2.243736666666666</v>
      </c>
      <c r="AM701">
        <v>51.022860000000001</v>
      </c>
      <c r="AN701">
        <v>7.588878666666667</v>
      </c>
      <c r="AO701">
        <v>10.781546666666671</v>
      </c>
      <c r="AP701">
        <v>0.16453186666666669</v>
      </c>
      <c r="AQ701">
        <v>99.335289266666678</v>
      </c>
      <c r="AR701">
        <v>0.1008070208344824</v>
      </c>
      <c r="AS701">
        <v>0.50918127869298979</v>
      </c>
      <c r="AT701">
        <v>9.8559070892729559E-3</v>
      </c>
      <c r="AU701">
        <v>9.2254188187286965E-2</v>
      </c>
      <c r="AV701">
        <v>2.5645157467880399E-2</v>
      </c>
      <c r="AW701">
        <v>2.8151647926051869E-2</v>
      </c>
      <c r="AX701">
        <v>0.64615058594284736</v>
      </c>
      <c r="AY701">
        <v>0.1576115970563926</v>
      </c>
      <c r="AZ701">
        <v>0.38957662526437797</v>
      </c>
      <c r="BA701">
        <v>8.3271460971817632E-3</v>
      </c>
      <c r="BB701">
        <v>15</v>
      </c>
      <c r="BC701" t="s">
        <v>86</v>
      </c>
    </row>
    <row r="702" spans="1:55" x14ac:dyDescent="0.2">
      <c r="A702">
        <v>5</v>
      </c>
      <c r="B702" t="s">
        <v>1467</v>
      </c>
      <c r="C702" t="s">
        <v>1468</v>
      </c>
      <c r="D702" t="s">
        <v>92</v>
      </c>
      <c r="E702">
        <v>-155.25163000000001</v>
      </c>
      <c r="F702">
        <v>19.42567</v>
      </c>
      <c r="G702" t="s">
        <v>1469</v>
      </c>
      <c r="H702" t="s">
        <v>1479</v>
      </c>
      <c r="I702" t="s">
        <v>1480</v>
      </c>
      <c r="J702" t="s">
        <v>68</v>
      </c>
      <c r="K702">
        <v>8.75</v>
      </c>
      <c r="L702">
        <v>8.75</v>
      </c>
      <c r="M702">
        <v>240.52818754046851</v>
      </c>
      <c r="N702">
        <v>2806.162187972132</v>
      </c>
      <c r="O702" t="s">
        <v>1472</v>
      </c>
      <c r="T702">
        <v>102.9679789690466</v>
      </c>
      <c r="U702">
        <v>7.1001348375978809E-3</v>
      </c>
      <c r="V702">
        <v>0.13363253401154651</v>
      </c>
      <c r="W702">
        <v>2.5205478673462449E-3</v>
      </c>
      <c r="Y702">
        <v>7.4063589980913003E-2</v>
      </c>
      <c r="Z702">
        <v>0.44202996015192281</v>
      </c>
      <c r="AA702">
        <v>2.4441062421510649E-2</v>
      </c>
      <c r="AB702">
        <v>1.883929968538542</v>
      </c>
      <c r="AC702">
        <v>9.9396207571519832E-2</v>
      </c>
      <c r="AD702">
        <v>1207.0413114631481</v>
      </c>
      <c r="AE702">
        <v>50</v>
      </c>
      <c r="AF702">
        <v>83.451015610368103</v>
      </c>
      <c r="AG702">
        <v>2.2635773333333331</v>
      </c>
      <c r="AH702">
        <v>13.886380000000001</v>
      </c>
      <c r="AI702">
        <v>0.2177118666666667</v>
      </c>
      <c r="AJ702">
        <v>10.761366666666669</v>
      </c>
      <c r="AK702">
        <v>0.40469953333333331</v>
      </c>
      <c r="AL702">
        <v>2.243736666666666</v>
      </c>
      <c r="AM702">
        <v>51.022860000000001</v>
      </c>
      <c r="AN702">
        <v>7.588878666666667</v>
      </c>
      <c r="AO702">
        <v>10.781546666666671</v>
      </c>
      <c r="AP702">
        <v>0.16453186666666669</v>
      </c>
      <c r="AQ702">
        <v>99.335289266666678</v>
      </c>
      <c r="AR702">
        <v>0.1008070208344824</v>
      </c>
      <c r="AS702">
        <v>0.50918127869298979</v>
      </c>
      <c r="AT702">
        <v>9.8559070892729559E-3</v>
      </c>
      <c r="AU702">
        <v>9.2254188187286965E-2</v>
      </c>
      <c r="AV702">
        <v>2.5645157467880399E-2</v>
      </c>
      <c r="AW702">
        <v>2.8151647926051869E-2</v>
      </c>
      <c r="AX702">
        <v>0.64615058594284736</v>
      </c>
      <c r="AY702">
        <v>0.1576115970563926</v>
      </c>
      <c r="AZ702">
        <v>0.38957662526437797</v>
      </c>
      <c r="BA702">
        <v>8.3271460971817632E-3</v>
      </c>
      <c r="BB702">
        <v>15</v>
      </c>
      <c r="BC702" t="s">
        <v>86</v>
      </c>
    </row>
    <row r="703" spans="1:55" x14ac:dyDescent="0.2">
      <c r="A703">
        <v>6</v>
      </c>
      <c r="B703" t="s">
        <v>1467</v>
      </c>
      <c r="C703" t="s">
        <v>1468</v>
      </c>
      <c r="D703" t="s">
        <v>92</v>
      </c>
      <c r="E703">
        <v>-155.25163000000001</v>
      </c>
      <c r="F703">
        <v>19.42567</v>
      </c>
      <c r="G703" t="s">
        <v>1469</v>
      </c>
      <c r="H703" t="s">
        <v>1481</v>
      </c>
      <c r="I703" t="s">
        <v>1481</v>
      </c>
      <c r="J703" t="s">
        <v>68</v>
      </c>
      <c r="K703">
        <v>15</v>
      </c>
      <c r="L703">
        <v>15</v>
      </c>
      <c r="M703">
        <v>706.85834705770344</v>
      </c>
      <c r="N703">
        <v>14137.16694115407</v>
      </c>
      <c r="O703" t="s">
        <v>1472</v>
      </c>
      <c r="T703">
        <v>102.9113317523715</v>
      </c>
      <c r="U703">
        <v>3.7977589504106951E-3</v>
      </c>
      <c r="V703">
        <v>0.1135227720918621</v>
      </c>
      <c r="W703">
        <v>1.3482044273968709E-3</v>
      </c>
      <c r="Y703">
        <v>8.9257852677385063E-2</v>
      </c>
      <c r="Z703">
        <v>0.3680586764793834</v>
      </c>
      <c r="AA703">
        <v>2.2039270228217261E-2</v>
      </c>
      <c r="AB703">
        <v>1.58079073085527</v>
      </c>
      <c r="AC703">
        <v>9.0966595805829095E-2</v>
      </c>
      <c r="AD703">
        <v>1177.764458458983</v>
      </c>
      <c r="AE703">
        <v>50</v>
      </c>
      <c r="AF703">
        <v>81.066308133192194</v>
      </c>
      <c r="AG703">
        <v>2.2635773333333331</v>
      </c>
      <c r="AH703">
        <v>13.886380000000001</v>
      </c>
      <c r="AI703">
        <v>0.2177118666666667</v>
      </c>
      <c r="AJ703">
        <v>10.761366666666669</v>
      </c>
      <c r="AK703">
        <v>0.40469953333333331</v>
      </c>
      <c r="AL703">
        <v>2.243736666666666</v>
      </c>
      <c r="AM703">
        <v>51.022860000000001</v>
      </c>
      <c r="AN703">
        <v>7.588878666666667</v>
      </c>
      <c r="AO703">
        <v>10.781546666666671</v>
      </c>
      <c r="AP703">
        <v>0.16453186666666669</v>
      </c>
      <c r="AQ703">
        <v>99.335289266666678</v>
      </c>
      <c r="AR703">
        <v>0.1008070208344824</v>
      </c>
      <c r="AS703">
        <v>0.50918127869298979</v>
      </c>
      <c r="AT703">
        <v>9.8559070892729559E-3</v>
      </c>
      <c r="AU703">
        <v>9.2254188187286965E-2</v>
      </c>
      <c r="AV703">
        <v>2.5645157467880399E-2</v>
      </c>
      <c r="AW703">
        <v>2.8151647926051869E-2</v>
      </c>
      <c r="AX703">
        <v>0.64615058594284736</v>
      </c>
      <c r="AY703">
        <v>0.1576115970563926</v>
      </c>
      <c r="AZ703">
        <v>0.38957662526437797</v>
      </c>
      <c r="BA703">
        <v>8.3271460971817632E-3</v>
      </c>
      <c r="BB703">
        <v>15</v>
      </c>
      <c r="BC703" t="s">
        <v>86</v>
      </c>
    </row>
    <row r="704" spans="1:55" x14ac:dyDescent="0.2">
      <c r="A704">
        <v>7</v>
      </c>
      <c r="B704" t="s">
        <v>1467</v>
      </c>
      <c r="C704" t="s">
        <v>1468</v>
      </c>
      <c r="D704" t="s">
        <v>92</v>
      </c>
      <c r="E704">
        <v>-155.25163000000001</v>
      </c>
      <c r="F704">
        <v>19.42567</v>
      </c>
      <c r="G704" t="s">
        <v>1469</v>
      </c>
      <c r="H704" t="s">
        <v>1482</v>
      </c>
      <c r="I704" t="s">
        <v>1483</v>
      </c>
      <c r="J704" t="s">
        <v>68</v>
      </c>
      <c r="K704">
        <v>17.380133224432239</v>
      </c>
      <c r="L704">
        <v>17.380133224432239</v>
      </c>
      <c r="M704">
        <v>948.97784834932861</v>
      </c>
      <c r="N704">
        <v>21991.148575128511</v>
      </c>
      <c r="O704" t="s">
        <v>1472</v>
      </c>
      <c r="T704">
        <v>102.914223938224</v>
      </c>
      <c r="U704">
        <v>5.770935790027072E-3</v>
      </c>
      <c r="V704">
        <v>0.1145494980695148</v>
      </c>
      <c r="W704">
        <v>2.0486822054583179E-3</v>
      </c>
      <c r="Y704">
        <v>8.6658330026361363E-2</v>
      </c>
      <c r="Z704">
        <v>0.37897128452169038</v>
      </c>
      <c r="AA704">
        <v>2.263956248555659E-2</v>
      </c>
      <c r="AB704">
        <v>1.6257999746775309</v>
      </c>
      <c r="AC704">
        <v>9.324211291030482E-2</v>
      </c>
      <c r="AD704">
        <v>1208.805733120179</v>
      </c>
      <c r="AE704">
        <v>50</v>
      </c>
      <c r="AF704">
        <v>83.573095192325312</v>
      </c>
      <c r="AG704">
        <v>2.2635773333333331</v>
      </c>
      <c r="AH704">
        <v>13.886380000000001</v>
      </c>
      <c r="AI704">
        <v>0.2177118666666667</v>
      </c>
      <c r="AJ704">
        <v>10.761366666666669</v>
      </c>
      <c r="AK704">
        <v>0.40469953333333331</v>
      </c>
      <c r="AL704">
        <v>2.243736666666666</v>
      </c>
      <c r="AM704">
        <v>51.022860000000001</v>
      </c>
      <c r="AN704">
        <v>7.588878666666667</v>
      </c>
      <c r="AO704">
        <v>10.781546666666671</v>
      </c>
      <c r="AP704">
        <v>0.16453186666666669</v>
      </c>
      <c r="AQ704">
        <v>99.335289266666678</v>
      </c>
      <c r="AR704">
        <v>0.1008070208344824</v>
      </c>
      <c r="AS704">
        <v>0.50918127869298979</v>
      </c>
      <c r="AT704">
        <v>9.8559070892729559E-3</v>
      </c>
      <c r="AU704">
        <v>9.2254188187286965E-2</v>
      </c>
      <c r="AV704">
        <v>2.5645157467880399E-2</v>
      </c>
      <c r="AW704">
        <v>2.8151647926051869E-2</v>
      </c>
      <c r="AX704">
        <v>0.64615058594284736</v>
      </c>
      <c r="AY704">
        <v>0.1576115970563926</v>
      </c>
      <c r="AZ704">
        <v>0.38957662526437797</v>
      </c>
      <c r="BA704">
        <v>8.3271460971817632E-3</v>
      </c>
      <c r="BB704">
        <v>15</v>
      </c>
      <c r="BC704" t="s">
        <v>86</v>
      </c>
    </row>
    <row r="705" spans="1:55" x14ac:dyDescent="0.2">
      <c r="A705">
        <v>8</v>
      </c>
      <c r="B705" t="s">
        <v>1467</v>
      </c>
      <c r="C705" t="s">
        <v>1468</v>
      </c>
      <c r="D705" t="s">
        <v>92</v>
      </c>
      <c r="E705">
        <v>-155.25163000000001</v>
      </c>
      <c r="F705">
        <v>19.42567</v>
      </c>
      <c r="G705" t="s">
        <v>1469</v>
      </c>
      <c r="H705" t="s">
        <v>1482</v>
      </c>
      <c r="I705" t="s">
        <v>1484</v>
      </c>
      <c r="J705" t="s">
        <v>68</v>
      </c>
      <c r="K705">
        <v>16.867280419782809</v>
      </c>
      <c r="L705">
        <v>16.867280419782809</v>
      </c>
      <c r="M705">
        <v>893.79928525159414</v>
      </c>
      <c r="N705">
        <v>20101.28424445344</v>
      </c>
      <c r="O705" t="s">
        <v>1472</v>
      </c>
      <c r="T705">
        <v>102.9733940689203</v>
      </c>
      <c r="U705">
        <v>8.0318074739693668E-4</v>
      </c>
      <c r="V705">
        <v>0.1355548944667149</v>
      </c>
      <c r="W705">
        <v>2.8512916532719151E-4</v>
      </c>
      <c r="Y705">
        <v>7.2890115853555093E-2</v>
      </c>
      <c r="Z705">
        <v>0.44906338421194958</v>
      </c>
      <c r="AA705">
        <v>2.324724348670015E-2</v>
      </c>
      <c r="AB705">
        <v>1.9125171513221819</v>
      </c>
      <c r="AC705">
        <v>9.4394049051519005E-2</v>
      </c>
      <c r="AD705">
        <v>1208.805733120179</v>
      </c>
      <c r="AE705">
        <v>50</v>
      </c>
      <c r="AF705">
        <v>83.573095192325312</v>
      </c>
      <c r="AG705">
        <v>2.2635773333333331</v>
      </c>
      <c r="AH705">
        <v>13.886380000000001</v>
      </c>
      <c r="AI705">
        <v>0.2177118666666667</v>
      </c>
      <c r="AJ705">
        <v>10.761366666666669</v>
      </c>
      <c r="AK705">
        <v>0.40469953333333331</v>
      </c>
      <c r="AL705">
        <v>2.243736666666666</v>
      </c>
      <c r="AM705">
        <v>51.022860000000001</v>
      </c>
      <c r="AN705">
        <v>7.588878666666667</v>
      </c>
      <c r="AO705">
        <v>10.781546666666671</v>
      </c>
      <c r="AP705">
        <v>0.16453186666666669</v>
      </c>
      <c r="AQ705">
        <v>99.335289266666678</v>
      </c>
      <c r="AR705">
        <v>0.1008070208344824</v>
      </c>
      <c r="AS705">
        <v>0.50918127869298979</v>
      </c>
      <c r="AT705">
        <v>9.8559070892729559E-3</v>
      </c>
      <c r="AU705">
        <v>9.2254188187286965E-2</v>
      </c>
      <c r="AV705">
        <v>2.5645157467880399E-2</v>
      </c>
      <c r="AW705">
        <v>2.8151647926051869E-2</v>
      </c>
      <c r="AX705">
        <v>0.64615058594284736</v>
      </c>
      <c r="AY705">
        <v>0.1576115970563926</v>
      </c>
      <c r="AZ705">
        <v>0.38957662526437797</v>
      </c>
      <c r="BA705">
        <v>8.3271460971817632E-3</v>
      </c>
      <c r="BB705">
        <v>15</v>
      </c>
      <c r="BC705" t="s">
        <v>86</v>
      </c>
    </row>
    <row r="706" spans="1:55" x14ac:dyDescent="0.2">
      <c r="A706">
        <v>9</v>
      </c>
      <c r="B706" t="s">
        <v>1467</v>
      </c>
      <c r="C706" t="s">
        <v>1468</v>
      </c>
      <c r="D706" t="s">
        <v>92</v>
      </c>
      <c r="E706">
        <v>-155.25163000000001</v>
      </c>
      <c r="F706">
        <v>19.42567</v>
      </c>
      <c r="G706" t="s">
        <v>1469</v>
      </c>
      <c r="H706" t="s">
        <v>1482</v>
      </c>
      <c r="I706" t="s">
        <v>1485</v>
      </c>
      <c r="J706" t="s">
        <v>68</v>
      </c>
      <c r="K706">
        <v>9.5</v>
      </c>
      <c r="L706">
        <v>9.5</v>
      </c>
      <c r="M706">
        <v>283.5287369864788</v>
      </c>
      <c r="N706">
        <v>3591.3640018287319</v>
      </c>
      <c r="O706" t="s">
        <v>1472</v>
      </c>
      <c r="T706">
        <v>102.8981244344598</v>
      </c>
      <c r="U706">
        <v>3.6105184951085939E-3</v>
      </c>
      <c r="V706">
        <v>0.1088341742332091</v>
      </c>
      <c r="W706">
        <v>1.28173406576331E-3</v>
      </c>
      <c r="Y706">
        <v>9.1773376112762373E-2</v>
      </c>
      <c r="Z706">
        <v>0.35792551537114731</v>
      </c>
      <c r="AA706">
        <v>2.1720065541367E-2</v>
      </c>
      <c r="AB706">
        <v>1.5389056469107849</v>
      </c>
      <c r="AC706">
        <v>8.9832852207013161E-2</v>
      </c>
      <c r="AD706">
        <v>1198.663974419429</v>
      </c>
      <c r="AE706">
        <v>50</v>
      </c>
      <c r="AF706">
        <v>82.843565784542022</v>
      </c>
      <c r="AG706">
        <v>2.2635773333333331</v>
      </c>
      <c r="AH706">
        <v>13.886380000000001</v>
      </c>
      <c r="AI706">
        <v>0.2177118666666667</v>
      </c>
      <c r="AJ706">
        <v>10.761366666666669</v>
      </c>
      <c r="AK706">
        <v>0.40469953333333331</v>
      </c>
      <c r="AL706">
        <v>2.243736666666666</v>
      </c>
      <c r="AM706">
        <v>51.022860000000001</v>
      </c>
      <c r="AN706">
        <v>7.588878666666667</v>
      </c>
      <c r="AO706">
        <v>10.781546666666671</v>
      </c>
      <c r="AP706">
        <v>0.16453186666666669</v>
      </c>
      <c r="AQ706">
        <v>99.335289266666678</v>
      </c>
      <c r="AR706">
        <v>0.1008070208344824</v>
      </c>
      <c r="AS706">
        <v>0.50918127869298979</v>
      </c>
      <c r="AT706">
        <v>9.8559070892729559E-3</v>
      </c>
      <c r="AU706">
        <v>9.2254188187286965E-2</v>
      </c>
      <c r="AV706">
        <v>2.5645157467880399E-2</v>
      </c>
      <c r="AW706">
        <v>2.8151647926051869E-2</v>
      </c>
      <c r="AX706">
        <v>0.64615058594284736</v>
      </c>
      <c r="AY706">
        <v>0.1576115970563926</v>
      </c>
      <c r="AZ706">
        <v>0.38957662526437797</v>
      </c>
      <c r="BA706">
        <v>8.3271460971817632E-3</v>
      </c>
      <c r="BB706">
        <v>15</v>
      </c>
      <c r="BC706" t="s">
        <v>86</v>
      </c>
    </row>
    <row r="707" spans="1:55" x14ac:dyDescent="0.2">
      <c r="A707">
        <v>10</v>
      </c>
      <c r="B707" t="s">
        <v>1467</v>
      </c>
      <c r="C707" t="s">
        <v>1468</v>
      </c>
      <c r="D707" t="s">
        <v>92</v>
      </c>
      <c r="E707">
        <v>-155.25163000000001</v>
      </c>
      <c r="F707">
        <v>19.42567</v>
      </c>
      <c r="G707" t="s">
        <v>1469</v>
      </c>
      <c r="H707" t="s">
        <v>1486</v>
      </c>
      <c r="I707" t="s">
        <v>1487</v>
      </c>
      <c r="J707" t="s">
        <v>68</v>
      </c>
      <c r="K707">
        <v>10</v>
      </c>
      <c r="L707">
        <v>10</v>
      </c>
      <c r="M707">
        <v>314.15926535897933</v>
      </c>
      <c r="N707">
        <v>4188.7902047863909</v>
      </c>
      <c r="O707" t="s">
        <v>1472</v>
      </c>
      <c r="T707">
        <v>102.8973217782008</v>
      </c>
      <c r="U707">
        <v>7.0995725301133206E-3</v>
      </c>
      <c r="V707">
        <v>0.1085492312612857</v>
      </c>
      <c r="W707">
        <v>2.5203482481899499E-3</v>
      </c>
      <c r="Y707">
        <v>9.1705955217468382E-2</v>
      </c>
      <c r="Z707">
        <v>0.35818438688276438</v>
      </c>
      <c r="AA707">
        <v>2.2815592896768759E-2</v>
      </c>
      <c r="AB707">
        <v>1.5399767742547179</v>
      </c>
      <c r="AC707">
        <v>9.4366985442151385E-2</v>
      </c>
      <c r="AD707">
        <v>1203.768210374667</v>
      </c>
      <c r="AE707">
        <v>50</v>
      </c>
      <c r="AF707">
        <v>83.21935855142624</v>
      </c>
      <c r="AG707">
        <v>2.2635773333333331</v>
      </c>
      <c r="AH707">
        <v>13.886380000000001</v>
      </c>
      <c r="AI707">
        <v>0.2177118666666667</v>
      </c>
      <c r="AJ707">
        <v>10.761366666666669</v>
      </c>
      <c r="AK707">
        <v>0.40469953333333331</v>
      </c>
      <c r="AL707">
        <v>2.243736666666666</v>
      </c>
      <c r="AM707">
        <v>51.022860000000001</v>
      </c>
      <c r="AN707">
        <v>7.588878666666667</v>
      </c>
      <c r="AO707">
        <v>10.781546666666671</v>
      </c>
      <c r="AP707">
        <v>0.16453186666666669</v>
      </c>
      <c r="AQ707">
        <v>99.335289266666678</v>
      </c>
      <c r="AR707">
        <v>0.1008070208344824</v>
      </c>
      <c r="AS707">
        <v>0.50918127869298979</v>
      </c>
      <c r="AT707">
        <v>9.8559070892729559E-3</v>
      </c>
      <c r="AU707">
        <v>9.2254188187286965E-2</v>
      </c>
      <c r="AV707">
        <v>2.5645157467880399E-2</v>
      </c>
      <c r="AW707">
        <v>2.8151647926051869E-2</v>
      </c>
      <c r="AX707">
        <v>0.64615058594284736</v>
      </c>
      <c r="AY707">
        <v>0.1576115970563926</v>
      </c>
      <c r="AZ707">
        <v>0.38957662526437797</v>
      </c>
      <c r="BA707">
        <v>8.3271460971817632E-3</v>
      </c>
      <c r="BB707">
        <v>15</v>
      </c>
      <c r="BC707" t="s">
        <v>86</v>
      </c>
    </row>
    <row r="708" spans="1:55" x14ac:dyDescent="0.2">
      <c r="A708">
        <v>11</v>
      </c>
      <c r="B708" t="s">
        <v>1467</v>
      </c>
      <c r="C708" t="s">
        <v>1468</v>
      </c>
      <c r="D708" t="s">
        <v>92</v>
      </c>
      <c r="E708">
        <v>-155.25163000000001</v>
      </c>
      <c r="F708">
        <v>19.42567</v>
      </c>
      <c r="G708" t="s">
        <v>1469</v>
      </c>
      <c r="H708" t="s">
        <v>1488</v>
      </c>
      <c r="I708" t="s">
        <v>1489</v>
      </c>
      <c r="J708" t="s">
        <v>68</v>
      </c>
      <c r="K708">
        <v>13.628404446241049</v>
      </c>
      <c r="L708">
        <v>13.628404446241049</v>
      </c>
      <c r="M708">
        <v>583.49870931461157</v>
      </c>
      <c r="N708">
        <v>10602.875205865559</v>
      </c>
      <c r="O708" t="s">
        <v>1472</v>
      </c>
      <c r="T708">
        <v>102.9603919213037</v>
      </c>
      <c r="U708">
        <v>4.1354915591540484E-3</v>
      </c>
      <c r="V708">
        <v>0.13093913206282079</v>
      </c>
      <c r="W708">
        <v>1.468099503497911E-3</v>
      </c>
      <c r="Y708">
        <v>7.5475068041979343E-2</v>
      </c>
      <c r="Z708">
        <v>0.43389076215528699</v>
      </c>
      <c r="AA708">
        <v>2.3273167679839859E-2</v>
      </c>
      <c r="AB708">
        <v>1.850797740959881</v>
      </c>
      <c r="AC708">
        <v>9.4794497280577719E-2</v>
      </c>
      <c r="AD708">
        <v>1210.344310618887</v>
      </c>
      <c r="AE708">
        <v>50</v>
      </c>
      <c r="AF708">
        <v>83.67802261326004</v>
      </c>
      <c r="AG708">
        <v>2.2635773333333331</v>
      </c>
      <c r="AH708">
        <v>13.886380000000001</v>
      </c>
      <c r="AI708">
        <v>0.2177118666666667</v>
      </c>
      <c r="AJ708">
        <v>10.761366666666669</v>
      </c>
      <c r="AK708">
        <v>0.40469953333333331</v>
      </c>
      <c r="AL708">
        <v>2.243736666666666</v>
      </c>
      <c r="AM708">
        <v>51.022860000000001</v>
      </c>
      <c r="AN708">
        <v>7.588878666666667</v>
      </c>
      <c r="AO708">
        <v>10.781546666666671</v>
      </c>
      <c r="AP708">
        <v>0.16453186666666669</v>
      </c>
      <c r="AQ708">
        <v>99.335289266666678</v>
      </c>
      <c r="AR708">
        <v>0.1008070208344824</v>
      </c>
      <c r="AS708">
        <v>0.50918127869298979</v>
      </c>
      <c r="AT708">
        <v>9.8559070892729559E-3</v>
      </c>
      <c r="AU708">
        <v>9.2254188187286965E-2</v>
      </c>
      <c r="AV708">
        <v>2.5645157467880399E-2</v>
      </c>
      <c r="AW708">
        <v>2.8151647926051869E-2</v>
      </c>
      <c r="AX708">
        <v>0.64615058594284736</v>
      </c>
      <c r="AY708">
        <v>0.1576115970563926</v>
      </c>
      <c r="AZ708">
        <v>0.38957662526437797</v>
      </c>
      <c r="BA708">
        <v>8.3271460971817632E-3</v>
      </c>
      <c r="BB708">
        <v>15</v>
      </c>
      <c r="BC708" t="s">
        <v>86</v>
      </c>
    </row>
    <row r="709" spans="1:55" x14ac:dyDescent="0.2">
      <c r="A709">
        <v>12</v>
      </c>
      <c r="B709" t="s">
        <v>1467</v>
      </c>
      <c r="C709" t="s">
        <v>1468</v>
      </c>
      <c r="D709" t="s">
        <v>92</v>
      </c>
      <c r="E709">
        <v>-155.25163000000001</v>
      </c>
      <c r="F709">
        <v>19.42567</v>
      </c>
      <c r="G709" t="s">
        <v>1469</v>
      </c>
      <c r="H709" t="s">
        <v>1490</v>
      </c>
      <c r="I709" t="s">
        <v>1491</v>
      </c>
      <c r="J709" t="s">
        <v>68</v>
      </c>
      <c r="K709">
        <v>10</v>
      </c>
      <c r="L709">
        <v>10</v>
      </c>
      <c r="M709">
        <v>314.15926535897933</v>
      </c>
      <c r="N709">
        <v>4188.7902047863909</v>
      </c>
      <c r="O709" t="s">
        <v>1472</v>
      </c>
      <c r="T709">
        <v>102.9503951197061</v>
      </c>
      <c r="U709">
        <v>2.2167600294656668E-3</v>
      </c>
      <c r="V709">
        <v>0.1273902674956631</v>
      </c>
      <c r="W709">
        <v>7.8694981046164029E-4</v>
      </c>
      <c r="Y709">
        <v>7.8277954647769876E-2</v>
      </c>
      <c r="Z709">
        <v>0.41869332910601631</v>
      </c>
      <c r="AA709">
        <v>2.2688637247394838E-2</v>
      </c>
      <c r="AB709">
        <v>1.7887873541666639</v>
      </c>
      <c r="AC709">
        <v>9.2690727105526047E-2</v>
      </c>
      <c r="AD709">
        <v>1198.5367037415199</v>
      </c>
      <c r="AE709">
        <v>50</v>
      </c>
      <c r="AF709">
        <v>82.833954010163765</v>
      </c>
      <c r="AG709">
        <v>2.2635773333333331</v>
      </c>
      <c r="AH709">
        <v>13.886380000000001</v>
      </c>
      <c r="AI709">
        <v>0.2177118666666667</v>
      </c>
      <c r="AJ709">
        <v>10.761366666666669</v>
      </c>
      <c r="AK709">
        <v>0.40469953333333331</v>
      </c>
      <c r="AL709">
        <v>2.243736666666666</v>
      </c>
      <c r="AM709">
        <v>51.022860000000001</v>
      </c>
      <c r="AN709">
        <v>7.588878666666667</v>
      </c>
      <c r="AO709">
        <v>10.781546666666671</v>
      </c>
      <c r="AP709">
        <v>0.16453186666666669</v>
      </c>
      <c r="AQ709">
        <v>99.335289266666678</v>
      </c>
      <c r="AR709">
        <v>0.1008070208344824</v>
      </c>
      <c r="AS709">
        <v>0.50918127869298979</v>
      </c>
      <c r="AT709">
        <v>9.8559070892729559E-3</v>
      </c>
      <c r="AU709">
        <v>9.2254188187286965E-2</v>
      </c>
      <c r="AV709">
        <v>2.5645157467880399E-2</v>
      </c>
      <c r="AW709">
        <v>2.8151647926051869E-2</v>
      </c>
      <c r="AX709">
        <v>0.64615058594284736</v>
      </c>
      <c r="AY709">
        <v>0.1576115970563926</v>
      </c>
      <c r="AZ709">
        <v>0.38957662526437797</v>
      </c>
      <c r="BA709">
        <v>8.3271460971817632E-3</v>
      </c>
      <c r="BB709">
        <v>15</v>
      </c>
      <c r="BC709" t="s">
        <v>86</v>
      </c>
    </row>
    <row r="710" spans="1:55" x14ac:dyDescent="0.2">
      <c r="A710">
        <v>13</v>
      </c>
      <c r="B710" t="s">
        <v>1467</v>
      </c>
      <c r="C710" t="s">
        <v>1468</v>
      </c>
      <c r="D710" t="s">
        <v>92</v>
      </c>
      <c r="E710">
        <v>-155.25163000000001</v>
      </c>
      <c r="F710">
        <v>19.42567</v>
      </c>
      <c r="G710" t="s">
        <v>1469</v>
      </c>
      <c r="H710" t="s">
        <v>1490</v>
      </c>
      <c r="I710" t="s">
        <v>1492</v>
      </c>
      <c r="J710" t="s">
        <v>1493</v>
      </c>
      <c r="K710">
        <v>16.25</v>
      </c>
      <c r="L710">
        <v>16.25</v>
      </c>
      <c r="M710">
        <v>829.57681008855468</v>
      </c>
      <c r="N710">
        <v>17974.164218585349</v>
      </c>
      <c r="O710" t="s">
        <v>1494</v>
      </c>
      <c r="T710">
        <v>102.9261457569467</v>
      </c>
      <c r="U710">
        <v>7.5960511940708266E-3</v>
      </c>
      <c r="V710">
        <v>0.1187817437160774</v>
      </c>
      <c r="W710">
        <v>2.6965981738962738E-3</v>
      </c>
      <c r="Y710">
        <v>8.4109930027593816E-2</v>
      </c>
      <c r="Z710">
        <v>0.39028538595596018</v>
      </c>
      <c r="AA710">
        <v>2.5150132721864549E-2</v>
      </c>
      <c r="AB710">
        <v>1.6723588091094761</v>
      </c>
      <c r="AC710">
        <v>0.1032782382973484</v>
      </c>
      <c r="AD710">
        <v>1198.5367037415199</v>
      </c>
      <c r="AE710">
        <v>50</v>
      </c>
      <c r="AF710">
        <v>82.833954010163765</v>
      </c>
      <c r="AG710">
        <v>2.2635773333333331</v>
      </c>
      <c r="AH710">
        <v>13.886380000000001</v>
      </c>
      <c r="AI710">
        <v>0.2177118666666667</v>
      </c>
      <c r="AJ710">
        <v>10.761366666666669</v>
      </c>
      <c r="AK710">
        <v>0.40469953333333331</v>
      </c>
      <c r="AL710">
        <v>2.243736666666666</v>
      </c>
      <c r="AM710">
        <v>51.022860000000001</v>
      </c>
      <c r="AN710">
        <v>7.588878666666667</v>
      </c>
      <c r="AO710">
        <v>10.781546666666671</v>
      </c>
      <c r="AP710">
        <v>0.16453186666666669</v>
      </c>
      <c r="AQ710">
        <v>99.335289266666678</v>
      </c>
      <c r="AR710">
        <v>0.1008070208344824</v>
      </c>
      <c r="AS710">
        <v>0.50918127869298979</v>
      </c>
      <c r="AT710">
        <v>9.8559070892729559E-3</v>
      </c>
      <c r="AU710">
        <v>9.2254188187286965E-2</v>
      </c>
      <c r="AV710">
        <v>2.5645157467880399E-2</v>
      </c>
      <c r="AW710">
        <v>2.8151647926051869E-2</v>
      </c>
      <c r="AX710">
        <v>0.64615058594284736</v>
      </c>
      <c r="AY710">
        <v>0.1576115970563926</v>
      </c>
      <c r="AZ710">
        <v>0.38957662526437797</v>
      </c>
      <c r="BA710">
        <v>8.3271460971817632E-3</v>
      </c>
      <c r="BB710">
        <v>15</v>
      </c>
      <c r="BC710" t="s">
        <v>86</v>
      </c>
    </row>
    <row r="711" spans="1:55" x14ac:dyDescent="0.2">
      <c r="A711">
        <v>14</v>
      </c>
      <c r="B711" t="s">
        <v>1467</v>
      </c>
      <c r="C711" t="s">
        <v>1468</v>
      </c>
      <c r="D711" t="s">
        <v>92</v>
      </c>
      <c r="E711">
        <v>-155.25163000000001</v>
      </c>
      <c r="F711">
        <v>19.42567</v>
      </c>
      <c r="G711" t="s">
        <v>1469</v>
      </c>
      <c r="H711" t="s">
        <v>1490</v>
      </c>
      <c r="I711" t="s">
        <v>1495</v>
      </c>
      <c r="J711" t="s">
        <v>68</v>
      </c>
      <c r="K711">
        <v>19.57433820584432</v>
      </c>
      <c r="L711">
        <v>19.57433820584432</v>
      </c>
      <c r="M711">
        <v>1203.716041592075</v>
      </c>
      <c r="N711">
        <v>31415.926535897939</v>
      </c>
      <c r="O711" t="s">
        <v>1472</v>
      </c>
      <c r="T711">
        <v>102.8603012833016</v>
      </c>
      <c r="U711">
        <v>6.479170410044143E-3</v>
      </c>
      <c r="V711">
        <v>9.540695557205936E-2</v>
      </c>
      <c r="W711">
        <v>2.3001054955668551E-3</v>
      </c>
      <c r="Y711">
        <v>0.1038417275113297</v>
      </c>
      <c r="Z711">
        <v>0.31477551529111991</v>
      </c>
      <c r="AA711">
        <v>2.3316832418197309E-2</v>
      </c>
      <c r="AB711">
        <v>1.3595588083180199</v>
      </c>
      <c r="AC711">
        <v>9.7239037900554867E-2</v>
      </c>
      <c r="AD711">
        <v>1198.5367037415199</v>
      </c>
      <c r="AE711">
        <v>50</v>
      </c>
      <c r="AF711">
        <v>82.833954010163765</v>
      </c>
      <c r="AG711">
        <v>2.2635773333333331</v>
      </c>
      <c r="AH711">
        <v>13.886380000000001</v>
      </c>
      <c r="AI711">
        <v>0.2177118666666667</v>
      </c>
      <c r="AJ711">
        <v>10.761366666666669</v>
      </c>
      <c r="AK711">
        <v>0.40469953333333331</v>
      </c>
      <c r="AL711">
        <v>2.243736666666666</v>
      </c>
      <c r="AM711">
        <v>51.022860000000001</v>
      </c>
      <c r="AN711">
        <v>7.588878666666667</v>
      </c>
      <c r="AO711">
        <v>10.781546666666671</v>
      </c>
      <c r="AP711">
        <v>0.16453186666666669</v>
      </c>
      <c r="AQ711">
        <v>99.335289266666678</v>
      </c>
      <c r="AR711">
        <v>0.1008070208344824</v>
      </c>
      <c r="AS711">
        <v>0.50918127869298979</v>
      </c>
      <c r="AT711">
        <v>9.8559070892729559E-3</v>
      </c>
      <c r="AU711">
        <v>9.2254188187286965E-2</v>
      </c>
      <c r="AV711">
        <v>2.5645157467880399E-2</v>
      </c>
      <c r="AW711">
        <v>2.8151647926051869E-2</v>
      </c>
      <c r="AX711">
        <v>0.64615058594284736</v>
      </c>
      <c r="AY711">
        <v>0.1576115970563926</v>
      </c>
      <c r="AZ711">
        <v>0.38957662526437797</v>
      </c>
      <c r="BA711">
        <v>8.3271460971817632E-3</v>
      </c>
      <c r="BB711">
        <v>15</v>
      </c>
      <c r="BC711" t="s">
        <v>86</v>
      </c>
    </row>
    <row r="712" spans="1:55" x14ac:dyDescent="0.2">
      <c r="A712">
        <v>15</v>
      </c>
      <c r="B712" t="s">
        <v>1467</v>
      </c>
      <c r="C712" t="s">
        <v>1468</v>
      </c>
      <c r="D712" t="s">
        <v>92</v>
      </c>
      <c r="E712">
        <v>-155.29229000000001</v>
      </c>
      <c r="F712">
        <v>19.389810000000001</v>
      </c>
      <c r="G712" t="s">
        <v>1496</v>
      </c>
      <c r="H712" t="s">
        <v>1497</v>
      </c>
      <c r="I712" t="s">
        <v>1498</v>
      </c>
      <c r="J712" t="s">
        <v>68</v>
      </c>
      <c r="K712">
        <v>6.25</v>
      </c>
      <c r="L712">
        <v>6.25</v>
      </c>
      <c r="M712">
        <v>122.7184630308513</v>
      </c>
      <c r="N712">
        <v>1022.653858590427</v>
      </c>
      <c r="O712" t="s">
        <v>1472</v>
      </c>
      <c r="T712">
        <v>102.9892498849516</v>
      </c>
      <c r="U712">
        <v>2.528514657304489E-3</v>
      </c>
      <c r="V712">
        <v>0.14118370915782211</v>
      </c>
      <c r="W712">
        <v>8.9762270334385152E-4</v>
      </c>
      <c r="Y712">
        <v>6.6878966638369231E-2</v>
      </c>
      <c r="Z712">
        <v>0.48992192294728398</v>
      </c>
      <c r="AA712">
        <v>2.4694466514156289E-2</v>
      </c>
      <c r="AB712">
        <v>2.077790576961787</v>
      </c>
      <c r="AC712">
        <v>9.9440996324558856E-2</v>
      </c>
      <c r="AD712">
        <v>1278.209950400616</v>
      </c>
      <c r="AE712">
        <v>50</v>
      </c>
      <c r="AF712">
        <v>87.349154070519049</v>
      </c>
      <c r="AG712">
        <v>2.204775384615385</v>
      </c>
      <c r="AH712">
        <v>13.17560769230769</v>
      </c>
      <c r="AI712">
        <v>0.21984361538461539</v>
      </c>
      <c r="AJ712">
        <v>10.382981538461539</v>
      </c>
      <c r="AK712">
        <v>0.43329176923076929</v>
      </c>
      <c r="AL712">
        <v>2.3052553846153852</v>
      </c>
      <c r="AM712">
        <v>50.618461538461538</v>
      </c>
      <c r="AN712">
        <v>8.8660207692307687</v>
      </c>
      <c r="AO712">
        <v>11.044490769230769</v>
      </c>
      <c r="AP712">
        <v>0.16856492307692311</v>
      </c>
      <c r="AQ712">
        <v>99.419293384615401</v>
      </c>
      <c r="AR712">
        <v>7.418228490407773E-2</v>
      </c>
      <c r="AS712">
        <v>0.53997796322556624</v>
      </c>
      <c r="AT712">
        <v>1.056464646465166E-2</v>
      </c>
      <c r="AU712">
        <v>0.3242032794879921</v>
      </c>
      <c r="AV712">
        <v>3.7142583246084361E-2</v>
      </c>
      <c r="AW712">
        <v>0.10466237421787759</v>
      </c>
      <c r="AX712">
        <v>1.07911296716212</v>
      </c>
      <c r="AY712">
        <v>1.3093589526142271</v>
      </c>
      <c r="AZ712">
        <v>0.56039695553630442</v>
      </c>
      <c r="BA712">
        <v>9.7143283303714086E-3</v>
      </c>
      <c r="BB712">
        <v>13</v>
      </c>
      <c r="BC712" t="s">
        <v>86</v>
      </c>
    </row>
    <row r="713" spans="1:55" x14ac:dyDescent="0.2">
      <c r="A713">
        <v>16</v>
      </c>
      <c r="B713" t="s">
        <v>1467</v>
      </c>
      <c r="C713" t="s">
        <v>1468</v>
      </c>
      <c r="D713" t="s">
        <v>92</v>
      </c>
      <c r="E713">
        <v>-155.29229000000001</v>
      </c>
      <c r="F713">
        <v>19.389810000000001</v>
      </c>
      <c r="G713" t="s">
        <v>1496</v>
      </c>
      <c r="H713" t="s">
        <v>1499</v>
      </c>
      <c r="I713" t="s">
        <v>1500</v>
      </c>
      <c r="J713" t="s">
        <v>68</v>
      </c>
      <c r="K713">
        <v>22.5</v>
      </c>
      <c r="L713">
        <v>22.5</v>
      </c>
      <c r="M713">
        <v>1590.4312808798329</v>
      </c>
      <c r="N713">
        <v>47712.938426394983</v>
      </c>
      <c r="O713" t="s">
        <v>1501</v>
      </c>
      <c r="T713" t="s">
        <v>1502</v>
      </c>
      <c r="V713">
        <v>0.39554</v>
      </c>
      <c r="W713">
        <v>3.2085377035456053E-2</v>
      </c>
      <c r="Y713">
        <v>0</v>
      </c>
      <c r="Z713">
        <v>1.670839456460004</v>
      </c>
      <c r="AA713">
        <v>0.20571451252341191</v>
      </c>
      <c r="AB713">
        <v>6.3896178789353897</v>
      </c>
      <c r="AC713">
        <v>0.69265976464277168</v>
      </c>
      <c r="AD713">
        <v>1322.1925329518081</v>
      </c>
      <c r="AE713">
        <v>50</v>
      </c>
      <c r="AF713">
        <v>89.131301862899505</v>
      </c>
      <c r="AG713">
        <v>2.204775384615385</v>
      </c>
      <c r="AH713">
        <v>13.17560769230769</v>
      </c>
      <c r="AI713">
        <v>0.21984361538461539</v>
      </c>
      <c r="AJ713">
        <v>10.382981538461539</v>
      </c>
      <c r="AK713">
        <v>0.43329176923076929</v>
      </c>
      <c r="AL713">
        <v>2.3052553846153852</v>
      </c>
      <c r="AM713">
        <v>50.618461538461538</v>
      </c>
      <c r="AN713">
        <v>8.8660207692307687</v>
      </c>
      <c r="AO713">
        <v>11.044490769230769</v>
      </c>
      <c r="AP713">
        <v>0.16856492307692311</v>
      </c>
      <c r="AQ713">
        <v>99.419293384615401</v>
      </c>
      <c r="AR713">
        <v>7.418228490407773E-2</v>
      </c>
      <c r="AS713">
        <v>0.53997796322556624</v>
      </c>
      <c r="AT713">
        <v>1.056464646465166E-2</v>
      </c>
      <c r="AU713">
        <v>0.3242032794879921</v>
      </c>
      <c r="AV713">
        <v>3.7142583246084361E-2</v>
      </c>
      <c r="AW713">
        <v>0.10466237421787759</v>
      </c>
      <c r="AX713">
        <v>1.07911296716212</v>
      </c>
      <c r="AY713">
        <v>1.3093589526142271</v>
      </c>
      <c r="AZ713">
        <v>0.56039695553630442</v>
      </c>
      <c r="BA713">
        <v>9.7143283303714086E-3</v>
      </c>
      <c r="BB713">
        <v>13</v>
      </c>
      <c r="BC713" t="s">
        <v>86</v>
      </c>
    </row>
    <row r="714" spans="1:55" x14ac:dyDescent="0.2">
      <c r="A714">
        <v>17</v>
      </c>
      <c r="B714" t="s">
        <v>1467</v>
      </c>
      <c r="C714" t="s">
        <v>1468</v>
      </c>
      <c r="D714" t="s">
        <v>92</v>
      </c>
      <c r="E714">
        <v>-155.29229000000001</v>
      </c>
      <c r="F714">
        <v>19.389810000000001</v>
      </c>
      <c r="G714" t="s">
        <v>1496</v>
      </c>
      <c r="H714" t="s">
        <v>1499</v>
      </c>
      <c r="I714" t="s">
        <v>1503</v>
      </c>
      <c r="J714" t="s">
        <v>68</v>
      </c>
      <c r="K714">
        <v>21.25</v>
      </c>
      <c r="L714">
        <v>21.25</v>
      </c>
      <c r="M714">
        <v>1418.6254326366411</v>
      </c>
      <c r="N714">
        <v>40194.387258038158</v>
      </c>
      <c r="O714" t="s">
        <v>1501</v>
      </c>
      <c r="T714" t="s">
        <v>1502</v>
      </c>
      <c r="V714">
        <v>0.39023000000000002</v>
      </c>
      <c r="W714">
        <v>3.4016600481678927E-2</v>
      </c>
      <c r="Y714">
        <v>0</v>
      </c>
      <c r="Z714">
        <v>1.638913562640735</v>
      </c>
      <c r="AA714">
        <v>0.21437664413246829</v>
      </c>
      <c r="AB714">
        <v>6.2818853174890874</v>
      </c>
      <c r="AC714">
        <v>0.7239490149804314</v>
      </c>
      <c r="AD714">
        <v>1322.1925329518081</v>
      </c>
      <c r="AE714">
        <v>50</v>
      </c>
      <c r="AF714">
        <v>89.131301862899505</v>
      </c>
      <c r="AG714">
        <v>2.204775384615385</v>
      </c>
      <c r="AH714">
        <v>13.17560769230769</v>
      </c>
      <c r="AI714">
        <v>0.21984361538461539</v>
      </c>
      <c r="AJ714">
        <v>10.382981538461539</v>
      </c>
      <c r="AK714">
        <v>0.43329176923076929</v>
      </c>
      <c r="AL714">
        <v>2.3052553846153852</v>
      </c>
      <c r="AM714">
        <v>50.618461538461538</v>
      </c>
      <c r="AN714">
        <v>8.8660207692307687</v>
      </c>
      <c r="AO714">
        <v>11.044490769230769</v>
      </c>
      <c r="AP714">
        <v>0.16856492307692311</v>
      </c>
      <c r="AQ714">
        <v>99.419293384615401</v>
      </c>
      <c r="AR714">
        <v>7.418228490407773E-2</v>
      </c>
      <c r="AS714">
        <v>0.53997796322556624</v>
      </c>
      <c r="AT714">
        <v>1.056464646465166E-2</v>
      </c>
      <c r="AU714">
        <v>0.3242032794879921</v>
      </c>
      <c r="AV714">
        <v>3.7142583246084361E-2</v>
      </c>
      <c r="AW714">
        <v>0.10466237421787759</v>
      </c>
      <c r="AX714">
        <v>1.07911296716212</v>
      </c>
      <c r="AY714">
        <v>1.3093589526142271</v>
      </c>
      <c r="AZ714">
        <v>0.56039695553630442</v>
      </c>
      <c r="BA714">
        <v>9.7143283303714086E-3</v>
      </c>
      <c r="BB714">
        <v>13</v>
      </c>
      <c r="BC714" t="s">
        <v>86</v>
      </c>
    </row>
    <row r="715" spans="1:55" x14ac:dyDescent="0.2">
      <c r="A715">
        <v>18</v>
      </c>
      <c r="B715" t="s">
        <v>1467</v>
      </c>
      <c r="C715" t="s">
        <v>1468</v>
      </c>
      <c r="D715" t="s">
        <v>92</v>
      </c>
      <c r="E715">
        <v>-155.29229000000001</v>
      </c>
      <c r="F715">
        <v>19.389810000000001</v>
      </c>
      <c r="G715" t="s">
        <v>1496</v>
      </c>
      <c r="H715" t="s">
        <v>1499</v>
      </c>
      <c r="I715" t="s">
        <v>1504</v>
      </c>
      <c r="J715" t="s">
        <v>68</v>
      </c>
      <c r="K715">
        <v>30.5</v>
      </c>
      <c r="L715">
        <v>30.5</v>
      </c>
      <c r="M715">
        <v>2922.466566001905</v>
      </c>
      <c r="N715">
        <v>118846.9736840775</v>
      </c>
      <c r="O715" t="s">
        <v>1501</v>
      </c>
      <c r="T715" t="s">
        <v>1502</v>
      </c>
      <c r="V715">
        <v>0.39554</v>
      </c>
      <c r="W715">
        <v>2.366579265015803E-2</v>
      </c>
      <c r="Y715">
        <v>0</v>
      </c>
      <c r="Z715">
        <v>1.670839456460004</v>
      </c>
      <c r="AA715">
        <v>0.1552923687754679</v>
      </c>
      <c r="AB715">
        <v>6.3896178789353897</v>
      </c>
      <c r="AC715">
        <v>0.52301839736018096</v>
      </c>
      <c r="AD715">
        <v>1322.1925329518081</v>
      </c>
      <c r="AE715">
        <v>50</v>
      </c>
      <c r="AF715">
        <v>89.131301862899505</v>
      </c>
      <c r="AG715">
        <v>2.204775384615385</v>
      </c>
      <c r="AH715">
        <v>13.17560769230769</v>
      </c>
      <c r="AI715">
        <v>0.21984361538461539</v>
      </c>
      <c r="AJ715">
        <v>10.382981538461539</v>
      </c>
      <c r="AK715">
        <v>0.43329176923076929</v>
      </c>
      <c r="AL715">
        <v>2.3052553846153852</v>
      </c>
      <c r="AM715">
        <v>50.618461538461538</v>
      </c>
      <c r="AN715">
        <v>8.8660207692307687</v>
      </c>
      <c r="AO715">
        <v>11.044490769230769</v>
      </c>
      <c r="AP715">
        <v>0.16856492307692311</v>
      </c>
      <c r="AQ715">
        <v>99.419293384615401</v>
      </c>
      <c r="AR715">
        <v>7.418228490407773E-2</v>
      </c>
      <c r="AS715">
        <v>0.53997796322556624</v>
      </c>
      <c r="AT715">
        <v>1.056464646465166E-2</v>
      </c>
      <c r="AU715">
        <v>0.3242032794879921</v>
      </c>
      <c r="AV715">
        <v>3.7142583246084361E-2</v>
      </c>
      <c r="AW715">
        <v>0.10466237421787759</v>
      </c>
      <c r="AX715">
        <v>1.07911296716212</v>
      </c>
      <c r="AY715">
        <v>1.3093589526142271</v>
      </c>
      <c r="AZ715">
        <v>0.56039695553630442</v>
      </c>
      <c r="BA715">
        <v>9.7143283303714086E-3</v>
      </c>
      <c r="BB715">
        <v>13</v>
      </c>
      <c r="BC715" t="s">
        <v>86</v>
      </c>
    </row>
    <row r="716" spans="1:55" x14ac:dyDescent="0.2">
      <c r="A716">
        <v>19</v>
      </c>
      <c r="B716" t="s">
        <v>1467</v>
      </c>
      <c r="C716" t="s">
        <v>1468</v>
      </c>
      <c r="D716" t="s">
        <v>92</v>
      </c>
      <c r="E716">
        <v>-155.29229000000001</v>
      </c>
      <c r="F716">
        <v>19.389810000000001</v>
      </c>
      <c r="G716" t="s">
        <v>1496</v>
      </c>
      <c r="H716" t="s">
        <v>1499</v>
      </c>
      <c r="I716" t="s">
        <v>1505</v>
      </c>
      <c r="J716" t="s">
        <v>68</v>
      </c>
      <c r="K716">
        <v>15</v>
      </c>
      <c r="L716">
        <v>15</v>
      </c>
      <c r="M716">
        <v>706.85834705770344</v>
      </c>
      <c r="N716">
        <v>14137.16694115407</v>
      </c>
      <c r="O716" t="s">
        <v>1501</v>
      </c>
      <c r="T716" t="s">
        <v>1502</v>
      </c>
      <c r="V716">
        <v>0.40616000000000002</v>
      </c>
      <c r="W716">
        <v>4.7612350850883389E-2</v>
      </c>
      <c r="Y716">
        <v>0</v>
      </c>
      <c r="Z716">
        <v>1.7358217390291351</v>
      </c>
      <c r="AA716">
        <v>0.31054290182811589</v>
      </c>
      <c r="AB716">
        <v>6.6079174257175346</v>
      </c>
      <c r="AC716">
        <v>1.039994485487465</v>
      </c>
      <c r="AD716">
        <v>1322.1925329518081</v>
      </c>
      <c r="AE716">
        <v>50</v>
      </c>
      <c r="AF716">
        <v>89.131301862899505</v>
      </c>
      <c r="AG716">
        <v>2.204775384615385</v>
      </c>
      <c r="AH716">
        <v>13.17560769230769</v>
      </c>
      <c r="AI716">
        <v>0.21984361538461539</v>
      </c>
      <c r="AJ716">
        <v>10.382981538461539</v>
      </c>
      <c r="AK716">
        <v>0.43329176923076929</v>
      </c>
      <c r="AL716">
        <v>2.3052553846153852</v>
      </c>
      <c r="AM716">
        <v>50.618461538461538</v>
      </c>
      <c r="AN716">
        <v>8.8660207692307687</v>
      </c>
      <c r="AO716">
        <v>11.044490769230769</v>
      </c>
      <c r="AP716">
        <v>0.16856492307692311</v>
      </c>
      <c r="AQ716">
        <v>99.419293384615401</v>
      </c>
      <c r="AR716">
        <v>7.418228490407773E-2</v>
      </c>
      <c r="AS716">
        <v>0.53997796322556624</v>
      </c>
      <c r="AT716">
        <v>1.056464646465166E-2</v>
      </c>
      <c r="AU716">
        <v>0.3242032794879921</v>
      </c>
      <c r="AV716">
        <v>3.7142583246084361E-2</v>
      </c>
      <c r="AW716">
        <v>0.10466237421787759</v>
      </c>
      <c r="AX716">
        <v>1.07911296716212</v>
      </c>
      <c r="AY716">
        <v>1.3093589526142271</v>
      </c>
      <c r="AZ716">
        <v>0.56039695553630442</v>
      </c>
      <c r="BA716">
        <v>9.7143283303714086E-3</v>
      </c>
      <c r="BB716">
        <v>13</v>
      </c>
      <c r="BC716" t="s">
        <v>86</v>
      </c>
    </row>
    <row r="717" spans="1:55" x14ac:dyDescent="0.2">
      <c r="A717">
        <v>20</v>
      </c>
      <c r="B717" t="s">
        <v>1467</v>
      </c>
      <c r="C717" t="s">
        <v>1468</v>
      </c>
      <c r="D717" t="s">
        <v>92</v>
      </c>
      <c r="E717">
        <v>-155.29229000000001</v>
      </c>
      <c r="F717">
        <v>19.389810000000001</v>
      </c>
      <c r="G717" t="s">
        <v>1496</v>
      </c>
      <c r="H717" t="s">
        <v>1506</v>
      </c>
      <c r="I717" t="s">
        <v>1507</v>
      </c>
      <c r="J717" t="s">
        <v>68</v>
      </c>
      <c r="K717">
        <v>13.712016381081551</v>
      </c>
      <c r="L717">
        <v>13.712016381081551</v>
      </c>
      <c r="M717">
        <v>590.68034451963922</v>
      </c>
      <c r="N717">
        <v>10799.22474671491</v>
      </c>
      <c r="O717" t="s">
        <v>1501</v>
      </c>
      <c r="T717">
        <v>103.209841968144</v>
      </c>
      <c r="U717">
        <v>6.6638585981451124E-3</v>
      </c>
      <c r="V717">
        <v>0.34987042401835039</v>
      </c>
      <c r="W717">
        <v>5.5128488969739833E-2</v>
      </c>
      <c r="Y717">
        <v>0</v>
      </c>
      <c r="Z717">
        <v>1.399478691458093</v>
      </c>
      <c r="AA717">
        <v>0.31169585587371512</v>
      </c>
      <c r="AB717">
        <v>5.4623126263459536</v>
      </c>
      <c r="AC717">
        <v>1.0783460617793359</v>
      </c>
      <c r="AD717">
        <v>1313.446337502975</v>
      </c>
      <c r="AE717">
        <v>50</v>
      </c>
      <c r="AF717">
        <v>88.801176206524786</v>
      </c>
      <c r="AG717">
        <v>2.204775384615385</v>
      </c>
      <c r="AH717">
        <v>13.17560769230769</v>
      </c>
      <c r="AI717">
        <v>0.21984361538461539</v>
      </c>
      <c r="AJ717">
        <v>10.382981538461539</v>
      </c>
      <c r="AK717">
        <v>0.43329176923076929</v>
      </c>
      <c r="AL717">
        <v>2.3052553846153852</v>
      </c>
      <c r="AM717">
        <v>50.618461538461538</v>
      </c>
      <c r="AN717">
        <v>8.8660207692307687</v>
      </c>
      <c r="AO717">
        <v>11.044490769230769</v>
      </c>
      <c r="AP717">
        <v>0.16856492307692311</v>
      </c>
      <c r="AQ717">
        <v>99.419293384615401</v>
      </c>
      <c r="AR717">
        <v>7.418228490407773E-2</v>
      </c>
      <c r="AS717">
        <v>0.53997796322556624</v>
      </c>
      <c r="AT717">
        <v>1.056464646465166E-2</v>
      </c>
      <c r="AU717">
        <v>0.3242032794879921</v>
      </c>
      <c r="AV717">
        <v>3.7142583246084361E-2</v>
      </c>
      <c r="AW717">
        <v>0.10466237421787759</v>
      </c>
      <c r="AX717">
        <v>1.07911296716212</v>
      </c>
      <c r="AY717">
        <v>1.3093589526142271</v>
      </c>
      <c r="AZ717">
        <v>0.56039695553630442</v>
      </c>
      <c r="BA717">
        <v>9.7143283303714086E-3</v>
      </c>
      <c r="BB717">
        <v>13</v>
      </c>
      <c r="BC717" t="s">
        <v>86</v>
      </c>
    </row>
    <row r="718" spans="1:55" x14ac:dyDescent="0.2">
      <c r="A718">
        <v>21</v>
      </c>
      <c r="B718" t="s">
        <v>1467</v>
      </c>
      <c r="C718" t="s">
        <v>1468</v>
      </c>
      <c r="D718" t="s">
        <v>92</v>
      </c>
      <c r="E718">
        <v>-155.29229000000001</v>
      </c>
      <c r="F718">
        <v>19.389810000000001</v>
      </c>
      <c r="G718" t="s">
        <v>1496</v>
      </c>
      <c r="H718" t="s">
        <v>1506</v>
      </c>
      <c r="I718" t="s">
        <v>1508</v>
      </c>
      <c r="J718" t="s">
        <v>68</v>
      </c>
      <c r="K718">
        <v>11.75</v>
      </c>
      <c r="L718">
        <v>11.75</v>
      </c>
      <c r="M718">
        <v>433.73613573624078</v>
      </c>
      <c r="N718">
        <v>6795.199459867772</v>
      </c>
      <c r="O718" t="s">
        <v>1509</v>
      </c>
      <c r="T718">
        <v>103.2073150755454</v>
      </c>
      <c r="U718">
        <v>5.9915868732394748E-3</v>
      </c>
      <c r="V718">
        <v>0.3335255444185159</v>
      </c>
      <c r="W718">
        <v>6.5442044798695018E-2</v>
      </c>
      <c r="Y718">
        <v>0</v>
      </c>
      <c r="Z718">
        <v>1.312033356052253</v>
      </c>
      <c r="AA718">
        <v>0.35832974301842402</v>
      </c>
      <c r="AB718">
        <v>5.157182762587265</v>
      </c>
      <c r="AC718">
        <v>1.2514775856107849</v>
      </c>
      <c r="AD718">
        <v>1313.446337502975</v>
      </c>
      <c r="AE718">
        <v>50</v>
      </c>
      <c r="AF718">
        <v>88.801176206524786</v>
      </c>
      <c r="AG718">
        <v>2.204775384615385</v>
      </c>
      <c r="AH718">
        <v>13.17560769230769</v>
      </c>
      <c r="AI718">
        <v>0.21984361538461539</v>
      </c>
      <c r="AJ718">
        <v>10.382981538461539</v>
      </c>
      <c r="AK718">
        <v>0.43329176923076929</v>
      </c>
      <c r="AL718">
        <v>2.3052553846153852</v>
      </c>
      <c r="AM718">
        <v>50.618461538461538</v>
      </c>
      <c r="AN718">
        <v>8.8660207692307687</v>
      </c>
      <c r="AO718">
        <v>11.044490769230769</v>
      </c>
      <c r="AP718">
        <v>0.16856492307692311</v>
      </c>
      <c r="AQ718">
        <v>99.419293384615401</v>
      </c>
      <c r="AR718">
        <v>7.418228490407773E-2</v>
      </c>
      <c r="AS718">
        <v>0.53997796322556624</v>
      </c>
      <c r="AT718">
        <v>1.056464646465166E-2</v>
      </c>
      <c r="AU718">
        <v>0.3242032794879921</v>
      </c>
      <c r="AV718">
        <v>3.7142583246084361E-2</v>
      </c>
      <c r="AW718">
        <v>0.10466237421787759</v>
      </c>
      <c r="AX718">
        <v>1.07911296716212</v>
      </c>
      <c r="AY718">
        <v>1.3093589526142271</v>
      </c>
      <c r="AZ718">
        <v>0.56039695553630442</v>
      </c>
      <c r="BA718">
        <v>9.7143283303714086E-3</v>
      </c>
      <c r="BB718">
        <v>13</v>
      </c>
      <c r="BC718" t="s">
        <v>86</v>
      </c>
    </row>
    <row r="719" spans="1:55" x14ac:dyDescent="0.2">
      <c r="A719">
        <v>22</v>
      </c>
      <c r="B719" t="s">
        <v>1467</v>
      </c>
      <c r="C719" t="s">
        <v>1468</v>
      </c>
      <c r="D719" t="s">
        <v>92</v>
      </c>
      <c r="E719">
        <v>-155.29229000000001</v>
      </c>
      <c r="F719">
        <v>19.389810000000001</v>
      </c>
      <c r="G719" t="s">
        <v>1510</v>
      </c>
      <c r="H719" t="s">
        <v>1511</v>
      </c>
      <c r="I719" t="s">
        <v>1512</v>
      </c>
      <c r="J719" t="s">
        <v>68</v>
      </c>
      <c r="K719">
        <v>10.612730935969431</v>
      </c>
      <c r="L719">
        <v>10.612730935969431</v>
      </c>
      <c r="M719">
        <v>353.83776253261112</v>
      </c>
      <c r="N719">
        <v>5006.9132916587296</v>
      </c>
      <c r="O719" t="s">
        <v>1472</v>
      </c>
      <c r="T719">
        <v>103.1063222927751</v>
      </c>
      <c r="U719">
        <v>3.798697853004249E-3</v>
      </c>
      <c r="V719">
        <v>0.18274441393516841</v>
      </c>
      <c r="W719">
        <v>1.348537737818322E-3</v>
      </c>
      <c r="Y719">
        <v>5.313715023176202E-2</v>
      </c>
      <c r="Z719">
        <v>0.66118812166013063</v>
      </c>
      <c r="AA719">
        <v>3.0358703709027341E-2</v>
      </c>
      <c r="AB719">
        <v>2.7563474200149551</v>
      </c>
      <c r="AC719">
        <v>0.11819714243152819</v>
      </c>
      <c r="AD719">
        <v>1310.5273317034851</v>
      </c>
      <c r="AE719">
        <v>50</v>
      </c>
      <c r="AF719">
        <v>88.688592004288807</v>
      </c>
      <c r="AG719">
        <v>2.3209433333333331</v>
      </c>
      <c r="AH719">
        <v>14.11354666666667</v>
      </c>
      <c r="AI719">
        <v>0.21931226666666659</v>
      </c>
      <c r="AJ719">
        <v>10.642350666666671</v>
      </c>
      <c r="AK719">
        <v>0.44186533333333328</v>
      </c>
      <c r="AL719">
        <v>2.2977933333333329</v>
      </c>
      <c r="AM719">
        <v>51.52762666666667</v>
      </c>
      <c r="AN719">
        <v>7.3571793333333337</v>
      </c>
      <c r="AO719">
        <v>11.05599333333333</v>
      </c>
      <c r="AP719">
        <v>0.1664713333333333</v>
      </c>
      <c r="AQ719">
        <v>100.1430822666667</v>
      </c>
      <c r="AR719">
        <v>7.165887589990573E-2</v>
      </c>
      <c r="AS719">
        <v>0.55330919522795774</v>
      </c>
      <c r="AT719">
        <v>1.4972424560154711E-2</v>
      </c>
      <c r="AU719">
        <v>0.36069912541908822</v>
      </c>
      <c r="AV719">
        <v>2.0825386381826891E-2</v>
      </c>
      <c r="AW719">
        <v>4.1839529269864062E-2</v>
      </c>
      <c r="AX719">
        <v>1.307583900321869</v>
      </c>
      <c r="AY719">
        <v>0.6469445085881641</v>
      </c>
      <c r="AZ719">
        <v>0.36187146389422881</v>
      </c>
      <c r="BA719">
        <v>8.4126623072151296E-3</v>
      </c>
      <c r="BB719">
        <v>15</v>
      </c>
      <c r="BC719" t="s">
        <v>86</v>
      </c>
    </row>
    <row r="720" spans="1:55" x14ac:dyDescent="0.2">
      <c r="A720">
        <v>23</v>
      </c>
      <c r="B720" t="s">
        <v>1467</v>
      </c>
      <c r="C720" t="s">
        <v>1468</v>
      </c>
      <c r="D720" t="s">
        <v>92</v>
      </c>
      <c r="E720">
        <v>-155.29229000000001</v>
      </c>
      <c r="F720">
        <v>19.389810000000001</v>
      </c>
      <c r="G720" t="s">
        <v>1510</v>
      </c>
      <c r="H720" t="s">
        <v>1511</v>
      </c>
      <c r="I720" t="s">
        <v>1513</v>
      </c>
      <c r="J720" t="s">
        <v>68</v>
      </c>
      <c r="K720">
        <v>9.9476430197409798</v>
      </c>
      <c r="L720">
        <v>9.9476430197409798</v>
      </c>
      <c r="M720">
        <v>310.87819116954768</v>
      </c>
      <c r="N720">
        <v>4123.3403578366033</v>
      </c>
      <c r="O720" t="s">
        <v>1472</v>
      </c>
      <c r="T720">
        <v>103.0971301085084</v>
      </c>
      <c r="U720">
        <v>2.2369709468172999E-3</v>
      </c>
      <c r="V720">
        <v>0.17948118852047659</v>
      </c>
      <c r="W720">
        <v>7.9412468611890724E-4</v>
      </c>
      <c r="Y720">
        <v>5.3739825381861513E-2</v>
      </c>
      <c r="Z720">
        <v>0.64797944797198626</v>
      </c>
      <c r="AA720">
        <v>2.9674990045286131E-2</v>
      </c>
      <c r="AB720">
        <v>2.7048032662235828</v>
      </c>
      <c r="AC720">
        <v>0.1158274198187849</v>
      </c>
      <c r="AD720">
        <v>1310.5273317034851</v>
      </c>
      <c r="AE720">
        <v>50</v>
      </c>
      <c r="AF720">
        <v>88.688592004288807</v>
      </c>
      <c r="AG720">
        <v>2.3209433333333331</v>
      </c>
      <c r="AH720">
        <v>14.11354666666667</v>
      </c>
      <c r="AI720">
        <v>0.21931226666666659</v>
      </c>
      <c r="AJ720">
        <v>10.642350666666671</v>
      </c>
      <c r="AK720">
        <v>0.44186533333333328</v>
      </c>
      <c r="AL720">
        <v>2.2977933333333329</v>
      </c>
      <c r="AM720">
        <v>51.52762666666667</v>
      </c>
      <c r="AN720">
        <v>7.3571793333333337</v>
      </c>
      <c r="AO720">
        <v>11.05599333333333</v>
      </c>
      <c r="AP720">
        <v>0.1664713333333333</v>
      </c>
      <c r="AQ720">
        <v>100.1430822666667</v>
      </c>
      <c r="AR720">
        <v>7.165887589990573E-2</v>
      </c>
      <c r="AS720">
        <v>0.55330919522795774</v>
      </c>
      <c r="AT720">
        <v>1.4972424560154711E-2</v>
      </c>
      <c r="AU720">
        <v>0.36069912541908822</v>
      </c>
      <c r="AV720">
        <v>2.0825386381826891E-2</v>
      </c>
      <c r="AW720">
        <v>4.1839529269864062E-2</v>
      </c>
      <c r="AX720">
        <v>1.307583900321869</v>
      </c>
      <c r="AY720">
        <v>0.6469445085881641</v>
      </c>
      <c r="AZ720">
        <v>0.36187146389422881</v>
      </c>
      <c r="BA720">
        <v>8.4126623072151296E-3</v>
      </c>
      <c r="BB720">
        <v>15</v>
      </c>
      <c r="BC720" t="s">
        <v>86</v>
      </c>
    </row>
    <row r="721" spans="1:55" x14ac:dyDescent="0.2">
      <c r="A721">
        <v>24</v>
      </c>
      <c r="B721" t="s">
        <v>1467</v>
      </c>
      <c r="C721" t="s">
        <v>1468</v>
      </c>
      <c r="D721" t="s">
        <v>92</v>
      </c>
      <c r="E721">
        <v>-155.29229000000001</v>
      </c>
      <c r="F721">
        <v>19.389810000000001</v>
      </c>
      <c r="G721" t="s">
        <v>1510</v>
      </c>
      <c r="H721" t="s">
        <v>1514</v>
      </c>
      <c r="I721" t="s">
        <v>1515</v>
      </c>
      <c r="J721" t="s">
        <v>1493</v>
      </c>
      <c r="K721">
        <v>6.25</v>
      </c>
      <c r="L721">
        <v>6.25</v>
      </c>
      <c r="M721">
        <v>122.7184630308513</v>
      </c>
      <c r="N721">
        <v>1022.653858590427</v>
      </c>
      <c r="O721" t="s">
        <v>1494</v>
      </c>
      <c r="T721">
        <v>102.9879721043435</v>
      </c>
      <c r="U721">
        <v>7.1002256792479851E-3</v>
      </c>
      <c r="V721">
        <v>0.1407300970419314</v>
      </c>
      <c r="W721">
        <v>2.5205801161320828E-3</v>
      </c>
      <c r="Y721">
        <v>6.5281709545998545E-2</v>
      </c>
      <c r="Z721">
        <v>0.50254041428585239</v>
      </c>
      <c r="AA721">
        <v>2.564481221407092E-2</v>
      </c>
      <c r="AB721">
        <v>2.1285611668924642</v>
      </c>
      <c r="AC721">
        <v>0.1028960548496244</v>
      </c>
      <c r="AD721">
        <v>1324.598451528653</v>
      </c>
      <c r="AE721">
        <v>50</v>
      </c>
      <c r="AF721">
        <v>89.220296156190912</v>
      </c>
      <c r="AG721">
        <v>2.3209433333333331</v>
      </c>
      <c r="AH721">
        <v>14.11354666666667</v>
      </c>
      <c r="AI721">
        <v>0.21931226666666659</v>
      </c>
      <c r="AJ721">
        <v>10.642350666666671</v>
      </c>
      <c r="AK721">
        <v>0.44186533333333328</v>
      </c>
      <c r="AL721">
        <v>2.2977933333333329</v>
      </c>
      <c r="AM721">
        <v>51.52762666666667</v>
      </c>
      <c r="AN721">
        <v>7.3571793333333337</v>
      </c>
      <c r="AO721">
        <v>11.05599333333333</v>
      </c>
      <c r="AP721">
        <v>0.1664713333333333</v>
      </c>
      <c r="AQ721">
        <v>100.1430822666667</v>
      </c>
      <c r="AR721">
        <v>7.165887589990573E-2</v>
      </c>
      <c r="AS721">
        <v>0.55330919522795774</v>
      </c>
      <c r="AT721">
        <v>1.4972424560154711E-2</v>
      </c>
      <c r="AU721">
        <v>0.36069912541908822</v>
      </c>
      <c r="AV721">
        <v>2.0825386381826891E-2</v>
      </c>
      <c r="AW721">
        <v>4.1839529269864062E-2</v>
      </c>
      <c r="AX721">
        <v>1.307583900321869</v>
      </c>
      <c r="AY721">
        <v>0.6469445085881641</v>
      </c>
      <c r="AZ721">
        <v>0.36187146389422881</v>
      </c>
      <c r="BA721">
        <v>8.4126623072151296E-3</v>
      </c>
      <c r="BB721">
        <v>15</v>
      </c>
      <c r="BC721" t="s">
        <v>86</v>
      </c>
    </row>
    <row r="722" spans="1:55" x14ac:dyDescent="0.2">
      <c r="A722">
        <v>25</v>
      </c>
      <c r="B722" t="s">
        <v>1467</v>
      </c>
      <c r="C722" t="s">
        <v>1468</v>
      </c>
      <c r="D722" t="s">
        <v>92</v>
      </c>
      <c r="E722">
        <v>-155.29229000000001</v>
      </c>
      <c r="F722">
        <v>19.389810000000001</v>
      </c>
      <c r="G722" t="s">
        <v>1510</v>
      </c>
      <c r="H722" t="s">
        <v>1514</v>
      </c>
      <c r="I722" t="s">
        <v>1516</v>
      </c>
      <c r="J722" t="s">
        <v>68</v>
      </c>
      <c r="K722">
        <v>5</v>
      </c>
      <c r="L722">
        <v>5</v>
      </c>
      <c r="M722">
        <v>78.539816339744831</v>
      </c>
      <c r="N722">
        <v>523.59877559829886</v>
      </c>
      <c r="O722" t="s">
        <v>1472</v>
      </c>
      <c r="T722">
        <v>102.9771722324932</v>
      </c>
      <c r="U722">
        <v>8.8160752149744268E-3</v>
      </c>
      <c r="V722">
        <v>0.13689614253508611</v>
      </c>
      <c r="W722">
        <v>3.1297067013154561E-3</v>
      </c>
      <c r="Y722">
        <v>6.7086872371507122E-2</v>
      </c>
      <c r="Z722">
        <v>0.48827020275430999</v>
      </c>
      <c r="AA722">
        <v>2.6342690641160991E-2</v>
      </c>
      <c r="AB722">
        <v>2.071135452185529</v>
      </c>
      <c r="AC722">
        <v>0.1059920198278294</v>
      </c>
      <c r="AD722">
        <v>1324.598451528653</v>
      </c>
      <c r="AE722">
        <v>50</v>
      </c>
      <c r="AF722">
        <v>89.220296156190912</v>
      </c>
      <c r="AG722">
        <v>2.3209433333333331</v>
      </c>
      <c r="AH722">
        <v>14.11354666666667</v>
      </c>
      <c r="AI722">
        <v>0.21931226666666659</v>
      </c>
      <c r="AJ722">
        <v>10.642350666666671</v>
      </c>
      <c r="AK722">
        <v>0.44186533333333328</v>
      </c>
      <c r="AL722">
        <v>2.2977933333333329</v>
      </c>
      <c r="AM722">
        <v>51.52762666666667</v>
      </c>
      <c r="AN722">
        <v>7.3571793333333337</v>
      </c>
      <c r="AO722">
        <v>11.05599333333333</v>
      </c>
      <c r="AP722">
        <v>0.1664713333333333</v>
      </c>
      <c r="AQ722">
        <v>100.1430822666667</v>
      </c>
      <c r="AR722">
        <v>7.165887589990573E-2</v>
      </c>
      <c r="AS722">
        <v>0.55330919522795774</v>
      </c>
      <c r="AT722">
        <v>1.4972424560154711E-2</v>
      </c>
      <c r="AU722">
        <v>0.36069912541908822</v>
      </c>
      <c r="AV722">
        <v>2.0825386381826891E-2</v>
      </c>
      <c r="AW722">
        <v>4.1839529269864062E-2</v>
      </c>
      <c r="AX722">
        <v>1.307583900321869</v>
      </c>
      <c r="AY722">
        <v>0.6469445085881641</v>
      </c>
      <c r="AZ722">
        <v>0.36187146389422881</v>
      </c>
      <c r="BA722">
        <v>8.4126623072151296E-3</v>
      </c>
      <c r="BB722">
        <v>15</v>
      </c>
      <c r="BC722" t="s">
        <v>86</v>
      </c>
    </row>
    <row r="723" spans="1:55" x14ac:dyDescent="0.2">
      <c r="A723">
        <v>26</v>
      </c>
      <c r="B723" t="s">
        <v>1467</v>
      </c>
      <c r="C723" t="s">
        <v>1468</v>
      </c>
      <c r="D723" t="s">
        <v>92</v>
      </c>
      <c r="E723">
        <v>-155.29229000000001</v>
      </c>
      <c r="F723">
        <v>19.389810000000001</v>
      </c>
      <c r="G723" t="s">
        <v>1510</v>
      </c>
      <c r="H723" t="s">
        <v>1517</v>
      </c>
      <c r="I723" t="s">
        <v>1518</v>
      </c>
      <c r="J723" t="s">
        <v>68</v>
      </c>
      <c r="K723">
        <v>77.941462489963143</v>
      </c>
      <c r="L723">
        <v>77.941462489963143</v>
      </c>
      <c r="M723">
        <v>19084.771911754979</v>
      </c>
      <c r="N723">
        <v>1983326.712119404</v>
      </c>
      <c r="O723" t="s">
        <v>1472</v>
      </c>
      <c r="T723">
        <v>102.97074625002929</v>
      </c>
      <c r="U723">
        <v>1.445345172915803E-2</v>
      </c>
      <c r="V723">
        <v>0.13461491876037709</v>
      </c>
      <c r="W723">
        <v>5.1309753638523053E-3</v>
      </c>
      <c r="Y723">
        <v>6.8345509192590637E-2</v>
      </c>
      <c r="Z723">
        <v>0.47897524318949708</v>
      </c>
      <c r="AA723">
        <v>3.062539122448793E-2</v>
      </c>
      <c r="AB723">
        <v>2.0336433090611492</v>
      </c>
      <c r="AC723">
        <v>0.12343896960802291</v>
      </c>
      <c r="AD723">
        <v>1321.648110887543</v>
      </c>
      <c r="AE723">
        <v>50</v>
      </c>
      <c r="AF723">
        <v>89.111057685559615</v>
      </c>
      <c r="AG723">
        <v>2.3209433333333331</v>
      </c>
      <c r="AH723">
        <v>14.11354666666667</v>
      </c>
      <c r="AI723">
        <v>0.21931226666666659</v>
      </c>
      <c r="AJ723">
        <v>10.642350666666671</v>
      </c>
      <c r="AK723">
        <v>0.44186533333333328</v>
      </c>
      <c r="AL723">
        <v>2.2977933333333329</v>
      </c>
      <c r="AM723">
        <v>51.52762666666667</v>
      </c>
      <c r="AN723">
        <v>7.3571793333333337</v>
      </c>
      <c r="AO723">
        <v>11.05599333333333</v>
      </c>
      <c r="AP723">
        <v>0.1664713333333333</v>
      </c>
      <c r="AQ723">
        <v>100.1430822666667</v>
      </c>
      <c r="AR723">
        <v>7.165887589990573E-2</v>
      </c>
      <c r="AS723">
        <v>0.55330919522795774</v>
      </c>
      <c r="AT723">
        <v>1.4972424560154711E-2</v>
      </c>
      <c r="AU723">
        <v>0.36069912541908822</v>
      </c>
      <c r="AV723">
        <v>2.0825386381826891E-2</v>
      </c>
      <c r="AW723">
        <v>4.1839529269864062E-2</v>
      </c>
      <c r="AX723">
        <v>1.307583900321869</v>
      </c>
      <c r="AY723">
        <v>0.6469445085881641</v>
      </c>
      <c r="AZ723">
        <v>0.36187146389422881</v>
      </c>
      <c r="BA723">
        <v>8.4126623072151296E-3</v>
      </c>
      <c r="BB723">
        <v>15</v>
      </c>
      <c r="BC723" t="s">
        <v>86</v>
      </c>
    </row>
    <row r="724" spans="1:55" x14ac:dyDescent="0.2">
      <c r="A724">
        <v>27</v>
      </c>
      <c r="B724" t="s">
        <v>1467</v>
      </c>
      <c r="C724" t="s">
        <v>1468</v>
      </c>
      <c r="D724" t="s">
        <v>92</v>
      </c>
      <c r="E724">
        <v>-155.29229000000001</v>
      </c>
      <c r="F724">
        <v>19.389810000000001</v>
      </c>
      <c r="G724" t="s">
        <v>1510</v>
      </c>
      <c r="H724" t="s">
        <v>1517</v>
      </c>
      <c r="I724" t="s">
        <v>1519</v>
      </c>
      <c r="J724" t="s">
        <v>68</v>
      </c>
      <c r="K724">
        <v>9.7871691029221601</v>
      </c>
      <c r="L724">
        <v>9.7871691029221601</v>
      </c>
      <c r="M724">
        <v>300.92901039801887</v>
      </c>
      <c r="N724">
        <v>3926.9908169872419</v>
      </c>
      <c r="O724" t="s">
        <v>1472</v>
      </c>
      <c r="T724">
        <v>102.95810196886021</v>
      </c>
      <c r="U724">
        <v>3.610830624519537E-3</v>
      </c>
      <c r="V724">
        <v>0.13012619894535499</v>
      </c>
      <c r="W724">
        <v>1.281844871703018E-3</v>
      </c>
      <c r="Y724">
        <v>7.088588750262248E-2</v>
      </c>
      <c r="Z724">
        <v>0.46156845156940618</v>
      </c>
      <c r="AA724">
        <v>2.32048258532703E-2</v>
      </c>
      <c r="AB724">
        <v>1.9632439419658609</v>
      </c>
      <c r="AC724">
        <v>9.3877947396943204E-2</v>
      </c>
      <c r="AD724">
        <v>1318.202238464738</v>
      </c>
      <c r="AE724">
        <v>50</v>
      </c>
      <c r="AF724">
        <v>88.981997909971113</v>
      </c>
      <c r="AG724">
        <v>2.3209433333333331</v>
      </c>
      <c r="AH724">
        <v>14.11354666666667</v>
      </c>
      <c r="AI724">
        <v>0.21931226666666659</v>
      </c>
      <c r="AJ724">
        <v>10.642350666666671</v>
      </c>
      <c r="AK724">
        <v>0.44186533333333328</v>
      </c>
      <c r="AL724">
        <v>2.2977933333333329</v>
      </c>
      <c r="AM724">
        <v>51.52762666666667</v>
      </c>
      <c r="AN724">
        <v>7.3571793333333337</v>
      </c>
      <c r="AO724">
        <v>11.05599333333333</v>
      </c>
      <c r="AP724">
        <v>0.1664713333333333</v>
      </c>
      <c r="AQ724">
        <v>100.1430822666667</v>
      </c>
      <c r="AR724">
        <v>7.165887589990573E-2</v>
      </c>
      <c r="AS724">
        <v>0.55330919522795774</v>
      </c>
      <c r="AT724">
        <v>1.4972424560154711E-2</v>
      </c>
      <c r="AU724">
        <v>0.36069912541908822</v>
      </c>
      <c r="AV724">
        <v>2.0825386381826891E-2</v>
      </c>
      <c r="AW724">
        <v>4.1839529269864062E-2</v>
      </c>
      <c r="AX724">
        <v>1.307583900321869</v>
      </c>
      <c r="AY724">
        <v>0.6469445085881641</v>
      </c>
      <c r="AZ724">
        <v>0.36187146389422881</v>
      </c>
      <c r="BA724">
        <v>8.4126623072151296E-3</v>
      </c>
      <c r="BB724">
        <v>15</v>
      </c>
      <c r="BC724" t="s">
        <v>86</v>
      </c>
    </row>
    <row r="725" spans="1:55" x14ac:dyDescent="0.2">
      <c r="A725">
        <v>28</v>
      </c>
      <c r="B725" t="s">
        <v>1467</v>
      </c>
      <c r="C725" t="s">
        <v>1468</v>
      </c>
      <c r="D725" t="s">
        <v>92</v>
      </c>
      <c r="E725">
        <v>-155.29229000000001</v>
      </c>
      <c r="F725">
        <v>19.389810000000001</v>
      </c>
      <c r="G725" t="s">
        <v>1510</v>
      </c>
      <c r="H725" t="s">
        <v>1517</v>
      </c>
      <c r="I725" t="s">
        <v>1520</v>
      </c>
      <c r="J725" t="s">
        <v>68</v>
      </c>
      <c r="K725">
        <v>9.3610904840231353</v>
      </c>
      <c r="L725">
        <v>9.3610904840231353</v>
      </c>
      <c r="M725">
        <v>275.29781151525822</v>
      </c>
      <c r="N725">
        <v>3436.116964863837</v>
      </c>
      <c r="O725" t="s">
        <v>1472</v>
      </c>
      <c r="T725">
        <v>102.9730368035946</v>
      </c>
      <c r="U725">
        <v>1.606543885012949E-3</v>
      </c>
      <c r="V725">
        <v>0.13542806527606641</v>
      </c>
      <c r="W725">
        <v>5.7032307917855485E-4</v>
      </c>
      <c r="Y725">
        <v>6.8069729048679584E-2</v>
      </c>
      <c r="Z725">
        <v>0.48097593982774428</v>
      </c>
      <c r="AA725">
        <v>2.3185422958618241E-2</v>
      </c>
      <c r="AB725">
        <v>2.0417191806378612</v>
      </c>
      <c r="AC725">
        <v>9.3442597985746209E-2</v>
      </c>
      <c r="AD725">
        <v>1318.202238464738</v>
      </c>
      <c r="AE725">
        <v>50</v>
      </c>
      <c r="AF725">
        <v>88.981997909971113</v>
      </c>
      <c r="AG725">
        <v>2.3209433333333331</v>
      </c>
      <c r="AH725">
        <v>14.11354666666667</v>
      </c>
      <c r="AI725">
        <v>0.21931226666666659</v>
      </c>
      <c r="AJ725">
        <v>10.642350666666671</v>
      </c>
      <c r="AK725">
        <v>0.44186533333333328</v>
      </c>
      <c r="AL725">
        <v>2.2977933333333329</v>
      </c>
      <c r="AM725">
        <v>51.52762666666667</v>
      </c>
      <c r="AN725">
        <v>7.3571793333333337</v>
      </c>
      <c r="AO725">
        <v>11.05599333333333</v>
      </c>
      <c r="AP725">
        <v>0.1664713333333333</v>
      </c>
      <c r="AQ725">
        <v>100.1430822666667</v>
      </c>
      <c r="AR725">
        <v>7.165887589990573E-2</v>
      </c>
      <c r="AS725">
        <v>0.55330919522795774</v>
      </c>
      <c r="AT725">
        <v>1.4972424560154711E-2</v>
      </c>
      <c r="AU725">
        <v>0.36069912541908822</v>
      </c>
      <c r="AV725">
        <v>2.0825386381826891E-2</v>
      </c>
      <c r="AW725">
        <v>4.1839529269864062E-2</v>
      </c>
      <c r="AX725">
        <v>1.307583900321869</v>
      </c>
      <c r="AY725">
        <v>0.6469445085881641</v>
      </c>
      <c r="AZ725">
        <v>0.36187146389422881</v>
      </c>
      <c r="BA725">
        <v>8.4126623072151296E-3</v>
      </c>
      <c r="BB725">
        <v>15</v>
      </c>
      <c r="BC725" t="s">
        <v>86</v>
      </c>
    </row>
    <row r="726" spans="1:55" x14ac:dyDescent="0.2">
      <c r="A726">
        <v>29</v>
      </c>
      <c r="B726" t="s">
        <v>1467</v>
      </c>
      <c r="C726" t="s">
        <v>1468</v>
      </c>
      <c r="D726" t="s">
        <v>92</v>
      </c>
      <c r="E726">
        <v>-155.29229000000001</v>
      </c>
      <c r="F726">
        <v>19.389810000000001</v>
      </c>
      <c r="G726" t="s">
        <v>1510</v>
      </c>
      <c r="H726" t="s">
        <v>1517</v>
      </c>
      <c r="I726" t="s">
        <v>1521</v>
      </c>
      <c r="J726" t="s">
        <v>68</v>
      </c>
      <c r="K726">
        <v>6.8560081905407753</v>
      </c>
      <c r="L726">
        <v>6.8560081905407753</v>
      </c>
      <c r="M726">
        <v>147.67008612990989</v>
      </c>
      <c r="N726">
        <v>1349.9030933393649</v>
      </c>
      <c r="O726" t="s">
        <v>1472</v>
      </c>
      <c r="T726">
        <v>102.9463797057585</v>
      </c>
      <c r="U726">
        <v>8.0614340409169601E-3</v>
      </c>
      <c r="V726">
        <v>0.1259647955442631</v>
      </c>
      <c r="W726">
        <v>2.8618090845265172E-3</v>
      </c>
      <c r="Y726">
        <v>7.3291808984878304E-2</v>
      </c>
      <c r="Z726">
        <v>0.44647393825809478</v>
      </c>
      <c r="AA726">
        <v>2.5003415741266018E-2</v>
      </c>
      <c r="AB726">
        <v>1.9019971206910971</v>
      </c>
      <c r="AC726">
        <v>0.1014499651695757</v>
      </c>
      <c r="AD726">
        <v>1318.202238464738</v>
      </c>
      <c r="AE726">
        <v>50</v>
      </c>
      <c r="AF726">
        <v>88.981997909971113</v>
      </c>
      <c r="AG726">
        <v>2.3209433333333331</v>
      </c>
      <c r="AH726">
        <v>14.11354666666667</v>
      </c>
      <c r="AI726">
        <v>0.21931226666666659</v>
      </c>
      <c r="AJ726">
        <v>10.642350666666671</v>
      </c>
      <c r="AK726">
        <v>0.44186533333333328</v>
      </c>
      <c r="AL726">
        <v>2.2977933333333329</v>
      </c>
      <c r="AM726">
        <v>51.52762666666667</v>
      </c>
      <c r="AN726">
        <v>7.3571793333333337</v>
      </c>
      <c r="AO726">
        <v>11.05599333333333</v>
      </c>
      <c r="AP726">
        <v>0.1664713333333333</v>
      </c>
      <c r="AQ726">
        <v>100.1430822666667</v>
      </c>
      <c r="AR726">
        <v>7.165887589990573E-2</v>
      </c>
      <c r="AS726">
        <v>0.55330919522795774</v>
      </c>
      <c r="AT726">
        <v>1.4972424560154711E-2</v>
      </c>
      <c r="AU726">
        <v>0.36069912541908822</v>
      </c>
      <c r="AV726">
        <v>2.0825386381826891E-2</v>
      </c>
      <c r="AW726">
        <v>4.1839529269864062E-2</v>
      </c>
      <c r="AX726">
        <v>1.307583900321869</v>
      </c>
      <c r="AY726">
        <v>0.6469445085881641</v>
      </c>
      <c r="AZ726">
        <v>0.36187146389422881</v>
      </c>
      <c r="BA726">
        <v>8.4126623072151296E-3</v>
      </c>
      <c r="BB726">
        <v>15</v>
      </c>
      <c r="BC726" t="s">
        <v>86</v>
      </c>
    </row>
    <row r="727" spans="1:55" x14ac:dyDescent="0.2">
      <c r="A727">
        <v>30</v>
      </c>
      <c r="B727" t="s">
        <v>1467</v>
      </c>
      <c r="C727" t="s">
        <v>1468</v>
      </c>
      <c r="D727" t="s">
        <v>92</v>
      </c>
      <c r="E727">
        <v>-155.29229000000001</v>
      </c>
      <c r="F727">
        <v>19.389810000000001</v>
      </c>
      <c r="G727" t="s">
        <v>1510</v>
      </c>
      <c r="H727" t="s">
        <v>1522</v>
      </c>
      <c r="I727" t="s">
        <v>1523</v>
      </c>
      <c r="J727" t="s">
        <v>68</v>
      </c>
      <c r="K727">
        <v>15</v>
      </c>
      <c r="L727">
        <v>15</v>
      </c>
      <c r="M727">
        <v>706.85834705770344</v>
      </c>
      <c r="N727">
        <v>14137.16694115407</v>
      </c>
      <c r="O727" t="s">
        <v>1501</v>
      </c>
      <c r="T727">
        <v>103.1737698626289</v>
      </c>
      <c r="U727">
        <v>4.3774668813186621E-3</v>
      </c>
      <c r="V727">
        <v>0.35500245990028267</v>
      </c>
      <c r="W727">
        <v>5.037818576723007E-2</v>
      </c>
      <c r="Y727">
        <v>0</v>
      </c>
      <c r="Z727">
        <v>1.4334964732764099</v>
      </c>
      <c r="AA727">
        <v>0.27874207152591429</v>
      </c>
      <c r="AB727">
        <v>5.5801157527800944</v>
      </c>
      <c r="AC727">
        <v>0.95931470083310488</v>
      </c>
      <c r="AD727">
        <v>1319.442252321036</v>
      </c>
      <c r="AE727">
        <v>50</v>
      </c>
      <c r="AF727">
        <v>89.028626413096376</v>
      </c>
      <c r="AG727">
        <v>2.3209433333333331</v>
      </c>
      <c r="AH727">
        <v>14.11354666666667</v>
      </c>
      <c r="AI727">
        <v>0.21931226666666659</v>
      </c>
      <c r="AJ727">
        <v>10.642350666666671</v>
      </c>
      <c r="AK727">
        <v>0.44186533333333328</v>
      </c>
      <c r="AL727">
        <v>2.2977933333333329</v>
      </c>
      <c r="AM727">
        <v>51.52762666666667</v>
      </c>
      <c r="AN727">
        <v>7.3571793333333337</v>
      </c>
      <c r="AO727">
        <v>11.05599333333333</v>
      </c>
      <c r="AP727">
        <v>0.1664713333333333</v>
      </c>
      <c r="AQ727">
        <v>100.1430822666667</v>
      </c>
      <c r="AR727">
        <v>7.165887589990573E-2</v>
      </c>
      <c r="AS727">
        <v>0.55330919522795774</v>
      </c>
      <c r="AT727">
        <v>1.4972424560154711E-2</v>
      </c>
      <c r="AU727">
        <v>0.36069912541908822</v>
      </c>
      <c r="AV727">
        <v>2.0825386381826891E-2</v>
      </c>
      <c r="AW727">
        <v>4.1839529269864062E-2</v>
      </c>
      <c r="AX727">
        <v>1.307583900321869</v>
      </c>
      <c r="AY727">
        <v>0.6469445085881641</v>
      </c>
      <c r="AZ727">
        <v>0.36187146389422881</v>
      </c>
      <c r="BA727">
        <v>8.4126623072151296E-3</v>
      </c>
      <c r="BB727">
        <v>15</v>
      </c>
      <c r="BC727" t="s">
        <v>86</v>
      </c>
    </row>
    <row r="728" spans="1:55" x14ac:dyDescent="0.2">
      <c r="A728">
        <v>31</v>
      </c>
      <c r="B728" t="s">
        <v>1467</v>
      </c>
      <c r="C728" t="s">
        <v>1468</v>
      </c>
      <c r="D728" t="s">
        <v>92</v>
      </c>
      <c r="E728">
        <v>-155.29229000000001</v>
      </c>
      <c r="F728">
        <v>19.389810000000001</v>
      </c>
      <c r="G728" t="s">
        <v>1510</v>
      </c>
      <c r="H728" t="s">
        <v>1522</v>
      </c>
      <c r="I728" t="s">
        <v>1524</v>
      </c>
      <c r="J728" t="s">
        <v>68</v>
      </c>
      <c r="K728">
        <v>18.72218096804626</v>
      </c>
      <c r="L728">
        <v>18.72218096804626</v>
      </c>
      <c r="M728">
        <v>1101.191246061032</v>
      </c>
      <c r="N728">
        <v>27488.93571891067</v>
      </c>
      <c r="O728" t="s">
        <v>1501</v>
      </c>
      <c r="T728">
        <v>103.1739955226558</v>
      </c>
      <c r="U728">
        <v>3.7988246119112809E-3</v>
      </c>
      <c r="V728">
        <v>0.39899946685283388</v>
      </c>
      <c r="W728">
        <v>3.8479033425101283E-2</v>
      </c>
      <c r="Y728">
        <v>0</v>
      </c>
      <c r="Z728">
        <v>1.688617993486589</v>
      </c>
      <c r="AA728">
        <v>0.23742793024678241</v>
      </c>
      <c r="AB728">
        <v>6.4494703651694314</v>
      </c>
      <c r="AC728">
        <v>0.79718109583986119</v>
      </c>
      <c r="AD728">
        <v>1319.442252321036</v>
      </c>
      <c r="AE728">
        <v>50</v>
      </c>
      <c r="AF728">
        <v>89.028626413096376</v>
      </c>
      <c r="AG728">
        <v>2.3209433333333331</v>
      </c>
      <c r="AH728">
        <v>14.11354666666667</v>
      </c>
      <c r="AI728">
        <v>0.21931226666666659</v>
      </c>
      <c r="AJ728">
        <v>10.642350666666671</v>
      </c>
      <c r="AK728">
        <v>0.44186533333333328</v>
      </c>
      <c r="AL728">
        <v>2.2977933333333329</v>
      </c>
      <c r="AM728">
        <v>51.52762666666667</v>
      </c>
      <c r="AN728">
        <v>7.3571793333333337</v>
      </c>
      <c r="AO728">
        <v>11.05599333333333</v>
      </c>
      <c r="AP728">
        <v>0.1664713333333333</v>
      </c>
      <c r="AQ728">
        <v>100.1430822666667</v>
      </c>
      <c r="AR728">
        <v>7.165887589990573E-2</v>
      </c>
      <c r="AS728">
        <v>0.55330919522795774</v>
      </c>
      <c r="AT728">
        <v>1.4972424560154711E-2</v>
      </c>
      <c r="AU728">
        <v>0.36069912541908822</v>
      </c>
      <c r="AV728">
        <v>2.0825386381826891E-2</v>
      </c>
      <c r="AW728">
        <v>4.1839529269864062E-2</v>
      </c>
      <c r="AX728">
        <v>1.307583900321869</v>
      </c>
      <c r="AY728">
        <v>0.6469445085881641</v>
      </c>
      <c r="AZ728">
        <v>0.36187146389422881</v>
      </c>
      <c r="BA728">
        <v>8.4126623072151296E-3</v>
      </c>
      <c r="BB728">
        <v>15</v>
      </c>
      <c r="BC728" t="s">
        <v>86</v>
      </c>
    </row>
    <row r="729" spans="1:55" x14ac:dyDescent="0.2">
      <c r="A729">
        <v>32</v>
      </c>
      <c r="B729" t="s">
        <v>1467</v>
      </c>
      <c r="C729" t="s">
        <v>1468</v>
      </c>
      <c r="D729" t="s">
        <v>92</v>
      </c>
      <c r="E729">
        <v>-155.29229000000001</v>
      </c>
      <c r="F729">
        <v>19.389810000000001</v>
      </c>
      <c r="G729" t="s">
        <v>1510</v>
      </c>
      <c r="H729" t="s">
        <v>1522</v>
      </c>
      <c r="I729" t="s">
        <v>1525</v>
      </c>
      <c r="J729" t="s">
        <v>68</v>
      </c>
      <c r="K729">
        <v>9</v>
      </c>
      <c r="L729">
        <v>9</v>
      </c>
      <c r="M729">
        <v>254.4690049407732</v>
      </c>
      <c r="N729">
        <v>3053.628059289279</v>
      </c>
      <c r="O729" t="s">
        <v>1501</v>
      </c>
      <c r="T729">
        <v>103.1722731066546</v>
      </c>
      <c r="U729">
        <v>5.5012417122054548E-3</v>
      </c>
      <c r="V729">
        <v>0.32204399276126838</v>
      </c>
      <c r="W729">
        <v>8.7648082071741157E-2</v>
      </c>
      <c r="Y729">
        <v>0</v>
      </c>
      <c r="Z729">
        <v>1.257552680469459</v>
      </c>
      <c r="AA729">
        <v>0.46154659184872932</v>
      </c>
      <c r="AB729">
        <v>4.9653059477942652</v>
      </c>
      <c r="AC729">
        <v>1.614058329027708</v>
      </c>
      <c r="AD729">
        <v>1319.442252321036</v>
      </c>
      <c r="AE729">
        <v>50</v>
      </c>
      <c r="AF729">
        <v>89.028626413096376</v>
      </c>
      <c r="AG729">
        <v>2.3209433333333331</v>
      </c>
      <c r="AH729">
        <v>14.11354666666667</v>
      </c>
      <c r="AI729">
        <v>0.21931226666666659</v>
      </c>
      <c r="AJ729">
        <v>10.642350666666671</v>
      </c>
      <c r="AK729">
        <v>0.44186533333333328</v>
      </c>
      <c r="AL729">
        <v>2.2977933333333329</v>
      </c>
      <c r="AM729">
        <v>51.52762666666667</v>
      </c>
      <c r="AN729">
        <v>7.3571793333333337</v>
      </c>
      <c r="AO729">
        <v>11.05599333333333</v>
      </c>
      <c r="AP729">
        <v>0.1664713333333333</v>
      </c>
      <c r="AQ729">
        <v>100.1430822666667</v>
      </c>
      <c r="AR729">
        <v>7.165887589990573E-2</v>
      </c>
      <c r="AS729">
        <v>0.55330919522795774</v>
      </c>
      <c r="AT729">
        <v>1.4972424560154711E-2</v>
      </c>
      <c r="AU729">
        <v>0.36069912541908822</v>
      </c>
      <c r="AV729">
        <v>2.0825386381826891E-2</v>
      </c>
      <c r="AW729">
        <v>4.1839529269864062E-2</v>
      </c>
      <c r="AX729">
        <v>1.307583900321869</v>
      </c>
      <c r="AY729">
        <v>0.6469445085881641</v>
      </c>
      <c r="AZ729">
        <v>0.36187146389422881</v>
      </c>
      <c r="BA729">
        <v>8.4126623072151296E-3</v>
      </c>
      <c r="BB729">
        <v>15</v>
      </c>
      <c r="BC729" t="s">
        <v>86</v>
      </c>
    </row>
    <row r="730" spans="1:55" x14ac:dyDescent="0.2">
      <c r="A730">
        <v>33</v>
      </c>
      <c r="B730" t="s">
        <v>1467</v>
      </c>
      <c r="C730" t="s">
        <v>1468</v>
      </c>
      <c r="D730" t="s">
        <v>92</v>
      </c>
      <c r="E730">
        <v>-155.29229000000001</v>
      </c>
      <c r="F730">
        <v>19.389810000000001</v>
      </c>
      <c r="G730" t="s">
        <v>1510</v>
      </c>
      <c r="H730" t="s">
        <v>1522</v>
      </c>
      <c r="I730" t="s">
        <v>1526</v>
      </c>
      <c r="J730" t="s">
        <v>68</v>
      </c>
      <c r="K730">
        <v>8.4606019836660842</v>
      </c>
      <c r="L730">
        <v>8.4606019836660842</v>
      </c>
      <c r="M730">
        <v>224.88081279600431</v>
      </c>
      <c r="N730">
        <v>2536.8360677737542</v>
      </c>
      <c r="O730" t="s">
        <v>1501</v>
      </c>
      <c r="T730">
        <v>103.1606677015001</v>
      </c>
      <c r="U730">
        <v>1.123415205056609E-2</v>
      </c>
      <c r="V730">
        <v>0.47081925769690752</v>
      </c>
      <c r="W730">
        <v>8.0363632953273367E-2</v>
      </c>
      <c r="Y730">
        <v>0</v>
      </c>
      <c r="Z730">
        <v>2.1794463521883038</v>
      </c>
      <c r="AA730">
        <v>0.58868853324494985</v>
      </c>
      <c r="AB730">
        <v>8.0714320968525399</v>
      </c>
      <c r="AC730">
        <v>1.95298913996937</v>
      </c>
      <c r="AD730">
        <v>1319.442252321036</v>
      </c>
      <c r="AE730">
        <v>50</v>
      </c>
      <c r="AF730">
        <v>89.028626413096376</v>
      </c>
      <c r="AG730">
        <v>2.3209433333333331</v>
      </c>
      <c r="AH730">
        <v>14.11354666666667</v>
      </c>
      <c r="AI730">
        <v>0.21931226666666659</v>
      </c>
      <c r="AJ730">
        <v>10.642350666666671</v>
      </c>
      <c r="AK730">
        <v>0.44186533333333328</v>
      </c>
      <c r="AL730">
        <v>2.2977933333333329</v>
      </c>
      <c r="AM730">
        <v>51.52762666666667</v>
      </c>
      <c r="AN730">
        <v>7.3571793333333337</v>
      </c>
      <c r="AO730">
        <v>11.05599333333333</v>
      </c>
      <c r="AP730">
        <v>0.1664713333333333</v>
      </c>
      <c r="AQ730">
        <v>100.1430822666667</v>
      </c>
      <c r="AR730">
        <v>7.165887589990573E-2</v>
      </c>
      <c r="AS730">
        <v>0.55330919522795774</v>
      </c>
      <c r="AT730">
        <v>1.4972424560154711E-2</v>
      </c>
      <c r="AU730">
        <v>0.36069912541908822</v>
      </c>
      <c r="AV730">
        <v>2.0825386381826891E-2</v>
      </c>
      <c r="AW730">
        <v>4.1839529269864062E-2</v>
      </c>
      <c r="AX730">
        <v>1.307583900321869</v>
      </c>
      <c r="AY730">
        <v>0.6469445085881641</v>
      </c>
      <c r="AZ730">
        <v>0.36187146389422881</v>
      </c>
      <c r="BA730">
        <v>8.4126623072151296E-3</v>
      </c>
      <c r="BB730">
        <v>15</v>
      </c>
      <c r="BC730" t="s">
        <v>86</v>
      </c>
    </row>
    <row r="731" spans="1:55" x14ac:dyDescent="0.2">
      <c r="A731">
        <v>34</v>
      </c>
      <c r="B731" t="s">
        <v>1467</v>
      </c>
      <c r="C731" t="s">
        <v>1468</v>
      </c>
      <c r="D731" t="s">
        <v>92</v>
      </c>
      <c r="E731">
        <v>-155.29229000000001</v>
      </c>
      <c r="F731">
        <v>19.389810000000001</v>
      </c>
      <c r="G731" t="s">
        <v>1510</v>
      </c>
      <c r="H731" t="s">
        <v>1522</v>
      </c>
      <c r="I731" t="s">
        <v>1527</v>
      </c>
      <c r="J731" t="s">
        <v>68</v>
      </c>
      <c r="K731">
        <v>8.6065031036315798</v>
      </c>
      <c r="L731">
        <v>8.6065031036315798</v>
      </c>
      <c r="M731">
        <v>232.7037232832009</v>
      </c>
      <c r="N731">
        <v>2670.353755551324</v>
      </c>
      <c r="O731" t="s">
        <v>1501</v>
      </c>
      <c r="T731" t="s">
        <v>1502</v>
      </c>
      <c r="V731">
        <v>0.38776649202738661</v>
      </c>
      <c r="W731">
        <v>8.5408531377205069E-2</v>
      </c>
      <c r="Y731">
        <v>0</v>
      </c>
      <c r="Z731">
        <v>1.62113838994114</v>
      </c>
      <c r="AA731">
        <v>0.50223778191135582</v>
      </c>
      <c r="AB731">
        <v>6.2217592913058679</v>
      </c>
      <c r="AC731">
        <v>1.7016942964558419</v>
      </c>
      <c r="AD731">
        <v>1319.442252321036</v>
      </c>
      <c r="AE731">
        <v>50</v>
      </c>
      <c r="AF731">
        <v>89.028626413096376</v>
      </c>
      <c r="AG731">
        <v>2.3209433333333331</v>
      </c>
      <c r="AH731">
        <v>14.11354666666667</v>
      </c>
      <c r="AI731">
        <v>0.21931226666666659</v>
      </c>
      <c r="AJ731">
        <v>10.642350666666671</v>
      </c>
      <c r="AK731">
        <v>0.44186533333333328</v>
      </c>
      <c r="AL731">
        <v>2.2977933333333329</v>
      </c>
      <c r="AM731">
        <v>51.52762666666667</v>
      </c>
      <c r="AN731">
        <v>7.3571793333333337</v>
      </c>
      <c r="AO731">
        <v>11.05599333333333</v>
      </c>
      <c r="AP731">
        <v>0.1664713333333333</v>
      </c>
      <c r="AQ731">
        <v>100.1430822666667</v>
      </c>
      <c r="AR731">
        <v>7.165887589990573E-2</v>
      </c>
      <c r="AS731">
        <v>0.55330919522795774</v>
      </c>
      <c r="AT731">
        <v>1.4972424560154711E-2</v>
      </c>
      <c r="AU731">
        <v>0.36069912541908822</v>
      </c>
      <c r="AV731">
        <v>2.0825386381826891E-2</v>
      </c>
      <c r="AW731">
        <v>4.1839529269864062E-2</v>
      </c>
      <c r="AX731">
        <v>1.307583900321869</v>
      </c>
      <c r="AY731">
        <v>0.6469445085881641</v>
      </c>
      <c r="AZ731">
        <v>0.36187146389422881</v>
      </c>
      <c r="BA731">
        <v>8.4126623072151296E-3</v>
      </c>
      <c r="BB731">
        <v>15</v>
      </c>
      <c r="BC731" t="s">
        <v>86</v>
      </c>
    </row>
    <row r="732" spans="1:55" x14ac:dyDescent="0.2">
      <c r="A732">
        <v>35</v>
      </c>
      <c r="B732" t="s">
        <v>1467</v>
      </c>
      <c r="C732" t="s">
        <v>1468</v>
      </c>
      <c r="D732" t="s">
        <v>92</v>
      </c>
      <c r="E732">
        <v>-155.29229000000001</v>
      </c>
      <c r="F732">
        <v>19.389810000000001</v>
      </c>
      <c r="G732" t="s">
        <v>1510</v>
      </c>
      <c r="H732" t="s">
        <v>1522</v>
      </c>
      <c r="I732" t="s">
        <v>1528</v>
      </c>
      <c r="J732" t="s">
        <v>68</v>
      </c>
      <c r="K732">
        <v>13.736350090299609</v>
      </c>
      <c r="L732">
        <v>13.736350090299609</v>
      </c>
      <c r="M732">
        <v>592.7786788699583</v>
      </c>
      <c r="N732">
        <v>10856.82061203072</v>
      </c>
      <c r="O732" t="s">
        <v>1501</v>
      </c>
      <c r="T732" t="s">
        <v>1502</v>
      </c>
      <c r="V732">
        <v>0.35461125250745112</v>
      </c>
      <c r="W732">
        <v>5.5419044415594997E-2</v>
      </c>
      <c r="Y732">
        <v>0</v>
      </c>
      <c r="Z732">
        <v>1.4313351848245739</v>
      </c>
      <c r="AA732">
        <v>0.29744782589245988</v>
      </c>
      <c r="AB732">
        <v>5.5726456378056746</v>
      </c>
      <c r="AC732">
        <v>1.0262597920222889</v>
      </c>
      <c r="AD732">
        <v>1319.442252321036</v>
      </c>
      <c r="AE732">
        <v>50</v>
      </c>
      <c r="AF732">
        <v>89.028626413096376</v>
      </c>
      <c r="AG732">
        <v>2.3209433333333331</v>
      </c>
      <c r="AH732">
        <v>14.11354666666667</v>
      </c>
      <c r="AI732">
        <v>0.21931226666666659</v>
      </c>
      <c r="AJ732">
        <v>10.642350666666671</v>
      </c>
      <c r="AK732">
        <v>0.44186533333333328</v>
      </c>
      <c r="AL732">
        <v>2.2977933333333329</v>
      </c>
      <c r="AM732">
        <v>51.52762666666667</v>
      </c>
      <c r="AN732">
        <v>7.3571793333333337</v>
      </c>
      <c r="AO732">
        <v>11.05599333333333</v>
      </c>
      <c r="AP732">
        <v>0.1664713333333333</v>
      </c>
      <c r="AQ732">
        <v>100.1430822666667</v>
      </c>
      <c r="AR732">
        <v>7.165887589990573E-2</v>
      </c>
      <c r="AS732">
        <v>0.55330919522795774</v>
      </c>
      <c r="AT732">
        <v>1.4972424560154711E-2</v>
      </c>
      <c r="AU732">
        <v>0.36069912541908822</v>
      </c>
      <c r="AV732">
        <v>2.0825386381826891E-2</v>
      </c>
      <c r="AW732">
        <v>4.1839529269864062E-2</v>
      </c>
      <c r="AX732">
        <v>1.307583900321869</v>
      </c>
      <c r="AY732">
        <v>0.6469445085881641</v>
      </c>
      <c r="AZ732">
        <v>0.36187146389422881</v>
      </c>
      <c r="BA732">
        <v>8.4126623072151296E-3</v>
      </c>
      <c r="BB732">
        <v>15</v>
      </c>
      <c r="BC732" t="s">
        <v>86</v>
      </c>
    </row>
    <row r="733" spans="1:55" x14ac:dyDescent="0.2">
      <c r="A733">
        <v>36</v>
      </c>
      <c r="B733" t="s">
        <v>1467</v>
      </c>
      <c r="C733" t="s">
        <v>1468</v>
      </c>
      <c r="D733" t="s">
        <v>92</v>
      </c>
      <c r="E733">
        <v>-155.29229000000001</v>
      </c>
      <c r="F733">
        <v>19.389810000000001</v>
      </c>
      <c r="G733" t="s">
        <v>1510</v>
      </c>
      <c r="H733" t="s">
        <v>1529</v>
      </c>
      <c r="I733" t="s">
        <v>1530</v>
      </c>
      <c r="J733" t="s">
        <v>68</v>
      </c>
      <c r="K733">
        <v>77.392323584849649</v>
      </c>
      <c r="L733">
        <v>77.392323584849649</v>
      </c>
      <c r="M733">
        <v>18816.794607515661</v>
      </c>
      <c r="N733">
        <v>1941700.609459341</v>
      </c>
      <c r="O733" t="s">
        <v>1531</v>
      </c>
      <c r="T733">
        <v>103.2496041936441</v>
      </c>
      <c r="U733">
        <v>4.366407855290644E-3</v>
      </c>
      <c r="V733">
        <v>0.2336094887436673</v>
      </c>
      <c r="W733">
        <v>1.5500747886282159E-3</v>
      </c>
      <c r="Y733">
        <v>4.534221494730506E-2</v>
      </c>
      <c r="Z733">
        <v>0.8710332938892551</v>
      </c>
      <c r="AA733">
        <v>3.8756017874541672E-2</v>
      </c>
      <c r="AB733">
        <v>3.558764647788514</v>
      </c>
      <c r="AC733">
        <v>0.1453033241028853</v>
      </c>
      <c r="AD733">
        <v>1300.2345078985129</v>
      </c>
      <c r="AE733">
        <v>50</v>
      </c>
      <c r="AF733">
        <v>88.281313681103867</v>
      </c>
      <c r="AG733">
        <v>2.3209433333333331</v>
      </c>
      <c r="AH733">
        <v>14.11354666666667</v>
      </c>
      <c r="AI733">
        <v>0.21931226666666659</v>
      </c>
      <c r="AJ733">
        <v>10.642350666666671</v>
      </c>
      <c r="AK733">
        <v>0.44186533333333328</v>
      </c>
      <c r="AL733">
        <v>2.2977933333333329</v>
      </c>
      <c r="AM733">
        <v>51.52762666666667</v>
      </c>
      <c r="AN733">
        <v>7.3571793333333337</v>
      </c>
      <c r="AO733">
        <v>11.05599333333333</v>
      </c>
      <c r="AP733">
        <v>0.1664713333333333</v>
      </c>
      <c r="AQ733">
        <v>100.1430822666667</v>
      </c>
      <c r="AR733">
        <v>7.165887589990573E-2</v>
      </c>
      <c r="AS733">
        <v>0.55330919522795774</v>
      </c>
      <c r="AT733">
        <v>1.4972424560154711E-2</v>
      </c>
      <c r="AU733">
        <v>0.36069912541908822</v>
      </c>
      <c r="AV733">
        <v>2.0825386381826891E-2</v>
      </c>
      <c r="AW733">
        <v>4.1839529269864062E-2</v>
      </c>
      <c r="AX733">
        <v>1.307583900321869</v>
      </c>
      <c r="AY733">
        <v>0.6469445085881641</v>
      </c>
      <c r="AZ733">
        <v>0.36187146389422881</v>
      </c>
      <c r="BA733">
        <v>8.4126623072151296E-3</v>
      </c>
      <c r="BB733">
        <v>15</v>
      </c>
      <c r="BC733" t="s">
        <v>86</v>
      </c>
    </row>
    <row r="734" spans="1:55" x14ac:dyDescent="0.2">
      <c r="A734">
        <v>37</v>
      </c>
      <c r="B734" t="s">
        <v>1467</v>
      </c>
      <c r="C734" t="s">
        <v>1468</v>
      </c>
      <c r="D734" t="s">
        <v>92</v>
      </c>
      <c r="E734">
        <v>-155.29229000000001</v>
      </c>
      <c r="F734">
        <v>19.389810000000001</v>
      </c>
      <c r="G734" t="s">
        <v>1510</v>
      </c>
      <c r="H734" t="s">
        <v>1532</v>
      </c>
      <c r="I734" t="s">
        <v>1533</v>
      </c>
      <c r="J734" t="s">
        <v>68</v>
      </c>
      <c r="K734">
        <v>4</v>
      </c>
      <c r="L734">
        <v>4</v>
      </c>
      <c r="M734">
        <v>50.26548245743669</v>
      </c>
      <c r="N734">
        <v>268.08257310632899</v>
      </c>
      <c r="O734" t="s">
        <v>1472</v>
      </c>
      <c r="T734">
        <v>103.017961807289</v>
      </c>
      <c r="U734">
        <v>7.1003619460838809E-3</v>
      </c>
      <c r="V734">
        <v>0.15137644158760821</v>
      </c>
      <c r="W734">
        <v>2.5206284908581992E-3</v>
      </c>
      <c r="Y734">
        <v>6.1223571235200717E-2</v>
      </c>
      <c r="Z734">
        <v>0.53992176766283273</v>
      </c>
      <c r="AA734">
        <v>2.6808861709092361E-2</v>
      </c>
      <c r="AB734">
        <v>2.2782251885856111</v>
      </c>
      <c r="AC734">
        <v>0.1068279509292925</v>
      </c>
      <c r="AD734">
        <v>1315.833081534555</v>
      </c>
      <c r="AE734">
        <v>50</v>
      </c>
      <c r="AF734">
        <v>88.892319232465653</v>
      </c>
      <c r="AG734">
        <v>2.3209433333333331</v>
      </c>
      <c r="AH734">
        <v>14.11354666666667</v>
      </c>
      <c r="AI734">
        <v>0.21931226666666659</v>
      </c>
      <c r="AJ734">
        <v>10.642350666666671</v>
      </c>
      <c r="AK734">
        <v>0.44186533333333328</v>
      </c>
      <c r="AL734">
        <v>2.2977933333333329</v>
      </c>
      <c r="AM734">
        <v>51.52762666666667</v>
      </c>
      <c r="AN734">
        <v>7.3571793333333337</v>
      </c>
      <c r="AO734">
        <v>11.05599333333333</v>
      </c>
      <c r="AP734">
        <v>0.1664713333333333</v>
      </c>
      <c r="AQ734">
        <v>100.1430822666667</v>
      </c>
      <c r="AR734">
        <v>7.165887589990573E-2</v>
      </c>
      <c r="AS734">
        <v>0.55330919522795774</v>
      </c>
      <c r="AT734">
        <v>1.4972424560154711E-2</v>
      </c>
      <c r="AU734">
        <v>0.36069912541908822</v>
      </c>
      <c r="AV734">
        <v>2.0825386381826891E-2</v>
      </c>
      <c r="AW734">
        <v>4.1839529269864062E-2</v>
      </c>
      <c r="AX734">
        <v>1.307583900321869</v>
      </c>
      <c r="AY734">
        <v>0.6469445085881641</v>
      </c>
      <c r="AZ734">
        <v>0.36187146389422881</v>
      </c>
      <c r="BA734">
        <v>8.4126623072151296E-3</v>
      </c>
      <c r="BB734">
        <v>15</v>
      </c>
      <c r="BC734" t="s">
        <v>86</v>
      </c>
    </row>
    <row r="735" spans="1:55" x14ac:dyDescent="0.2">
      <c r="A735">
        <v>38</v>
      </c>
      <c r="B735" t="s">
        <v>1467</v>
      </c>
      <c r="C735" t="s">
        <v>1468</v>
      </c>
      <c r="D735" t="s">
        <v>92</v>
      </c>
      <c r="E735">
        <v>-155.29229000000001</v>
      </c>
      <c r="F735">
        <v>19.389810000000001</v>
      </c>
      <c r="G735" t="s">
        <v>1510</v>
      </c>
      <c r="H735" t="s">
        <v>1532</v>
      </c>
      <c r="I735" t="s">
        <v>1534</v>
      </c>
      <c r="J735" t="s">
        <v>68</v>
      </c>
      <c r="K735">
        <v>6</v>
      </c>
      <c r="L735">
        <v>6</v>
      </c>
      <c r="M735">
        <v>113.09733552923259</v>
      </c>
      <c r="N735">
        <v>904.77868423386042</v>
      </c>
      <c r="O735" t="s">
        <v>1472</v>
      </c>
      <c r="T735">
        <v>102.9421244861184</v>
      </c>
      <c r="U735">
        <v>9.5785576174894464E-3</v>
      </c>
      <c r="V735">
        <v>0.1244541925720313</v>
      </c>
      <c r="W735">
        <v>3.400387954208771E-3</v>
      </c>
      <c r="Y735">
        <v>7.4307888036772241E-2</v>
      </c>
      <c r="Z735">
        <v>0.44044810959679498</v>
      </c>
      <c r="AA735">
        <v>2.550206744790072E-2</v>
      </c>
      <c r="AB735">
        <v>1.877494991304846</v>
      </c>
      <c r="AC735">
        <v>0.1036478997964881</v>
      </c>
      <c r="AD735">
        <v>1315.833081534555</v>
      </c>
      <c r="AE735">
        <v>50</v>
      </c>
      <c r="AF735">
        <v>88.892319232465653</v>
      </c>
      <c r="AG735">
        <v>2.3209433333333331</v>
      </c>
      <c r="AH735">
        <v>14.11354666666667</v>
      </c>
      <c r="AI735">
        <v>0.21931226666666659</v>
      </c>
      <c r="AJ735">
        <v>10.642350666666671</v>
      </c>
      <c r="AK735">
        <v>0.44186533333333328</v>
      </c>
      <c r="AL735">
        <v>2.2977933333333329</v>
      </c>
      <c r="AM735">
        <v>51.52762666666667</v>
      </c>
      <c r="AN735">
        <v>7.3571793333333337</v>
      </c>
      <c r="AO735">
        <v>11.05599333333333</v>
      </c>
      <c r="AP735">
        <v>0.1664713333333333</v>
      </c>
      <c r="AQ735">
        <v>100.1430822666667</v>
      </c>
      <c r="AR735">
        <v>7.165887589990573E-2</v>
      </c>
      <c r="AS735">
        <v>0.55330919522795774</v>
      </c>
      <c r="AT735">
        <v>1.4972424560154711E-2</v>
      </c>
      <c r="AU735">
        <v>0.36069912541908822</v>
      </c>
      <c r="AV735">
        <v>2.0825386381826891E-2</v>
      </c>
      <c r="AW735">
        <v>4.1839529269864062E-2</v>
      </c>
      <c r="AX735">
        <v>1.307583900321869</v>
      </c>
      <c r="AY735">
        <v>0.6469445085881641</v>
      </c>
      <c r="AZ735">
        <v>0.36187146389422881</v>
      </c>
      <c r="BA735">
        <v>8.4126623072151296E-3</v>
      </c>
      <c r="BB735">
        <v>15</v>
      </c>
      <c r="BC735" t="s">
        <v>86</v>
      </c>
    </row>
    <row r="736" spans="1:55" x14ac:dyDescent="0.2">
      <c r="A736">
        <v>39</v>
      </c>
      <c r="B736" t="s">
        <v>1467</v>
      </c>
      <c r="C736" t="s">
        <v>1468</v>
      </c>
      <c r="D736" t="s">
        <v>92</v>
      </c>
      <c r="E736">
        <v>-155.29229000000001</v>
      </c>
      <c r="F736">
        <v>19.389810000000001</v>
      </c>
      <c r="G736" t="s">
        <v>1510</v>
      </c>
      <c r="H736" t="s">
        <v>1532</v>
      </c>
      <c r="I736" t="s">
        <v>1535</v>
      </c>
      <c r="J736" t="s">
        <v>68</v>
      </c>
      <c r="K736">
        <v>3.914867641168863</v>
      </c>
      <c r="L736">
        <v>3.914867641168863</v>
      </c>
      <c r="M736">
        <v>48.148641663683009</v>
      </c>
      <c r="N736">
        <v>251.32741228718339</v>
      </c>
      <c r="O736" t="s">
        <v>1472</v>
      </c>
      <c r="T736">
        <v>102.9646467798303</v>
      </c>
      <c r="U736">
        <v>5.0918004865644654E-3</v>
      </c>
      <c r="V736">
        <v>0.1324496068397423</v>
      </c>
      <c r="W736">
        <v>1.807589172730504E-3</v>
      </c>
      <c r="Y736">
        <v>6.9709154525159467E-2</v>
      </c>
      <c r="Z736">
        <v>0.46942883028642751</v>
      </c>
      <c r="AA736">
        <v>2.4200953977170009E-2</v>
      </c>
      <c r="AB736">
        <v>1.995064501568401</v>
      </c>
      <c r="AC736">
        <v>9.778896275284038E-2</v>
      </c>
      <c r="AD736">
        <v>1315.833081534555</v>
      </c>
      <c r="AE736">
        <v>50</v>
      </c>
      <c r="AF736">
        <v>88.892319232465653</v>
      </c>
      <c r="AG736">
        <v>2.3209433333333331</v>
      </c>
      <c r="AH736">
        <v>14.11354666666667</v>
      </c>
      <c r="AI736">
        <v>0.21931226666666659</v>
      </c>
      <c r="AJ736">
        <v>10.642350666666671</v>
      </c>
      <c r="AK736">
        <v>0.44186533333333328</v>
      </c>
      <c r="AL736">
        <v>2.2977933333333329</v>
      </c>
      <c r="AM736">
        <v>51.52762666666667</v>
      </c>
      <c r="AN736">
        <v>7.3571793333333337</v>
      </c>
      <c r="AO736">
        <v>11.05599333333333</v>
      </c>
      <c r="AP736">
        <v>0.1664713333333333</v>
      </c>
      <c r="AQ736">
        <v>100.1430822666667</v>
      </c>
      <c r="AR736">
        <v>7.165887589990573E-2</v>
      </c>
      <c r="AS736">
        <v>0.55330919522795774</v>
      </c>
      <c r="AT736">
        <v>1.4972424560154711E-2</v>
      </c>
      <c r="AU736">
        <v>0.36069912541908822</v>
      </c>
      <c r="AV736">
        <v>2.0825386381826891E-2</v>
      </c>
      <c r="AW736">
        <v>4.1839529269864062E-2</v>
      </c>
      <c r="AX736">
        <v>1.307583900321869</v>
      </c>
      <c r="AY736">
        <v>0.6469445085881641</v>
      </c>
      <c r="AZ736">
        <v>0.36187146389422881</v>
      </c>
      <c r="BA736">
        <v>8.4126623072151296E-3</v>
      </c>
      <c r="BB736">
        <v>15</v>
      </c>
      <c r="BC736" t="s">
        <v>86</v>
      </c>
    </row>
    <row r="737" spans="1:55" x14ac:dyDescent="0.2">
      <c r="A737">
        <v>40</v>
      </c>
      <c r="B737" t="s">
        <v>1467</v>
      </c>
      <c r="C737" t="s">
        <v>1468</v>
      </c>
      <c r="D737" t="s">
        <v>92</v>
      </c>
      <c r="E737">
        <v>-155.29229000000001</v>
      </c>
      <c r="F737">
        <v>19.389810000000001</v>
      </c>
      <c r="G737" t="s">
        <v>1510</v>
      </c>
      <c r="H737" t="s">
        <v>1532</v>
      </c>
      <c r="I737" t="s">
        <v>1536</v>
      </c>
      <c r="J737" t="s">
        <v>68</v>
      </c>
      <c r="K737">
        <v>2.8</v>
      </c>
      <c r="L737">
        <v>2.8</v>
      </c>
      <c r="M737">
        <v>24.630086404143981</v>
      </c>
      <c r="N737">
        <v>91.952322575470831</v>
      </c>
      <c r="O737" t="s">
        <v>1472</v>
      </c>
      <c r="T737">
        <v>102.8996083937905</v>
      </c>
      <c r="U737">
        <v>3.61062586170893E-3</v>
      </c>
      <c r="V737">
        <v>0.10936097979561769</v>
      </c>
      <c r="W737">
        <v>1.2817721809055529E-3</v>
      </c>
      <c r="Y737">
        <v>8.4842296800262229E-2</v>
      </c>
      <c r="Z737">
        <v>0.38683431227195109</v>
      </c>
      <c r="AA737">
        <v>2.217908973358762E-2</v>
      </c>
      <c r="AB737">
        <v>1.658168686062524</v>
      </c>
      <c r="AC737">
        <v>9.1119995932880685E-2</v>
      </c>
      <c r="AD737">
        <v>1315.833081534555</v>
      </c>
      <c r="AE737">
        <v>50</v>
      </c>
      <c r="AF737">
        <v>88.892319232465653</v>
      </c>
      <c r="AG737">
        <v>2.3209433333333331</v>
      </c>
      <c r="AH737">
        <v>14.11354666666667</v>
      </c>
      <c r="AI737">
        <v>0.21931226666666659</v>
      </c>
      <c r="AJ737">
        <v>10.642350666666671</v>
      </c>
      <c r="AK737">
        <v>0.44186533333333328</v>
      </c>
      <c r="AL737">
        <v>2.2977933333333329</v>
      </c>
      <c r="AM737">
        <v>51.52762666666667</v>
      </c>
      <c r="AN737">
        <v>7.3571793333333337</v>
      </c>
      <c r="AO737">
        <v>11.05599333333333</v>
      </c>
      <c r="AP737">
        <v>0.1664713333333333</v>
      </c>
      <c r="AQ737">
        <v>100.1430822666667</v>
      </c>
      <c r="AR737">
        <v>7.165887589990573E-2</v>
      </c>
      <c r="AS737">
        <v>0.55330919522795774</v>
      </c>
      <c r="AT737">
        <v>1.4972424560154711E-2</v>
      </c>
      <c r="AU737">
        <v>0.36069912541908822</v>
      </c>
      <c r="AV737">
        <v>2.0825386381826891E-2</v>
      </c>
      <c r="AW737">
        <v>4.1839529269864062E-2</v>
      </c>
      <c r="AX737">
        <v>1.307583900321869</v>
      </c>
      <c r="AY737">
        <v>0.6469445085881641</v>
      </c>
      <c r="AZ737">
        <v>0.36187146389422881</v>
      </c>
      <c r="BA737">
        <v>8.4126623072151296E-3</v>
      </c>
      <c r="BB737">
        <v>15</v>
      </c>
      <c r="BC737" t="s">
        <v>86</v>
      </c>
    </row>
    <row r="738" spans="1:55" x14ac:dyDescent="0.2">
      <c r="A738">
        <v>41</v>
      </c>
      <c r="B738" t="s">
        <v>1467</v>
      </c>
      <c r="C738" t="s">
        <v>1468</v>
      </c>
      <c r="D738" t="s">
        <v>92</v>
      </c>
      <c r="E738">
        <v>-155.29229000000001</v>
      </c>
      <c r="F738">
        <v>19.389810000000001</v>
      </c>
      <c r="G738" t="s">
        <v>1510</v>
      </c>
      <c r="H738" t="s">
        <v>1532</v>
      </c>
      <c r="I738" t="s">
        <v>1537</v>
      </c>
      <c r="J738" t="s">
        <v>68</v>
      </c>
      <c r="K738">
        <v>3.2241539755432291</v>
      </c>
      <c r="L738">
        <v>3.2241539755432291</v>
      </c>
      <c r="M738">
        <v>32.657386117153408</v>
      </c>
      <c r="N738">
        <v>140.38992170729381</v>
      </c>
      <c r="O738" t="s">
        <v>1472</v>
      </c>
      <c r="T738">
        <v>102.99210771427011</v>
      </c>
      <c r="U738">
        <v>4.1356099271657358E-3</v>
      </c>
      <c r="V738">
        <v>0.14219823856588931</v>
      </c>
      <c r="W738">
        <v>1.468141524143836E-3</v>
      </c>
      <c r="Y738">
        <v>6.4940854687348226E-2</v>
      </c>
      <c r="Z738">
        <v>0.5053866797067782</v>
      </c>
      <c r="AA738">
        <v>2.4902872686971819E-2</v>
      </c>
      <c r="AB738">
        <v>2.1399956021541988</v>
      </c>
      <c r="AC738">
        <v>9.9911248524784099E-2</v>
      </c>
      <c r="AD738">
        <v>1315.833081534555</v>
      </c>
      <c r="AE738">
        <v>50</v>
      </c>
      <c r="AF738">
        <v>88.892319232465653</v>
      </c>
      <c r="AG738">
        <v>2.3209433333333331</v>
      </c>
      <c r="AH738">
        <v>14.11354666666667</v>
      </c>
      <c r="AI738">
        <v>0.21931226666666659</v>
      </c>
      <c r="AJ738">
        <v>10.642350666666671</v>
      </c>
      <c r="AK738">
        <v>0.44186533333333328</v>
      </c>
      <c r="AL738">
        <v>2.2977933333333329</v>
      </c>
      <c r="AM738">
        <v>51.52762666666667</v>
      </c>
      <c r="AN738">
        <v>7.3571793333333337</v>
      </c>
      <c r="AO738">
        <v>11.05599333333333</v>
      </c>
      <c r="AP738">
        <v>0.1664713333333333</v>
      </c>
      <c r="AQ738">
        <v>100.1430822666667</v>
      </c>
      <c r="AR738">
        <v>7.165887589990573E-2</v>
      </c>
      <c r="AS738">
        <v>0.55330919522795774</v>
      </c>
      <c r="AT738">
        <v>1.4972424560154711E-2</v>
      </c>
      <c r="AU738">
        <v>0.36069912541908822</v>
      </c>
      <c r="AV738">
        <v>2.0825386381826891E-2</v>
      </c>
      <c r="AW738">
        <v>4.1839529269864062E-2</v>
      </c>
      <c r="AX738">
        <v>1.307583900321869</v>
      </c>
      <c r="AY738">
        <v>0.6469445085881641</v>
      </c>
      <c r="AZ738">
        <v>0.36187146389422881</v>
      </c>
      <c r="BA738">
        <v>8.4126623072151296E-3</v>
      </c>
      <c r="BB738">
        <v>15</v>
      </c>
      <c r="BC738" t="s">
        <v>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779EA-3972-BE4A-B690-773D724A1B02}">
  <dimension ref="A1:W100"/>
  <sheetViews>
    <sheetView topLeftCell="D1" zoomScale="80" zoomScaleNormal="80" workbookViewId="0">
      <selection activeCell="F13" sqref="F13"/>
    </sheetView>
  </sheetViews>
  <sheetFormatPr baseColWidth="10" defaultColWidth="8.83203125" defaultRowHeight="15" x14ac:dyDescent="0.2"/>
  <cols>
    <col min="1" max="1" width="28" style="21" customWidth="1"/>
    <col min="2" max="2" width="28" style="8" customWidth="1"/>
    <col min="3" max="3" width="9.83203125" style="21" customWidth="1"/>
    <col min="4" max="6" width="28" style="21" customWidth="1"/>
    <col min="7" max="7" width="28" style="22" customWidth="1"/>
    <col min="8" max="9" width="28" style="21" customWidth="1"/>
    <col min="10" max="10" width="32.5" style="21" customWidth="1"/>
    <col min="11" max="11" width="24.1640625" style="21" customWidth="1"/>
    <col min="12" max="12" width="28" style="23" customWidth="1"/>
    <col min="13" max="15" width="28" style="21" customWidth="1"/>
    <col min="16" max="18" width="28" style="24" customWidth="1"/>
    <col min="19" max="20" width="21.5" style="23" customWidth="1"/>
    <col min="21" max="21" width="110.83203125" style="21" customWidth="1"/>
    <col min="22" max="23" width="35" customWidth="1"/>
    <col min="29" max="29" width="28.1640625" customWidth="1"/>
  </cols>
  <sheetData>
    <row r="1" spans="1:21" s="4" customFormat="1" ht="48" x14ac:dyDescent="0.2">
      <c r="A1" s="1" t="s">
        <v>1538</v>
      </c>
      <c r="B1" s="1" t="s">
        <v>1539</v>
      </c>
      <c r="C1" s="1" t="s">
        <v>1540</v>
      </c>
      <c r="D1" s="1" t="s">
        <v>1541</v>
      </c>
      <c r="E1" s="1" t="s">
        <v>1542</v>
      </c>
      <c r="F1" s="1" t="s">
        <v>1543</v>
      </c>
      <c r="G1" s="1" t="s">
        <v>1544</v>
      </c>
      <c r="H1" s="1" t="s">
        <v>1545</v>
      </c>
      <c r="I1" s="1" t="s">
        <v>1546</v>
      </c>
      <c r="J1" s="1" t="s">
        <v>1547</v>
      </c>
      <c r="K1" s="1" t="s">
        <v>1548</v>
      </c>
      <c r="L1" s="2" t="s">
        <v>1549</v>
      </c>
      <c r="M1" s="1" t="s">
        <v>1550</v>
      </c>
      <c r="N1" s="1" t="s">
        <v>1551</v>
      </c>
      <c r="O1" s="1" t="s">
        <v>1552</v>
      </c>
      <c r="P1" s="3" t="s">
        <v>1553</v>
      </c>
      <c r="Q1" s="3" t="s">
        <v>1554</v>
      </c>
      <c r="R1" s="3" t="s">
        <v>1555</v>
      </c>
      <c r="S1" s="2" t="s">
        <v>1556</v>
      </c>
      <c r="T1" s="2" t="s">
        <v>1557</v>
      </c>
      <c r="U1" s="1" t="s">
        <v>1558</v>
      </c>
    </row>
    <row r="2" spans="1:21" s="5" customFormat="1" ht="128" x14ac:dyDescent="0.2">
      <c r="A2" s="5" t="s">
        <v>1559</v>
      </c>
      <c r="B2" s="5" t="s">
        <v>1560</v>
      </c>
      <c r="C2" s="5" t="s">
        <v>1561</v>
      </c>
      <c r="D2" s="5" t="s">
        <v>1562</v>
      </c>
      <c r="E2" s="6" t="s">
        <v>1563</v>
      </c>
      <c r="F2" s="6" t="s">
        <v>1564</v>
      </c>
      <c r="G2" s="1" t="s">
        <v>1565</v>
      </c>
      <c r="H2" s="5" t="s">
        <v>1566</v>
      </c>
      <c r="I2" s="5" t="s">
        <v>1567</v>
      </c>
      <c r="J2" s="5" t="s">
        <v>1568</v>
      </c>
      <c r="K2" s="5" t="s">
        <v>1569</v>
      </c>
      <c r="L2" s="6" t="s">
        <v>1570</v>
      </c>
      <c r="M2" s="5" t="s">
        <v>1571</v>
      </c>
      <c r="N2" s="5" t="s">
        <v>1572</v>
      </c>
      <c r="O2" s="5" t="s">
        <v>1573</v>
      </c>
      <c r="P2" s="7" t="s">
        <v>1574</v>
      </c>
      <c r="Q2" s="7" t="s">
        <v>1575</v>
      </c>
      <c r="R2" s="7" t="s">
        <v>1576</v>
      </c>
      <c r="S2" s="6" t="s">
        <v>1577</v>
      </c>
      <c r="T2" s="6" t="s">
        <v>1578</v>
      </c>
      <c r="U2" s="5" t="s">
        <v>1579</v>
      </c>
    </row>
    <row r="3" spans="1:21" s="4" customFormat="1" ht="32" x14ac:dyDescent="0.2">
      <c r="A3" s="1" t="s">
        <v>1580</v>
      </c>
      <c r="B3" s="4">
        <v>1958</v>
      </c>
      <c r="C3" s="1" t="s">
        <v>1581</v>
      </c>
      <c r="D3" s="1" t="s">
        <v>1582</v>
      </c>
      <c r="E3" s="1">
        <v>1924</v>
      </c>
      <c r="F3" s="1"/>
      <c r="G3" s="1" t="s">
        <v>1583</v>
      </c>
      <c r="H3" s="1" t="s">
        <v>1584</v>
      </c>
      <c r="I3" s="1" t="s">
        <v>1585</v>
      </c>
      <c r="J3" s="1">
        <v>1</v>
      </c>
      <c r="K3" s="1" t="s">
        <v>1586</v>
      </c>
      <c r="L3" s="2" t="s">
        <v>1587</v>
      </c>
      <c r="M3" s="8" t="s">
        <v>1588</v>
      </c>
      <c r="N3" s="8" t="s">
        <v>1589</v>
      </c>
      <c r="O3" s="8" t="s">
        <v>1590</v>
      </c>
      <c r="P3" s="3" t="s">
        <v>1591</v>
      </c>
      <c r="Q3" s="3" t="s">
        <v>1592</v>
      </c>
      <c r="R3" s="3" t="s">
        <v>1592</v>
      </c>
      <c r="S3" s="2"/>
      <c r="T3" s="2"/>
      <c r="U3" s="8" t="s">
        <v>1593</v>
      </c>
    </row>
    <row r="4" spans="1:21" s="4" customFormat="1" ht="48" x14ac:dyDescent="0.2">
      <c r="A4" s="1" t="s">
        <v>1594</v>
      </c>
      <c r="B4" s="4">
        <v>1960</v>
      </c>
      <c r="C4" s="1" t="s">
        <v>1595</v>
      </c>
      <c r="D4" s="1" t="s">
        <v>1596</v>
      </c>
      <c r="E4" s="1">
        <v>1959</v>
      </c>
      <c r="F4" s="1"/>
      <c r="G4" s="1"/>
      <c r="H4" s="1" t="s">
        <v>1597</v>
      </c>
      <c r="I4" s="1"/>
      <c r="J4" s="1">
        <v>1</v>
      </c>
      <c r="K4" s="1" t="s">
        <v>1586</v>
      </c>
      <c r="L4" s="2" t="s">
        <v>1598</v>
      </c>
      <c r="M4" s="8"/>
      <c r="N4" s="8" t="s">
        <v>1599</v>
      </c>
      <c r="O4" s="8" t="s">
        <v>1600</v>
      </c>
      <c r="P4" s="9" t="s">
        <v>1601</v>
      </c>
      <c r="Q4" s="9" t="s">
        <v>1592</v>
      </c>
      <c r="R4" s="9" t="s">
        <v>1592</v>
      </c>
      <c r="S4" s="2"/>
      <c r="T4" s="2"/>
      <c r="U4" s="8" t="s">
        <v>1602</v>
      </c>
    </row>
    <row r="5" spans="1:21" s="4" customFormat="1" ht="32" x14ac:dyDescent="0.2">
      <c r="A5" s="1" t="s">
        <v>1603</v>
      </c>
      <c r="B5" s="4">
        <v>1962</v>
      </c>
      <c r="C5" s="1" t="s">
        <v>1604</v>
      </c>
      <c r="D5" s="1" t="s">
        <v>1605</v>
      </c>
      <c r="E5" s="1">
        <v>1960</v>
      </c>
      <c r="F5" s="1"/>
      <c r="G5" s="1" t="s">
        <v>1583</v>
      </c>
      <c r="H5" s="1" t="s">
        <v>1606</v>
      </c>
      <c r="I5" s="1" t="s">
        <v>1585</v>
      </c>
      <c r="J5" s="1">
        <v>1</v>
      </c>
      <c r="K5" s="1" t="s">
        <v>1586</v>
      </c>
      <c r="L5" s="2" t="s">
        <v>1607</v>
      </c>
      <c r="M5" s="8" t="s">
        <v>1608</v>
      </c>
      <c r="N5" s="8" t="s">
        <v>1589</v>
      </c>
      <c r="O5" s="8" t="s">
        <v>1590</v>
      </c>
      <c r="P5" s="3">
        <v>4</v>
      </c>
      <c r="Q5" s="3"/>
      <c r="R5" s="3"/>
      <c r="S5" s="2"/>
      <c r="T5" s="2"/>
      <c r="U5" s="8" t="s">
        <v>1609</v>
      </c>
    </row>
    <row r="6" spans="1:21" s="4" customFormat="1" ht="80" x14ac:dyDescent="0.2">
      <c r="A6" s="1" t="s">
        <v>1610</v>
      </c>
      <c r="B6" s="4">
        <v>1964</v>
      </c>
      <c r="C6" s="1" t="s">
        <v>1611</v>
      </c>
      <c r="D6" s="1" t="s">
        <v>1612</v>
      </c>
      <c r="E6" s="1">
        <v>1962</v>
      </c>
      <c r="F6" s="1"/>
      <c r="G6" s="1" t="s">
        <v>1583</v>
      </c>
      <c r="H6" s="1" t="s">
        <v>1613</v>
      </c>
      <c r="I6" s="1" t="s">
        <v>1585</v>
      </c>
      <c r="J6" s="1">
        <v>1</v>
      </c>
      <c r="K6" s="1" t="s">
        <v>1586</v>
      </c>
      <c r="L6" s="2" t="s">
        <v>1614</v>
      </c>
      <c r="M6" s="8" t="s">
        <v>1615</v>
      </c>
      <c r="N6" s="8" t="s">
        <v>1599</v>
      </c>
      <c r="O6" s="8" t="s">
        <v>1590</v>
      </c>
      <c r="P6" s="9">
        <v>4</v>
      </c>
      <c r="Q6" s="9"/>
      <c r="R6" s="9"/>
      <c r="S6" s="2"/>
      <c r="T6" s="2"/>
      <c r="U6" s="8" t="s">
        <v>1616</v>
      </c>
    </row>
    <row r="7" spans="1:21" s="4" customFormat="1" ht="80" x14ac:dyDescent="0.2">
      <c r="A7" s="1" t="s">
        <v>1617</v>
      </c>
      <c r="B7" s="4">
        <v>1969</v>
      </c>
      <c r="C7" s="1" t="s">
        <v>1618</v>
      </c>
      <c r="D7" s="8" t="s">
        <v>1619</v>
      </c>
      <c r="E7" s="8">
        <v>1967</v>
      </c>
      <c r="F7" s="8"/>
      <c r="G7" s="1" t="s">
        <v>1583</v>
      </c>
      <c r="H7" s="1" t="s">
        <v>1620</v>
      </c>
      <c r="I7" s="1" t="s">
        <v>1585</v>
      </c>
      <c r="J7" s="1">
        <v>1</v>
      </c>
      <c r="K7" s="1" t="s">
        <v>1621</v>
      </c>
      <c r="L7" s="2" t="s">
        <v>1622</v>
      </c>
      <c r="M7" s="8" t="s">
        <v>1623</v>
      </c>
      <c r="N7" s="8" t="s">
        <v>1589</v>
      </c>
      <c r="O7" s="8" t="s">
        <v>1600</v>
      </c>
      <c r="P7" s="3" t="s">
        <v>1624</v>
      </c>
      <c r="Q7" s="3" t="s">
        <v>1625</v>
      </c>
      <c r="R7" s="3" t="s">
        <v>1625</v>
      </c>
      <c r="S7" s="2"/>
      <c r="T7" s="2"/>
      <c r="U7" s="8" t="s">
        <v>1626</v>
      </c>
    </row>
    <row r="8" spans="1:21" s="4" customFormat="1" ht="80" x14ac:dyDescent="0.2">
      <c r="A8" s="1" t="s">
        <v>1617</v>
      </c>
      <c r="B8" s="4">
        <v>1969</v>
      </c>
      <c r="C8" s="1" t="s">
        <v>1618</v>
      </c>
      <c r="D8" s="8" t="s">
        <v>1619</v>
      </c>
      <c r="E8" s="8">
        <v>1967</v>
      </c>
      <c r="F8" s="8"/>
      <c r="G8" s="1" t="s">
        <v>1583</v>
      </c>
      <c r="H8" s="1" t="s">
        <v>1620</v>
      </c>
      <c r="I8" s="1" t="s">
        <v>1585</v>
      </c>
      <c r="J8" s="1">
        <v>2</v>
      </c>
      <c r="K8" s="1" t="s">
        <v>1586</v>
      </c>
      <c r="L8" s="2" t="s">
        <v>1627</v>
      </c>
      <c r="M8" s="8" t="s">
        <v>1628</v>
      </c>
      <c r="N8" s="8" t="s">
        <v>1589</v>
      </c>
      <c r="O8" s="8" t="s">
        <v>1590</v>
      </c>
      <c r="P8" s="3" t="s">
        <v>1601</v>
      </c>
      <c r="Q8" s="9"/>
      <c r="R8" s="9"/>
      <c r="S8" s="2"/>
      <c r="T8" s="2"/>
      <c r="U8" s="8" t="s">
        <v>1626</v>
      </c>
    </row>
    <row r="9" spans="1:21" s="4" customFormat="1" ht="48" x14ac:dyDescent="0.2">
      <c r="A9" s="1" t="s">
        <v>1629</v>
      </c>
      <c r="B9" s="4">
        <v>1971</v>
      </c>
      <c r="C9" s="1" t="s">
        <v>1630</v>
      </c>
      <c r="D9" s="1" t="s">
        <v>1631</v>
      </c>
      <c r="E9" s="1">
        <v>1924</v>
      </c>
      <c r="F9" s="1"/>
      <c r="G9" s="1" t="s">
        <v>1583</v>
      </c>
      <c r="H9" s="1" t="s">
        <v>1632</v>
      </c>
      <c r="I9" s="1" t="s">
        <v>1633</v>
      </c>
      <c r="J9" s="1">
        <v>1</v>
      </c>
      <c r="K9" s="1" t="s">
        <v>1586</v>
      </c>
      <c r="L9" s="2" t="s">
        <v>1634</v>
      </c>
      <c r="M9" s="8" t="s">
        <v>1588</v>
      </c>
      <c r="N9" s="8" t="s">
        <v>1589</v>
      </c>
      <c r="O9" s="8" t="s">
        <v>1590</v>
      </c>
      <c r="P9" s="3" t="s">
        <v>1635</v>
      </c>
      <c r="Q9" s="9"/>
      <c r="R9" s="9"/>
      <c r="S9" s="2"/>
      <c r="T9" s="2"/>
      <c r="U9" s="8" t="s">
        <v>1636</v>
      </c>
    </row>
    <row r="10" spans="1:21" s="4" customFormat="1" ht="48" x14ac:dyDescent="0.2">
      <c r="A10" s="1" t="s">
        <v>1629</v>
      </c>
      <c r="B10" s="4">
        <v>1971</v>
      </c>
      <c r="C10" s="1" t="s">
        <v>1630</v>
      </c>
      <c r="D10" s="1" t="s">
        <v>1631</v>
      </c>
      <c r="E10" s="1">
        <v>1966</v>
      </c>
      <c r="F10" s="1"/>
      <c r="G10" s="1" t="s">
        <v>1583</v>
      </c>
      <c r="H10" s="1" t="s">
        <v>1632</v>
      </c>
      <c r="I10" s="1" t="s">
        <v>1633</v>
      </c>
      <c r="J10" s="1">
        <v>2</v>
      </c>
      <c r="K10" s="1" t="s">
        <v>1586</v>
      </c>
      <c r="L10" s="2" t="s">
        <v>1637</v>
      </c>
      <c r="M10" s="8" t="s">
        <v>1588</v>
      </c>
      <c r="N10" s="8" t="s">
        <v>1589</v>
      </c>
      <c r="O10" s="8" t="s">
        <v>1590</v>
      </c>
      <c r="P10" s="3" t="s">
        <v>1638</v>
      </c>
      <c r="Q10" s="9"/>
      <c r="R10" s="9"/>
      <c r="S10" s="2"/>
      <c r="T10" s="2"/>
      <c r="U10" s="8"/>
    </row>
    <row r="11" spans="1:21" s="4" customFormat="1" ht="48" x14ac:dyDescent="0.2">
      <c r="A11" s="1" t="s">
        <v>1629</v>
      </c>
      <c r="B11" s="4">
        <v>1971</v>
      </c>
      <c r="C11" s="1" t="s">
        <v>1630</v>
      </c>
      <c r="D11" s="1" t="s">
        <v>1631</v>
      </c>
      <c r="E11" s="1">
        <v>1967</v>
      </c>
      <c r="F11" s="1"/>
      <c r="G11" s="1" t="s">
        <v>1583</v>
      </c>
      <c r="H11" s="1" t="s">
        <v>1632</v>
      </c>
      <c r="I11" s="1" t="s">
        <v>1633</v>
      </c>
      <c r="J11" s="1">
        <v>3</v>
      </c>
      <c r="K11" s="1" t="s">
        <v>1586</v>
      </c>
      <c r="L11" s="2" t="s">
        <v>1639</v>
      </c>
      <c r="M11" s="8" t="s">
        <v>1588</v>
      </c>
      <c r="N11" s="8" t="s">
        <v>1589</v>
      </c>
      <c r="O11" s="8" t="s">
        <v>1590</v>
      </c>
      <c r="P11" s="3" t="s">
        <v>1635</v>
      </c>
      <c r="Q11" s="9"/>
      <c r="R11" s="9"/>
      <c r="S11" s="2"/>
      <c r="T11" s="2"/>
      <c r="U11" s="8"/>
    </row>
    <row r="12" spans="1:21" s="4" customFormat="1" ht="48" x14ac:dyDescent="0.2">
      <c r="A12" s="1" t="s">
        <v>1640</v>
      </c>
      <c r="B12" s="4">
        <v>1975</v>
      </c>
      <c r="C12" s="1" t="s">
        <v>1641</v>
      </c>
      <c r="D12" s="8" t="s">
        <v>1642</v>
      </c>
      <c r="E12" s="8">
        <v>1967</v>
      </c>
      <c r="F12" s="8"/>
      <c r="G12" s="1" t="s">
        <v>1583</v>
      </c>
      <c r="H12" s="1" t="s">
        <v>1643</v>
      </c>
      <c r="I12" s="1" t="s">
        <v>1585</v>
      </c>
      <c r="J12" s="1">
        <v>1</v>
      </c>
      <c r="K12" s="1" t="s">
        <v>1586</v>
      </c>
      <c r="L12" s="2" t="s">
        <v>1644</v>
      </c>
      <c r="M12" s="8" t="s">
        <v>1588</v>
      </c>
      <c r="N12" s="8" t="s">
        <v>1589</v>
      </c>
      <c r="O12" s="8" t="s">
        <v>1590</v>
      </c>
      <c r="P12" s="3" t="s">
        <v>1645</v>
      </c>
      <c r="Q12" s="9"/>
      <c r="R12" s="9"/>
      <c r="S12" s="2"/>
      <c r="T12" s="2"/>
      <c r="U12" s="10" t="s">
        <v>1646</v>
      </c>
    </row>
    <row r="13" spans="1:21" s="4" customFormat="1" ht="48" x14ac:dyDescent="0.2">
      <c r="A13" s="1" t="s">
        <v>1640</v>
      </c>
      <c r="B13" s="4">
        <v>1975</v>
      </c>
      <c r="C13" s="1" t="s">
        <v>1641</v>
      </c>
      <c r="D13" s="8" t="s">
        <v>1642</v>
      </c>
      <c r="E13" s="8">
        <v>1967</v>
      </c>
      <c r="F13" s="8"/>
      <c r="G13" s="1" t="s">
        <v>1583</v>
      </c>
      <c r="H13" s="1" t="s">
        <v>1643</v>
      </c>
      <c r="I13" s="1" t="s">
        <v>1647</v>
      </c>
      <c r="J13" s="1">
        <v>2</v>
      </c>
      <c r="K13" s="1" t="s">
        <v>1586</v>
      </c>
      <c r="L13" s="2" t="s">
        <v>1644</v>
      </c>
      <c r="M13" s="8" t="s">
        <v>1588</v>
      </c>
      <c r="N13" s="8" t="s">
        <v>1589</v>
      </c>
      <c r="O13" s="8" t="s">
        <v>1590</v>
      </c>
      <c r="P13" s="3" t="s">
        <v>1648</v>
      </c>
      <c r="Q13" s="9"/>
      <c r="R13" s="9"/>
      <c r="S13" s="2"/>
      <c r="T13" s="2"/>
      <c r="U13" s="10"/>
    </row>
    <row r="14" spans="1:21" s="4" customFormat="1" ht="48" x14ac:dyDescent="0.2">
      <c r="A14" s="1" t="s">
        <v>1649</v>
      </c>
      <c r="B14" s="4">
        <v>1975</v>
      </c>
      <c r="C14" s="1" t="s">
        <v>1650</v>
      </c>
      <c r="D14" s="8" t="s">
        <v>1651</v>
      </c>
      <c r="E14" s="8">
        <v>1968</v>
      </c>
      <c r="F14" s="8"/>
      <c r="G14" s="1" t="s">
        <v>1583</v>
      </c>
      <c r="H14" s="1" t="s">
        <v>1652</v>
      </c>
      <c r="I14" s="1" t="s">
        <v>1585</v>
      </c>
      <c r="J14" s="1">
        <v>1</v>
      </c>
      <c r="K14" s="1" t="s">
        <v>1586</v>
      </c>
      <c r="L14" s="2" t="s">
        <v>1653</v>
      </c>
      <c r="M14" s="8" t="s">
        <v>1654</v>
      </c>
      <c r="N14" s="8" t="s">
        <v>1589</v>
      </c>
      <c r="O14" s="8" t="s">
        <v>1590</v>
      </c>
      <c r="P14" s="3">
        <v>3.2</v>
      </c>
      <c r="Q14" s="9"/>
      <c r="R14" s="9"/>
      <c r="S14" s="2"/>
      <c r="T14" s="2"/>
      <c r="U14" s="10" t="s">
        <v>1655</v>
      </c>
    </row>
    <row r="15" spans="1:21" s="12" customFormat="1" ht="32" x14ac:dyDescent="0.2">
      <c r="A15" s="1" t="s">
        <v>1656</v>
      </c>
      <c r="B15" s="4">
        <v>1976</v>
      </c>
      <c r="C15" s="1" t="s">
        <v>1657</v>
      </c>
      <c r="D15" s="1" t="s">
        <v>1658</v>
      </c>
      <c r="E15" s="1">
        <v>1970</v>
      </c>
      <c r="F15" s="1">
        <v>1973</v>
      </c>
      <c r="G15" s="1" t="s">
        <v>1659</v>
      </c>
      <c r="H15" s="1" t="s">
        <v>1660</v>
      </c>
      <c r="I15" s="1"/>
      <c r="J15" s="1">
        <v>1</v>
      </c>
      <c r="K15" s="1" t="s">
        <v>1586</v>
      </c>
      <c r="L15" s="2" t="s">
        <v>1661</v>
      </c>
      <c r="M15" s="1" t="s">
        <v>1662</v>
      </c>
      <c r="N15" s="1" t="s">
        <v>1589</v>
      </c>
      <c r="O15" s="1" t="s">
        <v>1600</v>
      </c>
      <c r="P15" s="3" t="s">
        <v>1663</v>
      </c>
      <c r="Q15" s="9" t="s">
        <v>1592</v>
      </c>
      <c r="R15" s="9" t="s">
        <v>1592</v>
      </c>
      <c r="S15" s="2"/>
      <c r="T15" s="2"/>
      <c r="U15" s="11" t="s">
        <v>1664</v>
      </c>
    </row>
    <row r="16" spans="1:21" s="4" customFormat="1" ht="16" x14ac:dyDescent="0.2">
      <c r="A16" s="1" t="s">
        <v>1665</v>
      </c>
      <c r="B16" s="4">
        <v>1980</v>
      </c>
      <c r="C16" s="1" t="s">
        <v>1666</v>
      </c>
      <c r="D16" s="8" t="s">
        <v>1667</v>
      </c>
      <c r="E16" s="8">
        <v>1978</v>
      </c>
      <c r="F16" s="8"/>
      <c r="G16" s="1" t="s">
        <v>1659</v>
      </c>
      <c r="H16" s="1" t="s">
        <v>1668</v>
      </c>
      <c r="I16" s="1"/>
      <c r="J16" s="1"/>
      <c r="K16" s="1"/>
      <c r="L16" s="2" t="s">
        <v>1669</v>
      </c>
      <c r="M16" s="2"/>
      <c r="N16" s="8" t="s">
        <v>1589</v>
      </c>
      <c r="O16" s="1"/>
      <c r="P16" s="3"/>
      <c r="Q16" s="3"/>
      <c r="R16" s="3"/>
      <c r="S16" s="2" t="s">
        <v>1670</v>
      </c>
      <c r="T16" s="2" t="s">
        <v>1671</v>
      </c>
      <c r="U16" s="10" t="s">
        <v>1672</v>
      </c>
    </row>
    <row r="17" spans="1:21" s="4" customFormat="1" ht="32" x14ac:dyDescent="0.2">
      <c r="A17" s="1" t="s">
        <v>1673</v>
      </c>
      <c r="B17" s="4">
        <v>1981</v>
      </c>
      <c r="C17" s="1" t="s">
        <v>1674</v>
      </c>
      <c r="D17" s="8" t="s">
        <v>1675</v>
      </c>
      <c r="E17" s="8">
        <v>1970</v>
      </c>
      <c r="F17" s="8">
        <v>1973</v>
      </c>
      <c r="G17" s="1" t="s">
        <v>1659</v>
      </c>
      <c r="H17" s="1" t="s">
        <v>1676</v>
      </c>
      <c r="I17" s="1"/>
      <c r="J17" s="1"/>
      <c r="K17" s="1" t="s">
        <v>1586</v>
      </c>
      <c r="L17" s="2" t="s">
        <v>1661</v>
      </c>
      <c r="M17" s="8" t="s">
        <v>1677</v>
      </c>
      <c r="N17" s="8" t="s">
        <v>1589</v>
      </c>
      <c r="O17" s="8" t="s">
        <v>1600</v>
      </c>
      <c r="P17" s="3" t="s">
        <v>1678</v>
      </c>
      <c r="Q17" s="3" t="s">
        <v>1679</v>
      </c>
      <c r="R17" s="3" t="s">
        <v>1679</v>
      </c>
      <c r="S17" s="2"/>
      <c r="T17" s="2"/>
      <c r="U17" s="10" t="s">
        <v>1680</v>
      </c>
    </row>
    <row r="18" spans="1:21" s="4" customFormat="1" ht="48" x14ac:dyDescent="0.2">
      <c r="A18" s="1" t="s">
        <v>1681</v>
      </c>
      <c r="B18" s="4">
        <v>1982</v>
      </c>
      <c r="C18" s="1" t="s">
        <v>1682</v>
      </c>
      <c r="D18" s="8" t="s">
        <v>1683</v>
      </c>
      <c r="E18" s="8">
        <v>1982</v>
      </c>
      <c r="F18" s="8"/>
      <c r="G18" s="1" t="s">
        <v>1684</v>
      </c>
      <c r="H18" s="1" t="s">
        <v>1685</v>
      </c>
      <c r="I18" s="1"/>
      <c r="J18" s="1">
        <v>1</v>
      </c>
      <c r="K18" s="1"/>
      <c r="L18" s="2"/>
      <c r="M18" s="8" t="s">
        <v>1686</v>
      </c>
      <c r="N18" s="8" t="s">
        <v>1687</v>
      </c>
      <c r="O18" s="8" t="s">
        <v>1600</v>
      </c>
      <c r="P18" s="3" t="s">
        <v>1645</v>
      </c>
      <c r="Q18" s="3" t="s">
        <v>1625</v>
      </c>
      <c r="R18" s="3" t="s">
        <v>1625</v>
      </c>
      <c r="S18" s="2"/>
      <c r="T18" s="2"/>
      <c r="U18" s="10" t="s">
        <v>1688</v>
      </c>
    </row>
    <row r="19" spans="1:21" s="4" customFormat="1" ht="48" x14ac:dyDescent="0.2">
      <c r="A19" s="1" t="s">
        <v>1681</v>
      </c>
      <c r="B19" s="4">
        <v>1982</v>
      </c>
      <c r="C19" s="1" t="s">
        <v>1682</v>
      </c>
      <c r="D19" s="8" t="s">
        <v>1683</v>
      </c>
      <c r="E19" s="8">
        <v>1982</v>
      </c>
      <c r="F19" s="8"/>
      <c r="G19" s="1" t="s">
        <v>1684</v>
      </c>
      <c r="H19" s="1" t="s">
        <v>1689</v>
      </c>
      <c r="I19" s="1"/>
      <c r="J19" s="1">
        <v>2</v>
      </c>
      <c r="K19" s="1"/>
      <c r="L19" s="2"/>
      <c r="M19" s="8" t="s">
        <v>1686</v>
      </c>
      <c r="N19" s="8" t="s">
        <v>1687</v>
      </c>
      <c r="O19" s="8" t="s">
        <v>1600</v>
      </c>
      <c r="P19" s="3" t="s">
        <v>1663</v>
      </c>
      <c r="Q19" s="3" t="s">
        <v>1625</v>
      </c>
      <c r="R19" s="3" t="s">
        <v>1625</v>
      </c>
      <c r="S19" s="2"/>
      <c r="T19" s="2"/>
      <c r="U19" s="10" t="s">
        <v>1688</v>
      </c>
    </row>
    <row r="20" spans="1:21" s="4" customFormat="1" ht="48" x14ac:dyDescent="0.2">
      <c r="A20" s="1" t="s">
        <v>1690</v>
      </c>
      <c r="B20" s="4">
        <v>1983</v>
      </c>
      <c r="C20" s="1" t="s">
        <v>1691</v>
      </c>
      <c r="D20" s="8" t="s">
        <v>1692</v>
      </c>
      <c r="E20" s="8">
        <v>1921</v>
      </c>
      <c r="F20" s="8">
        <v>1927</v>
      </c>
      <c r="G20" s="1" t="s">
        <v>1659</v>
      </c>
      <c r="H20" s="1" t="s">
        <v>1693</v>
      </c>
      <c r="I20" s="1"/>
      <c r="J20" s="1">
        <v>1</v>
      </c>
      <c r="K20" s="1" t="s">
        <v>1586</v>
      </c>
      <c r="L20" s="2" t="s">
        <v>1634</v>
      </c>
      <c r="M20" s="8" t="s">
        <v>1694</v>
      </c>
      <c r="N20" s="8" t="s">
        <v>1687</v>
      </c>
      <c r="O20" s="8" t="s">
        <v>1590</v>
      </c>
      <c r="P20" s="3" t="s">
        <v>1601</v>
      </c>
      <c r="Q20" s="9"/>
      <c r="R20" s="9"/>
      <c r="S20" s="2"/>
      <c r="T20" s="2"/>
      <c r="U20" s="10" t="s">
        <v>1695</v>
      </c>
    </row>
    <row r="21" spans="1:21" s="4" customFormat="1" ht="48" x14ac:dyDescent="0.2">
      <c r="A21" s="1" t="s">
        <v>1690</v>
      </c>
      <c r="B21" s="4">
        <v>1983</v>
      </c>
      <c r="C21" s="1" t="s">
        <v>1691</v>
      </c>
      <c r="D21" s="8" t="s">
        <v>1692</v>
      </c>
      <c r="E21" s="8">
        <v>1972</v>
      </c>
      <c r="F21" s="8">
        <v>1972</v>
      </c>
      <c r="G21" s="1" t="s">
        <v>1659</v>
      </c>
      <c r="H21" s="1" t="s">
        <v>1693</v>
      </c>
      <c r="I21" s="1"/>
      <c r="J21" s="1">
        <v>2</v>
      </c>
      <c r="K21" s="1" t="s">
        <v>1586</v>
      </c>
      <c r="L21" s="2" t="s">
        <v>1696</v>
      </c>
      <c r="M21" s="8" t="s">
        <v>1694</v>
      </c>
      <c r="N21" s="8" t="s">
        <v>1687</v>
      </c>
      <c r="O21" s="8" t="s">
        <v>1590</v>
      </c>
      <c r="P21" s="3" t="s">
        <v>1697</v>
      </c>
      <c r="Q21" s="9"/>
      <c r="R21" s="9"/>
      <c r="S21" s="2"/>
      <c r="T21" s="2"/>
      <c r="U21" s="10" t="s">
        <v>1698</v>
      </c>
    </row>
    <row r="22" spans="1:21" s="4" customFormat="1" ht="48" x14ac:dyDescent="0.2">
      <c r="A22" s="1" t="s">
        <v>1690</v>
      </c>
      <c r="B22" s="4">
        <v>1983</v>
      </c>
      <c r="C22" s="1" t="s">
        <v>1691</v>
      </c>
      <c r="D22" s="8" t="s">
        <v>1692</v>
      </c>
      <c r="E22" s="8">
        <v>1972</v>
      </c>
      <c r="F22" s="8">
        <v>1973</v>
      </c>
      <c r="G22" s="1" t="s">
        <v>1659</v>
      </c>
      <c r="H22" s="1" t="s">
        <v>1693</v>
      </c>
      <c r="I22" s="1"/>
      <c r="J22" s="1">
        <v>3</v>
      </c>
      <c r="K22" s="1" t="s">
        <v>1586</v>
      </c>
      <c r="L22" s="2" t="s">
        <v>1699</v>
      </c>
      <c r="M22" s="8" t="s">
        <v>1694</v>
      </c>
      <c r="N22" s="8" t="s">
        <v>1687</v>
      </c>
      <c r="O22" s="8" t="s">
        <v>1590</v>
      </c>
      <c r="P22" s="3" t="s">
        <v>1700</v>
      </c>
      <c r="Q22" s="9"/>
      <c r="R22" s="9"/>
      <c r="S22" s="2"/>
      <c r="T22" s="2"/>
      <c r="U22" s="10" t="s">
        <v>1698</v>
      </c>
    </row>
    <row r="23" spans="1:21" s="4" customFormat="1" ht="32" x14ac:dyDescent="0.2">
      <c r="A23" s="1" t="s">
        <v>1701</v>
      </c>
      <c r="B23" s="4">
        <v>1983</v>
      </c>
      <c r="C23" s="1" t="s">
        <v>1702</v>
      </c>
      <c r="D23" s="8" t="s">
        <v>1703</v>
      </c>
      <c r="E23" s="2" t="s">
        <v>1704</v>
      </c>
      <c r="F23" s="2"/>
      <c r="G23" s="1" t="s">
        <v>1583</v>
      </c>
      <c r="H23" s="1" t="s">
        <v>1705</v>
      </c>
      <c r="I23" s="1" t="s">
        <v>1585</v>
      </c>
      <c r="J23" s="1">
        <v>1</v>
      </c>
      <c r="K23" s="1" t="s">
        <v>1621</v>
      </c>
      <c r="L23" s="2" t="s">
        <v>1706</v>
      </c>
      <c r="M23" s="8" t="s">
        <v>1707</v>
      </c>
      <c r="N23" s="8" t="s">
        <v>1589</v>
      </c>
      <c r="O23" s="8" t="s">
        <v>1708</v>
      </c>
      <c r="P23" s="3" t="s">
        <v>1709</v>
      </c>
      <c r="Q23" s="3" t="s">
        <v>1710</v>
      </c>
      <c r="R23" s="3" t="s">
        <v>1710</v>
      </c>
      <c r="S23" s="2"/>
      <c r="T23" s="2"/>
      <c r="U23" s="10" t="s">
        <v>1711</v>
      </c>
    </row>
    <row r="24" spans="1:21" s="4" customFormat="1" ht="32" x14ac:dyDescent="0.2">
      <c r="A24" s="1" t="s">
        <v>1701</v>
      </c>
      <c r="B24" s="4">
        <v>1983</v>
      </c>
      <c r="C24" s="1" t="s">
        <v>1702</v>
      </c>
      <c r="D24" s="8" t="s">
        <v>1703</v>
      </c>
      <c r="E24" s="2" t="s">
        <v>1704</v>
      </c>
      <c r="F24" s="2"/>
      <c r="G24" s="1" t="s">
        <v>1583</v>
      </c>
      <c r="H24" s="1" t="s">
        <v>1705</v>
      </c>
      <c r="I24" s="1" t="s">
        <v>1585</v>
      </c>
      <c r="J24" s="1">
        <v>2</v>
      </c>
      <c r="K24" s="1" t="s">
        <v>1621</v>
      </c>
      <c r="L24" s="2" t="s">
        <v>1706</v>
      </c>
      <c r="M24" s="8" t="s">
        <v>1707</v>
      </c>
      <c r="N24" s="8" t="s">
        <v>1589</v>
      </c>
      <c r="O24" s="8" t="s">
        <v>1708</v>
      </c>
      <c r="P24" s="3" t="s">
        <v>1712</v>
      </c>
      <c r="Q24" s="3" t="s">
        <v>1625</v>
      </c>
      <c r="R24" s="3" t="s">
        <v>1625</v>
      </c>
      <c r="S24" s="2"/>
      <c r="T24" s="2"/>
      <c r="U24" s="10" t="s">
        <v>1711</v>
      </c>
    </row>
    <row r="25" spans="1:21" s="4" customFormat="1" ht="32" x14ac:dyDescent="0.2">
      <c r="A25" s="1" t="s">
        <v>1701</v>
      </c>
      <c r="B25" s="4">
        <v>1983</v>
      </c>
      <c r="C25" s="1" t="s">
        <v>1702</v>
      </c>
      <c r="D25" s="8" t="s">
        <v>1703</v>
      </c>
      <c r="E25" s="2" t="s">
        <v>1713</v>
      </c>
      <c r="F25" s="2"/>
      <c r="G25" s="1" t="s">
        <v>1583</v>
      </c>
      <c r="H25" s="1" t="s">
        <v>1705</v>
      </c>
      <c r="I25" s="1" t="s">
        <v>1585</v>
      </c>
      <c r="J25" s="1">
        <v>3</v>
      </c>
      <c r="K25" s="1" t="s">
        <v>1586</v>
      </c>
      <c r="L25" s="2" t="s">
        <v>1714</v>
      </c>
      <c r="M25" s="8" t="s">
        <v>1715</v>
      </c>
      <c r="N25" s="8" t="s">
        <v>1589</v>
      </c>
      <c r="O25" s="8" t="s">
        <v>1708</v>
      </c>
      <c r="P25" s="3" t="s">
        <v>1716</v>
      </c>
      <c r="Q25" s="3" t="s">
        <v>1717</v>
      </c>
      <c r="R25" s="3" t="s">
        <v>1717</v>
      </c>
      <c r="S25" s="2"/>
      <c r="T25" s="2"/>
      <c r="U25" s="10" t="s">
        <v>1711</v>
      </c>
    </row>
    <row r="26" spans="1:21" s="4" customFormat="1" ht="32" x14ac:dyDescent="0.2">
      <c r="A26" s="1" t="s">
        <v>1701</v>
      </c>
      <c r="B26" s="4">
        <v>1983</v>
      </c>
      <c r="C26" s="1" t="s">
        <v>1702</v>
      </c>
      <c r="D26" s="8" t="s">
        <v>1703</v>
      </c>
      <c r="E26" s="2" t="s">
        <v>1713</v>
      </c>
      <c r="F26" s="2"/>
      <c r="G26" s="1" t="s">
        <v>1583</v>
      </c>
      <c r="H26" s="1" t="s">
        <v>1705</v>
      </c>
      <c r="I26" s="1" t="s">
        <v>1585</v>
      </c>
      <c r="J26" s="1">
        <v>4</v>
      </c>
      <c r="K26" s="1" t="s">
        <v>1586</v>
      </c>
      <c r="L26" s="2" t="s">
        <v>1714</v>
      </c>
      <c r="M26" s="8" t="s">
        <v>1715</v>
      </c>
      <c r="N26" s="8" t="s">
        <v>1589</v>
      </c>
      <c r="O26" s="8" t="s">
        <v>1708</v>
      </c>
      <c r="P26" s="3" t="s">
        <v>1700</v>
      </c>
      <c r="Q26" s="3" t="s">
        <v>1592</v>
      </c>
      <c r="R26" s="3" t="s">
        <v>1592</v>
      </c>
      <c r="S26" s="2"/>
      <c r="T26" s="2"/>
      <c r="U26" s="10" t="s">
        <v>1711</v>
      </c>
    </row>
    <row r="27" spans="1:21" s="4" customFormat="1" ht="48" x14ac:dyDescent="0.2">
      <c r="A27" s="1" t="s">
        <v>1718</v>
      </c>
      <c r="B27" s="4">
        <v>1984</v>
      </c>
      <c r="C27" s="1" t="s">
        <v>1719</v>
      </c>
      <c r="D27" s="8" t="s">
        <v>1720</v>
      </c>
      <c r="E27" s="13" t="s">
        <v>1721</v>
      </c>
      <c r="F27" s="13" t="s">
        <v>1722</v>
      </c>
      <c r="G27" s="1" t="s">
        <v>1659</v>
      </c>
      <c r="H27" s="1" t="s">
        <v>1723</v>
      </c>
      <c r="I27" s="1"/>
      <c r="J27" s="1">
        <v>1</v>
      </c>
      <c r="K27" s="1"/>
      <c r="L27" s="13" t="s">
        <v>1724</v>
      </c>
      <c r="M27" s="14" t="s">
        <v>1725</v>
      </c>
      <c r="N27" s="8" t="s">
        <v>1687</v>
      </c>
      <c r="O27" s="8" t="s">
        <v>1600</v>
      </c>
      <c r="P27" s="3" t="s">
        <v>1726</v>
      </c>
      <c r="Q27" s="3" t="s">
        <v>1635</v>
      </c>
      <c r="R27" s="3" t="s">
        <v>1635</v>
      </c>
      <c r="S27" s="2"/>
      <c r="T27" s="2"/>
      <c r="U27" s="10" t="s">
        <v>1727</v>
      </c>
    </row>
    <row r="28" spans="1:21" s="4" customFormat="1" ht="32" x14ac:dyDescent="0.2">
      <c r="A28" s="1" t="s">
        <v>1728</v>
      </c>
      <c r="B28" s="4">
        <v>1987</v>
      </c>
      <c r="C28" s="1" t="s">
        <v>1729</v>
      </c>
      <c r="D28" s="8" t="s">
        <v>1730</v>
      </c>
      <c r="E28" s="13" t="s">
        <v>1731</v>
      </c>
      <c r="F28" s="13" t="s">
        <v>1732</v>
      </c>
      <c r="G28" s="1" t="s">
        <v>1659</v>
      </c>
      <c r="H28" s="1" t="s">
        <v>1733</v>
      </c>
      <c r="I28" s="1"/>
      <c r="J28" s="1">
        <v>1</v>
      </c>
      <c r="K28" s="1" t="s">
        <v>1586</v>
      </c>
      <c r="L28" s="13" t="s">
        <v>1734</v>
      </c>
      <c r="M28" s="14" t="s">
        <v>1735</v>
      </c>
      <c r="N28" s="8" t="s">
        <v>1687</v>
      </c>
      <c r="O28" s="8" t="s">
        <v>1600</v>
      </c>
      <c r="P28" s="3" t="s">
        <v>1663</v>
      </c>
      <c r="Q28" s="3" t="s">
        <v>1679</v>
      </c>
      <c r="R28" s="3" t="s">
        <v>1679</v>
      </c>
      <c r="S28" s="2"/>
      <c r="T28" s="2"/>
      <c r="U28" s="10" t="s">
        <v>1736</v>
      </c>
    </row>
    <row r="29" spans="1:21" s="4" customFormat="1" ht="32" x14ac:dyDescent="0.2">
      <c r="A29" s="1" t="s">
        <v>1737</v>
      </c>
      <c r="B29" s="4">
        <v>1987</v>
      </c>
      <c r="C29" s="1" t="s">
        <v>1738</v>
      </c>
      <c r="D29" s="8" t="s">
        <v>1739</v>
      </c>
      <c r="E29" s="13" t="s">
        <v>1740</v>
      </c>
      <c r="F29" s="13" t="s">
        <v>1722</v>
      </c>
      <c r="G29" s="1" t="s">
        <v>1659</v>
      </c>
      <c r="H29" s="1" t="s">
        <v>1741</v>
      </c>
      <c r="I29" s="1"/>
      <c r="J29" s="1">
        <v>1</v>
      </c>
      <c r="K29" s="1" t="s">
        <v>1586</v>
      </c>
      <c r="L29" s="13" t="s">
        <v>1742</v>
      </c>
      <c r="M29" s="14" t="s">
        <v>1735</v>
      </c>
      <c r="N29" s="8" t="s">
        <v>1687</v>
      </c>
      <c r="O29" s="8" t="s">
        <v>1600</v>
      </c>
      <c r="P29" s="3" t="s">
        <v>1645</v>
      </c>
      <c r="Q29" s="3" t="s">
        <v>1625</v>
      </c>
      <c r="R29" s="3" t="s">
        <v>1625</v>
      </c>
      <c r="S29" s="2"/>
      <c r="T29" s="2"/>
      <c r="U29" s="10" t="s">
        <v>1743</v>
      </c>
    </row>
    <row r="30" spans="1:21" s="4" customFormat="1" ht="16" x14ac:dyDescent="0.2">
      <c r="A30" s="1" t="s">
        <v>1744</v>
      </c>
      <c r="B30" s="4">
        <v>1987</v>
      </c>
      <c r="C30" s="1" t="s">
        <v>1745</v>
      </c>
      <c r="D30" s="8" t="s">
        <v>1746</v>
      </c>
      <c r="E30" s="2" t="s">
        <v>1747</v>
      </c>
      <c r="F30" s="2" t="s">
        <v>1748</v>
      </c>
      <c r="G30" s="1" t="s">
        <v>1659</v>
      </c>
      <c r="H30" s="1" t="s">
        <v>1749</v>
      </c>
      <c r="I30" s="1"/>
      <c r="J30" s="1"/>
      <c r="K30" s="1"/>
      <c r="L30" s="2"/>
      <c r="M30" s="2"/>
      <c r="N30" s="8" t="s">
        <v>1589</v>
      </c>
      <c r="O30" s="2"/>
      <c r="P30" s="3"/>
      <c r="Q30" s="3"/>
      <c r="R30" s="3"/>
      <c r="S30" s="2" t="s">
        <v>1670</v>
      </c>
      <c r="T30" s="2" t="s">
        <v>1671</v>
      </c>
      <c r="U30" s="10" t="s">
        <v>1750</v>
      </c>
    </row>
    <row r="31" spans="1:21" s="4" customFormat="1" ht="16" x14ac:dyDescent="0.2">
      <c r="A31" s="1" t="s">
        <v>1751</v>
      </c>
      <c r="B31" s="4">
        <v>1988</v>
      </c>
      <c r="C31" s="1" t="s">
        <v>1752</v>
      </c>
      <c r="D31" s="8" t="s">
        <v>1753</v>
      </c>
      <c r="E31" s="2" t="s">
        <v>1747</v>
      </c>
      <c r="F31" s="2" t="s">
        <v>1754</v>
      </c>
      <c r="G31" s="1" t="s">
        <v>1659</v>
      </c>
      <c r="H31" s="1" t="s">
        <v>1755</v>
      </c>
      <c r="I31" s="1"/>
      <c r="J31" s="1">
        <v>1</v>
      </c>
      <c r="K31" s="1" t="s">
        <v>1586</v>
      </c>
      <c r="L31" s="2" t="s">
        <v>1756</v>
      </c>
      <c r="M31" s="14" t="s">
        <v>1735</v>
      </c>
      <c r="N31" s="8" t="s">
        <v>1589</v>
      </c>
      <c r="O31" s="8" t="s">
        <v>1600</v>
      </c>
      <c r="P31" s="3" t="s">
        <v>1601</v>
      </c>
      <c r="Q31" s="3" t="s">
        <v>1592</v>
      </c>
      <c r="R31" s="3" t="s">
        <v>1592</v>
      </c>
      <c r="S31" s="2"/>
      <c r="T31" s="2"/>
      <c r="U31" s="10" t="s">
        <v>1757</v>
      </c>
    </row>
    <row r="32" spans="1:21" s="4" customFormat="1" ht="48" x14ac:dyDescent="0.2">
      <c r="A32" s="1" t="s">
        <v>1758</v>
      </c>
      <c r="B32" s="4">
        <v>1990</v>
      </c>
      <c r="C32" s="1" t="s">
        <v>1759</v>
      </c>
      <c r="D32" s="8" t="s">
        <v>1760</v>
      </c>
      <c r="E32" s="2" t="s">
        <v>1761</v>
      </c>
      <c r="F32" s="2"/>
      <c r="G32" s="1" t="s">
        <v>1583</v>
      </c>
      <c r="H32" s="1" t="s">
        <v>1762</v>
      </c>
      <c r="I32" s="1" t="s">
        <v>1763</v>
      </c>
      <c r="J32" s="1">
        <v>1</v>
      </c>
      <c r="K32" s="1"/>
      <c r="L32" s="2" t="s">
        <v>1764</v>
      </c>
      <c r="M32" s="2"/>
      <c r="N32" s="8" t="s">
        <v>1589</v>
      </c>
      <c r="O32" s="8" t="s">
        <v>1600</v>
      </c>
      <c r="P32" s="3" t="s">
        <v>1765</v>
      </c>
      <c r="Q32" s="3" t="s">
        <v>1645</v>
      </c>
      <c r="R32" s="3" t="s">
        <v>1645</v>
      </c>
      <c r="S32" s="2"/>
      <c r="T32" s="2"/>
      <c r="U32" s="10" t="s">
        <v>1766</v>
      </c>
    </row>
    <row r="33" spans="1:21" s="4" customFormat="1" ht="80" x14ac:dyDescent="0.2">
      <c r="A33" s="1" t="s">
        <v>1767</v>
      </c>
      <c r="B33" s="4">
        <v>1992</v>
      </c>
      <c r="C33" s="1" t="s">
        <v>1768</v>
      </c>
      <c r="D33" s="8" t="s">
        <v>1769</v>
      </c>
      <c r="E33" s="13" t="s">
        <v>1669</v>
      </c>
      <c r="F33" s="13"/>
      <c r="G33" s="1" t="s">
        <v>1583</v>
      </c>
      <c r="H33" s="1" t="s">
        <v>1770</v>
      </c>
      <c r="I33" s="1" t="s">
        <v>1763</v>
      </c>
      <c r="J33" s="1">
        <v>1</v>
      </c>
      <c r="K33" s="1" t="s">
        <v>1586</v>
      </c>
      <c r="L33" s="13" t="s">
        <v>1771</v>
      </c>
      <c r="M33" s="8" t="s">
        <v>1772</v>
      </c>
      <c r="N33" s="8" t="s">
        <v>1589</v>
      </c>
      <c r="O33" s="8" t="s">
        <v>1708</v>
      </c>
      <c r="P33" s="15" t="s">
        <v>1716</v>
      </c>
      <c r="Q33" s="15" t="s">
        <v>1773</v>
      </c>
      <c r="R33" s="15" t="s">
        <v>1773</v>
      </c>
      <c r="S33" s="2"/>
      <c r="T33" s="2"/>
      <c r="U33" s="10" t="s">
        <v>1774</v>
      </c>
    </row>
    <row r="34" spans="1:21" s="4" customFormat="1" ht="112" x14ac:dyDescent="0.2">
      <c r="A34" s="1" t="s">
        <v>1775</v>
      </c>
      <c r="B34" s="4">
        <v>1993</v>
      </c>
      <c r="C34" s="1" t="s">
        <v>1776</v>
      </c>
      <c r="D34" s="8" t="s">
        <v>1777</v>
      </c>
      <c r="E34" s="2" t="s">
        <v>1732</v>
      </c>
      <c r="F34" s="2"/>
      <c r="G34" s="1" t="s">
        <v>1583</v>
      </c>
      <c r="H34" s="1" t="s">
        <v>1778</v>
      </c>
      <c r="I34" s="1" t="s">
        <v>1779</v>
      </c>
      <c r="J34" s="1">
        <v>1</v>
      </c>
      <c r="K34" s="1" t="s">
        <v>1586</v>
      </c>
      <c r="L34" s="2" t="s">
        <v>1780</v>
      </c>
      <c r="M34" s="14" t="s">
        <v>1781</v>
      </c>
      <c r="N34" s="8" t="s">
        <v>1589</v>
      </c>
      <c r="O34" s="8" t="s">
        <v>1590</v>
      </c>
      <c r="P34" s="3" t="s">
        <v>1679</v>
      </c>
      <c r="Q34" s="3"/>
      <c r="R34" s="3"/>
      <c r="S34" s="2"/>
      <c r="T34" s="2"/>
      <c r="U34" s="10" t="s">
        <v>1782</v>
      </c>
    </row>
    <row r="35" spans="1:21" s="4" customFormat="1" ht="80" x14ac:dyDescent="0.2">
      <c r="A35" s="1" t="s">
        <v>1783</v>
      </c>
      <c r="B35" s="4">
        <v>1993</v>
      </c>
      <c r="C35" s="1" t="s">
        <v>1784</v>
      </c>
      <c r="D35" s="8" t="s">
        <v>1733</v>
      </c>
      <c r="E35" s="2">
        <v>1986</v>
      </c>
      <c r="F35" s="2"/>
      <c r="G35" s="1" t="s">
        <v>1659</v>
      </c>
      <c r="H35" s="1" t="s">
        <v>1785</v>
      </c>
      <c r="I35" s="1"/>
      <c r="J35" s="1">
        <v>1</v>
      </c>
      <c r="K35" s="1"/>
      <c r="L35" s="2">
        <v>1986</v>
      </c>
      <c r="M35" s="8" t="s">
        <v>1786</v>
      </c>
      <c r="N35" s="8" t="s">
        <v>1687</v>
      </c>
      <c r="O35" s="8" t="s">
        <v>1600</v>
      </c>
      <c r="P35" s="3" t="s">
        <v>1601</v>
      </c>
      <c r="Q35" s="3" t="s">
        <v>1592</v>
      </c>
      <c r="R35" s="3" t="s">
        <v>1592</v>
      </c>
      <c r="S35" s="2"/>
      <c r="T35" s="2"/>
      <c r="U35" s="10" t="s">
        <v>1787</v>
      </c>
    </row>
    <row r="36" spans="1:21" s="4" customFormat="1" ht="32" x14ac:dyDescent="0.2">
      <c r="A36" s="1" t="s">
        <v>1788</v>
      </c>
      <c r="B36" s="4">
        <v>1993</v>
      </c>
      <c r="C36" s="1" t="s">
        <v>1789</v>
      </c>
      <c r="D36" s="8" t="s">
        <v>1790</v>
      </c>
      <c r="E36" s="2" t="s">
        <v>1791</v>
      </c>
      <c r="F36" s="2" t="s">
        <v>1792</v>
      </c>
      <c r="G36" s="1"/>
      <c r="H36" s="1" t="s">
        <v>1793</v>
      </c>
      <c r="I36" s="1"/>
      <c r="J36" s="1">
        <v>1</v>
      </c>
      <c r="K36" s="1"/>
      <c r="L36" s="2" t="s">
        <v>1794</v>
      </c>
      <c r="M36" s="8" t="s">
        <v>1772</v>
      </c>
      <c r="N36" s="8" t="s">
        <v>1599</v>
      </c>
      <c r="O36" s="8"/>
      <c r="P36" s="3" t="s">
        <v>1678</v>
      </c>
      <c r="Q36" s="3" t="s">
        <v>1601</v>
      </c>
      <c r="R36" s="3" t="s">
        <v>1601</v>
      </c>
      <c r="S36" s="2"/>
      <c r="T36" s="2"/>
      <c r="U36" s="8" t="s">
        <v>1795</v>
      </c>
    </row>
    <row r="37" spans="1:21" s="4" customFormat="1" ht="48" x14ac:dyDescent="0.2">
      <c r="A37" s="1" t="s">
        <v>1796</v>
      </c>
      <c r="B37" s="4">
        <v>1992</v>
      </c>
      <c r="C37" s="1" t="s">
        <v>1797</v>
      </c>
      <c r="D37" s="8" t="s">
        <v>1798</v>
      </c>
      <c r="E37" s="2" t="s">
        <v>1732</v>
      </c>
      <c r="F37" s="2"/>
      <c r="G37" s="1" t="s">
        <v>1799</v>
      </c>
      <c r="H37" s="1" t="s">
        <v>1800</v>
      </c>
      <c r="I37" s="1"/>
      <c r="J37" s="1">
        <v>1</v>
      </c>
      <c r="K37" s="1" t="s">
        <v>1586</v>
      </c>
      <c r="L37" s="2" t="s">
        <v>1801</v>
      </c>
      <c r="M37" s="8" t="s">
        <v>1802</v>
      </c>
      <c r="N37" s="8" t="s">
        <v>1589</v>
      </c>
      <c r="O37" s="8" t="s">
        <v>1590</v>
      </c>
      <c r="P37" s="3" t="s">
        <v>1591</v>
      </c>
      <c r="Q37" s="3"/>
      <c r="R37" s="3"/>
      <c r="S37" s="2"/>
      <c r="T37" s="2"/>
      <c r="U37" s="10" t="s">
        <v>1803</v>
      </c>
    </row>
    <row r="38" spans="1:21" s="4" customFormat="1" ht="48" x14ac:dyDescent="0.2">
      <c r="A38" s="1" t="s">
        <v>1796</v>
      </c>
      <c r="B38" s="4">
        <v>1992</v>
      </c>
      <c r="C38" s="1" t="s">
        <v>1797</v>
      </c>
      <c r="D38" s="8" t="s">
        <v>1798</v>
      </c>
      <c r="E38" s="2" t="s">
        <v>1754</v>
      </c>
      <c r="F38" s="2"/>
      <c r="G38" s="1" t="s">
        <v>1799</v>
      </c>
      <c r="H38" s="1" t="s">
        <v>1800</v>
      </c>
      <c r="I38" s="1"/>
      <c r="J38" s="1">
        <v>2</v>
      </c>
      <c r="K38" s="1" t="s">
        <v>1621</v>
      </c>
      <c r="L38" s="2" t="s">
        <v>1804</v>
      </c>
      <c r="M38" s="8" t="s">
        <v>1707</v>
      </c>
      <c r="N38" s="8" t="s">
        <v>1589</v>
      </c>
      <c r="O38" s="8" t="s">
        <v>1590</v>
      </c>
      <c r="P38" s="3" t="s">
        <v>1805</v>
      </c>
      <c r="Q38" s="3"/>
      <c r="R38" s="3"/>
      <c r="S38" s="2"/>
      <c r="T38" s="2"/>
      <c r="U38" s="10" t="s">
        <v>1803</v>
      </c>
    </row>
    <row r="39" spans="1:21" s="4" customFormat="1" ht="16" x14ac:dyDescent="0.2">
      <c r="A39" s="1" t="s">
        <v>1806</v>
      </c>
      <c r="B39" s="4">
        <v>1995</v>
      </c>
      <c r="C39" s="1" t="s">
        <v>1807</v>
      </c>
      <c r="D39" s="8" t="s">
        <v>1808</v>
      </c>
      <c r="E39" s="2" t="s">
        <v>1732</v>
      </c>
      <c r="F39" s="2"/>
      <c r="G39" s="1" t="s">
        <v>1583</v>
      </c>
      <c r="H39" s="1" t="s">
        <v>1809</v>
      </c>
      <c r="I39" s="1" t="s">
        <v>1810</v>
      </c>
      <c r="J39" s="1">
        <v>1</v>
      </c>
      <c r="K39" s="1" t="s">
        <v>1586</v>
      </c>
      <c r="L39" s="2" t="s">
        <v>1801</v>
      </c>
      <c r="M39" s="8" t="s">
        <v>1802</v>
      </c>
      <c r="N39" s="8" t="s">
        <v>1589</v>
      </c>
      <c r="O39" s="8" t="s">
        <v>1708</v>
      </c>
      <c r="P39" s="3" t="s">
        <v>1811</v>
      </c>
      <c r="Q39" s="3" t="s">
        <v>1592</v>
      </c>
      <c r="R39" s="3" t="s">
        <v>1592</v>
      </c>
      <c r="S39" s="2"/>
      <c r="T39" s="2"/>
      <c r="U39" s="10" t="s">
        <v>1812</v>
      </c>
    </row>
    <row r="40" spans="1:21" s="4" customFormat="1" ht="16" x14ac:dyDescent="0.2">
      <c r="A40" s="1" t="s">
        <v>1806</v>
      </c>
      <c r="B40" s="4">
        <v>1995</v>
      </c>
      <c r="C40" s="1" t="s">
        <v>1807</v>
      </c>
      <c r="D40" s="8" t="s">
        <v>1808</v>
      </c>
      <c r="E40" s="2" t="s">
        <v>1732</v>
      </c>
      <c r="F40" s="2"/>
      <c r="G40" s="1" t="s">
        <v>1583</v>
      </c>
      <c r="H40" s="1" t="s">
        <v>1809</v>
      </c>
      <c r="I40" s="1" t="s">
        <v>1810</v>
      </c>
      <c r="J40" s="1">
        <v>2</v>
      </c>
      <c r="K40" s="1" t="s">
        <v>144</v>
      </c>
      <c r="L40" s="2" t="s">
        <v>1801</v>
      </c>
      <c r="M40" s="8" t="s">
        <v>1813</v>
      </c>
      <c r="N40" s="8" t="s">
        <v>1589</v>
      </c>
      <c r="O40" s="8" t="s">
        <v>1708</v>
      </c>
      <c r="P40" s="3" t="s">
        <v>1765</v>
      </c>
      <c r="Q40" s="3" t="s">
        <v>1709</v>
      </c>
      <c r="R40" s="3" t="s">
        <v>1709</v>
      </c>
      <c r="S40" s="2"/>
      <c r="T40" s="2"/>
      <c r="U40" s="10" t="s">
        <v>1814</v>
      </c>
    </row>
    <row r="41" spans="1:21" s="4" customFormat="1" ht="16" x14ac:dyDescent="0.2">
      <c r="A41" s="1" t="s">
        <v>1806</v>
      </c>
      <c r="B41" s="4">
        <v>1995</v>
      </c>
      <c r="C41" s="1" t="s">
        <v>1807</v>
      </c>
      <c r="D41" s="8" t="s">
        <v>1815</v>
      </c>
      <c r="E41" s="2" t="s">
        <v>1748</v>
      </c>
      <c r="F41" s="2"/>
      <c r="G41" s="1" t="s">
        <v>1583</v>
      </c>
      <c r="H41" s="1" t="s">
        <v>1809</v>
      </c>
      <c r="I41" s="1" t="s">
        <v>1810</v>
      </c>
      <c r="J41" s="1">
        <v>3</v>
      </c>
      <c r="K41" s="1" t="s">
        <v>1586</v>
      </c>
      <c r="L41" s="2" t="s">
        <v>1816</v>
      </c>
      <c r="M41" s="8" t="s">
        <v>1817</v>
      </c>
      <c r="N41" s="8" t="s">
        <v>1589</v>
      </c>
      <c r="O41" s="8" t="s">
        <v>1708</v>
      </c>
      <c r="P41" s="3" t="s">
        <v>1818</v>
      </c>
      <c r="Q41" s="3" t="s">
        <v>1819</v>
      </c>
      <c r="R41" s="3" t="s">
        <v>1819</v>
      </c>
      <c r="S41" s="2"/>
      <c r="T41" s="2"/>
      <c r="U41" s="10" t="s">
        <v>1820</v>
      </c>
    </row>
    <row r="42" spans="1:21" s="4" customFormat="1" ht="32" x14ac:dyDescent="0.2">
      <c r="A42" s="1" t="s">
        <v>1821</v>
      </c>
      <c r="B42" s="4">
        <v>1997</v>
      </c>
      <c r="C42" s="1" t="s">
        <v>1822</v>
      </c>
      <c r="D42" s="8" t="s">
        <v>1733</v>
      </c>
      <c r="E42" s="2" t="s">
        <v>1823</v>
      </c>
      <c r="F42" s="2" t="s">
        <v>1792</v>
      </c>
      <c r="G42" s="1" t="s">
        <v>1659</v>
      </c>
      <c r="H42" s="1" t="s">
        <v>1824</v>
      </c>
      <c r="I42" s="1"/>
      <c r="J42" s="1">
        <v>1</v>
      </c>
      <c r="K42" s="1" t="s">
        <v>1586</v>
      </c>
      <c r="L42" s="2" t="s">
        <v>1825</v>
      </c>
      <c r="M42" s="8" t="s">
        <v>1735</v>
      </c>
      <c r="N42" s="8" t="s">
        <v>1589</v>
      </c>
      <c r="O42" s="8" t="s">
        <v>1600</v>
      </c>
      <c r="P42" s="3" t="s">
        <v>1679</v>
      </c>
      <c r="Q42" s="3" t="s">
        <v>1592</v>
      </c>
      <c r="R42" s="3" t="s">
        <v>1592</v>
      </c>
      <c r="S42" s="2" t="s">
        <v>1663</v>
      </c>
      <c r="T42" s="2" t="s">
        <v>1826</v>
      </c>
      <c r="U42" s="10" t="s">
        <v>1827</v>
      </c>
    </row>
    <row r="43" spans="1:21" s="4" customFormat="1" ht="16" x14ac:dyDescent="0.2">
      <c r="A43" s="1" t="s">
        <v>1828</v>
      </c>
      <c r="B43" s="4">
        <v>1998</v>
      </c>
      <c r="C43" s="1" t="s">
        <v>1829</v>
      </c>
      <c r="D43" s="8" t="s">
        <v>1830</v>
      </c>
      <c r="E43" s="2" t="s">
        <v>1831</v>
      </c>
      <c r="F43" s="2"/>
      <c r="G43" s="1" t="s">
        <v>1659</v>
      </c>
      <c r="H43" s="1" t="s">
        <v>1832</v>
      </c>
      <c r="I43" s="1"/>
      <c r="J43" s="1">
        <v>1</v>
      </c>
      <c r="K43" s="1" t="s">
        <v>1621</v>
      </c>
      <c r="L43" s="2" t="s">
        <v>1831</v>
      </c>
      <c r="M43" s="8" t="s">
        <v>1833</v>
      </c>
      <c r="N43" s="8" t="s">
        <v>1589</v>
      </c>
      <c r="O43" s="8" t="s">
        <v>1590</v>
      </c>
      <c r="P43" s="3" t="s">
        <v>1592</v>
      </c>
      <c r="Q43" s="3"/>
      <c r="R43" s="3"/>
      <c r="S43" s="2"/>
      <c r="T43" s="2"/>
      <c r="U43" s="10" t="s">
        <v>1834</v>
      </c>
    </row>
    <row r="44" spans="1:21" s="4" customFormat="1" ht="32" x14ac:dyDescent="0.2">
      <c r="A44" s="1" t="s">
        <v>1835</v>
      </c>
      <c r="B44" s="4">
        <v>1999</v>
      </c>
      <c r="C44" s="1" t="s">
        <v>1836</v>
      </c>
      <c r="D44" s="8" t="s">
        <v>1837</v>
      </c>
      <c r="E44" s="2" t="s">
        <v>1831</v>
      </c>
      <c r="F44" s="2" t="s">
        <v>1831</v>
      </c>
      <c r="G44" s="1" t="s">
        <v>1659</v>
      </c>
      <c r="H44" s="1" t="s">
        <v>1838</v>
      </c>
      <c r="I44" s="1"/>
      <c r="J44" s="1">
        <v>1</v>
      </c>
      <c r="K44" s="1" t="s">
        <v>1586</v>
      </c>
      <c r="L44" s="2" t="s">
        <v>1839</v>
      </c>
      <c r="M44" s="8" t="s">
        <v>1735</v>
      </c>
      <c r="N44" s="8" t="s">
        <v>1589</v>
      </c>
      <c r="O44" s="8" t="s">
        <v>1600</v>
      </c>
      <c r="P44" s="3" t="s">
        <v>1645</v>
      </c>
      <c r="Q44" s="3" t="s">
        <v>1635</v>
      </c>
      <c r="R44" s="3" t="s">
        <v>1635</v>
      </c>
      <c r="S44" s="2"/>
      <c r="T44" s="2"/>
      <c r="U44" s="10" t="s">
        <v>1840</v>
      </c>
    </row>
    <row r="45" spans="1:21" s="4" customFormat="1" ht="32" x14ac:dyDescent="0.2">
      <c r="A45" s="1" t="s">
        <v>1841</v>
      </c>
      <c r="B45" s="4">
        <v>2000</v>
      </c>
      <c r="C45" s="1" t="s">
        <v>1842</v>
      </c>
      <c r="D45" s="8" t="s">
        <v>1843</v>
      </c>
      <c r="E45" s="2" t="s">
        <v>1844</v>
      </c>
      <c r="F45" s="2"/>
      <c r="G45" s="1" t="s">
        <v>1799</v>
      </c>
      <c r="H45" s="1" t="s">
        <v>1843</v>
      </c>
      <c r="I45" s="1"/>
      <c r="J45" s="1"/>
      <c r="K45" s="1"/>
      <c r="L45" s="2"/>
      <c r="M45" s="8"/>
      <c r="N45" s="8" t="s">
        <v>1589</v>
      </c>
      <c r="O45" s="8"/>
      <c r="P45" s="3"/>
      <c r="Q45" s="3"/>
      <c r="R45" s="3"/>
      <c r="S45" s="2" t="s">
        <v>1663</v>
      </c>
      <c r="T45" s="2" t="s">
        <v>1671</v>
      </c>
      <c r="U45" s="10" t="s">
        <v>1845</v>
      </c>
    </row>
    <row r="46" spans="1:21" s="4" customFormat="1" ht="16" x14ac:dyDescent="0.2">
      <c r="A46" s="1" t="s">
        <v>1846</v>
      </c>
      <c r="B46" s="4">
        <v>2000</v>
      </c>
      <c r="C46" s="1" t="s">
        <v>1847</v>
      </c>
      <c r="D46" s="8" t="s">
        <v>1848</v>
      </c>
      <c r="E46" s="2" t="s">
        <v>1849</v>
      </c>
      <c r="F46" s="2"/>
      <c r="G46" s="1" t="s">
        <v>1583</v>
      </c>
      <c r="H46" s="1" t="s">
        <v>1850</v>
      </c>
      <c r="I46" s="1" t="s">
        <v>1851</v>
      </c>
      <c r="J46" s="1">
        <v>1</v>
      </c>
      <c r="K46" s="1" t="s">
        <v>1621</v>
      </c>
      <c r="L46" s="2" t="s">
        <v>1852</v>
      </c>
      <c r="M46" s="8" t="s">
        <v>1707</v>
      </c>
      <c r="N46" s="8" t="s">
        <v>1589</v>
      </c>
      <c r="O46" s="8" t="s">
        <v>1590</v>
      </c>
      <c r="P46" s="3" t="s">
        <v>1853</v>
      </c>
      <c r="Q46" s="3" t="s">
        <v>1854</v>
      </c>
      <c r="R46" s="3" t="s">
        <v>1855</v>
      </c>
      <c r="S46" s="2"/>
      <c r="T46" s="2"/>
      <c r="U46" s="10" t="s">
        <v>1856</v>
      </c>
    </row>
    <row r="47" spans="1:21" s="4" customFormat="1" ht="16" x14ac:dyDescent="0.2">
      <c r="A47" s="1" t="s">
        <v>1846</v>
      </c>
      <c r="B47" s="4">
        <v>2000</v>
      </c>
      <c r="C47" s="1" t="s">
        <v>1847</v>
      </c>
      <c r="D47" s="8" t="s">
        <v>1848</v>
      </c>
      <c r="E47" s="2" t="s">
        <v>1849</v>
      </c>
      <c r="F47" s="2"/>
      <c r="G47" s="1" t="s">
        <v>1583</v>
      </c>
      <c r="H47" s="1" t="s">
        <v>1850</v>
      </c>
      <c r="I47" s="1" t="s">
        <v>1851</v>
      </c>
      <c r="J47" s="1">
        <v>2</v>
      </c>
      <c r="K47" s="1" t="s">
        <v>144</v>
      </c>
      <c r="L47" s="2" t="s">
        <v>1852</v>
      </c>
      <c r="M47" s="8" t="s">
        <v>1813</v>
      </c>
      <c r="N47" s="8" t="s">
        <v>1589</v>
      </c>
      <c r="O47" s="8" t="s">
        <v>1590</v>
      </c>
      <c r="P47" s="3" t="s">
        <v>1857</v>
      </c>
      <c r="Q47" s="3" t="s">
        <v>1858</v>
      </c>
      <c r="R47" s="3" t="s">
        <v>1859</v>
      </c>
      <c r="S47" s="2"/>
      <c r="T47" s="2"/>
      <c r="U47" s="10" t="s">
        <v>1860</v>
      </c>
    </row>
    <row r="48" spans="1:21" s="4" customFormat="1" ht="32" x14ac:dyDescent="0.2">
      <c r="A48" s="1" t="s">
        <v>1861</v>
      </c>
      <c r="B48" s="4">
        <v>2002</v>
      </c>
      <c r="C48" s="1" t="s">
        <v>1862</v>
      </c>
      <c r="D48" s="8" t="s">
        <v>1863</v>
      </c>
      <c r="E48" s="2" t="s">
        <v>1864</v>
      </c>
      <c r="F48" s="2"/>
      <c r="G48" s="1" t="s">
        <v>1659</v>
      </c>
      <c r="H48" s="1" t="s">
        <v>1832</v>
      </c>
      <c r="I48" s="1"/>
      <c r="J48" s="1">
        <v>1</v>
      </c>
      <c r="K48" s="1" t="s">
        <v>1586</v>
      </c>
      <c r="L48" s="2" t="s">
        <v>1865</v>
      </c>
      <c r="M48" s="8" t="s">
        <v>1735</v>
      </c>
      <c r="N48" s="8" t="s">
        <v>1589</v>
      </c>
      <c r="O48" s="8" t="s">
        <v>1600</v>
      </c>
      <c r="P48" s="3" t="s">
        <v>1635</v>
      </c>
      <c r="Q48" s="3" t="s">
        <v>1625</v>
      </c>
      <c r="R48" s="3" t="s">
        <v>1625</v>
      </c>
      <c r="S48" s="2"/>
      <c r="T48" s="2"/>
      <c r="U48" s="10" t="s">
        <v>1866</v>
      </c>
    </row>
    <row r="49" spans="1:21" s="4" customFormat="1" ht="16" x14ac:dyDescent="0.2">
      <c r="A49" s="1" t="s">
        <v>1867</v>
      </c>
      <c r="B49" s="4">
        <v>2003</v>
      </c>
      <c r="C49" s="1" t="s">
        <v>1868</v>
      </c>
      <c r="D49" s="1" t="s">
        <v>1869</v>
      </c>
      <c r="E49" s="2" t="s">
        <v>1849</v>
      </c>
      <c r="F49" s="2"/>
      <c r="G49" s="1" t="s">
        <v>1659</v>
      </c>
      <c r="H49" s="1" t="s">
        <v>1870</v>
      </c>
      <c r="I49" s="1"/>
      <c r="J49" s="1">
        <v>1</v>
      </c>
      <c r="K49" s="1" t="s">
        <v>1621</v>
      </c>
      <c r="L49" s="2" t="s">
        <v>1871</v>
      </c>
      <c r="M49" s="8" t="s">
        <v>1707</v>
      </c>
      <c r="N49" s="8" t="s">
        <v>1589</v>
      </c>
      <c r="O49" s="8" t="s">
        <v>1600</v>
      </c>
      <c r="P49" s="3" t="s">
        <v>1872</v>
      </c>
      <c r="Q49" s="3" t="s">
        <v>1873</v>
      </c>
      <c r="R49" s="3" t="s">
        <v>1873</v>
      </c>
      <c r="S49" s="2"/>
      <c r="T49" s="2"/>
      <c r="U49" s="10" t="s">
        <v>1874</v>
      </c>
    </row>
    <row r="50" spans="1:21" s="4" customFormat="1" ht="80" x14ac:dyDescent="0.2">
      <c r="A50" s="1" t="s">
        <v>1875</v>
      </c>
      <c r="B50" s="4">
        <v>2003</v>
      </c>
      <c r="C50" s="1" t="s">
        <v>1876</v>
      </c>
      <c r="D50" s="8" t="s">
        <v>1877</v>
      </c>
      <c r="E50" s="2" t="s">
        <v>1844</v>
      </c>
      <c r="F50" s="2"/>
      <c r="G50" s="1" t="s">
        <v>1583</v>
      </c>
      <c r="H50" s="1" t="s">
        <v>1878</v>
      </c>
      <c r="I50" s="1" t="s">
        <v>1585</v>
      </c>
      <c r="J50" s="1">
        <v>1</v>
      </c>
      <c r="K50" s="1" t="s">
        <v>1621</v>
      </c>
      <c r="L50" s="2" t="s">
        <v>1879</v>
      </c>
      <c r="M50" s="8" t="s">
        <v>1880</v>
      </c>
      <c r="N50" s="8" t="s">
        <v>1589</v>
      </c>
      <c r="O50" s="8" t="s">
        <v>1881</v>
      </c>
      <c r="P50" s="3" t="s">
        <v>1648</v>
      </c>
      <c r="Q50" s="3"/>
      <c r="R50" s="3"/>
      <c r="S50" s="2"/>
      <c r="T50" s="2"/>
      <c r="U50" s="8" t="s">
        <v>1882</v>
      </c>
    </row>
    <row r="51" spans="1:21" s="4" customFormat="1" ht="80" x14ac:dyDescent="0.2">
      <c r="A51" s="1" t="s">
        <v>1875</v>
      </c>
      <c r="B51" s="4">
        <v>2003</v>
      </c>
      <c r="C51" s="1" t="s">
        <v>1876</v>
      </c>
      <c r="D51" s="8" t="s">
        <v>1877</v>
      </c>
      <c r="E51" s="2" t="s">
        <v>1844</v>
      </c>
      <c r="F51" s="2"/>
      <c r="G51" s="1" t="s">
        <v>1583</v>
      </c>
      <c r="H51" s="1" t="s">
        <v>1878</v>
      </c>
      <c r="I51" s="1" t="s">
        <v>1585</v>
      </c>
      <c r="J51" s="1">
        <v>2</v>
      </c>
      <c r="K51" s="1" t="s">
        <v>1586</v>
      </c>
      <c r="L51" s="2" t="s">
        <v>1883</v>
      </c>
      <c r="M51" s="8" t="s">
        <v>1735</v>
      </c>
      <c r="N51" s="8" t="s">
        <v>1589</v>
      </c>
      <c r="O51" s="8" t="s">
        <v>1881</v>
      </c>
      <c r="P51" s="3" t="s">
        <v>1601</v>
      </c>
      <c r="Q51" s="3"/>
      <c r="R51" s="3"/>
      <c r="S51" s="2"/>
      <c r="T51" s="2"/>
      <c r="U51" s="8" t="s">
        <v>1882</v>
      </c>
    </row>
    <row r="52" spans="1:21" s="20" customFormat="1" ht="32" x14ac:dyDescent="0.2">
      <c r="A52" s="16" t="s">
        <v>1884</v>
      </c>
      <c r="B52" s="4">
        <v>2004</v>
      </c>
      <c r="C52" s="16" t="s">
        <v>1885</v>
      </c>
      <c r="D52" s="17" t="s">
        <v>1886</v>
      </c>
      <c r="E52" s="18" t="s">
        <v>1887</v>
      </c>
      <c r="F52" s="18"/>
      <c r="G52" s="16" t="s">
        <v>1659</v>
      </c>
      <c r="H52" s="16" t="s">
        <v>1888</v>
      </c>
      <c r="I52" s="1"/>
      <c r="J52" s="16">
        <v>1</v>
      </c>
      <c r="K52" s="16" t="s">
        <v>1621</v>
      </c>
      <c r="L52" s="18" t="s">
        <v>1889</v>
      </c>
      <c r="M52" s="17" t="s">
        <v>1880</v>
      </c>
      <c r="N52" s="17" t="s">
        <v>1589</v>
      </c>
      <c r="O52" s="17" t="s">
        <v>1600</v>
      </c>
      <c r="P52" s="19" t="s">
        <v>1890</v>
      </c>
      <c r="Q52" s="19" t="s">
        <v>1891</v>
      </c>
      <c r="R52" s="19" t="s">
        <v>1891</v>
      </c>
      <c r="S52" s="18"/>
      <c r="T52" s="2"/>
      <c r="U52" s="17" t="s">
        <v>1892</v>
      </c>
    </row>
    <row r="53" spans="1:21" s="4" customFormat="1" ht="16" x14ac:dyDescent="0.2">
      <c r="A53" s="1" t="s">
        <v>1893</v>
      </c>
      <c r="B53" s="4">
        <v>2008</v>
      </c>
      <c r="C53" s="1" t="s">
        <v>1894</v>
      </c>
      <c r="D53" s="8" t="s">
        <v>1895</v>
      </c>
      <c r="E53" s="2" t="s">
        <v>1896</v>
      </c>
      <c r="F53" s="2"/>
      <c r="G53" s="1" t="s">
        <v>1583</v>
      </c>
      <c r="H53" s="1" t="s">
        <v>1897</v>
      </c>
      <c r="I53" s="1" t="s">
        <v>1898</v>
      </c>
      <c r="J53" s="1">
        <v>1</v>
      </c>
      <c r="K53" s="1" t="s">
        <v>1899</v>
      </c>
      <c r="L53" s="2" t="s">
        <v>1900</v>
      </c>
      <c r="M53" s="8" t="s">
        <v>1901</v>
      </c>
      <c r="N53" s="8" t="s">
        <v>1589</v>
      </c>
      <c r="O53" s="8" t="s">
        <v>1590</v>
      </c>
      <c r="P53" s="3" t="s">
        <v>1635</v>
      </c>
      <c r="Q53" s="3" t="s">
        <v>1625</v>
      </c>
      <c r="R53" s="3" t="s">
        <v>1625</v>
      </c>
      <c r="S53" s="2"/>
      <c r="T53" s="2"/>
      <c r="U53" s="10" t="s">
        <v>1902</v>
      </c>
    </row>
    <row r="54" spans="1:21" s="4" customFormat="1" ht="16" x14ac:dyDescent="0.2">
      <c r="A54" s="1" t="s">
        <v>1903</v>
      </c>
      <c r="B54" s="4">
        <v>2009</v>
      </c>
      <c r="C54" s="1" t="s">
        <v>1904</v>
      </c>
      <c r="D54" s="8" t="s">
        <v>1905</v>
      </c>
      <c r="E54" s="2" t="s">
        <v>1906</v>
      </c>
      <c r="F54" s="2"/>
      <c r="G54" s="1" t="s">
        <v>1583</v>
      </c>
      <c r="H54" s="1" t="s">
        <v>1907</v>
      </c>
      <c r="I54" s="1" t="s">
        <v>1585</v>
      </c>
      <c r="J54" s="1">
        <v>1</v>
      </c>
      <c r="K54" s="1" t="s">
        <v>1621</v>
      </c>
      <c r="L54" s="2" t="s">
        <v>1908</v>
      </c>
      <c r="M54" s="8" t="s">
        <v>1707</v>
      </c>
      <c r="N54" s="8" t="s">
        <v>1589</v>
      </c>
      <c r="O54" s="8" t="s">
        <v>1590</v>
      </c>
      <c r="P54" s="3" t="s">
        <v>1635</v>
      </c>
      <c r="Q54" s="3" t="s">
        <v>1717</v>
      </c>
      <c r="R54" s="3" t="s">
        <v>1717</v>
      </c>
      <c r="S54" s="2"/>
      <c r="T54" s="2"/>
      <c r="U54" s="10" t="s">
        <v>1909</v>
      </c>
    </row>
    <row r="55" spans="1:21" s="4" customFormat="1" ht="48" x14ac:dyDescent="0.2">
      <c r="A55" s="1" t="s">
        <v>1910</v>
      </c>
      <c r="B55" s="4">
        <v>2010</v>
      </c>
      <c r="C55" s="1" t="s">
        <v>1911</v>
      </c>
      <c r="D55" s="8" t="s">
        <v>1905</v>
      </c>
      <c r="E55" s="2" t="s">
        <v>1906</v>
      </c>
      <c r="F55" s="2"/>
      <c r="G55" s="1" t="s">
        <v>1583</v>
      </c>
      <c r="H55" s="1" t="s">
        <v>1912</v>
      </c>
      <c r="I55" s="1" t="s">
        <v>1913</v>
      </c>
      <c r="J55" s="1">
        <v>1</v>
      </c>
      <c r="K55" s="1" t="s">
        <v>1621</v>
      </c>
      <c r="L55" s="2" t="s">
        <v>1908</v>
      </c>
      <c r="M55" s="8" t="s">
        <v>1707</v>
      </c>
      <c r="N55" s="8" t="s">
        <v>1589</v>
      </c>
      <c r="O55" s="8" t="s">
        <v>1881</v>
      </c>
      <c r="P55" s="3" t="s">
        <v>1635</v>
      </c>
      <c r="Q55" s="3"/>
      <c r="R55" s="3"/>
      <c r="S55" s="2"/>
      <c r="T55" s="2"/>
      <c r="U55" s="10" t="s">
        <v>1914</v>
      </c>
    </row>
    <row r="56" spans="1:21" s="4" customFormat="1" ht="48" x14ac:dyDescent="0.2">
      <c r="A56" s="1" t="s">
        <v>1910</v>
      </c>
      <c r="B56" s="4">
        <v>2010</v>
      </c>
      <c r="C56" s="1" t="s">
        <v>1911</v>
      </c>
      <c r="D56" s="8" t="s">
        <v>1905</v>
      </c>
      <c r="E56" s="2" t="s">
        <v>1906</v>
      </c>
      <c r="F56" s="2"/>
      <c r="G56" s="1" t="s">
        <v>1583</v>
      </c>
      <c r="H56" s="1" t="s">
        <v>1912</v>
      </c>
      <c r="I56" s="1" t="s">
        <v>1913</v>
      </c>
      <c r="J56" s="1">
        <v>2</v>
      </c>
      <c r="K56" s="1" t="s">
        <v>144</v>
      </c>
      <c r="L56" s="2" t="s">
        <v>1908</v>
      </c>
      <c r="M56" s="8" t="s">
        <v>1915</v>
      </c>
      <c r="N56" s="8" t="s">
        <v>1589</v>
      </c>
      <c r="O56" s="8" t="s">
        <v>1881</v>
      </c>
      <c r="P56" s="3" t="s">
        <v>1916</v>
      </c>
      <c r="Q56" s="3"/>
      <c r="R56" s="3"/>
      <c r="S56" s="2"/>
      <c r="T56" s="2"/>
      <c r="U56" s="10" t="s">
        <v>1914</v>
      </c>
    </row>
    <row r="57" spans="1:21" s="4" customFormat="1" ht="48" x14ac:dyDescent="0.2">
      <c r="A57" s="1" t="s">
        <v>1917</v>
      </c>
      <c r="B57" s="4">
        <v>2010</v>
      </c>
      <c r="C57" s="1" t="s">
        <v>1918</v>
      </c>
      <c r="D57" s="8" t="s">
        <v>1919</v>
      </c>
      <c r="E57" s="2" t="s">
        <v>1761</v>
      </c>
      <c r="F57" s="2"/>
      <c r="G57" s="1" t="s">
        <v>1583</v>
      </c>
      <c r="H57" s="1" t="s">
        <v>1920</v>
      </c>
      <c r="I57" s="1" t="s">
        <v>1921</v>
      </c>
      <c r="J57" s="1">
        <v>1</v>
      </c>
      <c r="K57" s="1" t="s">
        <v>1621</v>
      </c>
      <c r="L57" s="2" t="s">
        <v>1922</v>
      </c>
      <c r="M57" s="8" t="s">
        <v>1923</v>
      </c>
      <c r="N57" s="8" t="s">
        <v>1589</v>
      </c>
      <c r="O57" s="8" t="s">
        <v>1881</v>
      </c>
      <c r="P57" s="3" t="s">
        <v>1924</v>
      </c>
      <c r="Q57" s="3">
        <v>0.80800000000000005</v>
      </c>
      <c r="R57" s="3">
        <v>0.13600000000000012</v>
      </c>
      <c r="S57" s="2"/>
      <c r="T57" s="2"/>
      <c r="U57" s="10" t="s">
        <v>1925</v>
      </c>
    </row>
    <row r="58" spans="1:21" s="4" customFormat="1" ht="32" x14ac:dyDescent="0.2">
      <c r="A58" s="1" t="s">
        <v>1917</v>
      </c>
      <c r="B58" s="4">
        <v>2010</v>
      </c>
      <c r="C58" s="1" t="s">
        <v>1918</v>
      </c>
      <c r="D58" s="8" t="s">
        <v>1919</v>
      </c>
      <c r="E58" s="2" t="s">
        <v>1761</v>
      </c>
      <c r="F58" s="2"/>
      <c r="G58" s="1" t="s">
        <v>1799</v>
      </c>
      <c r="H58" s="1" t="s">
        <v>1920</v>
      </c>
      <c r="I58" s="1" t="s">
        <v>1926</v>
      </c>
      <c r="J58" s="1">
        <v>1</v>
      </c>
      <c r="K58" s="1" t="s">
        <v>1621</v>
      </c>
      <c r="L58" s="2" t="s">
        <v>1922</v>
      </c>
      <c r="M58" s="8" t="s">
        <v>1923</v>
      </c>
      <c r="N58" s="8" t="s">
        <v>1589</v>
      </c>
      <c r="O58" s="8" t="s">
        <v>1881</v>
      </c>
      <c r="P58" s="3" t="s">
        <v>1927</v>
      </c>
      <c r="Q58" s="3">
        <v>0.44899999999999995</v>
      </c>
      <c r="R58" s="3">
        <v>0.65799999999999992</v>
      </c>
      <c r="S58" s="2"/>
      <c r="T58" s="2"/>
      <c r="U58" s="10" t="s">
        <v>1928</v>
      </c>
    </row>
    <row r="59" spans="1:21" s="4" customFormat="1" ht="16" x14ac:dyDescent="0.2">
      <c r="A59" s="1" t="s">
        <v>1917</v>
      </c>
      <c r="B59" s="4">
        <v>2010</v>
      </c>
      <c r="C59" s="1" t="s">
        <v>1918</v>
      </c>
      <c r="D59" s="8" t="s">
        <v>1919</v>
      </c>
      <c r="E59" s="2" t="s">
        <v>1722</v>
      </c>
      <c r="F59" s="2"/>
      <c r="G59" s="1" t="s">
        <v>1583</v>
      </c>
      <c r="H59" s="1" t="s">
        <v>1920</v>
      </c>
      <c r="I59" s="1" t="s">
        <v>1921</v>
      </c>
      <c r="J59" s="1">
        <v>2</v>
      </c>
      <c r="K59" s="1" t="s">
        <v>1621</v>
      </c>
      <c r="L59" s="2" t="s">
        <v>1929</v>
      </c>
      <c r="M59" s="8" t="s">
        <v>1923</v>
      </c>
      <c r="N59" s="8" t="s">
        <v>1589</v>
      </c>
      <c r="O59" s="8" t="s">
        <v>1881</v>
      </c>
      <c r="P59" s="3" t="s">
        <v>1930</v>
      </c>
      <c r="Q59" s="3">
        <v>0.34600000000000009</v>
      </c>
      <c r="R59" s="3">
        <v>0.16000000000000014</v>
      </c>
      <c r="S59" s="2"/>
      <c r="T59" s="2"/>
      <c r="U59" s="10"/>
    </row>
    <row r="60" spans="1:21" s="4" customFormat="1" ht="32" x14ac:dyDescent="0.2">
      <c r="A60" s="1" t="s">
        <v>1917</v>
      </c>
      <c r="B60" s="4">
        <v>2010</v>
      </c>
      <c r="C60" s="1" t="s">
        <v>1918</v>
      </c>
      <c r="D60" s="8" t="s">
        <v>1919</v>
      </c>
      <c r="E60" s="2" t="s">
        <v>1722</v>
      </c>
      <c r="F60" s="2"/>
      <c r="G60" s="1" t="s">
        <v>1799</v>
      </c>
      <c r="H60" s="1" t="s">
        <v>1920</v>
      </c>
      <c r="I60" s="1" t="s">
        <v>1926</v>
      </c>
      <c r="J60" s="1">
        <v>2</v>
      </c>
      <c r="K60" s="1" t="s">
        <v>1621</v>
      </c>
      <c r="L60" s="2" t="s">
        <v>1929</v>
      </c>
      <c r="M60" s="8" t="s">
        <v>1923</v>
      </c>
      <c r="N60" s="8" t="s">
        <v>1589</v>
      </c>
      <c r="O60" s="8" t="s">
        <v>1881</v>
      </c>
      <c r="P60" s="3" t="s">
        <v>1931</v>
      </c>
      <c r="Q60" s="3">
        <v>0.5089999999999999</v>
      </c>
      <c r="R60" s="3">
        <v>1.4370000000000001</v>
      </c>
      <c r="S60" s="2"/>
      <c r="T60" s="2"/>
      <c r="U60" s="10"/>
    </row>
    <row r="61" spans="1:21" s="4" customFormat="1" ht="16" x14ac:dyDescent="0.2">
      <c r="A61" s="1" t="s">
        <v>1917</v>
      </c>
      <c r="B61" s="4">
        <v>2010</v>
      </c>
      <c r="C61" s="1" t="s">
        <v>1918</v>
      </c>
      <c r="D61" s="8" t="s">
        <v>1919</v>
      </c>
      <c r="E61" s="2" t="s">
        <v>1932</v>
      </c>
      <c r="F61" s="2"/>
      <c r="G61" s="1" t="s">
        <v>1583</v>
      </c>
      <c r="H61" s="1" t="s">
        <v>1920</v>
      </c>
      <c r="I61" s="1" t="s">
        <v>1921</v>
      </c>
      <c r="J61" s="1">
        <v>3</v>
      </c>
      <c r="K61" s="1" t="s">
        <v>1621</v>
      </c>
      <c r="L61" s="2" t="s">
        <v>1933</v>
      </c>
      <c r="M61" s="8" t="s">
        <v>1923</v>
      </c>
      <c r="N61" s="8" t="s">
        <v>1589</v>
      </c>
      <c r="O61" s="8" t="s">
        <v>1881</v>
      </c>
      <c r="P61" s="3" t="s">
        <v>1934</v>
      </c>
      <c r="Q61" s="3">
        <v>0.30800000000000027</v>
      </c>
      <c r="R61" s="3">
        <v>0.12399999999999967</v>
      </c>
      <c r="S61" s="2"/>
      <c r="T61" s="2"/>
      <c r="U61" s="10"/>
    </row>
    <row r="62" spans="1:21" s="4" customFormat="1" ht="32" x14ac:dyDescent="0.2">
      <c r="A62" s="1" t="s">
        <v>1917</v>
      </c>
      <c r="B62" s="4">
        <v>2010</v>
      </c>
      <c r="C62" s="1" t="s">
        <v>1918</v>
      </c>
      <c r="D62" s="8" t="s">
        <v>1919</v>
      </c>
      <c r="E62" s="2" t="s">
        <v>1932</v>
      </c>
      <c r="F62" s="2"/>
      <c r="G62" s="1" t="s">
        <v>1799</v>
      </c>
      <c r="H62" s="1" t="s">
        <v>1920</v>
      </c>
      <c r="I62" s="1" t="s">
        <v>1926</v>
      </c>
      <c r="J62" s="1">
        <v>3</v>
      </c>
      <c r="K62" s="1" t="s">
        <v>1621</v>
      </c>
      <c r="L62" s="2" t="s">
        <v>1933</v>
      </c>
      <c r="M62" s="8" t="s">
        <v>1923</v>
      </c>
      <c r="N62" s="8" t="s">
        <v>1589</v>
      </c>
      <c r="O62" s="8" t="s">
        <v>1881</v>
      </c>
      <c r="P62" s="3" t="s">
        <v>1935</v>
      </c>
      <c r="Q62" s="3">
        <v>0.23200000000000004</v>
      </c>
      <c r="R62" s="3">
        <v>7.8999999999999959E-2</v>
      </c>
      <c r="S62" s="2"/>
      <c r="T62" s="2"/>
      <c r="U62" s="10"/>
    </row>
    <row r="63" spans="1:21" s="4" customFormat="1" ht="16" x14ac:dyDescent="0.2">
      <c r="A63" s="1" t="s">
        <v>1917</v>
      </c>
      <c r="B63" s="4">
        <v>2010</v>
      </c>
      <c r="C63" s="1" t="s">
        <v>1918</v>
      </c>
      <c r="D63" s="8" t="s">
        <v>1919</v>
      </c>
      <c r="E63" s="2" t="s">
        <v>1936</v>
      </c>
      <c r="F63" s="2"/>
      <c r="G63" s="1" t="s">
        <v>1583</v>
      </c>
      <c r="H63" s="1" t="s">
        <v>1920</v>
      </c>
      <c r="I63" s="1" t="s">
        <v>1921</v>
      </c>
      <c r="J63" s="1">
        <v>4</v>
      </c>
      <c r="K63" s="1" t="s">
        <v>1621</v>
      </c>
      <c r="L63" s="2" t="s">
        <v>1937</v>
      </c>
      <c r="M63" s="8" t="s">
        <v>1923</v>
      </c>
      <c r="N63" s="8" t="s">
        <v>1589</v>
      </c>
      <c r="O63" s="8" t="s">
        <v>1881</v>
      </c>
      <c r="P63" s="3" t="s">
        <v>1938</v>
      </c>
      <c r="Q63" s="3">
        <v>0.18399999999999994</v>
      </c>
      <c r="R63" s="3">
        <v>0.22899999999999987</v>
      </c>
      <c r="S63" s="2"/>
      <c r="T63" s="2"/>
      <c r="U63" s="10"/>
    </row>
    <row r="64" spans="1:21" s="4" customFormat="1" ht="32" x14ac:dyDescent="0.2">
      <c r="A64" s="1" t="s">
        <v>1917</v>
      </c>
      <c r="B64" s="4">
        <v>2010</v>
      </c>
      <c r="C64" s="1" t="s">
        <v>1918</v>
      </c>
      <c r="D64" s="8" t="s">
        <v>1919</v>
      </c>
      <c r="E64" s="2" t="s">
        <v>1936</v>
      </c>
      <c r="F64" s="2"/>
      <c r="G64" s="1" t="s">
        <v>1799</v>
      </c>
      <c r="H64" s="1" t="s">
        <v>1920</v>
      </c>
      <c r="I64" s="1" t="s">
        <v>1926</v>
      </c>
      <c r="J64" s="1">
        <v>4</v>
      </c>
      <c r="K64" s="1" t="s">
        <v>1621</v>
      </c>
      <c r="L64" s="2" t="s">
        <v>1937</v>
      </c>
      <c r="M64" s="8" t="s">
        <v>1923</v>
      </c>
      <c r="N64" s="8" t="s">
        <v>1589</v>
      </c>
      <c r="O64" s="8" t="s">
        <v>1881</v>
      </c>
      <c r="P64" s="3" t="s">
        <v>1939</v>
      </c>
      <c r="Q64" s="3">
        <v>6.0000000000000053E-3</v>
      </c>
      <c r="R64" s="3">
        <v>2.8079999999999998</v>
      </c>
      <c r="S64" s="2"/>
      <c r="T64" s="2"/>
      <c r="U64" s="10"/>
    </row>
    <row r="65" spans="1:23" s="4" customFormat="1" ht="32" x14ac:dyDescent="0.2">
      <c r="A65" s="1" t="s">
        <v>1940</v>
      </c>
      <c r="B65" s="4">
        <v>2010</v>
      </c>
      <c r="C65" s="1" t="s">
        <v>1941</v>
      </c>
      <c r="D65" s="8" t="s">
        <v>1942</v>
      </c>
      <c r="E65" s="2" t="s">
        <v>1906</v>
      </c>
      <c r="F65" s="2" t="s">
        <v>1943</v>
      </c>
      <c r="G65" s="1" t="s">
        <v>1659</v>
      </c>
      <c r="H65" s="1" t="s">
        <v>1944</v>
      </c>
      <c r="I65" s="1"/>
      <c r="J65" s="1">
        <v>1</v>
      </c>
      <c r="K65" s="1" t="s">
        <v>1621</v>
      </c>
      <c r="L65" s="2" t="s">
        <v>1945</v>
      </c>
      <c r="M65" s="8" t="s">
        <v>1923</v>
      </c>
      <c r="N65" s="8" t="s">
        <v>1589</v>
      </c>
      <c r="O65" s="8" t="s">
        <v>1590</v>
      </c>
      <c r="P65" s="3" t="s">
        <v>1592</v>
      </c>
      <c r="Q65" s="19"/>
      <c r="R65" s="19"/>
      <c r="S65" s="2"/>
      <c r="T65" s="2"/>
      <c r="U65" s="10" t="s">
        <v>1946</v>
      </c>
    </row>
    <row r="66" spans="1:23" s="20" customFormat="1" ht="32" x14ac:dyDescent="0.2">
      <c r="A66" s="16" t="s">
        <v>1947</v>
      </c>
      <c r="B66" s="4">
        <v>2010</v>
      </c>
      <c r="C66" s="16" t="s">
        <v>1948</v>
      </c>
      <c r="D66" s="16" t="s">
        <v>1949</v>
      </c>
      <c r="E66" s="18" t="s">
        <v>1950</v>
      </c>
      <c r="F66" s="18" t="s">
        <v>1951</v>
      </c>
      <c r="G66" s="16" t="s">
        <v>1659</v>
      </c>
      <c r="H66" s="16" t="s">
        <v>1952</v>
      </c>
      <c r="I66" s="16"/>
      <c r="J66" s="16">
        <v>1</v>
      </c>
      <c r="K66" s="16" t="s">
        <v>1621</v>
      </c>
      <c r="L66" s="18" t="s">
        <v>1953</v>
      </c>
      <c r="M66" s="8" t="s">
        <v>1923</v>
      </c>
      <c r="N66" s="17" t="s">
        <v>1589</v>
      </c>
      <c r="O66" s="17" t="s">
        <v>1590</v>
      </c>
      <c r="P66" s="19" t="s">
        <v>1592</v>
      </c>
      <c r="Q66" s="19"/>
      <c r="R66" s="19"/>
      <c r="S66" s="2"/>
      <c r="T66" s="2"/>
      <c r="U66" s="10" t="s">
        <v>1946</v>
      </c>
    </row>
    <row r="67" spans="1:23" s="4" customFormat="1" ht="48" x14ac:dyDescent="0.2">
      <c r="A67" s="1" t="s">
        <v>1954</v>
      </c>
      <c r="B67" s="4">
        <v>2012</v>
      </c>
      <c r="C67" s="1" t="s">
        <v>1955</v>
      </c>
      <c r="D67" s="8" t="s">
        <v>1956</v>
      </c>
      <c r="E67" s="2" t="s">
        <v>1950</v>
      </c>
      <c r="F67" s="2"/>
      <c r="G67" s="1" t="s">
        <v>1583</v>
      </c>
      <c r="H67" s="1" t="s">
        <v>1957</v>
      </c>
      <c r="I67" s="1" t="s">
        <v>1958</v>
      </c>
      <c r="J67" s="1">
        <v>1</v>
      </c>
      <c r="K67" s="1" t="s">
        <v>1621</v>
      </c>
      <c r="L67" s="2" t="s">
        <v>1959</v>
      </c>
      <c r="M67" s="8" t="s">
        <v>1960</v>
      </c>
      <c r="N67" s="8" t="s">
        <v>1589</v>
      </c>
      <c r="O67" s="8" t="s">
        <v>1881</v>
      </c>
      <c r="P67" s="3" t="s">
        <v>1961</v>
      </c>
      <c r="Q67" s="3">
        <v>2.9999999999999805E-2</v>
      </c>
      <c r="R67" s="3">
        <v>0.16999999999999993</v>
      </c>
      <c r="S67" s="2"/>
      <c r="T67" s="2"/>
      <c r="U67" s="10" t="s">
        <v>1962</v>
      </c>
    </row>
    <row r="68" spans="1:23" s="4" customFormat="1" ht="48" x14ac:dyDescent="0.2">
      <c r="A68" s="1" t="s">
        <v>1954</v>
      </c>
      <c r="B68" s="4">
        <v>2012</v>
      </c>
      <c r="C68" s="1" t="s">
        <v>1955</v>
      </c>
      <c r="D68" s="8" t="s">
        <v>1956</v>
      </c>
      <c r="E68" s="2" t="s">
        <v>1950</v>
      </c>
      <c r="F68" s="2"/>
      <c r="G68" s="1" t="s">
        <v>1583</v>
      </c>
      <c r="H68" s="1" t="s">
        <v>1957</v>
      </c>
      <c r="I68" s="1" t="s">
        <v>1963</v>
      </c>
      <c r="J68" s="1">
        <v>2</v>
      </c>
      <c r="K68" s="1" t="s">
        <v>1586</v>
      </c>
      <c r="L68" s="2" t="s">
        <v>1959</v>
      </c>
      <c r="M68" s="8" t="s">
        <v>1964</v>
      </c>
      <c r="N68" s="8" t="s">
        <v>1589</v>
      </c>
      <c r="O68" s="8" t="s">
        <v>1881</v>
      </c>
      <c r="P68" s="3" t="s">
        <v>1965</v>
      </c>
      <c r="Q68" s="3">
        <v>0.39999999999999991</v>
      </c>
      <c r="R68" s="3">
        <v>0.39999999999999991</v>
      </c>
      <c r="S68" s="2"/>
      <c r="T68" s="2"/>
      <c r="U68" s="10" t="s">
        <v>1962</v>
      </c>
    </row>
    <row r="69" spans="1:23" s="4" customFormat="1" ht="48" x14ac:dyDescent="0.2">
      <c r="A69" s="1" t="s">
        <v>1954</v>
      </c>
      <c r="B69" s="4">
        <v>2012</v>
      </c>
      <c r="C69" s="1" t="s">
        <v>1955</v>
      </c>
      <c r="D69" s="8" t="s">
        <v>1956</v>
      </c>
      <c r="E69" s="2" t="s">
        <v>1950</v>
      </c>
      <c r="F69" s="2"/>
      <c r="G69" s="1" t="s">
        <v>1583</v>
      </c>
      <c r="H69" s="1" t="s">
        <v>1957</v>
      </c>
      <c r="I69" s="1" t="s">
        <v>1963</v>
      </c>
      <c r="J69" s="1">
        <v>3</v>
      </c>
      <c r="K69" s="1" t="s">
        <v>1586</v>
      </c>
      <c r="L69" s="2" t="s">
        <v>1959</v>
      </c>
      <c r="M69" s="8" t="s">
        <v>1966</v>
      </c>
      <c r="N69" s="8" t="s">
        <v>1589</v>
      </c>
      <c r="O69" s="8" t="s">
        <v>1881</v>
      </c>
      <c r="P69" s="3" t="s">
        <v>1709</v>
      </c>
      <c r="Q69" s="3">
        <v>0.69999999999999973</v>
      </c>
      <c r="R69" s="3">
        <v>1.3000000000000003</v>
      </c>
      <c r="S69" s="2"/>
      <c r="T69" s="2"/>
      <c r="U69" s="10" t="s">
        <v>1962</v>
      </c>
    </row>
    <row r="70" spans="1:23" s="4" customFormat="1" ht="48" x14ac:dyDescent="0.2">
      <c r="A70" s="1" t="s">
        <v>1954</v>
      </c>
      <c r="B70" s="4">
        <v>2012</v>
      </c>
      <c r="C70" s="1" t="s">
        <v>1955</v>
      </c>
      <c r="D70" s="8" t="s">
        <v>1956</v>
      </c>
      <c r="E70" s="2" t="s">
        <v>1950</v>
      </c>
      <c r="F70" s="2"/>
      <c r="G70" s="1" t="s">
        <v>1583</v>
      </c>
      <c r="H70" s="1" t="s">
        <v>1957</v>
      </c>
      <c r="I70" s="1" t="s">
        <v>1967</v>
      </c>
      <c r="J70" s="1">
        <v>4</v>
      </c>
      <c r="K70" s="1" t="s">
        <v>1586</v>
      </c>
      <c r="L70" s="2" t="s">
        <v>1959</v>
      </c>
      <c r="M70" s="8" t="s">
        <v>1968</v>
      </c>
      <c r="N70" s="8" t="s">
        <v>1589</v>
      </c>
      <c r="O70" s="8" t="s">
        <v>1881</v>
      </c>
      <c r="P70" s="3" t="s">
        <v>1969</v>
      </c>
      <c r="Q70" s="3">
        <v>0.70000000000000018</v>
      </c>
      <c r="R70" s="3">
        <v>0.60000000000000009</v>
      </c>
      <c r="S70" s="2"/>
      <c r="T70" s="2"/>
      <c r="U70" s="10" t="s">
        <v>1962</v>
      </c>
    </row>
    <row r="71" spans="1:23" s="4" customFormat="1" ht="16" x14ac:dyDescent="0.2">
      <c r="A71" s="1" t="s">
        <v>1970</v>
      </c>
      <c r="B71" s="4">
        <v>2013</v>
      </c>
      <c r="C71" s="1" t="s">
        <v>1971</v>
      </c>
      <c r="D71" s="8" t="s">
        <v>1799</v>
      </c>
      <c r="E71" s="2" t="s">
        <v>1972</v>
      </c>
      <c r="F71" s="2"/>
      <c r="G71" s="1" t="s">
        <v>1799</v>
      </c>
      <c r="H71" s="1" t="s">
        <v>1799</v>
      </c>
      <c r="I71" s="1"/>
      <c r="J71" s="1"/>
      <c r="K71" s="1"/>
      <c r="L71" s="2"/>
      <c r="M71" s="2"/>
      <c r="N71" s="8" t="s">
        <v>1589</v>
      </c>
      <c r="O71" s="8"/>
      <c r="P71" s="3"/>
      <c r="Q71" s="3"/>
      <c r="R71" s="3"/>
      <c r="S71" s="2" t="s">
        <v>1663</v>
      </c>
      <c r="T71" s="2" t="s">
        <v>1671</v>
      </c>
      <c r="U71" s="10" t="s">
        <v>1973</v>
      </c>
    </row>
    <row r="72" spans="1:23" s="4" customFormat="1" ht="32" x14ac:dyDescent="0.2">
      <c r="A72" s="1" t="s">
        <v>1974</v>
      </c>
      <c r="B72" s="4">
        <v>2013</v>
      </c>
      <c r="C72" s="1" t="s">
        <v>1975</v>
      </c>
      <c r="D72" s="8" t="s">
        <v>1976</v>
      </c>
      <c r="E72" s="2" t="s">
        <v>1977</v>
      </c>
      <c r="F72" s="2"/>
      <c r="G72" s="1" t="s">
        <v>1583</v>
      </c>
      <c r="H72" s="1" t="s">
        <v>1978</v>
      </c>
      <c r="I72" s="1" t="s">
        <v>1585</v>
      </c>
      <c r="J72" s="1">
        <v>1</v>
      </c>
      <c r="K72" s="1" t="s">
        <v>1621</v>
      </c>
      <c r="L72" s="2" t="s">
        <v>1979</v>
      </c>
      <c r="M72" s="8" t="s">
        <v>1923</v>
      </c>
      <c r="N72" s="8" t="s">
        <v>1589</v>
      </c>
      <c r="O72" s="8" t="s">
        <v>1590</v>
      </c>
      <c r="P72" s="3" t="s">
        <v>1980</v>
      </c>
      <c r="Q72" s="3"/>
      <c r="R72" s="3"/>
      <c r="S72" s="2"/>
      <c r="T72" s="2"/>
      <c r="U72" s="10" t="s">
        <v>1981</v>
      </c>
    </row>
    <row r="73" spans="1:23" s="4" customFormat="1" ht="32" x14ac:dyDescent="0.2">
      <c r="A73" s="1" t="s">
        <v>1982</v>
      </c>
      <c r="B73" s="4">
        <v>2014</v>
      </c>
      <c r="C73" s="1" t="s">
        <v>1983</v>
      </c>
      <c r="D73" s="16" t="s">
        <v>1984</v>
      </c>
      <c r="E73" s="2" t="s">
        <v>1906</v>
      </c>
      <c r="F73" s="2" t="s">
        <v>1972</v>
      </c>
      <c r="G73" s="16" t="s">
        <v>1659</v>
      </c>
      <c r="H73" s="16" t="s">
        <v>1888</v>
      </c>
      <c r="I73" s="1"/>
      <c r="J73" s="1">
        <v>1</v>
      </c>
      <c r="K73" s="1" t="s">
        <v>1621</v>
      </c>
      <c r="L73" s="2" t="s">
        <v>1985</v>
      </c>
      <c r="M73" s="8" t="s">
        <v>1923</v>
      </c>
      <c r="N73" s="8" t="s">
        <v>1589</v>
      </c>
      <c r="O73" s="8" t="s">
        <v>1590</v>
      </c>
      <c r="P73" s="3" t="s">
        <v>1592</v>
      </c>
      <c r="Q73" s="3"/>
      <c r="R73" s="3"/>
      <c r="S73" s="2"/>
      <c r="T73" s="2"/>
      <c r="U73" s="10"/>
    </row>
    <row r="74" spans="1:23" s="4" customFormat="1" ht="16" x14ac:dyDescent="0.2">
      <c r="A74" s="1" t="s">
        <v>1986</v>
      </c>
      <c r="B74" s="4">
        <v>2014</v>
      </c>
      <c r="C74" s="1" t="s">
        <v>1987</v>
      </c>
      <c r="D74" s="8" t="s">
        <v>1988</v>
      </c>
      <c r="E74" s="2" t="s">
        <v>1792</v>
      </c>
      <c r="F74" s="2" t="s">
        <v>1951</v>
      </c>
      <c r="G74" s="1" t="s">
        <v>1659</v>
      </c>
      <c r="H74" s="1" t="s">
        <v>1989</v>
      </c>
      <c r="I74" s="1"/>
      <c r="J74" s="1">
        <v>1</v>
      </c>
      <c r="K74" s="1" t="s">
        <v>1586</v>
      </c>
      <c r="L74" s="2" t="s">
        <v>1990</v>
      </c>
      <c r="M74" s="8" t="s">
        <v>1991</v>
      </c>
      <c r="N74" s="8" t="s">
        <v>1589</v>
      </c>
      <c r="O74" s="8" t="s">
        <v>1600</v>
      </c>
      <c r="P74" s="3" t="s">
        <v>1716</v>
      </c>
      <c r="Q74" s="3">
        <v>1</v>
      </c>
      <c r="R74" s="3" t="s">
        <v>1592</v>
      </c>
      <c r="S74" s="2"/>
      <c r="T74" s="2"/>
      <c r="U74" s="10" t="s">
        <v>1992</v>
      </c>
      <c r="V74" s="8"/>
      <c r="W74" s="8"/>
    </row>
    <row r="75" spans="1:23" s="4" customFormat="1" ht="409.6" x14ac:dyDescent="0.2">
      <c r="A75" s="1" t="s">
        <v>1993</v>
      </c>
      <c r="B75" s="4">
        <v>2014</v>
      </c>
      <c r="C75" s="1" t="s">
        <v>1994</v>
      </c>
      <c r="D75" s="8" t="s">
        <v>1995</v>
      </c>
      <c r="E75" s="2" t="s">
        <v>1996</v>
      </c>
      <c r="F75" s="2"/>
      <c r="G75" s="1" t="s">
        <v>1583</v>
      </c>
      <c r="H75" s="1" t="s">
        <v>1997</v>
      </c>
      <c r="I75" s="1" t="s">
        <v>1998</v>
      </c>
      <c r="J75" s="1">
        <v>1</v>
      </c>
      <c r="K75" s="1" t="s">
        <v>1621</v>
      </c>
      <c r="L75" s="2" t="s">
        <v>1996</v>
      </c>
      <c r="M75" s="8" t="s">
        <v>1923</v>
      </c>
      <c r="N75" s="8" t="s">
        <v>1589</v>
      </c>
      <c r="O75" s="8" t="s">
        <v>1881</v>
      </c>
      <c r="P75" s="3" t="s">
        <v>1773</v>
      </c>
      <c r="Q75" s="3" t="s">
        <v>1710</v>
      </c>
      <c r="R75" s="3" t="s">
        <v>1625</v>
      </c>
      <c r="S75" s="2"/>
      <c r="T75" s="2"/>
      <c r="U75" s="10" t="s">
        <v>1999</v>
      </c>
      <c r="V75" s="8"/>
      <c r="W75" s="8"/>
    </row>
    <row r="76" spans="1:23" s="4" customFormat="1" ht="48" x14ac:dyDescent="0.2">
      <c r="A76" s="1" t="s">
        <v>1993</v>
      </c>
      <c r="B76" s="4">
        <v>2014</v>
      </c>
      <c r="C76" s="1" t="s">
        <v>1994</v>
      </c>
      <c r="D76" s="8" t="s">
        <v>2000</v>
      </c>
      <c r="E76" s="2" t="s">
        <v>1887</v>
      </c>
      <c r="F76" s="2"/>
      <c r="G76" s="1" t="s">
        <v>1583</v>
      </c>
      <c r="H76" s="1" t="s">
        <v>1997</v>
      </c>
      <c r="I76" s="1" t="s">
        <v>1585</v>
      </c>
      <c r="J76" s="1">
        <v>2</v>
      </c>
      <c r="K76" s="1" t="s">
        <v>2001</v>
      </c>
      <c r="L76" s="2" t="s">
        <v>2002</v>
      </c>
      <c r="M76" s="8" t="s">
        <v>2003</v>
      </c>
      <c r="N76" s="8" t="s">
        <v>1589</v>
      </c>
      <c r="O76" s="8" t="s">
        <v>1881</v>
      </c>
      <c r="P76" s="1">
        <v>2.6</v>
      </c>
      <c r="Q76" s="3" t="s">
        <v>2004</v>
      </c>
      <c r="R76" s="3" t="s">
        <v>1712</v>
      </c>
      <c r="S76" s="2"/>
      <c r="T76" s="2"/>
      <c r="U76" s="10" t="s">
        <v>2005</v>
      </c>
      <c r="V76" s="8"/>
      <c r="W76" s="8"/>
    </row>
    <row r="77" spans="1:23" s="4" customFormat="1" ht="48" x14ac:dyDescent="0.2">
      <c r="A77" s="1" t="s">
        <v>1993</v>
      </c>
      <c r="B77" s="4">
        <v>2014</v>
      </c>
      <c r="C77" s="1" t="s">
        <v>1994</v>
      </c>
      <c r="D77" s="8" t="s">
        <v>2000</v>
      </c>
      <c r="E77" s="2" t="s">
        <v>1896</v>
      </c>
      <c r="F77" s="2"/>
      <c r="G77" s="1" t="s">
        <v>1583</v>
      </c>
      <c r="H77" s="1" t="s">
        <v>1997</v>
      </c>
      <c r="I77" s="1" t="s">
        <v>1585</v>
      </c>
      <c r="J77" s="1">
        <v>3</v>
      </c>
      <c r="K77" s="1" t="s">
        <v>1586</v>
      </c>
      <c r="L77" s="2" t="s">
        <v>1896</v>
      </c>
      <c r="M77" s="8" t="s">
        <v>2006</v>
      </c>
      <c r="N77" s="8" t="s">
        <v>1589</v>
      </c>
      <c r="O77" s="8" t="s">
        <v>1881</v>
      </c>
      <c r="P77" s="1">
        <v>3</v>
      </c>
      <c r="Q77" s="3" t="s">
        <v>2007</v>
      </c>
      <c r="R77" s="3" t="s">
        <v>2008</v>
      </c>
      <c r="S77" s="2"/>
      <c r="T77" s="2"/>
      <c r="U77" s="10" t="s">
        <v>2009</v>
      </c>
      <c r="V77" s="8"/>
      <c r="W77" s="8"/>
    </row>
    <row r="78" spans="1:23" s="4" customFormat="1" ht="48" x14ac:dyDescent="0.2">
      <c r="A78" s="1" t="s">
        <v>2010</v>
      </c>
      <c r="B78" s="4">
        <v>2014</v>
      </c>
      <c r="C78" s="1" t="s">
        <v>2011</v>
      </c>
      <c r="D78" s="8" t="s">
        <v>2012</v>
      </c>
      <c r="E78" s="2" t="s">
        <v>2013</v>
      </c>
      <c r="F78" s="2" t="s">
        <v>1950</v>
      </c>
      <c r="G78" s="1"/>
      <c r="H78" s="1" t="s">
        <v>2014</v>
      </c>
      <c r="I78" s="1"/>
      <c r="J78" s="1">
        <v>1</v>
      </c>
      <c r="K78" s="1" t="s">
        <v>1586</v>
      </c>
      <c r="L78" s="2" t="s">
        <v>2012</v>
      </c>
      <c r="M78" s="8" t="s">
        <v>2015</v>
      </c>
      <c r="N78" s="8" t="s">
        <v>1589</v>
      </c>
      <c r="O78" s="8" t="s">
        <v>1600</v>
      </c>
      <c r="P78" s="3" t="s">
        <v>1601</v>
      </c>
      <c r="Q78" s="3" t="s">
        <v>1592</v>
      </c>
      <c r="R78" s="3" t="s">
        <v>1592</v>
      </c>
      <c r="S78" s="2"/>
      <c r="T78" s="2"/>
      <c r="U78" s="10" t="s">
        <v>2016</v>
      </c>
      <c r="V78" s="8"/>
      <c r="W78" s="8"/>
    </row>
    <row r="79" spans="1:23" s="4" customFormat="1" ht="32" x14ac:dyDescent="0.2">
      <c r="A79" s="1" t="s">
        <v>2017</v>
      </c>
      <c r="B79" s="4">
        <v>2015</v>
      </c>
      <c r="C79" s="1" t="s">
        <v>2018</v>
      </c>
      <c r="D79" s="8" t="s">
        <v>2019</v>
      </c>
      <c r="E79" s="2" t="s">
        <v>1977</v>
      </c>
      <c r="F79" s="2"/>
      <c r="G79" s="1" t="s">
        <v>1583</v>
      </c>
      <c r="H79" s="1" t="s">
        <v>2020</v>
      </c>
      <c r="I79" s="1" t="s">
        <v>2021</v>
      </c>
      <c r="J79" s="1">
        <v>1</v>
      </c>
      <c r="K79" s="1" t="s">
        <v>1621</v>
      </c>
      <c r="L79" s="2" t="s">
        <v>1977</v>
      </c>
      <c r="M79" s="8" t="s">
        <v>1923</v>
      </c>
      <c r="N79" s="8" t="s">
        <v>1589</v>
      </c>
      <c r="O79" s="8" t="s">
        <v>1590</v>
      </c>
      <c r="P79" s="3" t="s">
        <v>2022</v>
      </c>
      <c r="Q79" s="3" t="s">
        <v>2023</v>
      </c>
      <c r="R79" s="3" t="s">
        <v>2023</v>
      </c>
      <c r="S79" s="2"/>
      <c r="T79" s="2"/>
      <c r="U79" s="10" t="s">
        <v>2024</v>
      </c>
      <c r="V79" s="8"/>
      <c r="W79" s="8"/>
    </row>
    <row r="80" spans="1:23" s="4" customFormat="1" ht="32" x14ac:dyDescent="0.2">
      <c r="A80" s="1" t="s">
        <v>2025</v>
      </c>
      <c r="B80" s="4">
        <v>2015</v>
      </c>
      <c r="C80" s="1" t="s">
        <v>2026</v>
      </c>
      <c r="D80" s="8" t="s">
        <v>2027</v>
      </c>
      <c r="E80" s="2" t="s">
        <v>1972</v>
      </c>
      <c r="F80" s="2"/>
      <c r="G80" s="1" t="s">
        <v>1583</v>
      </c>
      <c r="H80" s="1" t="s">
        <v>2028</v>
      </c>
      <c r="I80" s="1" t="s">
        <v>2029</v>
      </c>
      <c r="J80" s="1">
        <v>1</v>
      </c>
      <c r="K80" s="1" t="s">
        <v>1621</v>
      </c>
      <c r="L80" s="2" t="s">
        <v>2030</v>
      </c>
      <c r="M80" s="8" t="s">
        <v>2031</v>
      </c>
      <c r="N80" s="8" t="s">
        <v>1589</v>
      </c>
      <c r="O80" s="8" t="s">
        <v>1600</v>
      </c>
      <c r="P80" s="3" t="s">
        <v>2032</v>
      </c>
      <c r="Q80" s="3">
        <v>0.35</v>
      </c>
      <c r="R80" s="3" t="s">
        <v>2033</v>
      </c>
      <c r="S80" s="2"/>
      <c r="T80" s="2"/>
      <c r="U80" s="10" t="s">
        <v>2034</v>
      </c>
    </row>
    <row r="81" spans="1:21" s="4" customFormat="1" ht="48" x14ac:dyDescent="0.2">
      <c r="A81" s="1" t="s">
        <v>2035</v>
      </c>
      <c r="B81" s="4">
        <v>2016</v>
      </c>
      <c r="C81" s="1" t="s">
        <v>2036</v>
      </c>
      <c r="D81" s="8" t="s">
        <v>2037</v>
      </c>
      <c r="E81" s="2" t="s">
        <v>1977</v>
      </c>
      <c r="F81" s="2"/>
      <c r="G81" s="1" t="s">
        <v>1583</v>
      </c>
      <c r="H81" s="1" t="s">
        <v>2038</v>
      </c>
      <c r="I81" s="1" t="s">
        <v>2039</v>
      </c>
      <c r="J81" s="1">
        <v>1</v>
      </c>
      <c r="K81" s="1" t="s">
        <v>1621</v>
      </c>
      <c r="L81" s="2" t="s">
        <v>2040</v>
      </c>
      <c r="M81" s="8" t="s">
        <v>1923</v>
      </c>
      <c r="N81" s="8" t="s">
        <v>1589</v>
      </c>
      <c r="O81" s="8" t="s">
        <v>1600</v>
      </c>
      <c r="P81" s="3" t="s">
        <v>1700</v>
      </c>
      <c r="Q81" s="3">
        <v>0.3</v>
      </c>
      <c r="R81" s="3" t="s">
        <v>1717</v>
      </c>
      <c r="S81" s="2"/>
      <c r="T81" s="2"/>
      <c r="U81" s="10" t="s">
        <v>2041</v>
      </c>
    </row>
    <row r="82" spans="1:21" s="4" customFormat="1" ht="48" x14ac:dyDescent="0.2">
      <c r="A82" s="1" t="s">
        <v>2035</v>
      </c>
      <c r="B82" s="4">
        <v>2016</v>
      </c>
      <c r="C82" s="1" t="s">
        <v>2036</v>
      </c>
      <c r="D82" s="8" t="s">
        <v>2037</v>
      </c>
      <c r="E82" s="2" t="s">
        <v>2042</v>
      </c>
      <c r="F82" s="2"/>
      <c r="G82" s="1" t="s">
        <v>1583</v>
      </c>
      <c r="H82" s="1" t="s">
        <v>2038</v>
      </c>
      <c r="I82" s="1" t="s">
        <v>1998</v>
      </c>
      <c r="J82" s="1">
        <v>2</v>
      </c>
      <c r="K82" s="1" t="s">
        <v>1586</v>
      </c>
      <c r="L82" s="2" t="s">
        <v>2043</v>
      </c>
      <c r="M82" s="8" t="s">
        <v>1923</v>
      </c>
      <c r="N82" s="8" t="s">
        <v>1589</v>
      </c>
      <c r="O82" s="8" t="s">
        <v>1600</v>
      </c>
      <c r="P82" s="3" t="s">
        <v>2044</v>
      </c>
      <c r="Q82" s="3">
        <v>0.2</v>
      </c>
      <c r="R82" s="3" t="s">
        <v>2045</v>
      </c>
      <c r="S82" s="2"/>
      <c r="T82" s="2"/>
      <c r="U82" s="10" t="s">
        <v>2046</v>
      </c>
    </row>
    <row r="83" spans="1:21" s="4" customFormat="1" ht="32" x14ac:dyDescent="0.2">
      <c r="A83" s="1" t="s">
        <v>2047</v>
      </c>
      <c r="B83" s="4">
        <v>2019</v>
      </c>
      <c r="C83" s="1" t="s">
        <v>2048</v>
      </c>
      <c r="D83" s="8" t="s">
        <v>2049</v>
      </c>
      <c r="E83" s="2" t="s">
        <v>2050</v>
      </c>
      <c r="F83" s="2"/>
      <c r="G83" s="1" t="s">
        <v>1583</v>
      </c>
      <c r="H83" s="1" t="s">
        <v>2051</v>
      </c>
      <c r="I83" s="1" t="s">
        <v>2039</v>
      </c>
      <c r="J83" s="1">
        <v>1</v>
      </c>
      <c r="K83" s="1" t="s">
        <v>1621</v>
      </c>
      <c r="L83" s="2" t="s">
        <v>2052</v>
      </c>
      <c r="M83" s="8" t="s">
        <v>1923</v>
      </c>
      <c r="N83" s="8" t="s">
        <v>1589</v>
      </c>
      <c r="O83" s="8" t="s">
        <v>1881</v>
      </c>
      <c r="P83" s="3" t="s">
        <v>2053</v>
      </c>
      <c r="Q83" s="3">
        <v>0.1</v>
      </c>
      <c r="R83" s="3">
        <v>0.18</v>
      </c>
      <c r="S83" s="2"/>
      <c r="T83" s="2"/>
      <c r="U83" s="10" t="s">
        <v>2054</v>
      </c>
    </row>
    <row r="84" spans="1:21" s="4" customFormat="1" ht="32" x14ac:dyDescent="0.2">
      <c r="A84" s="1" t="s">
        <v>2055</v>
      </c>
      <c r="B84" s="4">
        <v>2020</v>
      </c>
      <c r="C84" s="1" t="s">
        <v>2056</v>
      </c>
      <c r="D84" s="8" t="s">
        <v>2057</v>
      </c>
      <c r="E84" s="2" t="s">
        <v>1977</v>
      </c>
      <c r="F84" s="2"/>
      <c r="G84" s="1" t="s">
        <v>1583</v>
      </c>
      <c r="H84" s="1" t="s">
        <v>2058</v>
      </c>
      <c r="I84" s="2"/>
      <c r="J84" s="2"/>
      <c r="K84" s="2"/>
      <c r="L84" s="2" t="s">
        <v>2059</v>
      </c>
      <c r="M84" s="8"/>
      <c r="N84" s="8" t="s">
        <v>1687</v>
      </c>
      <c r="O84" s="2"/>
      <c r="P84" s="3"/>
      <c r="Q84" s="3"/>
      <c r="R84" s="3"/>
      <c r="S84" s="2"/>
      <c r="T84" s="2"/>
      <c r="U84" s="10" t="s">
        <v>2060</v>
      </c>
    </row>
    <row r="85" spans="1:21" s="4" customFormat="1" ht="48" x14ac:dyDescent="0.2">
      <c r="A85" s="1" t="s">
        <v>2061</v>
      </c>
      <c r="B85" s="4">
        <v>2021</v>
      </c>
      <c r="C85" s="1" t="s">
        <v>2062</v>
      </c>
      <c r="D85" s="8" t="s">
        <v>2063</v>
      </c>
      <c r="E85" s="8">
        <v>2018</v>
      </c>
      <c r="F85" s="8"/>
      <c r="G85" s="1" t="s">
        <v>1583</v>
      </c>
      <c r="H85" s="1" t="s">
        <v>2064</v>
      </c>
      <c r="I85" s="1" t="s">
        <v>2065</v>
      </c>
      <c r="J85" s="1">
        <v>1</v>
      </c>
      <c r="K85" s="1" t="s">
        <v>1621</v>
      </c>
      <c r="L85" s="8" t="s">
        <v>2066</v>
      </c>
      <c r="M85" s="8" t="s">
        <v>1923</v>
      </c>
      <c r="N85" s="8" t="s">
        <v>1589</v>
      </c>
      <c r="O85" s="8" t="s">
        <v>1881</v>
      </c>
      <c r="P85" s="3" t="s">
        <v>2067</v>
      </c>
      <c r="Q85" s="3">
        <v>0.06</v>
      </c>
      <c r="R85" s="3">
        <v>0.01</v>
      </c>
      <c r="S85" s="2"/>
      <c r="T85" s="2"/>
      <c r="U85" s="10" t="s">
        <v>2068</v>
      </c>
    </row>
    <row r="86" spans="1:21" s="4" customFormat="1" ht="48" x14ac:dyDescent="0.2">
      <c r="A86" s="1" t="s">
        <v>2061</v>
      </c>
      <c r="B86" s="4">
        <v>2021</v>
      </c>
      <c r="C86" s="1" t="s">
        <v>2062</v>
      </c>
      <c r="D86" s="8" t="s">
        <v>2063</v>
      </c>
      <c r="E86" s="8">
        <v>2018</v>
      </c>
      <c r="F86" s="8"/>
      <c r="G86" s="1" t="s">
        <v>1583</v>
      </c>
      <c r="H86" s="1" t="s">
        <v>2064</v>
      </c>
      <c r="I86" s="1" t="s">
        <v>2065</v>
      </c>
      <c r="J86" s="1">
        <v>2</v>
      </c>
      <c r="K86" s="1" t="s">
        <v>1586</v>
      </c>
      <c r="L86" s="8" t="s">
        <v>2066</v>
      </c>
      <c r="M86" s="8" t="s">
        <v>2069</v>
      </c>
      <c r="N86" s="8" t="s">
        <v>1589</v>
      </c>
      <c r="O86" s="8" t="s">
        <v>1881</v>
      </c>
      <c r="P86" s="3" t="s">
        <v>2070</v>
      </c>
      <c r="Q86" s="3">
        <v>0.15</v>
      </c>
      <c r="R86" s="3">
        <v>0.28000000000000003</v>
      </c>
      <c r="S86" s="2"/>
      <c r="T86" s="2"/>
      <c r="U86" s="10" t="s">
        <v>2071</v>
      </c>
    </row>
    <row r="87" spans="1:21" s="4" customFormat="1" ht="48" x14ac:dyDescent="0.2">
      <c r="A87" s="1" t="s">
        <v>2061</v>
      </c>
      <c r="B87" s="4">
        <v>2021</v>
      </c>
      <c r="C87" s="1" t="s">
        <v>2062</v>
      </c>
      <c r="D87" s="8" t="s">
        <v>2063</v>
      </c>
      <c r="E87" s="8">
        <v>2018</v>
      </c>
      <c r="F87" s="8"/>
      <c r="G87" s="1" t="s">
        <v>1583</v>
      </c>
      <c r="H87" s="1" t="s">
        <v>2064</v>
      </c>
      <c r="I87" s="1" t="s">
        <v>2065</v>
      </c>
      <c r="J87" s="1">
        <v>3</v>
      </c>
      <c r="K87" s="1" t="s">
        <v>144</v>
      </c>
      <c r="L87" s="8" t="s">
        <v>2066</v>
      </c>
      <c r="M87" s="8" t="s">
        <v>144</v>
      </c>
      <c r="N87" s="8" t="s">
        <v>1589</v>
      </c>
      <c r="O87" s="8" t="s">
        <v>1881</v>
      </c>
      <c r="P87" s="3" t="s">
        <v>2072</v>
      </c>
      <c r="Q87" s="3">
        <v>1.05</v>
      </c>
      <c r="R87" s="3">
        <v>1.05</v>
      </c>
      <c r="S87" s="2"/>
      <c r="T87" s="2"/>
      <c r="U87" s="10" t="s">
        <v>2071</v>
      </c>
    </row>
    <row r="88" spans="1:21" s="4" customFormat="1" ht="64" x14ac:dyDescent="0.2">
      <c r="A88" s="1" t="s">
        <v>2073</v>
      </c>
      <c r="B88" s="4">
        <v>2021</v>
      </c>
      <c r="C88" s="1" t="s">
        <v>2074</v>
      </c>
      <c r="D88" s="8" t="s">
        <v>2075</v>
      </c>
      <c r="E88" s="8">
        <v>2018</v>
      </c>
      <c r="F88" s="8"/>
      <c r="G88" s="1" t="s">
        <v>1583</v>
      </c>
      <c r="H88" s="1" t="s">
        <v>2076</v>
      </c>
      <c r="I88" s="1" t="s">
        <v>1585</v>
      </c>
      <c r="J88" s="1">
        <v>1</v>
      </c>
      <c r="K88" s="1" t="s">
        <v>1621</v>
      </c>
      <c r="L88" s="8" t="s">
        <v>2077</v>
      </c>
      <c r="M88" s="8" t="s">
        <v>1923</v>
      </c>
      <c r="N88" s="8" t="s">
        <v>1589</v>
      </c>
      <c r="O88" s="8" t="s">
        <v>1881</v>
      </c>
      <c r="P88" s="3" t="s">
        <v>2007</v>
      </c>
      <c r="Q88" s="3"/>
      <c r="R88" s="3"/>
      <c r="S88" s="2"/>
      <c r="T88" s="2"/>
      <c r="U88" s="10" t="s">
        <v>2078</v>
      </c>
    </row>
    <row r="89" spans="1:21" s="4" customFormat="1" ht="64" x14ac:dyDescent="0.2">
      <c r="A89" s="1" t="s">
        <v>2073</v>
      </c>
      <c r="B89" s="4">
        <v>2021</v>
      </c>
      <c r="C89" s="1" t="s">
        <v>2074</v>
      </c>
      <c r="D89" s="8" t="s">
        <v>2075</v>
      </c>
      <c r="E89" s="8">
        <v>2018</v>
      </c>
      <c r="F89" s="8"/>
      <c r="G89" s="1" t="s">
        <v>1583</v>
      </c>
      <c r="H89" s="1" t="s">
        <v>2076</v>
      </c>
      <c r="I89" s="1" t="s">
        <v>1585</v>
      </c>
      <c r="J89" s="1">
        <v>2</v>
      </c>
      <c r="K89" s="1" t="s">
        <v>1586</v>
      </c>
      <c r="L89" s="8" t="s">
        <v>2077</v>
      </c>
      <c r="M89" s="8" t="s">
        <v>1694</v>
      </c>
      <c r="N89" s="8" t="s">
        <v>1589</v>
      </c>
      <c r="O89" s="8" t="s">
        <v>1881</v>
      </c>
      <c r="P89" s="3" t="s">
        <v>2079</v>
      </c>
      <c r="Q89" s="3"/>
      <c r="R89" s="3"/>
      <c r="S89" s="2"/>
      <c r="T89" s="2"/>
      <c r="U89" s="10" t="s">
        <v>2080</v>
      </c>
    </row>
    <row r="90" spans="1:21" s="4" customFormat="1" ht="32" x14ac:dyDescent="0.2">
      <c r="A90" s="1" t="s">
        <v>2081</v>
      </c>
      <c r="B90" s="4">
        <v>2021</v>
      </c>
      <c r="C90" s="1" t="s">
        <v>2082</v>
      </c>
      <c r="D90" s="8" t="s">
        <v>2083</v>
      </c>
      <c r="E90" s="8">
        <v>2015</v>
      </c>
      <c r="F90" s="8"/>
      <c r="G90" s="1" t="s">
        <v>1583</v>
      </c>
      <c r="H90" s="1" t="s">
        <v>2084</v>
      </c>
      <c r="I90" s="1" t="s">
        <v>1585</v>
      </c>
      <c r="J90" s="1">
        <v>1</v>
      </c>
      <c r="K90" s="1" t="s">
        <v>1621</v>
      </c>
      <c r="L90" s="8" t="s">
        <v>2085</v>
      </c>
      <c r="M90" s="8" t="s">
        <v>1923</v>
      </c>
      <c r="N90" s="8" t="s">
        <v>1589</v>
      </c>
      <c r="O90" s="8" t="s">
        <v>1881</v>
      </c>
      <c r="P90" s="3" t="s">
        <v>1635</v>
      </c>
      <c r="Q90" s="3">
        <v>0.55000000000000004</v>
      </c>
      <c r="R90" s="3">
        <v>1.1200000000000001</v>
      </c>
      <c r="S90" s="2"/>
      <c r="T90" s="2"/>
      <c r="U90" s="10" t="s">
        <v>2086</v>
      </c>
    </row>
    <row r="91" spans="1:21" s="4" customFormat="1" ht="32" x14ac:dyDescent="0.2">
      <c r="A91" s="1" t="s">
        <v>2081</v>
      </c>
      <c r="B91" s="4">
        <v>2021</v>
      </c>
      <c r="C91" s="1" t="s">
        <v>2082</v>
      </c>
      <c r="D91" s="8" t="s">
        <v>2083</v>
      </c>
      <c r="E91" s="8">
        <v>2015</v>
      </c>
      <c r="F91" s="8"/>
      <c r="G91" s="1" t="s">
        <v>1583</v>
      </c>
      <c r="H91" s="1" t="s">
        <v>2084</v>
      </c>
      <c r="I91" s="1" t="s">
        <v>2087</v>
      </c>
      <c r="J91" s="1">
        <v>2</v>
      </c>
      <c r="K91" s="1" t="s">
        <v>1586</v>
      </c>
      <c r="L91" s="8" t="s">
        <v>2085</v>
      </c>
      <c r="M91" s="8" t="s">
        <v>2088</v>
      </c>
      <c r="N91" s="8" t="s">
        <v>1589</v>
      </c>
      <c r="O91" s="8" t="s">
        <v>1881</v>
      </c>
      <c r="P91" s="3" t="s">
        <v>2089</v>
      </c>
      <c r="Q91" s="3">
        <v>0.15</v>
      </c>
      <c r="R91" s="3">
        <v>0.27</v>
      </c>
      <c r="S91" s="2"/>
      <c r="T91" s="2"/>
      <c r="U91" s="10" t="s">
        <v>2086</v>
      </c>
    </row>
    <row r="92" spans="1:21" s="4" customFormat="1" ht="272" x14ac:dyDescent="0.2">
      <c r="A92" s="1" t="s">
        <v>2090</v>
      </c>
      <c r="B92" s="4">
        <v>2021</v>
      </c>
      <c r="C92" s="1" t="s">
        <v>2091</v>
      </c>
      <c r="D92" s="8" t="s">
        <v>2092</v>
      </c>
      <c r="E92" s="1">
        <v>2008</v>
      </c>
      <c r="F92" s="1">
        <v>2018</v>
      </c>
      <c r="G92" s="1"/>
      <c r="H92" s="1" t="s">
        <v>2093</v>
      </c>
      <c r="I92" s="1"/>
      <c r="J92" s="1"/>
      <c r="K92" s="1"/>
      <c r="L92" s="1"/>
      <c r="M92" s="1"/>
      <c r="N92" s="1"/>
      <c r="O92" s="1"/>
      <c r="P92" s="3"/>
      <c r="Q92" s="3"/>
      <c r="R92" s="3"/>
      <c r="S92" s="1"/>
      <c r="T92" s="1"/>
      <c r="U92" s="10" t="s">
        <v>2094</v>
      </c>
    </row>
    <row r="93" spans="1:21" s="4" customFormat="1" ht="64" x14ac:dyDescent="0.2">
      <c r="A93" s="1" t="s">
        <v>2095</v>
      </c>
      <c r="B93" s="4">
        <v>2022</v>
      </c>
      <c r="C93" s="1" t="s">
        <v>2096</v>
      </c>
      <c r="D93" s="8" t="s">
        <v>2097</v>
      </c>
      <c r="E93" s="8">
        <v>2018</v>
      </c>
      <c r="F93" s="8"/>
      <c r="G93" s="1" t="s">
        <v>1583</v>
      </c>
      <c r="H93" s="1" t="s">
        <v>2098</v>
      </c>
      <c r="I93" s="1"/>
      <c r="J93" s="1"/>
      <c r="K93" s="1"/>
      <c r="L93" s="8" t="s">
        <v>2099</v>
      </c>
      <c r="M93" s="8"/>
      <c r="N93" s="8" t="s">
        <v>1687</v>
      </c>
      <c r="O93" s="1"/>
      <c r="P93" s="3"/>
      <c r="Q93" s="3"/>
      <c r="R93" s="3"/>
      <c r="S93" s="2"/>
      <c r="T93" s="2"/>
      <c r="U93" s="10" t="s">
        <v>2100</v>
      </c>
    </row>
    <row r="94" spans="1:21" s="4" customFormat="1" ht="32" x14ac:dyDescent="0.2">
      <c r="A94" s="1" t="s">
        <v>2101</v>
      </c>
      <c r="B94" s="4">
        <v>2022</v>
      </c>
      <c r="C94" s="1" t="s">
        <v>2102</v>
      </c>
      <c r="D94" s="8" t="s">
        <v>2103</v>
      </c>
      <c r="E94" s="8">
        <v>2018</v>
      </c>
      <c r="F94" s="8"/>
      <c r="G94" s="1" t="s">
        <v>1583</v>
      </c>
      <c r="H94" s="1" t="s">
        <v>2104</v>
      </c>
      <c r="I94" s="1" t="s">
        <v>2105</v>
      </c>
      <c r="J94" s="1">
        <v>1</v>
      </c>
      <c r="K94" s="1" t="s">
        <v>1621</v>
      </c>
      <c r="L94" s="8" t="s">
        <v>2106</v>
      </c>
      <c r="M94" s="8" t="s">
        <v>1923</v>
      </c>
      <c r="N94" s="8" t="s">
        <v>1589</v>
      </c>
      <c r="O94" s="2" t="s">
        <v>1590</v>
      </c>
      <c r="P94" s="3" t="s">
        <v>1592</v>
      </c>
      <c r="Q94" s="3"/>
      <c r="R94" s="3"/>
      <c r="S94" s="2"/>
      <c r="T94" s="2"/>
      <c r="U94" s="10" t="s">
        <v>2107</v>
      </c>
    </row>
    <row r="95" spans="1:21" s="4" customFormat="1" ht="32" x14ac:dyDescent="0.2">
      <c r="A95" s="1" t="s">
        <v>2108</v>
      </c>
      <c r="B95" s="4">
        <v>2023</v>
      </c>
      <c r="C95" s="1" t="s">
        <v>2109</v>
      </c>
      <c r="D95" s="8" t="s">
        <v>2049</v>
      </c>
      <c r="E95" s="8">
        <v>2017</v>
      </c>
      <c r="F95" s="8"/>
      <c r="G95" s="1" t="s">
        <v>1583</v>
      </c>
      <c r="H95" s="1" t="s">
        <v>2110</v>
      </c>
      <c r="I95" s="1"/>
      <c r="J95" s="1"/>
      <c r="K95" s="1"/>
      <c r="L95" s="8" t="s">
        <v>2111</v>
      </c>
      <c r="M95" s="8"/>
      <c r="N95" s="8" t="s">
        <v>1687</v>
      </c>
      <c r="O95" s="8"/>
      <c r="P95" s="3"/>
      <c r="Q95" s="3"/>
      <c r="R95" s="3"/>
      <c r="S95" s="2"/>
      <c r="T95" s="2"/>
      <c r="U95" s="10" t="s">
        <v>2112</v>
      </c>
    </row>
    <row r="96" spans="1:21" s="4" customFormat="1" ht="48" x14ac:dyDescent="0.2">
      <c r="A96" s="1" t="s">
        <v>2113</v>
      </c>
      <c r="B96" s="4">
        <v>2024</v>
      </c>
      <c r="C96" s="1" t="s">
        <v>2114</v>
      </c>
      <c r="D96" s="8"/>
      <c r="E96" s="1"/>
      <c r="F96" s="1"/>
      <c r="G96" s="1" t="s">
        <v>1659</v>
      </c>
      <c r="H96" s="1" t="s">
        <v>2115</v>
      </c>
      <c r="I96" s="1"/>
      <c r="J96" s="1"/>
      <c r="K96" s="1"/>
      <c r="L96" s="1"/>
      <c r="M96" s="1"/>
      <c r="N96" s="8" t="s">
        <v>1589</v>
      </c>
      <c r="O96" s="1"/>
      <c r="P96" s="3" t="s">
        <v>1635</v>
      </c>
      <c r="Q96" s="3" t="s">
        <v>1635</v>
      </c>
      <c r="R96" s="3" t="s">
        <v>1635</v>
      </c>
      <c r="S96" s="2" t="s">
        <v>1663</v>
      </c>
      <c r="T96" s="2" t="s">
        <v>2116</v>
      </c>
      <c r="U96" s="10" t="s">
        <v>2117</v>
      </c>
    </row>
    <row r="97" spans="1:21" s="4" customFormat="1" ht="16" x14ac:dyDescent="0.2">
      <c r="A97" s="1" t="s">
        <v>2118</v>
      </c>
      <c r="B97" s="4">
        <v>2024</v>
      </c>
      <c r="C97" s="1" t="s">
        <v>2119</v>
      </c>
      <c r="D97" s="8" t="s">
        <v>2120</v>
      </c>
      <c r="E97" s="1">
        <v>2022</v>
      </c>
      <c r="F97" s="1">
        <v>2023</v>
      </c>
      <c r="G97" s="1" t="s">
        <v>1684</v>
      </c>
      <c r="H97" s="1" t="s">
        <v>2121</v>
      </c>
      <c r="I97" s="1"/>
      <c r="J97" s="1">
        <v>1</v>
      </c>
      <c r="K97" s="1" t="s">
        <v>1621</v>
      </c>
      <c r="L97" s="1" t="s">
        <v>2122</v>
      </c>
      <c r="M97" s="1"/>
      <c r="N97" s="8" t="s">
        <v>1589</v>
      </c>
      <c r="O97" s="1"/>
      <c r="P97" s="3" t="s">
        <v>1592</v>
      </c>
      <c r="Q97" s="3"/>
      <c r="R97" s="3"/>
      <c r="S97" s="2" t="s">
        <v>1678</v>
      </c>
      <c r="T97" s="2" t="s">
        <v>1671</v>
      </c>
      <c r="U97" s="10" t="s">
        <v>2123</v>
      </c>
    </row>
    <row r="98" spans="1:21" s="4" customFormat="1" ht="16" x14ac:dyDescent="0.2">
      <c r="A98" s="1" t="s">
        <v>2118</v>
      </c>
      <c r="B98" s="4">
        <v>2024</v>
      </c>
      <c r="C98" s="1" t="s">
        <v>2119</v>
      </c>
      <c r="D98" s="8" t="s">
        <v>2120</v>
      </c>
      <c r="E98" s="1">
        <v>2022</v>
      </c>
      <c r="F98" s="1">
        <v>2023</v>
      </c>
      <c r="G98" s="1" t="s">
        <v>1684</v>
      </c>
      <c r="H98" s="1" t="s">
        <v>2121</v>
      </c>
      <c r="I98" s="1"/>
      <c r="J98" s="1">
        <v>1</v>
      </c>
      <c r="K98" s="1" t="s">
        <v>1621</v>
      </c>
      <c r="L98" s="1" t="s">
        <v>2122</v>
      </c>
      <c r="M98" s="1"/>
      <c r="N98" s="8" t="s">
        <v>1589</v>
      </c>
      <c r="O98" s="1"/>
      <c r="P98" s="3" t="s">
        <v>1601</v>
      </c>
      <c r="Q98" s="3"/>
      <c r="R98" s="3"/>
      <c r="S98" s="2" t="s">
        <v>1678</v>
      </c>
      <c r="T98" s="2" t="s">
        <v>1671</v>
      </c>
      <c r="U98" s="10" t="s">
        <v>2123</v>
      </c>
    </row>
    <row r="99" spans="1:21" s="4" customFormat="1" ht="64" x14ac:dyDescent="0.2">
      <c r="A99" s="1" t="s">
        <v>2124</v>
      </c>
      <c r="B99" s="4">
        <v>2025</v>
      </c>
      <c r="C99" s="1" t="s">
        <v>2125</v>
      </c>
      <c r="D99" s="8" t="s">
        <v>2126</v>
      </c>
      <c r="E99" s="8">
        <v>2017</v>
      </c>
      <c r="F99" s="8">
        <v>2019</v>
      </c>
      <c r="G99" s="1" t="s">
        <v>1659</v>
      </c>
      <c r="H99" s="1" t="s">
        <v>2127</v>
      </c>
      <c r="I99" s="1"/>
      <c r="J99" s="1">
        <v>1</v>
      </c>
      <c r="K99" s="1" t="s">
        <v>1621</v>
      </c>
      <c r="L99" s="8" t="s">
        <v>2128</v>
      </c>
      <c r="M99" s="8"/>
      <c r="N99" s="8" t="s">
        <v>1589</v>
      </c>
      <c r="O99" s="8" t="s">
        <v>1600</v>
      </c>
      <c r="P99" s="3" t="s">
        <v>2129</v>
      </c>
      <c r="Q99" s="3" t="s">
        <v>1873</v>
      </c>
      <c r="R99" s="3" t="s">
        <v>1873</v>
      </c>
      <c r="S99" s="2"/>
      <c r="T99" s="2"/>
      <c r="U99" s="10" t="s">
        <v>2130</v>
      </c>
    </row>
    <row r="100" spans="1:21" s="4" customFormat="1" ht="64" x14ac:dyDescent="0.2">
      <c r="A100" s="1" t="s">
        <v>2124</v>
      </c>
      <c r="B100" s="4">
        <v>2025</v>
      </c>
      <c r="C100" s="1" t="s">
        <v>2125</v>
      </c>
      <c r="D100" s="8" t="s">
        <v>2126</v>
      </c>
      <c r="E100" s="8">
        <v>2017</v>
      </c>
      <c r="F100" s="8">
        <v>2019</v>
      </c>
      <c r="G100" s="1" t="s">
        <v>1659</v>
      </c>
      <c r="H100" s="1" t="s">
        <v>2127</v>
      </c>
      <c r="I100" s="1"/>
      <c r="J100" s="1">
        <v>2</v>
      </c>
      <c r="K100" s="1" t="s">
        <v>1586</v>
      </c>
      <c r="L100" s="8" t="s">
        <v>2128</v>
      </c>
      <c r="M100" s="8"/>
      <c r="N100" s="8" t="s">
        <v>1589</v>
      </c>
      <c r="O100" s="8" t="s">
        <v>1600</v>
      </c>
      <c r="P100" s="3" t="s">
        <v>1601</v>
      </c>
      <c r="Q100" s="3" t="s">
        <v>1592</v>
      </c>
      <c r="R100" s="3" t="s">
        <v>1592</v>
      </c>
      <c r="S100" s="2"/>
      <c r="T100" s="2"/>
      <c r="U100" s="10" t="s">
        <v>2130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898D-668D-6143-87A3-450E331891EB}">
  <dimension ref="A1:I23"/>
  <sheetViews>
    <sheetView zoomScale="80" zoomScaleNormal="80" workbookViewId="0">
      <selection activeCell="K25" sqref="K25"/>
    </sheetView>
  </sheetViews>
  <sheetFormatPr baseColWidth="10" defaultColWidth="8.83203125" defaultRowHeight="15" x14ac:dyDescent="0.2"/>
  <cols>
    <col min="1" max="1" width="17.5" style="4" customWidth="1"/>
    <col min="2" max="2" width="28" style="12" customWidth="1"/>
    <col min="3" max="3" width="28" style="2" customWidth="1"/>
    <col min="4" max="6" width="28" style="1" customWidth="1"/>
    <col min="7" max="7" width="32.5" style="1" customWidth="1"/>
    <col min="8" max="8" width="31.5" style="1" customWidth="1"/>
    <col min="9" max="9" width="26" style="36" customWidth="1"/>
  </cols>
  <sheetData>
    <row r="1" spans="1:9" s="4" customFormat="1" ht="16" x14ac:dyDescent="0.2">
      <c r="A1" s="12" t="s">
        <v>2131</v>
      </c>
      <c r="B1" s="12" t="s">
        <v>2132</v>
      </c>
      <c r="C1" s="2" t="s">
        <v>2133</v>
      </c>
      <c r="D1" s="1" t="s">
        <v>2134</v>
      </c>
      <c r="E1" s="1" t="s">
        <v>2135</v>
      </c>
      <c r="F1" s="1" t="s">
        <v>2136</v>
      </c>
      <c r="G1" s="1" t="s">
        <v>2137</v>
      </c>
      <c r="H1" s="1" t="s">
        <v>2138</v>
      </c>
      <c r="I1" s="25" t="s">
        <v>2139</v>
      </c>
    </row>
    <row r="2" spans="1:9" s="5" customFormat="1" ht="48" x14ac:dyDescent="0.2">
      <c r="A2" s="12" t="s">
        <v>2140</v>
      </c>
      <c r="B2" s="12" t="s">
        <v>2140</v>
      </c>
      <c r="C2" s="2" t="s">
        <v>2141</v>
      </c>
      <c r="D2" s="1" t="s">
        <v>2142</v>
      </c>
      <c r="E2" s="1" t="s">
        <v>2143</v>
      </c>
      <c r="F2" s="1"/>
      <c r="G2" s="1" t="s">
        <v>2144</v>
      </c>
      <c r="H2" s="1" t="s">
        <v>2145</v>
      </c>
      <c r="I2" s="26" t="s">
        <v>2146</v>
      </c>
    </row>
    <row r="3" spans="1:9" s="31" customFormat="1" ht="16" x14ac:dyDescent="0.2">
      <c r="A3" s="27">
        <v>-200</v>
      </c>
      <c r="B3" s="27">
        <v>1000</v>
      </c>
      <c r="C3" s="28"/>
      <c r="D3" s="29">
        <f>1200*365</f>
        <v>438000</v>
      </c>
      <c r="E3" s="29" t="s">
        <v>64</v>
      </c>
      <c r="F3" s="29" t="s">
        <v>2147</v>
      </c>
      <c r="G3" s="29">
        <f>H3*10^9</f>
        <v>300000000</v>
      </c>
      <c r="H3" s="29">
        <v>0.3</v>
      </c>
      <c r="I3" s="30">
        <f>365*H3/D3</f>
        <v>2.5000000000000001E-4</v>
      </c>
    </row>
    <row r="4" spans="1:9" s="5" customFormat="1" ht="32" x14ac:dyDescent="0.2">
      <c r="A4" s="12">
        <v>1000</v>
      </c>
      <c r="B4" s="12">
        <v>1500</v>
      </c>
      <c r="C4" s="2"/>
      <c r="D4" s="1">
        <f>500*365</f>
        <v>182500</v>
      </c>
      <c r="E4" s="1" t="s">
        <v>2148</v>
      </c>
      <c r="F4" s="1" t="s">
        <v>2149</v>
      </c>
      <c r="G4" s="1">
        <f>H4*10^9</f>
        <v>11000000000</v>
      </c>
      <c r="H4" s="1">
        <v>11</v>
      </c>
      <c r="I4" s="26">
        <f>365*H4/D4</f>
        <v>2.1999999999999999E-2</v>
      </c>
    </row>
    <row r="5" spans="1:9" s="5" customFormat="1" ht="16" x14ac:dyDescent="0.2">
      <c r="A5" s="12">
        <v>1410</v>
      </c>
      <c r="B5" s="12">
        <v>1470</v>
      </c>
      <c r="C5" s="2"/>
      <c r="D5" s="1">
        <f>60*365</f>
        <v>21900</v>
      </c>
      <c r="E5" s="1" t="s">
        <v>2150</v>
      </c>
      <c r="F5" s="1" t="s">
        <v>2151</v>
      </c>
      <c r="G5" s="1">
        <f>H5*10^9</f>
        <v>6000000000</v>
      </c>
      <c r="H5" s="1">
        <v>6</v>
      </c>
      <c r="I5" s="26">
        <f t="shared" ref="I5:I6" si="0">365*H5/D5</f>
        <v>0.1</v>
      </c>
    </row>
    <row r="6" spans="1:9" s="31" customFormat="1" ht="16" x14ac:dyDescent="0.2">
      <c r="A6" s="27">
        <v>1500</v>
      </c>
      <c r="B6" s="27">
        <v>1800</v>
      </c>
      <c r="C6" s="28"/>
      <c r="D6" s="29">
        <f>300*365</f>
        <v>109500</v>
      </c>
      <c r="E6" s="29" t="s">
        <v>64</v>
      </c>
      <c r="F6" s="29" t="s">
        <v>2152</v>
      </c>
      <c r="G6" s="29"/>
      <c r="H6" s="29">
        <v>0.15</v>
      </c>
      <c r="I6" s="30">
        <f t="shared" si="0"/>
        <v>5.0000000000000001E-4</v>
      </c>
    </row>
    <row r="7" spans="1:9" s="34" customFormat="1" ht="16" x14ac:dyDescent="0.2">
      <c r="A7" s="32">
        <v>1750</v>
      </c>
      <c r="B7" s="32">
        <v>1750</v>
      </c>
      <c r="C7" s="28"/>
      <c r="D7" s="29"/>
      <c r="E7" s="29" t="s">
        <v>2150</v>
      </c>
      <c r="F7" s="29" t="s">
        <v>2153</v>
      </c>
      <c r="G7" s="29">
        <v>14200000</v>
      </c>
      <c r="H7" s="29">
        <f>G7/10^9</f>
        <v>1.4200000000000001E-2</v>
      </c>
      <c r="I7" s="33"/>
    </row>
    <row r="8" spans="1:9" s="34" customFormat="1" ht="16" x14ac:dyDescent="0.2">
      <c r="A8" s="27">
        <v>1840</v>
      </c>
      <c r="B8" s="27">
        <v>1840</v>
      </c>
      <c r="C8" s="28" t="s">
        <v>2154</v>
      </c>
      <c r="D8" s="29">
        <v>26</v>
      </c>
      <c r="E8" s="29" t="s">
        <v>2150</v>
      </c>
      <c r="F8" s="29" t="s">
        <v>2155</v>
      </c>
      <c r="G8" s="29">
        <v>265000000</v>
      </c>
      <c r="H8" s="29">
        <f>G8/10^9</f>
        <v>0.26500000000000001</v>
      </c>
      <c r="I8" s="25">
        <f>365*H8/D8</f>
        <v>3.720192307692308</v>
      </c>
    </row>
    <row r="9" spans="1:9" s="34" customFormat="1" ht="16" x14ac:dyDescent="0.2">
      <c r="A9" s="27">
        <v>1919</v>
      </c>
      <c r="B9" s="27">
        <v>1920</v>
      </c>
      <c r="C9" s="28" t="s">
        <v>2156</v>
      </c>
      <c r="D9" s="29">
        <v>221</v>
      </c>
      <c r="E9" s="29" t="s">
        <v>2157</v>
      </c>
      <c r="F9" s="29" t="s">
        <v>2158</v>
      </c>
      <c r="G9" s="29">
        <v>45300000</v>
      </c>
      <c r="H9" s="29">
        <f t="shared" ref="H9:H22" si="1">G9/10^9</f>
        <v>4.53E-2</v>
      </c>
      <c r="I9" s="25">
        <f t="shared" ref="I9:I22" si="2">365*H9/D9</f>
        <v>7.4816742081447965E-2</v>
      </c>
    </row>
    <row r="10" spans="1:9" s="4" customFormat="1" ht="16" x14ac:dyDescent="0.2">
      <c r="A10" s="12">
        <v>1959</v>
      </c>
      <c r="B10" s="12">
        <v>1959</v>
      </c>
      <c r="C10" s="2" t="s">
        <v>2159</v>
      </c>
      <c r="D10" s="1">
        <v>36</v>
      </c>
      <c r="E10" s="1" t="s">
        <v>2160</v>
      </c>
      <c r="F10" s="1" t="s">
        <v>2160</v>
      </c>
      <c r="G10" s="1">
        <v>37200000</v>
      </c>
      <c r="H10" s="1">
        <f t="shared" si="1"/>
        <v>3.7199999999999997E-2</v>
      </c>
      <c r="I10" s="25">
        <f t="shared" si="2"/>
        <v>0.37716666666666665</v>
      </c>
    </row>
    <row r="11" spans="1:9" s="4" customFormat="1" ht="16" x14ac:dyDescent="0.2">
      <c r="A11" s="12">
        <v>1960</v>
      </c>
      <c r="B11" s="12">
        <v>1960</v>
      </c>
      <c r="C11" s="2" t="s">
        <v>2161</v>
      </c>
      <c r="D11" s="1">
        <v>36</v>
      </c>
      <c r="E11" s="1" t="s">
        <v>2150</v>
      </c>
      <c r="F11" s="1" t="s">
        <v>2162</v>
      </c>
      <c r="G11" s="1">
        <v>113200000</v>
      </c>
      <c r="H11" s="1">
        <f t="shared" si="1"/>
        <v>0.1132</v>
      </c>
      <c r="I11" s="25">
        <f t="shared" si="2"/>
        <v>1.1477222222222221</v>
      </c>
    </row>
    <row r="12" spans="1:9" s="34" customFormat="1" ht="16" x14ac:dyDescent="0.2">
      <c r="A12" s="27">
        <v>1974</v>
      </c>
      <c r="B12" s="27">
        <v>1974</v>
      </c>
      <c r="C12" s="28" t="s">
        <v>2163</v>
      </c>
      <c r="D12" s="29">
        <f>6/24</f>
        <v>0.25</v>
      </c>
      <c r="E12" s="29" t="s">
        <v>2157</v>
      </c>
      <c r="F12" s="29" t="s">
        <v>2164</v>
      </c>
      <c r="G12" s="29">
        <v>10000000</v>
      </c>
      <c r="H12" s="29">
        <f t="shared" si="1"/>
        <v>0.01</v>
      </c>
      <c r="I12" s="33">
        <f t="shared" si="2"/>
        <v>14.6</v>
      </c>
    </row>
    <row r="13" spans="1:9" s="34" customFormat="1" ht="16" x14ac:dyDescent="0.2">
      <c r="A13" s="27">
        <v>1969</v>
      </c>
      <c r="B13" s="27">
        <v>1974</v>
      </c>
      <c r="C13" s="28" t="s">
        <v>2165</v>
      </c>
      <c r="D13" s="29">
        <v>1774</v>
      </c>
      <c r="E13" s="29" t="s">
        <v>2166</v>
      </c>
      <c r="F13" s="29" t="s">
        <v>2167</v>
      </c>
      <c r="G13" s="29">
        <v>392900000</v>
      </c>
      <c r="H13" s="29">
        <v>0.39290000000000003</v>
      </c>
      <c r="I13" s="33">
        <f t="shared" si="2"/>
        <v>8.0839064261555807E-2</v>
      </c>
    </row>
    <row r="14" spans="1:9" s="4" customFormat="1" ht="16" x14ac:dyDescent="0.2">
      <c r="A14" s="12">
        <v>1983</v>
      </c>
      <c r="B14" s="12">
        <v>2018</v>
      </c>
      <c r="C14" s="2" t="s">
        <v>2168</v>
      </c>
      <c r="D14" s="1">
        <f>35*365</f>
        <v>12775</v>
      </c>
      <c r="E14" s="1" t="s">
        <v>2169</v>
      </c>
      <c r="F14" s="1" t="s">
        <v>2170</v>
      </c>
      <c r="G14" s="1">
        <v>4000000000</v>
      </c>
      <c r="H14" s="1">
        <f t="shared" si="1"/>
        <v>4</v>
      </c>
      <c r="I14" s="25">
        <f t="shared" si="2"/>
        <v>0.11428571428571428</v>
      </c>
    </row>
    <row r="15" spans="1:9" s="35" customFormat="1" ht="16" x14ac:dyDescent="0.2">
      <c r="A15" s="27">
        <v>2018</v>
      </c>
      <c r="B15" s="27">
        <v>2018</v>
      </c>
      <c r="C15" s="28" t="s">
        <v>2171</v>
      </c>
      <c r="D15" s="29">
        <v>124</v>
      </c>
      <c r="E15" s="29" t="s">
        <v>2172</v>
      </c>
      <c r="F15" s="29" t="s">
        <v>2173</v>
      </c>
      <c r="G15" s="29">
        <v>1500000000</v>
      </c>
      <c r="H15" s="29">
        <f t="shared" si="1"/>
        <v>1.5</v>
      </c>
      <c r="I15" s="33">
        <f t="shared" si="2"/>
        <v>4.415322580645161</v>
      </c>
    </row>
    <row r="16" spans="1:9" s="35" customFormat="1" ht="16" x14ac:dyDescent="0.2">
      <c r="A16" s="27">
        <v>2020</v>
      </c>
      <c r="B16" s="27">
        <v>2021</v>
      </c>
      <c r="C16" s="28" t="s">
        <v>2174</v>
      </c>
      <c r="D16" s="29">
        <v>154</v>
      </c>
      <c r="E16" s="29" t="s">
        <v>64</v>
      </c>
      <c r="F16" s="29" t="s">
        <v>2175</v>
      </c>
      <c r="G16" s="29">
        <v>41000000</v>
      </c>
      <c r="H16" s="29">
        <f t="shared" si="1"/>
        <v>4.1000000000000002E-2</v>
      </c>
      <c r="I16" s="33">
        <f t="shared" si="2"/>
        <v>9.7175324675324679E-2</v>
      </c>
    </row>
    <row r="17" spans="1:9" ht="16" x14ac:dyDescent="0.2">
      <c r="A17" s="12">
        <v>2021</v>
      </c>
      <c r="B17" s="12">
        <v>2022</v>
      </c>
      <c r="C17" s="2" t="s">
        <v>2176</v>
      </c>
      <c r="D17" s="1">
        <v>429</v>
      </c>
      <c r="E17" s="1" t="s">
        <v>64</v>
      </c>
      <c r="F17" s="1" t="s">
        <v>2175</v>
      </c>
      <c r="G17" s="1">
        <v>110800000</v>
      </c>
      <c r="H17" s="1">
        <f t="shared" si="1"/>
        <v>0.1108</v>
      </c>
      <c r="I17" s="25">
        <f t="shared" si="2"/>
        <v>9.4270396270396267E-2</v>
      </c>
    </row>
    <row r="18" spans="1:9" ht="16" x14ac:dyDescent="0.2">
      <c r="A18" s="12">
        <v>2023</v>
      </c>
      <c r="B18" s="12">
        <v>2023</v>
      </c>
      <c r="C18" s="2" t="s">
        <v>2177</v>
      </c>
      <c r="D18" s="1">
        <v>61</v>
      </c>
      <c r="E18" s="1" t="s">
        <v>64</v>
      </c>
      <c r="F18" s="1" t="s">
        <v>2175</v>
      </c>
      <c r="G18" s="1">
        <v>16500000</v>
      </c>
      <c r="H18" s="1">
        <f t="shared" si="1"/>
        <v>1.6500000000000001E-2</v>
      </c>
      <c r="I18" s="25">
        <f t="shared" si="2"/>
        <v>9.8729508196721313E-2</v>
      </c>
    </row>
    <row r="19" spans="1:9" ht="16" x14ac:dyDescent="0.2">
      <c r="A19" s="4">
        <v>2023</v>
      </c>
      <c r="B19" s="12">
        <v>2023</v>
      </c>
      <c r="C19" s="2" t="s">
        <v>2178</v>
      </c>
      <c r="D19" s="1">
        <v>12</v>
      </c>
      <c r="E19" s="1" t="s">
        <v>64</v>
      </c>
      <c r="F19" s="1" t="s">
        <v>2175</v>
      </c>
      <c r="G19" s="1">
        <v>15900000</v>
      </c>
      <c r="H19" s="1">
        <f t="shared" si="1"/>
        <v>1.5900000000000001E-2</v>
      </c>
      <c r="I19" s="25">
        <f t="shared" si="2"/>
        <v>0.48362500000000003</v>
      </c>
    </row>
    <row r="20" spans="1:9" s="35" customFormat="1" ht="16" x14ac:dyDescent="0.2">
      <c r="A20" s="34">
        <v>2023</v>
      </c>
      <c r="B20" s="27">
        <v>2023</v>
      </c>
      <c r="C20" s="28" t="s">
        <v>2179</v>
      </c>
      <c r="D20" s="29">
        <v>6</v>
      </c>
      <c r="E20" s="29" t="s">
        <v>64</v>
      </c>
      <c r="F20" s="29" t="s">
        <v>2175</v>
      </c>
      <c r="G20" s="29">
        <v>18600000</v>
      </c>
      <c r="H20" s="29">
        <f t="shared" si="1"/>
        <v>1.8599999999999998E-2</v>
      </c>
      <c r="I20" s="33">
        <f t="shared" si="2"/>
        <v>1.1315</v>
      </c>
    </row>
    <row r="21" spans="1:9" s="35" customFormat="1" ht="16" x14ac:dyDescent="0.2">
      <c r="A21" s="34">
        <v>2024</v>
      </c>
      <c r="B21" s="27">
        <v>2024</v>
      </c>
      <c r="C21" s="28" t="s">
        <v>2180</v>
      </c>
      <c r="D21" s="29">
        <f>8.5/24</f>
        <v>0.35416666666666669</v>
      </c>
      <c r="E21" s="29" t="s">
        <v>2157</v>
      </c>
      <c r="F21" s="29" t="s">
        <v>2181</v>
      </c>
      <c r="G21" s="29">
        <v>100000</v>
      </c>
      <c r="H21" s="29">
        <f t="shared" si="1"/>
        <v>1E-4</v>
      </c>
      <c r="I21" s="33">
        <f t="shared" si="2"/>
        <v>0.10305882352941177</v>
      </c>
    </row>
    <row r="22" spans="1:9" s="35" customFormat="1" ht="16" x14ac:dyDescent="0.2">
      <c r="A22" s="34">
        <v>2024</v>
      </c>
      <c r="B22" s="27">
        <v>2024</v>
      </c>
      <c r="C22" s="28" t="s">
        <v>2182</v>
      </c>
      <c r="D22" s="29">
        <v>4</v>
      </c>
      <c r="E22" s="29" t="s">
        <v>64</v>
      </c>
      <c r="F22" s="29" t="s">
        <v>2175</v>
      </c>
      <c r="G22" s="29">
        <f>9300000+4700000+3000000</f>
        <v>17000000</v>
      </c>
      <c r="H22" s="29">
        <f t="shared" si="1"/>
        <v>1.7000000000000001E-2</v>
      </c>
      <c r="I22" s="33">
        <f t="shared" si="2"/>
        <v>1.55125</v>
      </c>
    </row>
    <row r="23" spans="1:9" x14ac:dyDescent="0.2">
      <c r="I23"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FI_data</vt:lpstr>
      <vt:lpstr>Compilation</vt:lpstr>
      <vt:lpstr>Magma_flux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Charlotte Devitre</cp:lastModifiedBy>
  <dcterms:created xsi:type="dcterms:W3CDTF">2026-05-08T21:59:47Z</dcterms:created>
  <dcterms:modified xsi:type="dcterms:W3CDTF">2026-05-13T09:19:26Z</dcterms:modified>
</cp:coreProperties>
</file>