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P:\WORK-GENERAL\POSTDOC-UCB\BERKELEY-VIBE\Documents\Projects\PrePostCaldera_Kil2025\Github_repo\Data_processing_notebooks\Data_processing_KS20-527\Helper files\"/>
    </mc:Choice>
  </mc:AlternateContent>
  <xr:revisionPtr revIDLastSave="0" documentId="13_ncr:1_{7C9F7AF9-CCFD-42C3-912A-079232B6FE0A}" xr6:coauthVersionLast="47" xr6:coauthVersionMax="47" xr10:uidLastSave="{00000000-0000-0000-0000-000000000000}"/>
  <bookViews>
    <workbookView xWindow="51555" yWindow="1365" windowWidth="24810" windowHeight="17820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2" l="1"/>
  <c r="Q50" i="2"/>
  <c r="Q51" i="2"/>
  <c r="Q52" i="2"/>
  <c r="Q53" i="2"/>
  <c r="Q54" i="2"/>
  <c r="Q55" i="2"/>
  <c r="Q56" i="2"/>
  <c r="Q57" i="2"/>
  <c r="Q58" i="2"/>
  <c r="Q48" i="2"/>
  <c r="Q44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11" i="2"/>
</calcChain>
</file>

<file path=xl/sharedStrings.xml><?xml version="1.0" encoding="utf-8"?>
<sst xmlns="http://schemas.openxmlformats.org/spreadsheetml/2006/main" count="843" uniqueCount="224">
  <si>
    <t>filename</t>
  </si>
  <si>
    <t>date_object</t>
  </si>
  <si>
    <t>FG04-A1-4-100X-start_r4</t>
  </si>
  <si>
    <t>FG04-A1-4-100X-start_r5</t>
  </si>
  <si>
    <t>FG04-A1-4-100X-start_r6</t>
  </si>
  <si>
    <t>FG04-A1-4-50X-end_r7</t>
  </si>
  <si>
    <t>FG04-A1-4-50X-end_r8</t>
  </si>
  <si>
    <t>FG04-A1-4-50X-end_r9</t>
  </si>
  <si>
    <t>FG04-A1-4-50X-start_r1</t>
  </si>
  <si>
    <t>FG04-A1-4-50X-start_r2</t>
  </si>
  <si>
    <t>FG04-A1-4-50X-start_r3</t>
  </si>
  <si>
    <t>K20_c001_a1_FIA</t>
  </si>
  <si>
    <t>K20_c002_a1_FIA</t>
  </si>
  <si>
    <t>K20_c002_a1_FIB</t>
  </si>
  <si>
    <t>K20_c003_a1_FIA_r2</t>
  </si>
  <si>
    <t>K20_c003_a1_FIA_r3</t>
  </si>
  <si>
    <t>K20_c004_a1_FIA</t>
  </si>
  <si>
    <t>K20_c004_a2_FIB</t>
  </si>
  <si>
    <t>K20_c004_a3_FIC</t>
  </si>
  <si>
    <t>K20_c004_a3_FID</t>
  </si>
  <si>
    <t>K20_c004_a3_FIE</t>
  </si>
  <si>
    <t>K20_c005_a1_FIA</t>
  </si>
  <si>
    <t>K20_c005_a2_FIB</t>
  </si>
  <si>
    <t>K20_c005_a3_FIC</t>
  </si>
  <si>
    <t>K20_c006_a1_FIA</t>
  </si>
  <si>
    <t>K20_c007_a1_FIA</t>
  </si>
  <si>
    <t>K20_c007_a2_FIB</t>
  </si>
  <si>
    <t>K20_c008_a1_FIA</t>
  </si>
  <si>
    <t>K20_c008_a2_FIB</t>
  </si>
  <si>
    <t>K20_c009_a1_FIA</t>
  </si>
  <si>
    <t>K20_c009_a2_FIB</t>
  </si>
  <si>
    <t>K20_c010_a1_FIA</t>
  </si>
  <si>
    <t>K20_c010_a2_FIB</t>
  </si>
  <si>
    <t>K20_c011_a1_FIA</t>
  </si>
  <si>
    <t>K20_c014_a1_FIA</t>
  </si>
  <si>
    <t>K20_c015_a1_FIA</t>
  </si>
  <si>
    <t>K20_c018_a2_FIB</t>
  </si>
  <si>
    <t>K20_c019_a1_FIA</t>
  </si>
  <si>
    <t>FG04-A1-4-end_r4</t>
  </si>
  <si>
    <t>FG04-A1-4-end_r5</t>
  </si>
  <si>
    <t>FG04-A1-4-end_r6</t>
  </si>
  <si>
    <t>FG04-A1-4-start_r1</t>
  </si>
  <si>
    <t>FG04-A1-4-start_r2</t>
  </si>
  <si>
    <t>FG04-A1-4-start_r3</t>
  </si>
  <si>
    <t>K20_c021_a1_FIA</t>
  </si>
  <si>
    <t>K20_c024_a1_FIA_r1</t>
  </si>
  <si>
    <t>K20_c024_a1_FIA_r2</t>
  </si>
  <si>
    <t>K20_c024_a1_FIA_r3</t>
  </si>
  <si>
    <t>K20_c025_a1_FIA_r1</t>
  </si>
  <si>
    <t>K20_c025_a1_FIA_r2</t>
  </si>
  <si>
    <t>K20_c025_a1_FIA_r3</t>
  </si>
  <si>
    <t>K20_c026_a1_FIA_r1</t>
  </si>
  <si>
    <t>K20_c026_a1_FIA_r2</t>
  </si>
  <si>
    <t>K20_c026_a1_FIA_r3</t>
  </si>
  <si>
    <t>K20_c026_a2_FIB_r1</t>
  </si>
  <si>
    <t>K20_c026_a2_FIB_r2</t>
  </si>
  <si>
    <t>K20_c026_a2_FIB_r3</t>
  </si>
  <si>
    <t>K20_c027_a1_FIA_r1</t>
  </si>
  <si>
    <t>K20_c028_a1_FIA</t>
  </si>
  <si>
    <t>K20</t>
  </si>
  <si>
    <t>c001</t>
  </si>
  <si>
    <t>a1</t>
  </si>
  <si>
    <t>FIA</t>
  </si>
  <si>
    <t>c002</t>
  </si>
  <si>
    <t>FIB</t>
  </si>
  <si>
    <t>c003</t>
  </si>
  <si>
    <t>c004</t>
  </si>
  <si>
    <t>a2</t>
  </si>
  <si>
    <t>a3</t>
  </si>
  <si>
    <t>FIC</t>
  </si>
  <si>
    <t>FID</t>
  </si>
  <si>
    <t>FIE</t>
  </si>
  <si>
    <t>c005</t>
  </si>
  <si>
    <t>c006</t>
  </si>
  <si>
    <t>c007</t>
  </si>
  <si>
    <t>c008</t>
  </si>
  <si>
    <t>c009</t>
  </si>
  <si>
    <t>c010</t>
  </si>
  <si>
    <t>c011</t>
  </si>
  <si>
    <t>c014</t>
  </si>
  <si>
    <t>c015</t>
  </si>
  <si>
    <t>c018</t>
  </si>
  <si>
    <t>c019</t>
  </si>
  <si>
    <t>c021</t>
  </si>
  <si>
    <t>c024</t>
  </si>
  <si>
    <t>c025</t>
  </si>
  <si>
    <t>c026</t>
  </si>
  <si>
    <t>c027</t>
  </si>
  <si>
    <t>c028</t>
  </si>
  <si>
    <t>K20_c003_a1_FIA</t>
  </si>
  <si>
    <t>K20_c024_a1_FIA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</si>
  <si>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</si>
  <si>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</si>
  <si>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</si>
  <si>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</si>
  <si>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</si>
  <si>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</si>
  <si>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</si>
  <si>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</si>
  <si>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</si>
  <si>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FG04</t>
  </si>
  <si>
    <t>A1</t>
  </si>
  <si>
    <t>FG04_A1</t>
  </si>
  <si>
    <t>KS20-527</t>
  </si>
  <si>
    <t>Std</t>
  </si>
  <si>
    <t>FG04-A1-4-100X-start-45667</t>
  </si>
  <si>
    <t>FG04-A1-4-50X-end-45667</t>
  </si>
  <si>
    <t>FG04-A1-4-50X-start-45667</t>
  </si>
  <si>
    <t>FG04-A1-4-end-45670</t>
  </si>
  <si>
    <t>FG04-A1-4-start-45670</t>
  </si>
  <si>
    <t>K20_c025_a1_FIA</t>
  </si>
  <si>
    <t>K20_c026_a1_FIA</t>
  </si>
  <si>
    <t>K20_c026_a2_FIB</t>
  </si>
  <si>
    <t>K20_c027_a1_FIA</t>
  </si>
  <si>
    <t>K20_c001</t>
  </si>
  <si>
    <t>K20_c001_a1</t>
  </si>
  <si>
    <t>K20_c002</t>
  </si>
  <si>
    <t>K20_c002_a1</t>
  </si>
  <si>
    <t>K20_c003</t>
  </si>
  <si>
    <t>K20_c003_a1</t>
  </si>
  <si>
    <t>K20_c004</t>
  </si>
  <si>
    <t>K20_c004_a1</t>
  </si>
  <si>
    <t>K20_c004_a2</t>
  </si>
  <si>
    <t>K20_c004_a3</t>
  </si>
  <si>
    <t>K20_c005</t>
  </si>
  <si>
    <t>K20_c005_a1</t>
  </si>
  <si>
    <t>K20_c005_a2</t>
  </si>
  <si>
    <t>K20_c005_a3</t>
  </si>
  <si>
    <t>K20_c006</t>
  </si>
  <si>
    <t>K20_c006_a1</t>
  </si>
  <si>
    <t>K20_c007</t>
  </si>
  <si>
    <t>K20_c007_a1</t>
  </si>
  <si>
    <t>K20_c007_a2</t>
  </si>
  <si>
    <t>K20_c008</t>
  </si>
  <si>
    <t>K20_c008_a1</t>
  </si>
  <si>
    <t>K20_c008_a2</t>
  </si>
  <si>
    <t>K20_c009</t>
  </si>
  <si>
    <t>K20_c009_a1</t>
  </si>
  <si>
    <t>K20_c009_a2</t>
  </si>
  <si>
    <t>K20_c010</t>
  </si>
  <si>
    <t>K20_c010_a1</t>
  </si>
  <si>
    <t>K20_c010_a2</t>
  </si>
  <si>
    <t>K20_c011</t>
  </si>
  <si>
    <t>K20_c011_a1</t>
  </si>
  <si>
    <t>K20_c014</t>
  </si>
  <si>
    <t>K20_c014_a1</t>
  </si>
  <si>
    <t>K20_c015</t>
  </si>
  <si>
    <t>K20_c015_a1</t>
  </si>
  <si>
    <t>K20_c018</t>
  </si>
  <si>
    <t>K20_c018_a2</t>
  </si>
  <si>
    <t>K20_c019</t>
  </si>
  <si>
    <t>K20_c019_a1</t>
  </si>
  <si>
    <t>K20_c021</t>
  </si>
  <si>
    <t>K20_c021_a1</t>
  </si>
  <si>
    <t>K20_c024</t>
  </si>
  <si>
    <t>K20_c024_a1</t>
  </si>
  <si>
    <t>K20_c025</t>
  </si>
  <si>
    <t>K20_c025_a1</t>
  </si>
  <si>
    <t>K20_c026</t>
  </si>
  <si>
    <t>K20_c026_a1</t>
  </si>
  <si>
    <t>K20_c026_a2</t>
  </si>
  <si>
    <t>K20_c027</t>
  </si>
  <si>
    <t>K20_c027_a1</t>
  </si>
  <si>
    <t>K20_c028</t>
  </si>
  <si>
    <t>K20_c028_a1</t>
  </si>
  <si>
    <t>sec since midnight</t>
  </si>
  <si>
    <t>Name_on_SEM</t>
  </si>
  <si>
    <t>Notes regarding SEM matching</t>
  </si>
  <si>
    <t>EBSD_simple_name</t>
  </si>
  <si>
    <t>EBSD_grainID</t>
  </si>
  <si>
    <t>EBSDname+grainID</t>
  </si>
  <si>
    <t>EBSD_comment</t>
  </si>
  <si>
    <t>\K20_c001</t>
  </si>
  <si>
    <t>\K20_c002</t>
  </si>
  <si>
    <t>\K20_c003</t>
  </si>
  <si>
    <t>\K20_c004</t>
  </si>
  <si>
    <t>\K20_c028</t>
  </si>
  <si>
    <t>\K20_c027</t>
  </si>
  <si>
    <t>\K20_c026</t>
  </si>
  <si>
    <t>\K20_c025</t>
  </si>
  <si>
    <t>\K20_c024</t>
  </si>
  <si>
    <t>\K20_c021</t>
  </si>
  <si>
    <t>\K20_c019</t>
  </si>
  <si>
    <t>\K20_c018</t>
  </si>
  <si>
    <t>\K20_c015</t>
  </si>
  <si>
    <t>\K20_c014</t>
  </si>
  <si>
    <t>\K20_c011</t>
  </si>
  <si>
    <t>\K20_c010</t>
  </si>
  <si>
    <t>\K20_c009</t>
  </si>
  <si>
    <t>\K20_c008</t>
  </si>
  <si>
    <t>\K20_c007</t>
  </si>
  <si>
    <t>\K20_c006</t>
  </si>
  <si>
    <t>\K20_c005</t>
  </si>
  <si>
    <t>different grain?</t>
  </si>
  <si>
    <t>under epoxy (not the right subgrain in EBSD)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</si>
  <si>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</si>
  <si>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</si>
  <si>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</si>
  <si>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</si>
  <si>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</si>
  <si>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</si>
  <si>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</si>
  <si>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</si>
  <si>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</si>
  <si>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</si>
  <si>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</si>
  <si>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</si>
  <si>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</si>
  <si>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</si>
  <si>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</si>
  <si>
    <t>Ellipsoid</t>
  </si>
  <si>
    <t>Capsule (short)</t>
  </si>
  <si>
    <t>P</t>
  </si>
  <si>
    <t>isolated</t>
  </si>
  <si>
    <t>cluster</t>
  </si>
  <si>
    <t>plane</t>
  </si>
  <si>
    <t>S</t>
  </si>
  <si>
    <t>yes</t>
  </si>
  <si>
    <t>Circular</t>
  </si>
  <si>
    <t>Negative crystal</t>
  </si>
  <si>
    <t>No image</t>
  </si>
  <si>
    <t>Capsule (long)</t>
  </si>
  <si>
    <t>Hourglass</t>
  </si>
  <si>
    <t>Weird elongated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</si>
</sst>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H58"/>
  <sheetViews>
    <sheetView tabSelected="1" topLeftCell="L1" workbookViewId="0">
      <pane xSplit="1" ySplit="1" topLeftCell="T2" activePane="bottomRight" state="frozen"/>
      <selection activeCell="L1" sqref="L1"/>
      <selection pane="topRight" activeCell="M1" sqref="M1"/>
      <selection pane="bottomLeft" activeCell="L2" sqref="L2"/>
      <selection pane="bottomRight" activeCell="AB19" sqref="AB19"/>
    </sheetView>
  </sheetViews>
  <sheetFormatPr defaultColWidth="8.77734375" defaultRowHeight="14.4" x14ac:dyDescent="0.3"/>
  <cols>
    <col min="1" max="1" width="26.77734375" customWidth="1"/>
    <col min="2" max="2" width="16.109375" customWidth="1"/>
    <col min="4" max="4" width="26.77734375" customWidth="1"/>
    <col min="10" max="10" width="14" customWidth="1"/>
    <col min="11" max="11" width="19.44140625" customWidth="1"/>
    <col min="12" max="12" width="25.109375" customWidth="1"/>
    <col min="13" max="18" width="17.6640625" customWidth="1"/>
    <col min="30" max="30" width="8.77734375" style="5"/>
    <col min="33" max="33" width="19.77734375" customWidth="1"/>
    <col min="34" max="34" width="58.33203125" customWidth="1"/>
  </cols>
  <sheetData>
    <row r="1" spans="1:34" x14ac:dyDescent="0.3">
      <c r="A1" t="s">
        <v>0</v>
      </c>
      <c r="B1" t="s">
        <v>1</v>
      </c>
      <c r="C1" t="s">
        <v>165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166</v>
      </c>
      <c r="N1" t="s">
        <v>167</v>
      </c>
      <c r="O1" t="s">
        <v>168</v>
      </c>
      <c r="P1" s="3" t="s">
        <v>169</v>
      </c>
      <c r="Q1" s="4" t="s">
        <v>170</v>
      </c>
      <c r="R1" t="s">
        <v>171</v>
      </c>
      <c r="S1" t="s">
        <v>195</v>
      </c>
      <c r="T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s="5" t="s">
        <v>205</v>
      </c>
      <c r="AE1" t="s">
        <v>206</v>
      </c>
      <c r="AF1" t="s">
        <v>207</v>
      </c>
      <c r="AG1" t="s">
        <v>208</v>
      </c>
      <c r="AH1" t="s">
        <v>209</v>
      </c>
    </row>
    <row r="2" spans="1:34" x14ac:dyDescent="0.3">
      <c r="A2" t="s">
        <v>2</v>
      </c>
      <c r="B2" s="1">
        <v>45667</v>
      </c>
      <c r="C2">
        <v>43053</v>
      </c>
      <c r="D2" t="s">
        <v>104</v>
      </c>
      <c r="F2" t="s">
        <v>100</v>
      </c>
      <c r="G2" t="s">
        <v>101</v>
      </c>
      <c r="I2">
        <v>4</v>
      </c>
      <c r="J2" t="s">
        <v>102</v>
      </c>
      <c r="K2" t="s">
        <v>102</v>
      </c>
      <c r="L2" t="s">
        <v>105</v>
      </c>
    </row>
    <row r="3" spans="1:34" x14ac:dyDescent="0.3">
      <c r="A3" t="s">
        <v>3</v>
      </c>
      <c r="B3" s="1">
        <v>45667</v>
      </c>
      <c r="C3">
        <v>43480</v>
      </c>
      <c r="D3" t="s">
        <v>104</v>
      </c>
      <c r="F3" t="s">
        <v>100</v>
      </c>
      <c r="G3" t="s">
        <v>101</v>
      </c>
      <c r="I3">
        <v>4</v>
      </c>
      <c r="J3" t="s">
        <v>102</v>
      </c>
      <c r="K3" t="s">
        <v>102</v>
      </c>
      <c r="L3" t="s">
        <v>105</v>
      </c>
    </row>
    <row r="4" spans="1:34" x14ac:dyDescent="0.3">
      <c r="A4" t="s">
        <v>4</v>
      </c>
      <c r="B4" s="1">
        <v>45667</v>
      </c>
      <c r="C4">
        <v>43798</v>
      </c>
      <c r="D4" t="s">
        <v>104</v>
      </c>
      <c r="F4" t="s">
        <v>100</v>
      </c>
      <c r="G4" t="s">
        <v>101</v>
      </c>
      <c r="I4">
        <v>4</v>
      </c>
      <c r="J4" t="s">
        <v>102</v>
      </c>
      <c r="K4" t="s">
        <v>102</v>
      </c>
      <c r="L4" t="s">
        <v>105</v>
      </c>
    </row>
    <row r="5" spans="1:34" x14ac:dyDescent="0.3">
      <c r="A5" t="s">
        <v>5</v>
      </c>
      <c r="B5" s="1">
        <v>45667</v>
      </c>
      <c r="C5">
        <v>66248</v>
      </c>
      <c r="D5" t="s">
        <v>104</v>
      </c>
      <c r="F5" t="s">
        <v>100</v>
      </c>
      <c r="G5" t="s">
        <v>101</v>
      </c>
      <c r="I5">
        <v>4</v>
      </c>
      <c r="J5" t="s">
        <v>102</v>
      </c>
      <c r="K5" t="s">
        <v>102</v>
      </c>
      <c r="L5" t="s">
        <v>106</v>
      </c>
    </row>
    <row r="6" spans="1:34" x14ac:dyDescent="0.3">
      <c r="A6" t="s">
        <v>6</v>
      </c>
      <c r="B6" s="1">
        <v>45667</v>
      </c>
      <c r="C6">
        <v>66499</v>
      </c>
      <c r="D6" t="s">
        <v>104</v>
      </c>
      <c r="F6" t="s">
        <v>100</v>
      </c>
      <c r="G6" t="s">
        <v>101</v>
      </c>
      <c r="I6">
        <v>4</v>
      </c>
      <c r="J6" t="s">
        <v>102</v>
      </c>
      <c r="K6" t="s">
        <v>102</v>
      </c>
      <c r="L6" t="s">
        <v>106</v>
      </c>
    </row>
    <row r="7" spans="1:34" x14ac:dyDescent="0.3">
      <c r="A7" t="s">
        <v>7</v>
      </c>
      <c r="B7" s="1">
        <v>45667</v>
      </c>
      <c r="C7">
        <v>66791</v>
      </c>
      <c r="D7" t="s">
        <v>104</v>
      </c>
      <c r="F7" t="s">
        <v>100</v>
      </c>
      <c r="G7" t="s">
        <v>101</v>
      </c>
      <c r="I7">
        <v>4</v>
      </c>
      <c r="J7" t="s">
        <v>102</v>
      </c>
      <c r="K7" t="s">
        <v>102</v>
      </c>
      <c r="L7" t="s">
        <v>106</v>
      </c>
    </row>
    <row r="8" spans="1:34" x14ac:dyDescent="0.3">
      <c r="A8" t="s">
        <v>8</v>
      </c>
      <c r="B8" s="1">
        <v>45667</v>
      </c>
      <c r="C8">
        <v>41701</v>
      </c>
      <c r="D8" t="s">
        <v>104</v>
      </c>
      <c r="F8" t="s">
        <v>100</v>
      </c>
      <c r="G8" t="s">
        <v>101</v>
      </c>
      <c r="I8">
        <v>4</v>
      </c>
      <c r="J8" t="s">
        <v>102</v>
      </c>
      <c r="K8" t="s">
        <v>102</v>
      </c>
      <c r="L8" t="s">
        <v>107</v>
      </c>
    </row>
    <row r="9" spans="1:34" x14ac:dyDescent="0.3">
      <c r="A9" t="s">
        <v>9</v>
      </c>
      <c r="B9" s="1">
        <v>45667</v>
      </c>
      <c r="C9">
        <v>41983</v>
      </c>
      <c r="D9" t="s">
        <v>104</v>
      </c>
      <c r="F9" t="s">
        <v>100</v>
      </c>
      <c r="G9" t="s">
        <v>101</v>
      </c>
      <c r="I9">
        <v>4</v>
      </c>
      <c r="J9" t="s">
        <v>102</v>
      </c>
      <c r="K9" t="s">
        <v>102</v>
      </c>
      <c r="L9" t="s">
        <v>107</v>
      </c>
    </row>
    <row r="10" spans="1:34" x14ac:dyDescent="0.3">
      <c r="A10" t="s">
        <v>10</v>
      </c>
      <c r="B10" s="1">
        <v>45667</v>
      </c>
      <c r="C10">
        <v>42331</v>
      </c>
      <c r="D10" t="s">
        <v>104</v>
      </c>
      <c r="F10" t="s">
        <v>100</v>
      </c>
      <c r="G10" t="s">
        <v>101</v>
      </c>
      <c r="I10">
        <v>4</v>
      </c>
      <c r="J10" t="s">
        <v>102</v>
      </c>
      <c r="K10" t="s">
        <v>102</v>
      </c>
      <c r="L10" t="s">
        <v>107</v>
      </c>
    </row>
    <row r="11" spans="1:34" x14ac:dyDescent="0.3">
      <c r="A11" t="s">
        <v>11</v>
      </c>
      <c r="B11" s="1">
        <v>45667</v>
      </c>
      <c r="C11">
        <v>45781</v>
      </c>
      <c r="D11" s="1" t="s">
        <v>93</v>
      </c>
      <c r="E11" t="s">
        <v>103</v>
      </c>
      <c r="F11" t="s">
        <v>59</v>
      </c>
      <c r="G11" t="s">
        <v>60</v>
      </c>
      <c r="H11" t="s">
        <v>61</v>
      </c>
      <c r="I11" t="s">
        <v>62</v>
      </c>
      <c r="J11" t="s">
        <v>114</v>
      </c>
      <c r="K11" t="s">
        <v>115</v>
      </c>
      <c r="L11" t="s">
        <v>11</v>
      </c>
      <c r="M11" t="s">
        <v>115</v>
      </c>
      <c r="O11" t="s">
        <v>172</v>
      </c>
      <c r="P11">
        <v>257</v>
      </c>
      <c r="Q11" t="str">
        <f>_xlfn.CONCAT(O11,"_",P11)</f>
        <v>\K20_c001_257</v>
      </c>
      <c r="S11" t="s">
        <v>212</v>
      </c>
      <c r="T11" t="s">
        <v>213</v>
      </c>
      <c r="U11">
        <v>1</v>
      </c>
      <c r="V11">
        <v>39515</v>
      </c>
      <c r="W11">
        <v>232.26499999999999</v>
      </c>
      <c r="X11">
        <v>216.61500000000001</v>
      </c>
      <c r="Y11">
        <v>120.03400000000001</v>
      </c>
      <c r="Z11">
        <v>1920</v>
      </c>
      <c r="AA11">
        <v>1200</v>
      </c>
      <c r="AB11">
        <v>50</v>
      </c>
      <c r="AG11" t="s">
        <v>210</v>
      </c>
    </row>
    <row r="12" spans="1:34" x14ac:dyDescent="0.3">
      <c r="A12" t="s">
        <v>12</v>
      </c>
      <c r="B12" s="1">
        <v>45667</v>
      </c>
      <c r="C12">
        <v>47868</v>
      </c>
      <c r="D12" s="1" t="s">
        <v>93</v>
      </c>
      <c r="E12" t="s">
        <v>103</v>
      </c>
      <c r="F12" t="s">
        <v>59</v>
      </c>
      <c r="G12" t="s">
        <v>63</v>
      </c>
      <c r="H12" t="s">
        <v>61</v>
      </c>
      <c r="I12" t="s">
        <v>62</v>
      </c>
      <c r="J12" t="s">
        <v>116</v>
      </c>
      <c r="K12" t="s">
        <v>117</v>
      </c>
      <c r="L12" t="s">
        <v>12</v>
      </c>
      <c r="M12" t="s">
        <v>117</v>
      </c>
      <c r="O12" t="s">
        <v>173</v>
      </c>
      <c r="P12">
        <v>129</v>
      </c>
      <c r="Q12" t="str">
        <f t="shared" ref="Q12:Q37" si="0">_xlfn.CONCAT(O12,"_",P12)</f>
        <v>\K20_c002_129</v>
      </c>
      <c r="S12" t="s">
        <v>212</v>
      </c>
      <c r="T12" t="s">
        <v>213</v>
      </c>
      <c r="U12">
        <v>2</v>
      </c>
      <c r="V12">
        <v>53623</v>
      </c>
      <c r="W12">
        <v>270.565</v>
      </c>
      <c r="X12">
        <v>252.34200000000001</v>
      </c>
      <c r="Y12">
        <v>153.74299999999999</v>
      </c>
      <c r="Z12">
        <v>1920</v>
      </c>
      <c r="AA12">
        <v>1200</v>
      </c>
      <c r="AB12">
        <v>50</v>
      </c>
      <c r="AG12" t="s">
        <v>211</v>
      </c>
    </row>
    <row r="13" spans="1:34" x14ac:dyDescent="0.3">
      <c r="A13" t="s">
        <v>13</v>
      </c>
      <c r="B13" s="1">
        <v>45667</v>
      </c>
      <c r="C13">
        <v>48162</v>
      </c>
      <c r="D13" s="1" t="s">
        <v>93</v>
      </c>
      <c r="E13" t="s">
        <v>103</v>
      </c>
      <c r="F13" t="s">
        <v>59</v>
      </c>
      <c r="G13" t="s">
        <v>63</v>
      </c>
      <c r="H13" t="s">
        <v>61</v>
      </c>
      <c r="I13" t="s">
        <v>64</v>
      </c>
      <c r="J13" t="s">
        <v>116</v>
      </c>
      <c r="K13" t="s">
        <v>117</v>
      </c>
      <c r="L13" t="s">
        <v>13</v>
      </c>
      <c r="M13" t="s">
        <v>117</v>
      </c>
      <c r="O13" t="s">
        <v>173</v>
      </c>
      <c r="P13">
        <v>129</v>
      </c>
      <c r="Q13" t="str">
        <f t="shared" si="0"/>
        <v>\K20_c002_129</v>
      </c>
      <c r="S13" t="s">
        <v>212</v>
      </c>
      <c r="T13" t="s">
        <v>213</v>
      </c>
      <c r="U13">
        <v>3</v>
      </c>
      <c r="V13">
        <v>16374</v>
      </c>
      <c r="W13">
        <v>152.91800000000001</v>
      </c>
      <c r="X13">
        <v>136.33500000000001</v>
      </c>
      <c r="Y13">
        <v>169.99100000000001</v>
      </c>
      <c r="Z13">
        <v>1920</v>
      </c>
      <c r="AA13">
        <v>1200</v>
      </c>
      <c r="AB13">
        <v>50</v>
      </c>
      <c r="AG13" t="s">
        <v>218</v>
      </c>
    </row>
    <row r="14" spans="1:34" x14ac:dyDescent="0.3">
      <c r="A14" t="s">
        <v>14</v>
      </c>
      <c r="B14" s="1">
        <v>45667</v>
      </c>
      <c r="C14">
        <v>49053</v>
      </c>
      <c r="D14" s="1" t="s">
        <v>93</v>
      </c>
      <c r="E14" t="s">
        <v>103</v>
      </c>
      <c r="F14" t="s">
        <v>59</v>
      </c>
      <c r="G14" t="s">
        <v>65</v>
      </c>
      <c r="H14" t="s">
        <v>61</v>
      </c>
      <c r="I14" t="s">
        <v>62</v>
      </c>
      <c r="J14" t="s">
        <v>118</v>
      </c>
      <c r="K14" t="s">
        <v>119</v>
      </c>
      <c r="L14" t="s">
        <v>89</v>
      </c>
      <c r="M14" t="s">
        <v>119</v>
      </c>
      <c r="O14" t="s">
        <v>174</v>
      </c>
      <c r="P14">
        <v>311</v>
      </c>
      <c r="Q14" t="str">
        <f t="shared" si="0"/>
        <v>\K20_c003_311</v>
      </c>
      <c r="S14" t="s">
        <v>212</v>
      </c>
      <c r="T14" t="s">
        <v>213</v>
      </c>
      <c r="U14">
        <v>1</v>
      </c>
      <c r="V14">
        <v>15331</v>
      </c>
      <c r="W14">
        <v>144.19300000000001</v>
      </c>
      <c r="X14">
        <v>135.374</v>
      </c>
      <c r="Y14">
        <v>97.293999999999997</v>
      </c>
      <c r="Z14">
        <v>1920</v>
      </c>
      <c r="AA14">
        <v>1200</v>
      </c>
      <c r="AB14">
        <v>50</v>
      </c>
      <c r="AG14" t="s">
        <v>218</v>
      </c>
    </row>
    <row r="15" spans="1:34" x14ac:dyDescent="0.3">
      <c r="A15" t="s">
        <v>15</v>
      </c>
      <c r="B15" s="1">
        <v>45667</v>
      </c>
      <c r="C15">
        <v>49316</v>
      </c>
      <c r="D15" s="1" t="s">
        <v>93</v>
      </c>
      <c r="E15" t="s">
        <v>103</v>
      </c>
      <c r="F15" t="s">
        <v>59</v>
      </c>
      <c r="G15" t="s">
        <v>65</v>
      </c>
      <c r="H15" t="s">
        <v>61</v>
      </c>
      <c r="I15" t="s">
        <v>62</v>
      </c>
      <c r="J15" t="s">
        <v>118</v>
      </c>
      <c r="K15" t="s">
        <v>119</v>
      </c>
      <c r="L15" t="s">
        <v>89</v>
      </c>
      <c r="M15" t="s">
        <v>119</v>
      </c>
      <c r="O15" t="s">
        <v>174</v>
      </c>
      <c r="P15">
        <v>311</v>
      </c>
      <c r="Q15" t="str">
        <f t="shared" si="0"/>
        <v>\K20_c003_311</v>
      </c>
      <c r="S15" t="s">
        <v>212</v>
      </c>
      <c r="T15" t="s">
        <v>213</v>
      </c>
      <c r="U15">
        <v>1</v>
      </c>
      <c r="V15">
        <v>15331</v>
      </c>
      <c r="W15">
        <v>144.19300000000001</v>
      </c>
      <c r="X15">
        <v>135.374</v>
      </c>
      <c r="Y15">
        <v>97.293999999999997</v>
      </c>
      <c r="Z15">
        <v>1920</v>
      </c>
      <c r="AA15">
        <v>1200</v>
      </c>
      <c r="AB15">
        <v>50</v>
      </c>
      <c r="AG15" t="s">
        <v>218</v>
      </c>
    </row>
    <row r="16" spans="1:34" x14ac:dyDescent="0.3">
      <c r="A16" t="s">
        <v>16</v>
      </c>
      <c r="B16" s="1">
        <v>45667</v>
      </c>
      <c r="C16">
        <v>50177</v>
      </c>
      <c r="D16" s="1" t="s">
        <v>93</v>
      </c>
      <c r="E16" t="s">
        <v>103</v>
      </c>
      <c r="F16" t="s">
        <v>59</v>
      </c>
      <c r="G16" t="s">
        <v>66</v>
      </c>
      <c r="H16" t="s">
        <v>61</v>
      </c>
      <c r="I16" t="s">
        <v>62</v>
      </c>
      <c r="J16" t="s">
        <v>120</v>
      </c>
      <c r="K16" t="s">
        <v>121</v>
      </c>
      <c r="L16" t="s">
        <v>16</v>
      </c>
      <c r="M16" t="s">
        <v>121</v>
      </c>
      <c r="O16" t="s">
        <v>175</v>
      </c>
      <c r="P16">
        <v>190</v>
      </c>
      <c r="Q16" t="str">
        <f t="shared" si="0"/>
        <v>\K20_c004_190</v>
      </c>
      <c r="S16" t="s">
        <v>212</v>
      </c>
      <c r="T16" t="s">
        <v>214</v>
      </c>
      <c r="U16">
        <v>2</v>
      </c>
      <c r="V16">
        <v>14891</v>
      </c>
      <c r="W16">
        <v>150.45099999999999</v>
      </c>
      <c r="X16">
        <v>126.01900000000001</v>
      </c>
      <c r="Y16">
        <v>31.202000000000002</v>
      </c>
      <c r="Z16">
        <v>1920</v>
      </c>
      <c r="AA16">
        <v>1200</v>
      </c>
      <c r="AB16">
        <v>50</v>
      </c>
      <c r="AG16" t="s">
        <v>211</v>
      </c>
    </row>
    <row r="17" spans="1:34" x14ac:dyDescent="0.3">
      <c r="A17" t="s">
        <v>17</v>
      </c>
      <c r="B17" s="1">
        <v>45667</v>
      </c>
      <c r="C17">
        <v>50549</v>
      </c>
      <c r="D17" s="1" t="s">
        <v>93</v>
      </c>
      <c r="E17" t="s">
        <v>103</v>
      </c>
      <c r="F17" t="s">
        <v>59</v>
      </c>
      <c r="G17" t="s">
        <v>66</v>
      </c>
      <c r="H17" t="s">
        <v>67</v>
      </c>
      <c r="I17" t="s">
        <v>64</v>
      </c>
      <c r="J17" t="s">
        <v>120</v>
      </c>
      <c r="K17" t="s">
        <v>122</v>
      </c>
      <c r="L17" t="s">
        <v>17</v>
      </c>
      <c r="M17" t="s">
        <v>122</v>
      </c>
      <c r="O17" t="s">
        <v>175</v>
      </c>
      <c r="P17">
        <v>190</v>
      </c>
      <c r="Q17" t="str">
        <f t="shared" si="0"/>
        <v>\K20_c004_190</v>
      </c>
      <c r="S17" t="s">
        <v>212</v>
      </c>
      <c r="T17" t="s">
        <v>214</v>
      </c>
      <c r="U17">
        <v>1</v>
      </c>
      <c r="V17">
        <v>12632</v>
      </c>
      <c r="W17">
        <v>138.61099999999999</v>
      </c>
      <c r="X17">
        <v>116.03400000000001</v>
      </c>
      <c r="Y17">
        <v>22.582999999999998</v>
      </c>
      <c r="Z17">
        <v>1920</v>
      </c>
      <c r="AA17">
        <v>1200</v>
      </c>
      <c r="AB17">
        <v>50</v>
      </c>
      <c r="AG17" t="s">
        <v>210</v>
      </c>
    </row>
    <row r="18" spans="1:34" x14ac:dyDescent="0.3">
      <c r="A18" t="s">
        <v>18</v>
      </c>
      <c r="B18" s="1">
        <v>45667</v>
      </c>
      <c r="C18">
        <v>50876</v>
      </c>
      <c r="D18" s="1" t="s">
        <v>93</v>
      </c>
      <c r="E18" t="s">
        <v>103</v>
      </c>
      <c r="F18" t="s">
        <v>59</v>
      </c>
      <c r="G18" t="s">
        <v>66</v>
      </c>
      <c r="H18" t="s">
        <v>68</v>
      </c>
      <c r="I18" t="s">
        <v>69</v>
      </c>
      <c r="J18" t="s">
        <v>120</v>
      </c>
      <c r="K18" t="s">
        <v>123</v>
      </c>
      <c r="L18" t="s">
        <v>18</v>
      </c>
      <c r="M18" t="s">
        <v>123</v>
      </c>
      <c r="O18" t="s">
        <v>175</v>
      </c>
      <c r="P18">
        <v>190</v>
      </c>
      <c r="Q18" t="str">
        <f t="shared" si="0"/>
        <v>\K20_c004_190</v>
      </c>
      <c r="S18" t="s">
        <v>212</v>
      </c>
      <c r="T18" t="s">
        <v>214</v>
      </c>
      <c r="U18">
        <v>2</v>
      </c>
      <c r="V18">
        <v>9730</v>
      </c>
      <c r="W18">
        <v>121.617</v>
      </c>
      <c r="X18">
        <v>101.866</v>
      </c>
      <c r="Y18">
        <v>55.39</v>
      </c>
      <c r="Z18">
        <v>1920</v>
      </c>
      <c r="AA18">
        <v>1200</v>
      </c>
      <c r="AB18">
        <v>50</v>
      </c>
      <c r="AG18" t="s">
        <v>210</v>
      </c>
    </row>
    <row r="19" spans="1:34" x14ac:dyDescent="0.3">
      <c r="A19" t="s">
        <v>19</v>
      </c>
      <c r="B19" s="1">
        <v>45667</v>
      </c>
      <c r="C19">
        <v>51158</v>
      </c>
      <c r="D19" s="1" t="s">
        <v>93</v>
      </c>
      <c r="E19" t="s">
        <v>103</v>
      </c>
      <c r="F19" t="s">
        <v>59</v>
      </c>
      <c r="G19" t="s">
        <v>66</v>
      </c>
      <c r="H19" t="s">
        <v>68</v>
      </c>
      <c r="I19" t="s">
        <v>70</v>
      </c>
      <c r="J19" t="s">
        <v>120</v>
      </c>
      <c r="K19" t="s">
        <v>123</v>
      </c>
      <c r="L19" t="s">
        <v>19</v>
      </c>
      <c r="M19" t="s">
        <v>123</v>
      </c>
      <c r="O19" t="s">
        <v>175</v>
      </c>
      <c r="P19">
        <v>190</v>
      </c>
      <c r="Q19" t="str">
        <f t="shared" si="0"/>
        <v>\K20_c004_190</v>
      </c>
      <c r="S19" t="s">
        <v>212</v>
      </c>
      <c r="T19" t="s">
        <v>214</v>
      </c>
      <c r="U19">
        <v>3</v>
      </c>
      <c r="V19">
        <v>6667</v>
      </c>
      <c r="W19">
        <v>100.66</v>
      </c>
      <c r="X19">
        <v>84.33</v>
      </c>
      <c r="Y19">
        <v>57.216999999999999</v>
      </c>
      <c r="Z19">
        <v>1920</v>
      </c>
      <c r="AA19">
        <v>1200</v>
      </c>
      <c r="AB19">
        <v>50</v>
      </c>
      <c r="AG19" t="s">
        <v>219</v>
      </c>
    </row>
    <row r="20" spans="1:34" x14ac:dyDescent="0.3">
      <c r="A20" t="s">
        <v>20</v>
      </c>
      <c r="B20" s="1">
        <v>45667</v>
      </c>
      <c r="C20">
        <v>51654</v>
      </c>
      <c r="D20" s="1" t="s">
        <v>93</v>
      </c>
      <c r="E20" t="s">
        <v>103</v>
      </c>
      <c r="F20" t="s">
        <v>59</v>
      </c>
      <c r="G20" t="s">
        <v>66</v>
      </c>
      <c r="H20" t="s">
        <v>68</v>
      </c>
      <c r="I20" t="s">
        <v>71</v>
      </c>
      <c r="J20" t="s">
        <v>120</v>
      </c>
      <c r="K20" t="s">
        <v>123</v>
      </c>
      <c r="L20" t="s">
        <v>20</v>
      </c>
      <c r="M20" t="s">
        <v>123</v>
      </c>
      <c r="O20" t="s">
        <v>175</v>
      </c>
      <c r="P20">
        <v>190</v>
      </c>
      <c r="Q20" t="str">
        <f t="shared" si="0"/>
        <v>\K20_c004_190</v>
      </c>
      <c r="S20" t="s">
        <v>212</v>
      </c>
      <c r="T20" t="s">
        <v>214</v>
      </c>
      <c r="AH20" t="s">
        <v>220</v>
      </c>
    </row>
    <row r="21" spans="1:34" x14ac:dyDescent="0.3">
      <c r="A21" t="s">
        <v>21</v>
      </c>
      <c r="B21" s="1">
        <v>45667</v>
      </c>
      <c r="C21">
        <v>52223</v>
      </c>
      <c r="D21" s="1" t="s">
        <v>93</v>
      </c>
      <c r="E21" t="s">
        <v>103</v>
      </c>
      <c r="F21" t="s">
        <v>59</v>
      </c>
      <c r="G21" t="s">
        <v>72</v>
      </c>
      <c r="H21" t="s">
        <v>61</v>
      </c>
      <c r="I21" t="s">
        <v>62</v>
      </c>
      <c r="J21" t="s">
        <v>124</v>
      </c>
      <c r="K21" t="s">
        <v>125</v>
      </c>
      <c r="L21" t="s">
        <v>21</v>
      </c>
      <c r="M21" t="s">
        <v>125</v>
      </c>
      <c r="O21" t="s">
        <v>192</v>
      </c>
      <c r="P21">
        <v>262</v>
      </c>
      <c r="Q21" t="str">
        <f t="shared" si="0"/>
        <v>\K20_c005_262</v>
      </c>
      <c r="S21" t="s">
        <v>212</v>
      </c>
      <c r="T21" t="s">
        <v>214</v>
      </c>
      <c r="U21">
        <v>4</v>
      </c>
      <c r="V21">
        <v>29895</v>
      </c>
      <c r="W21">
        <v>198.31399999999999</v>
      </c>
      <c r="X21">
        <v>191.93600000000001</v>
      </c>
      <c r="Y21">
        <v>147.524</v>
      </c>
      <c r="Z21">
        <v>1920</v>
      </c>
      <c r="AA21">
        <v>1200</v>
      </c>
      <c r="AB21">
        <v>50</v>
      </c>
      <c r="AD21" s="5" t="s">
        <v>217</v>
      </c>
      <c r="AG21" t="s">
        <v>219</v>
      </c>
    </row>
    <row r="22" spans="1:34" x14ac:dyDescent="0.3">
      <c r="A22" t="s">
        <v>22</v>
      </c>
      <c r="B22" s="1">
        <v>45667</v>
      </c>
      <c r="C22">
        <v>52515</v>
      </c>
      <c r="D22" s="1" t="s">
        <v>93</v>
      </c>
      <c r="E22" t="s">
        <v>103</v>
      </c>
      <c r="F22" t="s">
        <v>59</v>
      </c>
      <c r="G22" t="s">
        <v>72</v>
      </c>
      <c r="H22" t="s">
        <v>67</v>
      </c>
      <c r="I22" t="s">
        <v>64</v>
      </c>
      <c r="J22" t="s">
        <v>124</v>
      </c>
      <c r="K22" t="s">
        <v>126</v>
      </c>
      <c r="L22" t="s">
        <v>22</v>
      </c>
      <c r="M22" t="s">
        <v>126</v>
      </c>
      <c r="O22" t="s">
        <v>192</v>
      </c>
      <c r="P22">
        <v>262</v>
      </c>
      <c r="Q22" t="str">
        <f t="shared" si="0"/>
        <v>\K20_c005_262</v>
      </c>
      <c r="S22" t="s">
        <v>212</v>
      </c>
      <c r="T22" t="s">
        <v>214</v>
      </c>
      <c r="U22">
        <v>1</v>
      </c>
      <c r="V22">
        <v>26894</v>
      </c>
      <c r="W22">
        <v>188.101</v>
      </c>
      <c r="X22">
        <v>182.04300000000001</v>
      </c>
      <c r="Y22">
        <v>113.004</v>
      </c>
      <c r="Z22">
        <v>1920</v>
      </c>
      <c r="AA22">
        <v>1200</v>
      </c>
      <c r="AB22">
        <v>50</v>
      </c>
      <c r="AD22" s="5" t="s">
        <v>217</v>
      </c>
      <c r="AE22" t="s">
        <v>217</v>
      </c>
      <c r="AG22" t="s">
        <v>219</v>
      </c>
    </row>
    <row r="23" spans="1:34" x14ac:dyDescent="0.3">
      <c r="A23" t="s">
        <v>23</v>
      </c>
      <c r="B23" s="1">
        <v>45667</v>
      </c>
      <c r="C23">
        <v>52812</v>
      </c>
      <c r="D23" s="1" t="s">
        <v>93</v>
      </c>
      <c r="E23" t="s">
        <v>103</v>
      </c>
      <c r="F23" t="s">
        <v>59</v>
      </c>
      <c r="G23" t="s">
        <v>72</v>
      </c>
      <c r="H23" t="s">
        <v>68</v>
      </c>
      <c r="I23" t="s">
        <v>69</v>
      </c>
      <c r="J23" t="s">
        <v>124</v>
      </c>
      <c r="K23" t="s">
        <v>127</v>
      </c>
      <c r="L23" t="s">
        <v>23</v>
      </c>
      <c r="M23" t="s">
        <v>127</v>
      </c>
      <c r="O23" t="s">
        <v>192</v>
      </c>
      <c r="P23">
        <v>262</v>
      </c>
      <c r="Q23" t="str">
        <f t="shared" si="0"/>
        <v>\K20_c005_262</v>
      </c>
      <c r="S23" t="s">
        <v>212</v>
      </c>
      <c r="T23" t="s">
        <v>214</v>
      </c>
      <c r="U23">
        <v>2</v>
      </c>
      <c r="V23">
        <v>5623</v>
      </c>
      <c r="W23">
        <v>86.03</v>
      </c>
      <c r="X23">
        <v>83.22</v>
      </c>
      <c r="Y23">
        <v>101.298</v>
      </c>
      <c r="Z23">
        <v>1920</v>
      </c>
      <c r="AA23">
        <v>1200</v>
      </c>
      <c r="AB23">
        <v>50</v>
      </c>
      <c r="AG23" t="s">
        <v>210</v>
      </c>
    </row>
    <row r="24" spans="1:34" x14ac:dyDescent="0.3">
      <c r="A24" t="s">
        <v>24</v>
      </c>
      <c r="B24" s="1">
        <v>45667</v>
      </c>
      <c r="C24">
        <v>53347</v>
      </c>
      <c r="D24" s="1" t="s">
        <v>93</v>
      </c>
      <c r="E24" t="s">
        <v>103</v>
      </c>
      <c r="F24" t="s">
        <v>59</v>
      </c>
      <c r="G24" t="s">
        <v>73</v>
      </c>
      <c r="H24" t="s">
        <v>61</v>
      </c>
      <c r="I24" t="s">
        <v>62</v>
      </c>
      <c r="J24" t="s">
        <v>128</v>
      </c>
      <c r="K24" t="s">
        <v>129</v>
      </c>
      <c r="L24" t="s">
        <v>24</v>
      </c>
      <c r="M24" t="s">
        <v>129</v>
      </c>
      <c r="O24" t="s">
        <v>191</v>
      </c>
      <c r="P24">
        <v>53</v>
      </c>
      <c r="Q24" t="str">
        <f t="shared" si="0"/>
        <v>\K20_c006_53</v>
      </c>
      <c r="S24" t="s">
        <v>216</v>
      </c>
      <c r="T24" t="s">
        <v>215</v>
      </c>
      <c r="AH24" t="s">
        <v>220</v>
      </c>
    </row>
    <row r="25" spans="1:34" x14ac:dyDescent="0.3">
      <c r="A25" t="s">
        <v>25</v>
      </c>
      <c r="B25" s="1">
        <v>45667</v>
      </c>
      <c r="C25">
        <v>54434</v>
      </c>
      <c r="D25" s="1" t="s">
        <v>93</v>
      </c>
      <c r="E25" t="s">
        <v>103</v>
      </c>
      <c r="F25" t="s">
        <v>59</v>
      </c>
      <c r="G25" t="s">
        <v>74</v>
      </c>
      <c r="H25" t="s">
        <v>61</v>
      </c>
      <c r="I25" t="s">
        <v>62</v>
      </c>
      <c r="J25" t="s">
        <v>130</v>
      </c>
      <c r="K25" t="s">
        <v>131</v>
      </c>
      <c r="L25" t="s">
        <v>25</v>
      </c>
      <c r="M25" t="s">
        <v>131</v>
      </c>
      <c r="O25" t="s">
        <v>190</v>
      </c>
      <c r="P25">
        <v>61</v>
      </c>
      <c r="Q25" t="str">
        <f t="shared" si="0"/>
        <v>\K20_c007_61</v>
      </c>
      <c r="S25" t="s">
        <v>212</v>
      </c>
      <c r="T25" t="s">
        <v>213</v>
      </c>
      <c r="U25">
        <v>1</v>
      </c>
      <c r="V25">
        <v>12969</v>
      </c>
      <c r="W25">
        <v>139.18799999999999</v>
      </c>
      <c r="X25">
        <v>118.636</v>
      </c>
      <c r="Y25">
        <v>67.59</v>
      </c>
      <c r="Z25">
        <v>1920</v>
      </c>
      <c r="AA25">
        <v>1200</v>
      </c>
      <c r="AB25">
        <v>50</v>
      </c>
      <c r="AD25" s="5" t="s">
        <v>217</v>
      </c>
      <c r="AG25" t="s">
        <v>221</v>
      </c>
    </row>
    <row r="26" spans="1:34" x14ac:dyDescent="0.3">
      <c r="A26" t="s">
        <v>26</v>
      </c>
      <c r="B26" s="1">
        <v>45667</v>
      </c>
      <c r="C26">
        <v>54983</v>
      </c>
      <c r="D26" s="1" t="s">
        <v>93</v>
      </c>
      <c r="E26" t="s">
        <v>103</v>
      </c>
      <c r="F26" t="s">
        <v>59</v>
      </c>
      <c r="G26" t="s">
        <v>74</v>
      </c>
      <c r="H26" t="s">
        <v>67</v>
      </c>
      <c r="I26" t="s">
        <v>64</v>
      </c>
      <c r="J26" t="s">
        <v>130</v>
      </c>
      <c r="K26" t="s">
        <v>132</v>
      </c>
      <c r="L26" t="s">
        <v>26</v>
      </c>
      <c r="M26" t="s">
        <v>132</v>
      </c>
      <c r="O26" t="s">
        <v>190</v>
      </c>
      <c r="P26">
        <v>61</v>
      </c>
      <c r="Q26" t="str">
        <f t="shared" si="0"/>
        <v>\K20_c007_61</v>
      </c>
      <c r="S26" t="s">
        <v>212</v>
      </c>
      <c r="T26" t="s">
        <v>213</v>
      </c>
      <c r="U26">
        <v>2</v>
      </c>
      <c r="V26">
        <v>47122</v>
      </c>
      <c r="W26">
        <v>391.60500000000002</v>
      </c>
      <c r="X26">
        <v>153.209</v>
      </c>
      <c r="Y26">
        <v>62.219000000000001</v>
      </c>
      <c r="Z26">
        <v>1920</v>
      </c>
      <c r="AA26">
        <v>1200</v>
      </c>
      <c r="AB26">
        <v>50</v>
      </c>
      <c r="AG26" t="s">
        <v>222</v>
      </c>
      <c r="AH26" t="s">
        <v>223</v>
      </c>
    </row>
    <row r="27" spans="1:34" x14ac:dyDescent="0.3">
      <c r="A27" t="s">
        <v>27</v>
      </c>
      <c r="B27" s="1">
        <v>45667</v>
      </c>
      <c r="C27">
        <v>55381</v>
      </c>
      <c r="D27" s="1" t="s">
        <v>93</v>
      </c>
      <c r="E27" t="s">
        <v>103</v>
      </c>
      <c r="F27" t="s">
        <v>59</v>
      </c>
      <c r="G27" t="s">
        <v>75</v>
      </c>
      <c r="H27" t="s">
        <v>61</v>
      </c>
      <c r="I27" t="s">
        <v>62</v>
      </c>
      <c r="J27" t="s">
        <v>133</v>
      </c>
      <c r="K27" t="s">
        <v>134</v>
      </c>
      <c r="L27" t="s">
        <v>27</v>
      </c>
      <c r="M27" t="s">
        <v>134</v>
      </c>
      <c r="O27" t="s">
        <v>189</v>
      </c>
      <c r="P27">
        <v>73</v>
      </c>
      <c r="Q27" t="str">
        <f t="shared" si="0"/>
        <v>\K20_c008_73</v>
      </c>
      <c r="S27" t="s">
        <v>212</v>
      </c>
      <c r="T27" t="s">
        <v>214</v>
      </c>
      <c r="U27">
        <v>3</v>
      </c>
      <c r="V27">
        <v>16702</v>
      </c>
      <c r="W27">
        <v>188.09100000000001</v>
      </c>
      <c r="X27">
        <v>113.06</v>
      </c>
      <c r="Y27">
        <v>59.817</v>
      </c>
      <c r="Z27">
        <v>1920</v>
      </c>
      <c r="AA27">
        <v>1200</v>
      </c>
      <c r="AB27">
        <v>50</v>
      </c>
      <c r="AG27" t="s">
        <v>221</v>
      </c>
    </row>
    <row r="28" spans="1:34" x14ac:dyDescent="0.3">
      <c r="A28" t="s">
        <v>28</v>
      </c>
      <c r="B28" s="1">
        <v>45667</v>
      </c>
      <c r="C28">
        <v>55673</v>
      </c>
      <c r="D28" s="1" t="s">
        <v>93</v>
      </c>
      <c r="E28" t="s">
        <v>103</v>
      </c>
      <c r="F28" t="s">
        <v>59</v>
      </c>
      <c r="G28" t="s">
        <v>75</v>
      </c>
      <c r="H28" t="s">
        <v>67</v>
      </c>
      <c r="I28" t="s">
        <v>64</v>
      </c>
      <c r="J28" t="s">
        <v>133</v>
      </c>
      <c r="K28" t="s">
        <v>135</v>
      </c>
      <c r="L28" t="s">
        <v>28</v>
      </c>
      <c r="M28" t="s">
        <v>135</v>
      </c>
      <c r="O28" t="s">
        <v>189</v>
      </c>
      <c r="P28">
        <v>73</v>
      </c>
      <c r="Q28" t="str">
        <f t="shared" si="0"/>
        <v>\K20_c008_73</v>
      </c>
      <c r="S28" t="s">
        <v>212</v>
      </c>
      <c r="T28" t="s">
        <v>214</v>
      </c>
      <c r="U28">
        <v>1</v>
      </c>
      <c r="V28">
        <v>15897</v>
      </c>
      <c r="W28">
        <v>152.62200000000001</v>
      </c>
      <c r="X28">
        <v>132.62</v>
      </c>
      <c r="Y28">
        <v>61.84</v>
      </c>
      <c r="Z28">
        <v>1920</v>
      </c>
      <c r="AA28">
        <v>1200</v>
      </c>
      <c r="AB28">
        <v>50</v>
      </c>
      <c r="AG28" t="s">
        <v>221</v>
      </c>
    </row>
    <row r="29" spans="1:34" x14ac:dyDescent="0.3">
      <c r="A29" t="s">
        <v>29</v>
      </c>
      <c r="B29" s="1">
        <v>45667</v>
      </c>
      <c r="C29">
        <v>56127</v>
      </c>
      <c r="D29" s="1" t="s">
        <v>93</v>
      </c>
      <c r="E29" t="s">
        <v>103</v>
      </c>
      <c r="F29" t="s">
        <v>59</v>
      </c>
      <c r="G29" t="s">
        <v>76</v>
      </c>
      <c r="H29" t="s">
        <v>61</v>
      </c>
      <c r="I29" t="s">
        <v>62</v>
      </c>
      <c r="J29" t="s">
        <v>136</v>
      </c>
      <c r="K29" t="s">
        <v>137</v>
      </c>
      <c r="L29" t="s">
        <v>29</v>
      </c>
      <c r="M29" t="s">
        <v>137</v>
      </c>
      <c r="O29" t="s">
        <v>188</v>
      </c>
      <c r="P29">
        <v>1317</v>
      </c>
      <c r="Q29" t="str">
        <f t="shared" si="0"/>
        <v>\K20_c009_1317</v>
      </c>
      <c r="S29" t="s">
        <v>212</v>
      </c>
      <c r="T29" t="s">
        <v>213</v>
      </c>
      <c r="U29">
        <v>2</v>
      </c>
      <c r="V29">
        <v>22074</v>
      </c>
      <c r="W29">
        <v>185.577</v>
      </c>
      <c r="X29">
        <v>151.44900000000001</v>
      </c>
      <c r="Y29">
        <v>109.34699999999999</v>
      </c>
      <c r="Z29">
        <v>1920</v>
      </c>
      <c r="AA29">
        <v>1200</v>
      </c>
      <c r="AB29">
        <v>50</v>
      </c>
      <c r="AG29" t="s">
        <v>210</v>
      </c>
    </row>
    <row r="30" spans="1:34" x14ac:dyDescent="0.3">
      <c r="A30" t="s">
        <v>30</v>
      </c>
      <c r="B30" s="1">
        <v>45667</v>
      </c>
      <c r="C30">
        <v>56441</v>
      </c>
      <c r="D30" s="1" t="s">
        <v>93</v>
      </c>
      <c r="E30" t="s">
        <v>103</v>
      </c>
      <c r="F30" t="s">
        <v>59</v>
      </c>
      <c r="G30" t="s">
        <v>76</v>
      </c>
      <c r="H30" t="s">
        <v>67</v>
      </c>
      <c r="I30" t="s">
        <v>64</v>
      </c>
      <c r="J30" t="s">
        <v>136</v>
      </c>
      <c r="K30" t="s">
        <v>138</v>
      </c>
      <c r="L30" t="s">
        <v>30</v>
      </c>
      <c r="M30" t="s">
        <v>138</v>
      </c>
      <c r="O30" t="s">
        <v>188</v>
      </c>
      <c r="P30">
        <v>1317</v>
      </c>
      <c r="Q30" t="str">
        <f t="shared" si="0"/>
        <v>\K20_c009_1317</v>
      </c>
      <c r="S30" t="s">
        <v>212</v>
      </c>
      <c r="T30" t="s">
        <v>213</v>
      </c>
      <c r="U30">
        <v>3</v>
      </c>
      <c r="V30">
        <v>4209</v>
      </c>
      <c r="W30">
        <v>80.971000000000004</v>
      </c>
      <c r="X30">
        <v>66.185000000000002</v>
      </c>
      <c r="Y30">
        <v>25.382000000000001</v>
      </c>
      <c r="Z30">
        <v>1920</v>
      </c>
      <c r="AA30">
        <v>1200</v>
      </c>
      <c r="AB30">
        <v>50</v>
      </c>
      <c r="AG30" t="s">
        <v>210</v>
      </c>
    </row>
    <row r="31" spans="1:34" x14ac:dyDescent="0.3">
      <c r="A31" t="s">
        <v>31</v>
      </c>
      <c r="B31" s="1">
        <v>45667</v>
      </c>
      <c r="C31">
        <v>56947</v>
      </c>
      <c r="D31" s="1" t="s">
        <v>93</v>
      </c>
      <c r="E31" t="s">
        <v>103</v>
      </c>
      <c r="F31" t="s">
        <v>59</v>
      </c>
      <c r="G31" t="s">
        <v>77</v>
      </c>
      <c r="H31" t="s">
        <v>61</v>
      </c>
      <c r="I31" t="s">
        <v>62</v>
      </c>
      <c r="J31" t="s">
        <v>139</v>
      </c>
      <c r="K31" t="s">
        <v>140</v>
      </c>
      <c r="L31" t="s">
        <v>31</v>
      </c>
      <c r="M31" t="s">
        <v>140</v>
      </c>
      <c r="O31" t="s">
        <v>187</v>
      </c>
      <c r="P31">
        <v>77</v>
      </c>
      <c r="Q31" t="str">
        <f t="shared" si="0"/>
        <v>\K20_c010_77</v>
      </c>
      <c r="R31" t="s">
        <v>193</v>
      </c>
      <c r="S31" t="s">
        <v>212</v>
      </c>
      <c r="T31" t="s">
        <v>214</v>
      </c>
      <c r="U31">
        <v>1</v>
      </c>
      <c r="V31">
        <v>3418</v>
      </c>
      <c r="W31">
        <v>73.046999999999997</v>
      </c>
      <c r="X31">
        <v>59.576999999999998</v>
      </c>
      <c r="Y31">
        <v>68.424000000000007</v>
      </c>
      <c r="Z31">
        <v>1920</v>
      </c>
      <c r="AA31">
        <v>1200</v>
      </c>
      <c r="AB31">
        <v>50</v>
      </c>
      <c r="AG31" t="s">
        <v>210</v>
      </c>
    </row>
    <row r="32" spans="1:34" x14ac:dyDescent="0.3">
      <c r="A32" t="s">
        <v>32</v>
      </c>
      <c r="B32" s="1">
        <v>45667</v>
      </c>
      <c r="C32">
        <v>57474</v>
      </c>
      <c r="D32" s="1" t="s">
        <v>93</v>
      </c>
      <c r="E32" t="s">
        <v>103</v>
      </c>
      <c r="F32" t="s">
        <v>59</v>
      </c>
      <c r="G32" t="s">
        <v>77</v>
      </c>
      <c r="H32" t="s">
        <v>67</v>
      </c>
      <c r="I32" t="s">
        <v>64</v>
      </c>
      <c r="J32" t="s">
        <v>139</v>
      </c>
      <c r="K32" t="s">
        <v>141</v>
      </c>
      <c r="L32" t="s">
        <v>32</v>
      </c>
      <c r="M32" t="s">
        <v>141</v>
      </c>
      <c r="O32" t="s">
        <v>187</v>
      </c>
      <c r="P32">
        <v>77</v>
      </c>
      <c r="Q32" t="str">
        <f t="shared" si="0"/>
        <v>\K20_c010_77</v>
      </c>
      <c r="S32" t="s">
        <v>212</v>
      </c>
      <c r="T32" t="s">
        <v>214</v>
      </c>
      <c r="U32">
        <v>2</v>
      </c>
      <c r="V32">
        <v>2848</v>
      </c>
      <c r="W32">
        <v>66.593999999999994</v>
      </c>
      <c r="X32">
        <v>54.451999999999998</v>
      </c>
      <c r="Y32">
        <v>78.361999999999995</v>
      </c>
      <c r="Z32">
        <v>1920</v>
      </c>
      <c r="AA32">
        <v>1200</v>
      </c>
      <c r="AB32">
        <v>50</v>
      </c>
      <c r="AG32" t="s">
        <v>210</v>
      </c>
    </row>
    <row r="33" spans="1:33" x14ac:dyDescent="0.3">
      <c r="A33" t="s">
        <v>33</v>
      </c>
      <c r="B33" s="1">
        <v>45667</v>
      </c>
      <c r="C33">
        <v>58726</v>
      </c>
      <c r="D33" s="1" t="s">
        <v>93</v>
      </c>
      <c r="E33" t="s">
        <v>103</v>
      </c>
      <c r="F33" t="s">
        <v>59</v>
      </c>
      <c r="G33" t="s">
        <v>78</v>
      </c>
      <c r="H33" t="s">
        <v>61</v>
      </c>
      <c r="I33" t="s">
        <v>62</v>
      </c>
      <c r="J33" t="s">
        <v>142</v>
      </c>
      <c r="K33" t="s">
        <v>143</v>
      </c>
      <c r="L33" t="s">
        <v>33</v>
      </c>
      <c r="M33" t="s">
        <v>143</v>
      </c>
      <c r="O33" t="s">
        <v>186</v>
      </c>
      <c r="P33">
        <v>930</v>
      </c>
      <c r="Q33" t="str">
        <f t="shared" si="0"/>
        <v>\K20_c011_930</v>
      </c>
      <c r="S33" t="s">
        <v>212</v>
      </c>
      <c r="T33" t="s">
        <v>214</v>
      </c>
      <c r="U33">
        <v>1</v>
      </c>
      <c r="V33">
        <v>124976</v>
      </c>
      <c r="W33">
        <v>510.29899999999998</v>
      </c>
      <c r="X33">
        <v>311.82600000000002</v>
      </c>
      <c r="Y33">
        <v>103.745</v>
      </c>
      <c r="Z33">
        <v>1920</v>
      </c>
      <c r="AA33">
        <v>1200</v>
      </c>
      <c r="AB33">
        <v>50</v>
      </c>
      <c r="AG33" t="s">
        <v>221</v>
      </c>
    </row>
    <row r="34" spans="1:33" x14ac:dyDescent="0.3">
      <c r="A34" t="s">
        <v>34</v>
      </c>
      <c r="B34" s="1">
        <v>45667</v>
      </c>
      <c r="C34">
        <v>60124</v>
      </c>
      <c r="D34" s="1" t="s">
        <v>93</v>
      </c>
      <c r="E34" t="s">
        <v>103</v>
      </c>
      <c r="F34" t="s">
        <v>59</v>
      </c>
      <c r="G34" t="s">
        <v>79</v>
      </c>
      <c r="H34" t="s">
        <v>61</v>
      </c>
      <c r="I34" t="s">
        <v>62</v>
      </c>
      <c r="J34" t="s">
        <v>144</v>
      </c>
      <c r="K34" t="s">
        <v>145</v>
      </c>
      <c r="L34" t="s">
        <v>34</v>
      </c>
      <c r="M34" t="s">
        <v>145</v>
      </c>
      <c r="O34" t="s">
        <v>185</v>
      </c>
      <c r="P34">
        <v>118</v>
      </c>
      <c r="Q34" t="str">
        <f t="shared" si="0"/>
        <v>\K20_c014_118</v>
      </c>
      <c r="S34" t="s">
        <v>212</v>
      </c>
      <c r="T34" t="s">
        <v>213</v>
      </c>
      <c r="U34">
        <v>2</v>
      </c>
      <c r="V34">
        <v>2575</v>
      </c>
      <c r="W34">
        <v>59.710999999999999</v>
      </c>
      <c r="X34">
        <v>54.908000000000001</v>
      </c>
      <c r="Y34">
        <v>153.29499999999999</v>
      </c>
      <c r="Z34">
        <v>1920</v>
      </c>
      <c r="AA34">
        <v>1200</v>
      </c>
      <c r="AB34">
        <v>50</v>
      </c>
      <c r="AG34" t="s">
        <v>218</v>
      </c>
    </row>
    <row r="35" spans="1:33" x14ac:dyDescent="0.3">
      <c r="A35" t="s">
        <v>35</v>
      </c>
      <c r="B35" s="1">
        <v>45667</v>
      </c>
      <c r="C35">
        <v>60463</v>
      </c>
      <c r="D35" s="1" t="s">
        <v>93</v>
      </c>
      <c r="E35" t="s">
        <v>103</v>
      </c>
      <c r="F35" t="s">
        <v>59</v>
      </c>
      <c r="G35" t="s">
        <v>80</v>
      </c>
      <c r="H35" t="s">
        <v>61</v>
      </c>
      <c r="I35" t="s">
        <v>62</v>
      </c>
      <c r="J35" t="s">
        <v>146</v>
      </c>
      <c r="K35" t="s">
        <v>147</v>
      </c>
      <c r="L35" t="s">
        <v>35</v>
      </c>
      <c r="M35" t="s">
        <v>147</v>
      </c>
      <c r="O35" t="s">
        <v>184</v>
      </c>
      <c r="P35">
        <v>201</v>
      </c>
      <c r="Q35" t="str">
        <f t="shared" si="0"/>
        <v>\K20_c015_201</v>
      </c>
      <c r="S35" t="s">
        <v>212</v>
      </c>
      <c r="T35" t="s">
        <v>213</v>
      </c>
      <c r="U35">
        <v>3</v>
      </c>
      <c r="V35">
        <v>46189</v>
      </c>
      <c r="W35">
        <v>256.95100000000002</v>
      </c>
      <c r="X35">
        <v>228.875</v>
      </c>
      <c r="Y35">
        <v>68.734999999999999</v>
      </c>
      <c r="Z35">
        <v>1920</v>
      </c>
      <c r="AA35">
        <v>1200</v>
      </c>
      <c r="AB35">
        <v>50</v>
      </c>
      <c r="AD35" s="5" t="s">
        <v>217</v>
      </c>
      <c r="AE35" t="s">
        <v>217</v>
      </c>
      <c r="AG35" t="s">
        <v>218</v>
      </c>
    </row>
    <row r="36" spans="1:33" x14ac:dyDescent="0.3">
      <c r="A36" t="s">
        <v>36</v>
      </c>
      <c r="B36" s="1">
        <v>45667</v>
      </c>
      <c r="C36">
        <v>64334</v>
      </c>
      <c r="D36" s="1" t="s">
        <v>93</v>
      </c>
      <c r="E36" t="s">
        <v>103</v>
      </c>
      <c r="F36" t="s">
        <v>59</v>
      </c>
      <c r="G36" t="s">
        <v>81</v>
      </c>
      <c r="H36" t="s">
        <v>67</v>
      </c>
      <c r="I36" t="s">
        <v>64</v>
      </c>
      <c r="J36" t="s">
        <v>148</v>
      </c>
      <c r="K36" t="s">
        <v>149</v>
      </c>
      <c r="L36" t="s">
        <v>36</v>
      </c>
      <c r="M36" t="s">
        <v>149</v>
      </c>
      <c r="O36" t="s">
        <v>183</v>
      </c>
      <c r="P36">
        <v>419</v>
      </c>
      <c r="Q36" t="str">
        <f t="shared" si="0"/>
        <v>\K20_c018_419</v>
      </c>
      <c r="S36" t="s">
        <v>212</v>
      </c>
      <c r="T36" t="s">
        <v>213</v>
      </c>
      <c r="U36">
        <v>4</v>
      </c>
      <c r="V36">
        <v>18449</v>
      </c>
      <c r="W36">
        <v>162.13200000000001</v>
      </c>
      <c r="X36">
        <v>144.88200000000001</v>
      </c>
      <c r="Y36">
        <v>56.912999999999997</v>
      </c>
      <c r="Z36">
        <v>1920</v>
      </c>
      <c r="AA36">
        <v>1200</v>
      </c>
      <c r="AB36">
        <v>50</v>
      </c>
      <c r="AD36" s="5" t="s">
        <v>217</v>
      </c>
      <c r="AG36" t="s">
        <v>218</v>
      </c>
    </row>
    <row r="37" spans="1:33" x14ac:dyDescent="0.3">
      <c r="A37" t="s">
        <v>37</v>
      </c>
      <c r="B37" s="1">
        <v>45667</v>
      </c>
      <c r="C37">
        <v>65060</v>
      </c>
      <c r="D37" s="1" t="s">
        <v>93</v>
      </c>
      <c r="E37" t="s">
        <v>103</v>
      </c>
      <c r="F37" t="s">
        <v>59</v>
      </c>
      <c r="G37" t="s">
        <v>82</v>
      </c>
      <c r="H37" t="s">
        <v>61</v>
      </c>
      <c r="I37" t="s">
        <v>62</v>
      </c>
      <c r="J37" t="s">
        <v>150</v>
      </c>
      <c r="K37" t="s">
        <v>151</v>
      </c>
      <c r="L37" t="s">
        <v>37</v>
      </c>
      <c r="M37" t="s">
        <v>151</v>
      </c>
      <c r="O37" t="s">
        <v>182</v>
      </c>
      <c r="P37">
        <v>177</v>
      </c>
      <c r="Q37" t="str">
        <f t="shared" si="0"/>
        <v>\K20_c019_177</v>
      </c>
      <c r="S37" t="s">
        <v>212</v>
      </c>
      <c r="T37" t="s">
        <v>213</v>
      </c>
      <c r="U37">
        <v>5</v>
      </c>
      <c r="V37">
        <v>20934</v>
      </c>
      <c r="W37">
        <v>173.625</v>
      </c>
      <c r="X37">
        <v>153.51400000000001</v>
      </c>
      <c r="Y37">
        <v>60.335999999999999</v>
      </c>
      <c r="Z37">
        <v>1920</v>
      </c>
      <c r="AA37">
        <v>1200</v>
      </c>
      <c r="AB37">
        <v>50</v>
      </c>
      <c r="AD37" s="5" t="s">
        <v>217</v>
      </c>
      <c r="AG37" t="s">
        <v>218</v>
      </c>
    </row>
    <row r="38" spans="1:33" x14ac:dyDescent="0.3">
      <c r="A38" t="s">
        <v>38</v>
      </c>
      <c r="B38" s="1">
        <v>45670</v>
      </c>
      <c r="C38">
        <v>52638</v>
      </c>
      <c r="D38" t="s">
        <v>104</v>
      </c>
      <c r="F38" t="s">
        <v>100</v>
      </c>
      <c r="G38" t="s">
        <v>101</v>
      </c>
      <c r="I38">
        <v>4</v>
      </c>
      <c r="J38" t="s">
        <v>102</v>
      </c>
      <c r="K38" t="s">
        <v>102</v>
      </c>
      <c r="L38" t="s">
        <v>108</v>
      </c>
    </row>
    <row r="39" spans="1:33" x14ac:dyDescent="0.3">
      <c r="A39" t="s">
        <v>39</v>
      </c>
      <c r="B39" s="1">
        <v>45670</v>
      </c>
      <c r="C39">
        <v>52885</v>
      </c>
      <c r="D39" t="s">
        <v>104</v>
      </c>
      <c r="F39" t="s">
        <v>100</v>
      </c>
      <c r="G39" t="s">
        <v>101</v>
      </c>
      <c r="I39">
        <v>4</v>
      </c>
      <c r="J39" t="s">
        <v>102</v>
      </c>
      <c r="K39" t="s">
        <v>102</v>
      </c>
      <c r="L39" t="s">
        <v>108</v>
      </c>
    </row>
    <row r="40" spans="1:33" x14ac:dyDescent="0.3">
      <c r="A40" t="s">
        <v>40</v>
      </c>
      <c r="B40" s="1">
        <v>45670</v>
      </c>
      <c r="C40">
        <v>53151</v>
      </c>
      <c r="D40" t="s">
        <v>104</v>
      </c>
      <c r="F40" t="s">
        <v>100</v>
      </c>
      <c r="G40" t="s">
        <v>101</v>
      </c>
      <c r="I40">
        <v>4</v>
      </c>
      <c r="J40" t="s">
        <v>102</v>
      </c>
      <c r="K40" t="s">
        <v>102</v>
      </c>
      <c r="L40" t="s">
        <v>108</v>
      </c>
    </row>
    <row r="41" spans="1:33" x14ac:dyDescent="0.3">
      <c r="A41" t="s">
        <v>41</v>
      </c>
      <c r="B41" s="1">
        <v>45670</v>
      </c>
      <c r="C41">
        <v>40244</v>
      </c>
      <c r="D41" t="s">
        <v>104</v>
      </c>
      <c r="F41" t="s">
        <v>100</v>
      </c>
      <c r="G41" t="s">
        <v>101</v>
      </c>
      <c r="I41">
        <v>4</v>
      </c>
      <c r="J41" t="s">
        <v>102</v>
      </c>
      <c r="K41" t="s">
        <v>102</v>
      </c>
      <c r="L41" t="s">
        <v>109</v>
      </c>
    </row>
    <row r="42" spans="1:33" x14ac:dyDescent="0.3">
      <c r="A42" t="s">
        <v>42</v>
      </c>
      <c r="B42" s="1">
        <v>45670</v>
      </c>
      <c r="C42">
        <v>40608</v>
      </c>
      <c r="D42" t="s">
        <v>104</v>
      </c>
      <c r="F42" t="s">
        <v>100</v>
      </c>
      <c r="G42" t="s">
        <v>101</v>
      </c>
      <c r="I42">
        <v>4</v>
      </c>
      <c r="J42" t="s">
        <v>102</v>
      </c>
      <c r="K42" t="s">
        <v>102</v>
      </c>
      <c r="L42" t="s">
        <v>109</v>
      </c>
    </row>
    <row r="43" spans="1:33" x14ac:dyDescent="0.3">
      <c r="A43" t="s">
        <v>43</v>
      </c>
      <c r="B43" s="1">
        <v>45670</v>
      </c>
      <c r="C43">
        <v>40848</v>
      </c>
      <c r="D43" t="s">
        <v>104</v>
      </c>
      <c r="F43" t="s">
        <v>100</v>
      </c>
      <c r="G43" t="s">
        <v>101</v>
      </c>
      <c r="I43">
        <v>4</v>
      </c>
      <c r="J43" t="s">
        <v>102</v>
      </c>
      <c r="K43" t="s">
        <v>102</v>
      </c>
      <c r="L43" t="s">
        <v>109</v>
      </c>
    </row>
    <row r="44" spans="1:33" x14ac:dyDescent="0.3">
      <c r="A44" t="s">
        <v>44</v>
      </c>
      <c r="B44" s="1">
        <v>45670</v>
      </c>
      <c r="C44">
        <v>42372</v>
      </c>
      <c r="D44" s="1" t="s">
        <v>93</v>
      </c>
      <c r="E44" t="s">
        <v>103</v>
      </c>
      <c r="F44" t="s">
        <v>59</v>
      </c>
      <c r="G44" t="s">
        <v>83</v>
      </c>
      <c r="H44" t="s">
        <v>61</v>
      </c>
      <c r="I44" t="s">
        <v>62</v>
      </c>
      <c r="J44" t="s">
        <v>152</v>
      </c>
      <c r="K44" t="s">
        <v>153</v>
      </c>
      <c r="L44" t="s">
        <v>44</v>
      </c>
      <c r="M44" t="s">
        <v>153</v>
      </c>
      <c r="O44" t="s">
        <v>181</v>
      </c>
      <c r="P44">
        <v>288</v>
      </c>
      <c r="Q44" t="str">
        <f t="shared" ref="Q44" si="1">_xlfn.CONCAT(O44,"_",P44)</f>
        <v>\K20_c021_288</v>
      </c>
      <c r="S44" t="s">
        <v>212</v>
      </c>
      <c r="T44" t="s">
        <v>213</v>
      </c>
      <c r="U44">
        <v>1</v>
      </c>
      <c r="V44">
        <v>5476</v>
      </c>
      <c r="W44">
        <v>87.947999999999993</v>
      </c>
      <c r="X44">
        <v>79.277000000000001</v>
      </c>
      <c r="Y44">
        <v>108.265</v>
      </c>
      <c r="Z44">
        <v>1920</v>
      </c>
      <c r="AA44">
        <v>1200</v>
      </c>
      <c r="AB44">
        <v>50</v>
      </c>
      <c r="AG44" t="s">
        <v>210</v>
      </c>
    </row>
    <row r="45" spans="1:33" x14ac:dyDescent="0.3">
      <c r="A45" t="s">
        <v>45</v>
      </c>
      <c r="B45" s="1">
        <v>45670</v>
      </c>
      <c r="C45">
        <v>43534</v>
      </c>
      <c r="D45" s="1" t="s">
        <v>93</v>
      </c>
      <c r="E45" t="s">
        <v>103</v>
      </c>
      <c r="F45" t="s">
        <v>59</v>
      </c>
      <c r="G45" t="s">
        <v>84</v>
      </c>
      <c r="H45" t="s">
        <v>61</v>
      </c>
      <c r="I45" t="s">
        <v>62</v>
      </c>
      <c r="J45" t="s">
        <v>154</v>
      </c>
      <c r="K45" t="s">
        <v>155</v>
      </c>
      <c r="L45" t="s">
        <v>90</v>
      </c>
      <c r="M45" t="s">
        <v>155</v>
      </c>
      <c r="O45" t="s">
        <v>180</v>
      </c>
      <c r="R45" t="s">
        <v>194</v>
      </c>
      <c r="S45" t="s">
        <v>212</v>
      </c>
      <c r="T45" t="s">
        <v>213</v>
      </c>
      <c r="U45">
        <v>2</v>
      </c>
      <c r="V45">
        <v>14904</v>
      </c>
      <c r="W45">
        <v>147.179</v>
      </c>
      <c r="X45">
        <v>128.934</v>
      </c>
      <c r="Y45">
        <v>179.88300000000001</v>
      </c>
      <c r="Z45">
        <v>1920</v>
      </c>
      <c r="AA45">
        <v>1200</v>
      </c>
      <c r="AB45">
        <v>50</v>
      </c>
      <c r="AG45" t="s">
        <v>210</v>
      </c>
    </row>
    <row r="46" spans="1:33" x14ac:dyDescent="0.3">
      <c r="A46" t="s">
        <v>46</v>
      </c>
      <c r="B46" s="1">
        <v>45670</v>
      </c>
      <c r="C46">
        <v>43862</v>
      </c>
      <c r="D46" s="1" t="s">
        <v>93</v>
      </c>
      <c r="E46" t="s">
        <v>103</v>
      </c>
      <c r="F46" t="s">
        <v>59</v>
      </c>
      <c r="G46" t="s">
        <v>84</v>
      </c>
      <c r="H46" t="s">
        <v>61</v>
      </c>
      <c r="I46" t="s">
        <v>62</v>
      </c>
      <c r="J46" t="s">
        <v>154</v>
      </c>
      <c r="K46" t="s">
        <v>155</v>
      </c>
      <c r="L46" t="s">
        <v>90</v>
      </c>
      <c r="M46" t="s">
        <v>155</v>
      </c>
      <c r="O46" t="s">
        <v>180</v>
      </c>
      <c r="R46" t="s">
        <v>194</v>
      </c>
      <c r="S46" t="s">
        <v>212</v>
      </c>
      <c r="T46" t="s">
        <v>213</v>
      </c>
      <c r="U46">
        <v>2</v>
      </c>
      <c r="V46">
        <v>14904</v>
      </c>
      <c r="W46">
        <v>147.179</v>
      </c>
      <c r="X46">
        <v>128.934</v>
      </c>
      <c r="Y46">
        <v>179.88300000000001</v>
      </c>
      <c r="Z46">
        <v>1920</v>
      </c>
      <c r="AA46">
        <v>1200</v>
      </c>
      <c r="AB46">
        <v>50</v>
      </c>
      <c r="AG46" t="s">
        <v>210</v>
      </c>
    </row>
    <row r="47" spans="1:33" x14ac:dyDescent="0.3">
      <c r="A47" t="s">
        <v>47</v>
      </c>
      <c r="B47" s="1">
        <v>45670</v>
      </c>
      <c r="C47">
        <v>44157</v>
      </c>
      <c r="D47" s="1" t="s">
        <v>93</v>
      </c>
      <c r="E47" t="s">
        <v>103</v>
      </c>
      <c r="F47" t="s">
        <v>59</v>
      </c>
      <c r="G47" t="s">
        <v>84</v>
      </c>
      <c r="H47" t="s">
        <v>61</v>
      </c>
      <c r="I47" t="s">
        <v>62</v>
      </c>
      <c r="J47" t="s">
        <v>154</v>
      </c>
      <c r="K47" t="s">
        <v>155</v>
      </c>
      <c r="L47" t="s">
        <v>90</v>
      </c>
      <c r="M47" t="s">
        <v>155</v>
      </c>
      <c r="O47" t="s">
        <v>180</v>
      </c>
      <c r="R47" t="s">
        <v>194</v>
      </c>
      <c r="S47" t="s">
        <v>212</v>
      </c>
      <c r="T47" t="s">
        <v>213</v>
      </c>
      <c r="U47">
        <v>2</v>
      </c>
      <c r="V47">
        <v>14904</v>
      </c>
      <c r="W47">
        <v>147.179</v>
      </c>
      <c r="X47">
        <v>128.934</v>
      </c>
      <c r="Y47">
        <v>179.88300000000001</v>
      </c>
      <c r="Z47">
        <v>1920</v>
      </c>
      <c r="AA47">
        <v>1200</v>
      </c>
      <c r="AB47">
        <v>50</v>
      </c>
      <c r="AG47" t="s">
        <v>210</v>
      </c>
    </row>
    <row r="48" spans="1:33" x14ac:dyDescent="0.3">
      <c r="A48" t="s">
        <v>48</v>
      </c>
      <c r="B48" s="1">
        <v>45670</v>
      </c>
      <c r="C48">
        <v>46815</v>
      </c>
      <c r="D48" s="1" t="s">
        <v>93</v>
      </c>
      <c r="E48" t="s">
        <v>103</v>
      </c>
      <c r="F48" t="s">
        <v>59</v>
      </c>
      <c r="G48" t="s">
        <v>85</v>
      </c>
      <c r="H48" t="s">
        <v>61</v>
      </c>
      <c r="I48" t="s">
        <v>62</v>
      </c>
      <c r="J48" t="s">
        <v>156</v>
      </c>
      <c r="K48" t="s">
        <v>157</v>
      </c>
      <c r="L48" t="s">
        <v>110</v>
      </c>
      <c r="M48" t="s">
        <v>157</v>
      </c>
      <c r="O48" t="s">
        <v>179</v>
      </c>
      <c r="P48">
        <v>275</v>
      </c>
      <c r="Q48" t="str">
        <f t="shared" ref="Q48:Q58" si="2">_xlfn.CONCAT(O48,"_",P48)</f>
        <v>\K20_c025_275</v>
      </c>
      <c r="S48" t="s">
        <v>212</v>
      </c>
      <c r="T48" t="s">
        <v>213</v>
      </c>
      <c r="U48">
        <v>3</v>
      </c>
      <c r="V48">
        <v>12695</v>
      </c>
      <c r="W48">
        <v>133.50700000000001</v>
      </c>
      <c r="X48">
        <v>121.071</v>
      </c>
      <c r="Y48">
        <v>18.584</v>
      </c>
      <c r="Z48">
        <v>1920</v>
      </c>
      <c r="AA48">
        <v>1200</v>
      </c>
      <c r="AB48">
        <v>50</v>
      </c>
      <c r="AE48" t="s">
        <v>217</v>
      </c>
      <c r="AG48" t="s">
        <v>210</v>
      </c>
    </row>
    <row r="49" spans="1:33" x14ac:dyDescent="0.3">
      <c r="A49" t="s">
        <v>49</v>
      </c>
      <c r="B49" s="1">
        <v>45670</v>
      </c>
      <c r="C49">
        <v>47463</v>
      </c>
      <c r="D49" s="1" t="s">
        <v>93</v>
      </c>
      <c r="E49" t="s">
        <v>103</v>
      </c>
      <c r="F49" t="s">
        <v>59</v>
      </c>
      <c r="G49" t="s">
        <v>85</v>
      </c>
      <c r="H49" t="s">
        <v>61</v>
      </c>
      <c r="I49" t="s">
        <v>62</v>
      </c>
      <c r="J49" t="s">
        <v>156</v>
      </c>
      <c r="K49" t="s">
        <v>157</v>
      </c>
      <c r="L49" t="s">
        <v>110</v>
      </c>
      <c r="M49" t="s">
        <v>157</v>
      </c>
      <c r="O49" t="s">
        <v>179</v>
      </c>
      <c r="P49">
        <v>275</v>
      </c>
      <c r="Q49" t="str">
        <f t="shared" si="2"/>
        <v>\K20_c025_275</v>
      </c>
      <c r="S49" t="s">
        <v>212</v>
      </c>
      <c r="T49" t="s">
        <v>213</v>
      </c>
      <c r="U49">
        <v>3</v>
      </c>
      <c r="V49">
        <v>12695</v>
      </c>
      <c r="W49">
        <v>133.50700000000001</v>
      </c>
      <c r="X49">
        <v>121.071</v>
      </c>
      <c r="Y49">
        <v>18.584</v>
      </c>
      <c r="Z49">
        <v>1920</v>
      </c>
      <c r="AA49">
        <v>1200</v>
      </c>
      <c r="AB49">
        <v>50</v>
      </c>
      <c r="AE49" t="s">
        <v>217</v>
      </c>
      <c r="AG49" t="s">
        <v>210</v>
      </c>
    </row>
    <row r="50" spans="1:33" x14ac:dyDescent="0.3">
      <c r="A50" t="s">
        <v>50</v>
      </c>
      <c r="B50" s="1">
        <v>45670</v>
      </c>
      <c r="C50">
        <v>47742</v>
      </c>
      <c r="D50" s="1" t="s">
        <v>93</v>
      </c>
      <c r="E50" t="s">
        <v>103</v>
      </c>
      <c r="F50" t="s">
        <v>59</v>
      </c>
      <c r="G50" t="s">
        <v>85</v>
      </c>
      <c r="H50" t="s">
        <v>61</v>
      </c>
      <c r="I50" t="s">
        <v>62</v>
      </c>
      <c r="J50" t="s">
        <v>156</v>
      </c>
      <c r="K50" t="s">
        <v>157</v>
      </c>
      <c r="L50" t="s">
        <v>110</v>
      </c>
      <c r="M50" t="s">
        <v>157</v>
      </c>
      <c r="O50" t="s">
        <v>179</v>
      </c>
      <c r="P50">
        <v>275</v>
      </c>
      <c r="Q50" t="str">
        <f t="shared" si="2"/>
        <v>\K20_c025_275</v>
      </c>
      <c r="S50" t="s">
        <v>212</v>
      </c>
      <c r="T50" t="s">
        <v>213</v>
      </c>
      <c r="U50">
        <v>3</v>
      </c>
      <c r="V50">
        <v>12695</v>
      </c>
      <c r="W50">
        <v>133.50700000000001</v>
      </c>
      <c r="X50">
        <v>121.071</v>
      </c>
      <c r="Y50">
        <v>18.584</v>
      </c>
      <c r="Z50">
        <v>1920</v>
      </c>
      <c r="AA50">
        <v>1200</v>
      </c>
      <c r="AB50">
        <v>50</v>
      </c>
      <c r="AE50" t="s">
        <v>217</v>
      </c>
      <c r="AG50" t="s">
        <v>210</v>
      </c>
    </row>
    <row r="51" spans="1:33" x14ac:dyDescent="0.3">
      <c r="A51" t="s">
        <v>51</v>
      </c>
      <c r="B51" s="1">
        <v>45670</v>
      </c>
      <c r="C51">
        <v>48663</v>
      </c>
      <c r="D51" s="1" t="s">
        <v>93</v>
      </c>
      <c r="E51" t="s">
        <v>103</v>
      </c>
      <c r="F51" t="s">
        <v>59</v>
      </c>
      <c r="G51" t="s">
        <v>86</v>
      </c>
      <c r="H51" t="s">
        <v>61</v>
      </c>
      <c r="I51" t="s">
        <v>62</v>
      </c>
      <c r="J51" t="s">
        <v>158</v>
      </c>
      <c r="K51" t="s">
        <v>159</v>
      </c>
      <c r="L51" t="s">
        <v>111</v>
      </c>
      <c r="M51" t="s">
        <v>159</v>
      </c>
      <c r="O51" t="s">
        <v>178</v>
      </c>
      <c r="P51">
        <v>337</v>
      </c>
      <c r="Q51" t="str">
        <f t="shared" si="2"/>
        <v>\K20_c026_337</v>
      </c>
      <c r="S51" t="s">
        <v>212</v>
      </c>
      <c r="T51" t="s">
        <v>214</v>
      </c>
      <c r="U51">
        <v>1</v>
      </c>
      <c r="V51">
        <v>21744</v>
      </c>
      <c r="W51">
        <v>197.71100000000001</v>
      </c>
      <c r="X51">
        <v>140.03</v>
      </c>
      <c r="Y51">
        <v>7.8470000000000004</v>
      </c>
      <c r="Z51">
        <v>1920</v>
      </c>
      <c r="AA51">
        <v>1200</v>
      </c>
      <c r="AB51">
        <v>50</v>
      </c>
      <c r="AG51" t="s">
        <v>210</v>
      </c>
    </row>
    <row r="52" spans="1:33" x14ac:dyDescent="0.3">
      <c r="A52" t="s">
        <v>52</v>
      </c>
      <c r="B52" s="1">
        <v>45670</v>
      </c>
      <c r="C52">
        <v>48910</v>
      </c>
      <c r="D52" s="1" t="s">
        <v>93</v>
      </c>
      <c r="E52" t="s">
        <v>103</v>
      </c>
      <c r="F52" t="s">
        <v>59</v>
      </c>
      <c r="G52" t="s">
        <v>86</v>
      </c>
      <c r="H52" t="s">
        <v>61</v>
      </c>
      <c r="I52" t="s">
        <v>62</v>
      </c>
      <c r="J52" t="s">
        <v>158</v>
      </c>
      <c r="K52" t="s">
        <v>159</v>
      </c>
      <c r="L52" t="s">
        <v>111</v>
      </c>
      <c r="M52" t="s">
        <v>159</v>
      </c>
      <c r="O52" t="s">
        <v>178</v>
      </c>
      <c r="P52">
        <v>337</v>
      </c>
      <c r="Q52" t="str">
        <f t="shared" si="2"/>
        <v>\K20_c026_337</v>
      </c>
      <c r="S52" t="s">
        <v>212</v>
      </c>
      <c r="T52" t="s">
        <v>214</v>
      </c>
      <c r="U52">
        <v>1</v>
      </c>
      <c r="V52">
        <v>21744</v>
      </c>
      <c r="W52">
        <v>197.71100000000001</v>
      </c>
      <c r="X52">
        <v>140.03</v>
      </c>
      <c r="Y52">
        <v>7.8470000000000004</v>
      </c>
      <c r="Z52">
        <v>1920</v>
      </c>
      <c r="AA52">
        <v>1200</v>
      </c>
      <c r="AB52">
        <v>50</v>
      </c>
      <c r="AG52" t="s">
        <v>210</v>
      </c>
    </row>
    <row r="53" spans="1:33" x14ac:dyDescent="0.3">
      <c r="A53" t="s">
        <v>53</v>
      </c>
      <c r="B53" s="1">
        <v>45670</v>
      </c>
      <c r="C53">
        <v>49182</v>
      </c>
      <c r="D53" s="1" t="s">
        <v>93</v>
      </c>
      <c r="E53" t="s">
        <v>103</v>
      </c>
      <c r="F53" t="s">
        <v>59</v>
      </c>
      <c r="G53" t="s">
        <v>86</v>
      </c>
      <c r="H53" t="s">
        <v>61</v>
      </c>
      <c r="I53" t="s">
        <v>62</v>
      </c>
      <c r="J53" t="s">
        <v>158</v>
      </c>
      <c r="K53" t="s">
        <v>159</v>
      </c>
      <c r="L53" t="s">
        <v>111</v>
      </c>
      <c r="M53" t="s">
        <v>159</v>
      </c>
      <c r="O53" t="s">
        <v>178</v>
      </c>
      <c r="P53">
        <v>337</v>
      </c>
      <c r="Q53" t="str">
        <f t="shared" si="2"/>
        <v>\K20_c026_337</v>
      </c>
      <c r="S53" t="s">
        <v>212</v>
      </c>
      <c r="T53" t="s">
        <v>214</v>
      </c>
      <c r="U53">
        <v>1</v>
      </c>
      <c r="V53">
        <v>21744</v>
      </c>
      <c r="W53">
        <v>197.71100000000001</v>
      </c>
      <c r="X53">
        <v>140.03</v>
      </c>
      <c r="Y53">
        <v>7.8470000000000004</v>
      </c>
      <c r="Z53">
        <v>1920</v>
      </c>
      <c r="AA53">
        <v>1200</v>
      </c>
      <c r="AB53">
        <v>50</v>
      </c>
      <c r="AG53" t="s">
        <v>210</v>
      </c>
    </row>
    <row r="54" spans="1:33" x14ac:dyDescent="0.3">
      <c r="A54" t="s">
        <v>54</v>
      </c>
      <c r="B54" s="1">
        <v>45670</v>
      </c>
      <c r="C54">
        <v>49467</v>
      </c>
      <c r="D54" s="1" t="s">
        <v>93</v>
      </c>
      <c r="E54" t="s">
        <v>103</v>
      </c>
      <c r="F54" t="s">
        <v>59</v>
      </c>
      <c r="G54" t="s">
        <v>86</v>
      </c>
      <c r="H54" t="s">
        <v>67</v>
      </c>
      <c r="I54" t="s">
        <v>64</v>
      </c>
      <c r="J54" t="s">
        <v>158</v>
      </c>
      <c r="K54" t="s">
        <v>160</v>
      </c>
      <c r="L54" t="s">
        <v>112</v>
      </c>
      <c r="M54" t="s">
        <v>160</v>
      </c>
      <c r="O54" t="s">
        <v>178</v>
      </c>
      <c r="P54">
        <v>337</v>
      </c>
      <c r="Q54" t="str">
        <f t="shared" si="2"/>
        <v>\K20_c026_337</v>
      </c>
      <c r="S54" t="s">
        <v>212</v>
      </c>
      <c r="T54" t="s">
        <v>214</v>
      </c>
      <c r="U54">
        <v>2</v>
      </c>
      <c r="V54">
        <v>15169</v>
      </c>
      <c r="W54">
        <v>142.05799999999999</v>
      </c>
      <c r="X54">
        <v>135.95699999999999</v>
      </c>
      <c r="Y54">
        <v>118.71299999999999</v>
      </c>
      <c r="Z54">
        <v>1920</v>
      </c>
      <c r="AA54">
        <v>1200</v>
      </c>
      <c r="AB54">
        <v>50</v>
      </c>
      <c r="AG54" t="s">
        <v>210</v>
      </c>
    </row>
    <row r="55" spans="1:33" x14ac:dyDescent="0.3">
      <c r="A55" t="s">
        <v>55</v>
      </c>
      <c r="B55" s="1">
        <v>45670</v>
      </c>
      <c r="C55">
        <v>49728</v>
      </c>
      <c r="D55" s="1" t="s">
        <v>93</v>
      </c>
      <c r="E55" t="s">
        <v>103</v>
      </c>
      <c r="F55" t="s">
        <v>59</v>
      </c>
      <c r="G55" t="s">
        <v>86</v>
      </c>
      <c r="H55" t="s">
        <v>67</v>
      </c>
      <c r="I55" t="s">
        <v>64</v>
      </c>
      <c r="J55" t="s">
        <v>158</v>
      </c>
      <c r="K55" t="s">
        <v>160</v>
      </c>
      <c r="L55" t="s">
        <v>112</v>
      </c>
      <c r="M55" t="s">
        <v>160</v>
      </c>
      <c r="O55" t="s">
        <v>178</v>
      </c>
      <c r="P55">
        <v>337</v>
      </c>
      <c r="Q55" t="str">
        <f t="shared" si="2"/>
        <v>\K20_c026_337</v>
      </c>
      <c r="S55" t="s">
        <v>212</v>
      </c>
      <c r="T55" t="s">
        <v>214</v>
      </c>
      <c r="U55">
        <v>2</v>
      </c>
      <c r="V55">
        <v>15169</v>
      </c>
      <c r="W55">
        <v>142.05799999999999</v>
      </c>
      <c r="X55">
        <v>135.95699999999999</v>
      </c>
      <c r="Y55">
        <v>118.71299999999999</v>
      </c>
      <c r="Z55">
        <v>1920</v>
      </c>
      <c r="AA55">
        <v>1200</v>
      </c>
      <c r="AB55">
        <v>50</v>
      </c>
      <c r="AG55" t="s">
        <v>210</v>
      </c>
    </row>
    <row r="56" spans="1:33" x14ac:dyDescent="0.3">
      <c r="A56" t="s">
        <v>56</v>
      </c>
      <c r="B56" s="1">
        <v>45670</v>
      </c>
      <c r="C56">
        <v>49992</v>
      </c>
      <c r="D56" s="1" t="s">
        <v>93</v>
      </c>
      <c r="E56" t="s">
        <v>103</v>
      </c>
      <c r="F56" t="s">
        <v>59</v>
      </c>
      <c r="G56" t="s">
        <v>86</v>
      </c>
      <c r="H56" t="s">
        <v>67</v>
      </c>
      <c r="I56" t="s">
        <v>64</v>
      </c>
      <c r="J56" t="s">
        <v>158</v>
      </c>
      <c r="K56" t="s">
        <v>160</v>
      </c>
      <c r="L56" t="s">
        <v>112</v>
      </c>
      <c r="M56" t="s">
        <v>160</v>
      </c>
      <c r="O56" t="s">
        <v>178</v>
      </c>
      <c r="P56">
        <v>337</v>
      </c>
      <c r="Q56" t="str">
        <f t="shared" si="2"/>
        <v>\K20_c026_337</v>
      </c>
      <c r="S56" t="s">
        <v>212</v>
      </c>
      <c r="T56" t="s">
        <v>214</v>
      </c>
      <c r="U56">
        <v>2</v>
      </c>
      <c r="V56">
        <v>15169</v>
      </c>
      <c r="W56">
        <v>142.05799999999999</v>
      </c>
      <c r="X56">
        <v>135.95699999999999</v>
      </c>
      <c r="Y56">
        <v>118.71299999999999</v>
      </c>
      <c r="Z56">
        <v>1920</v>
      </c>
      <c r="AA56">
        <v>1200</v>
      </c>
      <c r="AB56">
        <v>50</v>
      </c>
      <c r="AG56" t="s">
        <v>210</v>
      </c>
    </row>
    <row r="57" spans="1:33" x14ac:dyDescent="0.3">
      <c r="A57" t="s">
        <v>57</v>
      </c>
      <c r="B57" s="1">
        <v>45670</v>
      </c>
      <c r="C57">
        <v>50548</v>
      </c>
      <c r="D57" s="1" t="s">
        <v>93</v>
      </c>
      <c r="E57" t="s">
        <v>103</v>
      </c>
      <c r="F57" t="s">
        <v>59</v>
      </c>
      <c r="G57" t="s">
        <v>87</v>
      </c>
      <c r="H57" t="s">
        <v>61</v>
      </c>
      <c r="I57" t="s">
        <v>62</v>
      </c>
      <c r="J57" t="s">
        <v>161</v>
      </c>
      <c r="K57" t="s">
        <v>162</v>
      </c>
      <c r="L57" t="s">
        <v>113</v>
      </c>
      <c r="M57" t="s">
        <v>162</v>
      </c>
      <c r="O57" t="s">
        <v>177</v>
      </c>
      <c r="P57">
        <v>86</v>
      </c>
      <c r="Q57" t="str">
        <f t="shared" si="2"/>
        <v>\K20_c027_86</v>
      </c>
      <c r="S57" t="s">
        <v>212</v>
      </c>
      <c r="T57" t="s">
        <v>213</v>
      </c>
      <c r="U57">
        <v>3</v>
      </c>
      <c r="V57">
        <v>22898</v>
      </c>
      <c r="W57">
        <v>189.78700000000001</v>
      </c>
      <c r="X57">
        <v>153.61699999999999</v>
      </c>
      <c r="Y57">
        <v>28.016999999999999</v>
      </c>
      <c r="Z57">
        <v>1920</v>
      </c>
      <c r="AA57">
        <v>1200</v>
      </c>
      <c r="AB57">
        <v>50</v>
      </c>
      <c r="AG57" t="s">
        <v>210</v>
      </c>
    </row>
    <row r="58" spans="1:33" x14ac:dyDescent="0.3">
      <c r="A58" t="s">
        <v>58</v>
      </c>
      <c r="B58" s="1">
        <v>45670</v>
      </c>
      <c r="C58">
        <v>51152</v>
      </c>
      <c r="D58" s="1" t="s">
        <v>93</v>
      </c>
      <c r="E58" t="s">
        <v>103</v>
      </c>
      <c r="F58" t="s">
        <v>59</v>
      </c>
      <c r="G58" t="s">
        <v>88</v>
      </c>
      <c r="H58" t="s">
        <v>61</v>
      </c>
      <c r="I58" t="s">
        <v>62</v>
      </c>
      <c r="J58" t="s">
        <v>163</v>
      </c>
      <c r="K58" t="s">
        <v>164</v>
      </c>
      <c r="L58" t="s">
        <v>58</v>
      </c>
      <c r="M58" t="s">
        <v>164</v>
      </c>
      <c r="O58" t="s">
        <v>176</v>
      </c>
      <c r="P58">
        <v>220</v>
      </c>
      <c r="Q58" t="str">
        <f t="shared" si="2"/>
        <v>\K20_c028_220</v>
      </c>
      <c r="S58" t="s">
        <v>212</v>
      </c>
      <c r="T58" t="s">
        <v>214</v>
      </c>
      <c r="U58">
        <v>4</v>
      </c>
      <c r="V58">
        <v>4084</v>
      </c>
      <c r="W58">
        <v>73.317999999999998</v>
      </c>
      <c r="X58">
        <v>70.923000000000002</v>
      </c>
      <c r="Y58">
        <v>69.463999999999999</v>
      </c>
      <c r="Z58">
        <v>1920</v>
      </c>
      <c r="AA58">
        <v>1200</v>
      </c>
      <c r="AB58">
        <v>50</v>
      </c>
      <c r="AG58" t="s">
        <v>218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CAF6-F46E-6945-A19D-CDAD7077113E}">
  <dimension ref="A1:B58"/>
  <sheetViews>
    <sheetView workbookViewId="0">
      <selection sqref="A1:B1048576"/>
    </sheetView>
  </sheetViews>
  <sheetFormatPr defaultColWidth="11.44140625" defaultRowHeight="14.4" x14ac:dyDescent="0.3"/>
  <sheetData>
    <row r="1" spans="1:2" x14ac:dyDescent="0.3">
      <c r="A1" s="2" t="s">
        <v>0</v>
      </c>
      <c r="B1" s="2" t="s">
        <v>165</v>
      </c>
    </row>
    <row r="2" spans="1:2" x14ac:dyDescent="0.3">
      <c r="A2" t="s">
        <v>2</v>
      </c>
      <c r="B2">
        <v>43053</v>
      </c>
    </row>
    <row r="3" spans="1:2" x14ac:dyDescent="0.3">
      <c r="A3" t="s">
        <v>3</v>
      </c>
      <c r="B3">
        <v>43480</v>
      </c>
    </row>
    <row r="4" spans="1:2" x14ac:dyDescent="0.3">
      <c r="A4" t="s">
        <v>4</v>
      </c>
      <c r="B4">
        <v>43798</v>
      </c>
    </row>
    <row r="5" spans="1:2" x14ac:dyDescent="0.3">
      <c r="A5" t="s">
        <v>5</v>
      </c>
      <c r="B5">
        <v>66248</v>
      </c>
    </row>
    <row r="6" spans="1:2" x14ac:dyDescent="0.3">
      <c r="A6" t="s">
        <v>6</v>
      </c>
      <c r="B6">
        <v>66499</v>
      </c>
    </row>
    <row r="7" spans="1:2" x14ac:dyDescent="0.3">
      <c r="A7" t="s">
        <v>7</v>
      </c>
      <c r="B7">
        <v>66791</v>
      </c>
    </row>
    <row r="8" spans="1:2" x14ac:dyDescent="0.3">
      <c r="A8" t="s">
        <v>8</v>
      </c>
      <c r="B8">
        <v>41701</v>
      </c>
    </row>
    <row r="9" spans="1:2" x14ac:dyDescent="0.3">
      <c r="A9" t="s">
        <v>9</v>
      </c>
      <c r="B9">
        <v>41983</v>
      </c>
    </row>
    <row r="10" spans="1:2" x14ac:dyDescent="0.3">
      <c r="A10" t="s">
        <v>10</v>
      </c>
      <c r="B10">
        <v>42331</v>
      </c>
    </row>
    <row r="11" spans="1:2" x14ac:dyDescent="0.3">
      <c r="A11" t="s">
        <v>11</v>
      </c>
      <c r="B11">
        <v>45781</v>
      </c>
    </row>
    <row r="12" spans="1:2" x14ac:dyDescent="0.3">
      <c r="A12" t="s">
        <v>12</v>
      </c>
      <c r="B12">
        <v>47868</v>
      </c>
    </row>
    <row r="13" spans="1:2" x14ac:dyDescent="0.3">
      <c r="A13" t="s">
        <v>13</v>
      </c>
      <c r="B13">
        <v>48162</v>
      </c>
    </row>
    <row r="14" spans="1:2" x14ac:dyDescent="0.3">
      <c r="A14" t="s">
        <v>14</v>
      </c>
      <c r="B14">
        <v>49053</v>
      </c>
    </row>
    <row r="15" spans="1:2" x14ac:dyDescent="0.3">
      <c r="A15" t="s">
        <v>15</v>
      </c>
      <c r="B15">
        <v>49316</v>
      </c>
    </row>
    <row r="16" spans="1:2" x14ac:dyDescent="0.3">
      <c r="A16" t="s">
        <v>16</v>
      </c>
      <c r="B16">
        <v>50177</v>
      </c>
    </row>
    <row r="17" spans="1:2" x14ac:dyDescent="0.3">
      <c r="A17" t="s">
        <v>17</v>
      </c>
      <c r="B17">
        <v>50549</v>
      </c>
    </row>
    <row r="18" spans="1:2" x14ac:dyDescent="0.3">
      <c r="A18" t="s">
        <v>18</v>
      </c>
      <c r="B18">
        <v>50876</v>
      </c>
    </row>
    <row r="19" spans="1:2" x14ac:dyDescent="0.3">
      <c r="A19" t="s">
        <v>19</v>
      </c>
      <c r="B19">
        <v>51158</v>
      </c>
    </row>
    <row r="20" spans="1:2" x14ac:dyDescent="0.3">
      <c r="A20" t="s">
        <v>20</v>
      </c>
      <c r="B20">
        <v>51654</v>
      </c>
    </row>
    <row r="21" spans="1:2" x14ac:dyDescent="0.3">
      <c r="A21" t="s">
        <v>21</v>
      </c>
      <c r="B21">
        <v>52223</v>
      </c>
    </row>
    <row r="22" spans="1:2" x14ac:dyDescent="0.3">
      <c r="A22" t="s">
        <v>22</v>
      </c>
      <c r="B22">
        <v>52515</v>
      </c>
    </row>
    <row r="23" spans="1:2" x14ac:dyDescent="0.3">
      <c r="A23" t="s">
        <v>23</v>
      </c>
      <c r="B23">
        <v>52812</v>
      </c>
    </row>
    <row r="24" spans="1:2" x14ac:dyDescent="0.3">
      <c r="A24" t="s">
        <v>24</v>
      </c>
      <c r="B24">
        <v>53347</v>
      </c>
    </row>
    <row r="25" spans="1:2" x14ac:dyDescent="0.3">
      <c r="A25" t="s">
        <v>25</v>
      </c>
      <c r="B25">
        <v>54434</v>
      </c>
    </row>
    <row r="26" spans="1:2" x14ac:dyDescent="0.3">
      <c r="A26" t="s">
        <v>26</v>
      </c>
      <c r="B26">
        <v>54983</v>
      </c>
    </row>
    <row r="27" spans="1:2" x14ac:dyDescent="0.3">
      <c r="A27" t="s">
        <v>27</v>
      </c>
      <c r="B27">
        <v>55381</v>
      </c>
    </row>
    <row r="28" spans="1:2" x14ac:dyDescent="0.3">
      <c r="A28" t="s">
        <v>28</v>
      </c>
      <c r="B28">
        <v>55673</v>
      </c>
    </row>
    <row r="29" spans="1:2" x14ac:dyDescent="0.3">
      <c r="A29" t="s">
        <v>29</v>
      </c>
      <c r="B29">
        <v>56127</v>
      </c>
    </row>
    <row r="30" spans="1:2" x14ac:dyDescent="0.3">
      <c r="A30" t="s">
        <v>30</v>
      </c>
      <c r="B30">
        <v>56441</v>
      </c>
    </row>
    <row r="31" spans="1:2" x14ac:dyDescent="0.3">
      <c r="A31" t="s">
        <v>31</v>
      </c>
      <c r="B31">
        <v>56947</v>
      </c>
    </row>
    <row r="32" spans="1:2" x14ac:dyDescent="0.3">
      <c r="A32" t="s">
        <v>32</v>
      </c>
      <c r="B32">
        <v>57474</v>
      </c>
    </row>
    <row r="33" spans="1:2" x14ac:dyDescent="0.3">
      <c r="A33" t="s">
        <v>33</v>
      </c>
      <c r="B33">
        <v>58726</v>
      </c>
    </row>
    <row r="34" spans="1:2" x14ac:dyDescent="0.3">
      <c r="A34" t="s">
        <v>34</v>
      </c>
      <c r="B34">
        <v>60124</v>
      </c>
    </row>
    <row r="35" spans="1:2" x14ac:dyDescent="0.3">
      <c r="A35" t="s">
        <v>35</v>
      </c>
      <c r="B35">
        <v>60463</v>
      </c>
    </row>
    <row r="36" spans="1:2" x14ac:dyDescent="0.3">
      <c r="A36" t="s">
        <v>36</v>
      </c>
      <c r="B36">
        <v>64334</v>
      </c>
    </row>
    <row r="37" spans="1:2" x14ac:dyDescent="0.3">
      <c r="A37" t="s">
        <v>37</v>
      </c>
      <c r="B37">
        <v>65060</v>
      </c>
    </row>
    <row r="38" spans="1:2" x14ac:dyDescent="0.3">
      <c r="A38" t="s">
        <v>38</v>
      </c>
      <c r="B38">
        <v>52638</v>
      </c>
    </row>
    <row r="39" spans="1:2" x14ac:dyDescent="0.3">
      <c r="A39" t="s">
        <v>39</v>
      </c>
      <c r="B39">
        <v>52885</v>
      </c>
    </row>
    <row r="40" spans="1:2" x14ac:dyDescent="0.3">
      <c r="A40" t="s">
        <v>40</v>
      </c>
      <c r="B40">
        <v>53151</v>
      </c>
    </row>
    <row r="41" spans="1:2" x14ac:dyDescent="0.3">
      <c r="A41" t="s">
        <v>41</v>
      </c>
      <c r="B41">
        <v>40244</v>
      </c>
    </row>
    <row r="42" spans="1:2" x14ac:dyDescent="0.3">
      <c r="A42" t="s">
        <v>42</v>
      </c>
      <c r="B42">
        <v>40608</v>
      </c>
    </row>
    <row r="43" spans="1:2" x14ac:dyDescent="0.3">
      <c r="A43" t="s">
        <v>43</v>
      </c>
      <c r="B43">
        <v>40848</v>
      </c>
    </row>
    <row r="44" spans="1:2" x14ac:dyDescent="0.3">
      <c r="A44" t="s">
        <v>44</v>
      </c>
      <c r="B44">
        <v>42372</v>
      </c>
    </row>
    <row r="45" spans="1:2" x14ac:dyDescent="0.3">
      <c r="A45" t="s">
        <v>45</v>
      </c>
      <c r="B45">
        <v>43534</v>
      </c>
    </row>
    <row r="46" spans="1:2" x14ac:dyDescent="0.3">
      <c r="A46" t="s">
        <v>46</v>
      </c>
      <c r="B46">
        <v>43862</v>
      </c>
    </row>
    <row r="47" spans="1:2" x14ac:dyDescent="0.3">
      <c r="A47" t="s">
        <v>47</v>
      </c>
      <c r="B47">
        <v>44157</v>
      </c>
    </row>
    <row r="48" spans="1:2" x14ac:dyDescent="0.3">
      <c r="A48" t="s">
        <v>48</v>
      </c>
      <c r="B48">
        <v>46815</v>
      </c>
    </row>
    <row r="49" spans="1:2" x14ac:dyDescent="0.3">
      <c r="A49" t="s">
        <v>49</v>
      </c>
      <c r="B49">
        <v>47463</v>
      </c>
    </row>
    <row r="50" spans="1:2" x14ac:dyDescent="0.3">
      <c r="A50" t="s">
        <v>50</v>
      </c>
      <c r="B50">
        <v>47742</v>
      </c>
    </row>
    <row r="51" spans="1:2" x14ac:dyDescent="0.3">
      <c r="A51" t="s">
        <v>51</v>
      </c>
      <c r="B51">
        <v>48663</v>
      </c>
    </row>
    <row r="52" spans="1:2" x14ac:dyDescent="0.3">
      <c r="A52" t="s">
        <v>52</v>
      </c>
      <c r="B52">
        <v>48910</v>
      </c>
    </row>
    <row r="53" spans="1:2" x14ac:dyDescent="0.3">
      <c r="A53" t="s">
        <v>53</v>
      </c>
      <c r="B53">
        <v>49182</v>
      </c>
    </row>
    <row r="54" spans="1:2" x14ac:dyDescent="0.3">
      <c r="A54" t="s">
        <v>54</v>
      </c>
      <c r="B54">
        <v>49467</v>
      </c>
    </row>
    <row r="55" spans="1:2" x14ac:dyDescent="0.3">
      <c r="A55" t="s">
        <v>55</v>
      </c>
      <c r="B55">
        <v>49728</v>
      </c>
    </row>
    <row r="56" spans="1:2" x14ac:dyDescent="0.3">
      <c r="A56" t="s">
        <v>56</v>
      </c>
      <c r="B56">
        <v>49992</v>
      </c>
    </row>
    <row r="57" spans="1:2" x14ac:dyDescent="0.3">
      <c r="A57" t="s">
        <v>57</v>
      </c>
      <c r="B57">
        <v>50548</v>
      </c>
    </row>
    <row r="58" spans="1:2" x14ac:dyDescent="0.3">
      <c r="A58" t="s">
        <v>58</v>
      </c>
      <c r="B58">
        <v>51152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2025-05-19T00:18:31Z</dcterms:modified>
</cp:coreProperties>
</file>